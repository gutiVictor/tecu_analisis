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3EB8258D-7E0E-4578-8A6D-2A810911FE76}" xr6:coauthVersionLast="47" xr6:coauthVersionMax="47" xr10:uidLastSave="{00000000-0000-0000-0000-000000000000}"/>
  <bookViews>
    <workbookView xWindow="-108" yWindow="-108" windowWidth="23256" windowHeight="12576" tabRatio="718" xr2:uid="{00000000-000D-0000-FFFF-FFFF00000000}"/>
  </bookViews>
  <sheets>
    <sheet name="Base Ventas" sheetId="1" r:id="rId1"/>
    <sheet name="Productos" sheetId="2" r:id="rId2"/>
    <sheet name="Indicadores Despachos" sheetId="3" r:id="rId3"/>
    <sheet name="OKR" sheetId="7" r:id="rId4"/>
    <sheet name="Analisis Ventas" sheetId="4" r:id="rId5"/>
    <sheet name="Valores" sheetId="5" r:id="rId6"/>
    <sheet name="Graficos Finales" sheetId="25" r:id="rId7"/>
    <sheet name="Graficos causales" sheetId="24" r:id="rId8"/>
  </sheets>
  <definedNames>
    <definedName name="_xlnm._FilterDatabase" localSheetId="4" hidden="1">'Analisis Ventas'!$A$82:$J$101</definedName>
    <definedName name="_xlnm._FilterDatabase" localSheetId="0" hidden="1">'Base Ventas'!$A$4:$Z$188</definedName>
    <definedName name="_xlnm._FilterDatabase" localSheetId="6" hidden="1">'Graficos Finales'!$M$36:$N$65</definedName>
    <definedName name="_xlnm._FilterDatabase" localSheetId="1" hidden="1">Productos!$A$2:$D$277</definedName>
    <definedName name="_xlnm._FilterDatabase" localSheetId="5" hidden="1">Valores!$D$1:$F$64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6" i="1" l="1"/>
  <c r="G167" i="1"/>
  <c r="G168" i="1"/>
  <c r="G169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U161" i="1"/>
  <c r="U163" i="1"/>
  <c r="U164" i="1"/>
  <c r="U165" i="1"/>
  <c r="U175" i="1"/>
  <c r="U177" i="1"/>
  <c r="U178" i="1"/>
  <c r="U183" i="1"/>
  <c r="U185" i="1"/>
  <c r="U186" i="1"/>
  <c r="T160" i="1"/>
  <c r="U160" i="1" s="1"/>
  <c r="T161" i="1"/>
  <c r="T162" i="1"/>
  <c r="U162" i="1" s="1"/>
  <c r="T163" i="1"/>
  <c r="T164" i="1"/>
  <c r="T165" i="1"/>
  <c r="T166" i="1"/>
  <c r="U166" i="1" s="1"/>
  <c r="T167" i="1"/>
  <c r="U167" i="1" s="1"/>
  <c r="T168" i="1"/>
  <c r="U168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T176" i="1"/>
  <c r="U176" i="1" s="1"/>
  <c r="T177" i="1"/>
  <c r="T178" i="1"/>
  <c r="T179" i="1"/>
  <c r="U179" i="1" s="1"/>
  <c r="T180" i="1"/>
  <c r="U180" i="1" s="1"/>
  <c r="T181" i="1"/>
  <c r="U181" i="1" s="1"/>
  <c r="T182" i="1"/>
  <c r="U182" i="1" s="1"/>
  <c r="T183" i="1"/>
  <c r="T184" i="1"/>
  <c r="U184" i="1" s="1"/>
  <c r="T185" i="1"/>
  <c r="T186" i="1"/>
  <c r="T187" i="1"/>
  <c r="U187" i="1" s="1"/>
  <c r="T188" i="1"/>
  <c r="U188" i="1" s="1"/>
  <c r="S160" i="1"/>
  <c r="S161" i="1"/>
  <c r="S162" i="1"/>
  <c r="S163" i="1"/>
  <c r="S164" i="1"/>
  <c r="S165" i="1"/>
  <c r="S166" i="1"/>
  <c r="S167" i="1"/>
  <c r="S168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R160" i="1"/>
  <c r="R161" i="1"/>
  <c r="R162" i="1"/>
  <c r="R163" i="1"/>
  <c r="R164" i="1"/>
  <c r="R165" i="1"/>
  <c r="R166" i="1"/>
  <c r="R167" i="1"/>
  <c r="R168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Q160" i="1"/>
  <c r="Q161" i="1"/>
  <c r="Q162" i="1"/>
  <c r="Q163" i="1"/>
  <c r="Q164" i="1"/>
  <c r="Q165" i="1"/>
  <c r="Q166" i="1"/>
  <c r="Q167" i="1"/>
  <c r="Q168" i="1"/>
  <c r="Q169" i="1"/>
  <c r="T169" i="1" s="1"/>
  <c r="U169" i="1" s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I161" i="1"/>
  <c r="I162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G162" i="1"/>
  <c r="G163" i="1"/>
  <c r="G164" i="1"/>
  <c r="G165" i="1"/>
  <c r="G161" i="1"/>
  <c r="T189" i="1"/>
  <c r="T190" i="1"/>
  <c r="D151" i="25"/>
  <c r="J8" i="25"/>
  <c r="I8" i="25"/>
  <c r="H8" i="25"/>
  <c r="G8" i="25"/>
  <c r="F8" i="25"/>
  <c r="E8" i="25"/>
  <c r="D8" i="25"/>
  <c r="C8" i="25"/>
  <c r="B8" i="25"/>
  <c r="K7" i="25"/>
  <c r="K6" i="25"/>
  <c r="K5" i="25"/>
  <c r="K4" i="25"/>
  <c r="K3" i="25"/>
  <c r="J2" i="25"/>
  <c r="D22" i="24"/>
  <c r="D23" i="24"/>
  <c r="D24" i="24"/>
  <c r="D25" i="24"/>
  <c r="D26" i="24"/>
  <c r="D27" i="24"/>
  <c r="D21" i="24"/>
  <c r="B13" i="4" l="1"/>
  <c r="C13" i="4"/>
  <c r="D13" i="4"/>
  <c r="F13" i="4"/>
  <c r="G13" i="4"/>
  <c r="H13" i="4"/>
  <c r="I13" i="4"/>
  <c r="J13" i="4"/>
  <c r="E13" i="4"/>
  <c r="I5" i="1"/>
  <c r="I125" i="1"/>
  <c r="G122" i="1"/>
  <c r="Q122" i="1" l="1"/>
  <c r="L122" i="1"/>
  <c r="R122" i="1" s="1"/>
  <c r="Q137" i="1"/>
  <c r="L137" i="1"/>
  <c r="R137" i="1" s="1"/>
  <c r="I137" i="1"/>
  <c r="G137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L124" i="1"/>
  <c r="R124" i="1" s="1"/>
  <c r="L125" i="1"/>
  <c r="R125" i="1" s="1"/>
  <c r="L126" i="1"/>
  <c r="R126" i="1" s="1"/>
  <c r="L127" i="1"/>
  <c r="R127" i="1" s="1"/>
  <c r="L128" i="1"/>
  <c r="R128" i="1" s="1"/>
  <c r="L129" i="1"/>
  <c r="R129" i="1" s="1"/>
  <c r="L130" i="1"/>
  <c r="R130" i="1" s="1"/>
  <c r="L131" i="1"/>
  <c r="R131" i="1" s="1"/>
  <c r="L132" i="1"/>
  <c r="R132" i="1" s="1"/>
  <c r="L133" i="1"/>
  <c r="R133" i="1" s="1"/>
  <c r="L134" i="1"/>
  <c r="R134" i="1" s="1"/>
  <c r="L135" i="1"/>
  <c r="R135" i="1" s="1"/>
  <c r="L136" i="1"/>
  <c r="R136" i="1" s="1"/>
  <c r="L138" i="1"/>
  <c r="R138" i="1" s="1"/>
  <c r="L139" i="1"/>
  <c r="L140" i="1"/>
  <c r="R140" i="1" s="1"/>
  <c r="L141" i="1"/>
  <c r="R141" i="1" s="1"/>
  <c r="L142" i="1"/>
  <c r="R142" i="1" s="1"/>
  <c r="L143" i="1"/>
  <c r="R143" i="1" s="1"/>
  <c r="L144" i="1"/>
  <c r="L145" i="1"/>
  <c r="R145" i="1" s="1"/>
  <c r="L146" i="1"/>
  <c r="R146" i="1" s="1"/>
  <c r="L147" i="1"/>
  <c r="R147" i="1" s="1"/>
  <c r="L148" i="1"/>
  <c r="R148" i="1" s="1"/>
  <c r="L149" i="1"/>
  <c r="R149" i="1" s="1"/>
  <c r="L150" i="1"/>
  <c r="R150" i="1" s="1"/>
  <c r="L151" i="1"/>
  <c r="R151" i="1" s="1"/>
  <c r="L152" i="1"/>
  <c r="R152" i="1" s="1"/>
  <c r="L153" i="1"/>
  <c r="R153" i="1" s="1"/>
  <c r="L154" i="1"/>
  <c r="R154" i="1" s="1"/>
  <c r="L155" i="1"/>
  <c r="R155" i="1" s="1"/>
  <c r="L156" i="1"/>
  <c r="R156" i="1" s="1"/>
  <c r="L157" i="1"/>
  <c r="R157" i="1" s="1"/>
  <c r="L158" i="1"/>
  <c r="R158" i="1" s="1"/>
  <c r="L159" i="1"/>
  <c r="R159" i="1" s="1"/>
  <c r="I124" i="1"/>
  <c r="I126" i="1"/>
  <c r="I127" i="1"/>
  <c r="I128" i="1"/>
  <c r="I129" i="1"/>
  <c r="I130" i="1"/>
  <c r="I131" i="1"/>
  <c r="I132" i="1"/>
  <c r="I133" i="1"/>
  <c r="I134" i="1"/>
  <c r="I135" i="1"/>
  <c r="I136" i="1"/>
  <c r="I138" i="1"/>
  <c r="I140" i="1"/>
  <c r="I141" i="1"/>
  <c r="I142" i="1"/>
  <c r="I143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8" i="1"/>
  <c r="G140" i="1"/>
  <c r="G141" i="1"/>
  <c r="G142" i="1"/>
  <c r="G143" i="1"/>
  <c r="G145" i="1"/>
  <c r="G146" i="1"/>
  <c r="G147" i="1"/>
  <c r="G148" i="1"/>
  <c r="G149" i="1"/>
  <c r="G150" i="1"/>
  <c r="G151" i="1"/>
  <c r="G153" i="1"/>
  <c r="G154" i="1"/>
  <c r="G155" i="1"/>
  <c r="G156" i="1"/>
  <c r="G157" i="1"/>
  <c r="G158" i="1"/>
  <c r="G159" i="1"/>
  <c r="G160" i="1"/>
  <c r="G120" i="1"/>
  <c r="G121" i="1"/>
  <c r="G123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99" i="1"/>
  <c r="I100" i="1"/>
  <c r="I101" i="1"/>
  <c r="I102" i="1"/>
  <c r="I103" i="1"/>
  <c r="I104" i="1"/>
  <c r="I105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99" i="1"/>
  <c r="G100" i="1"/>
  <c r="L99" i="1"/>
  <c r="R99" i="1" s="1"/>
  <c r="L100" i="1"/>
  <c r="R100" i="1" s="1"/>
  <c r="L104" i="1"/>
  <c r="R104" i="1" s="1"/>
  <c r="L105" i="1"/>
  <c r="R105" i="1" s="1"/>
  <c r="L106" i="1"/>
  <c r="R106" i="1" s="1"/>
  <c r="L107" i="1"/>
  <c r="R107" i="1" s="1"/>
  <c r="L108" i="1"/>
  <c r="R108" i="1" s="1"/>
  <c r="L109" i="1"/>
  <c r="R109" i="1" s="1"/>
  <c r="L110" i="1"/>
  <c r="R110" i="1" s="1"/>
  <c r="L111" i="1"/>
  <c r="R111" i="1" s="1"/>
  <c r="L112" i="1"/>
  <c r="R112" i="1" s="1"/>
  <c r="L113" i="1"/>
  <c r="R113" i="1" s="1"/>
  <c r="L114" i="1"/>
  <c r="R114" i="1" s="1"/>
  <c r="L115" i="1"/>
  <c r="R115" i="1" s="1"/>
  <c r="L116" i="1"/>
  <c r="R116" i="1" s="1"/>
  <c r="L117" i="1"/>
  <c r="R117" i="1" s="1"/>
  <c r="L118" i="1"/>
  <c r="R118" i="1" s="1"/>
  <c r="L119" i="1"/>
  <c r="R119" i="1" s="1"/>
  <c r="L120" i="1"/>
  <c r="R120" i="1" s="1"/>
  <c r="L121" i="1"/>
  <c r="R121" i="1" s="1"/>
  <c r="L123" i="1"/>
  <c r="R123" i="1" s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3" i="1"/>
  <c r="Q104" i="1"/>
  <c r="Q105" i="1"/>
  <c r="Q106" i="1"/>
  <c r="Q107" i="1"/>
  <c r="Q99" i="1"/>
  <c r="Q100" i="1"/>
  <c r="G51" i="1"/>
  <c r="I51" i="1"/>
  <c r="L51" i="1"/>
  <c r="R51" i="1" s="1"/>
  <c r="Q51" i="1"/>
  <c r="Q30" i="1"/>
  <c r="L30" i="1"/>
  <c r="R30" i="1" s="1"/>
  <c r="I30" i="1"/>
  <c r="G30" i="1"/>
  <c r="I49" i="1"/>
  <c r="I50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6" i="1"/>
  <c r="I67" i="1"/>
  <c r="I68" i="1"/>
  <c r="I69" i="1"/>
  <c r="I70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7" i="1"/>
  <c r="I98" i="1"/>
  <c r="I8" i="1"/>
  <c r="I9" i="1"/>
  <c r="I10" i="1"/>
  <c r="I11" i="1"/>
  <c r="I12" i="1"/>
  <c r="I13" i="1"/>
  <c r="I14" i="1"/>
  <c r="I15" i="1"/>
  <c r="I17" i="1"/>
  <c r="I18" i="1"/>
  <c r="I19" i="1"/>
  <c r="I21" i="1"/>
  <c r="I22" i="1"/>
  <c r="I23" i="1"/>
  <c r="I24" i="1"/>
  <c r="I25" i="1"/>
  <c r="I26" i="1"/>
  <c r="I27" i="1"/>
  <c r="I28" i="1"/>
  <c r="I29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6" i="1"/>
  <c r="I7" i="1"/>
  <c r="G5" i="1"/>
  <c r="G7" i="1"/>
  <c r="G8" i="1"/>
  <c r="G9" i="1"/>
  <c r="G10" i="1"/>
  <c r="G11" i="1"/>
  <c r="G12" i="1"/>
  <c r="G13" i="1"/>
  <c r="G14" i="1"/>
  <c r="G15" i="1"/>
  <c r="G17" i="1"/>
  <c r="G18" i="1"/>
  <c r="G19" i="1"/>
  <c r="G21" i="1"/>
  <c r="G22" i="1"/>
  <c r="G23" i="1"/>
  <c r="G24" i="1"/>
  <c r="G25" i="1"/>
  <c r="G26" i="1"/>
  <c r="G27" i="1"/>
  <c r="G28" i="1"/>
  <c r="G29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6" i="1"/>
  <c r="G67" i="1"/>
  <c r="G68" i="1"/>
  <c r="G69" i="1"/>
  <c r="G70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7" i="1"/>
  <c r="G98" i="1"/>
  <c r="G6" i="1"/>
  <c r="T152" i="1" l="1"/>
  <c r="U152" i="1" s="1"/>
  <c r="S154" i="1"/>
  <c r="T154" i="1" s="1"/>
  <c r="U154" i="1" s="1"/>
  <c r="S146" i="1"/>
  <c r="T146" i="1" s="1"/>
  <c r="S138" i="1"/>
  <c r="T138" i="1" s="1"/>
  <c r="U138" i="1" s="1"/>
  <c r="S133" i="1"/>
  <c r="T133" i="1" s="1"/>
  <c r="U133" i="1" s="1"/>
  <c r="S129" i="1"/>
  <c r="T129" i="1" s="1"/>
  <c r="U129" i="1" s="1"/>
  <c r="S125" i="1"/>
  <c r="T125" i="1" s="1"/>
  <c r="U125" i="1" s="1"/>
  <c r="S104" i="1"/>
  <c r="T104" i="1" s="1"/>
  <c r="U104" i="1" s="1"/>
  <c r="S119" i="1"/>
  <c r="T119" i="1" s="1"/>
  <c r="U119" i="1" s="1"/>
  <c r="S115" i="1"/>
  <c r="T115" i="1" s="1"/>
  <c r="U115" i="1" s="1"/>
  <c r="S111" i="1"/>
  <c r="T111" i="1" s="1"/>
  <c r="U111" i="1" s="1"/>
  <c r="S107" i="1"/>
  <c r="T107" i="1" s="1"/>
  <c r="U107" i="1" s="1"/>
  <c r="S123" i="1"/>
  <c r="T123" i="1" s="1"/>
  <c r="U123" i="1" s="1"/>
  <c r="S118" i="1"/>
  <c r="T118" i="1" s="1"/>
  <c r="U118" i="1" s="1"/>
  <c r="S114" i="1"/>
  <c r="T114" i="1" s="1"/>
  <c r="U114" i="1" s="1"/>
  <c r="S110" i="1"/>
  <c r="T110" i="1" s="1"/>
  <c r="U110" i="1" s="1"/>
  <c r="S30" i="1"/>
  <c r="T30" i="1" s="1"/>
  <c r="U30" i="1" s="1"/>
  <c r="S106" i="1"/>
  <c r="T106" i="1" s="1"/>
  <c r="U106" i="1" s="1"/>
  <c r="S121" i="1"/>
  <c r="T121" i="1" s="1"/>
  <c r="U121" i="1" s="1"/>
  <c r="S113" i="1"/>
  <c r="T113" i="1" s="1"/>
  <c r="U113" i="1" s="1"/>
  <c r="S157" i="1"/>
  <c r="T157" i="1" s="1"/>
  <c r="U157" i="1" s="1"/>
  <c r="S153" i="1"/>
  <c r="T153" i="1" s="1"/>
  <c r="U153" i="1" s="1"/>
  <c r="S149" i="1"/>
  <c r="T149" i="1" s="1"/>
  <c r="S145" i="1"/>
  <c r="T145" i="1" s="1"/>
  <c r="U145" i="1" s="1"/>
  <c r="S141" i="1"/>
  <c r="T141" i="1" s="1"/>
  <c r="U141" i="1" s="1"/>
  <c r="S136" i="1"/>
  <c r="T136" i="1" s="1"/>
  <c r="U136" i="1" s="1"/>
  <c r="S132" i="1"/>
  <c r="T132" i="1" s="1"/>
  <c r="U132" i="1" s="1"/>
  <c r="S128" i="1"/>
  <c r="T128" i="1" s="1"/>
  <c r="U128" i="1" s="1"/>
  <c r="S124" i="1"/>
  <c r="T124" i="1" s="1"/>
  <c r="U124" i="1" s="1"/>
  <c r="S137" i="1"/>
  <c r="T137" i="1" s="1"/>
  <c r="U137" i="1" s="1"/>
  <c r="S99" i="1"/>
  <c r="T99" i="1" s="1"/>
  <c r="U99" i="1" s="1"/>
  <c r="S51" i="1"/>
  <c r="T51" i="1" s="1"/>
  <c r="U51" i="1" s="1"/>
  <c r="S100" i="1"/>
  <c r="T100" i="1" s="1"/>
  <c r="U100" i="1" s="1"/>
  <c r="S105" i="1"/>
  <c r="T105" i="1" s="1"/>
  <c r="U105" i="1" s="1"/>
  <c r="S120" i="1"/>
  <c r="T120" i="1" s="1"/>
  <c r="U120" i="1" s="1"/>
  <c r="S116" i="1"/>
  <c r="T116" i="1" s="1"/>
  <c r="U116" i="1" s="1"/>
  <c r="S112" i="1"/>
  <c r="T112" i="1" s="1"/>
  <c r="U112" i="1" s="1"/>
  <c r="S108" i="1"/>
  <c r="T108" i="1" s="1"/>
  <c r="U108" i="1" s="1"/>
  <c r="S156" i="1"/>
  <c r="T156" i="1" s="1"/>
  <c r="U156" i="1" s="1"/>
  <c r="S152" i="1"/>
  <c r="S148" i="1"/>
  <c r="T148" i="1" s="1"/>
  <c r="T144" i="1"/>
  <c r="U144" i="1" s="1"/>
  <c r="S140" i="1"/>
  <c r="T140" i="1" s="1"/>
  <c r="U140" i="1" s="1"/>
  <c r="S131" i="1"/>
  <c r="T131" i="1" s="1"/>
  <c r="U131" i="1" s="1"/>
  <c r="S155" i="1"/>
  <c r="T155" i="1" s="1"/>
  <c r="U155" i="1" s="1"/>
  <c r="S147" i="1"/>
  <c r="S143" i="1"/>
  <c r="T143" i="1" s="1"/>
  <c r="U143" i="1" s="1"/>
  <c r="T139" i="1"/>
  <c r="U139" i="1" s="1"/>
  <c r="S130" i="1"/>
  <c r="T130" i="1" s="1"/>
  <c r="U130" i="1" s="1"/>
  <c r="S159" i="1"/>
  <c r="T159" i="1" s="1"/>
  <c r="U159" i="1" s="1"/>
  <c r="S151" i="1"/>
  <c r="T151" i="1" s="1"/>
  <c r="U151" i="1" s="1"/>
  <c r="S122" i="1"/>
  <c r="T122" i="1" s="1"/>
  <c r="U122" i="1" s="1"/>
  <c r="S158" i="1"/>
  <c r="T158" i="1" s="1"/>
  <c r="U158" i="1" s="1"/>
  <c r="S150" i="1"/>
  <c r="S142" i="1"/>
  <c r="T142" i="1" s="1"/>
  <c r="U142" i="1" s="1"/>
  <c r="S134" i="1"/>
  <c r="T134" i="1" s="1"/>
  <c r="U134" i="1" s="1"/>
  <c r="S126" i="1"/>
  <c r="T126" i="1" s="1"/>
  <c r="U126" i="1" s="1"/>
  <c r="S117" i="1"/>
  <c r="T117" i="1" s="1"/>
  <c r="U117" i="1" s="1"/>
  <c r="S109" i="1"/>
  <c r="T109" i="1" s="1"/>
  <c r="U109" i="1" s="1"/>
  <c r="S135" i="1"/>
  <c r="T135" i="1" s="1"/>
  <c r="U135" i="1" s="1"/>
  <c r="S127" i="1"/>
  <c r="T127" i="1" s="1"/>
  <c r="U127" i="1" s="1"/>
  <c r="L5" i="1"/>
  <c r="Q5" i="1"/>
  <c r="T150" i="1" l="1"/>
  <c r="U150" i="1" s="1"/>
  <c r="U146" i="1"/>
  <c r="T147" i="1"/>
  <c r="U147" i="1" s="1"/>
  <c r="U148" i="1"/>
  <c r="U149" i="1"/>
  <c r="S5" i="1"/>
  <c r="T5" i="1" s="1"/>
  <c r="U5" i="1" s="1"/>
  <c r="R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101" i="1"/>
  <c r="Q102" i="1"/>
  <c r="Q103" i="1"/>
  <c r="L6" i="1"/>
  <c r="R6" i="1" s="1"/>
  <c r="L7" i="1"/>
  <c r="R7" i="1" s="1"/>
  <c r="L8" i="1"/>
  <c r="R8" i="1" s="1"/>
  <c r="L9" i="1"/>
  <c r="R9" i="1" s="1"/>
  <c r="L10" i="1"/>
  <c r="R10" i="1" s="1"/>
  <c r="L11" i="1"/>
  <c r="R11" i="1" s="1"/>
  <c r="L12" i="1"/>
  <c r="R12" i="1" s="1"/>
  <c r="L13" i="1"/>
  <c r="R13" i="1" s="1"/>
  <c r="L14" i="1"/>
  <c r="R14" i="1" s="1"/>
  <c r="L15" i="1"/>
  <c r="R15" i="1" s="1"/>
  <c r="L16" i="1"/>
  <c r="L17" i="1"/>
  <c r="R17" i="1" s="1"/>
  <c r="L18" i="1"/>
  <c r="R18" i="1" s="1"/>
  <c r="L19" i="1"/>
  <c r="R19" i="1" s="1"/>
  <c r="L20" i="1"/>
  <c r="L21" i="1"/>
  <c r="R21" i="1" s="1"/>
  <c r="L22" i="1"/>
  <c r="R22" i="1" s="1"/>
  <c r="L23" i="1"/>
  <c r="R23" i="1" s="1"/>
  <c r="L24" i="1"/>
  <c r="R24" i="1" s="1"/>
  <c r="L25" i="1"/>
  <c r="R25" i="1" s="1"/>
  <c r="L26" i="1"/>
  <c r="R26" i="1" s="1"/>
  <c r="L27" i="1"/>
  <c r="R27" i="1" s="1"/>
  <c r="L28" i="1"/>
  <c r="R28" i="1" s="1"/>
  <c r="L29" i="1"/>
  <c r="R29" i="1" s="1"/>
  <c r="L31" i="1"/>
  <c r="R31" i="1" s="1"/>
  <c r="L32" i="1"/>
  <c r="R32" i="1" s="1"/>
  <c r="L33" i="1"/>
  <c r="R33" i="1" s="1"/>
  <c r="L34" i="1"/>
  <c r="R34" i="1" s="1"/>
  <c r="L35" i="1"/>
  <c r="R35" i="1" s="1"/>
  <c r="L36" i="1"/>
  <c r="R36" i="1" s="1"/>
  <c r="L37" i="1"/>
  <c r="R37" i="1" s="1"/>
  <c r="L38" i="1"/>
  <c r="R38" i="1" s="1"/>
  <c r="L39" i="1"/>
  <c r="R39" i="1" s="1"/>
  <c r="L40" i="1"/>
  <c r="R40" i="1" s="1"/>
  <c r="L41" i="1"/>
  <c r="R41" i="1" s="1"/>
  <c r="L42" i="1"/>
  <c r="R42" i="1" s="1"/>
  <c r="L43" i="1"/>
  <c r="R43" i="1" s="1"/>
  <c r="L44" i="1"/>
  <c r="R44" i="1" s="1"/>
  <c r="L45" i="1"/>
  <c r="R45" i="1" s="1"/>
  <c r="L46" i="1"/>
  <c r="R46" i="1" s="1"/>
  <c r="L47" i="1"/>
  <c r="R47" i="1" s="1"/>
  <c r="L48" i="1"/>
  <c r="R48" i="1" s="1"/>
  <c r="L49" i="1"/>
  <c r="R49" i="1" s="1"/>
  <c r="L50" i="1"/>
  <c r="R50" i="1" s="1"/>
  <c r="L52" i="1"/>
  <c r="R52" i="1" s="1"/>
  <c r="L53" i="1"/>
  <c r="R53" i="1" s="1"/>
  <c r="L54" i="1"/>
  <c r="R54" i="1" s="1"/>
  <c r="L55" i="1"/>
  <c r="R55" i="1" s="1"/>
  <c r="L56" i="1"/>
  <c r="R56" i="1" s="1"/>
  <c r="L57" i="1"/>
  <c r="R57" i="1" s="1"/>
  <c r="L58" i="1"/>
  <c r="R58" i="1" s="1"/>
  <c r="L59" i="1"/>
  <c r="R59" i="1" s="1"/>
  <c r="L60" i="1"/>
  <c r="R60" i="1" s="1"/>
  <c r="L61" i="1"/>
  <c r="R61" i="1" s="1"/>
  <c r="L62" i="1"/>
  <c r="R62" i="1" s="1"/>
  <c r="L63" i="1"/>
  <c r="R63" i="1" s="1"/>
  <c r="L64" i="1"/>
  <c r="R64" i="1" s="1"/>
  <c r="L65" i="1"/>
  <c r="L66" i="1"/>
  <c r="R66" i="1" s="1"/>
  <c r="L67" i="1"/>
  <c r="R67" i="1" s="1"/>
  <c r="L68" i="1"/>
  <c r="R68" i="1" s="1"/>
  <c r="L69" i="1"/>
  <c r="R69" i="1" s="1"/>
  <c r="L70" i="1"/>
  <c r="R70" i="1" s="1"/>
  <c r="L71" i="1"/>
  <c r="L72" i="1"/>
  <c r="R72" i="1" s="1"/>
  <c r="L73" i="1"/>
  <c r="R73" i="1" s="1"/>
  <c r="L74" i="1"/>
  <c r="R74" i="1" s="1"/>
  <c r="L75" i="1"/>
  <c r="R75" i="1" s="1"/>
  <c r="L76" i="1"/>
  <c r="R76" i="1" s="1"/>
  <c r="L77" i="1"/>
  <c r="R77" i="1" s="1"/>
  <c r="L78" i="1"/>
  <c r="R78" i="1" s="1"/>
  <c r="L79" i="1"/>
  <c r="R79" i="1" s="1"/>
  <c r="L80" i="1"/>
  <c r="R80" i="1" s="1"/>
  <c r="L81" i="1"/>
  <c r="R81" i="1" s="1"/>
  <c r="L82" i="1"/>
  <c r="R82" i="1" s="1"/>
  <c r="L83" i="1"/>
  <c r="R83" i="1" s="1"/>
  <c r="L84" i="1"/>
  <c r="R84" i="1" s="1"/>
  <c r="L85" i="1"/>
  <c r="R85" i="1" s="1"/>
  <c r="L86" i="1"/>
  <c r="R86" i="1" s="1"/>
  <c r="L87" i="1"/>
  <c r="R87" i="1" s="1"/>
  <c r="L88" i="1"/>
  <c r="R88" i="1" s="1"/>
  <c r="L89" i="1"/>
  <c r="R89" i="1" s="1"/>
  <c r="L90" i="1"/>
  <c r="R90" i="1" s="1"/>
  <c r="L91" i="1"/>
  <c r="R91" i="1" s="1"/>
  <c r="L92" i="1"/>
  <c r="R92" i="1" s="1"/>
  <c r="L93" i="1"/>
  <c r="R93" i="1" s="1"/>
  <c r="L94" i="1"/>
  <c r="R94" i="1" s="1"/>
  <c r="L95" i="1"/>
  <c r="R95" i="1" s="1"/>
  <c r="L96" i="1"/>
  <c r="L97" i="1"/>
  <c r="R97" i="1" s="1"/>
  <c r="L98" i="1"/>
  <c r="R98" i="1" s="1"/>
  <c r="L101" i="1"/>
  <c r="R101" i="1" s="1"/>
  <c r="L102" i="1"/>
  <c r="R102" i="1" s="1"/>
  <c r="L103" i="1"/>
  <c r="R103" i="1" s="1"/>
  <c r="S55" i="1" l="1"/>
  <c r="T55" i="1" s="1"/>
  <c r="U55" i="1" s="1"/>
  <c r="S50" i="1"/>
  <c r="T50" i="1" s="1"/>
  <c r="U50" i="1" s="1"/>
  <c r="S46" i="1"/>
  <c r="T46" i="1" s="1"/>
  <c r="U46" i="1" s="1"/>
  <c r="S42" i="1"/>
  <c r="T42" i="1" s="1"/>
  <c r="U42" i="1" s="1"/>
  <c r="S38" i="1"/>
  <c r="T38" i="1" s="1"/>
  <c r="U38" i="1" s="1"/>
  <c r="S34" i="1"/>
  <c r="T34" i="1" s="1"/>
  <c r="U34" i="1" s="1"/>
  <c r="S29" i="1"/>
  <c r="T29" i="1" s="1"/>
  <c r="U29" i="1" s="1"/>
  <c r="S25" i="1"/>
  <c r="T25" i="1" s="1"/>
  <c r="U25" i="1" s="1"/>
  <c r="S21" i="1"/>
  <c r="T21" i="1" s="1"/>
  <c r="U21" i="1" s="1"/>
  <c r="S17" i="1"/>
  <c r="T17" i="1" s="1"/>
  <c r="U17" i="1" s="1"/>
  <c r="S13" i="1"/>
  <c r="T13" i="1" s="1"/>
  <c r="U13" i="1" s="1"/>
  <c r="S9" i="1"/>
  <c r="T9" i="1" s="1"/>
  <c r="U9" i="1" s="1"/>
  <c r="S58" i="1"/>
  <c r="T58" i="1" s="1"/>
  <c r="U58" i="1" s="1"/>
  <c r="S54" i="1"/>
  <c r="T54" i="1" s="1"/>
  <c r="U54" i="1" s="1"/>
  <c r="S49" i="1"/>
  <c r="T49" i="1" s="1"/>
  <c r="U49" i="1" s="1"/>
  <c r="S45" i="1"/>
  <c r="T45" i="1" s="1"/>
  <c r="U45" i="1" s="1"/>
  <c r="S41" i="1"/>
  <c r="T41" i="1" s="1"/>
  <c r="U41" i="1" s="1"/>
  <c r="S37" i="1"/>
  <c r="T37" i="1" s="1"/>
  <c r="U37" i="1" s="1"/>
  <c r="S33" i="1"/>
  <c r="T33" i="1" s="1"/>
  <c r="U33" i="1" s="1"/>
  <c r="S28" i="1"/>
  <c r="T28" i="1" s="1"/>
  <c r="U28" i="1" s="1"/>
  <c r="S24" i="1"/>
  <c r="T24" i="1" s="1"/>
  <c r="U24" i="1" s="1"/>
  <c r="U20" i="1"/>
  <c r="U16" i="1"/>
  <c r="S12" i="1"/>
  <c r="T12" i="1" s="1"/>
  <c r="U12" i="1" s="1"/>
  <c r="S8" i="1"/>
  <c r="T8" i="1" s="1"/>
  <c r="U8" i="1" s="1"/>
  <c r="S57" i="1"/>
  <c r="T57" i="1" s="1"/>
  <c r="U57" i="1" s="1"/>
  <c r="S53" i="1"/>
  <c r="T53" i="1" s="1"/>
  <c r="U53" i="1" s="1"/>
  <c r="S48" i="1"/>
  <c r="T48" i="1" s="1"/>
  <c r="U48" i="1" s="1"/>
  <c r="S44" i="1"/>
  <c r="T44" i="1" s="1"/>
  <c r="U44" i="1" s="1"/>
  <c r="S40" i="1"/>
  <c r="T40" i="1" s="1"/>
  <c r="U40" i="1" s="1"/>
  <c r="S36" i="1"/>
  <c r="T36" i="1" s="1"/>
  <c r="U36" i="1" s="1"/>
  <c r="S32" i="1"/>
  <c r="T32" i="1" s="1"/>
  <c r="U32" i="1" s="1"/>
  <c r="S27" i="1"/>
  <c r="T27" i="1" s="1"/>
  <c r="U27" i="1" s="1"/>
  <c r="S23" i="1"/>
  <c r="T23" i="1" s="1"/>
  <c r="U23" i="1" s="1"/>
  <c r="S19" i="1"/>
  <c r="T19" i="1" s="1"/>
  <c r="U19" i="1" s="1"/>
  <c r="S15" i="1"/>
  <c r="T15" i="1" s="1"/>
  <c r="U15" i="1" s="1"/>
  <c r="S11" i="1"/>
  <c r="T11" i="1" s="1"/>
  <c r="U11" i="1" s="1"/>
  <c r="S7" i="1"/>
  <c r="T7" i="1" s="1"/>
  <c r="U7" i="1" s="1"/>
  <c r="S56" i="1"/>
  <c r="T56" i="1" s="1"/>
  <c r="U56" i="1" s="1"/>
  <c r="S52" i="1"/>
  <c r="T52" i="1" s="1"/>
  <c r="U52" i="1" s="1"/>
  <c r="S47" i="1"/>
  <c r="T47" i="1" s="1"/>
  <c r="U47" i="1" s="1"/>
  <c r="S43" i="1"/>
  <c r="T43" i="1" s="1"/>
  <c r="U43" i="1" s="1"/>
  <c r="S39" i="1"/>
  <c r="T39" i="1" s="1"/>
  <c r="U39" i="1" s="1"/>
  <c r="S35" i="1"/>
  <c r="T35" i="1" s="1"/>
  <c r="U35" i="1" s="1"/>
  <c r="S31" i="1"/>
  <c r="T31" i="1" s="1"/>
  <c r="U31" i="1" s="1"/>
  <c r="S26" i="1"/>
  <c r="T26" i="1" s="1"/>
  <c r="U26" i="1" s="1"/>
  <c r="S22" i="1"/>
  <c r="T22" i="1" s="1"/>
  <c r="U22" i="1" s="1"/>
  <c r="S18" i="1"/>
  <c r="T18" i="1" s="1"/>
  <c r="U18" i="1" s="1"/>
  <c r="S14" i="1"/>
  <c r="T14" i="1" s="1"/>
  <c r="U14" i="1" s="1"/>
  <c r="S10" i="1"/>
  <c r="T10" i="1" s="1"/>
  <c r="U10" i="1" s="1"/>
  <c r="S6" i="1"/>
  <c r="T6" i="1" s="1"/>
  <c r="U6" i="1" s="1"/>
  <c r="S94" i="1"/>
  <c r="T94" i="1" s="1"/>
  <c r="U94" i="1" s="1"/>
  <c r="S70" i="1"/>
  <c r="T70" i="1" s="1"/>
  <c r="U70" i="1" s="1"/>
  <c r="S62" i="1"/>
  <c r="T62" i="1" s="1"/>
  <c r="U62" i="1" s="1"/>
  <c r="S103" i="1"/>
  <c r="T103" i="1" s="1"/>
  <c r="U103" i="1" s="1"/>
  <c r="S93" i="1"/>
  <c r="T93" i="1" s="1"/>
  <c r="U93" i="1" s="1"/>
  <c r="S85" i="1"/>
  <c r="T85" i="1" s="1"/>
  <c r="U85" i="1" s="1"/>
  <c r="S77" i="1"/>
  <c r="T77" i="1" s="1"/>
  <c r="U77" i="1" s="1"/>
  <c r="S69" i="1"/>
  <c r="T69" i="1" s="1"/>
  <c r="U69" i="1" s="1"/>
  <c r="S61" i="1"/>
  <c r="T61" i="1" s="1"/>
  <c r="U61" i="1" s="1"/>
  <c r="S95" i="1"/>
  <c r="T95" i="1" s="1"/>
  <c r="U95" i="1" s="1"/>
  <c r="S86" i="1"/>
  <c r="T86" i="1" s="1"/>
  <c r="U86" i="1" s="1"/>
  <c r="S102" i="1"/>
  <c r="T102" i="1" s="1"/>
  <c r="U102" i="1" s="1"/>
  <c r="S92" i="1"/>
  <c r="T92" i="1" s="1"/>
  <c r="U92" i="1" s="1"/>
  <c r="S84" i="1"/>
  <c r="T84" i="1" s="1"/>
  <c r="U84" i="1" s="1"/>
  <c r="S76" i="1"/>
  <c r="T76" i="1" s="1"/>
  <c r="U76" i="1" s="1"/>
  <c r="S68" i="1"/>
  <c r="T68" i="1" s="1"/>
  <c r="U68" i="1" s="1"/>
  <c r="S60" i="1"/>
  <c r="T60" i="1" s="1"/>
  <c r="U60" i="1" s="1"/>
  <c r="S101" i="1"/>
  <c r="T101" i="1" s="1"/>
  <c r="U101" i="1" s="1"/>
  <c r="S91" i="1"/>
  <c r="T91" i="1" s="1"/>
  <c r="U91" i="1" s="1"/>
  <c r="S75" i="1"/>
  <c r="T75" i="1" s="1"/>
  <c r="U75" i="1" s="1"/>
  <c r="S67" i="1"/>
  <c r="T67" i="1" s="1"/>
  <c r="U67" i="1" s="1"/>
  <c r="S59" i="1"/>
  <c r="T59" i="1" s="1"/>
  <c r="U59" i="1" s="1"/>
  <c r="S98" i="1"/>
  <c r="T98" i="1" s="1"/>
  <c r="U98" i="1" s="1"/>
  <c r="S90" i="1"/>
  <c r="T90" i="1" s="1"/>
  <c r="U90" i="1" s="1"/>
  <c r="S82" i="1"/>
  <c r="T82" i="1" s="1"/>
  <c r="U82" i="1" s="1"/>
  <c r="S74" i="1"/>
  <c r="T74" i="1" s="1"/>
  <c r="U74" i="1" s="1"/>
  <c r="S66" i="1"/>
  <c r="T66" i="1" s="1"/>
  <c r="U66" i="1" s="1"/>
  <c r="S87" i="1"/>
  <c r="T87" i="1" s="1"/>
  <c r="U87" i="1" s="1"/>
  <c r="S79" i="1"/>
  <c r="T79" i="1" s="1"/>
  <c r="U79" i="1" s="1"/>
  <c r="U71" i="1"/>
  <c r="S63" i="1"/>
  <c r="T63" i="1" s="1"/>
  <c r="U63" i="1" s="1"/>
  <c r="S78" i="1"/>
  <c r="T78" i="1" s="1"/>
  <c r="U78" i="1" s="1"/>
  <c r="S97" i="1"/>
  <c r="T97" i="1" s="1"/>
  <c r="U97" i="1" s="1"/>
  <c r="S89" i="1"/>
  <c r="T89" i="1" s="1"/>
  <c r="U89" i="1" s="1"/>
  <c r="S81" i="1"/>
  <c r="T81" i="1" s="1"/>
  <c r="U81" i="1" s="1"/>
  <c r="S73" i="1"/>
  <c r="T73" i="1" s="1"/>
  <c r="U73" i="1" s="1"/>
  <c r="U65" i="1"/>
  <c r="U96" i="1"/>
  <c r="S88" i="1"/>
  <c r="T88" i="1" s="1"/>
  <c r="U88" i="1" s="1"/>
  <c r="S80" i="1"/>
  <c r="T80" i="1" s="1"/>
  <c r="U80" i="1" s="1"/>
  <c r="S72" i="1"/>
  <c r="T72" i="1" s="1"/>
  <c r="U72" i="1" s="1"/>
  <c r="S64" i="1"/>
  <c r="T64" i="1" s="1"/>
  <c r="U64" i="1" s="1"/>
  <c r="S83" i="1"/>
  <c r="T83" i="1" s="1"/>
  <c r="U83" i="1" s="1"/>
  <c r="K8" i="7" l="1"/>
  <c r="K6" i="7"/>
  <c r="H56" i="7" l="1"/>
  <c r="C56" i="7"/>
  <c r="H53" i="7"/>
  <c r="E31" i="7" l="1"/>
  <c r="D2" i="7"/>
  <c r="B96" i="7"/>
  <c r="D94" i="7"/>
  <c r="D93" i="7"/>
  <c r="D92" i="7"/>
  <c r="D91" i="7"/>
  <c r="D90" i="7"/>
  <c r="D89" i="7"/>
  <c r="D88" i="7"/>
  <c r="D87" i="7"/>
  <c r="D86" i="7"/>
  <c r="D85" i="7"/>
  <c r="D84" i="7"/>
  <c r="D83" i="7"/>
  <c r="D96" i="7"/>
  <c r="E1" i="7"/>
  <c r="B76" i="7"/>
  <c r="D63" i="7"/>
  <c r="D64" i="7"/>
  <c r="D65" i="7"/>
  <c r="D66" i="7"/>
  <c r="D67" i="7"/>
  <c r="D68" i="7"/>
  <c r="D69" i="7"/>
  <c r="D70" i="7"/>
  <c r="D71" i="7"/>
  <c r="D72" i="7"/>
  <c r="D73" i="7"/>
  <c r="D74" i="7"/>
  <c r="D76" i="7"/>
  <c r="H59" i="7"/>
  <c r="H49" i="7"/>
  <c r="H50" i="7"/>
  <c r="H51" i="7"/>
  <c r="H52" i="7"/>
  <c r="H54" i="7"/>
  <c r="H55" i="7"/>
  <c r="H57" i="7"/>
  <c r="C49" i="7"/>
  <c r="C50" i="7"/>
  <c r="C51" i="7"/>
  <c r="C55" i="7"/>
  <c r="C57" i="7"/>
  <c r="D58" i="7"/>
  <c r="B58" i="7"/>
  <c r="C58" i="7"/>
  <c r="H58" i="7" l="1"/>
  <c r="H6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SUMMER</author>
  </authors>
  <commentList>
    <comment ref="X4" authorId="0" shapeId="0" xr:uid="{BE25B034-8803-42DC-AB6D-D41636869AA5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Desde medidados agosto se empiezan a diligenciar los datos de flete para llevar seguimiento</t>
        </r>
      </text>
    </comment>
    <comment ref="I5" authorId="1" shapeId="0" xr:uid="{99F51F67-289C-4D29-B7C6-50342A27FA81}">
      <text>
        <r>
          <rPr>
            <b/>
            <sz val="9"/>
            <color indexed="81"/>
            <rFont val="Tahoma"/>
            <family val="2"/>
          </rPr>
          <t>SUMMER: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<sst xmlns="http://schemas.openxmlformats.org/spreadsheetml/2006/main" count="2948" uniqueCount="1014">
  <si>
    <t>Mes</t>
  </si>
  <si>
    <t>No orden</t>
  </si>
  <si>
    <t>Concepto</t>
  </si>
  <si>
    <t>Cliente/Proveedor</t>
  </si>
  <si>
    <t>Codigo</t>
  </si>
  <si>
    <t>Descripcion del producto</t>
  </si>
  <si>
    <t>Cantidad</t>
  </si>
  <si>
    <t>Categoria</t>
  </si>
  <si>
    <t>Ciudad</t>
  </si>
  <si>
    <t>Lugar de entrega</t>
  </si>
  <si>
    <t>Status Despacho</t>
  </si>
  <si>
    <t>Transportadora</t>
  </si>
  <si>
    <t>No guia</t>
  </si>
  <si>
    <t>Fecha de despacho</t>
  </si>
  <si>
    <t>Fecha de Entrega</t>
  </si>
  <si>
    <t xml:space="preserve">Status entrega </t>
  </si>
  <si>
    <t>Tiempo de despacho de orden</t>
  </si>
  <si>
    <t>Tiempo de entrega de la orden</t>
  </si>
  <si>
    <t>Valor despacho</t>
  </si>
  <si>
    <t>Venta</t>
  </si>
  <si>
    <t>Bogotá y alrededores</t>
  </si>
  <si>
    <t>Bogota</t>
  </si>
  <si>
    <t>TECUTCC8C</t>
  </si>
  <si>
    <t>Antioquia</t>
  </si>
  <si>
    <t>Envigado</t>
  </si>
  <si>
    <t>TECUTCO5C</t>
  </si>
  <si>
    <t>Medellin</t>
  </si>
  <si>
    <t>TECUTCO8M</t>
  </si>
  <si>
    <t>TECUTLCCS</t>
  </si>
  <si>
    <t>TECUTCC5C</t>
  </si>
  <si>
    <t>TECUTLCOS</t>
  </si>
  <si>
    <t>TECUTCC5M</t>
  </si>
  <si>
    <t>TECUTCO8C</t>
  </si>
  <si>
    <t>Ibague</t>
  </si>
  <si>
    <t>Garantia</t>
  </si>
  <si>
    <t>TECUTB5C</t>
  </si>
  <si>
    <t>Caldas</t>
  </si>
  <si>
    <t>Villamaria</t>
  </si>
  <si>
    <t>Sabaneta</t>
  </si>
  <si>
    <t>Cartagena</t>
  </si>
  <si>
    <t>Cali</t>
  </si>
  <si>
    <t>Valle del Cauca</t>
  </si>
  <si>
    <t>Palmira</t>
  </si>
  <si>
    <t>TECUTB8C</t>
  </si>
  <si>
    <t>Barranquilla</t>
  </si>
  <si>
    <t>Bucaramanga</t>
  </si>
  <si>
    <t>TECUTLBS</t>
  </si>
  <si>
    <t>Itagui</t>
  </si>
  <si>
    <t>Superficie</t>
  </si>
  <si>
    <t>TECUBDPG</t>
  </si>
  <si>
    <t>TECUTB5M</t>
  </si>
  <si>
    <t>PRODUCTOS</t>
  </si>
  <si>
    <t>CODIGO</t>
  </si>
  <si>
    <t>PRODUCTO</t>
  </si>
  <si>
    <t>Standing Desk</t>
  </si>
  <si>
    <t>Electric Standing Desk | Escritorio Ajustable En L Frame Negro</t>
  </si>
  <si>
    <t>TECULFN2</t>
  </si>
  <si>
    <t>TECUTCC8M</t>
  </si>
  <si>
    <t>TECUTCO5M</t>
  </si>
  <si>
    <t>TECUTB8M</t>
  </si>
  <si>
    <t>TECUTLNS</t>
  </si>
  <si>
    <t>TECUAB</t>
  </si>
  <si>
    <t>Archivador TECU  Blanco (Niebla)</t>
  </si>
  <si>
    <t>Archivador</t>
  </si>
  <si>
    <t>TECUAN</t>
  </si>
  <si>
    <t>TECUACC</t>
  </si>
  <si>
    <t>Archivador TECU  Miel</t>
  </si>
  <si>
    <t>TECUACO</t>
  </si>
  <si>
    <t>Archivador TECU  Caramelo</t>
  </si>
  <si>
    <t>TECURB</t>
  </si>
  <si>
    <t>Repisa</t>
  </si>
  <si>
    <t>TECURN</t>
  </si>
  <si>
    <t>TECURCC</t>
  </si>
  <si>
    <t>TECURCO</t>
  </si>
  <si>
    <t>TECUTCCE</t>
  </si>
  <si>
    <t>Superficie orden especial Color: Miel</t>
  </si>
  <si>
    <t>TECUTNE</t>
  </si>
  <si>
    <t>Superficie orden especial Color: Wengue</t>
  </si>
  <si>
    <t>TECUTCOE</t>
  </si>
  <si>
    <t>Superficie orden especial Color: Caramelo</t>
  </si>
  <si>
    <t>TECUTBE</t>
  </si>
  <si>
    <t>Superficie orden especial Color: Niebla</t>
  </si>
  <si>
    <t>TECUBDPA</t>
  </si>
  <si>
    <t>Accesorio</t>
  </si>
  <si>
    <t>TECUBDPM</t>
  </si>
  <si>
    <t>TECUBLS</t>
  </si>
  <si>
    <t>TECUDSN</t>
  </si>
  <si>
    <t>Silla</t>
  </si>
  <si>
    <t>TECUDSG</t>
  </si>
  <si>
    <t>INDICADORES OPERACIÓN LOGISTICA TECU</t>
  </si>
  <si>
    <t>Entregado</t>
  </si>
  <si>
    <t>Promedio de Tiempo de despacho de orden</t>
  </si>
  <si>
    <t>INDICADORES VENTAS  TECU.CO</t>
  </si>
  <si>
    <t xml:space="preserve">1. RESUMEN  DE VENTAS </t>
  </si>
  <si>
    <t>Cuenta de No orden</t>
  </si>
  <si>
    <t>enero</t>
  </si>
  <si>
    <t>febrero</t>
  </si>
  <si>
    <t>dias Festivos</t>
  </si>
  <si>
    <t>Total</t>
  </si>
  <si>
    <t>Promedio mes</t>
  </si>
  <si>
    <t>Inventario actual</t>
  </si>
  <si>
    <t>Total general</t>
  </si>
  <si>
    <t>(Todas)</t>
  </si>
  <si>
    <t>Cumple</t>
  </si>
  <si>
    <t>No cumple</t>
  </si>
  <si>
    <t>TECUTCC2C</t>
  </si>
  <si>
    <t>TECUTCO2C</t>
  </si>
  <si>
    <t>TECUTB2C</t>
  </si>
  <si>
    <t>Stock minimo</t>
  </si>
  <si>
    <t>TECUTRN5C</t>
  </si>
  <si>
    <t>TECUTRN8C</t>
  </si>
  <si>
    <t>TECUTRN5M</t>
  </si>
  <si>
    <t>TECUTRN8M</t>
  </si>
  <si>
    <t>TECUTRN2C</t>
  </si>
  <si>
    <t>TECUTLRNS</t>
  </si>
  <si>
    <t>Suma de Cantidad</t>
  </si>
  <si>
    <t>Promedio de Tiempo de entrega de la orden</t>
  </si>
  <si>
    <t>Yumbo</t>
  </si>
  <si>
    <t>n+4</t>
  </si>
  <si>
    <t>Archivador TECU  Negro</t>
  </si>
  <si>
    <t>Chia</t>
  </si>
  <si>
    <t>Valores Fletes</t>
  </si>
  <si>
    <t>TECU2FNG</t>
  </si>
  <si>
    <t>Electric Standing Desk GO Negro</t>
  </si>
  <si>
    <t>TECU2FGGO</t>
  </si>
  <si>
    <t>Electric Standing Desk GO Gris</t>
  </si>
  <si>
    <t>TECU2FBGO</t>
  </si>
  <si>
    <t>Electric Standing Desk GO Blanco</t>
  </si>
  <si>
    <t>TECU3FNPRO</t>
  </si>
  <si>
    <t>Electric Standing Desk  PRO Negro</t>
  </si>
  <si>
    <t>TECU3FGPRO</t>
  </si>
  <si>
    <t>Electric Standing Desk  PRO Gris</t>
  </si>
  <si>
    <t>TECU3FBRO</t>
  </si>
  <si>
    <t>Electric Standing Desk  PRO Blanco</t>
  </si>
  <si>
    <t>TECUTCC3C</t>
  </si>
  <si>
    <t>TECUTCC4C</t>
  </si>
  <si>
    <t>TECUTCC6C</t>
  </si>
  <si>
    <t>TECUTCC7C</t>
  </si>
  <si>
    <t>TECUTCC9C</t>
  </si>
  <si>
    <t>TECUTCC20C</t>
  </si>
  <si>
    <t>TECUTCO3C</t>
  </si>
  <si>
    <t>TECUTCO4C</t>
  </si>
  <si>
    <t>TECUTCO6C</t>
  </si>
  <si>
    <t>TECUTCO7C</t>
  </si>
  <si>
    <t>TECUTCO9C</t>
  </si>
  <si>
    <t>TECUTCO20C</t>
  </si>
  <si>
    <t>TECUTB3C</t>
  </si>
  <si>
    <t>TECUTB4C</t>
  </si>
  <si>
    <t>TECUTB6C</t>
  </si>
  <si>
    <t>TECUTB7C</t>
  </si>
  <si>
    <t>TECUTB9C</t>
  </si>
  <si>
    <t>TECUTB20C</t>
  </si>
  <si>
    <t>TECUTRN3C</t>
  </si>
  <si>
    <t>TECUTRN4C</t>
  </si>
  <si>
    <t>TECUTRN6C</t>
  </si>
  <si>
    <t>TECUTRN7C</t>
  </si>
  <si>
    <t>TECUTRN9C</t>
  </si>
  <si>
    <t>TECUTRN20C</t>
  </si>
  <si>
    <t>Electric Standing Desk GO  Gris</t>
  </si>
  <si>
    <t>Electric Standing Desk PRO  Negro</t>
  </si>
  <si>
    <t>Electric Standing Desk PRO  Gris</t>
  </si>
  <si>
    <t>Electric Standing Desk PROBlanco</t>
  </si>
  <si>
    <t>TRM</t>
  </si>
  <si>
    <t>FI</t>
  </si>
  <si>
    <t>COSTO</t>
  </si>
  <si>
    <t>Costo</t>
  </si>
  <si>
    <t>Girardot</t>
  </si>
  <si>
    <t>Caramelo clasicas</t>
  </si>
  <si>
    <t>Miel clasicas</t>
  </si>
  <si>
    <t>Niebla Clasicas</t>
  </si>
  <si>
    <t>Negro Clasicas</t>
  </si>
  <si>
    <t>Caramelo modernas</t>
  </si>
  <si>
    <t>Miel modernas</t>
  </si>
  <si>
    <t>Niebla modernas</t>
  </si>
  <si>
    <t>Negro modernas</t>
  </si>
  <si>
    <t>Caramelo en L</t>
  </si>
  <si>
    <t>Miel en L</t>
  </si>
  <si>
    <t>Niebla en L</t>
  </si>
  <si>
    <t>Negro en L</t>
  </si>
  <si>
    <t>Costo total</t>
  </si>
  <si>
    <t>TECUTRN6M</t>
  </si>
  <si>
    <t>TECUTCC6M</t>
  </si>
  <si>
    <t>TECUTCO7M</t>
  </si>
  <si>
    <t>Bello</t>
  </si>
  <si>
    <t>Pasto</t>
  </si>
  <si>
    <t>Acacias</t>
  </si>
  <si>
    <t>Meta</t>
  </si>
  <si>
    <t>Atlantico</t>
  </si>
  <si>
    <t>Soledad</t>
  </si>
  <si>
    <t>Tunja</t>
  </si>
  <si>
    <t>Boyaca</t>
  </si>
  <si>
    <t>Popayan</t>
  </si>
  <si>
    <t>Santander</t>
  </si>
  <si>
    <t>El retiro</t>
  </si>
  <si>
    <t>Armenia</t>
  </si>
  <si>
    <t>Tulua</t>
  </si>
  <si>
    <t>Cajica</t>
  </si>
  <si>
    <t>La ceja</t>
  </si>
  <si>
    <t>Bojaca</t>
  </si>
  <si>
    <t>Zipaquira</t>
  </si>
  <si>
    <t>Choachi</t>
  </si>
  <si>
    <t>Risaralda</t>
  </si>
  <si>
    <t>Doquebradas</t>
  </si>
  <si>
    <t>Fusagasuga</t>
  </si>
  <si>
    <t>Manizales</t>
  </si>
  <si>
    <t>Magdalena</t>
  </si>
  <si>
    <t>Fundacion</t>
  </si>
  <si>
    <t>Rionegro</t>
  </si>
  <si>
    <t>Floridablanca</t>
  </si>
  <si>
    <t>Aguachica</t>
  </si>
  <si>
    <t>Mosquera</t>
  </si>
  <si>
    <t>Sogamoso</t>
  </si>
  <si>
    <t>Dosquebradas</t>
  </si>
  <si>
    <t>Guarne</t>
  </si>
  <si>
    <t>Quindio</t>
  </si>
  <si>
    <t>Carmen de Viboral</t>
  </si>
  <si>
    <t>La dorada</t>
  </si>
  <si>
    <t>Pereira</t>
  </si>
  <si>
    <t>Tocancipa</t>
  </si>
  <si>
    <t>Retiro</t>
  </si>
  <si>
    <t>Huila</t>
  </si>
  <si>
    <t>Neiva</t>
  </si>
  <si>
    <t>San Vicente</t>
  </si>
  <si>
    <t>Cota</t>
  </si>
  <si>
    <t>Calarca</t>
  </si>
  <si>
    <t>Facatativa</t>
  </si>
  <si>
    <t>Ciudad entrega</t>
  </si>
  <si>
    <t>Lugar entrega</t>
  </si>
  <si>
    <t>Tiempo entrega</t>
  </si>
  <si>
    <t>Cumple NNS</t>
  </si>
  <si>
    <t>2. TIEMPOS DE DESPACHO Y DE ENTREGAS POR CIUDAD</t>
  </si>
  <si>
    <t>1 a 3 días Ciudades principales
1 a 5 días Ciudades Secundarias</t>
  </si>
  <si>
    <t>Garantias</t>
  </si>
  <si>
    <t>NNS</t>
  </si>
  <si>
    <t>Indicador OTIF</t>
  </si>
  <si>
    <t>TECUCT</t>
  </si>
  <si>
    <t>Suma de Valor despacho</t>
  </si>
  <si>
    <t>Diferencia valor real vs Estimado</t>
  </si>
  <si>
    <t>Despachado</t>
  </si>
  <si>
    <t>Observaciones</t>
  </si>
  <si>
    <t>**Martes programar reunion expansion de planeamiento</t>
  </si>
  <si>
    <t>Tenjo</t>
  </si>
  <si>
    <t>Arauca</t>
  </si>
  <si>
    <t>marzo</t>
  </si>
  <si>
    <t>Cordoba</t>
  </si>
  <si>
    <t>Monteria</t>
  </si>
  <si>
    <t>RIFA</t>
  </si>
  <si>
    <t>TECUTB7M</t>
  </si>
  <si>
    <t>abril</t>
  </si>
  <si>
    <t>Desk Stool Negra</t>
  </si>
  <si>
    <t>Desk Stool Gris</t>
  </si>
  <si>
    <t>TECUTRN7M</t>
  </si>
  <si>
    <t>TECUTCO6M</t>
  </si>
  <si>
    <t>mayo</t>
  </si>
  <si>
    <t>TECULFG</t>
  </si>
  <si>
    <t>TECUTRM5C</t>
  </si>
  <si>
    <t>TECUTRM8C</t>
  </si>
  <si>
    <t>TECUTRC5C</t>
  </si>
  <si>
    <t>Superficie Roble Caramelo 150x70 Clasico</t>
  </si>
  <si>
    <t>TECUTRC8C</t>
  </si>
  <si>
    <t>Superficie Roble Caramelo 180x70 Clasico</t>
  </si>
  <si>
    <t>TECURRM</t>
  </si>
  <si>
    <t>Repisa Roble Miel</t>
  </si>
  <si>
    <t>TECURRC</t>
  </si>
  <si>
    <t>Repisa Roble Caramelo</t>
  </si>
  <si>
    <t>Préstamo</t>
  </si>
  <si>
    <t>Cortesia</t>
  </si>
  <si>
    <t>Bandeja de cables</t>
  </si>
  <si>
    <t>junio</t>
  </si>
  <si>
    <t>julio</t>
  </si>
  <si>
    <t>TECUROD</t>
  </si>
  <si>
    <t>Rodachines con freno para Standing desk x 4 UN</t>
  </si>
  <si>
    <t>agosto</t>
  </si>
  <si>
    <t>Ruedas</t>
  </si>
  <si>
    <t>TECUTCO3M</t>
  </si>
  <si>
    <t>#N/D</t>
  </si>
  <si>
    <t>Cambio</t>
  </si>
  <si>
    <t>septiembre</t>
  </si>
  <si>
    <t>TECU-BMUSB</t>
  </si>
  <si>
    <t>TECU-BMUSC</t>
  </si>
  <si>
    <t>TECU-BMUSM</t>
  </si>
  <si>
    <t>TECU-BMUSRN</t>
  </si>
  <si>
    <t>octubre</t>
  </si>
  <si>
    <t>noviembre</t>
  </si>
  <si>
    <t>Valores</t>
  </si>
  <si>
    <t>Politica Satisfaccion</t>
  </si>
  <si>
    <t>diciembre</t>
  </si>
  <si>
    <t>TECUTFE20C</t>
  </si>
  <si>
    <t>TECUTLFES</t>
  </si>
  <si>
    <t>TECUTFE2C</t>
  </si>
  <si>
    <t>TECUTFE3C</t>
  </si>
  <si>
    <t>TECUTFE4C</t>
  </si>
  <si>
    <t>TECUTFE5C</t>
  </si>
  <si>
    <t>TECUTFE6C</t>
  </si>
  <si>
    <t>TECUTFE7C</t>
  </si>
  <si>
    <t>TECUTFE8C</t>
  </si>
  <si>
    <t>TECURFE</t>
  </si>
  <si>
    <t>Repisa TECU Fresno Europeo</t>
  </si>
  <si>
    <t>TECUTFE6M</t>
  </si>
  <si>
    <t>TECUTFE7M</t>
  </si>
  <si>
    <t>TECUTFE8M</t>
  </si>
  <si>
    <t>TECUTBANPI</t>
  </si>
  <si>
    <t>Bandeja Piano</t>
  </si>
  <si>
    <t>TECUTBANTE</t>
  </si>
  <si>
    <t>Bandeja de teclado</t>
  </si>
  <si>
    <t>TECUTFE5M</t>
  </si>
  <si>
    <t>(en blanco)</t>
  </si>
  <si>
    <t>#¡VALOR!</t>
  </si>
  <si>
    <t>La estrella</t>
  </si>
  <si>
    <t>Instalacion</t>
  </si>
  <si>
    <t>TECUROD6</t>
  </si>
  <si>
    <t>Rodachines con freno para Standing desk x 6 UN</t>
  </si>
  <si>
    <t>Electric Standing Desk  En L Frame Negro 2.0</t>
  </si>
  <si>
    <t>Superficie Miel 150x70 Clasico</t>
  </si>
  <si>
    <t>Superficie Miel 180x70 Clasico</t>
  </si>
  <si>
    <t>Superficie Miel 150x70 Moderno</t>
  </si>
  <si>
    <t>Superficie Miel 180x70 Moderno</t>
  </si>
  <si>
    <t>Superficie Miel 120x70 Clasico Small</t>
  </si>
  <si>
    <t>Superficie Miel 130x70 Clasico</t>
  </si>
  <si>
    <t>Superficie  Miel 140x70 Clasico</t>
  </si>
  <si>
    <t>Superficie  Miel 160x70 Clasico</t>
  </si>
  <si>
    <t>Superficie  Miel 170x70 Clasico</t>
  </si>
  <si>
    <t>Superficie  Miel 190x70 Clasico</t>
  </si>
  <si>
    <t>Superficie  Miel 200x70 Clasico</t>
  </si>
  <si>
    <t>Superficie  Miel 160x70 Moderno</t>
  </si>
  <si>
    <t>Superficie  Caramelo 130x70 Moderno</t>
  </si>
  <si>
    <t>Superficie  Caramelo 180x70 Moderno</t>
  </si>
  <si>
    <t>Superficie  Caramelo 120x70 Clasico Small</t>
  </si>
  <si>
    <t>Superficie  Caramelo 160x70 Clasico</t>
  </si>
  <si>
    <t>Superficie  Caramelo 170x70 Clasico</t>
  </si>
  <si>
    <t>Superficie  Caramelo 190x70 Clasico</t>
  </si>
  <si>
    <t>Superficie  Caramelo 200x70 Clasico</t>
  </si>
  <si>
    <t>Superficie  Roble negro 150x70 Clasico</t>
  </si>
  <si>
    <t>Superficie  Roble Negro 180x70 Clasico</t>
  </si>
  <si>
    <t>Superficie  Roble Negro 150x70 Moderno</t>
  </si>
  <si>
    <t>Superficie  Roble Negro 180x70 Moderno</t>
  </si>
  <si>
    <t>Superficie  Roble Negro 120x70 Clasico Small</t>
  </si>
  <si>
    <t>Superficie  Roble Negro 130x70 Clasico</t>
  </si>
  <si>
    <t>Superficie  Roble Negro 140x70 Clasico</t>
  </si>
  <si>
    <t>Superficie  Roble Negro 160x70 Clasico</t>
  </si>
  <si>
    <t>Superficie  Roble Negro 170x70 Clasico</t>
  </si>
  <si>
    <t>Superficie  Roble Negro 190x70 Clasico</t>
  </si>
  <si>
    <t>Superficie  Roble Negro 200x70 Clasico</t>
  </si>
  <si>
    <t>Superficie  Caramelo 170x70 Moderno</t>
  </si>
  <si>
    <t>Superficie  Roble Negro 160x70 Moderno</t>
  </si>
  <si>
    <t>Superficie  Roble Negro 170x70 Moderno</t>
  </si>
  <si>
    <t>Superficie  Caramelo 160x70 Moderno</t>
  </si>
  <si>
    <t>Superficie  Caramelo 180x70 Clasico</t>
  </si>
  <si>
    <t>Superficie  Music Blanco</t>
  </si>
  <si>
    <t>Superficie  Music Caramelo</t>
  </si>
  <si>
    <t>Superficie  Music Miel</t>
  </si>
  <si>
    <t>Superficie  Music Roble Negro</t>
  </si>
  <si>
    <t>Superficie  Fresno Europeo 120x70 Clasico Small</t>
  </si>
  <si>
    <t>Superficie  Fresno Europeo 130x70 Clasico</t>
  </si>
  <si>
    <t>Superficie  Fresno Europeo 140x70 Clasico</t>
  </si>
  <si>
    <t>Superficie  Fresno Europeo 150x70 Clasico</t>
  </si>
  <si>
    <t>Superficie  Fresno Europeo 160x70 Clasico</t>
  </si>
  <si>
    <t>Superficie  Fresno Europeo 170x70 Clasico</t>
  </si>
  <si>
    <t>Superficie  Fresno Europeo 180x70 Clasico</t>
  </si>
  <si>
    <t>Superficie  Fresno Europeo 200x70 Clasico</t>
  </si>
  <si>
    <t>Superficie  Fresno Europeo 150x70 Moderno</t>
  </si>
  <si>
    <t>Superficie  Fresno Europeo 160x70 Moderno</t>
  </si>
  <si>
    <t>Superficie  Fresno Europeo 170x70 Moderno</t>
  </si>
  <si>
    <t>Superficie  Fresno Europeo 180x70 Moderno</t>
  </si>
  <si>
    <t>Repisa Niebla</t>
  </si>
  <si>
    <t>Repisa Negro</t>
  </si>
  <si>
    <t>Repisa Miel</t>
  </si>
  <si>
    <t>Repisa Caramelo</t>
  </si>
  <si>
    <t>Desk Pad B Negro Azul</t>
  </si>
  <si>
    <t>Desk Pad B Negro Gris</t>
  </si>
  <si>
    <t>Desk Pad B Negro Café Miel</t>
  </si>
  <si>
    <t>Laptop Stand B</t>
  </si>
  <si>
    <t>Desk Stool Negra Silla ajustable</t>
  </si>
  <si>
    <t>Desk Stool Gris Silla ajustable</t>
  </si>
  <si>
    <t>Electric Standing Desk En L Frame Gris</t>
  </si>
  <si>
    <t>Superficie Niebla 120x70 Clasico Small</t>
  </si>
  <si>
    <t>Superficie Niebla 130x70 Clasico</t>
  </si>
  <si>
    <t>Superficie Niebla 140x70 Clasico</t>
  </si>
  <si>
    <t>Superficie Niebla 160x70 Clasico</t>
  </si>
  <si>
    <t>Superficie Niebla 170x70 Clasico</t>
  </si>
  <si>
    <t>Superficie Niebla 170x70 Moderno</t>
  </si>
  <si>
    <t>Superficie Niebla 180x70 Moderno</t>
  </si>
  <si>
    <t>Superficie Niebla 190x70 Clasico</t>
  </si>
  <si>
    <t>Superficie Niebla 200x70 Clasico</t>
  </si>
  <si>
    <t>Superficie Niebla 150x70 Clasico</t>
  </si>
  <si>
    <t>Superficie Niebla 150x70 Moderno</t>
  </si>
  <si>
    <t>Superficie Niebla 180x70 Clasico</t>
  </si>
  <si>
    <t>Superficie Caramelo 140x70 Clasico</t>
  </si>
  <si>
    <t>Superficie Caramelo 130x70 Clasico</t>
  </si>
  <si>
    <t>Superficie Caramelo 150x70 Clasico</t>
  </si>
  <si>
    <t>Superficie Caramelo 150x70 Moderno</t>
  </si>
  <si>
    <t>TECUAFE</t>
  </si>
  <si>
    <t>Archivador TECU Fresno Europeo</t>
  </si>
  <si>
    <t>Marinilla</t>
  </si>
  <si>
    <t>Electric Standing Desk PRO  Negro circular</t>
  </si>
  <si>
    <t>Electric Standing Desk PROBlanco circular</t>
  </si>
  <si>
    <t>TECU3FBCRO</t>
  </si>
  <si>
    <t>Electric Standing Desk  PRO Blanco circular</t>
  </si>
  <si>
    <t>TECU3FNCRO</t>
  </si>
  <si>
    <t>Electric Standing Desk  PRO Negro circular</t>
  </si>
  <si>
    <t>Novedad</t>
  </si>
  <si>
    <t>Piedacuesta</t>
  </si>
  <si>
    <t>Soacha</t>
  </si>
  <si>
    <t>Funza</t>
  </si>
  <si>
    <t>TECUTRM8M</t>
  </si>
  <si>
    <t>TECUTCO2C-60</t>
  </si>
  <si>
    <t>Superficie Escritorio Caramelo 120x60 Clasico Small</t>
  </si>
  <si>
    <t>TECUTCO3C-60</t>
  </si>
  <si>
    <t>Superficie Escritorio Caramelo 130x60 Clasico</t>
  </si>
  <si>
    <t>TECUTCO4C-60</t>
  </si>
  <si>
    <t>Superficie Escritorio Caramelo 140x60 Clasico</t>
  </si>
  <si>
    <t>TECUTCO5C-60</t>
  </si>
  <si>
    <t>Superficie Escritorio Caramelo 150x60 Clasico</t>
  </si>
  <si>
    <t>TECUTCO6C-60</t>
  </si>
  <si>
    <t>Superficie Escritorio Caramelo 160x60 Clasico</t>
  </si>
  <si>
    <t>TECUTCO7C-60</t>
  </si>
  <si>
    <t>Superficie Escritorio Caramelo 170x60 Clasico</t>
  </si>
  <si>
    <t>TECUTCO8C-60</t>
  </si>
  <si>
    <t>Superficie Escritorio Caramelo 180x60 Clasico</t>
  </si>
  <si>
    <t>TECUTCO9C-60</t>
  </si>
  <si>
    <t>Superficie Escritorio Caramelo 190x60 Clasico</t>
  </si>
  <si>
    <t>TECUTCO20C-60</t>
  </si>
  <si>
    <t>Superficie Escritorio Caramelo 200x60 Clasico</t>
  </si>
  <si>
    <t>TECUTCO2C-80</t>
  </si>
  <si>
    <t>Superficie Escritorio Caramelo 120x80 Clasico Small</t>
  </si>
  <si>
    <t>TECUTCO3C-80</t>
  </si>
  <si>
    <t>Superficie Escritorio Caramelo 130x80 Clasico</t>
  </si>
  <si>
    <t>TECUTCO4C-80</t>
  </si>
  <si>
    <t>Superficie Escritorio Caramelo 140x80 Clasico</t>
  </si>
  <si>
    <t>TECUTCO5C-80</t>
  </si>
  <si>
    <t>Superficie Escritorio Caramelo 150x80 Clasico</t>
  </si>
  <si>
    <t>TECUTCO6C-80</t>
  </si>
  <si>
    <t>Superficie Escritorio Caramelo 160x80 Clasico</t>
  </si>
  <si>
    <t>TECUTCO7C-80</t>
  </si>
  <si>
    <t>Superficie Escritorio Caramelo 170x80 Clasico</t>
  </si>
  <si>
    <t>TECUTCO8C-80</t>
  </si>
  <si>
    <t>Superficie Escritorio Caramelo 180x80 Clasico</t>
  </si>
  <si>
    <t>TECUTCO9C-80</t>
  </si>
  <si>
    <t>Superficie Escritorio Caramelo 190x80 Clasico</t>
  </si>
  <si>
    <t>TECUTCO20C-80</t>
  </si>
  <si>
    <t>Superficie Escritorio Caramelo 200x80 Clasico</t>
  </si>
  <si>
    <t>TECUTFE2C-60</t>
  </si>
  <si>
    <t>Superficie Escritorio Fresno Europeo 120x60 Clasico Small</t>
  </si>
  <si>
    <t>TECUTFE3C-60</t>
  </si>
  <si>
    <t>Superficie Escritorio Fresno Europeo 130x60 Clasico</t>
  </si>
  <si>
    <t>TECUTFE4C-60</t>
  </si>
  <si>
    <t>Superficie Escritorio Fresno Europeo 140x60 Clasico</t>
  </si>
  <si>
    <t>TECUTFE5C-60</t>
  </si>
  <si>
    <t>Superficie Escritorio Fresno Europeo 150x60 Clasico</t>
  </si>
  <si>
    <t>TECUTFE6C-60</t>
  </si>
  <si>
    <t>Superficie Escritorio Fresno Europeo 160x60 Clasico</t>
  </si>
  <si>
    <t>TECUTFE7C-60</t>
  </si>
  <si>
    <t>Superficie Escritorio Fresno Europeo 170x60 Clasico</t>
  </si>
  <si>
    <t>TECUTFE8C-60</t>
  </si>
  <si>
    <t>Superficie Escritorio Fresno Europeo 180x60 Clasico</t>
  </si>
  <si>
    <t>TECUTFE20C-60</t>
  </si>
  <si>
    <t>Superficie Escritorio Fresno Europeo 200x60 Clasico</t>
  </si>
  <si>
    <t>TECUTFE2C-80</t>
  </si>
  <si>
    <t>Superficie Escritorio Fresno Europeo 120x80 Clasico Small</t>
  </si>
  <si>
    <t>TECUTFE3C-80</t>
  </si>
  <si>
    <t>Superficie Escritorio Fresno Europeo 130x80 Clasico</t>
  </si>
  <si>
    <t>TECUTFE4C-80</t>
  </si>
  <si>
    <t>Superficie Escritorio Fresno Europeo 140x80 Clasico</t>
  </si>
  <si>
    <t>TECUTFE5C-80</t>
  </si>
  <si>
    <t>Superficie Escritorio Fresno Europeo 150x80 Clasico</t>
  </si>
  <si>
    <t>TECUTFE6C-80</t>
  </si>
  <si>
    <t>Superficie Escritorio Fresno Europeo 160x80 Clasico</t>
  </si>
  <si>
    <t>TECUTFE7C-80</t>
  </si>
  <si>
    <t>Superficie Escritorio Fresno Europeo 170x80 Clasico</t>
  </si>
  <si>
    <t>TECUTFE8C-80</t>
  </si>
  <si>
    <t>Superficie Escritorio Fresno Europeo 180x80 Clasico</t>
  </si>
  <si>
    <t>TECUTFE20C-80</t>
  </si>
  <si>
    <t>Superficie Escritorio Fresno Europeo 200x80 Clasico</t>
  </si>
  <si>
    <t>TECUTRN2C-60</t>
  </si>
  <si>
    <t>Superficie Escritorio Roble Negro 120x60 Clasico Small</t>
  </si>
  <si>
    <t>TECUTRN3C-60</t>
  </si>
  <si>
    <t>Superficie Escritorio Roble Negro 130x60 Clasico</t>
  </si>
  <si>
    <t>TECUTRN4C-60</t>
  </si>
  <si>
    <t>Superficie Escritorio Roble Negro 140x60 Clasico</t>
  </si>
  <si>
    <t>TECUTRN5C-60</t>
  </si>
  <si>
    <t>Superficie Escritorio Roble Negro 150x60 Clasico</t>
  </si>
  <si>
    <t>TECUTRN6C-60</t>
  </si>
  <si>
    <t>Superficie Escritorio Roble Negro 160x60 Clasico</t>
  </si>
  <si>
    <t>TECUTRN7C-60</t>
  </si>
  <si>
    <t>Superficie Escritorio Roble Negro 170x60 Clasico</t>
  </si>
  <si>
    <t>TECUTRN9C-60</t>
  </si>
  <si>
    <t>Superficie Escritorio Roble Negro 190x60 Clasico</t>
  </si>
  <si>
    <t>TECUTRN20C-60</t>
  </si>
  <si>
    <t>Superficie Escritorio Roble Negro 200x60 Clasico</t>
  </si>
  <si>
    <t>TECUTRN2C-80</t>
  </si>
  <si>
    <t>Superficie Escritorio Roble Negro 120x80 Clasico Small</t>
  </si>
  <si>
    <t>TECUTRN3C-80</t>
  </si>
  <si>
    <t>Superficie Escritorio Roble Negro 130x80 Clasico</t>
  </si>
  <si>
    <t>TECUTRN4C-80</t>
  </si>
  <si>
    <t>Superficie Escritorio Roble Negro 140x80 Clasico</t>
  </si>
  <si>
    <t>TECUTRN5C-80</t>
  </si>
  <si>
    <t>Superficie Escritorio Roble Negro 150x80 Clasico</t>
  </si>
  <si>
    <t>TECUTRN6C-80</t>
  </si>
  <si>
    <t>Superficie Escritorio Roble Negro 160x80 Clasico</t>
  </si>
  <si>
    <t>TECUTRN7C-80</t>
  </si>
  <si>
    <t>Superficie Escritorio Roble Negro 170x80 Clasico</t>
  </si>
  <si>
    <t>TECUTRN9C-80</t>
  </si>
  <si>
    <t>Superficie Escritorio Roble Negro 190x80 Clasico</t>
  </si>
  <si>
    <t>TECUTRN20C-80</t>
  </si>
  <si>
    <t>Superficie Escritorio Roble Negro 200x80 Clasico</t>
  </si>
  <si>
    <t>TECUTB2C-60</t>
  </si>
  <si>
    <t>Superficie Escritorio Blanco (Niebla) 120x60 Clasico Small</t>
  </si>
  <si>
    <t>TECUTB3C-60</t>
  </si>
  <si>
    <t>Superficie Escritorio Blanco (Niebla) 130x60 Clasico</t>
  </si>
  <si>
    <t>TECUTB4C-60</t>
  </si>
  <si>
    <t>Superficie Escritorio Blanco (Niebla) 140x60 Clasico</t>
  </si>
  <si>
    <t>TECUTB5C-60</t>
  </si>
  <si>
    <t>Superficie Escritorio Blanco(Niebla) 150x60 Clasico</t>
  </si>
  <si>
    <t>TECUTB6C-60</t>
  </si>
  <si>
    <t>Superficie Escritorio Blanco (Niebla) 160x60 Clasico</t>
  </si>
  <si>
    <t>TECUTB7C-60</t>
  </si>
  <si>
    <t>Superficie Escritorio Blanco (Niebla) 170x60 Clasico</t>
  </si>
  <si>
    <t>TECUTB9C-60</t>
  </si>
  <si>
    <t>Superficie Escritorio Blanco (Niebla) 190x60 Clasico</t>
  </si>
  <si>
    <t>TECUTB20C-60</t>
  </si>
  <si>
    <t>Superficie Escritorio Blanco (Niebla) 200x60 Clasico</t>
  </si>
  <si>
    <t>TECUTB2C-80</t>
  </si>
  <si>
    <t>Superficie Escritorio Blanco (Niebla) 120x80 Clasico Small</t>
  </si>
  <si>
    <t>TECUTB3C-80</t>
  </si>
  <si>
    <t>Superficie Escritorio Blanco (Niebla) 130x80 Clasico</t>
  </si>
  <si>
    <t>TECUTB4C-80</t>
  </si>
  <si>
    <t>Superficie Escritorio Blanco (Niebla) 140x80 Clasico</t>
  </si>
  <si>
    <t>TECUTB5C-80</t>
  </si>
  <si>
    <t>Superficie Escritorio Blanco(Niebla) 150x80 Clasico</t>
  </si>
  <si>
    <t>TECUTB6C-80</t>
  </si>
  <si>
    <t>Superficie Escritorio Blanco (Niebla) 160x80 Clasico</t>
  </si>
  <si>
    <t>TECUTB7C-80</t>
  </si>
  <si>
    <t>Superficie Escritorio Blanco (Niebla) 170x80 Clasico</t>
  </si>
  <si>
    <t>TECUTB8C-80</t>
  </si>
  <si>
    <t>Superficie Escritorio Blanco (Niebla) 180x80 Clasico</t>
  </si>
  <si>
    <t>TECUTB9C-80</t>
  </si>
  <si>
    <t>Superficie Escritorio Blanco (Niebla) 190x80 Clasico</t>
  </si>
  <si>
    <t>TECUTB20C-80</t>
  </si>
  <si>
    <t>Superficie Escritorio Blanco (Niebla) 200x80 Clasico</t>
  </si>
  <si>
    <t>TECUFX-T64</t>
  </si>
  <si>
    <t>Escritorio FIjo Linea - T x 64,5 cm</t>
  </si>
  <si>
    <t>Escritorio Fijo</t>
  </si>
  <si>
    <t>TECUFX-T68</t>
  </si>
  <si>
    <t>Escritorio FIjo Linea - T x 68,5 cm</t>
  </si>
  <si>
    <t>TECUFX-T72</t>
  </si>
  <si>
    <t>Escritorio FIjo Linea - T x 72,5 cm</t>
  </si>
  <si>
    <t>TECUFX-T76</t>
  </si>
  <si>
    <t>Escritorio FIjo Linea - T x 76,5 cm</t>
  </si>
  <si>
    <t>TECU2CBC-65</t>
  </si>
  <si>
    <t>Cajonero 2.0 Bicolor Caramelo x65cm</t>
  </si>
  <si>
    <t>TECU2CBC-69</t>
  </si>
  <si>
    <t>Cajonero 2.0 Bicolor Caramelo x69cm</t>
  </si>
  <si>
    <t>TECU2CBC-73</t>
  </si>
  <si>
    <t>Cajonero 2.0 Bicolor Caramelo x73cm</t>
  </si>
  <si>
    <t>TECU2CBC-77</t>
  </si>
  <si>
    <t>Cajonero 2.0 Bicolor Caramelo x77cm</t>
  </si>
  <si>
    <t>TECU2CBF-65</t>
  </si>
  <si>
    <t>Cajonero 2.0 Bicolor Fresno Europeo x65cm</t>
  </si>
  <si>
    <t>TECU2CBF-69</t>
  </si>
  <si>
    <t>Cajonero 2.0 Bicolor Fresno Europeo x69cm</t>
  </si>
  <si>
    <t>TECU2CBF-73</t>
  </si>
  <si>
    <t>Cajonero 2.0 Bicolor Fresno Europeo x73cm</t>
  </si>
  <si>
    <t>TECU2CBF-77</t>
  </si>
  <si>
    <t>Cajonero 2.0 Bicolor Fresno Europeo x77cm</t>
  </si>
  <si>
    <t>TECU2CBRN-65</t>
  </si>
  <si>
    <t>Cajonero 2.0 Bicolor Roble Negro x65cm</t>
  </si>
  <si>
    <t>TECU2CBRN-69</t>
  </si>
  <si>
    <t>Cajonero 2.0 Bicolor Roble Negro x69cm</t>
  </si>
  <si>
    <t>TECU2CBRN-73</t>
  </si>
  <si>
    <t>Cajonero 2.0 Bicolor Roble Negro x73cm</t>
  </si>
  <si>
    <t>TECU2CBRN-77</t>
  </si>
  <si>
    <t>Cajonero 2.0 Bicolor Roble Negro x77cm</t>
  </si>
  <si>
    <t>TECU2CBN-65</t>
  </si>
  <si>
    <t>Cajonero 2.0 Bicolor Niebla x65cm</t>
  </si>
  <si>
    <t>TECU2CBN-69</t>
  </si>
  <si>
    <t>Cajonero 2.0 Bicolor Niebla x69cm</t>
  </si>
  <si>
    <t>TECU2CBN-73</t>
  </si>
  <si>
    <t>Cajonero 2.0 Bicolor Niebla x73cm</t>
  </si>
  <si>
    <t>TECU2CBN-77</t>
  </si>
  <si>
    <t>Cajonero 2.0 Bicolor Niebla x77cm</t>
  </si>
  <si>
    <t>TECU2CUC-65</t>
  </si>
  <si>
    <t>Cajonero 2.0 Unicolor Caramelo x65cm</t>
  </si>
  <si>
    <t>TECU2CUC-69</t>
  </si>
  <si>
    <t>Cajonero 2.0 Unicolor Caramelo x69cm</t>
  </si>
  <si>
    <t>TECU2CUC-73</t>
  </si>
  <si>
    <t>Cajonero 2.0 Unicolor Caramelo x73cm</t>
  </si>
  <si>
    <t>TECU2CUC-77</t>
  </si>
  <si>
    <t>Cajonero 2.0 Unicolor Caramelo x77cm</t>
  </si>
  <si>
    <t>TECU2CUF-65</t>
  </si>
  <si>
    <t>Cajonero 2.0 Unicolor Fresno Europeo x65cm</t>
  </si>
  <si>
    <t>TECU2CUF-69</t>
  </si>
  <si>
    <t>Cajonero 2.0 Unicolor Fresno Europeo x69cm</t>
  </si>
  <si>
    <t>TECU2CUF-73</t>
  </si>
  <si>
    <t>Cajonero 2.0 Unicolor Fresno Europeo x73cm</t>
  </si>
  <si>
    <t>TECU2CUF-77</t>
  </si>
  <si>
    <t>Cajonero 2.0 Unicolor Fresno Europeo x77cm</t>
  </si>
  <si>
    <t>TECU2CURN-65</t>
  </si>
  <si>
    <t>Cajonero 2.0 Unicolor Roble Negro x65cm</t>
  </si>
  <si>
    <t>TECU2CURN-69</t>
  </si>
  <si>
    <t>Cajonero 2.0 Unicolor Roble Negro x69cm</t>
  </si>
  <si>
    <t>TECU2CURN-73</t>
  </si>
  <si>
    <t>Cajonero 2.0 Unicolor Roble Negro x73cm</t>
  </si>
  <si>
    <t>TECU2CURN-77</t>
  </si>
  <si>
    <t>Cajonero 2.0 Unicolor Roble Negro x77cm</t>
  </si>
  <si>
    <t>TECU2CUN-65</t>
  </si>
  <si>
    <t>Cajonero 2.0 Unicolor Niebla x65cm</t>
  </si>
  <si>
    <t>TECU2CUN-69</t>
  </si>
  <si>
    <t>Cajonero 2.0 Unicolor Niebla x69cm</t>
  </si>
  <si>
    <t>TECU2CUN-73</t>
  </si>
  <si>
    <t>Cajonero 2.0 Unicolor Niebla x73cm</t>
  </si>
  <si>
    <t>TECU2CUN-77</t>
  </si>
  <si>
    <t>Cajonero 2.0 Unicolor Niebla x77cm</t>
  </si>
  <si>
    <t>TECUREB-110</t>
  </si>
  <si>
    <t>Repisa Escritorio Niebla x 110cm</t>
  </si>
  <si>
    <t>TECUREN-110</t>
  </si>
  <si>
    <t>Repisa Escritorio Negro x 110cm</t>
  </si>
  <si>
    <t>TECURECO-110</t>
  </si>
  <si>
    <t>Repisa Escritorio Caramelo x 110cm</t>
  </si>
  <si>
    <t>TECUREFE -110</t>
  </si>
  <si>
    <t>Repisa Escritorio Fresno Europeo x 110cm</t>
  </si>
  <si>
    <t>TECUREB-80</t>
  </si>
  <si>
    <t>Repisa Escritorio Niebla x 80cm</t>
  </si>
  <si>
    <t>TECUREN-80</t>
  </si>
  <si>
    <t>Repisa Escritorio Negro x 80cm</t>
  </si>
  <si>
    <t>TECURECO-80</t>
  </si>
  <si>
    <t>Repisa Escritorio Caramelo x 80cm</t>
  </si>
  <si>
    <t>TECUREFE -80</t>
  </si>
  <si>
    <t>Repisa Escritorio Fresno Europeo x 80cm</t>
  </si>
  <si>
    <t>TECUREB-47</t>
  </si>
  <si>
    <t>Repisa Escritorio Niebla x 47cm</t>
  </si>
  <si>
    <t>TECUREN-47</t>
  </si>
  <si>
    <t>Repisa Escritorio Negro x 47cm</t>
  </si>
  <si>
    <t>TECURECO-47</t>
  </si>
  <si>
    <t>Repisa Escritorio Caramelo x 47cm</t>
  </si>
  <si>
    <t>TECUREFE -47</t>
  </si>
  <si>
    <t>Repisa Escritorio Fresno Europeo x 47cm</t>
  </si>
  <si>
    <t>TECURFB-80</t>
  </si>
  <si>
    <t>Repisa Flotante Niebla x 80cm</t>
  </si>
  <si>
    <t>TECURFN-80</t>
  </si>
  <si>
    <t>Repisa Flotante Negro x 80cm</t>
  </si>
  <si>
    <t>TECURFCO-80</t>
  </si>
  <si>
    <t>Repisa Flotante Caramelo x 80cm</t>
  </si>
  <si>
    <t>TECURFFE -80</t>
  </si>
  <si>
    <t>Repisa Flotante Fresno Europeo x 80cm</t>
  </si>
  <si>
    <t>TECURFB-70</t>
  </si>
  <si>
    <t>Repisa Flotante Niebla x 70cm</t>
  </si>
  <si>
    <t>TECURFN-70</t>
  </si>
  <si>
    <t>Repisa Flotante Negro x 70cm</t>
  </si>
  <si>
    <t>TECURFCO-70</t>
  </si>
  <si>
    <t>Repisa Flotante Caramelo x 70cm</t>
  </si>
  <si>
    <t>TECURFFE -70</t>
  </si>
  <si>
    <t>Repisa Flotante Fresno Europeo x 70cm</t>
  </si>
  <si>
    <t>TECURFB-60</t>
  </si>
  <si>
    <t>Repisa Flotante Niebla x 60cm</t>
  </si>
  <si>
    <t>TECURFN-60</t>
  </si>
  <si>
    <t>Repisa Flotante Negro x 60cm</t>
  </si>
  <si>
    <t>TECURFCO-60</t>
  </si>
  <si>
    <t>Repisa Flotante Caramelo x 60cm</t>
  </si>
  <si>
    <t>TECURFFE -60</t>
  </si>
  <si>
    <t>Repisa Flotante Fresno Europeo x 60cm</t>
  </si>
  <si>
    <t>TECUTFE9C</t>
  </si>
  <si>
    <t>Superficie  Fresno Europeo 190x70 Clasico</t>
  </si>
  <si>
    <t>TECUTFE8M-80</t>
  </si>
  <si>
    <t>Superficie Escritorio Fresno Europeo 180x80 Moderno</t>
  </si>
  <si>
    <t>Superficie  en L Caramelo 180x150cm x 70</t>
  </si>
  <si>
    <t>Superficie  en L Miel Set 180x150cm x 70</t>
  </si>
  <si>
    <t>Superficie  en L Negro 180x150cm x 70</t>
  </si>
  <si>
    <t>Superficie  en L Niebla 180x150cm x 70</t>
  </si>
  <si>
    <t>Superficie en L Fresno 180x150cm x 70</t>
  </si>
  <si>
    <t>Superficie en L Roble Negro 180x150cm x 70</t>
  </si>
  <si>
    <t>Superficie  en L Caramelo  140x120cm x60</t>
  </si>
  <si>
    <t>Superficie  en L Roble Negro  140x120cm x60</t>
  </si>
  <si>
    <t>Superficie  en L Niebla 140x120cm x60</t>
  </si>
  <si>
    <t>Superficie  en L Fresno 140x120cm x60</t>
  </si>
  <si>
    <t>TECUTLC4x2-60</t>
  </si>
  <si>
    <t>TECUTLRN4x2-60</t>
  </si>
  <si>
    <t>TECUTLB4x2-60</t>
  </si>
  <si>
    <t>TECUTLFE4x2-60</t>
  </si>
  <si>
    <t>Superficie  en L Caramelo 150x150cm x60</t>
  </si>
  <si>
    <t>TECUTLC5x5-60</t>
  </si>
  <si>
    <t>TECUTLRN5x5-60</t>
  </si>
  <si>
    <t>Superficie  en L Roble Negro 150x150cm x60</t>
  </si>
  <si>
    <t>Superficie  en L Niebla 150x150cm x60</t>
  </si>
  <si>
    <t>Superficie  en L Fresno 150x150cm x60</t>
  </si>
  <si>
    <t>TECUTLB5x5-60</t>
  </si>
  <si>
    <t>TECUTLFE5x5-60</t>
  </si>
  <si>
    <t>Superficie  en L Caramelo 180x150cm x60</t>
  </si>
  <si>
    <t>Superficie  en L Roble Negro 180x150cm x60</t>
  </si>
  <si>
    <t>Superficie  en L Niebla 180x150cm x60</t>
  </si>
  <si>
    <t>Superficie  en L Fresno 180x150cm x60</t>
  </si>
  <si>
    <t>TECUTLC8x5-60</t>
  </si>
  <si>
    <t>TECUTLRN8x5-60</t>
  </si>
  <si>
    <t>TECUTLB8x5-60</t>
  </si>
  <si>
    <t>TECUTLFE8x5-60</t>
  </si>
  <si>
    <t>TECUTLCO5x70</t>
  </si>
  <si>
    <t>TECUTLN5x60</t>
  </si>
  <si>
    <t>Superficie Escritorio en L Negro 150x60</t>
  </si>
  <si>
    <t>TECUTLCO5x60</t>
  </si>
  <si>
    <t>Superficie Escritorio Caramelo en L 150x60</t>
  </si>
  <si>
    <t>TECUTLB5x60</t>
  </si>
  <si>
    <t>Superficie Escritorio Niebla en L 150x60</t>
  </si>
  <si>
    <t>TECUTLFE5X60</t>
  </si>
  <si>
    <t>Superficie Escritorio Fresno Europeo en L 150x60</t>
  </si>
  <si>
    <t>TECUTLN8x60</t>
  </si>
  <si>
    <t>Superficie Escritorio en L Negro 180x60</t>
  </si>
  <si>
    <t>TECUTLCO8x60</t>
  </si>
  <si>
    <t>Superficie Escritorio Caramelo en L 180x60</t>
  </si>
  <si>
    <t>TECUTLB8x60</t>
  </si>
  <si>
    <t>Superficie Escritorio Niebla en L 180x60</t>
  </si>
  <si>
    <t>TECUTLFE8X60</t>
  </si>
  <si>
    <t>Superficie Escritorio Fresno Europeo en L 180x60</t>
  </si>
  <si>
    <t>TECUTLN5x70</t>
  </si>
  <si>
    <t>Superficie Escritorio en L Negro 150x70</t>
  </si>
  <si>
    <t>Superficie Escritorio Caramelo en L 150x70</t>
  </si>
  <si>
    <t>TECUTLB5x70</t>
  </si>
  <si>
    <t>Superficie Escritorio Niebla en L 150x70</t>
  </si>
  <si>
    <t>TECUTLFE5X70</t>
  </si>
  <si>
    <t>Superficie Escritorio Fresno Europeo en L 150x70</t>
  </si>
  <si>
    <t>TECUFX-E64</t>
  </si>
  <si>
    <t>Escritorio FIjo Linea - E x 64,5 cm</t>
  </si>
  <si>
    <t>TECUFX-E68</t>
  </si>
  <si>
    <t>Escritorio FIjo Linea - E x 68,5 cm</t>
  </si>
  <si>
    <t>TECUFX-E72</t>
  </si>
  <si>
    <t>Escritorio FIjo Linea - E x 72,5 cm</t>
  </si>
  <si>
    <t>TECUFX-E76</t>
  </si>
  <si>
    <t>Escritorio FIjo Linea - E x 76,5 cm</t>
  </si>
  <si>
    <t>Total Archivador</t>
  </si>
  <si>
    <t xml:space="preserve">Enero </t>
  </si>
  <si>
    <t>Fill rate</t>
  </si>
  <si>
    <t>OTIF</t>
  </si>
  <si>
    <t>A tiempo</t>
  </si>
  <si>
    <t xml:space="preserve">Garantia </t>
  </si>
  <si>
    <t>1- TIEMPOS DE DESPACHO Y ENTREGA</t>
  </si>
  <si>
    <t>German Toro</t>
  </si>
  <si>
    <t>Tuluá</t>
  </si>
  <si>
    <t>Envía</t>
  </si>
  <si>
    <t>Lizeth lopez</t>
  </si>
  <si>
    <t>4000898-954101369742</t>
  </si>
  <si>
    <t>400089 -954101369783</t>
  </si>
  <si>
    <t>4000927-954101369750</t>
  </si>
  <si>
    <t>Andres Naranjo</t>
  </si>
  <si>
    <t>Cundinamarca</t>
  </si>
  <si>
    <t>Coordinadora</t>
  </si>
  <si>
    <t>3980164-84151477420</t>
  </si>
  <si>
    <t>Adriana Urrea</t>
  </si>
  <si>
    <t>Medellín</t>
  </si>
  <si>
    <t>3987477-84151480114</t>
  </si>
  <si>
    <t>3987474-84151480113</t>
  </si>
  <si>
    <t>Duvan Sarmiento</t>
  </si>
  <si>
    <t>Bogotá</t>
  </si>
  <si>
    <t>3987838-84151480227</t>
  </si>
  <si>
    <t>3987834-84151480226</t>
  </si>
  <si>
    <t>Andrés vasquez</t>
  </si>
  <si>
    <t>N/A</t>
  </si>
  <si>
    <t>3987727-954101366327</t>
  </si>
  <si>
    <t>3987490-84151480120</t>
  </si>
  <si>
    <t>Luis Felipe Valencia Alvarez</t>
  </si>
  <si>
    <t>Quindío</t>
  </si>
  <si>
    <t>Particular</t>
  </si>
  <si>
    <t>Luis Fernando Cruz Bermudez</t>
  </si>
  <si>
    <t>3990060-954101366844</t>
  </si>
  <si>
    <t>3989846-84151480984</t>
  </si>
  <si>
    <t>Moba Code SAS</t>
  </si>
  <si>
    <t>Tolima</t>
  </si>
  <si>
    <t>Ibagué</t>
  </si>
  <si>
    <t>3989863-84151480993</t>
  </si>
  <si>
    <t>3989874-84151480998</t>
  </si>
  <si>
    <t>3989884-84151481002</t>
  </si>
  <si>
    <t>3989900-84151481009</t>
  </si>
  <si>
    <t>3990171-954101366854</t>
  </si>
  <si>
    <t>Jessner Mejía</t>
  </si>
  <si>
    <t>Cauca</t>
  </si>
  <si>
    <t>Popayán</t>
  </si>
  <si>
    <t>3989921-84151481020</t>
  </si>
  <si>
    <t>3989918-84151481019</t>
  </si>
  <si>
    <t>Nicolas Simmonds</t>
  </si>
  <si>
    <t>4026700-954101377299</t>
  </si>
  <si>
    <t>Alison Ruiz</t>
  </si>
  <si>
    <t>4003463-84151486019</t>
  </si>
  <si>
    <t>4003461-84151486011</t>
  </si>
  <si>
    <t>Jonathan Enrique Pacheco Jimenez</t>
  </si>
  <si>
    <t>Bolívar</t>
  </si>
  <si>
    <t>4003635-84151486070</t>
  </si>
  <si>
    <t>Adriana Chavarro</t>
  </si>
  <si>
    <t>4006959-954101371581</t>
  </si>
  <si>
    <t>4006929-84151487326</t>
  </si>
  <si>
    <t>4010031-954101372531</t>
  </si>
  <si>
    <t>4009949-84151488583</t>
  </si>
  <si>
    <t>4034508-954101379327</t>
  </si>
  <si>
    <t>Nicolas Patiño Cañas</t>
  </si>
  <si>
    <t>4029581-84151495795</t>
  </si>
  <si>
    <t>4029587-954101377984</t>
  </si>
  <si>
    <t>Juan Mayorga</t>
  </si>
  <si>
    <t>El Retiro</t>
  </si>
  <si>
    <t>4034782-84151497441</t>
  </si>
  <si>
    <t>4034783-954101379381</t>
  </si>
  <si>
    <t>4035535-84151497669</t>
  </si>
  <si>
    <t>Manuel Dover</t>
  </si>
  <si>
    <t>4019717-954101375226</t>
  </si>
  <si>
    <t>4020156-84151492428</t>
  </si>
  <si>
    <t>Se hicieron 2 intentos de entrega, se generó novedad, se realizó pago adicional.</t>
  </si>
  <si>
    <t>Camilo Ramírez</t>
  </si>
  <si>
    <t>4023156-84151493557</t>
  </si>
  <si>
    <t>4023155-84151493556</t>
  </si>
  <si>
    <t>Superficie Roble Miel 180x75 Clasico</t>
  </si>
  <si>
    <t>Superficie Roble Miel 150x75 Clasico</t>
  </si>
  <si>
    <t>Superficie Roble Miel 180x75 Moderno</t>
  </si>
  <si>
    <t>|</t>
  </si>
  <si>
    <t>4010063-84151488641</t>
  </si>
  <si>
    <t>Se realizó envío nueva superficie, porque se hicieron las tuercas de inserto en espacios diferente y no se podía atornillar la bandeja.</t>
  </si>
  <si>
    <t>Oscar Yonda</t>
  </si>
  <si>
    <t>4039854-954101380568</t>
  </si>
  <si>
    <t>4040567-84151499561</t>
  </si>
  <si>
    <t>Deiner Y. Muñoz D.</t>
  </si>
  <si>
    <t>4036376-84151498030</t>
  </si>
  <si>
    <t>4036552-84151498114</t>
  </si>
  <si>
    <t>4036553-84151498115</t>
  </si>
  <si>
    <t>EFRALU SAS / DANIEL GARCIA</t>
  </si>
  <si>
    <t>4026563-84151494908</t>
  </si>
  <si>
    <t>Álvaro Ramírez Cardona</t>
  </si>
  <si>
    <t>Copacabana</t>
  </si>
  <si>
    <t>4040057-84151499341</t>
  </si>
  <si>
    <t>Cliente se demoró en recoger el envío en punto Droop de Coordinadora en Copacabana.</t>
  </si>
  <si>
    <t>Esteban Davila Arias</t>
  </si>
  <si>
    <t>Servicio Instalación</t>
  </si>
  <si>
    <t>Instalación</t>
  </si>
  <si>
    <t xml:space="preserve"> Servicio Instalación</t>
  </si>
  <si>
    <t>Lucelly Ramos</t>
  </si>
  <si>
    <t>4047906-84151502132</t>
  </si>
  <si>
    <t>4047905-84151502131</t>
  </si>
  <si>
    <t>4048555-84151502331</t>
  </si>
  <si>
    <t>Juan Sebastian Marulanda Sanchez</t>
  </si>
  <si>
    <t>4046556-84151501714</t>
  </si>
  <si>
    <t>DIEGO ALEJANDRO DOTOR CARO</t>
  </si>
  <si>
    <t>4048927-954101383179</t>
  </si>
  <si>
    <t>4048570-84151502337</t>
  </si>
  <si>
    <t>4048584-84151502343</t>
  </si>
  <si>
    <t>4055850-84151504787</t>
  </si>
  <si>
    <t>Luis Trigueros</t>
  </si>
  <si>
    <t>Jamundí</t>
  </si>
  <si>
    <t>4055134-84151504450</t>
  </si>
  <si>
    <t>4055133-84151504449</t>
  </si>
  <si>
    <t>4055158-84151504463</t>
  </si>
  <si>
    <t>Cristian Fernando Varela Fitzgerald</t>
  </si>
  <si>
    <t>Julio Cesar Calderón</t>
  </si>
  <si>
    <t>4059885-954101385842</t>
  </si>
  <si>
    <t>4059912-84151506167</t>
  </si>
  <si>
    <t>4059942-84151506184</t>
  </si>
  <si>
    <t>Julian David Gomez Perilla</t>
  </si>
  <si>
    <t>4059930-954101385844</t>
  </si>
  <si>
    <t>4059984-84151506204</t>
  </si>
  <si>
    <t>Javier Villa</t>
  </si>
  <si>
    <t>4059994-84151506206</t>
  </si>
  <si>
    <t>Harold Muñoz</t>
  </si>
  <si>
    <t>4070707-84151509913</t>
  </si>
  <si>
    <t>Laura Del Sol Garcia Ruiz</t>
  </si>
  <si>
    <t>Brayan Camilo Clavijo Gomez</t>
  </si>
  <si>
    <t>TECUTRN8C-80</t>
  </si>
  <si>
    <t>Superficie Escritorio Roble Negro 180x60 Clasico</t>
  </si>
  <si>
    <t>Superficie Escritorio Roble Negro 180x80 Clasico</t>
  </si>
  <si>
    <t>Villavicencio</t>
  </si>
  <si>
    <t>4080860-954101391564</t>
  </si>
  <si>
    <t>4080266-84151513163</t>
  </si>
  <si>
    <t>Ricardo Alfonso Escobar Rojas</t>
  </si>
  <si>
    <t>4084066-84151514430</t>
  </si>
  <si>
    <t>4084065-84151514429</t>
  </si>
  <si>
    <t>Luis Camacho</t>
  </si>
  <si>
    <t>4084092-84151514438</t>
  </si>
  <si>
    <t>4084091-84151514437</t>
  </si>
  <si>
    <t>Andres Sampedro</t>
  </si>
  <si>
    <t>4085232-84151514843</t>
  </si>
  <si>
    <t>Carlos Andres Carrero Saldarriaga</t>
  </si>
  <si>
    <t>4087332-954101393148</t>
  </si>
  <si>
    <t>4087324-84151515548</t>
  </si>
  <si>
    <t>Camilo Fernandez</t>
  </si>
  <si>
    <t>4090685-954101394045</t>
  </si>
  <si>
    <t>Jonathan Montes</t>
  </si>
  <si>
    <t>4088436-84151515959</t>
  </si>
  <si>
    <t>Daniel Restrepo</t>
  </si>
  <si>
    <t>4096674-84151518709</t>
  </si>
  <si>
    <t>4096670-84151518706</t>
  </si>
  <si>
    <t>SQDM SAS / NELSON MOLINA</t>
  </si>
  <si>
    <t>4122482-954101401758</t>
  </si>
  <si>
    <t>4122315-84151527663</t>
  </si>
  <si>
    <t>4122321-84151527667</t>
  </si>
  <si>
    <t>Libana Abdul</t>
  </si>
  <si>
    <t>4096805-84151518758</t>
  </si>
  <si>
    <t>4096804-84151518757</t>
  </si>
  <si>
    <t>Angela Viveros</t>
  </si>
  <si>
    <t>4100735-84151520443</t>
  </si>
  <si>
    <t>4100734-84151520442</t>
  </si>
  <si>
    <t>Nicolás cruz</t>
  </si>
  <si>
    <t>4104633-84151521748</t>
  </si>
  <si>
    <t>Josh Root</t>
  </si>
  <si>
    <t>4130184-954101403536</t>
  </si>
  <si>
    <t>4130085-84151530373</t>
  </si>
  <si>
    <t>4130103-84151530386</t>
  </si>
  <si>
    <t>Rafael perdomo</t>
  </si>
  <si>
    <t>4109618-84151523303</t>
  </si>
  <si>
    <t>4109617-84151523302</t>
  </si>
  <si>
    <t>Hillan Acevedo</t>
  </si>
  <si>
    <t>4112205-954101399188</t>
  </si>
  <si>
    <t>4112099-84151524074</t>
  </si>
  <si>
    <t>Camila Andrea Estupiñan Guevara</t>
  </si>
  <si>
    <t>4112177-84151524091</t>
  </si>
  <si>
    <t>PHAROS SOLUTIONS SAS / Esteban Villafrades</t>
  </si>
  <si>
    <t>4119028-84151526316</t>
  </si>
  <si>
    <t>4119026-84151526314</t>
  </si>
  <si>
    <t>Camilo Robayo</t>
  </si>
  <si>
    <t>4122344-84151527683</t>
  </si>
  <si>
    <t>Adriana Alfonso</t>
  </si>
  <si>
    <t>Andres Felipe Carreño Salgar</t>
  </si>
  <si>
    <t>4122717-84151527816</t>
  </si>
  <si>
    <t>Alejandro Moreno</t>
  </si>
  <si>
    <t>4126159-84151528888</t>
  </si>
  <si>
    <t>4126157-84151528887</t>
  </si>
  <si>
    <t>Lizeth Ortiz Pulido</t>
  </si>
  <si>
    <t>4126174-84151528897</t>
  </si>
  <si>
    <t>4126173-84151528896</t>
  </si>
  <si>
    <t>Rafael David Daza Romero</t>
  </si>
  <si>
    <t>Cesar</t>
  </si>
  <si>
    <t>Valledupar</t>
  </si>
  <si>
    <t>4130202-84151530432</t>
  </si>
  <si>
    <t>4130200-84151530431</t>
  </si>
  <si>
    <t>Diego Gómez</t>
  </si>
  <si>
    <t>Chía</t>
  </si>
  <si>
    <t>4139928-84151533550</t>
  </si>
  <si>
    <t>4139945-84151533556</t>
  </si>
  <si>
    <t>Uriel  Martínez</t>
  </si>
  <si>
    <t>4140715-954101405897</t>
  </si>
  <si>
    <t>4140295-84151533734</t>
  </si>
  <si>
    <t>4149321-954101407838</t>
  </si>
  <si>
    <t>4140336-84151533748</t>
  </si>
  <si>
    <t>4140322-84151533743</t>
  </si>
  <si>
    <t>María Jose Prieto Giorgi</t>
  </si>
  <si>
    <t>4140778-84151533920</t>
  </si>
  <si>
    <t>4140777-84151533919</t>
  </si>
  <si>
    <t>Oscar zapata</t>
  </si>
  <si>
    <t>Oscar Zapata</t>
  </si>
  <si>
    <t>4145599-84151535772</t>
  </si>
  <si>
    <t>4145598-84151535771</t>
  </si>
  <si>
    <t>MODULARIS COLOMBIA SAS / LUIS ENRIQUEZ</t>
  </si>
  <si>
    <t>Adriana alfonso</t>
  </si>
  <si>
    <t>Desvío  NNS (Hábil)</t>
  </si>
  <si>
    <t>Santiago De Los Rios</t>
  </si>
  <si>
    <t>Miguel González Duque</t>
  </si>
  <si>
    <t>Manizalez</t>
  </si>
  <si>
    <t>Stefan Krautwald</t>
  </si>
  <si>
    <t>Bibliotecas</t>
  </si>
  <si>
    <t>Fijo</t>
  </si>
  <si>
    <t>Causal de Incumplimiento</t>
  </si>
  <si>
    <t>Demora en proceso de pintura</t>
  </si>
  <si>
    <t>Producción</t>
  </si>
  <si>
    <t>Dias entrega</t>
  </si>
  <si>
    <t>Fecha Venta</t>
  </si>
  <si>
    <t>Reponsable Incumplimiento</t>
  </si>
  <si>
    <t>Disponibilidad materia prima</t>
  </si>
  <si>
    <t>4167830-954101412443</t>
  </si>
  <si>
    <t>4167708-954101412431</t>
  </si>
  <si>
    <t>4167867-84151543976</t>
  </si>
  <si>
    <t>Transporte</t>
  </si>
  <si>
    <t>Tiempo de producción</t>
  </si>
  <si>
    <t>Mónica estuvo enferma y se hizo la presentación de los nuevos Productos.</t>
  </si>
  <si>
    <t>Cliente</t>
  </si>
  <si>
    <t>Demora en proceso de producción</t>
  </si>
  <si>
    <t>Se debía pintar la bandeja de la repisa</t>
  </si>
  <si>
    <t>Producción - Transporte</t>
  </si>
  <si>
    <t>Demora en proceso de producción- Novedad en el reparto</t>
  </si>
  <si>
    <t>Faltaban tornillos</t>
  </si>
  <si>
    <t>No habían bandejas de la repisa</t>
  </si>
  <si>
    <t>Etiquetas de fila</t>
  </si>
  <si>
    <t>Etiquetas de columna</t>
  </si>
  <si>
    <t>Ausencia del cliente</t>
  </si>
  <si>
    <t>Demora en entrega</t>
  </si>
  <si>
    <t>Causales de incumplimiento</t>
  </si>
  <si>
    <t>**Variacion porcentual</t>
  </si>
  <si>
    <t>Instalaciones</t>
  </si>
  <si>
    <t>Diciembre</t>
  </si>
  <si>
    <t>Enero</t>
  </si>
  <si>
    <t>Febrero</t>
  </si>
  <si>
    <t>Marzo</t>
  </si>
  <si>
    <t>Abril</t>
  </si>
  <si>
    <t>Mayo</t>
  </si>
  <si>
    <t>Ventas por Lugar de entrega</t>
  </si>
  <si>
    <t xml:space="preserve">Ventas por Ciudad </t>
  </si>
  <si>
    <t>Qty Ventas</t>
  </si>
  <si>
    <t>TIEMPO DESPACHO</t>
  </si>
  <si>
    <t>TIEMPO DE ENTREGA</t>
  </si>
  <si>
    <t>4171141-954101413260</t>
  </si>
  <si>
    <t>4171087- 84151545194</t>
  </si>
  <si>
    <t>4171143 - 84151545219</t>
  </si>
  <si>
    <t>4171142 - 84151545217</t>
  </si>
  <si>
    <t>4171160 - 84151545225</t>
  </si>
  <si>
    <t>4171159 - 84151545224</t>
  </si>
  <si>
    <t>4209380 - 954101422499</t>
  </si>
  <si>
    <t>Biblioteca Clásica Blanco (Niebla)</t>
  </si>
  <si>
    <t>Maria Jose Salas Salas</t>
  </si>
  <si>
    <t>4171190 - 84151545235</t>
  </si>
  <si>
    <t>4171189 - 84151545234</t>
  </si>
  <si>
    <t>Álvaro Flórez</t>
  </si>
  <si>
    <t>4171200 - 84151545240</t>
  </si>
  <si>
    <t>Orion Corporation SAS - Julian Rodriguez</t>
  </si>
  <si>
    <t>TECUTFE7M-80</t>
  </si>
  <si>
    <t>Superficie Escritorio Fresno Europeo 170x80 Moderno</t>
  </si>
  <si>
    <t>4175319 - 84151546865</t>
  </si>
  <si>
    <t>4174301 - 954101414004</t>
  </si>
  <si>
    <t>4175324 - 84151546868</t>
  </si>
  <si>
    <t>Alejandro López</t>
  </si>
  <si>
    <t>4175349 - 954101414469</t>
  </si>
  <si>
    <t>Andres Mantilla</t>
  </si>
  <si>
    <t>Juan Carlos Gaviria Rodríguez</t>
  </si>
  <si>
    <t>Barrancabermeja</t>
  </si>
  <si>
    <t>NALSANI SAS - Viviana Agular</t>
  </si>
  <si>
    <t>Camilo Hurtado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</si>
</sst>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d/m/yyyy"/>
    <numFmt numFmtId="167" formatCode="_-&quot;$&quot;\ * #,##0_-;\-&quot;$&quot;\ * #,##0_-;_-&quot;$&quot;\ * &quot;-&quot;??_-;_-@_-"/>
    <numFmt numFmtId="168" formatCode="0.0%"/>
    <numFmt numFmtId="169" formatCode="_-* #,##0_-;\-* #,##0_-;_-* &quot;-&quot;??_-;_-@_-"/>
  </numFmts>
  <fonts count="4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mbria"/>
      <family val="1"/>
    </font>
    <font>
      <sz val="11"/>
      <name val="Cambria"/>
      <family val="1"/>
    </font>
    <font>
      <b/>
      <sz val="16"/>
      <color theme="1"/>
      <name val="Cambria"/>
      <family val="1"/>
    </font>
    <font>
      <b/>
      <sz val="11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i/>
      <sz val="11"/>
      <color theme="0"/>
      <name val="Cambria"/>
      <family val="1"/>
    </font>
    <font>
      <sz val="10"/>
      <name val="Cambria"/>
      <family val="1"/>
    </font>
    <font>
      <b/>
      <sz val="10"/>
      <color theme="0"/>
      <name val="Cambria"/>
      <family val="1"/>
    </font>
    <font>
      <sz val="10"/>
      <color rgb="FFFF0000"/>
      <name val="Cambria"/>
      <family val="1"/>
    </font>
    <font>
      <b/>
      <i/>
      <sz val="11"/>
      <color theme="1"/>
      <name val="Cambria"/>
      <family val="1"/>
    </font>
    <font>
      <b/>
      <sz val="9"/>
      <color theme="0"/>
      <name val="Arial"/>
      <family val="2"/>
    </font>
    <font>
      <b/>
      <sz val="10"/>
      <name val="Arial"/>
      <family val="2"/>
    </font>
    <font>
      <b/>
      <sz val="18"/>
      <color theme="1"/>
      <name val="Corbe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rgb="FFD9E2F3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B4E27"/>
        <bgColor rgb="FFEB4E27"/>
      </patternFill>
    </fill>
    <fill>
      <patternFill patternType="solid">
        <fgColor theme="0" tint="-0.14999847407452621"/>
        <bgColor rgb="FFD9E2F3"/>
      </patternFill>
    </fill>
    <fill>
      <patternFill patternType="solid">
        <fgColor theme="0" tint="-0.14999847407452621"/>
        <bgColor rgb="FF002060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8497B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9" tint="-0.249977111117893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8">
    <xf numFmtId="0" fontId="0" fillId="0" borderId="0"/>
    <xf numFmtId="9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4" fillId="0" borderId="7"/>
    <xf numFmtId="0" fontId="3" fillId="0" borderId="7"/>
    <xf numFmtId="0" fontId="1" fillId="0" borderId="7"/>
    <xf numFmtId="9" fontId="1" fillId="0" borderId="7" applyFont="0" applyFill="0" applyBorder="0" applyAlignment="0" applyProtection="0"/>
  </cellStyleXfs>
  <cellXfs count="259">
    <xf numFmtId="0" fontId="0" fillId="0" borderId="0" xfId="0"/>
    <xf numFmtId="0" fontId="6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5" xfId="0" applyFont="1" applyBorder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4" fillId="0" borderId="7" xfId="0" applyFont="1" applyBorder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center"/>
    </xf>
    <xf numFmtId="0" fontId="5" fillId="0" borderId="0" xfId="0" applyFont="1"/>
    <xf numFmtId="165" fontId="0" fillId="0" borderId="0" xfId="0" applyNumberFormat="1"/>
    <xf numFmtId="165" fontId="0" fillId="0" borderId="0" xfId="0" pivotButton="1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43" fontId="9" fillId="0" borderId="1" xfId="3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43" fontId="9" fillId="0" borderId="1" xfId="3" applyFont="1" applyFill="1" applyBorder="1" applyAlignment="1">
      <alignment horizontal="center" vertical="center"/>
    </xf>
    <xf numFmtId="43" fontId="9" fillId="0" borderId="3" xfId="3" applyFont="1" applyFill="1" applyBorder="1" applyAlignment="1">
      <alignment horizontal="center"/>
    </xf>
    <xf numFmtId="43" fontId="9" fillId="0" borderId="4" xfId="3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9" fillId="0" borderId="0" xfId="0" pivotButton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1" fontId="19" fillId="0" borderId="0" xfId="0" applyNumberFormat="1" applyFont="1"/>
    <xf numFmtId="2" fontId="1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pivotButton="1" applyFont="1" applyAlignment="1">
      <alignment horizontal="center" vertical="center"/>
    </xf>
    <xf numFmtId="0" fontId="19" fillId="0" borderId="0" xfId="0" pivotButton="1" applyFont="1" applyAlignment="1">
      <alignment horizontal="center" vertical="center" wrapText="1"/>
    </xf>
    <xf numFmtId="9" fontId="25" fillId="10" borderId="0" xfId="1" applyFont="1" applyFill="1" applyAlignment="1">
      <alignment horizontal="center" vertical="center"/>
    </xf>
    <xf numFmtId="0" fontId="23" fillId="10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7" borderId="0" xfId="0" applyFont="1" applyFill="1" applyAlignment="1">
      <alignment horizontal="center" vertical="center"/>
    </xf>
    <xf numFmtId="9" fontId="22" fillId="7" borderId="0" xfId="1" applyFont="1" applyFill="1" applyAlignment="1">
      <alignment horizontal="center" vertical="center"/>
    </xf>
    <xf numFmtId="0" fontId="23" fillId="0" borderId="0" xfId="0" applyFont="1"/>
    <xf numFmtId="9" fontId="23" fillId="0" borderId="0" xfId="1" applyFont="1"/>
    <xf numFmtId="9" fontId="24" fillId="7" borderId="0" xfId="1" applyFont="1" applyFill="1" applyAlignment="1">
      <alignment horizontal="center" vertical="center"/>
    </xf>
    <xf numFmtId="9" fontId="23" fillId="0" borderId="0" xfId="0" applyNumberFormat="1" applyFont="1" applyAlignment="1">
      <alignment vertical="center"/>
    </xf>
    <xf numFmtId="168" fontId="23" fillId="0" borderId="0" xfId="1" applyNumberFormat="1" applyFont="1"/>
    <xf numFmtId="1" fontId="24" fillId="8" borderId="9" xfId="0" applyNumberFormat="1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center" vertical="center" wrapText="1"/>
    </xf>
    <xf numFmtId="1" fontId="24" fillId="9" borderId="9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" fontId="23" fillId="3" borderId="7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43" fontId="23" fillId="0" borderId="0" xfId="3" applyFont="1" applyAlignment="1">
      <alignment horizontal="center" wrapText="1"/>
    </xf>
    <xf numFmtId="165" fontId="23" fillId="0" borderId="0" xfId="2" applyFont="1" applyAlignment="1">
      <alignment horizontal="center" wrapText="1"/>
    </xf>
    <xf numFmtId="0" fontId="23" fillId="0" borderId="0" xfId="0" applyFont="1" applyAlignment="1">
      <alignment wrapText="1"/>
    </xf>
    <xf numFmtId="0" fontId="26" fillId="0" borderId="0" xfId="0" applyFont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165" fontId="24" fillId="9" borderId="10" xfId="2" applyFont="1" applyFill="1" applyBorder="1" applyAlignment="1">
      <alignment horizontal="center" vertical="center"/>
    </xf>
    <xf numFmtId="165" fontId="23" fillId="0" borderId="0" xfId="2" applyFont="1"/>
    <xf numFmtId="165" fontId="23" fillId="0" borderId="0" xfId="0" applyNumberFormat="1" applyFont="1"/>
    <xf numFmtId="0" fontId="27" fillId="5" borderId="7" xfId="0" applyFont="1" applyFill="1" applyBorder="1" applyAlignment="1">
      <alignment horizontal="center" vertical="center"/>
    </xf>
    <xf numFmtId="0" fontId="27" fillId="5" borderId="7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165" fontId="23" fillId="0" borderId="7" xfId="2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165" fontId="27" fillId="5" borderId="7" xfId="2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9" fontId="23" fillId="0" borderId="0" xfId="0" applyNumberFormat="1" applyFont="1" applyAlignment="1">
      <alignment horizontal="center"/>
    </xf>
    <xf numFmtId="0" fontId="29" fillId="11" borderId="11" xfId="0" applyFont="1" applyFill="1" applyBorder="1" applyAlignment="1">
      <alignment horizontal="center" vertical="center" wrapText="1"/>
    </xf>
    <xf numFmtId="16" fontId="19" fillId="0" borderId="11" xfId="0" applyNumberFormat="1" applyFont="1" applyBorder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16" fontId="19" fillId="0" borderId="0" xfId="0" applyNumberFormat="1" applyFont="1"/>
    <xf numFmtId="14" fontId="7" fillId="0" borderId="11" xfId="0" applyNumberFormat="1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43" fontId="9" fillId="12" borderId="1" xfId="3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43" fontId="9" fillId="7" borderId="1" xfId="3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left"/>
    </xf>
    <xf numFmtId="1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/>
    </xf>
    <xf numFmtId="166" fontId="7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14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/>
    <xf numFmtId="0" fontId="35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9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 wrapText="1"/>
    </xf>
    <xf numFmtId="43" fontId="9" fillId="17" borderId="1" xfId="3" applyFont="1" applyFill="1" applyBorder="1" applyAlignment="1">
      <alignment horizontal="center"/>
    </xf>
    <xf numFmtId="0" fontId="35" fillId="0" borderId="11" xfId="0" applyFont="1" applyBorder="1" applyAlignment="1">
      <alignment horizontal="center"/>
    </xf>
    <xf numFmtId="14" fontId="11" fillId="0" borderId="11" xfId="0" applyNumberFormat="1" applyFont="1" applyBorder="1" applyAlignment="1">
      <alignment horizontal="center"/>
    </xf>
    <xf numFmtId="167" fontId="11" fillId="0" borderId="11" xfId="2" applyNumberFormat="1" applyFont="1" applyBorder="1" applyAlignment="1">
      <alignment horizontal="center"/>
    </xf>
    <xf numFmtId="14" fontId="11" fillId="0" borderId="11" xfId="0" applyNumberFormat="1" applyFont="1" applyBorder="1" applyAlignment="1">
      <alignment vertical="center"/>
    </xf>
    <xf numFmtId="14" fontId="11" fillId="0" borderId="11" xfId="0" applyNumberFormat="1" applyFont="1" applyBorder="1"/>
    <xf numFmtId="14" fontId="0" fillId="0" borderId="0" xfId="0" applyNumberFormat="1" applyAlignment="1">
      <alignment horizontal="center"/>
    </xf>
    <xf numFmtId="167" fontId="11" fillId="17" borderId="11" xfId="2" applyNumberFormat="1" applyFont="1" applyFill="1" applyBorder="1" applyAlignment="1">
      <alignment horizontal="center"/>
    </xf>
    <xf numFmtId="167" fontId="11" fillId="0" borderId="11" xfId="2" applyNumberFormat="1" applyFont="1" applyFill="1" applyBorder="1" applyAlignment="1">
      <alignment horizontal="center"/>
    </xf>
    <xf numFmtId="167" fontId="0" fillId="0" borderId="0" xfId="2" applyNumberFormat="1" applyFont="1" applyAlignment="1">
      <alignment horizontal="center"/>
    </xf>
    <xf numFmtId="167" fontId="7" fillId="0" borderId="11" xfId="2" applyNumberFormat="1" applyFont="1" applyBorder="1" applyAlignment="1">
      <alignment horizontal="center"/>
    </xf>
    <xf numFmtId="167" fontId="7" fillId="0" borderId="11" xfId="2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" fontId="7" fillId="0" borderId="7" xfId="0" applyNumberFormat="1" applyFont="1" applyBorder="1" applyAlignment="1">
      <alignment horizontal="center" vertical="center"/>
    </xf>
    <xf numFmtId="14" fontId="11" fillId="17" borderId="11" xfId="0" applyNumberFormat="1" applyFont="1" applyFill="1" applyBorder="1" applyAlignment="1">
      <alignment vertical="center"/>
    </xf>
    <xf numFmtId="1" fontId="7" fillId="17" borderId="11" xfId="0" applyNumberFormat="1" applyFont="1" applyFill="1" applyBorder="1" applyAlignment="1">
      <alignment horizontal="center" vertical="center"/>
    </xf>
    <xf numFmtId="0" fontId="11" fillId="17" borderId="11" xfId="0" applyFont="1" applyFill="1" applyBorder="1" applyAlignment="1">
      <alignment horizontal="center"/>
    </xf>
    <xf numFmtId="0" fontId="7" fillId="17" borderId="11" xfId="0" applyFont="1" applyFill="1" applyBorder="1" applyAlignment="1">
      <alignment horizontal="center" vertical="center"/>
    </xf>
    <xf numFmtId="0" fontId="11" fillId="17" borderId="11" xfId="0" applyFont="1" applyFill="1" applyBorder="1" applyAlignment="1">
      <alignment horizontal="left"/>
    </xf>
    <xf numFmtId="0" fontId="9" fillId="17" borderId="11" xfId="0" applyFont="1" applyFill="1" applyBorder="1" applyAlignment="1">
      <alignment horizontal="center" vertical="center"/>
    </xf>
    <xf numFmtId="0" fontId="7" fillId="17" borderId="11" xfId="0" applyFont="1" applyFill="1" applyBorder="1" applyAlignment="1">
      <alignment horizontal="left"/>
    </xf>
    <xf numFmtId="14" fontId="7" fillId="17" borderId="11" xfId="0" applyNumberFormat="1" applyFont="1" applyFill="1" applyBorder="1" applyAlignment="1">
      <alignment horizontal="center" vertical="center"/>
    </xf>
    <xf numFmtId="166" fontId="7" fillId="17" borderId="11" xfId="0" applyNumberFormat="1" applyFont="1" applyFill="1" applyBorder="1" applyAlignment="1">
      <alignment horizontal="center" vertical="center"/>
    </xf>
    <xf numFmtId="167" fontId="7" fillId="17" borderId="11" xfId="2" applyNumberFormat="1" applyFont="1" applyFill="1" applyBorder="1" applyAlignment="1">
      <alignment horizontal="center"/>
    </xf>
    <xf numFmtId="0" fontId="0" fillId="17" borderId="0" xfId="0" applyFill="1"/>
    <xf numFmtId="0" fontId="10" fillId="0" borderId="7" xfId="0" applyFont="1" applyBorder="1" applyAlignment="1">
      <alignment vertical="center"/>
    </xf>
    <xf numFmtId="167" fontId="11" fillId="0" borderId="7" xfId="2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/>
    </xf>
    <xf numFmtId="166" fontId="7" fillId="0" borderId="14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67" fontId="11" fillId="0" borderId="14" xfId="2" applyNumberFormat="1" applyFont="1" applyBorder="1" applyAlignment="1">
      <alignment horizontal="center"/>
    </xf>
    <xf numFmtId="0" fontId="0" fillId="0" borderId="7" xfId="0" applyBorder="1"/>
    <xf numFmtId="0" fontId="30" fillId="13" borderId="11" xfId="0" applyFont="1" applyFill="1" applyBorder="1" applyAlignment="1">
      <alignment horizontal="center" vertical="center"/>
    </xf>
    <xf numFmtId="166" fontId="8" fillId="14" borderId="11" xfId="0" applyNumberFormat="1" applyFont="1" applyFill="1" applyBorder="1" applyAlignment="1">
      <alignment horizontal="center" vertical="center" wrapText="1"/>
    </xf>
    <xf numFmtId="0" fontId="30" fillId="13" borderId="11" xfId="0" applyFont="1" applyFill="1" applyBorder="1" applyAlignment="1">
      <alignment horizontal="center" vertical="center" wrapText="1"/>
    </xf>
    <xf numFmtId="1" fontId="8" fillId="4" borderId="11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35" fillId="0" borderId="11" xfId="0" applyFont="1" applyBorder="1"/>
    <xf numFmtId="0" fontId="11" fillId="17" borderId="11" xfId="0" applyFont="1" applyFill="1" applyBorder="1"/>
    <xf numFmtId="167" fontId="11" fillId="0" borderId="11" xfId="2" applyNumberFormat="1" applyFont="1" applyFill="1" applyBorder="1" applyAlignment="1">
      <alignment horizontal="left"/>
    </xf>
    <xf numFmtId="0" fontId="10" fillId="0" borderId="7" xfId="0" applyFont="1" applyBorder="1" applyAlignment="1">
      <alignment horizontal="left" vertical="center"/>
    </xf>
    <xf numFmtId="166" fontId="8" fillId="14" borderId="11" xfId="0" applyNumberFormat="1" applyFont="1" applyFill="1" applyBorder="1" applyAlignment="1">
      <alignment horizontal="left" vertical="center" wrapText="1"/>
    </xf>
    <xf numFmtId="167" fontId="11" fillId="0" borderId="11" xfId="2" applyNumberFormat="1" applyFont="1" applyBorder="1" applyAlignment="1">
      <alignment horizontal="left"/>
    </xf>
    <xf numFmtId="167" fontId="11" fillId="17" borderId="11" xfId="2" applyNumberFormat="1" applyFont="1" applyFill="1" applyBorder="1" applyAlignment="1">
      <alignment horizontal="left"/>
    </xf>
    <xf numFmtId="167" fontId="0" fillId="0" borderId="0" xfId="2" applyNumberFormat="1" applyFont="1" applyAlignment="1">
      <alignment horizontal="left"/>
    </xf>
    <xf numFmtId="1" fontId="7" fillId="0" borderId="11" xfId="0" applyNumberFormat="1" applyFont="1" applyBorder="1" applyAlignment="1">
      <alignment horizontal="left" vertical="center"/>
    </xf>
    <xf numFmtId="1" fontId="7" fillId="17" borderId="11" xfId="0" applyNumberFormat="1" applyFont="1" applyFill="1" applyBorder="1" applyAlignment="1">
      <alignment horizontal="left" vertical="center"/>
    </xf>
    <xf numFmtId="1" fontId="7" fillId="0" borderId="7" xfId="0" applyNumberFormat="1" applyFont="1" applyBorder="1" applyAlignment="1">
      <alignment horizontal="left" vertical="center"/>
    </xf>
    <xf numFmtId="0" fontId="19" fillId="0" borderId="11" xfId="0" applyFont="1" applyBorder="1"/>
    <xf numFmtId="0" fontId="22" fillId="18" borderId="11" xfId="0" applyFont="1" applyFill="1" applyBorder="1" applyAlignment="1">
      <alignment horizontal="center" vertical="center" wrapText="1"/>
    </xf>
    <xf numFmtId="0" fontId="0" fillId="0" borderId="0" xfId="0" pivotButton="1" applyAlignment="1">
      <alignment horizontal="center"/>
    </xf>
    <xf numFmtId="9" fontId="0" fillId="0" borderId="0" xfId="1" applyFont="1"/>
    <xf numFmtId="9" fontId="38" fillId="0" borderId="0" xfId="1" applyFont="1" applyAlignment="1">
      <alignment horizontal="center" vertical="center"/>
    </xf>
    <xf numFmtId="0" fontId="39" fillId="20" borderId="17" xfId="6" applyFont="1" applyFill="1" applyBorder="1" applyAlignment="1">
      <alignment horizontal="center" vertical="center"/>
    </xf>
    <xf numFmtId="0" fontId="1" fillId="0" borderId="7" xfId="6"/>
    <xf numFmtId="0" fontId="1" fillId="0" borderId="7" xfId="6" applyAlignment="1">
      <alignment horizontal="center" vertical="center"/>
    </xf>
    <xf numFmtId="9" fontId="0" fillId="0" borderId="7" xfId="7" applyFont="1"/>
    <xf numFmtId="0" fontId="39" fillId="20" borderId="7" xfId="6" applyFont="1" applyFill="1" applyAlignment="1">
      <alignment horizontal="center" vertical="center"/>
    </xf>
    <xf numFmtId="0" fontId="37" fillId="19" borderId="15" xfId="6" applyFont="1" applyFill="1" applyBorder="1" applyAlignment="1">
      <alignment horizontal="center" vertical="center"/>
    </xf>
    <xf numFmtId="0" fontId="37" fillId="19" borderId="15" xfId="6" applyFont="1" applyFill="1" applyBorder="1" applyAlignment="1">
      <alignment horizontal="center" vertical="center" wrapText="1"/>
    </xf>
    <xf numFmtId="0" fontId="37" fillId="19" borderId="16" xfId="6" applyFont="1" applyFill="1" applyBorder="1" applyAlignment="1">
      <alignment horizontal="center" vertical="center"/>
    </xf>
    <xf numFmtId="0" fontId="37" fillId="19" borderId="7" xfId="6" applyFont="1" applyFill="1" applyAlignment="1">
      <alignment horizontal="center" vertical="center"/>
    </xf>
    <xf numFmtId="0" fontId="1" fillId="0" borderId="7" xfId="6" applyAlignment="1">
      <alignment horizontal="center"/>
    </xf>
    <xf numFmtId="0" fontId="37" fillId="0" borderId="7" xfId="6" applyFont="1"/>
    <xf numFmtId="0" fontId="22" fillId="19" borderId="15" xfId="6" applyFont="1" applyFill="1" applyBorder="1" applyAlignment="1">
      <alignment horizontal="center" vertical="center"/>
    </xf>
    <xf numFmtId="0" fontId="24" fillId="19" borderId="15" xfId="6" applyFont="1" applyFill="1" applyBorder="1" applyAlignment="1">
      <alignment horizontal="center" vertical="center"/>
    </xf>
    <xf numFmtId="0" fontId="19" fillId="0" borderId="7" xfId="6" applyFont="1" applyAlignment="1">
      <alignment horizontal="center" vertical="center"/>
    </xf>
    <xf numFmtId="2" fontId="19" fillId="0" borderId="7" xfId="6" applyNumberFormat="1" applyFont="1" applyAlignment="1">
      <alignment horizontal="center" vertical="center"/>
    </xf>
    <xf numFmtId="2" fontId="1" fillId="0" borderId="7" xfId="6" applyNumberFormat="1" applyAlignment="1">
      <alignment horizontal="center" vertical="center"/>
    </xf>
    <xf numFmtId="2" fontId="1" fillId="0" borderId="7" xfId="6" applyNumberFormat="1" applyAlignment="1">
      <alignment horizontal="left" vertical="center" indent="2"/>
    </xf>
    <xf numFmtId="0" fontId="40" fillId="0" borderId="7" xfId="6" applyFont="1" applyAlignment="1">
      <alignment wrapText="1"/>
    </xf>
    <xf numFmtId="0" fontId="41" fillId="21" borderId="9" xfId="6" applyFont="1" applyFill="1" applyBorder="1" applyAlignment="1">
      <alignment horizontal="center" vertical="center" wrapText="1" readingOrder="1"/>
    </xf>
    <xf numFmtId="0" fontId="41" fillId="21" borderId="18" xfId="6" applyFont="1" applyFill="1" applyBorder="1" applyAlignment="1">
      <alignment horizontal="center" vertical="center" wrapText="1" readingOrder="1"/>
    </xf>
    <xf numFmtId="0" fontId="41" fillId="22" borderId="9" xfId="6" applyFont="1" applyFill="1" applyBorder="1" applyAlignment="1">
      <alignment horizontal="center" vertical="center" wrapText="1" readingOrder="1"/>
    </xf>
    <xf numFmtId="0" fontId="42" fillId="0" borderId="10" xfId="6" applyFont="1" applyBorder="1" applyAlignment="1">
      <alignment horizontal="center" vertical="center" wrapText="1" readingOrder="1"/>
    </xf>
    <xf numFmtId="0" fontId="42" fillId="23" borderId="10" xfId="6" applyFont="1" applyFill="1" applyBorder="1" applyAlignment="1">
      <alignment horizontal="center" vertical="center" wrapText="1" readingOrder="1"/>
    </xf>
    <xf numFmtId="0" fontId="42" fillId="0" borderId="10" xfId="6" applyFont="1" applyBorder="1" applyAlignment="1">
      <alignment horizontal="center" wrapText="1" readingOrder="1"/>
    </xf>
    <xf numFmtId="4" fontId="42" fillId="0" borderId="10" xfId="6" applyNumberFormat="1" applyFont="1" applyBorder="1" applyAlignment="1">
      <alignment horizontal="center" wrapText="1" readingOrder="1"/>
    </xf>
    <xf numFmtId="164" fontId="42" fillId="0" borderId="10" xfId="6" applyNumberFormat="1" applyFont="1" applyBorder="1" applyAlignment="1">
      <alignment horizontal="center" wrapText="1" readingOrder="1"/>
    </xf>
    <xf numFmtId="0" fontId="42" fillId="0" borderId="7" xfId="6" applyFont="1" applyAlignment="1">
      <alignment horizontal="center" vertical="center" wrapText="1" readingOrder="1"/>
    </xf>
    <xf numFmtId="0" fontId="42" fillId="23" borderId="7" xfId="6" applyFont="1" applyFill="1" applyAlignment="1">
      <alignment horizontal="center" vertical="center" wrapText="1" readingOrder="1"/>
    </xf>
    <xf numFmtId="0" fontId="42" fillId="0" borderId="7" xfId="6" applyFont="1" applyAlignment="1">
      <alignment horizontal="center" wrapText="1" readingOrder="1"/>
    </xf>
    <xf numFmtId="4" fontId="42" fillId="0" borderId="7" xfId="6" applyNumberFormat="1" applyFont="1" applyAlignment="1">
      <alignment horizontal="center" wrapText="1" readingOrder="1"/>
    </xf>
    <xf numFmtId="164" fontId="42" fillId="0" borderId="7" xfId="6" applyNumberFormat="1" applyFont="1" applyAlignment="1">
      <alignment horizontal="center" wrapText="1" readingOrder="1"/>
    </xf>
    <xf numFmtId="0" fontId="42" fillId="0" borderId="9" xfId="6" applyFont="1" applyBorder="1" applyAlignment="1">
      <alignment horizontal="center" vertical="center" wrapText="1" readingOrder="1"/>
    </xf>
    <xf numFmtId="0" fontId="42" fillId="23" borderId="9" xfId="6" applyFont="1" applyFill="1" applyBorder="1" applyAlignment="1">
      <alignment horizontal="center" vertical="center" wrapText="1" readingOrder="1"/>
    </xf>
    <xf numFmtId="0" fontId="42" fillId="0" borderId="9" xfId="6" applyFont="1" applyBorder="1" applyAlignment="1">
      <alignment horizontal="center" wrapText="1" readingOrder="1"/>
    </xf>
    <xf numFmtId="4" fontId="42" fillId="0" borderId="9" xfId="6" applyNumberFormat="1" applyFont="1" applyBorder="1" applyAlignment="1">
      <alignment horizontal="center" wrapText="1" readingOrder="1"/>
    </xf>
    <xf numFmtId="164" fontId="42" fillId="0" borderId="9" xfId="6" applyNumberFormat="1" applyFont="1" applyBorder="1" applyAlignment="1">
      <alignment horizontal="center" wrapText="1" readingOrder="1"/>
    </xf>
    <xf numFmtId="0" fontId="41" fillId="21" borderId="10" xfId="6" applyFont="1" applyFill="1" applyBorder="1" applyAlignment="1">
      <alignment horizontal="center" vertical="center" wrapText="1" readingOrder="1"/>
    </xf>
    <xf numFmtId="0" fontId="41" fillId="22" borderId="10" xfId="6" applyFont="1" applyFill="1" applyBorder="1" applyAlignment="1">
      <alignment horizontal="center" vertical="center" wrapText="1" readingOrder="1"/>
    </xf>
    <xf numFmtId="164" fontId="41" fillId="22" borderId="10" xfId="6" applyNumberFormat="1" applyFont="1" applyFill="1" applyBorder="1" applyAlignment="1">
      <alignment horizontal="center" vertical="center" wrapText="1" readingOrder="1"/>
    </xf>
    <xf numFmtId="0" fontId="32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indent="21"/>
    </xf>
    <xf numFmtId="0" fontId="34" fillId="13" borderId="2" xfId="0" applyFont="1" applyFill="1" applyBorder="1" applyAlignment="1">
      <alignment horizontal="left" vertical="center"/>
    </xf>
    <xf numFmtId="0" fontId="34" fillId="13" borderId="13" xfId="0" applyFont="1" applyFill="1" applyBorder="1" applyAlignment="1">
      <alignment horizontal="left" vertical="center"/>
    </xf>
    <xf numFmtId="0" fontId="34" fillId="13" borderId="12" xfId="0" applyFont="1" applyFill="1" applyBorder="1" applyAlignment="1">
      <alignment horizontal="left" vertical="center"/>
    </xf>
    <xf numFmtId="0" fontId="34" fillId="13" borderId="1" xfId="0" applyFont="1" applyFill="1" applyBorder="1" applyAlignment="1">
      <alignment horizontal="left" vertical="center"/>
    </xf>
    <xf numFmtId="0" fontId="33" fillId="13" borderId="2" xfId="0" applyFont="1" applyFill="1" applyBorder="1" applyAlignment="1">
      <alignment horizontal="left" vertical="center"/>
    </xf>
    <xf numFmtId="0" fontId="33" fillId="13" borderId="13" xfId="0" applyFont="1" applyFill="1" applyBorder="1" applyAlignment="1">
      <alignment horizontal="left" vertical="center"/>
    </xf>
    <xf numFmtId="0" fontId="33" fillId="13" borderId="12" xfId="0" applyFont="1" applyFill="1" applyBorder="1" applyAlignment="1">
      <alignment horizontal="left" vertical="center"/>
    </xf>
    <xf numFmtId="0" fontId="33" fillId="13" borderId="1" xfId="0" applyFont="1" applyFill="1" applyBorder="1" applyAlignment="1">
      <alignment horizontal="left" vertical="center"/>
    </xf>
    <xf numFmtId="0" fontId="24" fillId="7" borderId="0" xfId="0" applyFont="1" applyFill="1" applyAlignment="1">
      <alignment horizontal="center" vertical="center" wrapText="1"/>
    </xf>
    <xf numFmtId="0" fontId="24" fillId="7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4" fontId="11" fillId="0" borderId="11" xfId="0" applyNumberFormat="1" applyFont="1" applyFill="1" applyBorder="1"/>
    <xf numFmtId="0" fontId="11" fillId="0" borderId="11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left"/>
    </xf>
    <xf numFmtId="0" fontId="7" fillId="0" borderId="11" xfId="0" applyFont="1" applyFill="1" applyBorder="1" applyAlignment="1">
      <alignment horizontal="left"/>
    </xf>
    <xf numFmtId="0" fontId="7" fillId="0" borderId="11" xfId="0" applyFont="1" applyFill="1" applyBorder="1" applyAlignment="1">
      <alignment horizontal="center" vertical="center"/>
    </xf>
    <xf numFmtId="14" fontId="11" fillId="0" borderId="11" xfId="0" applyNumberFormat="1" applyFont="1" applyFill="1" applyBorder="1" applyAlignment="1">
      <alignment horizontal="center"/>
    </xf>
    <xf numFmtId="166" fontId="7" fillId="0" borderId="11" xfId="0" applyNumberFormat="1" applyFont="1" applyFill="1" applyBorder="1" applyAlignment="1">
      <alignment horizontal="center" vertical="center"/>
    </xf>
    <xf numFmtId="1" fontId="7" fillId="0" borderId="11" xfId="0" applyNumberFormat="1" applyFont="1" applyFill="1" applyBorder="1" applyAlignment="1">
      <alignment horizontal="center" vertical="center"/>
    </xf>
    <xf numFmtId="1" fontId="7" fillId="0" borderId="11" xfId="0" applyNumberFormat="1" applyFont="1" applyFill="1" applyBorder="1" applyAlignment="1">
      <alignment horizontal="left" vertical="center"/>
    </xf>
    <xf numFmtId="0" fontId="2" fillId="0" borderId="11" xfId="0" applyFont="1" applyFill="1" applyBorder="1"/>
    <xf numFmtId="0" fontId="2" fillId="0" borderId="0" xfId="0" applyFont="1" applyFill="1"/>
    <xf numFmtId="0" fontId="0" fillId="0" borderId="0" xfId="0" applyFill="1"/>
    <xf numFmtId="14" fontId="11" fillId="17" borderId="11" xfId="0" applyNumberFormat="1" applyFont="1" applyFill="1" applyBorder="1"/>
    <xf numFmtId="14" fontId="11" fillId="17" borderId="11" xfId="0" applyNumberFormat="1" applyFont="1" applyFill="1" applyBorder="1" applyAlignment="1">
      <alignment horizontal="center"/>
    </xf>
    <xf numFmtId="0" fontId="0" fillId="17" borderId="11" xfId="0" applyFill="1" applyBorder="1"/>
    <xf numFmtId="14" fontId="11" fillId="24" borderId="11" xfId="0" applyNumberFormat="1" applyFont="1" applyFill="1" applyBorder="1"/>
    <xf numFmtId="0" fontId="11" fillId="24" borderId="11" xfId="0" applyFont="1" applyFill="1" applyBorder="1" applyAlignment="1">
      <alignment horizontal="center"/>
    </xf>
    <xf numFmtId="0" fontId="11" fillId="24" borderId="11" xfId="0" applyFont="1" applyFill="1" applyBorder="1" applyAlignment="1">
      <alignment horizontal="left"/>
    </xf>
    <xf numFmtId="0" fontId="7" fillId="24" borderId="11" xfId="0" applyFont="1" applyFill="1" applyBorder="1" applyAlignment="1">
      <alignment horizontal="left"/>
    </xf>
    <xf numFmtId="0" fontId="7" fillId="24" borderId="11" xfId="0" applyFont="1" applyFill="1" applyBorder="1" applyAlignment="1">
      <alignment horizontal="center" vertical="center"/>
    </xf>
    <xf numFmtId="14" fontId="11" fillId="24" borderId="11" xfId="0" applyNumberFormat="1" applyFont="1" applyFill="1" applyBorder="1" applyAlignment="1">
      <alignment horizontal="center"/>
    </xf>
    <xf numFmtId="166" fontId="7" fillId="24" borderId="11" xfId="0" applyNumberFormat="1" applyFont="1" applyFill="1" applyBorder="1" applyAlignment="1">
      <alignment horizontal="center" vertical="center"/>
    </xf>
    <xf numFmtId="1" fontId="7" fillId="24" borderId="11" xfId="0" applyNumberFormat="1" applyFont="1" applyFill="1" applyBorder="1" applyAlignment="1">
      <alignment horizontal="center" vertical="center"/>
    </xf>
    <xf numFmtId="1" fontId="7" fillId="24" borderId="11" xfId="0" applyNumberFormat="1" applyFont="1" applyFill="1" applyBorder="1" applyAlignment="1">
      <alignment horizontal="left" vertical="center"/>
    </xf>
    <xf numFmtId="167" fontId="11" fillId="24" borderId="11" xfId="2" applyNumberFormat="1" applyFont="1" applyFill="1" applyBorder="1" applyAlignment="1">
      <alignment horizontal="center"/>
    </xf>
    <xf numFmtId="0" fontId="0" fillId="24" borderId="11" xfId="0" applyFill="1" applyBorder="1"/>
    <xf numFmtId="0" fontId="0" fillId="24" borderId="0" xfId="0" applyFill="1"/>
    <xf numFmtId="167" fontId="11" fillId="0" borderId="7" xfId="2" applyNumberFormat="1" applyFont="1" applyFill="1" applyBorder="1" applyAlignment="1">
      <alignment horizontal="center"/>
    </xf>
    <xf numFmtId="14" fontId="11" fillId="25" borderId="11" xfId="0" applyNumberFormat="1" applyFont="1" applyFill="1" applyBorder="1"/>
    <xf numFmtId="0" fontId="11" fillId="25" borderId="11" xfId="0" applyFont="1" applyFill="1" applyBorder="1" applyAlignment="1">
      <alignment horizontal="center"/>
    </xf>
    <xf numFmtId="0" fontId="11" fillId="25" borderId="11" xfId="0" applyFont="1" applyFill="1" applyBorder="1" applyAlignment="1">
      <alignment horizontal="left"/>
    </xf>
    <xf numFmtId="0" fontId="7" fillId="25" borderId="11" xfId="0" applyFont="1" applyFill="1" applyBorder="1" applyAlignment="1">
      <alignment horizontal="left"/>
    </xf>
    <xf numFmtId="14" fontId="11" fillId="25" borderId="11" xfId="0" applyNumberFormat="1" applyFont="1" applyFill="1" applyBorder="1" applyAlignment="1">
      <alignment horizontal="center"/>
    </xf>
    <xf numFmtId="1" fontId="7" fillId="25" borderId="11" xfId="0" applyNumberFormat="1" applyFont="1" applyFill="1" applyBorder="1" applyAlignment="1">
      <alignment horizontal="center" vertical="center"/>
    </xf>
    <xf numFmtId="167" fontId="11" fillId="25" borderId="11" xfId="2" applyNumberFormat="1" applyFont="1" applyFill="1" applyBorder="1" applyAlignment="1">
      <alignment horizontal="center"/>
    </xf>
    <xf numFmtId="167" fontId="11" fillId="25" borderId="7" xfId="2" applyNumberFormat="1" applyFont="1" applyFill="1" applyBorder="1" applyAlignment="1">
      <alignment horizontal="center"/>
    </xf>
    <xf numFmtId="0" fontId="0" fillId="25" borderId="0" xfId="0" applyFill="1"/>
  </cellXfs>
  <cellStyles count="8">
    <cellStyle name="Millares" xfId="3" builtinId="3"/>
    <cellStyle name="Moneda" xfId="2" builtinId="4"/>
    <cellStyle name="Normal" xfId="0" builtinId="0"/>
    <cellStyle name="Normal 2" xfId="4" xr:uid="{898CC166-CC81-4CF2-B12D-DFA83AD6BE29}"/>
    <cellStyle name="Normal 3" xfId="5" xr:uid="{60699E8F-0255-4728-9EA5-05977447DCB2}"/>
    <cellStyle name="Normal 4" xfId="6" xr:uid="{A3480A44-D992-4238-89ED-145C5845C120}"/>
    <cellStyle name="Porcentaje" xfId="1" builtinId="5"/>
    <cellStyle name="Porcentaje 2" xfId="7" xr:uid="{CED21D96-42FD-42CD-B9D2-090ED07961E8}"/>
  </cellStyles>
  <dxfs count="3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_-* #,##0_-;\-* #,##0_-;_-* &quot;-&quot;??_-;_-@_-"/>
    </dxf>
    <dxf>
      <numFmt numFmtId="167" formatCode="_-&quot;$&quot;\ * #,##0_-;\-&quot;$&quot;\ * #,##0_-;_-&quot;$&quot;\ * &quot;-&quot;??_-;_-@_-"/>
    </dxf>
    <dxf>
      <alignment wrapText="1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numFmt numFmtId="165" formatCode="_-&quot;$&quot;\ * #,##0.00_-;\-&quot;$&quot;\ * #,##0.00_-;_-&quot;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sz val="10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2" formatCode="0.00"/>
    </dxf>
    <dxf>
      <alignment relativeIndent="1"/>
    </dxf>
    <dxf>
      <alignment relativeIndent="1"/>
    </dxf>
    <dxf>
      <alignment relativeIndent="-1"/>
    </dxf>
    <dxf>
      <alignment horizontal="left" relativeIndent="1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sz val="11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sz val="10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 sz="1400" b="1"/>
              <a:t>% Participación por ciudad</a:t>
            </a:r>
          </a:p>
        </c:rich>
      </c:tx>
      <c:layout>
        <c:manualLayout>
          <c:xMode val="edge"/>
          <c:yMode val="edge"/>
          <c:x val="0.32519947506561681"/>
          <c:y val="3.731111233938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8792852816474862"/>
          <c:y val="0.27873499420564896"/>
          <c:w val="0.49325945367940116"/>
          <c:h val="0.70507108385705852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4-4BF2-87D7-13B1F114DE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4-4BF2-87D7-13B1F114DE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C4-4BF2-87D7-13B1F114DE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C4-4BF2-87D7-13B1F114DE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C4-4BF2-87D7-13B1F114DE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C4-4BF2-87D7-13B1F114DE1F}"/>
              </c:ext>
            </c:extLst>
          </c:dPt>
          <c:dLbls>
            <c:dLbl>
              <c:idx val="0"/>
              <c:layout>
                <c:manualLayout>
                  <c:x val="-4.5974403293396957E-2"/>
                  <c:y val="-6.03561705741871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C4-4BF2-87D7-13B1F114DE1F}"/>
                </c:ext>
              </c:extLst>
            </c:dLbl>
            <c:dLbl>
              <c:idx val="1"/>
              <c:layout>
                <c:manualLayout>
                  <c:x val="5.5255006820207467E-2"/>
                  <c:y val="3.271665977652655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C4-4BF2-87D7-13B1F114DE1F}"/>
                </c:ext>
              </c:extLst>
            </c:dLbl>
            <c:dLbl>
              <c:idx val="2"/>
              <c:layout>
                <c:manualLayout>
                  <c:x val="-1.1164261127771878E-2"/>
                  <c:y val="3.80862461429143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C4-4BF2-87D7-13B1F114DE1F}"/>
                </c:ext>
              </c:extLst>
            </c:dLbl>
            <c:dLbl>
              <c:idx val="3"/>
              <c:layout>
                <c:manualLayout>
                  <c:x val="-1.3735401886645357E-2"/>
                  <c:y val="5.29011363721304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C4-4BF2-87D7-13B1F114DE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 Finales'!$M$18:$M$23</c:f>
              <c:strCache>
                <c:ptCount val="6"/>
                <c:pt idx="0">
                  <c:v>Bogotá y alrededores</c:v>
                </c:pt>
                <c:pt idx="1">
                  <c:v>Antioquia</c:v>
                </c:pt>
                <c:pt idx="2">
                  <c:v>Valle del Cauca</c:v>
                </c:pt>
                <c:pt idx="3">
                  <c:v>Atlantico</c:v>
                </c:pt>
                <c:pt idx="4">
                  <c:v>Caldas</c:v>
                </c:pt>
                <c:pt idx="5">
                  <c:v>Santander</c:v>
                </c:pt>
              </c:strCache>
            </c:strRef>
          </c:cat>
          <c:val>
            <c:numRef>
              <c:f>'Graficos Finales'!$N$18:$N$23</c:f>
              <c:numCache>
                <c:formatCode>General</c:formatCode>
                <c:ptCount val="6"/>
                <c:pt idx="0">
                  <c:v>55</c:v>
                </c:pt>
                <c:pt idx="1">
                  <c:v>12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9C4-4BF2-87D7-13B1F114DE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07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Días en promedio para despacho de pedidos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939136896126323E-2"/>
          <c:y val="0.18591478696741853"/>
          <c:w val="0.87503466764007598"/>
          <c:h val="0.44843684013182561"/>
        </c:manualLayout>
      </c:layout>
      <c:lineChart>
        <c:grouping val="standard"/>
        <c:varyColors val="0"/>
        <c:ser>
          <c:idx val="0"/>
          <c:order val="0"/>
          <c:tx>
            <c:strRef>
              <c:f>'Graficos Finales'!$K$67</c:f>
              <c:strCache>
                <c:ptCount val="1"/>
                <c:pt idx="0">
                  <c:v>Standing Desk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Finales'!$J$68:$J$72</c:f>
              <c:strCache>
                <c:ptCount val="5"/>
                <c:pt idx="0">
                  <c:v>Bogotá y alrededores</c:v>
                </c:pt>
                <c:pt idx="1">
                  <c:v>Antioquia</c:v>
                </c:pt>
                <c:pt idx="2">
                  <c:v>Valle del Cauca</c:v>
                </c:pt>
                <c:pt idx="3">
                  <c:v>Santander</c:v>
                </c:pt>
                <c:pt idx="4">
                  <c:v>Caldas</c:v>
                </c:pt>
              </c:strCache>
            </c:strRef>
          </c:cat>
          <c:val>
            <c:numRef>
              <c:f>'Graficos Finales'!$K$68:$K$72</c:f>
              <c:numCache>
                <c:formatCode>0.00</c:formatCode>
                <c:ptCount val="5"/>
                <c:pt idx="0">
                  <c:v>0.625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8-4C91-92D6-3CC5AE176426}"/>
            </c:ext>
          </c:extLst>
        </c:ser>
        <c:ser>
          <c:idx val="1"/>
          <c:order val="1"/>
          <c:tx>
            <c:strRef>
              <c:f>'Graficos Finales'!$L$67</c:f>
              <c:strCache>
                <c:ptCount val="1"/>
                <c:pt idx="0">
                  <c:v>Superficie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Finales'!$J$68:$J$72</c:f>
              <c:strCache>
                <c:ptCount val="5"/>
                <c:pt idx="0">
                  <c:v>Bogotá y alrededores</c:v>
                </c:pt>
                <c:pt idx="1">
                  <c:v>Antioquia</c:v>
                </c:pt>
                <c:pt idx="2">
                  <c:v>Valle del Cauca</c:v>
                </c:pt>
                <c:pt idx="3">
                  <c:v>Santander</c:v>
                </c:pt>
                <c:pt idx="4">
                  <c:v>Caldas</c:v>
                </c:pt>
              </c:strCache>
            </c:strRef>
          </c:cat>
          <c:val>
            <c:numRef>
              <c:f>'Graficos Finales'!$L$68:$L$72</c:f>
              <c:numCache>
                <c:formatCode>0.00</c:formatCode>
                <c:ptCount val="5"/>
                <c:pt idx="0">
                  <c:v>0.6</c:v>
                </c:pt>
                <c:pt idx="1">
                  <c:v>0.66666666666666663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8-4C91-92D6-3CC5AE1764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44311968"/>
        <c:axId val="2044302816"/>
      </c:lineChart>
      <c:catAx>
        <c:axId val="204431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4302816"/>
        <c:crosses val="autoZero"/>
        <c:auto val="1"/>
        <c:lblAlgn val="ctr"/>
        <c:lblOffset val="100"/>
        <c:noMultiLvlLbl val="0"/>
      </c:catAx>
      <c:valAx>
        <c:axId val="2044302816"/>
        <c:scaling>
          <c:orientation val="minMax"/>
          <c:max val="8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431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Días en promedio para entrega de pedido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3297141814107772E-2"/>
          <c:y val="9.0835307267404852E-2"/>
          <c:w val="0.89911692693089618"/>
          <c:h val="0.74074682882197418"/>
        </c:manualLayout>
      </c:layout>
      <c:lineChart>
        <c:grouping val="standard"/>
        <c:varyColors val="0"/>
        <c:ser>
          <c:idx val="0"/>
          <c:order val="0"/>
          <c:tx>
            <c:strRef>
              <c:f>'Graficos Finales'!$K$99</c:f>
              <c:strCache>
                <c:ptCount val="1"/>
                <c:pt idx="0">
                  <c:v>Standing Desk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1.4123378462584381E-2"/>
                  <c:y val="3.2943495523079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58-45C0-B105-D40D19141A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Finales'!$J$100:$J$104</c:f>
              <c:strCache>
                <c:ptCount val="5"/>
                <c:pt idx="0">
                  <c:v>Bogotá y alrededores</c:v>
                </c:pt>
                <c:pt idx="1">
                  <c:v>Antioquia</c:v>
                </c:pt>
                <c:pt idx="2">
                  <c:v>Valle del Cauca</c:v>
                </c:pt>
                <c:pt idx="3">
                  <c:v>Santander</c:v>
                </c:pt>
                <c:pt idx="4">
                  <c:v>Caldas</c:v>
                </c:pt>
              </c:strCache>
            </c:strRef>
          </c:cat>
          <c:val>
            <c:numRef>
              <c:f>'Graficos Finales'!$K$100:$K$104</c:f>
              <c:numCache>
                <c:formatCode>0.00</c:formatCode>
                <c:ptCount val="5"/>
                <c:pt idx="0">
                  <c:v>2</c:v>
                </c:pt>
                <c:pt idx="1">
                  <c:v>1.5</c:v>
                </c:pt>
                <c:pt idx="2">
                  <c:v>1</c:v>
                </c:pt>
                <c:pt idx="3">
                  <c:v>2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58-45C0-B105-D40D19141A5F}"/>
            </c:ext>
          </c:extLst>
        </c:ser>
        <c:ser>
          <c:idx val="1"/>
          <c:order val="1"/>
          <c:tx>
            <c:strRef>
              <c:f>'Graficos Finales'!$L$99</c:f>
              <c:strCache>
                <c:ptCount val="1"/>
                <c:pt idx="0">
                  <c:v>Superficie</c:v>
                </c:pt>
              </c:strCache>
            </c:strRef>
          </c:tx>
          <c:spPr>
            <a:ln w="28575" cap="rnd">
              <a:solidFill>
                <a:srgbClr val="C00000">
                  <a:alpha val="72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1.8773013085594634E-2"/>
                  <c:y val="-2.02863205259000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58-45C0-B105-D40D19141A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Finales'!$J$100:$J$104</c:f>
              <c:strCache>
                <c:ptCount val="5"/>
                <c:pt idx="0">
                  <c:v>Bogotá y alrededores</c:v>
                </c:pt>
                <c:pt idx="1">
                  <c:v>Antioquia</c:v>
                </c:pt>
                <c:pt idx="2">
                  <c:v>Valle del Cauca</c:v>
                </c:pt>
                <c:pt idx="3">
                  <c:v>Santander</c:v>
                </c:pt>
                <c:pt idx="4">
                  <c:v>Caldas</c:v>
                </c:pt>
              </c:strCache>
            </c:strRef>
          </c:cat>
          <c:val>
            <c:numRef>
              <c:f>'Graficos Finales'!$L$100:$L$104</c:f>
              <c:numCache>
                <c:formatCode>0.00</c:formatCode>
                <c:ptCount val="5"/>
                <c:pt idx="0">
                  <c:v>2.5333333333333332</c:v>
                </c:pt>
                <c:pt idx="1">
                  <c:v>1.6666666666666667</c:v>
                </c:pt>
                <c:pt idx="2">
                  <c:v>1</c:v>
                </c:pt>
                <c:pt idx="3">
                  <c:v>2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58-45C0-B105-D40D19141A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44291584"/>
        <c:axId val="2044313632"/>
      </c:lineChart>
      <c:catAx>
        <c:axId val="204429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4313632"/>
        <c:crosses val="autoZero"/>
        <c:auto val="1"/>
        <c:lblAlgn val="ctr"/>
        <c:lblOffset val="100"/>
        <c:noMultiLvlLbl val="0"/>
      </c:catAx>
      <c:valAx>
        <c:axId val="2044313632"/>
        <c:scaling>
          <c:orientation val="minMax"/>
          <c:max val="1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4291584"/>
        <c:crosses val="autoZero"/>
        <c:crossBetween val="between"/>
        <c:min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/>
              <a:t>Cantidad de ventas Standing desk por ciudad de entrega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Finales'!$N$36</c:f>
              <c:strCache>
                <c:ptCount val="1"/>
                <c:pt idx="0">
                  <c:v>Qty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Finales'!$M$37:$M$50</c:f>
              <c:strCache>
                <c:ptCount val="14"/>
                <c:pt idx="0">
                  <c:v>Bogota</c:v>
                </c:pt>
                <c:pt idx="1">
                  <c:v>Medellin</c:v>
                </c:pt>
                <c:pt idx="2">
                  <c:v>Chia</c:v>
                </c:pt>
                <c:pt idx="3">
                  <c:v>Cali</c:v>
                </c:pt>
                <c:pt idx="4">
                  <c:v>Barranquilla</c:v>
                </c:pt>
                <c:pt idx="5">
                  <c:v>Funza</c:v>
                </c:pt>
                <c:pt idx="6">
                  <c:v>Retiro</c:v>
                </c:pt>
                <c:pt idx="7">
                  <c:v>Soacha</c:v>
                </c:pt>
                <c:pt idx="8">
                  <c:v>Envigado</c:v>
                </c:pt>
                <c:pt idx="9">
                  <c:v>Palmira</c:v>
                </c:pt>
                <c:pt idx="10">
                  <c:v>Cajica</c:v>
                </c:pt>
                <c:pt idx="11">
                  <c:v>Bucaramanga</c:v>
                </c:pt>
                <c:pt idx="12">
                  <c:v>Manizales</c:v>
                </c:pt>
                <c:pt idx="13">
                  <c:v>Carmen de Viboral</c:v>
                </c:pt>
              </c:strCache>
            </c:strRef>
          </c:cat>
          <c:val>
            <c:numRef>
              <c:f>'Graficos Finales'!$N$37:$N$50</c:f>
              <c:numCache>
                <c:formatCode>General</c:formatCode>
                <c:ptCount val="14"/>
                <c:pt idx="0">
                  <c:v>45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A-49EE-AECB-A5A90918F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5361455"/>
        <c:axId val="1555358127"/>
      </c:barChart>
      <c:catAx>
        <c:axId val="155536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5358127"/>
        <c:crosses val="autoZero"/>
        <c:auto val="1"/>
        <c:lblAlgn val="ctr"/>
        <c:lblOffset val="100"/>
        <c:noMultiLvlLbl val="0"/>
      </c:catAx>
      <c:valAx>
        <c:axId val="155535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536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038057742782155E-2"/>
          <c:y val="5.3969351669941053E-2"/>
          <c:w val="0.93193355939996547"/>
          <c:h val="0.69983104125736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'Graficos Finales'!$B$1</c:f>
              <c:strCache>
                <c:ptCount val="1"/>
                <c:pt idx="0">
                  <c:v>Standing Desk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2779552715654952E-2"/>
                  <c:y val="9.21128215245179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10-4BDB-ACF9-B4BE1959CE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Finales'!$A$2:$A$7</c:f>
              <c:strCache>
                <c:ptCount val="6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</c:strCache>
            </c:strRef>
          </c:cat>
          <c:val>
            <c:numRef>
              <c:f>'Graficos Finales'!$B$2:$B$7</c:f>
              <c:numCache>
                <c:formatCode>General</c:formatCode>
                <c:ptCount val="6"/>
                <c:pt idx="0">
                  <c:v>30</c:v>
                </c:pt>
                <c:pt idx="1">
                  <c:v>40</c:v>
                </c:pt>
                <c:pt idx="2">
                  <c:v>22</c:v>
                </c:pt>
                <c:pt idx="3">
                  <c:v>35</c:v>
                </c:pt>
                <c:pt idx="4">
                  <c:v>35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10-4BDB-ACF9-B4BE1959CE90}"/>
            </c:ext>
          </c:extLst>
        </c:ser>
        <c:ser>
          <c:idx val="1"/>
          <c:order val="1"/>
          <c:tx>
            <c:strRef>
              <c:f>'Graficos Finales'!$C$1</c:f>
              <c:strCache>
                <c:ptCount val="1"/>
                <c:pt idx="0">
                  <c:v>Superficie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259850905218317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10-4BDB-ACF9-B4BE1959CE90}"/>
                </c:ext>
              </c:extLst>
            </c:dLbl>
            <c:dLbl>
              <c:idx val="2"/>
              <c:layout>
                <c:manualLayout>
                  <c:x val="-8.4000556918894792E-17"/>
                  <c:y val="-2.89330867312940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10-4BDB-ACF9-B4BE1959CE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Finales'!$A$2:$A$7</c:f>
              <c:strCache>
                <c:ptCount val="6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</c:strCache>
            </c:strRef>
          </c:cat>
          <c:val>
            <c:numRef>
              <c:f>'Graficos Finales'!$C$2:$C$7</c:f>
              <c:numCache>
                <c:formatCode>General</c:formatCode>
                <c:ptCount val="6"/>
                <c:pt idx="0">
                  <c:v>31</c:v>
                </c:pt>
                <c:pt idx="1">
                  <c:v>35</c:v>
                </c:pt>
                <c:pt idx="2">
                  <c:v>20</c:v>
                </c:pt>
                <c:pt idx="3">
                  <c:v>36</c:v>
                </c:pt>
                <c:pt idx="4">
                  <c:v>33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10-4BDB-ACF9-B4BE1959CE90}"/>
            </c:ext>
          </c:extLst>
        </c:ser>
        <c:ser>
          <c:idx val="2"/>
          <c:order val="2"/>
          <c:tx>
            <c:strRef>
              <c:f>'Graficos Finales'!$D$1</c:f>
              <c:strCache>
                <c:ptCount val="1"/>
                <c:pt idx="0">
                  <c:v>Accesorio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Finales'!$A$2:$A$7</c:f>
              <c:strCache>
                <c:ptCount val="6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</c:strCache>
            </c:strRef>
          </c:cat>
          <c:val>
            <c:numRef>
              <c:f>'Graficos Finales'!$D$2:$D$7</c:f>
              <c:numCache>
                <c:formatCode>General</c:formatCode>
                <c:ptCount val="6"/>
                <c:pt idx="0">
                  <c:v>10</c:v>
                </c:pt>
                <c:pt idx="1">
                  <c:v>18</c:v>
                </c:pt>
                <c:pt idx="2">
                  <c:v>10</c:v>
                </c:pt>
                <c:pt idx="3">
                  <c:v>7</c:v>
                </c:pt>
                <c:pt idx="4">
                  <c:v>16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10-4BDB-ACF9-B4BE1959CE90}"/>
            </c:ext>
          </c:extLst>
        </c:ser>
        <c:ser>
          <c:idx val="3"/>
          <c:order val="3"/>
          <c:tx>
            <c:strRef>
              <c:f>'Graficos Finales'!$E$1</c:f>
              <c:strCache>
                <c:ptCount val="1"/>
                <c:pt idx="0">
                  <c:v>Archivador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Finales'!$A$2:$A$7</c:f>
              <c:strCache>
                <c:ptCount val="6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</c:strCache>
            </c:strRef>
          </c:cat>
          <c:val>
            <c:numRef>
              <c:f>'Graficos Finales'!$E$2:$E$7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10-4BDB-ACF9-B4BE1959CE90}"/>
            </c:ext>
          </c:extLst>
        </c:ser>
        <c:ser>
          <c:idx val="4"/>
          <c:order val="4"/>
          <c:tx>
            <c:strRef>
              <c:f>'Graficos Finales'!$F$1</c:f>
              <c:strCache>
                <c:ptCount val="1"/>
                <c:pt idx="0">
                  <c:v>Repisa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Finales'!$A$2:$A$7</c:f>
              <c:strCache>
                <c:ptCount val="6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</c:strCache>
            </c:strRef>
          </c:cat>
          <c:val>
            <c:numRef>
              <c:f>'Graficos Finales'!$F$2:$F$7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10-4BDB-ACF9-B4BE1959CE90}"/>
            </c:ext>
          </c:extLst>
        </c:ser>
        <c:ser>
          <c:idx val="5"/>
          <c:order val="5"/>
          <c:tx>
            <c:strRef>
              <c:f>'Graficos Finales'!$G$1</c:f>
              <c:strCache>
                <c:ptCount val="1"/>
                <c:pt idx="0">
                  <c:v>Silla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Finales'!$A$2:$A$7</c:f>
              <c:strCache>
                <c:ptCount val="6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</c:strCache>
            </c:strRef>
          </c:cat>
          <c:val>
            <c:numRef>
              <c:f>'Graficos Finales'!$G$2:$G$7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10-4BDB-ACF9-B4BE1959CE90}"/>
            </c:ext>
          </c:extLst>
        </c:ser>
        <c:ser>
          <c:idx val="6"/>
          <c:order val="6"/>
          <c:tx>
            <c:strRef>
              <c:f>'Graficos Finales'!$H$1</c:f>
              <c:strCache>
                <c:ptCount val="1"/>
                <c:pt idx="0">
                  <c:v>Ruedas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Finales'!$A$2:$A$7</c:f>
              <c:strCache>
                <c:ptCount val="6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</c:strCache>
            </c:strRef>
          </c:cat>
          <c:val>
            <c:numRef>
              <c:f>'Graficos Finales'!$H$2:$H$7</c:f>
              <c:numCache>
                <c:formatCode>General</c:formatCode>
                <c:ptCount val="6"/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10-4BDB-ACF9-B4BE1959CE90}"/>
            </c:ext>
          </c:extLst>
        </c:ser>
        <c:ser>
          <c:idx val="7"/>
          <c:order val="7"/>
          <c:tx>
            <c:strRef>
              <c:f>'Graficos Finales'!$I$1</c:f>
              <c:strCache>
                <c:ptCount val="1"/>
                <c:pt idx="0">
                  <c:v>Instalaciones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Finales'!$A$2:$A$7</c:f>
              <c:strCache>
                <c:ptCount val="6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</c:strCache>
            </c:strRef>
          </c:cat>
          <c:val>
            <c:numRef>
              <c:f>'Graficos Finales'!$I$2:$I$7</c:f>
              <c:numCache>
                <c:formatCode>General</c:formatCode>
                <c:ptCount val="6"/>
                <c:pt idx="0">
                  <c:v>7</c:v>
                </c:pt>
                <c:pt idx="1">
                  <c:v>10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10-4BDB-ACF9-B4BE1959CE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53170240"/>
        <c:axId val="1853171904"/>
      </c:barChart>
      <c:catAx>
        <c:axId val="185317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3171904"/>
        <c:crosses val="autoZero"/>
        <c:auto val="1"/>
        <c:lblAlgn val="ctr"/>
        <c:lblOffset val="100"/>
        <c:noMultiLvlLbl val="0"/>
      </c:catAx>
      <c:valAx>
        <c:axId val="185317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317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[Seguimiento gestion despachos TECU 2026 Indicadores.xlsx]Graficos causales!TablaDinámica1</c:name>
    <c:fmtId val="3"/>
  </c:pivotSource>
  <c:chart>
    <c:title>
      <c:layout>
        <c:manualLayout>
          <c:xMode val="edge"/>
          <c:yMode val="edge"/>
          <c:x val="0.31204855643044621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3777777777777778E-2"/>
              <c:y val="-0.115124307378244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529308836395453E-2"/>
              <c:y val="-2.07775590551180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'Graficos causales'!$B$3:$B$4</c:f>
              <c:strCache>
                <c:ptCount val="1"/>
                <c:pt idx="0">
                  <c:v>enero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0C-48BE-AB81-7A7CB48063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A0C-48BE-AB81-7A7CB48063F4}"/>
              </c:ext>
            </c:extLst>
          </c:dPt>
          <c:dLbls>
            <c:dLbl>
              <c:idx val="0"/>
              <c:layout>
                <c:manualLayout>
                  <c:x val="1.3777777777777778E-2"/>
                  <c:y val="-0.1151243073782443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0C-48BE-AB81-7A7CB48063F4}"/>
                </c:ext>
              </c:extLst>
            </c:dLbl>
            <c:dLbl>
              <c:idx val="1"/>
              <c:layout>
                <c:manualLayout>
                  <c:x val="-3.2529308836395453E-2"/>
                  <c:y val="-2.077755905511806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0C-48BE-AB81-7A7CB48063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 causales'!$A$5:$A$7</c:f>
              <c:strCache>
                <c:ptCount val="2"/>
                <c:pt idx="0">
                  <c:v>Cumple</c:v>
                </c:pt>
                <c:pt idx="1">
                  <c:v>No cumple</c:v>
                </c:pt>
              </c:strCache>
            </c:strRef>
          </c:cat>
          <c:val>
            <c:numRef>
              <c:f>'Graficos causales'!$B$5:$B$7</c:f>
              <c:numCache>
                <c:formatCode>General</c:formatCode>
                <c:ptCount val="2"/>
                <c:pt idx="0">
                  <c:v>49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C-48BE-AB81-7A7CB48063F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[Seguimiento gestion despachos TECU 2026 Indicadores.xlsx]Graficos causales!TablaDinámica2</c:name>
    <c:fmtId val="1"/>
  </c:pivotSource>
  <c:chart>
    <c:title>
      <c:layout>
        <c:manualLayout>
          <c:xMode val="edge"/>
          <c:yMode val="edge"/>
          <c:x val="0.46973426147818481"/>
          <c:y val="6.660252386511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causales'!$B$19:$B$20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causales'!$A$21:$A$27</c:f>
              <c:strCache>
                <c:ptCount val="6"/>
                <c:pt idx="0">
                  <c:v>Demora en proceso de producción</c:v>
                </c:pt>
                <c:pt idx="1">
                  <c:v>Disponibilidad materia prima</c:v>
                </c:pt>
                <c:pt idx="2">
                  <c:v>Demora en proceso de pintura</c:v>
                </c:pt>
                <c:pt idx="3">
                  <c:v>Demora en entrega</c:v>
                </c:pt>
                <c:pt idx="4">
                  <c:v>Ausencia del cliente</c:v>
                </c:pt>
                <c:pt idx="5">
                  <c:v>Demora en proceso de producción- Novedad en el reparto</c:v>
                </c:pt>
              </c:strCache>
            </c:strRef>
          </c:cat>
          <c:val>
            <c:numRef>
              <c:f>'Graficos causales'!$B$21:$B$27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A-45AC-9E3E-1659C417A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8238512"/>
        <c:axId val="1778240912"/>
      </c:barChart>
      <c:catAx>
        <c:axId val="1778238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8240912"/>
        <c:crosses val="autoZero"/>
        <c:auto val="1"/>
        <c:lblAlgn val="ctr"/>
        <c:lblOffset val="100"/>
        <c:noMultiLvlLbl val="0"/>
      </c:catAx>
      <c:valAx>
        <c:axId val="177824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823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9477" cy="346364"/>
    <xdr:pic>
      <xdr:nvPicPr>
        <xdr:cNvPr id="2" name="image1.png">
          <a:extLst>
            <a:ext uri="{FF2B5EF4-FFF2-40B4-BE49-F238E27FC236}">
              <a16:creationId xmlns:a16="http://schemas.microsoft.com/office/drawing/2014/main" id="{DF5EB982-E136-47BD-A1DA-FE52A802DC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59477" cy="346364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9456" cy="345665"/>
    <xdr:pic>
      <xdr:nvPicPr>
        <xdr:cNvPr id="2" name="image2.png">
          <a:extLst>
            <a:ext uri="{FF2B5EF4-FFF2-40B4-BE49-F238E27FC236}">
              <a16:creationId xmlns:a16="http://schemas.microsoft.com/office/drawing/2014/main" id="{DAD18415-1DFC-49C2-A8A0-41F511703A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29456" cy="34566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28575</xdr:rowOff>
    </xdr:from>
    <xdr:ext cx="1400175" cy="419100"/>
    <xdr:pic>
      <xdr:nvPicPr>
        <xdr:cNvPr id="4" name="image1.png">
          <a:extLst>
            <a:ext uri="{FF2B5EF4-FFF2-40B4-BE49-F238E27FC236}">
              <a16:creationId xmlns:a16="http://schemas.microsoft.com/office/drawing/2014/main" id="{A87B03E0-BA1A-47F4-BAFB-F3DAA697DF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8575"/>
          <a:ext cx="1400175" cy="4191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400050</xdr:colOff>
      <xdr:row>15</xdr:row>
      <xdr:rowOff>95250</xdr:rowOff>
    </xdr:from>
    <xdr:to>
      <xdr:col>20</xdr:col>
      <xdr:colOff>485775</xdr:colOff>
      <xdr:row>28</xdr:row>
      <xdr:rowOff>180976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60A0FA-6261-4B12-924B-31584BA08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542925</xdr:colOff>
      <xdr:row>62</xdr:row>
      <xdr:rowOff>133350</xdr:rowOff>
    </xdr:from>
    <xdr:to>
      <xdr:col>18</xdr:col>
      <xdr:colOff>619126</xdr:colOff>
      <xdr:row>76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678A84-AE88-4BF3-90CB-B93814DE8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485775</xdr:colOff>
      <xdr:row>94</xdr:row>
      <xdr:rowOff>66677</xdr:rowOff>
    </xdr:from>
    <xdr:to>
      <xdr:col>21</xdr:col>
      <xdr:colOff>590550</xdr:colOff>
      <xdr:row>112</xdr:row>
      <xdr:rowOff>76201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33D550-F379-489C-92D9-7E215D508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881062</xdr:colOff>
      <xdr:row>34</xdr:row>
      <xdr:rowOff>180975</xdr:rowOff>
    </xdr:from>
    <xdr:to>
      <xdr:col>21</xdr:col>
      <xdr:colOff>342900</xdr:colOff>
      <xdr:row>56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1FE9BC9-8818-49FD-B60E-C689A6B12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723900</xdr:colOff>
      <xdr:row>0</xdr:row>
      <xdr:rowOff>122000</xdr:rowOff>
    </xdr:from>
    <xdr:to>
      <xdr:col>20</xdr:col>
      <xdr:colOff>371475</xdr:colOff>
      <xdr:row>14</xdr:row>
      <xdr:rowOff>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D9E75BB9-9F15-4DCD-B2F6-9ED7E41719E9}"/>
            </a:ext>
          </a:extLst>
        </xdr:cNvPr>
        <xdr:cNvGrpSpPr/>
      </xdr:nvGrpSpPr>
      <xdr:grpSpPr>
        <a:xfrm>
          <a:off x="12344400" y="122000"/>
          <a:ext cx="7717155" cy="2438320"/>
          <a:chOff x="12030075" y="217250"/>
          <a:chExt cx="7486650" cy="2545000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B2E436DA-B339-BCD2-FAF7-1FEE62B6EC74}"/>
              </a:ext>
            </a:extLst>
          </xdr:cNvPr>
          <xdr:cNvGraphicFramePr/>
        </xdr:nvGraphicFramePr>
        <xdr:xfrm>
          <a:off x="12030075" y="217250"/>
          <a:ext cx="7486650" cy="254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8" name="Bocadillo: ovalado 7">
            <a:extLst>
              <a:ext uri="{FF2B5EF4-FFF2-40B4-BE49-F238E27FC236}">
                <a16:creationId xmlns:a16="http://schemas.microsoft.com/office/drawing/2014/main" id="{0FD45EB3-1B2F-47C2-12E4-FAA749E563D0}"/>
              </a:ext>
            </a:extLst>
          </xdr:cNvPr>
          <xdr:cNvSpPr/>
        </xdr:nvSpPr>
        <xdr:spPr>
          <a:xfrm>
            <a:off x="16177231" y="274112"/>
            <a:ext cx="539144" cy="334107"/>
          </a:xfrm>
          <a:prstGeom prst="wedgeEllipseCallout">
            <a:avLst/>
          </a:prstGeom>
          <a:solidFill>
            <a:schemeClr val="accent6">
              <a:lumMod val="20000"/>
              <a:lumOff val="80000"/>
            </a:schemeClr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r>
              <a:rPr lang="es-MX" sz="800" kern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59%</a:t>
            </a:r>
            <a:endParaRPr lang="es-CO" sz="800" kern="12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" name="Bocadillo: ovalado 8">
            <a:extLst>
              <a:ext uri="{FF2B5EF4-FFF2-40B4-BE49-F238E27FC236}">
                <a16:creationId xmlns:a16="http://schemas.microsoft.com/office/drawing/2014/main" id="{0BED26FF-F201-E9B9-1F0E-2155E1FA0BF7}"/>
              </a:ext>
            </a:extLst>
          </xdr:cNvPr>
          <xdr:cNvSpPr/>
        </xdr:nvSpPr>
        <xdr:spPr>
          <a:xfrm>
            <a:off x="13863267" y="293608"/>
            <a:ext cx="509958" cy="318086"/>
          </a:xfrm>
          <a:prstGeom prst="wedgeEllipseCallout">
            <a:avLst/>
          </a:prstGeom>
          <a:solidFill>
            <a:schemeClr val="accent6">
              <a:lumMod val="20000"/>
              <a:lumOff val="80000"/>
            </a:schemeClr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r>
              <a:rPr lang="es-MX" sz="800" kern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33%</a:t>
            </a:r>
            <a:endParaRPr lang="es-CO" sz="800" kern="12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Bocadillo: ovalado 9">
            <a:extLst>
              <a:ext uri="{FF2B5EF4-FFF2-40B4-BE49-F238E27FC236}">
                <a16:creationId xmlns:a16="http://schemas.microsoft.com/office/drawing/2014/main" id="{9F26C592-3D4E-A5EB-1794-FA87BE020C4E}"/>
              </a:ext>
            </a:extLst>
          </xdr:cNvPr>
          <xdr:cNvSpPr/>
        </xdr:nvSpPr>
        <xdr:spPr>
          <a:xfrm>
            <a:off x="17372826" y="365396"/>
            <a:ext cx="515124" cy="306894"/>
          </a:xfrm>
          <a:prstGeom prst="wedgeEllipseCallout">
            <a:avLst/>
          </a:prstGeom>
          <a:solidFill>
            <a:schemeClr val="accent6">
              <a:lumMod val="20000"/>
              <a:lumOff val="80000"/>
            </a:schemeClr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800"/>
              <a:t>0%</a:t>
            </a:r>
          </a:p>
        </xdr:txBody>
      </xdr:sp>
      <xdr:sp macro="" textlink="">
        <xdr:nvSpPr>
          <xdr:cNvPr id="11" name="Bocadillo: ovalado 10">
            <a:extLst>
              <a:ext uri="{FF2B5EF4-FFF2-40B4-BE49-F238E27FC236}">
                <a16:creationId xmlns:a16="http://schemas.microsoft.com/office/drawing/2014/main" id="{89EE1AEC-DBE6-C7AF-3393-CC0E8E82729E}"/>
              </a:ext>
            </a:extLst>
          </xdr:cNvPr>
          <xdr:cNvSpPr/>
        </xdr:nvSpPr>
        <xdr:spPr>
          <a:xfrm>
            <a:off x="18459510" y="531013"/>
            <a:ext cx="552390" cy="310551"/>
          </a:xfrm>
          <a:prstGeom prst="wedgeEllipseCallout">
            <a:avLst/>
          </a:prstGeom>
          <a:solidFill>
            <a:schemeClr val="accent2">
              <a:lumMod val="20000"/>
              <a:lumOff val="80000"/>
            </a:schemeClr>
          </a:solidFill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800">
                <a:solidFill>
                  <a:srgbClr val="990000"/>
                </a:solidFill>
              </a:rPr>
              <a:t>-29%</a:t>
            </a:r>
            <a:endParaRPr lang="es-CO" sz="800">
              <a:solidFill>
                <a:srgbClr val="990000"/>
              </a:solidFill>
            </a:endParaRPr>
          </a:p>
        </xdr:txBody>
      </xdr:sp>
      <xdr:sp macro="" textlink="">
        <xdr:nvSpPr>
          <xdr:cNvPr id="12" name="Bocadillo: ovalado 11">
            <a:extLst>
              <a:ext uri="{FF2B5EF4-FFF2-40B4-BE49-F238E27FC236}">
                <a16:creationId xmlns:a16="http://schemas.microsoft.com/office/drawing/2014/main" id="{2F10D96D-CBE3-27A3-D1D5-775FA54D7AEF}"/>
              </a:ext>
            </a:extLst>
          </xdr:cNvPr>
          <xdr:cNvSpPr/>
        </xdr:nvSpPr>
        <xdr:spPr>
          <a:xfrm>
            <a:off x="14859000" y="464900"/>
            <a:ext cx="552390" cy="310551"/>
          </a:xfrm>
          <a:prstGeom prst="wedgeEllipseCallout">
            <a:avLst/>
          </a:prstGeom>
          <a:solidFill>
            <a:schemeClr val="accent2">
              <a:lumMod val="20000"/>
              <a:lumOff val="80000"/>
            </a:schemeClr>
          </a:solidFill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800">
                <a:solidFill>
                  <a:srgbClr val="990000"/>
                </a:solidFill>
              </a:rPr>
              <a:t>-45%</a:t>
            </a:r>
            <a:endParaRPr lang="es-CO" sz="800">
              <a:solidFill>
                <a:srgbClr val="990000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0</xdr:row>
      <xdr:rowOff>119062</xdr:rowOff>
    </xdr:from>
    <xdr:to>
      <xdr:col>11</xdr:col>
      <xdr:colOff>714375</xdr:colOff>
      <xdr:row>15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7E5BD4-8BE0-DAEC-BD9E-144608AC2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409575</xdr:colOff>
      <xdr:row>16</xdr:row>
      <xdr:rowOff>14287</xdr:rowOff>
    </xdr:from>
    <xdr:to>
      <xdr:col>14</xdr:col>
      <xdr:colOff>123825</xdr:colOff>
      <xdr:row>32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D5210C-7580-38BA-1F84-86A75343E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671.929746527778" createdVersion="8" refreshedVersion="8" minRefreshableVersion="3" recordCount="1210" xr:uid="{BB43740F-6B9C-4558-A180-7D235D5B967D}">
  <cacheSource type="worksheet">
    <worksheetSource ref="A4:X40" sheet="Base Ventas"/>
  </cacheSource>
  <cacheFields count="23">
    <cacheField name="Fecha" numFmtId="0">
      <sharedItems containsSemiMixedTypes="0" containsNonDate="0" containsDate="1" containsString="0" minDate="2024-01-02T00:00:00" maxDate="2024-12-31T00:00:00"/>
    </cacheField>
    <cacheField name="Mes" numFmtId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Semana" numFmtId="0">
      <sharedItems containsSemiMixedTypes="0" containsString="0" containsNumber="1" containsInteger="1" minValue="1" maxValue="53"/>
    </cacheField>
    <cacheField name="No orden" numFmtId="0">
      <sharedItems containsMixedTypes="1" containsNumber="1" containsInteger="1" minValue="1852" maxValue="2376"/>
    </cacheField>
    <cacheField name="Concepto" numFmtId="0">
      <sharedItems count="7">
        <s v="Venta"/>
        <s v="Garantia"/>
        <s v="RIFA"/>
        <s v="Préstamo"/>
        <s v="Cortesia"/>
        <s v="Cambio"/>
        <s v="Politica Satisfaccion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/>
    </cacheField>
    <cacheField name="Cantidad" numFmtId="1">
      <sharedItems containsSemiMixedTypes="0" containsString="0" containsNumber="1" containsInteger="1" minValue="1" maxValue="3"/>
    </cacheField>
    <cacheField name="Categoria" numFmtId="0">
      <sharedItems count="8">
        <s v="Standing Desk"/>
        <s v="Superficie"/>
        <s v="Repisa"/>
        <s v="Archivador"/>
        <s v="Accesorio"/>
        <s v="Silla"/>
        <s v="Ruedas"/>
        <s v="Instalaciones"/>
      </sharedItems>
    </cacheField>
    <cacheField name="Ciudad" numFmtId="0">
      <sharedItems count="24">
        <s v="Antioquia"/>
        <s v="Bogotá y alrededores"/>
        <s v="Atlantico"/>
        <s v="Cartagena"/>
        <s v="Valle del Cauca"/>
        <s v="Caldas"/>
        <s v="Boyaca"/>
        <s v="Santander"/>
        <s v="Arauca"/>
        <s v="Córdoba"/>
        <s v="Risaralda"/>
        <s v="Nariño"/>
        <s v="Magdalena"/>
        <s v="Tolima"/>
        <s v="Quindio"/>
        <s v="Norte de Santander"/>
        <s v="Cauca"/>
        <s v="Pasto"/>
        <s v="Villavicencio"/>
        <s v="Manizales"/>
        <s v="Santa Martha"/>
        <s v="Pereira"/>
        <s v="Monteria"/>
        <s v="Barranquilla"/>
      </sharedItems>
    </cacheField>
    <cacheField name="Lugar de entrega" numFmtId="0">
      <sharedItems count="55">
        <s v="Sabaneta"/>
        <s v="Bogota"/>
        <s v="Barranquilla"/>
        <s v="Medellin"/>
        <s v="Cartagena"/>
        <s v="Cali"/>
        <s v="Palmira"/>
        <s v="Villamaria"/>
        <s v="Itagui"/>
        <s v="Sogamoso"/>
        <s v="Envigado"/>
        <s v="Rionegro"/>
        <s v="Bello"/>
        <s v="Soledad"/>
        <s v="Chia"/>
        <s v="Zipaquira"/>
        <s v="Tenjo"/>
        <s v="bucaramanga"/>
        <s v="Floridablanca"/>
        <s v="Arauca"/>
        <s v="Monteria"/>
        <s v="Dosquebradas"/>
        <s v="Fusagasuga"/>
        <s v="Tunja"/>
        <s v="Retiro"/>
        <s v="La Union"/>
        <s v="Pereira"/>
        <s v="Santa Marta"/>
        <s v="Ibague"/>
        <s v="Armenia"/>
        <s v="Tulua"/>
        <s v="Marinilla"/>
        <s v="Barrancabermeja"/>
        <s v="Manizales"/>
        <s v="Cucuta"/>
        <s v="Sopo"/>
        <s v="Pasto"/>
        <s v="Popayan"/>
        <s v="la Estrella"/>
        <s v="Jamundi"/>
        <s v="Caucasia"/>
        <s v="Apia"/>
        <s v="Villavicencio"/>
        <s v="Caldas"/>
        <s v="Madrid"/>
        <s v="Cota"/>
        <s v="Chía"/>
        <s v="Santa Rosa de Cabal"/>
        <s v="Calera"/>
        <s v="Santa Martha"/>
        <s v="Mosquera"/>
        <s v="Zipáquira"/>
        <s v="yumbo"/>
        <s v="Meta"/>
        <s v="La tebaida"/>
      </sharedItems>
    </cacheField>
    <cacheField name="Status Despacho" numFmtId="0">
      <sharedItems containsBlank="1" count="5">
        <s v="Despachado"/>
        <s v="En alistamiento"/>
        <m/>
        <s v="NA"/>
        <e v="#N/A"/>
      </sharedItems>
    </cacheField>
    <cacheField name="Transportadora" numFmtId="1">
      <sharedItems containsBlank="1"/>
    </cacheField>
    <cacheField name="No guia" numFmtId="0">
      <sharedItems containsBlank="1" containsMixedTypes="1" containsNumber="1" containsInteger="1" minValue="9173879325" maxValue="9173879327"/>
    </cacheField>
    <cacheField name="Fecha de despacho" numFmtId="166">
      <sharedItems containsDate="1" containsBlank="1" containsMixedTypes="1" minDate="2024-01-03T00:00:00" maxDate="2025-12-11T00:00:00"/>
    </cacheField>
    <cacheField name="Fecha de Entrega" numFmtId="166">
      <sharedItems containsDate="1" containsBlank="1" containsMixedTypes="1" minDate="2024-01-04T00:00:00" maxDate="2025-12-12T00:00:00"/>
    </cacheField>
    <cacheField name="Status entrega " numFmtId="166">
      <sharedItems containsBlank="1" count="3">
        <s v="Entregado"/>
        <s v="En transito"/>
        <m/>
      </sharedItems>
    </cacheField>
    <cacheField name="Tiempo de despacho de orden" numFmtId="1">
      <sharedItems containsBlank="1" containsMixedTypes="1" containsNumber="1" containsInteger="1" minValue="-39118" maxValue="319"/>
    </cacheField>
    <cacheField name="Tiempo de entrega de la orden" numFmtId="1">
      <sharedItems containsBlank="1" containsMixedTypes="1" containsNumber="1" containsInteger="1" minValue="-13" maxValue="320"/>
    </cacheField>
    <cacheField name="Cumple NNS" numFmtId="1">
      <sharedItems containsBlank="1" count="6">
        <s v="No cumple"/>
        <s v="Cumple"/>
        <s v="PTE"/>
        <e v="#N/A"/>
        <e v="#VALUE!"/>
        <m/>
      </sharedItems>
    </cacheField>
    <cacheField name="Valor despacho" numFmtId="0">
      <sharedItems containsString="0" containsBlank="1" containsNumber="1" containsInteger="1" minValue="0" maxValue="133290"/>
    </cacheField>
    <cacheField name="Diferencia valor real vs Estimado" numFmtId="167">
      <sharedItems containsBlank="1" containsMixedTypes="1" containsNumber="1" containsInteger="1" minValue="-78611" maxValue="631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05.6077" createdVersion="8" refreshedVersion="8" minRefreshableVersion="3" recordCount="148" xr:uid="{7F333AF6-FEE4-48F2-B2FF-2F8BEE44CAB3}">
  <cacheSource type="worksheet">
    <worksheetSource ref="A4:Z103" sheet="Base Ventas"/>
  </cacheSource>
  <cacheFields count="23">
    <cacheField name="Fecha" numFmtId="14">
      <sharedItems containsSemiMixedTypes="0" containsNonDate="0" containsDate="1" containsString="0" minDate="2025-01-01T00:00:00" maxDate="2025-02-15T00:00:00"/>
    </cacheField>
    <cacheField name="Mes" numFmtId="1">
      <sharedItems count="2">
        <s v="enero"/>
        <s v="febrero"/>
      </sharedItems>
    </cacheField>
    <cacheField name="No orden" numFmtId="0">
      <sharedItems containsSemiMixedTypes="0" containsString="0" containsNumber="1" containsInteger="1" minValue="2366" maxValue="2443"/>
    </cacheField>
    <cacheField name="Concepto" numFmtId="0">
      <sharedItems count="3">
        <s v="Venta"/>
        <s v="Garantia"/>
        <s v="Cortesia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/>
    </cacheField>
    <cacheField name="Cantidad" numFmtId="1">
      <sharedItems containsSemiMixedTypes="0" containsString="0" containsNumber="1" containsInteger="1" minValue="1" maxValue="1"/>
    </cacheField>
    <cacheField name="Categoria" numFmtId="0">
      <sharedItems count="8">
        <s v="Accesorio"/>
        <s v="Standing Desk"/>
        <s v="Superficie"/>
        <s v="Instalacion"/>
        <s v="Silla"/>
        <s v="Archivador"/>
        <s v="Repisa"/>
        <s v="Ruedas"/>
      </sharedItems>
    </cacheField>
    <cacheField name="Ciudad" numFmtId="0">
      <sharedItems count="11">
        <s v="Antioquia"/>
        <s v="Bogotá y alrededores"/>
        <s v="Atlantico"/>
        <s v="Huila"/>
        <s v="Boyaca"/>
        <s v="Santander"/>
        <s v="Valle del Cauca"/>
        <s v="Monteria"/>
        <s v="Cauca"/>
        <s v="Quindio"/>
        <s v="Tolima"/>
      </sharedItems>
    </cacheField>
    <cacheField name="Lugar de entrega" numFmtId="0">
      <sharedItems count="19">
        <s v="La estrella"/>
        <s v="Bogota"/>
        <s v="Barranquilla"/>
        <s v="Neiva"/>
        <s v="Cota"/>
        <s v="Envigado"/>
        <s v="Carmen de Viboral"/>
        <s v="Tunja"/>
        <s v="Medellin"/>
        <s v="Bucaramanga"/>
        <s v="El Retiro"/>
        <s v="Jamundi"/>
        <s v="Cordoba"/>
        <s v="Duitama"/>
        <s v="Popayan"/>
        <s v="La tebaida"/>
        <s v="Ibague"/>
        <s v="Cali"/>
        <s v="Madrid"/>
      </sharedItems>
    </cacheField>
    <cacheField name="Status Despacho" numFmtId="0">
      <sharedItems count="3">
        <s v="Despachado"/>
        <s v="Instalacion"/>
        <s v="En alistamiento"/>
      </sharedItems>
    </cacheField>
    <cacheField name="Transportadora" numFmtId="1">
      <sharedItems/>
    </cacheField>
    <cacheField name="No guia" numFmtId="0">
      <sharedItems containsBlank="1"/>
    </cacheField>
    <cacheField name="Fecha de despacho" numFmtId="166">
      <sharedItems containsDate="1" containsBlank="1" containsMixedTypes="1" minDate="2025-01-07T00:00:00" maxDate="2025-02-14T00:00:00"/>
    </cacheField>
    <cacheField name="Fecha de Entrega" numFmtId="166">
      <sharedItems containsDate="1" containsBlank="1" containsMixedTypes="1" minDate="2025-01-08T00:00:00" maxDate="2025-02-13T00:00:00"/>
    </cacheField>
    <cacheField name="Status entrega " numFmtId="166">
      <sharedItems containsBlank="1" count="3">
        <s v="Entregado"/>
        <s v="En transito"/>
        <m/>
      </sharedItems>
    </cacheField>
    <cacheField name="Tiempo de despacho de orden" numFmtId="1">
      <sharedItems containsBlank="1" containsMixedTypes="1" containsNumber="1" containsInteger="1" minValue="0" maxValue="3"/>
    </cacheField>
    <cacheField name="Tiempo de entrega de la orden" numFmtId="1">
      <sharedItems containsBlank="1" containsMixedTypes="1" containsNumber="1" containsInteger="1" minValue="0" maxValue="13"/>
    </cacheField>
    <cacheField name="Cumple NNS" numFmtId="1">
      <sharedItems containsBlank="1"/>
    </cacheField>
    <cacheField name="Valor despacho" numFmtId="167">
      <sharedItems containsString="0" containsBlank="1" containsNumber="1" containsInteger="1" minValue="0" maxValue="112444"/>
    </cacheField>
    <cacheField name="Diferencia valor real vs Estimado" numFmtId="167">
      <sharedItems containsString="0" containsBlank="1" containsNumber="1" containsInteger="1" minValue="29257" maxValue="47258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23.436073726851" createdVersion="8" refreshedVersion="8" minRefreshableVersion="3" recordCount="207" xr:uid="{8AF158AB-B977-4E6C-9C81-C00A819C1D9D}">
  <cacheSource type="worksheet">
    <worksheetSource ref="A4:Z103" sheet="Base Ventas"/>
  </cacheSource>
  <cacheFields count="23">
    <cacheField name="Fecha" numFmtId="14">
      <sharedItems containsSemiMixedTypes="0" containsNonDate="0" containsDate="1" containsString="0" minDate="2025-01-01T00:00:00" maxDate="2025-03-07T00:00:00"/>
    </cacheField>
    <cacheField name="Mes" numFmtId="1">
      <sharedItems count="3">
        <s v="enero"/>
        <s v="febrero"/>
        <s v="marzo"/>
      </sharedItems>
    </cacheField>
    <cacheField name="No orden" numFmtId="0">
      <sharedItems containsSemiMixedTypes="0" containsString="0" containsNumber="1" containsInteger="1" minValue="2366" maxValue="2471"/>
    </cacheField>
    <cacheField name="Concepto" numFmtId="0">
      <sharedItems count="3">
        <s v="Venta"/>
        <s v="Garantia"/>
        <s v="Cortesia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 count="54">
        <s v="Desk Pad B Negro Café Miel"/>
        <s v="Desk Pad B Negro Azul"/>
        <s v="Electric Standing Desk GO Blanco"/>
        <s v="Superficie  Fresno Europeo 120x70 Clasico Small"/>
        <s v="Bandeja de cables"/>
        <s v="Electric Standing Desk GO Negro"/>
        <s v="Superficie Caramelo 140x70 Clasico"/>
        <s v="Electric Standing Desk  En L Frame Negro 2.0"/>
        <s v="Superficie en L Roble Negro"/>
        <s v="Bandeja Piano"/>
        <s v="Servicio Instalacion"/>
        <s v="Superficie  Roble Negro 120x70 Clasico Small"/>
        <s v="Electric Standing Desk  PRO Negro"/>
        <s v="Desk Stool Negra Silla ajustable"/>
        <s v="Superficie  Fresno Europeo 140x70 Clasico"/>
        <s v="Archivador TECU  Caramelo"/>
        <s v="Superficie  Caramelo 160x70 Clasico"/>
        <s v="Superficie  en L Negro"/>
        <s v="Repisa Negro"/>
        <s v="Superficie  Caramelo 180x70 Clasico"/>
        <s v="Superficie  Roble Negro 160x70 Clasico"/>
        <s v="Superficie  Fresno Europeo 180x70 Clasico"/>
        <s v="Superficie  Roble negro 150x70 Clasico"/>
        <s v="Superficie Caramelo 130x70 Clasico"/>
        <s v="Superficie  Caramelo 160x70 Moderno"/>
        <s v="Rodachines con freno para Standing desk x 6 UN"/>
        <s v="Archivador TECU  Negro"/>
        <s v="Superficie Roble Miel 150x70 Clasico"/>
        <s v="Superficie  Fresno Europeo 160x70 Clasico"/>
        <s v="Superficie  Fresno Europeo 150x70 Clasico"/>
        <s v="Repisa Caramelo"/>
        <s v="Rodachines con freno para Standing desk x 4 UN"/>
        <s v="Laptop Stand B"/>
        <s v="Superficie  Fresno Europeo 180x70 Moderno"/>
        <s v="Electric Standing Desk  PRO Blanco"/>
        <s v="Superficie  Fresno Europeo 170x70 Moderno"/>
        <s v="Superficie Niebla 200x70 Clasico"/>
        <s v="Superficie  Caramelo 120x70 Clasico Small"/>
        <s v="Superficie Niebla 170x70 Clasico"/>
        <s v="Superficie  Fresno Europeo 130x70 Clasico"/>
        <s v="Superficie Caramelo 150x70 Moderno"/>
        <s v="Superficie Niebla 150x70 Moderno"/>
        <s v="Repisa Miel"/>
        <s v="Archivador TECU Fresno Europeo"/>
        <s v="Servicio de instalacion"/>
        <s v="Archivador TECU  Blanco (Niebla)"/>
        <s v="Superficie  en L Caramelo"/>
        <s v="Superficie Niebla 130x70 Clasico"/>
        <s v="Superficie  Fresno Europeo 160x70 Moderno"/>
        <s v="Archivador TECU  Miel"/>
        <s v="Superficie Roble Miel 180x70 Clasico"/>
        <s v="Superficie Niebla 180x70 Moderno"/>
        <s v="Superficie Caramelo 150x70 Clasico"/>
        <s v="Superficie  Roble Negro 150x70 Moderno"/>
      </sharedItems>
    </cacheField>
    <cacheField name="Cantidad" numFmtId="1">
      <sharedItems containsString="0" containsBlank="1" containsNumber="1" containsInteger="1" minValue="1" maxValue="2"/>
    </cacheField>
    <cacheField name="Categoria" numFmtId="0">
      <sharedItems count="8">
        <s v="Accesorio"/>
        <s v="Standing Desk"/>
        <s v="Superficie"/>
        <s v="Instalacion"/>
        <s v="Silla"/>
        <s v="Archivador"/>
        <s v="Repisa"/>
        <s v="Ruedas"/>
      </sharedItems>
    </cacheField>
    <cacheField name="Ciudad" numFmtId="0">
      <sharedItems count="12">
        <s v="Antioquia"/>
        <s v="Bogotá y alrededores"/>
        <s v="Atlantico"/>
        <s v="Huila"/>
        <s v="Boyaca"/>
        <s v="Santander"/>
        <s v="Valle del Cauca"/>
        <s v="Monteria"/>
        <s v="Cauca"/>
        <s v="Quindio"/>
        <s v="Tolima"/>
        <s v="Risaralda"/>
      </sharedItems>
    </cacheField>
    <cacheField name="Lugar de entrega" numFmtId="0">
      <sharedItems count="24">
        <s v="La estrella"/>
        <s v="Bogota"/>
        <s v="Barranquilla"/>
        <s v="Neiva"/>
        <s v="Cota"/>
        <s v="Envigado"/>
        <s v="Carmen de Viboral"/>
        <s v="Tunja"/>
        <s v="Medellin"/>
        <s v="Bucaramanga"/>
        <s v="El Retiro"/>
        <s v="Jamundi"/>
        <s v="Cordoba"/>
        <s v="Duitama"/>
        <s v="Popayan"/>
        <s v="La tebaida"/>
        <s v="Ibague"/>
        <s v="Cali"/>
        <s v="Madrid"/>
        <s v="Pereira"/>
        <s v="Mosquera"/>
        <s v="Cajica"/>
        <s v="Marinilla"/>
        <s v="Bello"/>
      </sharedItems>
    </cacheField>
    <cacheField name="Status Despacho" numFmtId="0">
      <sharedItems count="3">
        <s v="Despachado"/>
        <s v="Instalacion"/>
        <s v="En alistamiento"/>
      </sharedItems>
    </cacheField>
    <cacheField name="Transportadora" numFmtId="1">
      <sharedItems/>
    </cacheField>
    <cacheField name="No guia" numFmtId="0">
      <sharedItems containsBlank="1"/>
    </cacheField>
    <cacheField name="Fecha de despacho" numFmtId="166">
      <sharedItems containsDate="1" containsBlank="1" containsMixedTypes="1" minDate="2025-01-07T00:00:00" maxDate="2025-03-04T15:47:29"/>
    </cacheField>
    <cacheField name="Fecha de Entrega" numFmtId="166">
      <sharedItems containsDate="1" containsBlank="1" containsMixedTypes="1" minDate="1906-09-23T00:00:00" maxDate="2025-03-06T09:33:29"/>
    </cacheField>
    <cacheField name="Status entrega " numFmtId="166">
      <sharedItems count="2">
        <s v="Entregado"/>
        <s v="En transito"/>
      </sharedItems>
    </cacheField>
    <cacheField name="Tiempo de despacho de orden" numFmtId="1">
      <sharedItems containsBlank="1" containsMixedTypes="1" containsNumber="1" containsInteger="1" minValue="-3" maxValue="3"/>
    </cacheField>
    <cacheField name="Tiempo de entrega de la orden" numFmtId="1">
      <sharedItems containsBlank="1" containsMixedTypes="1" containsNumber="1" containsInteger="1" minValue="-39190" maxValue="13"/>
    </cacheField>
    <cacheField name="Cumple NNS" numFmtId="1">
      <sharedItems containsBlank="1"/>
    </cacheField>
    <cacheField name="Valor despacho" numFmtId="167">
      <sharedItems containsString="0" containsBlank="1" containsNumber="1" containsInteger="1" minValue="0" maxValue="112444"/>
    </cacheField>
    <cacheField name="Diferencia valor real vs Estimado" numFmtId="167">
      <sharedItems containsString="0" containsBlank="1" containsNumber="1" containsInteger="1" minValue="29257" maxValue="47258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19.454963194446" createdVersion="8" refreshedVersion="8" minRefreshableVersion="3" recordCount="492" xr:uid="{2B6967E5-CC9B-468D-B8BE-03C02DC64CEF}">
  <cacheSource type="worksheet">
    <worksheetSource ref="A4:Z103" sheet="Base Ventas"/>
  </cacheSource>
  <cacheFields count="23">
    <cacheField name="Fecha" numFmtId="14">
      <sharedItems containsSemiMixedTypes="0" containsNonDate="0" containsDate="1" containsString="0" minDate="2025-01-01T00:00:00" maxDate="2025-06-07T00:00:00"/>
    </cacheField>
    <cacheField name="Mes" numFmtId="1">
      <sharedItems count="6">
        <s v="enero"/>
        <s v="febrero"/>
        <s v="marzo"/>
        <s v="abril"/>
        <s v="mayo"/>
        <s v="junio"/>
      </sharedItems>
    </cacheField>
    <cacheField name="No orden" numFmtId="0">
      <sharedItems containsSemiMixedTypes="0" containsString="0" containsNumber="1" containsInteger="1" minValue="2120" maxValue="2580"/>
    </cacheField>
    <cacheField name="Concepto" numFmtId="0">
      <sharedItems count="5">
        <s v="Venta"/>
        <s v="Garantia"/>
        <s v="Cortesia"/>
        <s v="Novedad"/>
        <s v="Obsequio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 count="73">
        <s v="Desk Pad B Negro Café Miel"/>
        <s v="Desk Pad B Negro Azul"/>
        <s v="Electric Standing Desk GO Blanco"/>
        <s v="Superficie  Fresno Europeo 120x70 Clasico Small"/>
        <s v="Bandeja de cables"/>
        <s v="Electric Standing Desk GO Negro"/>
        <s v="Superficie Caramelo 140x70 Clasico"/>
        <s v="Electric Standing Desk  En L Frame Negro 2.0"/>
        <s v="Superficie en L Roble Negro"/>
        <s v="Bandeja Piano"/>
        <s v="Servicio Instalacion"/>
        <s v="Superficie  Roble Negro 120x70 Clasico Small"/>
        <s v="Electric Standing Desk  PRO Negro"/>
        <s v="Desk Stool Negra Silla ajustable"/>
        <s v="Superficie  Fresno Europeo 140x70 Clasico"/>
        <s v="Archivador TECU  Caramelo"/>
        <s v="Superficie  Caramelo 160x70 Clasico"/>
        <s v="Superficie  en L Negro"/>
        <s v="Repisa Negro"/>
        <s v="Superficie  Caramelo 180x70 Clasico"/>
        <s v="Superficie  Roble Negro 160x70 Clasico"/>
        <s v="Superficie  Fresno Europeo 180x70 Clasico"/>
        <s v="Superficie  Roble negro 150x70 Clasico"/>
        <s v="Superficie Caramelo 130x70 Clasico"/>
        <s v="Superficie  Caramelo 160x70 Moderno"/>
        <s v="Rodachines con freno para Standing desk x 6 UN"/>
        <s v="Archivador TECU  Negro"/>
        <s v="Superficie Roble Miel 150x70 Clasico"/>
        <s v="Superficie  Fresno Europeo 160x70 Clasico"/>
        <s v="Superficie  Fresno Europeo 150x70 Clasico"/>
        <s v="Repisa Caramelo"/>
        <s v="Rodachines con freno para Standing desk x 4 UN"/>
        <s v="Laptop Stand B"/>
        <s v="Superficie  Fresno Europeo 180x70 Moderno"/>
        <s v="Electric Standing Desk  PRO Blanco"/>
        <s v="Superficie  Fresno Europeo 170x70 Moderno"/>
        <s v="Superficie Niebla 200x70 Clasico"/>
        <s v="Superficie  Caramelo 120x70 Clasico Small"/>
        <s v="Superficie Niebla 170x70 Clasico"/>
        <s v="Superficie  Fresno Europeo 130x70 Clasico"/>
        <s v="Superficie Caramelo 150x70 Moderno"/>
        <s v="Superficie Niebla 150x70 Moderno"/>
        <s v="Repisa Miel"/>
        <s v="Archivador TECU Fresno Europeo"/>
        <s v="Archivador TECU  Blanco (Niebla)"/>
        <s v="Superficie  en L Caramelo"/>
        <s v="Superficie Niebla 130x70 Clasico"/>
        <s v="Superficie  Fresno Europeo 160x70 Moderno"/>
        <s v="Archivador TECU  Miel"/>
        <s v="Superficie Roble Miel 180x70 Clasico"/>
        <s v="Superficie Niebla 180x70 Moderno"/>
        <s v="Superficie Caramelo 150x70 Clasico"/>
        <s v="Superficie  Roble Negro 150x70 Moderno"/>
        <s v="Superficie  Fresno Europeo 170x70 Clasico"/>
        <s v="Bandeja de teclado"/>
        <s v="Electric Standing Desk  PRO Negro circular"/>
        <s v="Superficie Niebla 150x70 Clasico"/>
        <s v="Superficie  Roble Negro 140x70 Clasico"/>
        <s v="Superficie  Roble Negro 180x70 Clasico"/>
        <s v="Superficie  Music Caramelo"/>
        <s v="Superficie  Roble Negro 170x70 Clasico"/>
        <s v="Superficie  en L Niebla"/>
        <s v="Superficie  Caramelo 200x70 Clasico"/>
        <s v="Superficie en L Fresno Europeo"/>
        <s v="Desk Stool Gris Silla ajustable"/>
        <s v="Superficie  Roble Negro 200x70 Clasico"/>
        <s v="Electric Standing Desk  PRO Blanco circular"/>
        <s v="Superficie  Roble Negro 130x70 Clasico"/>
        <s v="Superficie Niebla 120x70 Clasico Small"/>
        <s v="Superficie  Music Roble Negro"/>
        <s v="Superficie  Caramelo 170x70 Clasico"/>
        <s v="Repisa TECU Fresno Europeo"/>
        <s v="Superficie Niebla 160x70 Clasico"/>
      </sharedItems>
    </cacheField>
    <cacheField name="Cantidad" numFmtId="1">
      <sharedItems containsSemiMixedTypes="0" containsString="0" containsNumber="1" containsInteger="1" minValue="0" maxValue="2"/>
    </cacheField>
    <cacheField name="Categoria" numFmtId="0">
      <sharedItems count="8">
        <s v="Accesorio"/>
        <s v="Standing Desk"/>
        <s v="Superficie"/>
        <s v="Instalacion"/>
        <s v="Silla"/>
        <s v="Archivador"/>
        <s v="Repisa"/>
        <s v="Ruedas"/>
      </sharedItems>
    </cacheField>
    <cacheField name="Ciudad" numFmtId="0">
      <sharedItems count="15">
        <s v="Antioquia"/>
        <s v="Bogotá y alrededores"/>
        <s v="Atlantico"/>
        <s v="Huila"/>
        <s v="Boyaca"/>
        <s v="Santander"/>
        <s v="Valle del Cauca"/>
        <s v="Monteria"/>
        <s v="Cauca"/>
        <s v="Quindio"/>
        <s v="Tolima"/>
        <s v="Risaralda"/>
        <s v="Norte de Santander"/>
        <s v="Caldas"/>
        <s v="Cartagena"/>
      </sharedItems>
    </cacheField>
    <cacheField name="Lugar de entrega" numFmtId="0">
      <sharedItems count="45">
        <s v="La estrella"/>
        <s v="Bogota"/>
        <s v="Barranquilla"/>
        <s v="Neiva"/>
        <s v="Cota"/>
        <s v="Envigado"/>
        <s v="Carmen de Viboral"/>
        <s v="Tunja"/>
        <s v="Medellin"/>
        <s v="Bucaramanga"/>
        <s v="El Retiro"/>
        <s v="Jamundi"/>
        <s v="Cordoba"/>
        <s v="Duitama"/>
        <s v="Popayan"/>
        <s v="La tebaida"/>
        <s v="Ibague"/>
        <s v="Cali"/>
        <s v="Madrid"/>
        <s v="Pereira"/>
        <s v="Mosquera"/>
        <s v="Cajica"/>
        <s v="Marinilla"/>
        <s v="Bello"/>
        <s v="Los patios"/>
        <s v="Villa del rosario"/>
        <s v="Santa Rosa de Cabal"/>
        <s v="Copcabana"/>
        <s v="Manizales"/>
        <s v="Siberia"/>
        <s v="Itagui"/>
        <s v="Sogamoso"/>
        <s v="Cartagena"/>
        <s v="Zipaquira"/>
        <s v="Rionegro"/>
        <s v="Chía"/>
        <s v="Floridablanca"/>
        <s v="Piedacuesta"/>
        <s v="Soacha"/>
        <s v="Retiro"/>
        <s v="Palmira"/>
        <s v="Funza"/>
        <s v="Chia"/>
        <s v="Barrancabermeja"/>
        <s v="Candelaria"/>
      </sharedItems>
    </cacheField>
    <cacheField name="Status Despacho" numFmtId="0">
      <sharedItems count="3">
        <s v="Despachado"/>
        <s v="Instalacion"/>
        <s v="En alistamiento"/>
      </sharedItems>
    </cacheField>
    <cacheField name="Transportadora" numFmtId="1">
      <sharedItems/>
    </cacheField>
    <cacheField name="No guia" numFmtId="0">
      <sharedItems containsBlank="1"/>
    </cacheField>
    <cacheField name="Fecha de despacho" numFmtId="14">
      <sharedItems containsDate="1" containsBlank="1" containsMixedTypes="1" minDate="2025-01-07T00:00:00" maxDate="2025-06-11T00:00:00"/>
    </cacheField>
    <cacheField name="Fecha de Entrega" numFmtId="14">
      <sharedItems containsDate="1" containsBlank="1" containsMixedTypes="1" minDate="2025-01-08T00:00:00" maxDate="2025-06-10T00:00:00"/>
    </cacheField>
    <cacheField name="Status entrega " numFmtId="166">
      <sharedItems containsBlank="1" count="3">
        <s v="Entregado"/>
        <s v="En transito"/>
        <m/>
      </sharedItems>
    </cacheField>
    <cacheField name="Tiempo de despacho de orden" numFmtId="1">
      <sharedItems containsBlank="1" containsMixedTypes="1" containsNumber="1" containsInteger="1" minValue="-3" maxValue="18"/>
    </cacheField>
    <cacheField name="Tiempo de entrega de la orden" numFmtId="1">
      <sharedItems containsBlank="1" containsMixedTypes="1" containsNumber="1" containsInteger="1" minValue="-39264" maxValue="20"/>
    </cacheField>
    <cacheField name="Cumple NNS" numFmtId="1">
      <sharedItems containsBlank="1"/>
    </cacheField>
    <cacheField name="Valor despacho" numFmtId="167">
      <sharedItems containsString="0" containsBlank="1" containsNumber="1" containsInteger="1" minValue="0" maxValue="153778"/>
    </cacheField>
    <cacheField name="Diferencia valor real vs Estimado" numFmtId="167">
      <sharedItems containsBlank="1" containsMixedTypes="1" containsNumber="1" containsInteger="1" minValue="24093" maxValue="54929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rodriguez" refreshedDate="46010.588914236112" createdVersion="8" refreshedVersion="8" minRefreshableVersion="3" recordCount="1024" xr:uid="{1C9FCCE2-AC84-4327-81D3-42BBAA178AC4}">
  <cacheSource type="worksheet">
    <worksheetSource ref="A4:Z103" sheet="Base Ventas"/>
  </cacheSource>
  <cacheFields count="23">
    <cacheField name="Fecha" numFmtId="14">
      <sharedItems containsNonDate="0" containsDate="1" containsString="0" containsBlank="1" minDate="2025-01-01T00:00:00" maxDate="2025-12-01T00:00:00"/>
    </cacheField>
    <cacheField name="Mes" numFmtId="1">
      <sharedItems count="11">
        <s v="enero"/>
        <s v="febrero"/>
        <s v="marzo"/>
        <s v="abril"/>
        <s v="mayo"/>
        <s v="junio"/>
        <s v="julio"/>
        <s v="agosto"/>
        <s v="septiembre"/>
        <s v="octubre"/>
        <s v="noviembre"/>
      </sharedItems>
    </cacheField>
    <cacheField name="No orden" numFmtId="0">
      <sharedItems containsMixedTypes="1" containsNumber="1" containsInteger="1" minValue="2120" maxValue="100226"/>
    </cacheField>
    <cacheField name="Concepto" numFmtId="0">
      <sharedItems count="5">
        <s v="Venta"/>
        <s v="Garantia"/>
        <s v="Cortesia"/>
        <s v="Novedad"/>
        <s v="Obsequio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 count="116">
        <s v="Desk Pad B Negro Café Miel"/>
        <s v="Desk Pad B Negro Azul"/>
        <s v="Electric Standing Desk GO Blanco"/>
        <s v="Superficie  Fresno Europeo 120x70 Clasico Small"/>
        <s v="Bandeja de cables"/>
        <s v="Electric Standing Desk GO Negro"/>
        <s v="Superficie Caramelo 140x70 Clasico"/>
        <s v="Electric Standing Desk  En L Frame Negro 2.0"/>
        <s v="Superficie en L Roble Negro 180x150cm x 70"/>
        <s v="Bandeja Piano"/>
        <s v="Servicio de instalacion"/>
        <s v="Superficie  Roble Negro 120x70 Clasico Small"/>
        <s v="Electric Standing Desk  PRO Negro"/>
        <s v="Desk Stool Negra Silla ajustable"/>
        <s v="Superficie  Fresno Europeo 140x70 Clasico"/>
        <s v="Archivador TECU  Caramelo"/>
        <s v="Superficie  Caramelo 160x70 Clasico"/>
        <s v="Superficie  en L Negro 180x150cm x 70"/>
        <s v="Repisa Negro"/>
        <s v="Superficie  Caramelo 180x70 Clasico"/>
        <s v="Superficie  Roble Negro 160x70 Clasico"/>
        <s v="Superficie  Fresno Europeo 180x70 Clasico"/>
        <s v="Superficie  Roble negro 150x70 Clasico"/>
        <s v="Superficie Caramelo 130x70 Clasico"/>
        <s v="Superficie  Caramelo 160x70 Moderno"/>
        <s v="Rodachines con freno para Standing desk x 6 UN"/>
        <s v="Archivador TECU  Negro"/>
        <s v="Superficie Roble Miel 150x70 Clasico"/>
        <s v="Superficie  Fresno Europeo 160x70 Clasico"/>
        <s v="Superficie  Fresno Europeo 150x70 Clasico"/>
        <s v="Repisa Caramelo"/>
        <s v="Rodachines con freno para Standing desk x 4 UN"/>
        <s v="Laptop Stand B"/>
        <s v="Superficie  Fresno Europeo 180x70 Moderno"/>
        <s v="Electric Standing Desk  PRO Blanco"/>
        <s v="Superficie  Fresno Europeo 170x70 Moderno"/>
        <s v="Superficie Niebla 200x70 Clasico"/>
        <s v="Superficie  Caramelo 120x70 Clasico Small"/>
        <s v="Superficie Niebla 170x70 Clasico"/>
        <s v="Superficie  Fresno Europeo 130x70 Clasico"/>
        <s v="Superficie Caramelo 150x70 Moderno"/>
        <s v="Superficie Niebla 150x70 Moderno"/>
        <s v="Repisa Miel"/>
        <s v="Archivador TECU Fresno Europeo"/>
        <s v="Archivador TECU  Blanco (Niebla)"/>
        <s v="Superficie  en L Caramelo 180x150cm x 70"/>
        <s v="Superficie Niebla 130x70 Clasico"/>
        <s v="Superficie  Fresno Europeo 160x70 Moderno"/>
        <s v="Archivador TECU  Miel"/>
        <s v="Superficie Roble Miel 180x70 Clasico"/>
        <s v="Superficie Niebla 180x70 Moderno"/>
        <s v="Superficie Caramelo 150x70 Clasico"/>
        <s v="Superficie  Roble Negro 150x70 Moderno"/>
        <s v="Superficie  Fresno Europeo 170x70 Clasico"/>
        <s v="Bandeja de teclado"/>
        <s v="Electric Standing Desk  PRO Negro circular"/>
        <s v="Superficie Niebla 150x70 Clasico"/>
        <s v="Superficie  Roble Negro 140x70 Clasico"/>
        <s v="Superficie  Roble Negro 180x70 Clasico"/>
        <s v="Superficie  Music Caramelo"/>
        <s v="Superficie  Roble Negro 170x70 Clasico"/>
        <s v="Superficie  en L Niebla 180x150cm x 70"/>
        <s v="Superficie  Caramelo 200x70 Clasico"/>
        <s v="Superficie en L Fresno 180x150cm x 70"/>
        <s v="Desk Stool Gris Silla ajustable"/>
        <s v="Superficie  Roble Negro 200x70 Clasico"/>
        <s v="Electric Standing Desk  PRO Blanco circular"/>
        <s v="Superficie  Roble Negro 130x70 Clasico"/>
        <s v="Superficie Niebla 120x70 Clasico Small"/>
        <s v="Superficie  Music Roble Negro"/>
        <s v="Superficie  Caramelo 170x70 Clasico"/>
        <s v="Repisa TECU Fresno Europeo"/>
        <s v="Superficie Niebla 160x70 Clasico"/>
        <s v="Superficie Roble Miel 180x70 Moderno"/>
        <s v="Superficie  Fresno Europeo 150x70 Moderno"/>
        <s v="Repisa Niebla"/>
        <s v="Superficie Niebla 180x70 Clasico"/>
        <s v="Superficie  Roble Negro 180x70 Moderno"/>
        <s v="Superficie Roble Caramelo 180x70 Clasico"/>
        <s v="Superficie Escritorio Caramelo 160x60 Clasico"/>
        <s v="Repisa Flotante Caramelo x 80cm"/>
        <s v="Cajonero 2.0 Bicolor Caramelo x77cm"/>
        <s v="Superficie Escritorio Caramelo 130x60 Clasico"/>
        <s v="Repisa Escritorio Fresno Europeo x 110cm"/>
        <s v="Repisa Escritorio Negro x 80cm"/>
        <s v="Superficie Escritorio Fresno Europeo 120x60 Clasico Small"/>
        <s v="Escritorio FIjo Linea - T x 72,5 cm"/>
        <s v="Superficie Escritorio Caramelo 150x60 Clasico"/>
        <s v="Repisa Escritorio Caramelo x 110cm"/>
        <s v="Cajonero 2.0 Bicolor Caramelo x73cm"/>
        <s v="Superficie  Fresno Europeo 190x70 Clasico"/>
        <s v="Superficie Escritorio Blanco (Niebla) 130x60 Clasico"/>
        <s v="Superficie Escritorio Fresno Europeo 180x80 Clasico"/>
        <s v="Superficie Escritorio Fresno Europeo 180x80 Moderno"/>
        <s v="Superficie  en L Roble Negro 150x150cm x60"/>
        <s v="Superficie Escritorio Blanco (Niebla) 120x60 Clasico Small"/>
        <s v=" "/>
        <s v="Cajonero 2.0 Unicolor Fresno Europeo x65cm"/>
        <s v="Repisa Escritorio Caramelo x 80cm"/>
        <s v="Superficie Escritorio Fresno Europeo 160x80 Clasico"/>
        <s v="Superficie Escritorio Roble Negro 200x80 Clasico"/>
        <s v="Superficie  en L Fresno 180x150cm x60"/>
        <s v="Repisa Flotante Fresno Europeo x 80cm"/>
        <s v="Cajonero 2.0 Bicolor Fresno Europeo x73cm"/>
        <s v="Superficie Escritorio Roble Negro 120x60 Clasico Small"/>
        <s v="Superficie Escritorio Fresno Europeo 140x60 Clasico"/>
        <s v="Superficie Escritorio Blanco (Niebla) 160x80 Clasico"/>
        <s v="Superficie Escritorio Caramelo 120x60 Clasico Small"/>
        <s v="Superficie  Caramelo 190x70 Clasico"/>
        <s v="Superficie Escritorio Fresno Europeo 150x80 Clasico"/>
        <s v="Cajonero 2.0 Bicolor Caramelo x65cm"/>
        <s v="Superficie Escritorio Fresno Europeo 160x60 Clasico"/>
        <s v="Superficie Escritorio Caramelo en L 150x70"/>
        <s v="Escritorio FIjo Linea - E x 72,5 cm"/>
        <s v="Superficie Escritorio Fresno Europeo 120x80 Clasico Small"/>
        <s v="Superficie Escritorio Fresno Europeo 130x60 Clasico"/>
      </sharedItems>
    </cacheField>
    <cacheField name="Cantidad" numFmtId="1">
      <sharedItems containsString="0" containsBlank="1" containsNumber="1" containsInteger="1" minValue="1" maxValue="2"/>
    </cacheField>
    <cacheField name="Categoria" numFmtId="0">
      <sharedItems count="10">
        <s v="Accesorio"/>
        <s v="Standing Desk"/>
        <s v="Superficie"/>
        <s v="Instalacion"/>
        <s v="Silla"/>
        <s v="Archivador"/>
        <s v="Repisa"/>
        <s v="Ruedas"/>
        <s v="Escritorio Fijo"/>
        <s v=" "/>
      </sharedItems>
    </cacheField>
    <cacheField name="Ciudad" numFmtId="0">
      <sharedItems/>
    </cacheField>
    <cacheField name="Lugar de entrega" numFmtId="0">
      <sharedItems/>
    </cacheField>
    <cacheField name="Status Despacho" numFmtId="0">
      <sharedItems/>
    </cacheField>
    <cacheField name="Transportadora" numFmtId="1">
      <sharedItems containsBlank="1"/>
    </cacheField>
    <cacheField name="No guia" numFmtId="0">
      <sharedItems containsBlank="1"/>
    </cacheField>
    <cacheField name="Fecha de despacho" numFmtId="14">
      <sharedItems containsDate="1" containsBlank="1" containsMixedTypes="1" minDate="2025-01-07T00:00:00" maxDate="2025-08-29T00:00:00"/>
    </cacheField>
    <cacheField name="Fecha de Entrega" numFmtId="14">
      <sharedItems containsDate="1" containsBlank="1" containsMixedTypes="1" minDate="2025-01-08T00:00:00" maxDate="2025-09-02T00:00:00"/>
    </cacheField>
    <cacheField name="Status entrega " numFmtId="166">
      <sharedItems containsBlank="1"/>
    </cacheField>
    <cacheField name="Tiempo de despacho de orden" numFmtId="1">
      <sharedItems containsBlank="1" containsMixedTypes="1" containsNumber="1" containsInteger="1" minValue="-4" maxValue="39259"/>
    </cacheField>
    <cacheField name="Tiempo de entrega de la orden" numFmtId="1">
      <sharedItems containsBlank="1" containsMixedTypes="1" containsNumber="1" containsInteger="1" minValue="0" maxValue="39261"/>
    </cacheField>
    <cacheField name="Cumple NNS" numFmtId="1">
      <sharedItems containsBlank="1"/>
    </cacheField>
    <cacheField name="Valor despacho" numFmtId="167">
      <sharedItems containsString="0" containsBlank="1" containsNumber="1" containsInteger="1" minValue="0" maxValue="183036"/>
    </cacheField>
    <cacheField name="Diferencia valor real vs Estimado" numFmtId="167">
      <sharedItems containsBlank="1" containsMixedTypes="1" containsNumber="1" containsInteger="1" minValue="24093" maxValue="54929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rodriguez" refreshedDate="46100.474619560184" createdVersion="8" refreshedVersion="8" minRefreshableVersion="3" recordCount="129" xr:uid="{F7828620-D285-45E4-A7DE-EA246984D5D4}">
  <cacheSource type="worksheet">
    <worksheetSource ref="A4:Z133" sheet="Base Ventas"/>
  </cacheSource>
  <cacheFields count="26">
    <cacheField name="Fecha Venta" numFmtId="14">
      <sharedItems containsSemiMixedTypes="0" containsNonDate="0" containsDate="1" containsString="0" minDate="2026-01-02T00:00:00" maxDate="2026-03-01T00:00:00"/>
    </cacheField>
    <cacheField name="Mes" numFmtId="0">
      <sharedItems count="2">
        <s v="enero"/>
        <s v="febrero"/>
      </sharedItems>
    </cacheField>
    <cacheField name="No orden" numFmtId="0">
      <sharedItems containsSemiMixedTypes="0" containsString="0" containsNumber="1" containsInteger="1" minValue="100245" maxValue="100312"/>
    </cacheField>
    <cacheField name="Concepto" numFmtId="0">
      <sharedItems count="2">
        <s v="Venta"/>
        <s v="Novedad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/>
    </cacheField>
    <cacheField name="Cantidad" numFmtId="0">
      <sharedItems containsSemiMixedTypes="0" containsString="0" containsNumber="1" containsInteger="1" minValue="1" maxValue="2"/>
    </cacheField>
    <cacheField name="Categoria" numFmtId="0">
      <sharedItems count="8">
        <s v="Archivador"/>
        <s v="Accesorio"/>
        <s v="Superficie"/>
        <s v="Standing Desk"/>
        <s v="Repisa"/>
        <s v="Instalación"/>
        <s v="Silla"/>
        <s v="Fijo"/>
      </sharedItems>
    </cacheField>
    <cacheField name="Ciudad" numFmtId="0">
      <sharedItems count="13">
        <s v="Valle del Cauca"/>
        <s v="Antioquia"/>
        <s v="Cundinamarca"/>
        <s v="Bogotá y alrededores"/>
        <s v="Quindío"/>
        <s v="Tolima"/>
        <s v="Cauca"/>
        <s v="Bolívar"/>
        <s v="Caldas"/>
        <s v="Meta"/>
        <s v="Cesar"/>
        <s v="Bogotá y alrededores " u="1"/>
        <s v="Bogotá y alrededores y alrededores" u="1"/>
      </sharedItems>
    </cacheField>
    <cacheField name="Lugar de entrega" numFmtId="0">
      <sharedItems count="19">
        <s v="Tuluá"/>
        <s v="Sabaneta"/>
        <s v="Mosquera"/>
        <s v="Medellín"/>
        <s v="Bogotá"/>
        <s v="Armenia"/>
        <s v="Ibagué"/>
        <s v="Popayán"/>
        <s v="Cartagena"/>
        <s v="El Retiro"/>
        <s v="Itagui"/>
        <s v="Cali"/>
        <s v="Copacabana"/>
        <s v="Manizales"/>
        <s v="Jamundí"/>
        <s v="Villavicencio"/>
        <s v="La ceja"/>
        <s v="Valledupar"/>
        <s v="Chía"/>
      </sharedItems>
    </cacheField>
    <cacheField name="Status Despacho" numFmtId="0">
      <sharedItems count="1">
        <s v="Despachado"/>
      </sharedItems>
    </cacheField>
    <cacheField name="Transportadora" numFmtId="0">
      <sharedItems containsBlank="1"/>
    </cacheField>
    <cacheField name="No guia" numFmtId="0">
      <sharedItems containsMixedTypes="1" containsNumber="1" containsInteger="1" minValue="0" maxValue="0"/>
    </cacheField>
    <cacheField name="Fecha de despacho" numFmtId="14">
      <sharedItems containsDate="1" containsMixedTypes="1" minDate="2026-01-05T00:00:00" maxDate="2026-03-12T00:00:00"/>
    </cacheField>
    <cacheField name="Fecha de Entrega" numFmtId="14">
      <sharedItems containsDate="1" containsMixedTypes="1" minDate="2026-01-06T00:00:00" maxDate="2026-03-13T00:00:00"/>
    </cacheField>
    <cacheField name="Status entrega " numFmtId="166">
      <sharedItems/>
    </cacheField>
    <cacheField name="Tiempo de despacho de orden" numFmtId="1">
      <sharedItems containsSemiMixedTypes="0" containsString="0" containsNumber="1" containsInteger="1" minValue="0" maxValue="13"/>
    </cacheField>
    <cacheField name="Tiempo de entrega de la orden" numFmtId="1">
      <sharedItems containsSemiMixedTypes="0" containsString="0" containsNumber="1" containsInteger="1" minValue="0" maxValue="15"/>
    </cacheField>
    <cacheField name="Cumple NNS" numFmtId="1">
      <sharedItems containsMixedTypes="1" containsNumber="1" containsInteger="1" minValue="0" maxValue="0" count="3">
        <s v="No cumple"/>
        <s v="Cumple"/>
        <n v="0"/>
      </sharedItems>
    </cacheField>
    <cacheField name="Desvío  NNS (Hábil)" numFmtId="1">
      <sharedItems containsSemiMixedTypes="0" containsString="0" containsNumber="1" containsInteger="1" minValue="0" maxValue="10"/>
    </cacheField>
    <cacheField name="Reponsable Incumplimiento" numFmtId="1">
      <sharedItems containsBlank="1" count="5">
        <s v="Producción"/>
        <m/>
        <s v="Transporte"/>
        <s v="Cliente"/>
        <s v="Producción - Transporte"/>
      </sharedItems>
    </cacheField>
    <cacheField name="Valor despacho" numFmtId="167">
      <sharedItems containsString="0" containsBlank="1" containsNumber="1" containsInteger="1" minValue="0" maxValue="71906"/>
    </cacheField>
    <cacheField name="Diferencia valor real vs Estimado" numFmtId="167">
      <sharedItems containsNonDate="0" containsString="0" containsBlank="1"/>
    </cacheField>
    <cacheField name="Causal de Incumplimiento" numFmtId="167">
      <sharedItems containsBlank="1" count="7">
        <s v="Disponibilidad materia prima"/>
        <m/>
        <s v="Demora en entrega"/>
        <s v="Demora en proceso de producción"/>
        <s v="Demora en proceso de pintura"/>
        <s v="Ausencia del cliente"/>
        <s v="Demora en proceso de producción- Novedad en el reparto"/>
      </sharedItems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0">
  <r>
    <d v="2024-01-02T00:00:00"/>
    <x v="0"/>
    <n v="1"/>
    <n v="1852"/>
    <x v="0"/>
    <s v="Claudio Rosa"/>
    <s v="TECU3FBRO"/>
    <s v="Electric Standing Desk  PRO Blanco"/>
    <n v="1"/>
    <x v="0"/>
    <x v="0"/>
    <x v="0"/>
    <x v="0"/>
    <s v="Envioclick- Coordinadora"/>
    <s v="2078718 - 84150743987"/>
    <d v="2024-01-05T00:00:00"/>
    <d v="2024-01-06T00:00:00"/>
    <x v="0"/>
    <n v="3"/>
    <n v="4"/>
    <x v="0"/>
    <n v="42002"/>
    <n v="-2002"/>
  </r>
  <r>
    <d v="2024-01-02T00:00:00"/>
    <x v="0"/>
    <n v="1"/>
    <n v="1852"/>
    <x v="0"/>
    <s v="Claudio Rosa"/>
    <s v="TECUTCO2C"/>
    <s v="Superficie Escritorio Caramelo 120x70 Clasico Small"/>
    <n v="1"/>
    <x v="1"/>
    <x v="0"/>
    <x v="0"/>
    <x v="0"/>
    <s v="Envioclick- Coordinadora"/>
    <s v="2078719 - 84150743988"/>
    <d v="2024-01-05T00:00:00"/>
    <d v="2024-01-06T00:00:00"/>
    <x v="0"/>
    <n v="3"/>
    <n v="4"/>
    <x v="0"/>
    <n v="27422"/>
    <n v="7578"/>
  </r>
  <r>
    <d v="2024-01-02T00:00:00"/>
    <x v="0"/>
    <n v="1"/>
    <n v="1852"/>
    <x v="0"/>
    <s v="Claudio Rosa"/>
    <s v="TECURCO"/>
    <s v="Repisa TECU  Caramelo"/>
    <n v="1"/>
    <x v="2"/>
    <x v="0"/>
    <x v="0"/>
    <x v="0"/>
    <s v="Envioclick- Coordinadora"/>
    <s v="2078702 - 84150743980"/>
    <d v="2024-01-05T00:00:00"/>
    <d v="2024-01-06T00:00:00"/>
    <x v="0"/>
    <n v="3"/>
    <n v="4"/>
    <x v="0"/>
    <n v="22355"/>
    <n v="2645"/>
  </r>
  <r>
    <d v="2024-01-02T00:00:00"/>
    <x v="0"/>
    <n v="1"/>
    <n v="1853"/>
    <x v="0"/>
    <s v="Carolina Arevalo Silva"/>
    <s v="TECU2FNG"/>
    <s v="Electric Standing Desk GO Negro"/>
    <n v="1"/>
    <x v="0"/>
    <x v="1"/>
    <x v="1"/>
    <x v="0"/>
    <s v="Envioclick- Coordinadora"/>
    <s v="2078836 - 84150744058"/>
    <d v="2024-01-05T00:00:00"/>
    <d v="2024-01-09T00:00:00"/>
    <x v="0"/>
    <n v="3"/>
    <n v="5"/>
    <x v="0"/>
    <n v="40734"/>
    <n v="-734"/>
  </r>
  <r>
    <d v="2024-01-02T00:00:00"/>
    <x v="0"/>
    <n v="1"/>
    <n v="1853"/>
    <x v="0"/>
    <s v="Carolina Arevalo Silva"/>
    <s v="TECUTCO4C"/>
    <s v="Superficie Escritorio Caramelo 140x70 Clasico"/>
    <n v="1"/>
    <x v="1"/>
    <x v="1"/>
    <x v="1"/>
    <x v="0"/>
    <s v="Envioclick- Coordinadora"/>
    <s v="2078837 - 84150744059"/>
    <d v="2024-01-09T00:00:00"/>
    <d v="2024-01-10T00:00:00"/>
    <x v="0"/>
    <n v="5"/>
    <n v="6"/>
    <x v="0"/>
    <n v="22988"/>
    <n v="12012"/>
  </r>
  <r>
    <d v="2024-01-02T00:00:00"/>
    <x v="0"/>
    <n v="1"/>
    <n v="1854"/>
    <x v="0"/>
    <s v="Oscar Javier García García"/>
    <s v="TECUACC"/>
    <s v="Archivador TECU  Miel"/>
    <n v="1"/>
    <x v="3"/>
    <x v="1"/>
    <x v="1"/>
    <x v="0"/>
    <s v="Envioclick- Coordinadora"/>
    <s v="2073779 - 84150741882"/>
    <d v="2024-01-03T00:00:00"/>
    <d v="2024-01-04T00:00:00"/>
    <x v="0"/>
    <n v="1"/>
    <n v="2"/>
    <x v="1"/>
    <n v="50224"/>
    <n v="-224"/>
  </r>
  <r>
    <d v="2024-01-03T00:00:00"/>
    <x v="0"/>
    <n v="1"/>
    <n v="1855"/>
    <x v="0"/>
    <s v="Felipe Erazo"/>
    <s v="TECU2FNG"/>
    <s v="Electric Standing Desk GO Negro"/>
    <n v="1"/>
    <x v="0"/>
    <x v="0"/>
    <x v="0"/>
    <x v="0"/>
    <s v="Envioclick- Coordinadora"/>
    <s v="2075437 - 84150742790"/>
    <d v="2024-01-04T00:00:00"/>
    <d v="2024-01-05T00:00:00"/>
    <x v="0"/>
    <n v="1"/>
    <n v="2"/>
    <x v="1"/>
    <n v="40734"/>
    <n v="-734"/>
  </r>
  <r>
    <d v="2024-01-03T00:00:00"/>
    <x v="0"/>
    <n v="1"/>
    <n v="1855"/>
    <x v="0"/>
    <s v="Felipe Erazo"/>
    <s v="TECUTCO2C"/>
    <s v="Superficie Escritorio Caramelo 120x70 Clasico Small"/>
    <n v="1"/>
    <x v="1"/>
    <x v="0"/>
    <x v="0"/>
    <x v="0"/>
    <s v="Envioclick- Coordinadora"/>
    <s v="2075438 - 84150742791"/>
    <d v="2024-01-04T00:00:00"/>
    <d v="2024-01-05T00:00:00"/>
    <x v="0"/>
    <n v="1"/>
    <n v="2"/>
    <x v="1"/>
    <n v="22988"/>
    <n v="12012"/>
  </r>
  <r>
    <d v="2024-01-03T00:00:00"/>
    <x v="0"/>
    <n v="1"/>
    <n v="1856"/>
    <x v="0"/>
    <s v="Nicolas Parada"/>
    <s v="TECU3FNPRO"/>
    <s v="Electric Standing Desk  PRO Negro"/>
    <n v="1"/>
    <x v="0"/>
    <x v="1"/>
    <x v="1"/>
    <x v="0"/>
    <s v="Envioclick- Coordinadora"/>
    <s v="2078820 - 84150744048"/>
    <d v="2024-01-05T00:00:00"/>
    <d v="2024-01-09T00:00:00"/>
    <x v="0"/>
    <n v="2"/>
    <n v="4"/>
    <x v="0"/>
    <n v="42002"/>
    <n v="-2002"/>
  </r>
  <r>
    <d v="2024-01-03T00:00:00"/>
    <x v="0"/>
    <n v="1"/>
    <n v="1856"/>
    <x v="0"/>
    <s v="Nicolas Parada"/>
    <s v="TECUTRN6C"/>
    <s v="Superficie Escritorio Roble Negro 160x70 Clasico"/>
    <n v="1"/>
    <x v="1"/>
    <x v="1"/>
    <x v="1"/>
    <x v="0"/>
    <s v="Envioclick- Coordinadora"/>
    <s v="2078821 - 84150744049"/>
    <d v="2024-01-05T00:00:00"/>
    <d v="2024-01-09T00:00:00"/>
    <x v="0"/>
    <n v="2"/>
    <n v="4"/>
    <x v="0"/>
    <n v="22988"/>
    <n v="12012"/>
  </r>
  <r>
    <d v="2024-01-03T00:00:00"/>
    <x v="0"/>
    <n v="1"/>
    <n v="1856"/>
    <x v="0"/>
    <s v="Nicolas Parada"/>
    <s v="TECURN"/>
    <s v="Repisa TECU  Negro (Wengue)"/>
    <n v="1"/>
    <x v="2"/>
    <x v="1"/>
    <x v="1"/>
    <x v="0"/>
    <s v="Envioclick- Coordinadora"/>
    <s v="2078815 - 84150744047"/>
    <d v="2024-01-05T00:00:00"/>
    <d v="2024-01-09T00:00:00"/>
    <x v="0"/>
    <n v="2"/>
    <n v="4"/>
    <x v="0"/>
    <n v="22355"/>
    <n v="2645"/>
  </r>
  <r>
    <d v="2024-01-03T00:00:00"/>
    <x v="0"/>
    <n v="1"/>
    <n v="1857"/>
    <x v="0"/>
    <s v="Henry De Alba"/>
    <s v="TECUACC"/>
    <s v="Archivador TECU  Miel"/>
    <n v="1"/>
    <x v="3"/>
    <x v="2"/>
    <x v="2"/>
    <x v="0"/>
    <s v="Envioclick- Coordinadora"/>
    <s v="2084901 - 84150746682"/>
    <d v="2024-01-10T00:00:00"/>
    <d v="2024-01-13T00:00:00"/>
    <x v="0"/>
    <n v="5"/>
    <n v="8"/>
    <x v="0"/>
    <n v="91466"/>
    <n v="-41466"/>
  </r>
  <r>
    <d v="2024-01-03T00:00:00"/>
    <x v="0"/>
    <n v="1"/>
    <n v="1858"/>
    <x v="0"/>
    <s v="Edward Monsalve Castrillon"/>
    <s v="TECU3FBRO"/>
    <s v="Electric Standing Desk  PRO Blanco"/>
    <n v="1"/>
    <x v="0"/>
    <x v="0"/>
    <x v="0"/>
    <x v="0"/>
    <s v="Envioclick- Coordinadora"/>
    <s v="2078676 - 84150743975"/>
    <d v="2024-01-05T00:00:00"/>
    <d v="2024-01-09T00:00:00"/>
    <x v="0"/>
    <n v="2"/>
    <n v="4"/>
    <x v="0"/>
    <n v="42002"/>
    <n v="-2002"/>
  </r>
  <r>
    <d v="2024-01-03T00:00:00"/>
    <x v="0"/>
    <n v="1"/>
    <n v="1858"/>
    <x v="0"/>
    <s v="Edward Monsalve Castrillon"/>
    <s v="TECUTB2C"/>
    <s v="Superficie Escritorio Blanco (Niebla) 120x70 Clasico Small"/>
    <n v="1"/>
    <x v="1"/>
    <x v="0"/>
    <x v="0"/>
    <x v="0"/>
    <s v="Envioclick- Coordinadora"/>
    <s v="2078677 - 84150743976"/>
    <d v="2024-01-05T00:00:00"/>
    <d v="2024-01-09T00:00:00"/>
    <x v="0"/>
    <n v="2"/>
    <n v="4"/>
    <x v="0"/>
    <n v="27422"/>
    <n v="7578"/>
  </r>
  <r>
    <d v="2024-01-03T00:00:00"/>
    <x v="0"/>
    <n v="1"/>
    <n v="1858"/>
    <x v="0"/>
    <s v="Edward Monsalve Castrillon"/>
    <s v="TECURB"/>
    <s v="Repisa TECU  Blanco (Niebla)"/>
    <n v="1"/>
    <x v="2"/>
    <x v="0"/>
    <x v="0"/>
    <x v="0"/>
    <s v="Envioclick- Coordinadora"/>
    <s v="2078619 - 84150743971"/>
    <d v="2024-01-05T00:00:00"/>
    <d v="2024-01-09T00:00:00"/>
    <x v="0"/>
    <n v="2"/>
    <n v="4"/>
    <x v="0"/>
    <n v="22355"/>
    <n v="2645"/>
  </r>
  <r>
    <d v="2024-01-05T00:00:00"/>
    <x v="0"/>
    <n v="1"/>
    <n v="1860"/>
    <x v="0"/>
    <s v="Aili Carolina Tovar"/>
    <s v="TECUACC"/>
    <s v="Archivador TECU  Miel"/>
    <n v="1"/>
    <x v="3"/>
    <x v="1"/>
    <x v="1"/>
    <x v="0"/>
    <s v="Envioclick- Coordinadora"/>
    <s v="2085408 - 84150746964"/>
    <d v="2024-01-10T00:00:00"/>
    <d v="2024-01-11T00:00:00"/>
    <x v="0"/>
    <n v="3"/>
    <n v="4"/>
    <x v="0"/>
    <n v="50224"/>
    <n v="-224"/>
  </r>
  <r>
    <d v="2024-01-09T00:00:00"/>
    <x v="0"/>
    <n v="2"/>
    <n v="1861"/>
    <x v="0"/>
    <s v="Miguel Botia"/>
    <s v="TECU3FNPRO"/>
    <s v="Electric Standing Desk  PRO Negro"/>
    <n v="1"/>
    <x v="0"/>
    <x v="1"/>
    <x v="1"/>
    <x v="0"/>
    <s v="Envioclick- Coordinadora"/>
    <s v="2086307 - 84150747347"/>
    <d v="2024-01-11T00:00:00"/>
    <d v="2024-01-12T00:00:00"/>
    <x v="0"/>
    <n v="2"/>
    <n v="3"/>
    <x v="1"/>
    <n v="42001"/>
    <n v="-2001"/>
  </r>
  <r>
    <d v="2024-01-09T00:00:00"/>
    <x v="0"/>
    <n v="2"/>
    <n v="1861"/>
    <x v="0"/>
    <s v="Miguel Botia"/>
    <s v="TECUTCO7C"/>
    <s v="Superficie Escritorio Caramelo 170x70 Clasico"/>
    <n v="1"/>
    <x v="1"/>
    <x v="1"/>
    <x v="1"/>
    <x v="0"/>
    <s v="Envioclick- Coordinadora"/>
    <s v="2086308 - 84150747348"/>
    <d v="2024-01-11T00:00:00"/>
    <d v="2024-01-12T00:00:00"/>
    <x v="0"/>
    <n v="2"/>
    <n v="3"/>
    <x v="1"/>
    <n v="25521"/>
    <n v="9479"/>
  </r>
  <r>
    <d v="2024-01-09T00:00:00"/>
    <x v="0"/>
    <n v="2"/>
    <n v="1861"/>
    <x v="0"/>
    <s v="Miguel Botia"/>
    <s v="TECURCO"/>
    <s v="Repisa TECU  Caramelo"/>
    <n v="1"/>
    <x v="2"/>
    <x v="1"/>
    <x v="1"/>
    <x v="0"/>
    <s v="Envioclick- Coordinadora"/>
    <s v="2086303 - 84150747345"/>
    <d v="2024-01-11T00:00:00"/>
    <d v="2024-01-12T00:00:00"/>
    <x v="0"/>
    <n v="2"/>
    <n v="3"/>
    <x v="1"/>
    <n v="22355"/>
    <n v="2645"/>
  </r>
  <r>
    <d v="2024-01-09T00:00:00"/>
    <x v="0"/>
    <n v="2"/>
    <n v="1862"/>
    <x v="0"/>
    <s v="Alexander Gesell"/>
    <s v="TECU3FBRO"/>
    <s v="Electric Standing Desk  PRO Blanco"/>
    <n v="1"/>
    <x v="0"/>
    <x v="0"/>
    <x v="3"/>
    <x v="0"/>
    <s v="Envioclick- Coordinadora"/>
    <s v="2086549 - 84150747474"/>
    <d v="2024-01-11T00:00:00"/>
    <d v="2024-01-20T00:00:00"/>
    <x v="0"/>
    <n v="2"/>
    <n v="10"/>
    <x v="0"/>
    <m/>
    <n v="40000"/>
  </r>
  <r>
    <d v="2024-01-09T00:00:00"/>
    <x v="0"/>
    <n v="2"/>
    <n v="1862"/>
    <x v="0"/>
    <s v="Alexander Gesell"/>
    <s v="TECUTCC20C"/>
    <s v="Superficie Escritorio Miel 200x70 Clasico"/>
    <n v="1"/>
    <x v="1"/>
    <x v="0"/>
    <x v="3"/>
    <x v="0"/>
    <s v="Envioclick- Coordinadora"/>
    <s v="2086554 - 84150747476"/>
    <d v="2024-01-11T00:00:00"/>
    <d v="2024-01-20T00:00:00"/>
    <x v="0"/>
    <n v="2"/>
    <n v="10"/>
    <x v="0"/>
    <m/>
    <n v="35000"/>
  </r>
  <r>
    <d v="2024-01-09T00:00:00"/>
    <x v="0"/>
    <n v="2"/>
    <n v="1862"/>
    <x v="0"/>
    <s v="Alexander Gesell"/>
    <s v="TECURCC"/>
    <s v="Repisa TECU  Miel"/>
    <n v="1"/>
    <x v="2"/>
    <x v="0"/>
    <x v="3"/>
    <x v="0"/>
    <s v="Envioclick- Coordinadora"/>
    <s v="2086507 - 84150747456"/>
    <d v="2024-01-11T00:00:00"/>
    <d v="2024-01-20T00:00:00"/>
    <x v="0"/>
    <n v="2"/>
    <n v="10"/>
    <x v="0"/>
    <n v="22355"/>
    <n v="2645"/>
  </r>
  <r>
    <d v="2024-01-09T00:00:00"/>
    <x v="0"/>
    <n v="2"/>
    <n v="1862"/>
    <x v="0"/>
    <s v="Alexander Gesell"/>
    <s v="TECURCC"/>
    <s v="Repisa TECU  Miel"/>
    <n v="1"/>
    <x v="2"/>
    <x v="0"/>
    <x v="3"/>
    <x v="1"/>
    <s v="Envioclick- Coordinadora"/>
    <s v="Error de compra"/>
    <m/>
    <m/>
    <x v="1"/>
    <n v="-38828"/>
    <s v="PTE"/>
    <x v="2"/>
    <m/>
    <n v="25000"/>
  </r>
  <r>
    <d v="2024-01-09T00:00:00"/>
    <x v="0"/>
    <n v="2"/>
    <n v="1863"/>
    <x v="0"/>
    <s v="Jaime Steven Gonzalez Cardenas"/>
    <s v="TECU2FNG"/>
    <s v="Electric Standing Desk GO Negro"/>
    <n v="1"/>
    <x v="0"/>
    <x v="1"/>
    <x v="1"/>
    <x v="0"/>
    <s v="Envioclick- Coordinadora"/>
    <s v="2086565 - 84150747484"/>
    <d v="2024-01-11T00:00:00"/>
    <d v="2024-01-12T00:00:00"/>
    <x v="0"/>
    <n v="2"/>
    <n v="3"/>
    <x v="1"/>
    <n v="40734"/>
    <n v="-734"/>
  </r>
  <r>
    <d v="2024-01-09T00:00:00"/>
    <x v="0"/>
    <n v="2"/>
    <n v="1863"/>
    <x v="0"/>
    <s v="Jaime Steven Gonzalez Cardenas"/>
    <s v="TECUTCC4C"/>
    <s v="Superficie Escritorio Miel 140x70 Clasico"/>
    <n v="1"/>
    <x v="1"/>
    <x v="1"/>
    <x v="1"/>
    <x v="0"/>
    <s v="Envioclick- Coordinadora"/>
    <s v="2086568 - 84150747485"/>
    <d v="2024-01-11T00:00:00"/>
    <d v="2024-01-12T00:00:00"/>
    <x v="0"/>
    <n v="2"/>
    <n v="3"/>
    <x v="1"/>
    <n v="22988"/>
    <n v="12012"/>
  </r>
  <r>
    <d v="2024-01-09T00:00:00"/>
    <x v="0"/>
    <n v="2"/>
    <n v="1864"/>
    <x v="0"/>
    <s v="Adelmo Rafael Cuadrado Vega"/>
    <s v="TECUBDPA"/>
    <s v="TECU Desk Pad B Negro Azul"/>
    <n v="1"/>
    <x v="4"/>
    <x v="3"/>
    <x v="4"/>
    <x v="0"/>
    <s v="Envioclick- Coordinadora"/>
    <s v="2081725 - 84150745017"/>
    <d v="2024-01-10T00:00:00"/>
    <d v="2024-01-11T00:00:00"/>
    <x v="0"/>
    <n v="1"/>
    <n v="2"/>
    <x v="1"/>
    <n v="16131"/>
    <n v="33869"/>
  </r>
  <r>
    <d v="2024-01-09T00:00:00"/>
    <x v="0"/>
    <n v="2"/>
    <n v="1865"/>
    <x v="0"/>
    <s v="Sebastian Zambrano Torres"/>
    <s v="TECURCO"/>
    <s v="Repisa TECU  Caramelo"/>
    <n v="1"/>
    <x v="2"/>
    <x v="1"/>
    <x v="1"/>
    <x v="0"/>
    <s v="Envioclick- Coordinadora"/>
    <s v="2081732 - 84150745020"/>
    <d v="2024-01-09T00:00:00"/>
    <d v="2024-01-10T00:00:00"/>
    <x v="0"/>
    <n v="0"/>
    <n v="1"/>
    <x v="1"/>
    <n v="22355"/>
    <n v="2645"/>
  </r>
  <r>
    <d v="2024-01-09T00:00:00"/>
    <x v="0"/>
    <n v="2"/>
    <n v="1866"/>
    <x v="0"/>
    <s v="Steven Iglesias Martinez"/>
    <s v="TECU2FNG"/>
    <s v="Electric Standing Desk GO Negro"/>
    <n v="1"/>
    <x v="0"/>
    <x v="2"/>
    <x v="2"/>
    <x v="0"/>
    <s v="Envioclick- Coordinadora"/>
    <s v="2086827 - 84150747602"/>
    <d v="2024-01-11T00:00:00"/>
    <d v="2024-01-15T00:00:00"/>
    <x v="0"/>
    <n v="2"/>
    <n v="5"/>
    <x v="1"/>
    <n v="58232"/>
    <n v="-18232"/>
  </r>
  <r>
    <d v="2024-01-09T00:00:00"/>
    <x v="0"/>
    <n v="2"/>
    <n v="1866"/>
    <x v="0"/>
    <s v="Steven Iglesias Martinez"/>
    <s v="TECUTCC4C"/>
    <s v="Superficie Escritorio Miel 140x70 Clasico"/>
    <n v="1"/>
    <x v="1"/>
    <x v="2"/>
    <x v="2"/>
    <x v="0"/>
    <s v="Envioclick- Coordinadora"/>
    <s v="2086828 - 84150747603"/>
    <d v="2024-01-11T00:00:00"/>
    <d v="2024-01-13T00:00:00"/>
    <x v="0"/>
    <n v="2"/>
    <n v="4"/>
    <x v="1"/>
    <n v="37361"/>
    <n v="-2361"/>
  </r>
  <r>
    <d v="2024-01-09T00:00:00"/>
    <x v="0"/>
    <n v="2"/>
    <n v="1867"/>
    <x v="0"/>
    <s v="Jose Castañeda"/>
    <s v="TECU2FNG"/>
    <s v="Electric Standing Desk GO Negro"/>
    <n v="1"/>
    <x v="0"/>
    <x v="0"/>
    <x v="3"/>
    <x v="0"/>
    <s v="Envioclick- Coordinadora"/>
    <s v="2086919 - 84150747652"/>
    <d v="2024-01-11T00:00:00"/>
    <d v="2024-01-12T00:00:00"/>
    <x v="0"/>
    <n v="2"/>
    <n v="3"/>
    <x v="1"/>
    <n v="40734"/>
    <n v="-734"/>
  </r>
  <r>
    <d v="2024-01-09T00:00:00"/>
    <x v="0"/>
    <n v="2"/>
    <n v="1867"/>
    <x v="0"/>
    <s v="Jose Castañeda"/>
    <s v="TECUTCC4C"/>
    <s v="Superficie Escritorio Miel 140x70 Clasico"/>
    <n v="1"/>
    <x v="1"/>
    <x v="0"/>
    <x v="3"/>
    <x v="0"/>
    <s v="Envioclick- Coordinadora"/>
    <s v="2086920 - 84150747654"/>
    <d v="2024-01-11T00:00:00"/>
    <d v="2024-01-12T00:00:00"/>
    <x v="0"/>
    <n v="2"/>
    <n v="3"/>
    <x v="1"/>
    <n v="22988"/>
    <n v="12012"/>
  </r>
  <r>
    <d v="2024-01-10T00:00:00"/>
    <x v="0"/>
    <n v="2"/>
    <n v="1868"/>
    <x v="0"/>
    <s v="Andrea Sogamoso"/>
    <s v="TECU3FNPRO"/>
    <s v="Electric Standing Desk  PRO Negro"/>
    <n v="1"/>
    <x v="0"/>
    <x v="1"/>
    <x v="1"/>
    <x v="0"/>
    <s v="Envioclick- Coordinadora"/>
    <s v="2088697 - 84150748433"/>
    <d v="2024-01-12T00:00:00"/>
    <d v="2024-01-15T00:00:00"/>
    <x v="0"/>
    <n v="2"/>
    <n v="4"/>
    <x v="0"/>
    <n v="42002"/>
    <n v="-2002"/>
  </r>
  <r>
    <d v="2024-01-10T00:00:00"/>
    <x v="0"/>
    <n v="2"/>
    <n v="1868"/>
    <x v="0"/>
    <s v="Andrea Sogamoso"/>
    <s v="TECUTB5C"/>
    <s v="Superficie Escritorio Blanco(Niebla) 150x70 Clasico"/>
    <n v="1"/>
    <x v="1"/>
    <x v="1"/>
    <x v="1"/>
    <x v="0"/>
    <s v="Envioclick- Coordinadora"/>
    <s v="2088698 - 84150748434"/>
    <d v="2024-01-12T00:00:00"/>
    <d v="2024-01-15T00:00:00"/>
    <x v="0"/>
    <n v="2"/>
    <n v="4"/>
    <x v="0"/>
    <n v="22988"/>
    <e v="#N/A"/>
  </r>
  <r>
    <d v="2024-01-10T00:00:00"/>
    <x v="0"/>
    <n v="2"/>
    <n v="1868"/>
    <x v="0"/>
    <s v="Andrea Sogamoso"/>
    <s v="TECURB"/>
    <s v="Repisa TECU  Blanco (Niebla)"/>
    <n v="1"/>
    <x v="2"/>
    <x v="1"/>
    <x v="1"/>
    <x v="0"/>
    <s v="Envioclick- Coordinadora"/>
    <s v="2088700 - 84150748435"/>
    <d v="2024-01-12T00:00:00"/>
    <d v="2024-01-15T00:00:00"/>
    <x v="0"/>
    <n v="2"/>
    <n v="4"/>
    <x v="0"/>
    <n v="22355"/>
    <n v="2645"/>
  </r>
  <r>
    <d v="2024-01-10T00:00:00"/>
    <x v="0"/>
    <n v="2"/>
    <n v="1869"/>
    <x v="0"/>
    <s v="Jairo Niño"/>
    <s v="TECU3FNPRO"/>
    <s v="Electric Standing Desk  PRO Negro"/>
    <n v="1"/>
    <x v="0"/>
    <x v="4"/>
    <x v="5"/>
    <x v="0"/>
    <s v="Envioclick- Coordinadora"/>
    <s v="2086861 - 84150747620"/>
    <d v="2024-01-12T00:00:00"/>
    <d v="2024-01-13T00:00:00"/>
    <x v="0"/>
    <n v="2"/>
    <n v="3"/>
    <x v="1"/>
    <n v="42002"/>
    <n v="-2002"/>
  </r>
  <r>
    <d v="2024-01-10T00:00:00"/>
    <x v="0"/>
    <n v="2"/>
    <n v="1869"/>
    <x v="0"/>
    <s v="Jairo Niño"/>
    <s v="TECUTCC8C"/>
    <s v="Superficie Escritorio Miel 180x70 Clasico"/>
    <n v="1"/>
    <x v="1"/>
    <x v="4"/>
    <x v="5"/>
    <x v="0"/>
    <s v="Envioclick- Coordinadora"/>
    <s v="2086862 - 84150747621"/>
    <d v="2024-01-11T00:00:00"/>
    <d v="2024-01-12T00:00:00"/>
    <x v="0"/>
    <n v="1"/>
    <n v="2"/>
    <x v="1"/>
    <n v="25521"/>
    <n v="9479"/>
  </r>
  <r>
    <d v="2024-01-10T00:00:00"/>
    <x v="0"/>
    <n v="2"/>
    <n v="1869"/>
    <x v="0"/>
    <s v="Jairo Niño"/>
    <s v="TECURCC"/>
    <s v="Repisa TECU  Miel"/>
    <n v="1"/>
    <x v="2"/>
    <x v="4"/>
    <x v="5"/>
    <x v="0"/>
    <s v="Envioclick- Coordinadora"/>
    <s v="2086854 - 84150747618"/>
    <d v="2024-01-11T00:00:00"/>
    <d v="2024-01-12T00:00:00"/>
    <x v="0"/>
    <n v="1"/>
    <n v="2"/>
    <x v="1"/>
    <n v="22355"/>
    <n v="2645"/>
  </r>
  <r>
    <d v="2024-01-10T00:00:00"/>
    <x v="0"/>
    <n v="2"/>
    <n v="1870"/>
    <x v="0"/>
    <s v="Jhoan Steven Delgado Villarrea"/>
    <s v="TECULFN2"/>
    <s v="Electric Standing Desk | Escritorio Ajustable En L Frame Negro 2.0"/>
    <n v="1"/>
    <x v="0"/>
    <x v="4"/>
    <x v="6"/>
    <x v="0"/>
    <s v="Envioclick- Coordinadora"/>
    <s v="2086895 - 84150747642"/>
    <d v="2024-01-11T00:00:00"/>
    <d v="2024-01-12T00:00:00"/>
    <x v="0"/>
    <n v="1"/>
    <n v="2"/>
    <x v="1"/>
    <n v="60937"/>
    <n v="-20937"/>
  </r>
  <r>
    <d v="2024-01-10T00:00:00"/>
    <x v="0"/>
    <n v="2"/>
    <n v="1870"/>
    <x v="0"/>
    <s v="Jhoan Steven Delgado Villarrea"/>
    <s v="TECUTLCCS"/>
    <s v="Superficie Escritorio en L Caramelo Set completo"/>
    <n v="1"/>
    <x v="1"/>
    <x v="4"/>
    <x v="6"/>
    <x v="0"/>
    <s v="Envioclick- Coordinadora"/>
    <s v="2086896 - 84150747643"/>
    <d v="2024-01-11T00:00:00"/>
    <d v="2024-01-12T00:00:00"/>
    <x v="0"/>
    <n v="1"/>
    <n v="2"/>
    <x v="1"/>
    <n v="25521"/>
    <n v="9479"/>
  </r>
  <r>
    <d v="2024-01-10T00:00:00"/>
    <x v="0"/>
    <n v="2"/>
    <n v="1870"/>
    <x v="0"/>
    <s v="Jhoan Steven Delgado Villarrea"/>
    <s v="TECUBDPA"/>
    <s v="TECU Desk Pad B Negro Azul"/>
    <n v="1"/>
    <x v="4"/>
    <x v="4"/>
    <x v="6"/>
    <x v="0"/>
    <s v="Envioclick- Coordinadora"/>
    <s v="2086887 - 84150747638"/>
    <d v="2024-01-11T00:00:00"/>
    <d v="2024-01-12T00:00:00"/>
    <x v="0"/>
    <n v="1"/>
    <n v="2"/>
    <x v="1"/>
    <n v="16131"/>
    <n v="33869"/>
  </r>
  <r>
    <d v="2024-01-11T00:00:00"/>
    <x v="0"/>
    <n v="2"/>
    <n v="1871"/>
    <x v="0"/>
    <s v="Nicolás López Torres"/>
    <s v="TECU2FNG"/>
    <s v="Electric Standing Desk GO Negro"/>
    <n v="1"/>
    <x v="0"/>
    <x v="1"/>
    <x v="1"/>
    <x v="0"/>
    <s v="Envioclick- Coordinadora"/>
    <s v="2088711 - 84150748438"/>
    <d v="2024-01-12T00:00:00"/>
    <d v="2024-01-15T00:00:00"/>
    <x v="0"/>
    <n v="1"/>
    <n v="3"/>
    <x v="1"/>
    <n v="40734"/>
    <n v="-734"/>
  </r>
  <r>
    <d v="2024-01-11T00:00:00"/>
    <x v="0"/>
    <n v="2"/>
    <n v="1871"/>
    <x v="0"/>
    <s v="Nicolás López Torres"/>
    <s v="TECUTRN4C"/>
    <s v="Superficie Escritorio Roble Negro 140x70 Clasico"/>
    <n v="1"/>
    <x v="1"/>
    <x v="1"/>
    <x v="1"/>
    <x v="0"/>
    <s v="Envioclick- Coordinadora"/>
    <s v="2088712 - 84150748439"/>
    <d v="2024-01-12T00:00:00"/>
    <d v="2024-01-15T00:00:00"/>
    <x v="0"/>
    <n v="1"/>
    <n v="3"/>
    <x v="1"/>
    <n v="22988"/>
    <n v="12012"/>
  </r>
  <r>
    <d v="2024-01-05T00:00:00"/>
    <x v="0"/>
    <n v="1"/>
    <n v="1860"/>
    <x v="1"/>
    <s v="Aili Carolina Tovar"/>
    <s v="TECUACC"/>
    <s v="Archivador TECU  Miel"/>
    <n v="1"/>
    <x v="3"/>
    <x v="1"/>
    <x v="1"/>
    <x v="0"/>
    <s v="Envioclick- Envia"/>
    <s v="2100801 - 954100889910"/>
    <d v="2024-01-19T00:00:00"/>
    <d v="2024-01-25T00:00:00"/>
    <x v="0"/>
    <n v="11"/>
    <n v="16"/>
    <x v="0"/>
    <n v="53837"/>
    <n v="-3837"/>
  </r>
  <r>
    <d v="2024-01-13T00:00:00"/>
    <x v="0"/>
    <n v="2"/>
    <n v="1872"/>
    <x v="0"/>
    <s v="Juan Sebastian Parra Quintero"/>
    <s v="TECURCO"/>
    <s v="Repisa TECU  Caramelo"/>
    <n v="1"/>
    <x v="2"/>
    <x v="1"/>
    <x v="1"/>
    <x v="0"/>
    <s v="Envioclick- Coordinadora"/>
    <s v="2091733 - 84150749643"/>
    <d v="2024-01-15T00:00:00"/>
    <d v="2024-01-16T00:00:00"/>
    <x v="0"/>
    <n v="1"/>
    <n v="2"/>
    <x v="1"/>
    <n v="22355"/>
    <n v="2645"/>
  </r>
  <r>
    <d v="2024-01-16T00:00:00"/>
    <x v="0"/>
    <n v="3"/>
    <n v="1873"/>
    <x v="0"/>
    <s v="Juan David Arias Molina"/>
    <s v="TECURCC"/>
    <s v="Repisa TECU  Miel"/>
    <n v="1"/>
    <x v="2"/>
    <x v="5"/>
    <x v="7"/>
    <x v="0"/>
    <s v="Envioclick- Coordinadora"/>
    <s v="2099052 - 84150753037"/>
    <d v="2024-01-18T00:00:00"/>
    <d v="2024-01-19T00:00:00"/>
    <x v="0"/>
    <n v="2"/>
    <n v="3"/>
    <x v="1"/>
    <n v="14206"/>
    <n v="10794"/>
  </r>
  <r>
    <d v="2024-01-16T00:00:00"/>
    <x v="0"/>
    <n v="3"/>
    <n v="1874"/>
    <x v="0"/>
    <s v="Petronella Suzanna van Buuren"/>
    <s v="TECU3FNPRO"/>
    <s v="Electric Standing Desk  PRO Negro"/>
    <n v="1"/>
    <x v="0"/>
    <x v="1"/>
    <x v="1"/>
    <x v="0"/>
    <s v="Envioclick- Coordinadora"/>
    <s v="2096703 - 84150751911"/>
    <d v="2024-01-17T00:00:00"/>
    <d v="2024-01-18T00:00:00"/>
    <x v="0"/>
    <n v="1"/>
    <n v="2"/>
    <x v="1"/>
    <n v="42002"/>
    <n v="-2002"/>
  </r>
  <r>
    <d v="2024-01-16T00:00:00"/>
    <x v="0"/>
    <n v="3"/>
    <n v="1874"/>
    <x v="0"/>
    <s v="Petronella Suzanna van Buuren"/>
    <s v="TECUTCO3C"/>
    <s v="Superficie Escritorio Caramelo 130x70 Clasico"/>
    <n v="1"/>
    <x v="1"/>
    <x v="1"/>
    <x v="1"/>
    <x v="0"/>
    <s v="Envioclick- Coordinadora"/>
    <s v="2096704 - 84150751912"/>
    <d v="2024-01-17T00:00:00"/>
    <d v="2024-01-18T00:00:00"/>
    <x v="0"/>
    <n v="1"/>
    <n v="2"/>
    <x v="1"/>
    <n v="27422"/>
    <n v="7578"/>
  </r>
  <r>
    <d v="2024-01-16T00:00:00"/>
    <x v="0"/>
    <n v="3"/>
    <n v="1874"/>
    <x v="0"/>
    <s v="Petronella Suzanna van Buuren"/>
    <s v="TECURCO"/>
    <s v="Repisa TECU  Caramelo"/>
    <n v="1"/>
    <x v="2"/>
    <x v="1"/>
    <x v="1"/>
    <x v="0"/>
    <s v="Envioclick- Coordinadora"/>
    <s v="2096686 - 84150751902"/>
    <d v="2024-01-17T00:00:00"/>
    <d v="2024-01-18T00:00:00"/>
    <x v="0"/>
    <n v="1"/>
    <n v="2"/>
    <x v="1"/>
    <n v="22355"/>
    <n v="2645"/>
  </r>
  <r>
    <d v="2024-01-16T00:00:00"/>
    <x v="0"/>
    <n v="3"/>
    <n v="1875"/>
    <x v="0"/>
    <s v="Santiago Rodriguez Gutierrez"/>
    <s v="TECU2FNG"/>
    <s v="Electric Standing Desk GO Negro"/>
    <n v="1"/>
    <x v="0"/>
    <x v="0"/>
    <x v="8"/>
    <x v="0"/>
    <s v="Envioclick- Coordinadora"/>
    <s v="2096730 - 84150751928"/>
    <d v="2024-01-17T00:00:00"/>
    <d v="2024-01-18T00:00:00"/>
    <x v="0"/>
    <n v="1"/>
    <n v="2"/>
    <x v="1"/>
    <n v="40734"/>
    <n v="-734"/>
  </r>
  <r>
    <d v="2024-01-16T00:00:00"/>
    <x v="0"/>
    <n v="3"/>
    <n v="1875"/>
    <x v="0"/>
    <s v="Santiago Rodriguez Gutierrez"/>
    <s v="TECUTCO4C"/>
    <s v="Superficie Escritorio Caramelo 140x70 Clasico"/>
    <n v="1"/>
    <x v="1"/>
    <x v="0"/>
    <x v="8"/>
    <x v="0"/>
    <s v="Envioclick- Coordinadora"/>
    <s v="2096731 - 84150751929"/>
    <d v="2024-01-17T00:00:00"/>
    <d v="2024-01-18T00:00:00"/>
    <x v="0"/>
    <n v="1"/>
    <n v="2"/>
    <x v="1"/>
    <n v="22988"/>
    <n v="12012"/>
  </r>
  <r>
    <d v="2024-01-16T00:00:00"/>
    <x v="0"/>
    <n v="3"/>
    <n v="1875"/>
    <x v="0"/>
    <s v="Santiago Rodriguez Gutierrez"/>
    <s v="TECUACO"/>
    <s v="Archivador TECU  Caramelo"/>
    <n v="1"/>
    <x v="3"/>
    <x v="0"/>
    <x v="8"/>
    <x v="0"/>
    <s v="Envioclick- Envia"/>
    <s v="2127774 - 954100899756"/>
    <d v="2024-02-02T00:00:00"/>
    <d v="2024-02-03T00:00:00"/>
    <x v="0"/>
    <n v="15"/>
    <n v="16"/>
    <x v="0"/>
    <n v="61902"/>
    <n v="-11902"/>
  </r>
  <r>
    <d v="2024-01-17T00:00:00"/>
    <x v="0"/>
    <n v="3"/>
    <n v="1876"/>
    <x v="0"/>
    <s v="Bengt Kindgren"/>
    <s v="TECUDSN"/>
    <s v="TECU Desk Stool Negra Silla ajustable"/>
    <n v="1"/>
    <x v="5"/>
    <x v="1"/>
    <x v="1"/>
    <x v="0"/>
    <s v="Envioclick- Coordinadora"/>
    <s v="2097655 - 84150752427"/>
    <d v="2024-01-17T00:00:00"/>
    <d v="2024-01-18T00:00:00"/>
    <x v="0"/>
    <n v="0"/>
    <n v="1"/>
    <x v="1"/>
    <n v="25935"/>
    <n v="-935"/>
  </r>
  <r>
    <d v="2024-01-17T00:00:00"/>
    <x v="0"/>
    <n v="3"/>
    <n v="1876"/>
    <x v="0"/>
    <s v="Bengt Kindgren"/>
    <s v="TECUDSN"/>
    <s v="TECU Desk Stool Negra Silla ajustable"/>
    <n v="1"/>
    <x v="5"/>
    <x v="1"/>
    <x v="1"/>
    <x v="0"/>
    <s v="Envioclick- Coordinadora"/>
    <s v="2097658 - 84150752429"/>
    <d v="2024-01-17T00:00:00"/>
    <d v="2024-01-18T00:00:00"/>
    <x v="0"/>
    <n v="0"/>
    <n v="1"/>
    <x v="1"/>
    <n v="25935"/>
    <n v="-935"/>
  </r>
  <r>
    <d v="2024-01-18T00:00:00"/>
    <x v="0"/>
    <n v="3"/>
    <n v="1877"/>
    <x v="0"/>
    <s v="Andres Velasquez"/>
    <s v="TECU3FNPRO"/>
    <s v="Electric Standing Desk  PRO Negro"/>
    <n v="1"/>
    <x v="0"/>
    <x v="1"/>
    <x v="1"/>
    <x v="0"/>
    <s v="Envioclick- Coordinadora"/>
    <s v="2098689 - 84150752851"/>
    <d v="2024-01-18T00:00:00"/>
    <d v="2024-01-19T00:00:00"/>
    <x v="0"/>
    <n v="0"/>
    <n v="1"/>
    <x v="1"/>
    <n v="42002"/>
    <n v="-2002"/>
  </r>
  <r>
    <d v="2024-01-18T00:00:00"/>
    <x v="0"/>
    <n v="3"/>
    <n v="1877"/>
    <x v="0"/>
    <s v="Andres Velasquez"/>
    <s v="TECUTRN5C"/>
    <s v="Superficie Escritorio Roble negro 150x70 Clasico"/>
    <n v="1"/>
    <x v="1"/>
    <x v="1"/>
    <x v="1"/>
    <x v="0"/>
    <s v="Envioclick- Coordinadora"/>
    <s v="2098690 - 84150752852"/>
    <d v="2024-01-18T00:00:00"/>
    <d v="2024-01-19T00:00:00"/>
    <x v="0"/>
    <n v="0"/>
    <n v="1"/>
    <x v="1"/>
    <n v="22988"/>
    <n v="12012"/>
  </r>
  <r>
    <d v="2024-01-18T00:00:00"/>
    <x v="0"/>
    <n v="3"/>
    <n v="1877"/>
    <x v="0"/>
    <s v="Andres Velasquez"/>
    <s v="TECURN"/>
    <s v="Repisa TECU  Negro (Wengue)"/>
    <n v="1"/>
    <x v="2"/>
    <x v="1"/>
    <x v="1"/>
    <x v="0"/>
    <s v="Envioclick- Coordinadora"/>
    <s v="2101403 - 84150753913"/>
    <d v="2024-01-19T00:00:00"/>
    <d v="2024-01-20T00:00:00"/>
    <x v="0"/>
    <n v="1"/>
    <n v="2"/>
    <x v="1"/>
    <n v="22355"/>
    <n v="2645"/>
  </r>
  <r>
    <d v="2024-01-09T00:00:00"/>
    <x v="0"/>
    <n v="2"/>
    <n v="1867"/>
    <x v="1"/>
    <s v="Jose Castañeda"/>
    <s v="TECUTCC4C"/>
    <s v="Superficie Escritorio Miel 140x70 Clasico"/>
    <n v="1"/>
    <x v="1"/>
    <x v="0"/>
    <x v="3"/>
    <x v="0"/>
    <s v="Envioclick- Coordinadora"/>
    <s v="2099091 - 84150753064"/>
    <d v="2024-01-18T00:00:00"/>
    <d v="2024-01-19T00:00:00"/>
    <x v="0"/>
    <n v="8"/>
    <n v="9"/>
    <x v="0"/>
    <n v="27488"/>
    <n v="7512"/>
  </r>
  <r>
    <d v="2024-01-18T00:00:00"/>
    <x v="0"/>
    <n v="3"/>
    <n v="1878"/>
    <x v="0"/>
    <s v="SANDRA HURTADO"/>
    <s v="TECU2FNG"/>
    <s v="Electric Standing Desk GO Negro"/>
    <n v="1"/>
    <x v="0"/>
    <x v="1"/>
    <x v="1"/>
    <x v="0"/>
    <s v="Envioclick- Coordinadora"/>
    <s v="2099135 - 84150753079"/>
    <d v="2024-01-18T00:00:00"/>
    <d v="2024-01-19T00:00:00"/>
    <x v="0"/>
    <n v="0"/>
    <n v="1"/>
    <x v="1"/>
    <n v="40734"/>
    <n v="-734"/>
  </r>
  <r>
    <d v="2024-01-18T00:00:00"/>
    <x v="0"/>
    <n v="3"/>
    <n v="1878"/>
    <x v="0"/>
    <s v="SANDRA HURTADO"/>
    <s v="TECUTCO4C"/>
    <s v="Superficie Escritorio Caramelo 140x70 Clasico"/>
    <n v="1"/>
    <x v="1"/>
    <x v="1"/>
    <x v="1"/>
    <x v="0"/>
    <s v="Envioclick- Coordinadora"/>
    <s v="2099136 - 84150753080"/>
    <d v="2024-01-18T00:00:00"/>
    <d v="2024-01-19T00:00:00"/>
    <x v="0"/>
    <n v="0"/>
    <n v="1"/>
    <x v="1"/>
    <n v="22988"/>
    <n v="12012"/>
  </r>
  <r>
    <d v="2024-01-19T00:00:00"/>
    <x v="0"/>
    <n v="3"/>
    <n v="1879"/>
    <x v="0"/>
    <s v="mauricio camacho"/>
    <s v="TECU3FNPRO"/>
    <s v="Electric Standing Desk  PRO Negro"/>
    <n v="1"/>
    <x v="0"/>
    <x v="1"/>
    <x v="1"/>
    <x v="0"/>
    <s v="Envioclick- Coordinadora"/>
    <s v="2101707 - 84150754033"/>
    <d v="2024-01-19T00:00:00"/>
    <d v="2024-01-22T00:00:00"/>
    <x v="0"/>
    <n v="0"/>
    <n v="2"/>
    <x v="1"/>
    <n v="42002"/>
    <n v="-2002"/>
  </r>
  <r>
    <d v="2024-01-19T00:00:00"/>
    <x v="0"/>
    <n v="3"/>
    <n v="1879"/>
    <x v="0"/>
    <s v="mauricio camacho"/>
    <s v="TECUTRN8M"/>
    <s v="Superficie Escritorio Roble Negro 180x70 Moderno"/>
    <n v="1"/>
    <x v="1"/>
    <x v="1"/>
    <x v="1"/>
    <x v="0"/>
    <s v="Envioclick- Coordinadora"/>
    <s v="2101709 - 84150754034"/>
    <d v="2024-01-19T00:00:00"/>
    <d v="2024-01-22T00:00:00"/>
    <x v="0"/>
    <n v="0"/>
    <n v="2"/>
    <x v="1"/>
    <n v="25521"/>
    <n v="9479"/>
  </r>
  <r>
    <d v="2024-01-19T00:00:00"/>
    <x v="0"/>
    <n v="3"/>
    <n v="1879"/>
    <x v="0"/>
    <s v="mauricio camacho"/>
    <s v="TECURN"/>
    <s v="Repisa TECU  Negro (Wengue)"/>
    <n v="1"/>
    <x v="2"/>
    <x v="1"/>
    <x v="1"/>
    <x v="0"/>
    <s v="Envioclick- Coordinadora"/>
    <s v="2101704 - 84150754027"/>
    <d v="2024-01-19T00:00:00"/>
    <d v="2024-01-22T00:00:00"/>
    <x v="0"/>
    <n v="0"/>
    <n v="2"/>
    <x v="1"/>
    <n v="22355"/>
    <n v="2645"/>
  </r>
  <r>
    <d v="2024-01-19T00:00:00"/>
    <x v="0"/>
    <n v="3"/>
    <n v="1880"/>
    <x v="0"/>
    <s v="Brayan Chaparro"/>
    <s v="TECUAN"/>
    <s v="Archivador TECU  Negro (Wengue)"/>
    <n v="1"/>
    <x v="3"/>
    <x v="6"/>
    <x v="9"/>
    <x v="0"/>
    <s v="Envioclick- Envia"/>
    <s v="2128474 - 954100900026"/>
    <d v="2024-02-02T00:00:00"/>
    <d v="2024-02-05T00:00:00"/>
    <x v="0"/>
    <n v="12"/>
    <n v="14"/>
    <x v="0"/>
    <n v="128611"/>
    <n v="-78611"/>
  </r>
  <r>
    <d v="2024-01-19T00:00:00"/>
    <x v="0"/>
    <n v="3"/>
    <n v="1881"/>
    <x v="0"/>
    <s v="Michelle Silvera"/>
    <s v="TECU2FBGO"/>
    <s v="Electric Standing Desk GO Blanco"/>
    <n v="1"/>
    <x v="0"/>
    <x v="0"/>
    <x v="3"/>
    <x v="0"/>
    <s v="Envioclick- Coordinadora"/>
    <s v="2102201 - 84150754275"/>
    <d v="2024-01-19T00:00:00"/>
    <d v="2024-01-20T00:00:00"/>
    <x v="0"/>
    <n v="0"/>
    <n v="1"/>
    <x v="1"/>
    <n v="40734"/>
    <n v="-734"/>
  </r>
  <r>
    <d v="2024-01-19T00:00:00"/>
    <x v="0"/>
    <n v="3"/>
    <n v="1881"/>
    <x v="0"/>
    <s v="Michelle Silvera"/>
    <s v="TECUTB2C"/>
    <s v="Superficie Escritorio Blanco (Niebla) 120x70 Clasico Small"/>
    <n v="1"/>
    <x v="1"/>
    <x v="0"/>
    <x v="3"/>
    <x v="0"/>
    <s v="Envioclick- Coordinadora"/>
    <s v="2102202 - 84150754276"/>
    <d v="2024-01-19T00:00:00"/>
    <d v="2024-02-04T00:00:00"/>
    <x v="0"/>
    <n v="0"/>
    <n v="13"/>
    <x v="0"/>
    <n v="22988"/>
    <n v="12012"/>
  </r>
  <r>
    <d v="2024-01-22T00:00:00"/>
    <x v="0"/>
    <n v="4"/>
    <n v="1882"/>
    <x v="0"/>
    <s v="Juan Sebastian Mendez Rubiano"/>
    <s v="TECU3FNPRO"/>
    <s v="Electric Standing Desk  PRO Negro"/>
    <n v="1"/>
    <x v="0"/>
    <x v="1"/>
    <x v="1"/>
    <x v="0"/>
    <s v="Envioclick- Coordinadora"/>
    <s v="2105245 - 84150755404"/>
    <d v="2024-01-22T00:00:00"/>
    <d v="2024-01-23T00:00:00"/>
    <x v="0"/>
    <n v="0"/>
    <n v="1"/>
    <x v="1"/>
    <n v="42002"/>
    <n v="-2002"/>
  </r>
  <r>
    <d v="2024-01-22T00:00:00"/>
    <x v="0"/>
    <n v="4"/>
    <n v="1882"/>
    <x v="0"/>
    <s v="Juan Sebastian Mendez Rubiano"/>
    <s v="TECUTCC2C"/>
    <s v="Superficie Escritorio Miel 120x70 Clasico Small"/>
    <n v="1"/>
    <x v="1"/>
    <x v="1"/>
    <x v="1"/>
    <x v="0"/>
    <s v="Envioclick- Coordinadora"/>
    <s v="2105246 - 84150755406"/>
    <d v="2024-01-22T00:00:00"/>
    <d v="2024-01-23T00:00:00"/>
    <x v="0"/>
    <n v="0"/>
    <n v="1"/>
    <x v="1"/>
    <n v="27422"/>
    <n v="7578"/>
  </r>
  <r>
    <d v="2024-01-22T00:00:00"/>
    <x v="0"/>
    <n v="4"/>
    <n v="1882"/>
    <x v="0"/>
    <s v="Juan Sebastian Mendez Rubiano"/>
    <s v="TECURCC"/>
    <s v="Repisa TECU  Miel"/>
    <n v="1"/>
    <x v="2"/>
    <x v="1"/>
    <x v="1"/>
    <x v="0"/>
    <s v="Envioclick- Coordinadora"/>
    <s v="2107646 - 84150756568"/>
    <d v="2024-01-23T00:00:00"/>
    <d v="2024-01-24T00:00:00"/>
    <x v="0"/>
    <n v="1"/>
    <n v="2"/>
    <x v="1"/>
    <n v="22355"/>
    <n v="2645"/>
  </r>
  <r>
    <d v="2024-01-22T00:00:00"/>
    <x v="0"/>
    <n v="4"/>
    <n v="1883"/>
    <x v="0"/>
    <s v="Luis Londono"/>
    <s v="TECU3FNPRO"/>
    <s v="Electric Standing Desk  PRO Negro"/>
    <n v="1"/>
    <x v="0"/>
    <x v="0"/>
    <x v="3"/>
    <x v="0"/>
    <s v="Envioclick- Coordinadora"/>
    <s v="2112146 - 84150758493"/>
    <d v="2024-01-25T00:00:00"/>
    <d v="2024-01-26T00:00:00"/>
    <x v="0"/>
    <n v="3"/>
    <n v="4"/>
    <x v="0"/>
    <n v="42002"/>
    <n v="-2002"/>
  </r>
  <r>
    <d v="2024-01-22T00:00:00"/>
    <x v="0"/>
    <n v="4"/>
    <n v="1883"/>
    <x v="0"/>
    <s v="Luis Londono"/>
    <s v="TECUTCO3C"/>
    <s v="Superficie Escritorio Caramelo 130x70 Clasico"/>
    <n v="1"/>
    <x v="1"/>
    <x v="0"/>
    <x v="3"/>
    <x v="0"/>
    <s v="Envioclick- Coordinadora"/>
    <s v="2112147 - 84150758494"/>
    <d v="2024-01-25T00:00:00"/>
    <d v="2024-01-26T00:00:00"/>
    <x v="0"/>
    <n v="3"/>
    <n v="4"/>
    <x v="0"/>
    <n v="22988"/>
    <n v="12012"/>
  </r>
  <r>
    <d v="2024-01-22T00:00:00"/>
    <x v="0"/>
    <n v="4"/>
    <n v="1883"/>
    <x v="0"/>
    <s v="Luis Londono"/>
    <s v="TECURCO"/>
    <s v="Repisa TECU  Caramelo"/>
    <n v="1"/>
    <x v="2"/>
    <x v="0"/>
    <x v="3"/>
    <x v="0"/>
    <s v="Envioclick- Coordinadora"/>
    <s v="2114132 - 84150759341"/>
    <d v="2024-01-26T00:00:00"/>
    <d v="2024-01-27T00:00:00"/>
    <x v="0"/>
    <n v="4"/>
    <n v="5"/>
    <x v="0"/>
    <n v="22355"/>
    <n v="2645"/>
  </r>
  <r>
    <d v="2024-01-24T00:00:00"/>
    <x v="0"/>
    <n v="4"/>
    <n v="1884"/>
    <x v="0"/>
    <s v="Johanna Rodriguez Chavez"/>
    <s v="TECU3FBRO"/>
    <s v="Electric Standing Desk  PRO Blanco"/>
    <n v="1"/>
    <x v="0"/>
    <x v="0"/>
    <x v="0"/>
    <x v="0"/>
    <s v="Envioclick- Coordinadora"/>
    <s v="2112158 - 84150758502"/>
    <d v="2024-01-25T00:00:00"/>
    <d v="2024-01-27T00:00:00"/>
    <x v="0"/>
    <n v="1"/>
    <n v="3"/>
    <x v="1"/>
    <n v="42002"/>
    <n v="-2002"/>
  </r>
  <r>
    <d v="2024-01-24T00:00:00"/>
    <x v="0"/>
    <n v="4"/>
    <n v="1884"/>
    <x v="0"/>
    <s v="Johanna Rodriguez Chavez"/>
    <s v="TECUTCC2C"/>
    <s v="Superficie Escritorio Miel 120x70 Clasico Small"/>
    <n v="1"/>
    <x v="1"/>
    <x v="0"/>
    <x v="0"/>
    <x v="0"/>
    <s v="Envioclick- Coordinadora"/>
    <s v="2112160 - 84150758504"/>
    <d v="2024-01-25T00:00:00"/>
    <d v="2024-01-26T00:00:00"/>
    <x v="0"/>
    <n v="1"/>
    <n v="2"/>
    <x v="1"/>
    <n v="27422"/>
    <n v="7578"/>
  </r>
  <r>
    <d v="2024-01-24T00:00:00"/>
    <x v="0"/>
    <n v="4"/>
    <n v="1884"/>
    <x v="0"/>
    <s v="Johanna Rodriguez Chavez"/>
    <s v="TECURCC"/>
    <s v="Repisa TECU  Miel"/>
    <n v="1"/>
    <x v="2"/>
    <x v="0"/>
    <x v="0"/>
    <x v="0"/>
    <s v="Envioclick- Coordinadora"/>
    <s v="2114141 - 84150759347"/>
    <d v="2024-01-26T00:00:00"/>
    <d v="2024-01-27T00:00:00"/>
    <x v="0"/>
    <n v="2"/>
    <n v="3"/>
    <x v="1"/>
    <n v="22355"/>
    <n v="2645"/>
  </r>
  <r>
    <d v="2024-01-25T00:00:00"/>
    <x v="0"/>
    <n v="4"/>
    <n v="1885"/>
    <x v="0"/>
    <s v="Aili Carolina Tovar"/>
    <s v="TECU3FNPRO"/>
    <s v="Electric Standing Desk  PRO Negro"/>
    <n v="1"/>
    <x v="0"/>
    <x v="1"/>
    <x v="1"/>
    <x v="0"/>
    <s v="Envioclick- Coordinadora"/>
    <s v="2115166 - 84150759937"/>
    <d v="2024-01-26T00:00:00"/>
    <d v="2024-01-27T00:00:00"/>
    <x v="0"/>
    <n v="1"/>
    <n v="2"/>
    <x v="1"/>
    <n v="42002"/>
    <n v="-2002"/>
  </r>
  <r>
    <d v="2024-01-25T00:00:00"/>
    <x v="0"/>
    <n v="4"/>
    <n v="1885"/>
    <x v="0"/>
    <s v="Aili Carolina Tovar"/>
    <s v="TECUTCC7C"/>
    <s v="Superficie Escritorio Miel 170x70 Clasico"/>
    <n v="1"/>
    <x v="1"/>
    <x v="1"/>
    <x v="1"/>
    <x v="0"/>
    <s v="Envioclick- Coordinadora"/>
    <s v="2115167 - 84150759938"/>
    <d v="2024-01-26T00:00:00"/>
    <d v="2024-01-27T00:00:00"/>
    <x v="0"/>
    <n v="1"/>
    <n v="2"/>
    <x v="1"/>
    <n v="27422"/>
    <n v="7578"/>
  </r>
  <r>
    <d v="2024-01-25T00:00:00"/>
    <x v="0"/>
    <n v="4"/>
    <n v="1885"/>
    <x v="0"/>
    <s v="Aili Carolina Tovar"/>
    <s v="TECURCC"/>
    <s v="Repisa TECU  Miel"/>
    <n v="1"/>
    <x v="2"/>
    <x v="1"/>
    <x v="1"/>
    <x v="0"/>
    <s v="Envioclick- Coordinadora"/>
    <s v="2115162 - 84150759936"/>
    <d v="2024-01-26T00:00:00"/>
    <d v="2024-01-27T00:00:00"/>
    <x v="0"/>
    <n v="1"/>
    <n v="2"/>
    <x v="1"/>
    <n v="22355"/>
    <n v="2645"/>
  </r>
  <r>
    <d v="2024-01-26T00:00:00"/>
    <x v="0"/>
    <n v="4"/>
    <n v="1886"/>
    <x v="0"/>
    <s v="Juan Camilo Gaviria Villa"/>
    <s v="TECU3FNPRO"/>
    <s v="Electric Standing Desk  PRO Negro"/>
    <n v="1"/>
    <x v="0"/>
    <x v="0"/>
    <x v="10"/>
    <x v="0"/>
    <s v="Envioclick- Coordinadora"/>
    <s v="2114649 - 84150759650"/>
    <d v="2024-01-26T00:00:00"/>
    <d v="2024-01-27T00:00:00"/>
    <x v="0"/>
    <n v="0"/>
    <n v="1"/>
    <x v="1"/>
    <m/>
    <n v="40000"/>
  </r>
  <r>
    <d v="2024-01-26T00:00:00"/>
    <x v="0"/>
    <n v="4"/>
    <n v="1886"/>
    <x v="0"/>
    <s v="Juan Camilo Gaviria Villa"/>
    <s v="TECUTCO2C"/>
    <s v="Superficie Escritorio Caramelo 120x70 Clasico Small"/>
    <n v="1"/>
    <x v="1"/>
    <x v="0"/>
    <x v="10"/>
    <x v="0"/>
    <s v="Envioclick- Coordinadora"/>
    <s v="2114650 - 84150759652"/>
    <d v="2024-01-26T00:00:00"/>
    <d v="2024-01-27T00:00:00"/>
    <x v="0"/>
    <n v="0"/>
    <n v="1"/>
    <x v="1"/>
    <n v="27422"/>
    <n v="7578"/>
  </r>
  <r>
    <d v="2024-01-26T00:00:00"/>
    <x v="0"/>
    <n v="4"/>
    <n v="1886"/>
    <x v="0"/>
    <s v="Juan Camilo Gaviria Villa"/>
    <s v="TECURCO"/>
    <s v="Repisa TECU  Caramelo"/>
    <n v="1"/>
    <x v="2"/>
    <x v="0"/>
    <x v="10"/>
    <x v="0"/>
    <s v="Envioclick- Coordinadora"/>
    <s v="2114601 - 84150759624"/>
    <d v="2024-01-26T00:00:00"/>
    <d v="2024-01-27T00:00:00"/>
    <x v="0"/>
    <n v="0"/>
    <n v="1"/>
    <x v="1"/>
    <n v="22355"/>
    <n v="2645"/>
  </r>
  <r>
    <d v="2024-01-29T00:00:00"/>
    <x v="0"/>
    <n v="5"/>
    <n v="1887"/>
    <x v="0"/>
    <s v="Junior Jose Carrillo Corona"/>
    <s v="TECURCC"/>
    <s v="Repisa TECU  Miel"/>
    <n v="1"/>
    <x v="2"/>
    <x v="1"/>
    <x v="1"/>
    <x v="0"/>
    <s v="Envioclick- Coordinadora"/>
    <s v="2117786 - 84150760962"/>
    <d v="2024-01-29T00:00:00"/>
    <d v="2024-01-30T00:00:00"/>
    <x v="0"/>
    <n v="0"/>
    <n v="1"/>
    <x v="1"/>
    <n v="22355"/>
    <n v="2645"/>
  </r>
  <r>
    <d v="2024-01-29T00:00:00"/>
    <x v="0"/>
    <n v="5"/>
    <n v="1888"/>
    <x v="0"/>
    <s v="Franco Gazzani"/>
    <s v="TECU3FNPRO"/>
    <s v="Electric Standing Desk  PRO Negro"/>
    <n v="1"/>
    <x v="0"/>
    <x v="0"/>
    <x v="3"/>
    <x v="0"/>
    <s v="Envioclick- Coordinadora"/>
    <s v="2117765 - 84150760947"/>
    <d v="2024-01-29T00:00:00"/>
    <d v="2024-01-30T00:00:00"/>
    <x v="0"/>
    <n v="0"/>
    <n v="1"/>
    <x v="1"/>
    <n v="42002"/>
    <n v="-2002"/>
  </r>
  <r>
    <d v="2024-01-29T00:00:00"/>
    <x v="0"/>
    <n v="5"/>
    <n v="1888"/>
    <x v="0"/>
    <s v="Franco Gazzani"/>
    <s v="TECUTCO7C"/>
    <s v="Superficie Escritorio Caramelo 170x70 Clasico"/>
    <n v="1"/>
    <x v="1"/>
    <x v="0"/>
    <x v="3"/>
    <x v="0"/>
    <s v="Envioclick- Coordinadora"/>
    <s v="2117767 - 84150760948"/>
    <d v="2024-01-29T00:00:00"/>
    <d v="2024-01-30T00:00:00"/>
    <x v="0"/>
    <n v="0"/>
    <n v="1"/>
    <x v="1"/>
    <n v="25521"/>
    <n v="9479"/>
  </r>
  <r>
    <d v="2024-01-29T00:00:00"/>
    <x v="0"/>
    <n v="5"/>
    <n v="1888"/>
    <x v="0"/>
    <s v="Franco Gazzani"/>
    <s v="TECURCO"/>
    <s v="Repisa TECU  Caramelo"/>
    <n v="1"/>
    <x v="2"/>
    <x v="0"/>
    <x v="3"/>
    <x v="0"/>
    <s v="Envioclick- Coordinadora"/>
    <s v="2117747 - 84150760932"/>
    <d v="2024-01-29T00:00:00"/>
    <d v="2024-01-31T00:00:00"/>
    <x v="0"/>
    <n v="0"/>
    <n v="2"/>
    <x v="1"/>
    <n v="22355"/>
    <n v="2645"/>
  </r>
  <r>
    <d v="2024-01-29T00:00:00"/>
    <x v="0"/>
    <n v="5"/>
    <n v="1888"/>
    <x v="0"/>
    <s v="Franco Gazzani"/>
    <s v="TECUCT"/>
    <s v="TECU bandeja de cables"/>
    <n v="2"/>
    <x v="4"/>
    <x v="0"/>
    <x v="3"/>
    <x v="0"/>
    <s v="Envioclick- Coordinadora"/>
    <s v="2119005 - 84150761654"/>
    <d v="2024-01-29T00:00:00"/>
    <d v="2024-01-31T00:00:00"/>
    <x v="0"/>
    <n v="0"/>
    <n v="2"/>
    <x v="1"/>
    <n v="26855"/>
    <n v="-1855"/>
  </r>
  <r>
    <d v="2024-01-29T00:00:00"/>
    <x v="0"/>
    <n v="5"/>
    <n v="1889"/>
    <x v="0"/>
    <s v="Angie Prieto"/>
    <s v="TECU3FNPRO"/>
    <s v="Electric Standing Desk  PRO Negro"/>
    <n v="1"/>
    <x v="0"/>
    <x v="1"/>
    <x v="1"/>
    <x v="0"/>
    <s v="Envioclick- Coordinadora"/>
    <s v="2117807 - 84150760975"/>
    <d v="2024-01-29T00:00:00"/>
    <d v="2024-01-30T00:00:00"/>
    <x v="0"/>
    <n v="0"/>
    <n v="1"/>
    <x v="1"/>
    <n v="42002"/>
    <n v="-2002"/>
  </r>
  <r>
    <d v="2024-01-29T00:00:00"/>
    <x v="0"/>
    <n v="5"/>
    <n v="1889"/>
    <x v="0"/>
    <s v="Angie Prieto"/>
    <s v="TECUTCC4C"/>
    <s v="Superficie Escritorio Miel 140x70 Clasico"/>
    <n v="1"/>
    <x v="1"/>
    <x v="1"/>
    <x v="1"/>
    <x v="0"/>
    <s v="Envioclick- Coordinadora"/>
    <s v="2117808 - 84150760976"/>
    <d v="2024-01-29T00:00:00"/>
    <d v="2024-01-30T00:00:00"/>
    <x v="0"/>
    <n v="0"/>
    <n v="1"/>
    <x v="1"/>
    <n v="22988"/>
    <n v="12012"/>
  </r>
  <r>
    <d v="2024-01-29T00:00:00"/>
    <x v="0"/>
    <n v="5"/>
    <n v="1889"/>
    <x v="0"/>
    <s v="Angie Prieto"/>
    <s v="TECURCC"/>
    <s v="Repisa TECU  Miel"/>
    <n v="1"/>
    <x v="2"/>
    <x v="1"/>
    <x v="1"/>
    <x v="0"/>
    <s v="Envioclick- Coordinadora"/>
    <s v="2117795 - 84150760968"/>
    <d v="2024-01-29T00:00:00"/>
    <d v="2024-01-30T00:00:00"/>
    <x v="0"/>
    <n v="0"/>
    <n v="1"/>
    <x v="1"/>
    <m/>
    <n v="25000"/>
  </r>
  <r>
    <d v="2024-01-29T00:00:00"/>
    <x v="0"/>
    <n v="5"/>
    <n v="1890"/>
    <x v="0"/>
    <s v="Luis Felipe Salinas"/>
    <s v="TECURCO"/>
    <s v="Repisa TECU  Caramelo"/>
    <n v="1"/>
    <x v="2"/>
    <x v="0"/>
    <x v="3"/>
    <x v="0"/>
    <s v="Envioclick- Coordinadora"/>
    <s v="2118296 - 84150761250"/>
    <d v="2024-01-29T00:00:00"/>
    <d v="2024-01-30T00:00:00"/>
    <x v="0"/>
    <n v="0"/>
    <n v="1"/>
    <x v="1"/>
    <n v="22355"/>
    <n v="2645"/>
  </r>
  <r>
    <d v="2024-01-30T00:00:00"/>
    <x v="0"/>
    <n v="5"/>
    <n v="1891"/>
    <x v="0"/>
    <s v="Andres Bayona"/>
    <s v="TECU3FNPRO"/>
    <s v="Electric Standing Desk  PRO Negro"/>
    <n v="1"/>
    <x v="0"/>
    <x v="4"/>
    <x v="5"/>
    <x v="0"/>
    <s v="Envioclick- Coordinadora"/>
    <s v="2123230 - 84150763345"/>
    <d v="2024-01-31T00:00:00"/>
    <d v="2024-02-01T00:00:00"/>
    <x v="0"/>
    <n v="1"/>
    <n v="2"/>
    <x v="1"/>
    <n v="42002"/>
    <n v="-2002"/>
  </r>
  <r>
    <d v="2024-01-30T00:00:00"/>
    <x v="0"/>
    <n v="5"/>
    <n v="1891"/>
    <x v="0"/>
    <s v="Andres Bayona"/>
    <s v="TECUTCC5M"/>
    <s v="Superficie Escritorio Miel 150x70 Moderno"/>
    <n v="1"/>
    <x v="1"/>
    <x v="4"/>
    <x v="5"/>
    <x v="0"/>
    <s v="Envioclick- Coordinadora"/>
    <s v="2123231 - 84150763346"/>
    <d v="2024-01-31T00:00:00"/>
    <d v="2024-02-01T00:00:00"/>
    <x v="0"/>
    <n v="1"/>
    <n v="2"/>
    <x v="1"/>
    <n v="22988"/>
    <n v="12012"/>
  </r>
  <r>
    <d v="2024-01-30T00:00:00"/>
    <x v="0"/>
    <n v="5"/>
    <n v="1891"/>
    <x v="0"/>
    <s v="Andres Bayona"/>
    <s v="TECURCC"/>
    <s v="Repisa TECU  Miel"/>
    <n v="1"/>
    <x v="2"/>
    <x v="4"/>
    <x v="5"/>
    <x v="0"/>
    <s v="Envioclick- Coordinadora"/>
    <s v="2123223 - 84150763343"/>
    <d v="2024-01-31T00:00:00"/>
    <d v="2024-02-01T00:00:00"/>
    <x v="0"/>
    <n v="1"/>
    <n v="2"/>
    <x v="1"/>
    <n v="22355"/>
    <n v="2645"/>
  </r>
  <r>
    <d v="2024-01-31T00:00:00"/>
    <x v="0"/>
    <n v="5"/>
    <n v="1892"/>
    <x v="0"/>
    <s v="Sebastian Patiño Barrientos"/>
    <s v="TECU3FGPRO"/>
    <s v="Electric Standing Desk  PRO Gris"/>
    <n v="1"/>
    <x v="0"/>
    <x v="0"/>
    <x v="3"/>
    <x v="0"/>
    <s v="Envioclick- Coordinadora"/>
    <s v="2123237 - 84150763351"/>
    <d v="2024-02-01T00:00:00"/>
    <d v="2024-02-02T00:00:00"/>
    <x v="0"/>
    <n v="1"/>
    <n v="2"/>
    <x v="1"/>
    <n v="42002"/>
    <n v="-2002"/>
  </r>
  <r>
    <d v="2024-01-31T00:00:00"/>
    <x v="0"/>
    <n v="5"/>
    <n v="1892"/>
    <x v="0"/>
    <s v="Sebastian Patiño Barrientos"/>
    <s v="TECUTCO5C"/>
    <s v="Superficie Escritorio Caramelo 150x70 Clasico"/>
    <n v="1"/>
    <x v="1"/>
    <x v="0"/>
    <x v="3"/>
    <x v="0"/>
    <s v="Envioclick- Coordinadora"/>
    <s v="2123238 - 84150763352"/>
    <d v="2024-02-01T00:00:00"/>
    <d v="2024-02-02T00:00:00"/>
    <x v="0"/>
    <n v="1"/>
    <n v="2"/>
    <x v="1"/>
    <n v="22988"/>
    <e v="#N/A"/>
  </r>
  <r>
    <d v="2024-01-31T00:00:00"/>
    <x v="0"/>
    <n v="5"/>
    <n v="1892"/>
    <x v="0"/>
    <s v="Sebastian Patiño Barrientos"/>
    <s v="TECURCO"/>
    <s v="Repisa TECU  Caramelo"/>
    <n v="1"/>
    <x v="2"/>
    <x v="0"/>
    <x v="3"/>
    <x v="0"/>
    <s v="Envioclick- Coordinadora"/>
    <s v="2123234 - 84150763348"/>
    <d v="2024-02-01T00:00:00"/>
    <d v="2024-02-02T00:00:00"/>
    <x v="0"/>
    <n v="1"/>
    <n v="2"/>
    <x v="1"/>
    <n v="22355"/>
    <n v="2645"/>
  </r>
  <r>
    <d v="2024-01-31T00:00:00"/>
    <x v="0"/>
    <n v="5"/>
    <n v="1893"/>
    <x v="0"/>
    <s v="Juan Camilo Lopez Montes"/>
    <s v="TECU3FNPRO"/>
    <s v="Electric Standing Desk  PRO Negro"/>
    <n v="1"/>
    <x v="0"/>
    <x v="0"/>
    <x v="11"/>
    <x v="0"/>
    <s v="Envioclick- Coordinadora"/>
    <s v="2126413 - 84150764453"/>
    <d v="2024-02-01T00:00:00"/>
    <d v="2024-02-03T00:00:00"/>
    <x v="0"/>
    <n v="1"/>
    <n v="3"/>
    <x v="1"/>
    <n v="42002"/>
    <n v="-2002"/>
  </r>
  <r>
    <d v="2024-01-31T00:00:00"/>
    <x v="0"/>
    <n v="5"/>
    <n v="1893"/>
    <x v="0"/>
    <s v="Juan Camilo Lopez Montes"/>
    <s v="TECUTCO8M"/>
    <s v="Superficie Escritorio Caramelo 180x70 Moderno"/>
    <n v="1"/>
    <x v="1"/>
    <x v="0"/>
    <x v="11"/>
    <x v="0"/>
    <s v="Envioclick- Coordinadora"/>
    <s v="2126416 - 84150764454"/>
    <d v="2024-02-01T00:00:00"/>
    <d v="2024-02-03T00:00:00"/>
    <x v="0"/>
    <n v="1"/>
    <n v="3"/>
    <x v="1"/>
    <n v="25521"/>
    <n v="9479"/>
  </r>
  <r>
    <d v="2024-01-31T00:00:00"/>
    <x v="0"/>
    <n v="5"/>
    <n v="1893"/>
    <x v="0"/>
    <s v="Juan Camilo Lopez Montes"/>
    <s v="TECURCO"/>
    <s v="Repisa TECU  Caramelo"/>
    <n v="1"/>
    <x v="2"/>
    <x v="0"/>
    <x v="11"/>
    <x v="0"/>
    <s v="Envioclick- Coordinadora"/>
    <s v="2126358 - 84150764434"/>
    <d v="2024-02-01T00:00:00"/>
    <d v="2024-02-03T00:00:00"/>
    <x v="0"/>
    <n v="1"/>
    <n v="3"/>
    <x v="1"/>
    <n v="22355"/>
    <n v="2645"/>
  </r>
  <r>
    <d v="2024-02-01T00:00:00"/>
    <x v="1"/>
    <n v="5"/>
    <n v="1894"/>
    <x v="0"/>
    <s v="felipe martinez"/>
    <s v="TECU2FBGO"/>
    <s v="Electric Standing Desk GO Blanco"/>
    <n v="1"/>
    <x v="0"/>
    <x v="1"/>
    <x v="1"/>
    <x v="0"/>
    <s v="Envioclick- Coordinadora"/>
    <s v="2126758 - 84150764584"/>
    <d v="2024-02-01T00:00:00"/>
    <d v="2024-02-02T00:00:00"/>
    <x v="0"/>
    <n v="0"/>
    <n v="1"/>
    <x v="1"/>
    <n v="40734"/>
    <n v="-734"/>
  </r>
  <r>
    <d v="2024-02-02T00:00:00"/>
    <x v="1"/>
    <n v="5"/>
    <n v="1895"/>
    <x v="0"/>
    <s v="Laura Calle"/>
    <s v="TECU3FNPRO"/>
    <s v="Electric Standing Desk  PRO Negro"/>
    <n v="1"/>
    <x v="0"/>
    <x v="0"/>
    <x v="3"/>
    <x v="0"/>
    <s v="Envioclick- Coordinadora"/>
    <s v="2133689 - 84150767410"/>
    <d v="2024-02-05T00:00:00"/>
    <d v="2024-02-07T00:00:00"/>
    <x v="0"/>
    <n v="2"/>
    <n v="4"/>
    <x v="0"/>
    <n v="42002"/>
    <n v="-2002"/>
  </r>
  <r>
    <d v="2024-02-04T00:00:00"/>
    <x v="1"/>
    <n v="6"/>
    <n v="1896"/>
    <x v="0"/>
    <s v="Juan Camilo Muñoz Bedoya"/>
    <s v="TECU2FNG"/>
    <s v="Electric Standing Desk GO Negro"/>
    <n v="1"/>
    <x v="0"/>
    <x v="0"/>
    <x v="12"/>
    <x v="0"/>
    <s v="Envioclick- Coordinadora"/>
    <s v="2133229 - 84150767211"/>
    <d v="2024-02-05T00:00:00"/>
    <d v="2024-02-06T00:00:00"/>
    <x v="0"/>
    <n v="0"/>
    <n v="1"/>
    <x v="1"/>
    <n v="40734"/>
    <n v="-734"/>
  </r>
  <r>
    <d v="2024-02-04T00:00:00"/>
    <x v="1"/>
    <n v="6"/>
    <n v="1896"/>
    <x v="0"/>
    <s v="Juan Camilo Muñoz Bedoya"/>
    <s v="TECU2FNG"/>
    <s v="Electric Standing Desk GO Negro"/>
    <n v="1"/>
    <x v="0"/>
    <x v="0"/>
    <x v="12"/>
    <x v="0"/>
    <s v="Envioclick- Coordinadora"/>
    <s v="2133240 - 84150767212"/>
    <d v="2024-02-05T00:00:00"/>
    <d v="2024-02-06T00:00:00"/>
    <x v="0"/>
    <n v="0"/>
    <n v="1"/>
    <x v="1"/>
    <n v="22988"/>
    <n v="17012"/>
  </r>
  <r>
    <d v="2024-02-04T00:00:00"/>
    <x v="1"/>
    <n v="6"/>
    <n v="1896"/>
    <x v="0"/>
    <s v="Juan Camilo Muñoz Bedoya"/>
    <s v="TECUTRN4C"/>
    <s v="Superficie Escritorio Roble Negro 140x70 Clasico"/>
    <n v="1"/>
    <x v="1"/>
    <x v="0"/>
    <x v="12"/>
    <x v="0"/>
    <s v="Envioclick- Coordinadora"/>
    <s v="2133740 - 84150767424"/>
    <d v="2024-02-05T00:00:00"/>
    <d v="2024-02-06T00:00:00"/>
    <x v="0"/>
    <n v="0"/>
    <n v="1"/>
    <x v="1"/>
    <n v="40734"/>
    <n v="-5734"/>
  </r>
  <r>
    <d v="2024-02-04T00:00:00"/>
    <x v="1"/>
    <n v="6"/>
    <n v="1896"/>
    <x v="0"/>
    <s v="Juan Camilo Muñoz Bedoya"/>
    <s v="TECUTRN4C"/>
    <s v="Superficie Escritorio Roble Negro 140x70 Clasico"/>
    <n v="1"/>
    <x v="1"/>
    <x v="0"/>
    <x v="12"/>
    <x v="0"/>
    <s v="Envioclick- Coordinadora"/>
    <s v="2133742 - 84150767425"/>
    <d v="2024-02-05T00:00:00"/>
    <d v="2024-02-06T00:00:00"/>
    <x v="0"/>
    <n v="0"/>
    <n v="1"/>
    <x v="1"/>
    <n v="22988"/>
    <n v="12012"/>
  </r>
  <r>
    <d v="2024-02-05T00:00:00"/>
    <x v="1"/>
    <n v="6"/>
    <n v="1897"/>
    <x v="0"/>
    <s v="yamit cardenas"/>
    <s v="TECU3FNPRO"/>
    <s v="Electric Standing Desk  PRO Negro"/>
    <n v="1"/>
    <x v="0"/>
    <x v="1"/>
    <x v="1"/>
    <x v="0"/>
    <s v="Envioclick- Coordinadora"/>
    <s v="2133765 - 84150767432"/>
    <d v="2024-02-05T00:00:00"/>
    <d v="2024-02-07T00:00:00"/>
    <x v="0"/>
    <n v="0"/>
    <n v="2"/>
    <x v="1"/>
    <n v="42002"/>
    <n v="-2002"/>
  </r>
  <r>
    <d v="2024-02-05T00:00:00"/>
    <x v="1"/>
    <n v="6"/>
    <n v="1897"/>
    <x v="0"/>
    <s v="yamit cardenas"/>
    <s v="TECUTCO7M"/>
    <s v="Superficie Escritorio Caramelo 170x70 Moderno"/>
    <n v="1"/>
    <x v="1"/>
    <x v="1"/>
    <x v="1"/>
    <x v="0"/>
    <s v="Envioclick- Coordinadora"/>
    <s v="2133766 - 84150767433"/>
    <d v="2024-02-05T00:00:00"/>
    <d v="2024-02-07T00:00:00"/>
    <x v="0"/>
    <n v="0"/>
    <n v="2"/>
    <x v="1"/>
    <n v="25521"/>
    <e v="#N/A"/>
  </r>
  <r>
    <d v="2024-02-05T00:00:00"/>
    <x v="1"/>
    <n v="6"/>
    <n v="1897"/>
    <x v="0"/>
    <s v="yamit cardenas"/>
    <s v="TECURCO"/>
    <s v="Repisa TECU  Caramelo"/>
    <n v="1"/>
    <x v="2"/>
    <x v="1"/>
    <x v="1"/>
    <x v="0"/>
    <s v="Envioclick- Coordinadora"/>
    <s v="2133753 - 84150767427"/>
    <d v="2024-02-05T00:00:00"/>
    <d v="2024-02-07T00:00:00"/>
    <x v="0"/>
    <n v="0"/>
    <n v="2"/>
    <x v="1"/>
    <n v="22355"/>
    <n v="2645"/>
  </r>
  <r>
    <d v="2024-02-05T00:00:00"/>
    <x v="1"/>
    <n v="6"/>
    <n v="1898"/>
    <x v="0"/>
    <s v="Nicole Gomez"/>
    <s v="TECULFN2"/>
    <s v="Electric Standing Desk | Escritorio Ajustable En L Frame Negro 2.0"/>
    <n v="1"/>
    <x v="0"/>
    <x v="0"/>
    <x v="3"/>
    <x v="0"/>
    <s v="Envioclick- Coordinadora"/>
    <s v="2136153 - 84150768690"/>
    <d v="2024-02-05T00:00:00"/>
    <d v="2024-02-07T00:00:00"/>
    <x v="0"/>
    <n v="0"/>
    <n v="2"/>
    <x v="1"/>
    <n v="60937"/>
    <n v="-20937"/>
  </r>
  <r>
    <d v="2024-02-05T00:00:00"/>
    <x v="1"/>
    <n v="6"/>
    <n v="1898"/>
    <x v="0"/>
    <s v="Nicole Gomez"/>
    <s v="TECUTLNS"/>
    <s v="Superficie Escritorio en L Negro (Wengue) Set completo"/>
    <n v="1"/>
    <x v="1"/>
    <x v="0"/>
    <x v="3"/>
    <x v="0"/>
    <s v="Envioclick- Coordinadora"/>
    <s v="2136155 - 84150768691"/>
    <d v="2024-02-05T00:00:00"/>
    <d v="2024-02-07T00:00:00"/>
    <x v="0"/>
    <n v="0"/>
    <n v="2"/>
    <x v="1"/>
    <n v="25521"/>
    <n v="9479"/>
  </r>
  <r>
    <d v="2024-02-05T00:00:00"/>
    <x v="1"/>
    <n v="6"/>
    <n v="1898"/>
    <x v="0"/>
    <s v="Nicole Gomez"/>
    <s v="TECURN"/>
    <s v="Repisa TECU  Negro (Wengue)"/>
    <n v="1"/>
    <x v="2"/>
    <x v="0"/>
    <x v="3"/>
    <x v="0"/>
    <s v="Envioclick- Coordinadora"/>
    <s v="2136135 - 84150768684"/>
    <d v="2024-02-05T00:00:00"/>
    <d v="2024-02-07T00:00:00"/>
    <x v="0"/>
    <n v="0"/>
    <n v="2"/>
    <x v="1"/>
    <n v="22355"/>
    <n v="2645"/>
  </r>
  <r>
    <d v="2024-02-05T00:00:00"/>
    <x v="1"/>
    <n v="6"/>
    <n v="1899"/>
    <x v="0"/>
    <s v="Leiner Lenin Lucero Sanchez"/>
    <s v="TECU3FNPRO"/>
    <s v="Electric Standing Desk  PRO Negro"/>
    <n v="1"/>
    <x v="0"/>
    <x v="1"/>
    <x v="1"/>
    <x v="0"/>
    <s v="Envioclick- Coordinadora"/>
    <s v="2136185 - 84150768699"/>
    <d v="2024-02-05T00:00:00"/>
    <d v="2024-02-07T00:00:00"/>
    <x v="0"/>
    <n v="0"/>
    <n v="2"/>
    <x v="1"/>
    <n v="42002"/>
    <n v="-2002"/>
  </r>
  <r>
    <d v="2024-02-05T00:00:00"/>
    <x v="1"/>
    <n v="6"/>
    <n v="1899"/>
    <x v="0"/>
    <s v="Leiner Lenin Lucero Sanchez"/>
    <s v="TECUTCC6C"/>
    <s v="Superficie Escritorio Miel 160x70 Clasico"/>
    <n v="1"/>
    <x v="1"/>
    <x v="1"/>
    <x v="1"/>
    <x v="0"/>
    <s v="Envioclick- Coordinadora"/>
    <s v="2136187 - 84150768701"/>
    <d v="2024-02-05T00:00:00"/>
    <d v="2024-02-07T00:00:00"/>
    <x v="0"/>
    <n v="0"/>
    <n v="2"/>
    <x v="1"/>
    <n v="22988"/>
    <n v="12012"/>
  </r>
  <r>
    <d v="2024-02-05T00:00:00"/>
    <x v="1"/>
    <n v="6"/>
    <n v="1899"/>
    <x v="0"/>
    <s v="Leiner Lenin Lucero Sanchez"/>
    <s v="TECURCC"/>
    <s v="Repisa TECU  Miel"/>
    <n v="1"/>
    <x v="2"/>
    <x v="1"/>
    <x v="1"/>
    <x v="0"/>
    <s v="Envioclick- Coordinadora"/>
    <s v="2136177 - 84150768696"/>
    <d v="2024-02-05T00:00:00"/>
    <d v="2024-02-07T00:00:00"/>
    <x v="0"/>
    <n v="0"/>
    <n v="2"/>
    <x v="1"/>
    <n v="22355"/>
    <n v="2645"/>
  </r>
  <r>
    <d v="2024-02-07T00:00:00"/>
    <x v="1"/>
    <n v="6"/>
    <n v="1900"/>
    <x v="0"/>
    <s v="William Munoz Rodas"/>
    <s v="TECU3FNPRO"/>
    <s v="Electric Standing Desk  PRO Negro"/>
    <n v="1"/>
    <x v="0"/>
    <x v="0"/>
    <x v="10"/>
    <x v="0"/>
    <s v="Envioclick- Coordinadora"/>
    <s v="2138480 - 84150769778"/>
    <d v="2024-02-07T00:00:00"/>
    <d v="2024-02-08T00:00:00"/>
    <x v="0"/>
    <n v="0"/>
    <n v="1"/>
    <x v="1"/>
    <n v="42002"/>
    <n v="-2002"/>
  </r>
  <r>
    <d v="2024-02-07T00:00:00"/>
    <x v="1"/>
    <n v="6"/>
    <n v="1900"/>
    <x v="0"/>
    <s v="William Munoz Rodas"/>
    <s v="TECUTCO8M"/>
    <s v="Superficie Escritorio Caramelo 180x70 Moderno"/>
    <n v="1"/>
    <x v="1"/>
    <x v="0"/>
    <x v="10"/>
    <x v="0"/>
    <s v="Envioclick- Coordinadora"/>
    <s v="2138481 - 84150769779"/>
    <d v="2024-02-07T00:00:00"/>
    <d v="2024-02-08T00:00:00"/>
    <x v="0"/>
    <n v="0"/>
    <n v="1"/>
    <x v="1"/>
    <n v="25521"/>
    <n v="9479"/>
  </r>
  <r>
    <d v="2024-02-07T00:00:00"/>
    <x v="1"/>
    <n v="6"/>
    <n v="1900"/>
    <x v="0"/>
    <s v="William Munoz Rodas"/>
    <s v="TECURCO"/>
    <s v="Repisa TECU  Caramelo"/>
    <n v="1"/>
    <x v="2"/>
    <x v="0"/>
    <x v="10"/>
    <x v="0"/>
    <s v="Envioclick- Coordinadora"/>
    <s v="2138471 - 84150769771"/>
    <d v="2024-02-07T00:00:00"/>
    <d v="2024-02-08T00:00:00"/>
    <x v="0"/>
    <n v="0"/>
    <n v="1"/>
    <x v="1"/>
    <n v="22355"/>
    <n v="2645"/>
  </r>
  <r>
    <d v="2024-02-07T00:00:00"/>
    <x v="1"/>
    <n v="6"/>
    <n v="1901"/>
    <x v="0"/>
    <s v="valentina plazas"/>
    <s v="TECU3FNPRO"/>
    <s v="Electric Standing Desk  PRO Negro"/>
    <n v="1"/>
    <x v="0"/>
    <x v="1"/>
    <x v="1"/>
    <x v="0"/>
    <s v="Envioclick- Coordinadora"/>
    <s v="2138494 - 84150769790"/>
    <d v="2024-02-07T00:00:00"/>
    <d v="2024-02-08T00:00:00"/>
    <x v="0"/>
    <n v="0"/>
    <n v="1"/>
    <x v="1"/>
    <n v="42002"/>
    <n v="-2002"/>
  </r>
  <r>
    <d v="2024-02-07T00:00:00"/>
    <x v="1"/>
    <n v="6"/>
    <n v="1901"/>
    <x v="0"/>
    <s v="valentina plazas"/>
    <s v="TECUTCC4C"/>
    <s v="Superficie Escritorio Miel 140x70 Clasico"/>
    <n v="1"/>
    <x v="1"/>
    <x v="1"/>
    <x v="1"/>
    <x v="0"/>
    <s v="Envioclick- Coordinadora"/>
    <s v="2138495 - 84150769791"/>
    <d v="2024-02-07T00:00:00"/>
    <d v="2024-02-08T00:00:00"/>
    <x v="0"/>
    <n v="0"/>
    <n v="1"/>
    <x v="1"/>
    <n v="22988"/>
    <n v="12012"/>
  </r>
  <r>
    <d v="2024-02-07T00:00:00"/>
    <x v="1"/>
    <n v="6"/>
    <n v="1901"/>
    <x v="0"/>
    <s v="valentina plazas"/>
    <s v="TECURCC"/>
    <s v="Repisa TECU  Miel"/>
    <n v="1"/>
    <x v="2"/>
    <x v="1"/>
    <x v="1"/>
    <x v="0"/>
    <s v="Envioclick- Coordinadora"/>
    <s v="2138489 -84150769785"/>
    <d v="2024-02-07T00:00:00"/>
    <d v="2024-02-08T00:00:00"/>
    <x v="0"/>
    <n v="0"/>
    <n v="1"/>
    <x v="1"/>
    <n v="22355"/>
    <n v="2645"/>
  </r>
  <r>
    <d v="2024-02-09T00:00:00"/>
    <x v="1"/>
    <n v="6"/>
    <n v="1902"/>
    <x v="0"/>
    <s v="Andrés Valencia"/>
    <s v="TECU3FNPRO"/>
    <s v="Electric Standing Desk  PRO Negro"/>
    <n v="1"/>
    <x v="0"/>
    <x v="4"/>
    <x v="5"/>
    <x v="0"/>
    <s v="Envioclick- Coordinadora"/>
    <s v="2142716 - 84150771614"/>
    <d v="2024-02-09T00:00:00"/>
    <d v="2024-02-10T00:00:00"/>
    <x v="0"/>
    <n v="0"/>
    <n v="1"/>
    <x v="1"/>
    <n v="42002"/>
    <n v="-2002"/>
  </r>
  <r>
    <d v="2024-02-09T00:00:00"/>
    <x v="1"/>
    <n v="6"/>
    <n v="1902"/>
    <x v="0"/>
    <s v="Andrés Valencia"/>
    <s v="TECUTRN20C"/>
    <s v="Superficie Escritorio Roble Negro 200x70 Clasico"/>
    <n v="1"/>
    <x v="1"/>
    <x v="4"/>
    <x v="5"/>
    <x v="0"/>
    <s v="Envioclick- Coordinadora"/>
    <s v="2142717 - 84150771615"/>
    <d v="2024-02-09T00:00:00"/>
    <d v="2024-02-10T00:00:00"/>
    <x v="0"/>
    <n v="0"/>
    <n v="1"/>
    <x v="1"/>
    <n v="25521"/>
    <n v="9479"/>
  </r>
  <r>
    <d v="2024-02-09T00:00:00"/>
    <x v="1"/>
    <n v="6"/>
    <n v="1902"/>
    <x v="0"/>
    <s v="Andrés Valencia"/>
    <s v="TECURN"/>
    <s v="Repisa TECU  Negro (Wengue)"/>
    <n v="1"/>
    <x v="2"/>
    <x v="4"/>
    <x v="5"/>
    <x v="0"/>
    <s v="Envioclick- Coordinadora"/>
    <s v="2142710 - 84150771613"/>
    <d v="2024-02-09T00:00:00"/>
    <d v="2024-02-10T00:00:00"/>
    <x v="0"/>
    <n v="0"/>
    <n v="1"/>
    <x v="1"/>
    <n v="22355"/>
    <n v="2645"/>
  </r>
  <r>
    <d v="2024-02-09T00:00:00"/>
    <x v="1"/>
    <n v="6"/>
    <n v="1903"/>
    <x v="0"/>
    <s v="Mario Mauricio Galvis Ruiz"/>
    <s v="TECU2FNG"/>
    <s v="Electric Standing Desk GO Negro"/>
    <n v="1"/>
    <x v="0"/>
    <x v="0"/>
    <x v="0"/>
    <x v="0"/>
    <s v="Envioclick- Coordinadora"/>
    <s v="2143508 - 84150772041"/>
    <d v="2024-02-09T00:00:00"/>
    <d v="2024-02-15T00:00:00"/>
    <x v="0"/>
    <n v="0"/>
    <n v="5"/>
    <x v="0"/>
    <n v="90555"/>
    <n v="-50555"/>
  </r>
  <r>
    <d v="2024-02-09T00:00:00"/>
    <x v="1"/>
    <n v="6"/>
    <n v="1903"/>
    <x v="0"/>
    <s v="Mario Mauricio Galvis Ruiz"/>
    <s v="TECUTCC2C"/>
    <s v="Superficie Escritorio Miel 120x70 Clasico Small"/>
    <n v="1"/>
    <x v="1"/>
    <x v="0"/>
    <x v="0"/>
    <x v="0"/>
    <s v="Envioclick- Coordinadora"/>
    <s v="2143511 - 84150772043"/>
    <d v="2024-02-09T00:00:00"/>
    <d v="2024-02-20T00:00:00"/>
    <x v="0"/>
    <n v="0"/>
    <n v="9"/>
    <x v="0"/>
    <n v="75975"/>
    <n v="-40975"/>
  </r>
  <r>
    <d v="2024-02-12T00:00:00"/>
    <x v="1"/>
    <n v="7"/>
    <n v="1904"/>
    <x v="0"/>
    <s v="Andres Aristizabal"/>
    <s v="TECU3FBRO"/>
    <s v="Electric Standing Desk  PRO Blanco"/>
    <n v="1"/>
    <x v="0"/>
    <x v="2"/>
    <x v="13"/>
    <x v="0"/>
    <s v="Envioclick- Coordinadora"/>
    <s v="2145993 - 84150773156"/>
    <d v="2024-02-12T00:00:00"/>
    <d v="2024-02-14T00:00:00"/>
    <x v="0"/>
    <n v="0"/>
    <n v="2"/>
    <x v="1"/>
    <n v="60748"/>
    <n v="-20748"/>
  </r>
  <r>
    <d v="2024-02-13T00:00:00"/>
    <x v="1"/>
    <n v="7"/>
    <n v="1905"/>
    <x v="0"/>
    <s v="Jaeckel Montoya Abogados SAS"/>
    <s v="TECU3FNPRO"/>
    <s v="Electric Standing Desk  PRO Negro"/>
    <n v="1"/>
    <x v="0"/>
    <x v="1"/>
    <x v="1"/>
    <x v="0"/>
    <s v="Envioclick- Coordinadora"/>
    <s v="2167315 - 84150775743"/>
    <d v="2024-02-14T00:00:00"/>
    <d v="2024-02-15T00:00:00"/>
    <x v="0"/>
    <n v="1"/>
    <n v="2"/>
    <x v="1"/>
    <n v="42002"/>
    <n v="-2002"/>
  </r>
  <r>
    <d v="2024-02-13T00:00:00"/>
    <x v="1"/>
    <n v="7"/>
    <n v="1905"/>
    <x v="0"/>
    <s v="Jaeckel Montoya Abogados SAS"/>
    <s v="TECUTRN20C"/>
    <s v="Superficie Escritorio Roble Negro 200x70 Clasico"/>
    <n v="1"/>
    <x v="1"/>
    <x v="1"/>
    <x v="1"/>
    <x v="0"/>
    <s v="Envioclick- Coordinadora"/>
    <s v="2167316 - 84150775744"/>
    <d v="2024-02-14T00:00:00"/>
    <d v="2024-02-15T00:00:00"/>
    <x v="0"/>
    <n v="1"/>
    <n v="2"/>
    <x v="1"/>
    <n v="25521"/>
    <n v="9479"/>
  </r>
  <r>
    <d v="2024-02-13T00:00:00"/>
    <x v="1"/>
    <n v="7"/>
    <n v="1905"/>
    <x v="0"/>
    <s v="Jaeckel Montoya Abogados SAS"/>
    <s v="TECURN"/>
    <s v="Repisa TECU  Negro (Wengue)"/>
    <n v="1"/>
    <x v="2"/>
    <x v="1"/>
    <x v="1"/>
    <x v="0"/>
    <s v="Envioclick- Coordinadora"/>
    <s v="2167312 - 84150775742"/>
    <d v="2024-02-14T00:00:00"/>
    <d v="2024-02-15T00:00:00"/>
    <x v="0"/>
    <n v="1"/>
    <n v="2"/>
    <x v="1"/>
    <n v="22355"/>
    <n v="2645"/>
  </r>
  <r>
    <d v="2024-02-15T00:00:00"/>
    <x v="1"/>
    <n v="7"/>
    <n v="1906"/>
    <x v="0"/>
    <s v="JULIO ACONCHA"/>
    <s v="TECURCO"/>
    <s v="Repisa TECU  Caramelo"/>
    <n v="1"/>
    <x v="2"/>
    <x v="0"/>
    <x v="3"/>
    <x v="0"/>
    <s v="Envioclick- Coordinadora"/>
    <s v="2194318 - 84150776632"/>
    <d v="2024-02-15T00:00:00"/>
    <d v="2024-02-16T00:00:00"/>
    <x v="0"/>
    <n v="0"/>
    <n v="1"/>
    <x v="1"/>
    <n v="22355"/>
    <n v="2645"/>
  </r>
  <r>
    <d v="2024-02-15T00:00:00"/>
    <x v="1"/>
    <n v="7"/>
    <n v="1907"/>
    <x v="0"/>
    <s v="Kevin Pedroza"/>
    <s v="TECU2FNG"/>
    <s v="Electric Standing Desk GO Negro"/>
    <n v="1"/>
    <x v="0"/>
    <x v="3"/>
    <x v="4"/>
    <x v="0"/>
    <s v="Envioclick- Coordinadora"/>
    <s v="2194347 - 84150776648"/>
    <d v="2024-02-15T00:00:00"/>
    <d v="2024-02-19T00:00:00"/>
    <x v="0"/>
    <n v="0"/>
    <n v="3"/>
    <x v="1"/>
    <n v="58232"/>
    <n v="-18232"/>
  </r>
  <r>
    <d v="2024-02-15T00:00:00"/>
    <x v="1"/>
    <n v="7"/>
    <n v="1907"/>
    <x v="0"/>
    <s v="Kevin Pedroza"/>
    <s v="TECUTRN2C"/>
    <s v="Superficie Escritorio Roble Negro 120x70 Clasico Small"/>
    <n v="1"/>
    <x v="1"/>
    <x v="3"/>
    <x v="4"/>
    <x v="0"/>
    <s v="Envioclick- Coordinadora"/>
    <s v="2194348 - 84150776649"/>
    <d v="2024-02-15T00:00:00"/>
    <d v="2024-02-19T00:00:00"/>
    <x v="0"/>
    <n v="0"/>
    <n v="3"/>
    <x v="1"/>
    <n v="37361"/>
    <n v="-2361"/>
  </r>
  <r>
    <d v="2024-02-07T00:00:00"/>
    <x v="1"/>
    <n v="6"/>
    <n v="1898"/>
    <x v="1"/>
    <s v="Nicole Gomez"/>
    <s v="TECUTLNS"/>
    <s v="Superficie Escritorio en L Negro (Wengue) Set completo"/>
    <n v="1"/>
    <x v="1"/>
    <x v="0"/>
    <x v="3"/>
    <x v="0"/>
    <s v="Envioclick- Coordinadora"/>
    <s v="2141135 - 84150770945"/>
    <d v="2024-02-08T00:00:00"/>
    <d v="2024-02-09T00:00:00"/>
    <x v="0"/>
    <n v="1"/>
    <n v="2"/>
    <x v="1"/>
    <n v="23855"/>
    <n v="11145"/>
  </r>
  <r>
    <d v="2024-02-09T00:00:00"/>
    <x v="1"/>
    <n v="6"/>
    <n v="1898"/>
    <x v="1"/>
    <s v="Nicole Gomez"/>
    <s v="TECUTLNS"/>
    <s v="Superficie Escritorio en L Negro (Wengue) Set completo"/>
    <n v="1"/>
    <x v="1"/>
    <x v="0"/>
    <x v="3"/>
    <x v="0"/>
    <s v="Envioclick- Coordinadora"/>
    <s v="2146012 - 84150773297"/>
    <d v="2024-02-12T00:00:00"/>
    <d v="2024-02-13T00:00:00"/>
    <x v="0"/>
    <n v="2"/>
    <n v="3"/>
    <x v="1"/>
    <n v="23855"/>
    <n v="11145"/>
  </r>
  <r>
    <d v="2024-02-16T00:00:00"/>
    <x v="1"/>
    <n v="7"/>
    <n v="1908"/>
    <x v="0"/>
    <s v="Kelly Jiménez Brun"/>
    <s v="TECU3FGPRO"/>
    <s v="Electric Standing Desk  PRO Gris"/>
    <n v="1"/>
    <x v="0"/>
    <x v="0"/>
    <x v="0"/>
    <x v="0"/>
    <s v="Envioclick- Coordinadora"/>
    <s v="2201074 - 84150778877"/>
    <d v="2024-02-19T00:00:00"/>
    <d v="2024-02-20T00:00:00"/>
    <x v="0"/>
    <n v="2"/>
    <n v="3"/>
    <x v="1"/>
    <n v="42002"/>
    <n v="-2002"/>
  </r>
  <r>
    <d v="2024-02-16T00:00:00"/>
    <x v="1"/>
    <n v="7"/>
    <n v="1908"/>
    <x v="0"/>
    <s v="Kelly Jiménez Brun"/>
    <s v="TECUTB7C"/>
    <s v="Superficie Escritorio Blanco (Niebla) 170x70 Clasico"/>
    <n v="1"/>
    <x v="1"/>
    <x v="0"/>
    <x v="0"/>
    <x v="0"/>
    <s v="Envioclick- Coordinadora"/>
    <s v="2201077 - 84150778879"/>
    <d v="2024-02-19T00:00:00"/>
    <d v="2024-02-20T00:00:00"/>
    <x v="0"/>
    <n v="2"/>
    <n v="3"/>
    <x v="1"/>
    <n v="25521"/>
    <n v="9479"/>
  </r>
  <r>
    <d v="2024-02-16T00:00:00"/>
    <x v="1"/>
    <n v="7"/>
    <n v="1908"/>
    <x v="0"/>
    <s v="Kelly Jiménez Brun"/>
    <s v="TECURB"/>
    <s v="Repisa TECU  Blanco (Niebla)"/>
    <n v="1"/>
    <x v="2"/>
    <x v="0"/>
    <x v="0"/>
    <x v="0"/>
    <s v="Envioclick- Coordinadora"/>
    <s v="2201061 - 84150778867"/>
    <d v="2024-02-19T00:00:00"/>
    <d v="2024-02-20T00:00:00"/>
    <x v="0"/>
    <n v="2"/>
    <n v="3"/>
    <x v="1"/>
    <n v="22355"/>
    <n v="2645"/>
  </r>
  <r>
    <d v="2024-02-19T00:00:00"/>
    <x v="1"/>
    <n v="8"/>
    <n v="1909"/>
    <x v="0"/>
    <s v="rafael ortega"/>
    <s v="TECU3FNPRO"/>
    <s v="Electric Standing Desk  PRO Negro"/>
    <n v="1"/>
    <x v="0"/>
    <x v="1"/>
    <x v="14"/>
    <x v="0"/>
    <s v="Envioclick- Coordinadora"/>
    <s v="2201127 - 84150778901"/>
    <d v="2024-02-19T00:00:00"/>
    <d v="2024-02-20T00:00:00"/>
    <x v="0"/>
    <n v="0"/>
    <n v="1"/>
    <x v="1"/>
    <n v="42002"/>
    <n v="-2002"/>
  </r>
  <r>
    <d v="2024-02-19T00:00:00"/>
    <x v="1"/>
    <n v="8"/>
    <n v="1909"/>
    <x v="0"/>
    <s v="rafael ortega"/>
    <s v="TECUTRN20C"/>
    <s v="Superficie Escritorio Roble Negro 200x70 Clasico"/>
    <n v="1"/>
    <x v="1"/>
    <x v="1"/>
    <x v="14"/>
    <x v="0"/>
    <s v="Envioclick- Coordinadora"/>
    <s v="2201129 - 84150778902"/>
    <d v="2024-02-19T00:00:00"/>
    <d v="2024-02-21T00:00:00"/>
    <x v="0"/>
    <n v="0"/>
    <n v="2"/>
    <x v="1"/>
    <n v="25521"/>
    <n v="9479"/>
  </r>
  <r>
    <d v="2024-02-19T00:00:00"/>
    <x v="1"/>
    <n v="8"/>
    <n v="1909"/>
    <x v="0"/>
    <s v="rafael ortega"/>
    <s v="TECURN"/>
    <s v="Repisa TECU  Negro (Wengue)"/>
    <n v="1"/>
    <x v="2"/>
    <x v="1"/>
    <x v="14"/>
    <x v="0"/>
    <s v="Envioclick- Coordinadora"/>
    <s v="2201116 -84150778895"/>
    <d v="2024-02-19T00:00:00"/>
    <d v="2024-02-21T00:00:00"/>
    <x v="0"/>
    <n v="0"/>
    <n v="2"/>
    <x v="1"/>
    <n v="22355"/>
    <n v="2645"/>
  </r>
  <r>
    <d v="2024-02-19T00:00:00"/>
    <x v="1"/>
    <n v="8"/>
    <n v="1910"/>
    <x v="0"/>
    <s v="Yornel Romero"/>
    <s v="TECU2FNG"/>
    <s v="Electric Standing Desk GO Negro"/>
    <n v="1"/>
    <x v="0"/>
    <x v="1"/>
    <x v="1"/>
    <x v="0"/>
    <s v="Envioclick- Coordinadora"/>
    <s v="2201138 - 84150778907"/>
    <d v="2024-02-19T00:00:00"/>
    <d v="2024-02-20T00:00:00"/>
    <x v="0"/>
    <n v="0"/>
    <n v="1"/>
    <x v="1"/>
    <n v="40734"/>
    <n v="-734"/>
  </r>
  <r>
    <d v="2024-02-19T00:00:00"/>
    <x v="1"/>
    <n v="8"/>
    <n v="1910"/>
    <x v="0"/>
    <s v="Yornel Romero"/>
    <s v="TECUTCC4C"/>
    <s v="Superficie Escritorio Miel 140x70 Clasico"/>
    <n v="1"/>
    <x v="1"/>
    <x v="1"/>
    <x v="1"/>
    <x v="0"/>
    <s v="Envioclick- Coordinadora"/>
    <s v="2201139 - 84150778908"/>
    <d v="2024-02-19T00:00:00"/>
    <d v="2024-02-20T00:00:00"/>
    <x v="0"/>
    <n v="0"/>
    <n v="1"/>
    <x v="1"/>
    <n v="22988"/>
    <n v="12012"/>
  </r>
  <r>
    <d v="2024-02-19T00:00:00"/>
    <x v="1"/>
    <n v="8"/>
    <n v="1911"/>
    <x v="0"/>
    <s v="Sergio Daniel Lozano Garcia"/>
    <s v="TECULFN2"/>
    <s v="Electric Standing Desk | Escritorio Ajustable En L Frame Negro 2.0"/>
    <n v="1"/>
    <x v="0"/>
    <x v="0"/>
    <x v="3"/>
    <x v="0"/>
    <s v="Envioclick- Coordinadora"/>
    <s v="2201160 - 84150778912"/>
    <d v="2024-02-19T00:00:00"/>
    <d v="2024-02-20T00:00:00"/>
    <x v="0"/>
    <n v="0"/>
    <n v="1"/>
    <x v="1"/>
    <n v="60937"/>
    <n v="-20937"/>
  </r>
  <r>
    <d v="2024-02-19T00:00:00"/>
    <x v="1"/>
    <n v="8"/>
    <n v="1911"/>
    <x v="0"/>
    <s v="Sergio Daniel Lozano Garcia"/>
    <s v="TECUTLCCS"/>
    <s v="Superficie Escritorio en L Caramelo Set completo"/>
    <n v="1"/>
    <x v="1"/>
    <x v="0"/>
    <x v="3"/>
    <x v="0"/>
    <s v="Envioclick- Coordinadora"/>
    <s v="2201161 - 84150778913"/>
    <d v="2024-02-19T00:00:00"/>
    <d v="2024-02-20T00:00:00"/>
    <x v="0"/>
    <n v="0"/>
    <n v="1"/>
    <x v="1"/>
    <n v="25521"/>
    <n v="9479"/>
  </r>
  <r>
    <d v="2024-02-20T00:00:00"/>
    <x v="1"/>
    <n v="8"/>
    <n v="1912"/>
    <x v="0"/>
    <s v="Ricardo Trejos Restrepo"/>
    <s v="TECU3FNPRO"/>
    <s v="Electric Standing Desk  PRO Negro"/>
    <n v="1"/>
    <x v="0"/>
    <x v="0"/>
    <x v="3"/>
    <x v="0"/>
    <s v="Envioclick- Coordinadora"/>
    <s v="2204053 - 84150780333"/>
    <d v="2024-02-20T00:00:00"/>
    <d v="2024-02-21T00:00:00"/>
    <x v="0"/>
    <n v="0"/>
    <n v="1"/>
    <x v="1"/>
    <n v="42002"/>
    <n v="-2002"/>
  </r>
  <r>
    <d v="2024-02-20T00:00:00"/>
    <x v="1"/>
    <n v="8"/>
    <n v="1912"/>
    <x v="0"/>
    <s v="Ricardo Trejos Restrepo"/>
    <s v="TECUTCC8M"/>
    <s v="Superficie Escritorio Miel 180x70 Moderno"/>
    <n v="1"/>
    <x v="1"/>
    <x v="0"/>
    <x v="3"/>
    <x v="0"/>
    <s v="Envioclick- Coordinadora"/>
    <s v="2204054 - 84150780334"/>
    <d v="2024-02-20T00:00:00"/>
    <d v="2024-02-21T00:00:00"/>
    <x v="0"/>
    <n v="0"/>
    <n v="1"/>
    <x v="1"/>
    <n v="25521"/>
    <n v="9479"/>
  </r>
  <r>
    <d v="2024-02-20T00:00:00"/>
    <x v="1"/>
    <n v="8"/>
    <n v="1912"/>
    <x v="0"/>
    <s v="Ricardo Trejos Restrepo"/>
    <s v="TECURCC"/>
    <s v="Repisa TECU  Miel"/>
    <n v="1"/>
    <x v="2"/>
    <x v="0"/>
    <x v="3"/>
    <x v="0"/>
    <s v="Envioclick- Coordinadora"/>
    <s v="2204067 - 84150780338"/>
    <d v="2024-02-20T00:00:00"/>
    <d v="2024-02-21T00:00:00"/>
    <x v="0"/>
    <n v="0"/>
    <n v="1"/>
    <x v="1"/>
    <n v="22355"/>
    <n v="2645"/>
  </r>
  <r>
    <d v="2024-02-20T00:00:00"/>
    <x v="1"/>
    <n v="8"/>
    <n v="1913"/>
    <x v="0"/>
    <s v="Harold Carvajal"/>
    <s v="TECU2FNG"/>
    <s v="Electric Standing Desk GO Negro"/>
    <n v="1"/>
    <x v="0"/>
    <x v="1"/>
    <x v="15"/>
    <x v="0"/>
    <s v="Envioclick- Coordinadora"/>
    <s v="2204032 - 84150780327"/>
    <d v="2024-02-20T00:00:00"/>
    <d v="2024-02-21T00:00:00"/>
    <x v="0"/>
    <n v="0"/>
    <n v="1"/>
    <x v="1"/>
    <n v="52519"/>
    <n v="-12519"/>
  </r>
  <r>
    <d v="2024-02-20T00:00:00"/>
    <x v="1"/>
    <n v="8"/>
    <n v="1913"/>
    <x v="0"/>
    <s v="Harold Carvajal"/>
    <s v="TECUTCC4C"/>
    <s v="Superficie Escritorio Miel 140x70 Clasico"/>
    <n v="1"/>
    <x v="1"/>
    <x v="1"/>
    <x v="15"/>
    <x v="0"/>
    <s v="Envioclick- Coordinadora"/>
    <s v="2204033 - 84150780329"/>
    <d v="2024-02-20T00:00:00"/>
    <d v="2024-02-21T00:00:00"/>
    <x v="0"/>
    <n v="0"/>
    <n v="1"/>
    <x v="1"/>
    <n v="32668"/>
    <n v="2332"/>
  </r>
  <r>
    <d v="2024-02-20T00:00:00"/>
    <x v="1"/>
    <n v="8"/>
    <n v="1914"/>
    <x v="0"/>
    <s v="Jeffrey Hooker"/>
    <s v="TECURCO"/>
    <s v="Repisa TECU  Caramelo"/>
    <n v="1"/>
    <x v="2"/>
    <x v="1"/>
    <x v="1"/>
    <x v="0"/>
    <s v="Envioclick- Coordinadora"/>
    <s v="2204040 - 84150780332"/>
    <d v="2024-02-20T00:00:00"/>
    <d v="2024-02-21T00:00:00"/>
    <x v="0"/>
    <n v="0"/>
    <n v="1"/>
    <x v="1"/>
    <n v="22355"/>
    <n v="2645"/>
  </r>
  <r>
    <d v="2024-02-21T00:00:00"/>
    <x v="1"/>
    <n v="8"/>
    <n v="1915"/>
    <x v="0"/>
    <s v="Andres Felipe Torres Chamorro"/>
    <s v="TECU3FNPRO"/>
    <s v="Electric Standing Desk  PRO Negro"/>
    <n v="1"/>
    <x v="0"/>
    <x v="1"/>
    <x v="1"/>
    <x v="0"/>
    <s v="Envioclick- Coordinadora"/>
    <s v="2206641 - 84150781729"/>
    <d v="2024-02-21T00:00:00"/>
    <d v="2024-02-22T00:00:00"/>
    <x v="0"/>
    <n v="0"/>
    <n v="1"/>
    <x v="1"/>
    <n v="42002"/>
    <n v="-2002"/>
  </r>
  <r>
    <d v="2024-02-21T00:00:00"/>
    <x v="1"/>
    <n v="8"/>
    <n v="1915"/>
    <x v="0"/>
    <s v="Andres Felipe Torres Chamorro"/>
    <s v="TECUTCO20C"/>
    <s v="Superficie Escritorio Caramelo 200x70 Clasico"/>
    <n v="1"/>
    <x v="1"/>
    <x v="1"/>
    <x v="1"/>
    <x v="0"/>
    <s v="Envioclick- Coordinadora"/>
    <s v="2206642 - 84150781730"/>
    <d v="2024-02-21T00:00:00"/>
    <d v="2024-02-22T00:00:00"/>
    <x v="0"/>
    <n v="0"/>
    <n v="1"/>
    <x v="1"/>
    <n v="25521"/>
    <n v="9479"/>
  </r>
  <r>
    <d v="2024-02-21T00:00:00"/>
    <x v="1"/>
    <n v="8"/>
    <n v="1915"/>
    <x v="0"/>
    <s v="Andres Felipe Torres Chamorro"/>
    <s v="TECURCO"/>
    <s v="Repisa TECU  Caramelo"/>
    <n v="1"/>
    <x v="2"/>
    <x v="1"/>
    <x v="1"/>
    <x v="0"/>
    <s v="Envioclick- Coordinadora"/>
    <s v="2206625 - 84150781717"/>
    <d v="2024-02-21T00:00:00"/>
    <d v="2024-02-22T00:00:00"/>
    <x v="0"/>
    <n v="0"/>
    <n v="1"/>
    <x v="1"/>
    <n v="22355"/>
    <n v="2645"/>
  </r>
  <r>
    <d v="2024-02-21T00:00:00"/>
    <x v="1"/>
    <n v="8"/>
    <n v="1915"/>
    <x v="0"/>
    <s v="Andres Felipe Torres Chamorro"/>
    <s v="TECU2FNG"/>
    <s v="Electric Standing Desk GO Negro"/>
    <n v="1"/>
    <x v="0"/>
    <x v="1"/>
    <x v="1"/>
    <x v="0"/>
    <s v="Envioclick- Coordinadora"/>
    <s v="2206663 - 84150781741"/>
    <d v="2024-02-21T00:00:00"/>
    <d v="2024-02-22T00:00:00"/>
    <x v="0"/>
    <n v="0"/>
    <n v="1"/>
    <x v="1"/>
    <n v="40734"/>
    <n v="-734"/>
  </r>
  <r>
    <d v="2024-02-21T00:00:00"/>
    <x v="1"/>
    <n v="8"/>
    <n v="1915"/>
    <x v="0"/>
    <s v="Andres Felipe Torres Chamorro"/>
    <s v="TECUTCO2C"/>
    <s v="Superficie Escritorio Caramelo 120x70 Clasico Small"/>
    <n v="1"/>
    <x v="1"/>
    <x v="1"/>
    <x v="1"/>
    <x v="0"/>
    <s v="Envioclick- Coordinadora"/>
    <s v="2206665 - 84150781742"/>
    <d v="2024-02-21T00:00:00"/>
    <d v="2024-02-22T00:00:00"/>
    <x v="0"/>
    <n v="0"/>
    <n v="1"/>
    <x v="1"/>
    <n v="22988"/>
    <n v="12012"/>
  </r>
  <r>
    <d v="2024-02-21T00:00:00"/>
    <x v="1"/>
    <n v="8"/>
    <n v="1915"/>
    <x v="0"/>
    <s v="Andres Felipe Torres Chamorro"/>
    <s v="TECUCT"/>
    <s v="TECU bandeja de cables"/>
    <n v="2"/>
    <x v="4"/>
    <x v="1"/>
    <x v="1"/>
    <x v="0"/>
    <s v="Envioclick- Coordinadora"/>
    <s v="2208571 - 84150782878"/>
    <d v="2024-02-21T00:00:00"/>
    <d v="2024-02-22T00:00:00"/>
    <x v="0"/>
    <n v="0"/>
    <n v="1"/>
    <x v="1"/>
    <n v="24855"/>
    <n v="145"/>
  </r>
  <r>
    <d v="2024-02-22T00:00:00"/>
    <x v="1"/>
    <n v="8"/>
    <n v="1916"/>
    <x v="0"/>
    <s v="Laura María Alvarez Manrique"/>
    <s v="TECU2FNG"/>
    <s v="Electric Standing Desk GO Negro"/>
    <n v="1"/>
    <x v="0"/>
    <x v="0"/>
    <x v="10"/>
    <x v="0"/>
    <s v="Envioclick- Coordinadora"/>
    <s v="2210171 - 84150783706"/>
    <d v="2024-02-22T00:00:00"/>
    <d v="2024-02-23T00:00:00"/>
    <x v="0"/>
    <n v="0"/>
    <n v="1"/>
    <x v="1"/>
    <n v="40734"/>
    <n v="-734"/>
  </r>
  <r>
    <d v="2024-02-22T00:00:00"/>
    <x v="1"/>
    <n v="8"/>
    <n v="1916"/>
    <x v="0"/>
    <s v="Laura María Alvarez Manrique"/>
    <s v="TECUTCC4C"/>
    <s v="Superficie Escritorio Miel 140x70 Clasico"/>
    <n v="1"/>
    <x v="1"/>
    <x v="0"/>
    <x v="10"/>
    <x v="0"/>
    <s v="Envioclick- Coordinadora"/>
    <s v="2210172 - 84150783707"/>
    <d v="2024-02-22T00:00:00"/>
    <d v="2024-02-23T00:00:00"/>
    <x v="0"/>
    <n v="0"/>
    <n v="1"/>
    <x v="1"/>
    <n v="22988"/>
    <n v="12012"/>
  </r>
  <r>
    <d v="2024-02-22T00:00:00"/>
    <x v="1"/>
    <n v="8"/>
    <n v="1917"/>
    <x v="0"/>
    <s v="Maria Alejandra Gomez Castro"/>
    <s v="TECU3FBRO"/>
    <s v="Electric Standing Desk  PRO Blanco"/>
    <n v="1"/>
    <x v="0"/>
    <x v="1"/>
    <x v="1"/>
    <x v="0"/>
    <s v="Envioclick- Coordinadora"/>
    <s v="2211845 - 84150784618"/>
    <d v="2024-02-22T00:00:00"/>
    <d v="2024-02-23T00:00:00"/>
    <x v="0"/>
    <n v="0"/>
    <n v="1"/>
    <x v="1"/>
    <n v="42002"/>
    <n v="-2002"/>
  </r>
  <r>
    <d v="2024-02-22T00:00:00"/>
    <x v="1"/>
    <n v="8"/>
    <n v="1917"/>
    <x v="0"/>
    <s v="Maria Alejandra Gomez Castro"/>
    <s v="TECUTCC5C"/>
    <s v="Superficie Escritorio Miel 150x70 Clasico"/>
    <n v="1"/>
    <x v="1"/>
    <x v="1"/>
    <x v="1"/>
    <x v="0"/>
    <s v="Envioclick- Coordinadora"/>
    <s v="2211848 - 84150784619"/>
    <d v="2024-02-22T00:00:00"/>
    <d v="2024-02-23T00:00:00"/>
    <x v="0"/>
    <n v="0"/>
    <n v="1"/>
    <x v="1"/>
    <n v="22988"/>
    <n v="12012"/>
  </r>
  <r>
    <d v="2024-02-22T00:00:00"/>
    <x v="1"/>
    <n v="8"/>
    <n v="1917"/>
    <x v="0"/>
    <s v="Maria Alejandra Gomez Castro"/>
    <s v="TECURCC"/>
    <s v="Repisa TECU  Miel"/>
    <n v="1"/>
    <x v="2"/>
    <x v="1"/>
    <x v="1"/>
    <x v="0"/>
    <s v="Envioclick- Coordinadora"/>
    <s v="2211640 - 84150784479"/>
    <d v="2024-02-22T00:00:00"/>
    <d v="2024-02-23T00:00:00"/>
    <x v="0"/>
    <n v="0"/>
    <n v="1"/>
    <x v="1"/>
    <n v="22355"/>
    <n v="2645"/>
  </r>
  <r>
    <d v="2024-02-26T00:00:00"/>
    <x v="1"/>
    <n v="9"/>
    <n v="1918"/>
    <x v="0"/>
    <s v="Daniel Arias"/>
    <s v="TECU3FNPRO"/>
    <s v="Electric Standing Desk  PRO Negro"/>
    <n v="1"/>
    <x v="0"/>
    <x v="1"/>
    <x v="1"/>
    <x v="0"/>
    <s v="Envioclick- Coordinadora"/>
    <s v="2219321 – 84150788412"/>
    <d v="2024-02-26T00:00:00"/>
    <d v="2024-02-27T00:00:00"/>
    <x v="0"/>
    <n v="0"/>
    <n v="1"/>
    <x v="1"/>
    <n v="42002"/>
    <n v="-2002"/>
  </r>
  <r>
    <d v="2024-02-26T00:00:00"/>
    <x v="1"/>
    <n v="9"/>
    <n v="1918"/>
    <x v="0"/>
    <s v="Daniel Arias"/>
    <s v="TECUTCC3C"/>
    <s v="Superficie Escritorio Miel 130x70 Clasico"/>
    <n v="1"/>
    <x v="1"/>
    <x v="1"/>
    <x v="1"/>
    <x v="0"/>
    <s v="Envioclick- Coordinadora"/>
    <s v="2219323 – 84150788414"/>
    <d v="2024-02-26T00:00:00"/>
    <d v="2024-02-27T00:00:00"/>
    <x v="0"/>
    <n v="0"/>
    <n v="1"/>
    <x v="1"/>
    <n v="27422"/>
    <n v="7578"/>
  </r>
  <r>
    <d v="2024-02-26T00:00:00"/>
    <x v="1"/>
    <n v="9"/>
    <n v="1918"/>
    <x v="0"/>
    <s v="Daniel Arias"/>
    <s v="TECURCC"/>
    <s v="Repisa TECU  Miel"/>
    <n v="1"/>
    <x v="2"/>
    <x v="1"/>
    <x v="1"/>
    <x v="0"/>
    <s v="Envioclick- Coordinadora"/>
    <s v="2219341 – 84150788431"/>
    <d v="2024-02-26T00:00:00"/>
    <d v="2024-02-27T00:00:00"/>
    <x v="0"/>
    <n v="0"/>
    <n v="1"/>
    <x v="1"/>
    <n v="22355"/>
    <n v="2645"/>
  </r>
  <r>
    <d v="2024-02-26T00:00:00"/>
    <x v="1"/>
    <n v="9"/>
    <n v="1919"/>
    <x v="0"/>
    <s v="Laura Alvarez"/>
    <s v="TECUACC"/>
    <s v="Archivador TECU  Miel"/>
    <n v="1"/>
    <x v="3"/>
    <x v="0"/>
    <x v="10"/>
    <x v="0"/>
    <s v="Envioclick- Envia"/>
    <s v="2230072 - 954100918778"/>
    <d v="2024-02-29T00:00:00"/>
    <d v="2024-03-01T00:00:00"/>
    <x v="0"/>
    <n v="3"/>
    <n v="4"/>
    <x v="0"/>
    <n v="57224"/>
    <n v="-7224"/>
  </r>
  <r>
    <d v="2024-02-26T00:00:00"/>
    <x v="1"/>
    <n v="9"/>
    <n v="1919"/>
    <x v="0"/>
    <s v="Laura Alvarez"/>
    <s v="TECUBDPM"/>
    <s v="TECU Desk Pad B Negro Café Miel"/>
    <n v="1"/>
    <x v="4"/>
    <x v="0"/>
    <x v="10"/>
    <x v="0"/>
    <s v="Envioclick - Envia"/>
    <s v="2230072 - 954100918778"/>
    <d v="2024-02-29T00:00:00"/>
    <d v="2024-03-01T00:00:00"/>
    <x v="0"/>
    <n v="3"/>
    <n v="4"/>
    <x v="0"/>
    <n v="0"/>
    <n v="50000"/>
  </r>
  <r>
    <d v="2024-02-26T00:00:00"/>
    <x v="1"/>
    <n v="9"/>
    <n v="1920"/>
    <x v="0"/>
    <s v="Cristian Blandon"/>
    <s v="TECU2FNG"/>
    <s v="Electric Standing Desk GO Negro"/>
    <n v="1"/>
    <x v="0"/>
    <x v="1"/>
    <x v="1"/>
    <x v="0"/>
    <s v="Envioclick- Coordinadora"/>
    <s v="2219410 – 84150788480"/>
    <d v="2024-02-26T00:00:00"/>
    <d v="2024-02-27T00:00:00"/>
    <x v="0"/>
    <n v="0"/>
    <n v="1"/>
    <x v="1"/>
    <n v="40734"/>
    <n v="-734"/>
  </r>
  <r>
    <d v="2024-02-26T00:00:00"/>
    <x v="1"/>
    <n v="9"/>
    <n v="1920"/>
    <x v="0"/>
    <s v="Cristian Blandon"/>
    <s v="TECUTRN4C"/>
    <s v="Superficie Escritorio Roble Negro 140x70 Clasico"/>
    <n v="1"/>
    <x v="1"/>
    <x v="1"/>
    <x v="1"/>
    <x v="0"/>
    <s v="Envioclick- Coordinadora"/>
    <s v="2219412 – 84150788481"/>
    <d v="2024-02-26T00:00:00"/>
    <d v="2024-02-27T00:00:00"/>
    <x v="0"/>
    <n v="0"/>
    <n v="1"/>
    <x v="1"/>
    <n v="22988"/>
    <n v="12012"/>
  </r>
  <r>
    <d v="2024-02-26T00:00:00"/>
    <x v="1"/>
    <n v="9"/>
    <n v="1920"/>
    <x v="0"/>
    <s v="Cristian Blandon"/>
    <s v="TECUBDPA"/>
    <s v="TECU Desk Pad B Negro Azul"/>
    <n v="1"/>
    <x v="4"/>
    <x v="1"/>
    <x v="1"/>
    <x v="0"/>
    <s v="Envioclick- Coordinadora"/>
    <s v="2219425 – 84150788492"/>
    <d v="2024-02-26T00:00:00"/>
    <d v="2024-02-27T00:00:00"/>
    <x v="0"/>
    <n v="0"/>
    <n v="1"/>
    <x v="1"/>
    <n v="16131"/>
    <n v="33869"/>
  </r>
  <r>
    <d v="2024-02-26T00:00:00"/>
    <x v="1"/>
    <n v="9"/>
    <n v="1921"/>
    <x v="0"/>
    <s v="Fiorella Tapia Pizo"/>
    <s v="TECU2FNG"/>
    <s v="Electric Standing Desk GO Negro"/>
    <n v="1"/>
    <x v="0"/>
    <x v="4"/>
    <x v="5"/>
    <x v="0"/>
    <s v="Envioclick- Coordinadora"/>
    <s v="2219518 – 84150788537"/>
    <d v="2024-02-26T00:00:00"/>
    <d v="2024-02-27T00:00:00"/>
    <x v="0"/>
    <n v="0"/>
    <n v="1"/>
    <x v="1"/>
    <n v="40734"/>
    <n v="-734"/>
  </r>
  <r>
    <d v="2024-02-26T00:00:00"/>
    <x v="1"/>
    <n v="9"/>
    <n v="1921"/>
    <x v="0"/>
    <s v="Fiorella Tapia Pizo"/>
    <s v="TECUTCC4C"/>
    <s v="Superficie Escritorio Miel 140x70 Clasico"/>
    <n v="1"/>
    <x v="1"/>
    <x v="4"/>
    <x v="5"/>
    <x v="0"/>
    <s v="Envioclick- Coordinadora"/>
    <s v="2219522 – 84150788540"/>
    <d v="2024-02-26T00:00:00"/>
    <d v="2024-02-27T00:00:00"/>
    <x v="0"/>
    <n v="0"/>
    <n v="1"/>
    <x v="1"/>
    <n v="22988"/>
    <n v="12012"/>
  </r>
  <r>
    <d v="2024-02-26T00:00:00"/>
    <x v="1"/>
    <n v="9"/>
    <n v="1922"/>
    <x v="0"/>
    <s v="John Pérez"/>
    <s v="TECU2FNG"/>
    <s v="Electric Standing Desk GO Negro"/>
    <n v="1"/>
    <x v="0"/>
    <x v="4"/>
    <x v="5"/>
    <x v="0"/>
    <s v="Envioclick- Coordinadora"/>
    <s v="2224185 – 84150791179"/>
    <d v="2024-02-27T00:00:00"/>
    <d v="2024-02-28T00:00:00"/>
    <x v="0"/>
    <n v="1"/>
    <n v="2"/>
    <x v="1"/>
    <n v="40734"/>
    <n v="-734"/>
  </r>
  <r>
    <d v="2024-02-26T00:00:00"/>
    <x v="1"/>
    <n v="9"/>
    <n v="1922"/>
    <x v="0"/>
    <s v="John Pérez"/>
    <s v="TECUTRN2C"/>
    <s v="Superficie Escritorio Roble Negro 120x70 Clasico Small"/>
    <n v="1"/>
    <x v="1"/>
    <x v="4"/>
    <x v="5"/>
    <x v="0"/>
    <s v="Envioclick- Coordinadora"/>
    <s v="2219522 – 84150788540"/>
    <d v="2024-02-27T00:00:00"/>
    <d v="2024-02-28T00:00:00"/>
    <x v="0"/>
    <n v="1"/>
    <n v="2"/>
    <x v="1"/>
    <n v="22988"/>
    <n v="12012"/>
  </r>
  <r>
    <d v="2024-02-26T00:00:00"/>
    <x v="1"/>
    <n v="9"/>
    <n v="1923"/>
    <x v="0"/>
    <s v="Engie Ruge"/>
    <s v="TECU3FNPRO"/>
    <s v="Electric Standing Desk  PRO Negro"/>
    <n v="1"/>
    <x v="0"/>
    <x v="1"/>
    <x v="1"/>
    <x v="0"/>
    <s v="Envioclick- Coordinadora"/>
    <s v="2223254 – 84150790646"/>
    <d v="2024-02-27T00:00:00"/>
    <d v="2024-02-28T00:00:00"/>
    <x v="0"/>
    <n v="1"/>
    <n v="2"/>
    <x v="1"/>
    <n v="42002"/>
    <n v="-2002"/>
  </r>
  <r>
    <d v="2024-02-26T00:00:00"/>
    <x v="1"/>
    <n v="9"/>
    <n v="1923"/>
    <x v="0"/>
    <s v="Engie Ruge"/>
    <s v="TECUTCC6C"/>
    <s v="Superficie Escritorio Miel 160x70 Clasico"/>
    <n v="1"/>
    <x v="1"/>
    <x v="1"/>
    <x v="1"/>
    <x v="0"/>
    <s v="Envioclick- Coordinadora"/>
    <s v="2223256 – 84150790648"/>
    <d v="2024-02-27T00:00:00"/>
    <d v="2024-02-28T00:00:00"/>
    <x v="0"/>
    <n v="1"/>
    <n v="2"/>
    <x v="1"/>
    <n v="22988"/>
    <n v="12012"/>
  </r>
  <r>
    <d v="2024-02-26T00:00:00"/>
    <x v="1"/>
    <n v="9"/>
    <n v="1923"/>
    <x v="0"/>
    <s v="Engie Ruge"/>
    <s v="TECURCC"/>
    <s v="Repisa TECU  Miel"/>
    <n v="1"/>
    <x v="2"/>
    <x v="1"/>
    <x v="1"/>
    <x v="0"/>
    <s v="Envioclick- Coordinadora"/>
    <s v="2223291 – 84150790673"/>
    <d v="2024-02-27T00:00:00"/>
    <d v="2024-02-28T00:00:00"/>
    <x v="0"/>
    <n v="1"/>
    <n v="2"/>
    <x v="1"/>
    <n v="22355"/>
    <n v="2645"/>
  </r>
  <r>
    <d v="2024-02-26T00:00:00"/>
    <x v="1"/>
    <n v="9"/>
    <n v="1923"/>
    <x v="0"/>
    <s v="Engie Ruge"/>
    <s v="TECU3FNPRO"/>
    <s v="Electric Standing Desk  PRO Negro"/>
    <n v="1"/>
    <x v="0"/>
    <x v="1"/>
    <x v="1"/>
    <x v="0"/>
    <s v="Envioclick- Coordinadora"/>
    <s v="2223279 – 84150790666"/>
    <d v="2024-02-27T00:00:00"/>
    <d v="2024-02-28T00:00:00"/>
    <x v="0"/>
    <n v="1"/>
    <n v="2"/>
    <x v="1"/>
    <n v="42002"/>
    <n v="-2002"/>
  </r>
  <r>
    <d v="2024-02-26T00:00:00"/>
    <x v="1"/>
    <n v="9"/>
    <n v="1923"/>
    <x v="0"/>
    <s v="Engie Ruge"/>
    <s v="TECUTCC6C"/>
    <s v="Superficie Escritorio Miel 160x70 Clasico"/>
    <n v="1"/>
    <x v="1"/>
    <x v="1"/>
    <x v="1"/>
    <x v="0"/>
    <s v="Envioclick- Coordinadora"/>
    <s v="2223281 – 84150790668"/>
    <d v="2024-02-27T00:00:00"/>
    <d v="2024-02-28T00:00:00"/>
    <x v="0"/>
    <n v="1"/>
    <n v="2"/>
    <x v="1"/>
    <n v="22988"/>
    <n v="12012"/>
  </r>
  <r>
    <d v="2024-02-26T00:00:00"/>
    <x v="1"/>
    <n v="9"/>
    <n v="1923"/>
    <x v="0"/>
    <s v="Engie Ruge"/>
    <s v="TECURCC"/>
    <s v="Repisa TECU  Miel"/>
    <n v="1"/>
    <x v="2"/>
    <x v="1"/>
    <x v="1"/>
    <x v="0"/>
    <s v="Envioclick- Coordinadora"/>
    <s v="2223307 – 84150790683"/>
    <d v="2024-02-27T00:00:00"/>
    <d v="2024-02-28T00:00:00"/>
    <x v="0"/>
    <n v="1"/>
    <n v="2"/>
    <x v="1"/>
    <n v="22355"/>
    <n v="2645"/>
  </r>
  <r>
    <d v="2024-02-27T00:00:00"/>
    <x v="1"/>
    <n v="9"/>
    <n v="1924"/>
    <x v="0"/>
    <s v="Camilo Cruz"/>
    <s v="TECU2FNG"/>
    <s v="Electric Standing Desk GO Negro"/>
    <n v="1"/>
    <x v="0"/>
    <x v="1"/>
    <x v="1"/>
    <x v="0"/>
    <s v="Envioclick- Coordinadora"/>
    <s v="2226374 – 84150792383"/>
    <d v="2024-02-28T00:00:00"/>
    <d v="2024-02-29T00:00:00"/>
    <x v="0"/>
    <n v="1"/>
    <n v="2"/>
    <x v="1"/>
    <n v="40734"/>
    <n v="-734"/>
  </r>
  <r>
    <d v="2024-02-27T00:00:00"/>
    <x v="1"/>
    <n v="9"/>
    <n v="1924"/>
    <x v="0"/>
    <s v="Camilo Cruz"/>
    <s v="TECUTCO4C"/>
    <s v="Superficie Escritorio Caramelo 140x70 Clasico"/>
    <n v="1"/>
    <x v="1"/>
    <x v="1"/>
    <x v="1"/>
    <x v="0"/>
    <s v="Envioclick- Coordinadora"/>
    <s v="2226376 – 84150792385"/>
    <d v="2024-02-28T00:00:00"/>
    <d v="2024-02-29T00:00:00"/>
    <x v="0"/>
    <n v="1"/>
    <n v="2"/>
    <x v="1"/>
    <n v="22988"/>
    <n v="12012"/>
  </r>
  <r>
    <d v="2024-02-28T00:00:00"/>
    <x v="1"/>
    <n v="9"/>
    <n v="1925"/>
    <x v="0"/>
    <s v="Felipe Andrés Silva Gómez"/>
    <s v="TECU2FNG"/>
    <s v="Electric Standing Desk GO Negro"/>
    <n v="1"/>
    <x v="0"/>
    <x v="1"/>
    <x v="16"/>
    <x v="0"/>
    <s v="Envioclick- Coordinadora"/>
    <s v="2227849 – 84150793132"/>
    <d v="2024-02-28T00:00:00"/>
    <d v="2024-02-29T00:00:00"/>
    <x v="0"/>
    <n v="0"/>
    <n v="1"/>
    <x v="1"/>
    <n v="40734"/>
    <n v="-734"/>
  </r>
  <r>
    <d v="2024-02-28T00:00:00"/>
    <x v="1"/>
    <n v="9"/>
    <n v="1925"/>
    <x v="0"/>
    <s v="Felipe Andrés Silva Gómez"/>
    <s v="TECUTCO2C"/>
    <s v="Superficie Escritorio Caramelo 120x70 Clasico Small"/>
    <n v="1"/>
    <x v="1"/>
    <x v="1"/>
    <x v="16"/>
    <x v="0"/>
    <s v="Envioclick- Coordinadora"/>
    <s v="2227851 – 84150793134"/>
    <d v="2024-02-28T00:00:00"/>
    <d v="2024-02-29T00:00:00"/>
    <x v="0"/>
    <n v="0"/>
    <n v="1"/>
    <x v="1"/>
    <n v="22988"/>
    <n v="12012"/>
  </r>
  <r>
    <d v="2024-02-29T00:00:00"/>
    <x v="1"/>
    <n v="9"/>
    <n v="1926"/>
    <x v="0"/>
    <s v="Enteprise RM SAS"/>
    <s v="TECU3FNPRO"/>
    <s v="Electric Standing Desk  PRO Negro"/>
    <n v="1"/>
    <x v="0"/>
    <x v="0"/>
    <x v="3"/>
    <x v="0"/>
    <s v="Envioclick- Coordinadora"/>
    <s v="2230293 – 84150794510"/>
    <d v="2024-02-29T00:00:00"/>
    <d v="2024-03-01T00:00:00"/>
    <x v="0"/>
    <n v="0"/>
    <n v="1"/>
    <x v="1"/>
    <n v="42002"/>
    <n v="-2002"/>
  </r>
  <r>
    <d v="2024-02-29T00:00:00"/>
    <x v="1"/>
    <n v="9"/>
    <n v="1926"/>
    <x v="0"/>
    <s v="Enteprise RM SAS"/>
    <s v="TECUTCC6C"/>
    <s v="Superficie Escritorio Miel 160x70 Clasico"/>
    <n v="1"/>
    <x v="1"/>
    <x v="0"/>
    <x v="3"/>
    <x v="0"/>
    <s v="Envioclick- Coordinadora"/>
    <s v="2230296 – 84150794512"/>
    <d v="2024-02-29T00:00:00"/>
    <d v="2024-03-01T00:00:00"/>
    <x v="0"/>
    <n v="0"/>
    <n v="1"/>
    <x v="1"/>
    <n v="22988"/>
    <n v="12012"/>
  </r>
  <r>
    <d v="2024-02-29T00:00:00"/>
    <x v="1"/>
    <n v="9"/>
    <n v="1926"/>
    <x v="0"/>
    <s v="Enteprise RM SAS"/>
    <s v="TECURCC"/>
    <s v="Repisa TECU  Miel"/>
    <n v="1"/>
    <x v="2"/>
    <x v="0"/>
    <x v="3"/>
    <x v="0"/>
    <s v="Envioclick- Coordinadora"/>
    <s v="2230304 – 84150794517"/>
    <d v="2024-02-29T00:00:00"/>
    <d v="2024-03-01T00:00:00"/>
    <x v="0"/>
    <n v="0"/>
    <n v="1"/>
    <x v="1"/>
    <n v="22355"/>
    <n v="2645"/>
  </r>
  <r>
    <d v="2024-02-29T00:00:00"/>
    <x v="1"/>
    <n v="9"/>
    <n v="1927"/>
    <x v="0"/>
    <s v="Juan Felipe Remolina García"/>
    <s v="TECU3FNPRO"/>
    <s v="Electric Standing Desk  PRO Negro"/>
    <n v="1"/>
    <x v="0"/>
    <x v="7"/>
    <x v="17"/>
    <x v="0"/>
    <s v="Envioclick- Coordinadora"/>
    <s v="2234427 – 84150796700"/>
    <d v="2024-03-01T00:00:00"/>
    <d v="2024-03-04T00:00:00"/>
    <x v="0"/>
    <n v="1"/>
    <n v="3"/>
    <x v="1"/>
    <n v="54627"/>
    <n v="-14627"/>
  </r>
  <r>
    <d v="2024-02-29T00:00:00"/>
    <x v="1"/>
    <n v="9"/>
    <n v="1927"/>
    <x v="0"/>
    <s v="Juan Felipe Remolina García"/>
    <s v="TECUTRN5C"/>
    <s v="Superficie Escritorio Roble negro 150x70 Clasico"/>
    <n v="1"/>
    <x v="1"/>
    <x v="7"/>
    <x v="17"/>
    <x v="0"/>
    <s v="Envioclick- Coordinadora"/>
    <s v="2234428 – 84150796701"/>
    <d v="2024-03-01T00:00:00"/>
    <d v="2024-03-04T00:00:00"/>
    <x v="0"/>
    <n v="1"/>
    <n v="3"/>
    <x v="1"/>
    <n v="32668"/>
    <n v="2332"/>
  </r>
  <r>
    <d v="2024-02-29T00:00:00"/>
    <x v="1"/>
    <n v="9"/>
    <n v="1927"/>
    <x v="0"/>
    <s v="Juan Felipe Remolina García"/>
    <s v="TECURN"/>
    <s v="Repisa TECU  Negro (Wengue)"/>
    <n v="1"/>
    <x v="2"/>
    <x v="7"/>
    <x v="17"/>
    <x v="0"/>
    <s v="Envioclick- Coordinadora"/>
    <s v="2234297 – 84150796624"/>
    <d v="2024-03-01T00:00:00"/>
    <d v="2024-03-04T00:00:00"/>
    <x v="0"/>
    <n v="1"/>
    <n v="3"/>
    <x v="1"/>
    <n v="31613"/>
    <n v="-6613"/>
  </r>
  <r>
    <d v="2024-02-29T00:00:00"/>
    <x v="1"/>
    <n v="9"/>
    <n v="1928"/>
    <x v="0"/>
    <s v="Maria Angelica Sepulveda"/>
    <s v="TECU3FNPRO"/>
    <s v="Electric Standing Desk  PRO Negro"/>
    <n v="1"/>
    <x v="0"/>
    <x v="7"/>
    <x v="18"/>
    <x v="0"/>
    <s v="Envioclick- Coordinadora"/>
    <s v="2233657 – 84150796241"/>
    <d v="2024-03-01T00:00:00"/>
    <d v="2024-03-04T00:00:00"/>
    <x v="0"/>
    <n v="1"/>
    <n v="3"/>
    <x v="1"/>
    <n v="54627"/>
    <n v="-14627"/>
  </r>
  <r>
    <d v="2024-02-29T00:00:00"/>
    <x v="1"/>
    <n v="9"/>
    <n v="1928"/>
    <x v="0"/>
    <s v="Maria Angelica Sepulveda"/>
    <s v="TECUTCC3C"/>
    <s v="Superficie Escritorio Miel 130x70 Clasico"/>
    <n v="1"/>
    <x v="1"/>
    <x v="7"/>
    <x v="18"/>
    <x v="0"/>
    <s v="Envioclick- Coordinadora"/>
    <s v="2233659 – 84150796243"/>
    <d v="2024-03-01T00:00:00"/>
    <d v="2024-03-04T00:00:00"/>
    <x v="0"/>
    <n v="1"/>
    <n v="3"/>
    <x v="1"/>
    <n v="40047"/>
    <n v="-5047"/>
  </r>
  <r>
    <d v="2024-02-29T00:00:00"/>
    <x v="1"/>
    <n v="9"/>
    <n v="1928"/>
    <x v="0"/>
    <s v="Maria Angelica Sepulveda"/>
    <s v="TECURCC"/>
    <s v="Repisa TECU  Miel"/>
    <n v="1"/>
    <x v="2"/>
    <x v="7"/>
    <x v="18"/>
    <x v="0"/>
    <s v="Envioclick- Coordinadora"/>
    <s v="2233294 – 84150796020"/>
    <d v="2024-03-01T00:00:00"/>
    <d v="2024-03-04T00:00:00"/>
    <x v="0"/>
    <n v="1"/>
    <n v="3"/>
    <x v="1"/>
    <n v="31613"/>
    <n v="-6613"/>
  </r>
  <r>
    <d v="2024-03-04T00:00:00"/>
    <x v="2"/>
    <n v="10"/>
    <n v="1930"/>
    <x v="0"/>
    <s v="Jose Daniel Carranza Leguizamo"/>
    <s v="TECU3FNPRO"/>
    <s v="Electric Standing Desk  PRO Negro"/>
    <n v="1"/>
    <x v="0"/>
    <x v="1"/>
    <x v="1"/>
    <x v="0"/>
    <s v="Envioclick- Coordinadora"/>
    <s v="2238825 – 84150798494"/>
    <d v="2024-03-04T00:00:00"/>
    <d v="2024-03-06T00:00:00"/>
    <x v="0"/>
    <n v="0"/>
    <n v="2"/>
    <x v="1"/>
    <n v="42002"/>
    <n v="-2002"/>
  </r>
  <r>
    <d v="2024-03-04T00:00:00"/>
    <x v="2"/>
    <n v="10"/>
    <n v="1930"/>
    <x v="0"/>
    <s v="Jose Daniel Carranza Leguizamo"/>
    <s v="TECUTCO2C"/>
    <s v="Superficie Escritorio Caramelo 120x70 Clasico Small"/>
    <n v="1"/>
    <x v="1"/>
    <x v="1"/>
    <x v="1"/>
    <x v="0"/>
    <s v="Envioclick- Coordinadora"/>
    <s v="2238826 – 84150798495"/>
    <d v="2024-03-04T00:00:00"/>
    <d v="2024-03-07T00:00:00"/>
    <x v="0"/>
    <n v="0"/>
    <n v="3"/>
    <x v="1"/>
    <n v="27422"/>
    <n v="7578"/>
  </r>
  <r>
    <d v="2024-03-04T00:00:00"/>
    <x v="2"/>
    <n v="10"/>
    <n v="1930"/>
    <x v="0"/>
    <s v="Jose Daniel Carranza Leguizamo"/>
    <s v="TECURCO"/>
    <s v="Repisa TECU  Caramelo"/>
    <n v="1"/>
    <x v="2"/>
    <x v="1"/>
    <x v="1"/>
    <x v="0"/>
    <s v="Envioclick- Coordinadora"/>
    <s v="2238972 – 84150798628"/>
    <d v="2024-03-04T00:00:00"/>
    <d v="2024-03-05T00:00:00"/>
    <x v="0"/>
    <n v="0"/>
    <n v="1"/>
    <x v="1"/>
    <n v="22355"/>
    <n v="2645"/>
  </r>
  <r>
    <d v="2024-03-04T00:00:00"/>
    <x v="2"/>
    <n v="10"/>
    <n v="1931"/>
    <x v="0"/>
    <s v="Christian Felipe Jaimes Gonzalez"/>
    <s v="TECU3FNPRO"/>
    <s v="Electric Standing Desk  PRO Negro"/>
    <n v="1"/>
    <x v="0"/>
    <x v="0"/>
    <x v="3"/>
    <x v="0"/>
    <s v="Envioclick- Coordinadora"/>
    <s v="2241544 – 84150799796"/>
    <d v="2024-03-05T00:00:00"/>
    <d v="2024-03-06T00:00:00"/>
    <x v="0"/>
    <n v="1"/>
    <n v="2"/>
    <x v="1"/>
    <n v="42002"/>
    <n v="-2002"/>
  </r>
  <r>
    <d v="2024-03-04T00:00:00"/>
    <x v="2"/>
    <n v="10"/>
    <n v="1931"/>
    <x v="0"/>
    <s v="Christian Felipe Jaimes Gonzalez"/>
    <s v="TECUTCC6C"/>
    <s v="Superficie Escritorio Miel 160x70 Clasico"/>
    <n v="1"/>
    <x v="1"/>
    <x v="0"/>
    <x v="3"/>
    <x v="0"/>
    <s v="Envioclick- Coordinadora"/>
    <s v="2241545 – 84150799797"/>
    <d v="2024-03-05T00:00:00"/>
    <d v="2024-03-06T00:00:00"/>
    <x v="0"/>
    <n v="1"/>
    <n v="2"/>
    <x v="1"/>
    <n v="22988"/>
    <n v="12012"/>
  </r>
  <r>
    <d v="2024-03-04T00:00:00"/>
    <x v="2"/>
    <n v="10"/>
    <n v="1931"/>
    <x v="0"/>
    <s v="Christian Felipe Jaimes Gonzalez"/>
    <s v="TECURCC"/>
    <s v="Repisa TECU  Miel"/>
    <n v="1"/>
    <x v="2"/>
    <x v="0"/>
    <x v="3"/>
    <x v="0"/>
    <s v="Envioclick- Coordinadora"/>
    <s v="2241532 – 84150799789"/>
    <d v="2024-03-05T00:00:00"/>
    <d v="2024-03-06T00:00:00"/>
    <x v="0"/>
    <n v="1"/>
    <n v="2"/>
    <x v="1"/>
    <n v="22355"/>
    <n v="2645"/>
  </r>
  <r>
    <d v="2024-03-05T00:00:00"/>
    <x v="2"/>
    <n v="10"/>
    <n v="1932"/>
    <x v="0"/>
    <s v="Daniel Romero"/>
    <s v="TECU2FNG"/>
    <s v="Electric Standing Desk GO Negro"/>
    <n v="1"/>
    <x v="0"/>
    <x v="8"/>
    <x v="19"/>
    <x v="0"/>
    <s v="Envioclick- Coordinadora"/>
    <s v="2243461 – 84150800675"/>
    <d v="2024-03-06T00:00:00"/>
    <d v="2024-03-10T00:00:00"/>
    <x v="0"/>
    <n v="1"/>
    <n v="4"/>
    <x v="1"/>
    <n v="106410"/>
    <n v="-66410"/>
  </r>
  <r>
    <d v="2024-03-05T00:00:00"/>
    <x v="2"/>
    <n v="10"/>
    <n v="1932"/>
    <x v="0"/>
    <s v="Daniel Romero"/>
    <s v="TECUTCO4C"/>
    <s v="Superficie Escritorio Caramelo 140x70 Clasico"/>
    <n v="1"/>
    <x v="1"/>
    <x v="8"/>
    <x v="19"/>
    <x v="0"/>
    <s v="Envioclick- Coordinadora"/>
    <s v="2243464 – 84150800676"/>
    <d v="2024-03-06T00:00:00"/>
    <d v="2024-03-10T00:00:00"/>
    <x v="0"/>
    <n v="1"/>
    <n v="4"/>
    <x v="1"/>
    <n v="91830"/>
    <n v="-56830"/>
  </r>
  <r>
    <d v="2024-03-07T00:00:00"/>
    <x v="2"/>
    <n v="10"/>
    <n v="1933"/>
    <x v="0"/>
    <s v="Diego Andres Cardozo Gonzalez"/>
    <s v="TECU3FNPRO"/>
    <s v="Electric Standing Desk  PRO Negro"/>
    <n v="1"/>
    <x v="0"/>
    <x v="4"/>
    <x v="6"/>
    <x v="0"/>
    <s v="Envioclick- Coordinadora"/>
    <s v="2246193 - 84150802010"/>
    <d v="2024-03-07T00:00:00"/>
    <d v="2024-03-09T00:00:00"/>
    <x v="0"/>
    <n v="0"/>
    <n v="2"/>
    <x v="1"/>
    <n v="42002"/>
    <n v="-2002"/>
  </r>
  <r>
    <d v="2024-03-07T00:00:00"/>
    <x v="2"/>
    <n v="10"/>
    <n v="1933"/>
    <x v="0"/>
    <s v="Diego Andres Cardozo Gonzalez"/>
    <s v="TECUTCO20C"/>
    <s v="Superficie Escritorio Caramelo 200x70 Clasico"/>
    <n v="1"/>
    <x v="1"/>
    <x v="4"/>
    <x v="6"/>
    <x v="0"/>
    <s v="Envioclick- Coordinadora"/>
    <s v="2246194 - 84150802011"/>
    <d v="2024-03-07T00:00:00"/>
    <d v="2024-03-08T00:00:00"/>
    <x v="0"/>
    <n v="0"/>
    <n v="1"/>
    <x v="1"/>
    <n v="25521"/>
    <n v="9479"/>
  </r>
  <r>
    <d v="2024-03-07T00:00:00"/>
    <x v="2"/>
    <n v="10"/>
    <n v="1933"/>
    <x v="0"/>
    <s v="Diego Andres Cardozo Gonzalez"/>
    <s v="TECURCO"/>
    <s v="Repisa TECU  Caramelo"/>
    <n v="1"/>
    <x v="2"/>
    <x v="4"/>
    <x v="6"/>
    <x v="0"/>
    <s v="Envioclick- Coordinadora"/>
    <s v="2246187 - 84150802007"/>
    <d v="2024-03-07T00:00:00"/>
    <d v="2024-03-08T00:00:00"/>
    <x v="0"/>
    <n v="0"/>
    <n v="1"/>
    <x v="1"/>
    <n v="22355"/>
    <n v="2645"/>
  </r>
  <r>
    <d v="2024-03-07T00:00:00"/>
    <x v="2"/>
    <n v="10"/>
    <n v="1934"/>
    <x v="0"/>
    <s v="Camilo Cruz"/>
    <s v="TECURCO"/>
    <s v="Repisa TECU  Caramelo"/>
    <n v="1"/>
    <x v="2"/>
    <x v="1"/>
    <x v="1"/>
    <x v="0"/>
    <s v="Envioclick- Coordinadora"/>
    <s v="2246278 - 84150802062"/>
    <d v="2024-03-07T00:00:00"/>
    <d v="2024-03-08T00:00:00"/>
    <x v="0"/>
    <n v="0"/>
    <n v="1"/>
    <x v="1"/>
    <n v="22355"/>
    <n v="2645"/>
  </r>
  <r>
    <d v="2024-03-08T00:00:00"/>
    <x v="2"/>
    <n v="10"/>
    <n v="1935"/>
    <x v="0"/>
    <s v="Mauricio Jaramillo Marín"/>
    <s v="TECU3FGPRO"/>
    <s v="Electric Standing Desk  PRO Gris"/>
    <n v="1"/>
    <x v="0"/>
    <x v="1"/>
    <x v="1"/>
    <x v="0"/>
    <s v="Envioclick- Coordinadora"/>
    <s v="2248202 – 84150802925"/>
    <d v="2024-03-08T00:00:00"/>
    <d v="2024-03-11T00:00:00"/>
    <x v="0"/>
    <n v="0"/>
    <n v="2"/>
    <x v="1"/>
    <n v="42002"/>
    <n v="-2002"/>
  </r>
  <r>
    <d v="2024-03-11T00:00:00"/>
    <x v="2"/>
    <n v="11"/>
    <n v="1936"/>
    <x v="0"/>
    <s v="ANDREA BIBIANA LOPEZ CORTES"/>
    <s v="TECU2FNG"/>
    <s v="Electric Standing Desk GO Negro"/>
    <n v="1"/>
    <x v="0"/>
    <x v="1"/>
    <x v="1"/>
    <x v="0"/>
    <s v="Envioclick- Coordinadora"/>
    <s v="2251963 – 84150804581"/>
    <d v="2024-03-11T00:00:00"/>
    <d v="2024-03-12T00:00:00"/>
    <x v="0"/>
    <n v="0"/>
    <n v="1"/>
    <x v="1"/>
    <n v="40734"/>
    <n v="-734"/>
  </r>
  <r>
    <d v="2024-03-11T00:00:00"/>
    <x v="2"/>
    <n v="11"/>
    <n v="1936"/>
    <x v="0"/>
    <s v="ANDREA BIBIANA LOPEZ CORTES"/>
    <s v="TECUTCO2C"/>
    <s v="Superficie Escritorio Caramelo 120x70 Clasico Small"/>
    <n v="1"/>
    <x v="1"/>
    <x v="1"/>
    <x v="1"/>
    <x v="0"/>
    <s v="Envioclick- Coordinadora"/>
    <s v="2251964 – 84150804582"/>
    <d v="2024-03-11T00:00:00"/>
    <d v="2024-03-12T00:00:00"/>
    <x v="0"/>
    <n v="0"/>
    <n v="1"/>
    <x v="1"/>
    <n v="22988"/>
    <n v="12012"/>
  </r>
  <r>
    <d v="2024-03-11T00:00:00"/>
    <x v="2"/>
    <n v="11"/>
    <n v="1937"/>
    <x v="0"/>
    <s v="Alejandro Rodriguez"/>
    <s v="TECU3FGPRO"/>
    <s v="Electric Standing Desk  PRO Gris"/>
    <n v="1"/>
    <x v="0"/>
    <x v="1"/>
    <x v="1"/>
    <x v="0"/>
    <s v="Envioclick- Coordinadora"/>
    <s v="2254974 – 84150806204"/>
    <d v="2024-03-12T00:00:00"/>
    <d v="2024-03-13T00:00:00"/>
    <x v="0"/>
    <n v="1"/>
    <n v="2"/>
    <x v="1"/>
    <n v="42002"/>
    <n v="-2002"/>
  </r>
  <r>
    <d v="2024-03-11T00:00:00"/>
    <x v="2"/>
    <n v="11"/>
    <n v="1937"/>
    <x v="0"/>
    <s v="Alejandro Rodriguez"/>
    <s v="TECUTCC5C"/>
    <s v="Superficie Escritorio Miel 150x70 Clasico"/>
    <n v="1"/>
    <x v="1"/>
    <x v="1"/>
    <x v="1"/>
    <x v="0"/>
    <s v="Envioclick- Coordinadora"/>
    <s v="2254975 – 84150806205"/>
    <d v="2024-03-12T00:00:00"/>
    <d v="2024-03-13T00:00:00"/>
    <x v="0"/>
    <n v="1"/>
    <n v="2"/>
    <x v="1"/>
    <n v="22988"/>
    <n v="12012"/>
  </r>
  <r>
    <d v="2024-03-11T00:00:00"/>
    <x v="2"/>
    <n v="11"/>
    <n v="1937"/>
    <x v="0"/>
    <s v="Alejandro Rodriguez"/>
    <s v="TECURCC"/>
    <s v="Repisa TECU  Miel"/>
    <n v="1"/>
    <x v="2"/>
    <x v="1"/>
    <x v="1"/>
    <x v="0"/>
    <s v="Envioclick- Coordinadora"/>
    <s v="2254805 – 84150806136"/>
    <d v="2024-03-12T00:00:00"/>
    <d v="2024-03-13T00:00:00"/>
    <x v="0"/>
    <n v="1"/>
    <n v="2"/>
    <x v="1"/>
    <n v="22355"/>
    <n v="2645"/>
  </r>
  <r>
    <d v="2024-03-11T00:00:00"/>
    <x v="2"/>
    <n v="11"/>
    <n v="1937"/>
    <x v="0"/>
    <s v="Alejandro Rodriguez"/>
    <s v="TECUCT"/>
    <s v="TECU bandeja de cables"/>
    <n v="1"/>
    <x v="4"/>
    <x v="1"/>
    <x v="1"/>
    <x v="0"/>
    <s v="Envioclick- Coordinadora"/>
    <s v="2255159 – 84150806342"/>
    <d v="2024-03-12T00:00:00"/>
    <d v="2024-03-13T00:00:00"/>
    <x v="0"/>
    <n v="1"/>
    <n v="2"/>
    <x v="1"/>
    <n v="16631"/>
    <n v="8369"/>
  </r>
  <r>
    <d v="2024-03-12T00:00:00"/>
    <x v="2"/>
    <n v="11"/>
    <n v="1938"/>
    <x v="0"/>
    <s v="Jose Leonardo Nunez Amado"/>
    <s v="TECULFN2"/>
    <s v="Electric Standing Desk | Escritorio Ajustable En L Frame Negro 2.0"/>
    <n v="1"/>
    <x v="0"/>
    <x v="1"/>
    <x v="1"/>
    <x v="0"/>
    <s v="Envioclick- Coordinadora"/>
    <s v="2257379 - 84150807322"/>
    <d v="2024-03-13T00:00:00"/>
    <d v="2024-03-14T00:00:00"/>
    <x v="0"/>
    <n v="1"/>
    <n v="2"/>
    <x v="1"/>
    <n v="60937"/>
    <n v="-20937"/>
  </r>
  <r>
    <d v="2024-03-12T00:00:00"/>
    <x v="2"/>
    <n v="11"/>
    <n v="1938"/>
    <x v="0"/>
    <s v="Jose Leonardo Nunez Amado"/>
    <s v="TECUTLCCS"/>
    <s v="Superficie Escritorio en L Caramelo Set completo"/>
    <n v="1"/>
    <x v="1"/>
    <x v="1"/>
    <x v="1"/>
    <x v="0"/>
    <s v="Envioclick- Coordinadora"/>
    <s v="2257380 - 84150807323"/>
    <d v="2024-03-13T00:00:00"/>
    <d v="2024-03-14T00:00:00"/>
    <x v="0"/>
    <n v="1"/>
    <n v="2"/>
    <x v="1"/>
    <n v="25521"/>
    <n v="9479"/>
  </r>
  <r>
    <d v="2024-03-12T00:00:00"/>
    <x v="2"/>
    <n v="11"/>
    <n v="1938"/>
    <x v="0"/>
    <s v="Jose Leonardo Nunez Amado"/>
    <s v="TECUBDPA"/>
    <s v="TECU Desk Pad B Negro Azul"/>
    <n v="1"/>
    <x v="4"/>
    <x v="1"/>
    <x v="1"/>
    <x v="0"/>
    <s v="Envioclick- Coordinadora"/>
    <s v="2257052 - 84150807141"/>
    <d v="2024-03-13T00:00:00"/>
    <d v="2024-03-14T00:00:00"/>
    <x v="0"/>
    <n v="1"/>
    <n v="2"/>
    <x v="1"/>
    <n v="16131"/>
    <n v="33869"/>
  </r>
  <r>
    <d v="2024-03-12T00:00:00"/>
    <x v="2"/>
    <n v="11"/>
    <n v="1938"/>
    <x v="0"/>
    <s v="Jose Leonardo Nunez Amado"/>
    <s v="TECUBLS"/>
    <s v="TECU Laptop Stand B"/>
    <n v="1"/>
    <x v="4"/>
    <x v="1"/>
    <x v="1"/>
    <x v="0"/>
    <s v="Envioclick- Coordinadora"/>
    <s v="2257084 - 84150807161"/>
    <d v="2024-03-13T00:00:00"/>
    <d v="2024-03-14T00:00:00"/>
    <x v="0"/>
    <n v="1"/>
    <n v="2"/>
    <x v="1"/>
    <n v="24042"/>
    <n v="25958"/>
  </r>
  <r>
    <d v="2024-03-12T00:00:00"/>
    <x v="2"/>
    <n v="11"/>
    <n v="1938"/>
    <x v="0"/>
    <s v="Jose Leonardo Nunez Amado"/>
    <s v="TECURCO"/>
    <s v="Repisa TECU  Caramelo"/>
    <n v="1"/>
    <x v="2"/>
    <x v="1"/>
    <x v="1"/>
    <x v="0"/>
    <s v="Envioclick- Coordinadora"/>
    <s v="2257063 - 84150807149"/>
    <d v="2024-03-13T00:00:00"/>
    <d v="2024-03-14T00:00:00"/>
    <x v="0"/>
    <n v="1"/>
    <n v="2"/>
    <x v="1"/>
    <n v="22355"/>
    <n v="2645"/>
  </r>
  <r>
    <d v="2024-03-12T00:00:00"/>
    <x v="2"/>
    <n v="11"/>
    <n v="1938"/>
    <x v="0"/>
    <s v="Jose Leonardo Nunez Amado"/>
    <s v="TECUCT"/>
    <s v="TECU bandeja de cables"/>
    <n v="1"/>
    <x v="4"/>
    <x v="1"/>
    <x v="1"/>
    <x v="0"/>
    <s v="Envioclick- Coordinadora"/>
    <s v="2257329 - 84150807307"/>
    <d v="2024-03-13T00:00:00"/>
    <d v="2024-03-14T00:00:00"/>
    <x v="0"/>
    <n v="1"/>
    <n v="2"/>
    <x v="1"/>
    <n v="16631"/>
    <n v="8369"/>
  </r>
  <r>
    <d v="2024-03-15T00:00:00"/>
    <x v="2"/>
    <n v="11"/>
    <n v="1939"/>
    <x v="0"/>
    <s v="Andres Felipe Torres Chamorro"/>
    <s v="TECUACO"/>
    <s v="Archivador TECU  Caramelo"/>
    <n v="1"/>
    <x v="3"/>
    <x v="1"/>
    <x v="1"/>
    <x v="0"/>
    <s v="Envioclick- Envia"/>
    <s v="2273368 – 954100930358"/>
    <d v="2024-03-18T00:00:00"/>
    <d v="2024-03-19T00:00:00"/>
    <x v="0"/>
    <n v="2"/>
    <n v="3"/>
    <x v="1"/>
    <n v="56461"/>
    <n v="-6461"/>
  </r>
  <r>
    <d v="2024-03-18T00:00:00"/>
    <x v="2"/>
    <n v="12"/>
    <n v="1940"/>
    <x v="0"/>
    <s v="Melissa Aguilar"/>
    <s v="TECU3FNPRO"/>
    <s v="Electric Standing Desk  PRO Negro"/>
    <n v="1"/>
    <x v="0"/>
    <x v="0"/>
    <x v="3"/>
    <x v="0"/>
    <s v="Envioclick- Coordinadora"/>
    <s v="2273554 – 84150811335"/>
    <d v="2024-03-18T00:00:00"/>
    <d v="2024-03-19T00:00:00"/>
    <x v="0"/>
    <n v="0"/>
    <n v="1"/>
    <x v="1"/>
    <n v="42002"/>
    <n v="-2002"/>
  </r>
  <r>
    <d v="2024-03-18T00:00:00"/>
    <x v="2"/>
    <n v="12"/>
    <n v="1940"/>
    <x v="0"/>
    <s v="Melissa Aguilar"/>
    <s v="TECUTCC2C"/>
    <s v="Superficie Escritorio Miel 120x70 Clasico Small"/>
    <n v="1"/>
    <x v="1"/>
    <x v="0"/>
    <x v="3"/>
    <x v="0"/>
    <s v="Envioclick- Coordinadora"/>
    <s v="2273556 – 84150811336"/>
    <d v="2024-03-18T00:00:00"/>
    <d v="2024-03-19T00:00:00"/>
    <x v="0"/>
    <n v="0"/>
    <n v="1"/>
    <x v="1"/>
    <n v="27422"/>
    <n v="7578"/>
  </r>
  <r>
    <d v="2024-03-18T00:00:00"/>
    <x v="2"/>
    <n v="12"/>
    <n v="1940"/>
    <x v="0"/>
    <s v="Melissa Aguilar"/>
    <s v="TECURCC"/>
    <s v="Repisa TECU  Miel"/>
    <n v="1"/>
    <x v="2"/>
    <x v="0"/>
    <x v="3"/>
    <x v="0"/>
    <s v="Envioclick- Coordinadora"/>
    <s v="2274146 – 84150811599"/>
    <d v="2024-03-18T00:00:00"/>
    <d v="2024-03-19T00:00:00"/>
    <x v="0"/>
    <n v="0"/>
    <n v="1"/>
    <x v="1"/>
    <n v="22355"/>
    <n v="2645"/>
  </r>
  <r>
    <d v="2024-03-18T00:00:00"/>
    <x v="2"/>
    <n v="12"/>
    <n v="1940"/>
    <x v="0"/>
    <s v="Melissa Aguilar"/>
    <s v="TECUCT"/>
    <s v="TECU bandeja de cables"/>
    <n v="1"/>
    <x v="4"/>
    <x v="0"/>
    <x v="3"/>
    <x v="0"/>
    <s v="Envioclick- Coordinadora"/>
    <s v="2273926 – 84150811595"/>
    <d v="2024-03-18T00:00:00"/>
    <d v="2024-03-19T00:00:00"/>
    <x v="0"/>
    <n v="0"/>
    <n v="1"/>
    <x v="1"/>
    <n v="16631"/>
    <n v="8369"/>
  </r>
  <r>
    <d v="2024-03-18T00:00:00"/>
    <x v="2"/>
    <n v="12"/>
    <n v="1941"/>
    <x v="0"/>
    <s v="Daniel Quintero"/>
    <s v="TECUBDPM"/>
    <s v="TECU Desk Pad B Negro Café Miel"/>
    <n v="1"/>
    <x v="4"/>
    <x v="2"/>
    <x v="2"/>
    <x v="0"/>
    <s v="Envioclick- Coordinadora"/>
    <s v="2273573 – 84150811349"/>
    <d v="2024-03-18T00:00:00"/>
    <d v="2024-03-20T00:00:00"/>
    <x v="0"/>
    <n v="0"/>
    <n v="2"/>
    <x v="1"/>
    <n v="16131"/>
    <n v="33869"/>
  </r>
  <r>
    <d v="2024-03-18T00:00:00"/>
    <x v="2"/>
    <n v="12"/>
    <n v="1942"/>
    <x v="0"/>
    <s v="juan carlos romero"/>
    <s v="TECU3FNPRO"/>
    <s v="Electric Standing Desk  PRO Negro"/>
    <n v="1"/>
    <x v="0"/>
    <x v="1"/>
    <x v="1"/>
    <x v="0"/>
    <s v="Envioclick- Coordinadora"/>
    <s v="2274373 – 84150811696"/>
    <d v="2024-03-18T00:00:00"/>
    <d v="2024-03-19T00:00:00"/>
    <x v="0"/>
    <n v="0"/>
    <n v="1"/>
    <x v="1"/>
    <n v="42002"/>
    <n v="-2002"/>
  </r>
  <r>
    <d v="2024-03-18T00:00:00"/>
    <x v="2"/>
    <n v="12"/>
    <n v="1943"/>
    <x v="0"/>
    <s v="Luis Alejandro Barragan Ferro"/>
    <s v="TECU3FNPRO"/>
    <s v="Electric Standing Desk  PRO Negro"/>
    <n v="1"/>
    <x v="0"/>
    <x v="1"/>
    <x v="1"/>
    <x v="0"/>
    <s v="Envioclick- Coordinadora"/>
    <s v="2276149 – 84150812458"/>
    <d v="2024-03-19T00:00:00"/>
    <d v="2024-03-20T00:00:00"/>
    <x v="0"/>
    <n v="1"/>
    <n v="2"/>
    <x v="1"/>
    <n v="42002"/>
    <n v="-2002"/>
  </r>
  <r>
    <d v="2024-03-18T00:00:00"/>
    <x v="2"/>
    <n v="12"/>
    <n v="1943"/>
    <x v="0"/>
    <s v="Luis Alejandro Barragan Ferro"/>
    <s v="TECUTCO5C"/>
    <s v="Superficie Escritorio Caramelo 150x70 Clasico"/>
    <n v="1"/>
    <x v="1"/>
    <x v="1"/>
    <x v="1"/>
    <x v="0"/>
    <s v="Envioclick- Coordinadora"/>
    <s v="2276151 – 84150812459"/>
    <d v="2024-03-19T00:00:00"/>
    <d v="2024-03-20T00:00:00"/>
    <x v="0"/>
    <n v="1"/>
    <n v="2"/>
    <x v="1"/>
    <n v="22988"/>
    <e v="#N/A"/>
  </r>
  <r>
    <d v="2024-03-18T00:00:00"/>
    <x v="2"/>
    <n v="12"/>
    <n v="1943"/>
    <x v="0"/>
    <s v="Luis Alejandro Barragan Ferro"/>
    <s v="TECURCO"/>
    <s v="Repisa TECU  Caramelo"/>
    <n v="1"/>
    <x v="2"/>
    <x v="1"/>
    <x v="1"/>
    <x v="0"/>
    <s v="Envioclick- Coordinadora"/>
    <s v="2276159 – 84150812462"/>
    <d v="2024-03-19T00:00:00"/>
    <d v="2024-03-20T00:00:00"/>
    <x v="0"/>
    <n v="1"/>
    <n v="2"/>
    <x v="1"/>
    <n v="22355"/>
    <n v="2645"/>
  </r>
  <r>
    <d v="2024-03-18T00:00:00"/>
    <x v="2"/>
    <n v="12"/>
    <n v="1943"/>
    <x v="0"/>
    <s v="Luis Alejandro Barragan Ferro"/>
    <s v="TECUACO"/>
    <s v="Archivador TECU  Caramelo"/>
    <n v="1"/>
    <x v="3"/>
    <x v="1"/>
    <x v="1"/>
    <x v="0"/>
    <s v="Envioclick- Envia"/>
    <s v="2279290 – 954100931862"/>
    <d v="2024-03-20T00:00:00"/>
    <d v="2024-03-21T00:00:00"/>
    <x v="0"/>
    <n v="2"/>
    <n v="3"/>
    <x v="1"/>
    <n v="51312"/>
    <n v="-1312"/>
  </r>
  <r>
    <d v="2024-03-18T00:00:00"/>
    <x v="2"/>
    <n v="12"/>
    <n v="1944"/>
    <x v="0"/>
    <s v="Ronald Hidalgo"/>
    <s v="TECU2FNG"/>
    <s v="Electric Standing Desk GO Negro"/>
    <n v="1"/>
    <x v="0"/>
    <x v="1"/>
    <x v="1"/>
    <x v="0"/>
    <s v="Envioclick- Coordinadora"/>
    <s v="2276118 – 84150812450"/>
    <d v="2024-03-19T00:00:00"/>
    <d v="2024-03-20T00:00:00"/>
    <x v="0"/>
    <n v="1"/>
    <n v="2"/>
    <x v="1"/>
    <n v="40734"/>
    <n v="-734"/>
  </r>
  <r>
    <d v="2024-03-18T00:00:00"/>
    <x v="2"/>
    <n v="12"/>
    <n v="1944"/>
    <x v="0"/>
    <s v="Ronald Hidalgo"/>
    <s v="TECUTCO4C"/>
    <s v="Superficie Escritorio Caramelo 140x70 Clasico"/>
    <n v="1"/>
    <x v="1"/>
    <x v="1"/>
    <x v="1"/>
    <x v="0"/>
    <s v="Envioclick- Coordinadora"/>
    <s v="2276128 – 84150812451"/>
    <d v="2024-03-19T00:00:00"/>
    <d v="2024-03-20T00:00:00"/>
    <x v="0"/>
    <n v="1"/>
    <n v="2"/>
    <x v="1"/>
    <n v="22988"/>
    <n v="12012"/>
  </r>
  <r>
    <d v="2024-03-18T00:00:00"/>
    <x v="2"/>
    <n v="12"/>
    <n v="1944"/>
    <x v="0"/>
    <s v="Ronald Hidalgo"/>
    <s v="TECU2FNG"/>
    <s v="Electric Standing Desk GO Negro"/>
    <n v="1"/>
    <x v="0"/>
    <x v="1"/>
    <x v="1"/>
    <x v="0"/>
    <s v="Envioclick- Coordinadora"/>
    <s v="2276135 – 84150812454"/>
    <d v="2024-03-19T00:00:00"/>
    <d v="2024-03-20T00:00:00"/>
    <x v="0"/>
    <n v="1"/>
    <n v="2"/>
    <x v="1"/>
    <n v="40734"/>
    <n v="-734"/>
  </r>
  <r>
    <d v="2024-03-18T00:00:00"/>
    <x v="2"/>
    <n v="12"/>
    <n v="1944"/>
    <x v="0"/>
    <s v="Ronald Hidalgo"/>
    <s v="TECUTCO4C"/>
    <s v="Superficie Escritorio Caramelo 140x70 Clasico"/>
    <n v="1"/>
    <x v="1"/>
    <x v="1"/>
    <x v="1"/>
    <x v="0"/>
    <s v="Envioclick- Coordinadora"/>
    <s v="2276137 – 84150812455"/>
    <d v="2024-03-19T00:00:00"/>
    <d v="2024-03-20T00:00:00"/>
    <x v="0"/>
    <n v="1"/>
    <n v="2"/>
    <x v="1"/>
    <n v="22988"/>
    <n v="12012"/>
  </r>
  <r>
    <d v="2024-03-19T00:00:00"/>
    <x v="2"/>
    <n v="12"/>
    <n v="1945"/>
    <x v="0"/>
    <s v="francisco sanchez"/>
    <s v="TECURCO"/>
    <s v="Repisa TECU  Caramelo"/>
    <n v="1"/>
    <x v="2"/>
    <x v="9"/>
    <x v="20"/>
    <x v="0"/>
    <s v="Envioclick- Coordinadora"/>
    <s v="2277540 – 84150812991"/>
    <d v="2024-03-19T00:00:00"/>
    <d v="2024-03-22T00:00:00"/>
    <x v="0"/>
    <n v="0"/>
    <n v="3"/>
    <x v="1"/>
    <n v="45080"/>
    <n v="-20080"/>
  </r>
  <r>
    <d v="2024-03-22T00:00:00"/>
    <x v="2"/>
    <n v="12"/>
    <n v="1946"/>
    <x v="0"/>
    <s v="Juan Pablo Valencia Isaza"/>
    <s v="TECU3FNPRO"/>
    <s v="Electric Standing Desk  PRO Negro"/>
    <n v="1"/>
    <x v="0"/>
    <x v="10"/>
    <x v="21"/>
    <x v="0"/>
    <s v="Envioclick- Coordinadora"/>
    <s v="2283965 - 84150815550"/>
    <d v="2024-03-22T00:00:00"/>
    <d v="2024-03-23T00:00:00"/>
    <x v="0"/>
    <n v="0"/>
    <n v="1"/>
    <x v="1"/>
    <n v="34504"/>
    <n v="5496"/>
  </r>
  <r>
    <d v="2024-03-22T00:00:00"/>
    <x v="2"/>
    <n v="12"/>
    <n v="1946"/>
    <x v="0"/>
    <s v="Juan Pablo Valencia Isaza"/>
    <s v="TECUTCO2C"/>
    <s v="Superficie Escritorio Caramelo 120x70 Clasico Small"/>
    <n v="1"/>
    <x v="1"/>
    <x v="10"/>
    <x v="21"/>
    <x v="0"/>
    <s v="Envioclick- Coordinadora"/>
    <s v="2283966 - 84150815551"/>
    <d v="2024-03-22T00:00:00"/>
    <d v="2024-03-23T00:00:00"/>
    <x v="0"/>
    <n v="0"/>
    <n v="1"/>
    <x v="1"/>
    <n v="17274"/>
    <n v="17726"/>
  </r>
  <r>
    <d v="2024-03-22T00:00:00"/>
    <x v="2"/>
    <n v="12"/>
    <n v="1946"/>
    <x v="0"/>
    <s v="Juan Pablo Valencia Isaza"/>
    <s v="TECURCO"/>
    <s v="Repisa TECU  Caramelo"/>
    <n v="1"/>
    <x v="2"/>
    <x v="10"/>
    <x v="21"/>
    <x v="0"/>
    <s v="Envioclick- Coordinadora"/>
    <s v="2283962 - 84150815548"/>
    <d v="2024-03-22T00:00:00"/>
    <d v="2024-03-23T00:00:00"/>
    <x v="0"/>
    <n v="0"/>
    <n v="1"/>
    <x v="1"/>
    <n v="14206"/>
    <n v="10794"/>
  </r>
  <r>
    <d v="2024-03-21T00:00:00"/>
    <x v="2"/>
    <n v="12"/>
    <n v="1947"/>
    <x v="0"/>
    <s v="Luisa Martinez"/>
    <s v="TECU2FNG"/>
    <s v="Electric Standing Desk GO Negro"/>
    <n v="1"/>
    <x v="0"/>
    <x v="1"/>
    <x v="22"/>
    <x v="0"/>
    <s v="Envioclick- Coordinadora"/>
    <s v="2285770 - 84150816394"/>
    <d v="2024-03-22T00:00:00"/>
    <d v="2024-03-27T00:00:00"/>
    <x v="0"/>
    <n v="1"/>
    <n v="4"/>
    <x v="1"/>
    <n v="58232"/>
    <n v="-18232"/>
  </r>
  <r>
    <d v="2024-03-21T00:00:00"/>
    <x v="2"/>
    <n v="12"/>
    <n v="1947"/>
    <x v="0"/>
    <s v="Luisa Martinez"/>
    <s v="TECUTCO2C"/>
    <s v="Superficie Escritorio Caramelo 120x70 Clasico Small"/>
    <n v="1"/>
    <x v="1"/>
    <x v="1"/>
    <x v="22"/>
    <x v="0"/>
    <s v="Envioclick- Coordinadora"/>
    <s v="2285772 - 84150816396"/>
    <d v="2024-03-22T00:00:00"/>
    <d v="2024-03-27T00:00:00"/>
    <x v="0"/>
    <n v="1"/>
    <n v="4"/>
    <x v="1"/>
    <n v="37361"/>
    <n v="-2361"/>
  </r>
  <r>
    <d v="2024-03-21T00:00:00"/>
    <x v="2"/>
    <n v="12"/>
    <n v="1948"/>
    <x v="0"/>
    <s v="Cesar Rodriguez"/>
    <s v="TECU2FNG"/>
    <s v="Electric Standing Desk GO Negro"/>
    <n v="1"/>
    <x v="0"/>
    <x v="1"/>
    <x v="1"/>
    <x v="0"/>
    <s v="Envioclick- Coordinadora"/>
    <s v="2283970 - 84150815554"/>
    <d v="2024-03-22T00:00:00"/>
    <d v="2024-03-27T00:00:00"/>
    <x v="0"/>
    <n v="1"/>
    <n v="4"/>
    <x v="0"/>
    <n v="40734"/>
    <n v="-734"/>
  </r>
  <r>
    <d v="2024-03-21T00:00:00"/>
    <x v="2"/>
    <n v="12"/>
    <n v="1948"/>
    <x v="0"/>
    <s v="Cesar Rodriguez"/>
    <s v="TECUTCO2C"/>
    <s v="Superficie Escritorio Caramelo 120x70 Clasico Small"/>
    <n v="1"/>
    <x v="1"/>
    <x v="1"/>
    <x v="1"/>
    <x v="0"/>
    <s v="Envioclick- Coordinadora"/>
    <s v="2283971 - 84150815555"/>
    <d v="2024-03-22T00:00:00"/>
    <d v="2024-03-27T00:00:00"/>
    <x v="0"/>
    <n v="1"/>
    <n v="4"/>
    <x v="0"/>
    <n v="22988"/>
    <n v="12012"/>
  </r>
  <r>
    <d v="2024-03-26T00:00:00"/>
    <x v="2"/>
    <n v="13"/>
    <n v="1949"/>
    <x v="0"/>
    <s v="David Montaño Ramírez"/>
    <s v="TECU3FNPRO"/>
    <s v="Electric Standing Desk  PRO Negro"/>
    <n v="1"/>
    <x v="0"/>
    <x v="1"/>
    <x v="1"/>
    <x v="0"/>
    <s v="Envioclick- Coordinadora"/>
    <s v="2288785 - 84150817510"/>
    <d v="2024-03-26T00:00:00"/>
    <d v="2024-03-27T00:00:00"/>
    <x v="0"/>
    <n v="0"/>
    <n v="1"/>
    <x v="1"/>
    <n v="42002"/>
    <n v="-2002"/>
  </r>
  <r>
    <d v="2024-03-26T00:00:00"/>
    <x v="2"/>
    <n v="13"/>
    <n v="1949"/>
    <x v="0"/>
    <s v="David Montaño Ramírez"/>
    <s v="TECUTCC5C"/>
    <s v="Superficie Escritorio Miel 150x70 Clasico"/>
    <n v="1"/>
    <x v="1"/>
    <x v="1"/>
    <x v="1"/>
    <x v="0"/>
    <s v="Envioclick- Coordinadora"/>
    <s v="2288787 - 84150817511"/>
    <d v="2024-03-26T00:00:00"/>
    <d v="2024-03-27T00:00:00"/>
    <x v="0"/>
    <n v="0"/>
    <n v="1"/>
    <x v="1"/>
    <n v="22988"/>
    <n v="12012"/>
  </r>
  <r>
    <d v="2024-03-26T00:00:00"/>
    <x v="2"/>
    <n v="13"/>
    <n v="1949"/>
    <x v="0"/>
    <s v="David Montaño Ramírez"/>
    <s v="TECURCC"/>
    <s v="Repisa TECU  Miel"/>
    <n v="1"/>
    <x v="2"/>
    <x v="1"/>
    <x v="1"/>
    <x v="0"/>
    <s v="Envioclick- Coordinadora"/>
    <s v="2296409 - 84150820469"/>
    <d v="2024-04-01T00:00:00"/>
    <d v="2024-04-02T00:00:00"/>
    <x v="0"/>
    <n v="3"/>
    <n v="4"/>
    <x v="0"/>
    <n v="22355"/>
    <n v="2645"/>
  </r>
  <r>
    <d v="2024-03-26T00:00:00"/>
    <x v="2"/>
    <n v="13"/>
    <s v="RIFA"/>
    <x v="2"/>
    <s v="Juan Sebastián Montaño"/>
    <s v="TECUDSN"/>
    <s v="TECU Desk Stool Negra Silla ajustable"/>
    <n v="1"/>
    <x v="5"/>
    <x v="1"/>
    <x v="1"/>
    <x v="0"/>
    <s v="Envioclick- Coordinadora"/>
    <s v="2288522 - 84150817375"/>
    <d v="2024-03-26T00:00:00"/>
    <d v="2024-03-27T00:00:00"/>
    <x v="0"/>
    <n v="0"/>
    <n v="1"/>
    <x v="1"/>
    <n v="23935"/>
    <n v="1065"/>
  </r>
  <r>
    <d v="2024-03-27T00:00:00"/>
    <x v="2"/>
    <n v="13"/>
    <n v="1950"/>
    <x v="0"/>
    <s v="Luis Moncaris"/>
    <s v="TECU3FBRO"/>
    <s v="Electric Standing Desk  PRO Blanco"/>
    <n v="1"/>
    <x v="0"/>
    <x v="1"/>
    <x v="1"/>
    <x v="0"/>
    <s v="Envioclick- Coordinadora"/>
    <s v="2296674 – 84150820600"/>
    <d v="2024-04-01T00:00:00"/>
    <d v="2024-04-02T00:00:00"/>
    <x v="0"/>
    <n v="2"/>
    <n v="3"/>
    <x v="1"/>
    <n v="42002"/>
    <n v="-2002"/>
  </r>
  <r>
    <d v="2024-03-27T00:00:00"/>
    <x v="2"/>
    <n v="13"/>
    <n v="1950"/>
    <x v="0"/>
    <s v="Luis Moncaris"/>
    <s v="TECUTCC4C"/>
    <s v="Superficie Escritorio Miel 140x70 Clasico"/>
    <n v="1"/>
    <x v="1"/>
    <x v="1"/>
    <x v="1"/>
    <x v="0"/>
    <s v="Envioclick- Coordinadora"/>
    <s v="2296675 – 84150820602"/>
    <d v="2024-04-01T00:00:00"/>
    <d v="2024-04-02T00:00:00"/>
    <x v="0"/>
    <n v="2"/>
    <n v="3"/>
    <x v="1"/>
    <n v="22988"/>
    <n v="12012"/>
  </r>
  <r>
    <d v="2024-03-27T00:00:00"/>
    <x v="2"/>
    <n v="13"/>
    <n v="1950"/>
    <x v="0"/>
    <s v="Luis Moncaris"/>
    <s v="TECURCC"/>
    <s v="Repisa TECU  Miel"/>
    <n v="1"/>
    <x v="2"/>
    <x v="1"/>
    <x v="1"/>
    <x v="0"/>
    <s v="Envioclick- Coordinadora"/>
    <s v="2296694 – 84150820610"/>
    <d v="2024-04-01T00:00:00"/>
    <d v="2024-04-02T00:00:00"/>
    <x v="0"/>
    <n v="2"/>
    <n v="3"/>
    <x v="1"/>
    <n v="22355"/>
    <n v="2645"/>
  </r>
  <r>
    <d v="2024-03-28T00:00:00"/>
    <x v="2"/>
    <n v="13"/>
    <n v="1951"/>
    <x v="0"/>
    <s v="Natalia Gutiérrez"/>
    <s v="TECU2FNG"/>
    <s v="Electric Standing Desk GO Negro"/>
    <n v="1"/>
    <x v="0"/>
    <x v="1"/>
    <x v="1"/>
    <x v="0"/>
    <s v="Envioclick- Coordinadora"/>
    <s v="2296384 – 84150820457"/>
    <d v="2024-04-01T00:00:00"/>
    <d v="2024-04-02T00:00:00"/>
    <x v="0"/>
    <n v="1"/>
    <n v="2"/>
    <x v="1"/>
    <n v="40734"/>
    <n v="-734"/>
  </r>
  <r>
    <d v="2024-03-28T00:00:00"/>
    <x v="2"/>
    <n v="13"/>
    <n v="1951"/>
    <x v="0"/>
    <s v="Natalia Gutiérrez"/>
    <s v="TECUTB4C"/>
    <s v="Superficie Escritorio Blanco (Niebla) 140x70 Clasico"/>
    <n v="1"/>
    <x v="1"/>
    <x v="1"/>
    <x v="1"/>
    <x v="0"/>
    <s v="Envioclick- Coordinadora"/>
    <s v="2296385 – 84150820458"/>
    <d v="2024-04-01T00:00:00"/>
    <d v="2024-04-02T00:00:00"/>
    <x v="0"/>
    <n v="1"/>
    <n v="2"/>
    <x v="1"/>
    <n v="22988"/>
    <n v="12012"/>
  </r>
  <r>
    <d v="2024-03-29T00:00:00"/>
    <x v="2"/>
    <n v="13"/>
    <n v="1952"/>
    <x v="0"/>
    <s v="Jair Rodriguez Rodriguez"/>
    <s v="TECU3FNPRO"/>
    <s v="Electric Standing Desk  PRO Negro"/>
    <n v="1"/>
    <x v="0"/>
    <x v="1"/>
    <x v="1"/>
    <x v="0"/>
    <s v="Envioclick- Coordinadora"/>
    <s v="2296757 – 84150820627"/>
    <d v="2024-04-01T00:00:00"/>
    <d v="2024-04-02T00:00:00"/>
    <x v="0"/>
    <n v="1"/>
    <n v="2"/>
    <x v="1"/>
    <n v="42002"/>
    <n v="-2002"/>
  </r>
  <r>
    <d v="2024-03-29T00:00:00"/>
    <x v="2"/>
    <n v="13"/>
    <n v="1952"/>
    <x v="0"/>
    <s v="Jair Rodriguez Rodriguez"/>
    <s v="TECUTCC6C"/>
    <s v="Superficie Escritorio Miel 160x70 Clasico"/>
    <n v="1"/>
    <x v="1"/>
    <x v="1"/>
    <x v="1"/>
    <x v="0"/>
    <s v="Envioclick- Coordinadora"/>
    <s v="2296759 – 84150820628"/>
    <d v="2024-04-01T00:00:00"/>
    <d v="2024-04-02T00:00:00"/>
    <x v="0"/>
    <n v="1"/>
    <n v="2"/>
    <x v="1"/>
    <n v="22988"/>
    <n v="12012"/>
  </r>
  <r>
    <d v="2024-03-29T00:00:00"/>
    <x v="2"/>
    <n v="13"/>
    <n v="1952"/>
    <x v="0"/>
    <s v="Jair Rodriguez Rodriguez"/>
    <s v="TECURCC"/>
    <s v="Repisa TECU  Miel"/>
    <n v="1"/>
    <x v="2"/>
    <x v="1"/>
    <x v="1"/>
    <x v="0"/>
    <s v="Envioclick- Coordinadora"/>
    <s v="2296721 – 84150820622"/>
    <d v="2024-04-01T00:00:00"/>
    <d v="2024-04-02T00:00:00"/>
    <x v="0"/>
    <n v="1"/>
    <n v="2"/>
    <x v="1"/>
    <n v="22355"/>
    <n v="2645"/>
  </r>
  <r>
    <d v="2024-03-29T00:00:00"/>
    <x v="2"/>
    <n v="13"/>
    <n v="1952"/>
    <x v="0"/>
    <s v="Jair Rodriguez Rodriguez"/>
    <s v="TECUCT"/>
    <s v="TECU bandeja de cables"/>
    <n v="1"/>
    <x v="4"/>
    <x v="1"/>
    <x v="1"/>
    <x v="0"/>
    <s v="Envioclick- Coordinadora"/>
    <s v="2298094 – 84150821176"/>
    <d v="2024-04-01T00:00:00"/>
    <d v="2024-04-02T00:00:00"/>
    <x v="0"/>
    <n v="1"/>
    <n v="2"/>
    <x v="1"/>
    <n v="16631"/>
    <n v="8369"/>
  </r>
  <r>
    <d v="2024-03-29T00:00:00"/>
    <x v="2"/>
    <n v="13"/>
    <n v="1952"/>
    <x v="0"/>
    <s v="Jair Rodriguez Rodriguez"/>
    <s v="TECUACC"/>
    <s v="Archivador TECU  Miel"/>
    <n v="1"/>
    <x v="3"/>
    <x v="1"/>
    <x v="1"/>
    <x v="0"/>
    <s v="Envioclick- Envia"/>
    <s v="2315345 - 954100942765"/>
    <d v="2024-04-09T00:00:00"/>
    <d v="2024-04-10T00:00:00"/>
    <x v="0"/>
    <n v="8"/>
    <n v="9"/>
    <x v="0"/>
    <n v="51312"/>
    <n v="-1312"/>
  </r>
  <r>
    <d v="2024-03-29T00:00:00"/>
    <x v="2"/>
    <n v="13"/>
    <n v="1953"/>
    <x v="0"/>
    <s v="Jorge Paternina Montiel"/>
    <s v="TECU3FNPRO"/>
    <s v="Electric Standing Desk  PRO Negro"/>
    <n v="1"/>
    <x v="0"/>
    <x v="2"/>
    <x v="2"/>
    <x v="0"/>
    <s v="Envioclick- Coordinadora"/>
    <s v="2298006 – 84150821152"/>
    <d v="2024-04-01T00:00:00"/>
    <d v="2024-04-03T00:00:00"/>
    <x v="0"/>
    <n v="1"/>
    <n v="3"/>
    <x v="1"/>
    <n v="60748"/>
    <n v="-20748"/>
  </r>
  <r>
    <d v="2024-03-29T00:00:00"/>
    <x v="2"/>
    <n v="13"/>
    <n v="1953"/>
    <x v="0"/>
    <s v="Jorge Paternina Montiel"/>
    <s v="TECUTCC8C"/>
    <s v="Superficie Escritorio Miel 180x70 Clasico"/>
    <n v="1"/>
    <x v="1"/>
    <x v="2"/>
    <x v="2"/>
    <x v="0"/>
    <s v="Envioclick- Coordinadora"/>
    <s v="2298007 – 84150821153"/>
    <d v="2024-04-01T00:00:00"/>
    <d v="2024-04-02T00:00:00"/>
    <x v="0"/>
    <n v="1"/>
    <n v="2"/>
    <x v="1"/>
    <n v="42393"/>
    <n v="-7393"/>
  </r>
  <r>
    <d v="2024-03-29T00:00:00"/>
    <x v="2"/>
    <n v="13"/>
    <n v="1953"/>
    <x v="0"/>
    <s v="Jorge Paternina Montiel"/>
    <s v="TECURCC"/>
    <s v="Repisa TECU  Miel"/>
    <n v="1"/>
    <x v="2"/>
    <x v="2"/>
    <x v="2"/>
    <x v="0"/>
    <s v="Envioclick- Coordinadora"/>
    <s v="2298001 – 84150821150"/>
    <d v="2024-04-01T00:00:00"/>
    <d v="2024-04-02T00:00:00"/>
    <x v="0"/>
    <n v="1"/>
    <n v="2"/>
    <x v="1"/>
    <n v="36102"/>
    <n v="-11102"/>
  </r>
  <r>
    <d v="2024-03-30T00:00:00"/>
    <x v="2"/>
    <n v="13"/>
    <n v="1954"/>
    <x v="0"/>
    <s v="Cristian Camilo Cruz Camacho"/>
    <s v="TECUACO"/>
    <s v="Archivador TECU  Caramelo"/>
    <n v="1"/>
    <x v="3"/>
    <x v="1"/>
    <x v="1"/>
    <x v="0"/>
    <s v="Envioclick- Envia"/>
    <s v="2315370 - 954100942771"/>
    <d v="2024-04-09T00:00:00"/>
    <d v="2024-04-10T00:00:00"/>
    <x v="0"/>
    <n v="8"/>
    <n v="9"/>
    <x v="0"/>
    <n v="51312"/>
    <n v="-1312"/>
  </r>
  <r>
    <d v="2024-04-01T00:00:00"/>
    <x v="3"/>
    <n v="14"/>
    <n v="1955"/>
    <x v="0"/>
    <s v="Milton Andres Tovar Bonilla"/>
    <s v="TECULFN2"/>
    <s v="Electric Standing Desk | Escritorio Ajustable En L Frame Negro 2.0"/>
    <n v="1"/>
    <x v="0"/>
    <x v="1"/>
    <x v="1"/>
    <x v="0"/>
    <s v="Envioclick- Coordinadora"/>
    <s v="2298232 – 84150821220"/>
    <d v="2024-04-01T00:00:00"/>
    <d v="2024-04-03T00:00:00"/>
    <x v="0"/>
    <n v="0"/>
    <n v="2"/>
    <x v="1"/>
    <n v="60937"/>
    <n v="-20937"/>
  </r>
  <r>
    <d v="2024-04-01T00:00:00"/>
    <x v="3"/>
    <n v="14"/>
    <n v="1955"/>
    <x v="0"/>
    <s v="Milton Andres Tovar Bonilla"/>
    <s v="TECUTLCOS"/>
    <s v="Superficie Escritorio en L Miel Set completo"/>
    <n v="1"/>
    <x v="1"/>
    <x v="1"/>
    <x v="1"/>
    <x v="0"/>
    <s v="Envioclick- Coordinadora"/>
    <s v="2298233 – 84150821221"/>
    <d v="2024-04-01T00:00:00"/>
    <d v="2024-04-02T00:00:00"/>
    <x v="0"/>
    <n v="0"/>
    <n v="1"/>
    <x v="1"/>
    <n v="25521"/>
    <n v="9479"/>
  </r>
  <r>
    <d v="2024-04-01T00:00:00"/>
    <x v="3"/>
    <n v="14"/>
    <n v="1956"/>
    <x v="0"/>
    <s v="CAMILO ANDRES MORENO CIFUENTES"/>
    <s v="TECU3FNPRO"/>
    <s v="Electric Standing Desk  PRO Negro"/>
    <n v="1"/>
    <x v="0"/>
    <x v="6"/>
    <x v="23"/>
    <x v="0"/>
    <s v="Envioclick- Coordinadora"/>
    <s v="2300370 – 84150822212"/>
    <d v="2024-04-02T00:00:00"/>
    <d v="2024-04-04T00:00:00"/>
    <x v="0"/>
    <n v="1"/>
    <n v="3"/>
    <x v="1"/>
    <n v="60748"/>
    <n v="-20748"/>
  </r>
  <r>
    <d v="2024-04-01T00:00:00"/>
    <x v="3"/>
    <n v="14"/>
    <n v="1956"/>
    <x v="0"/>
    <s v="CAMILO ANDRES MORENO CIFUENTES"/>
    <s v="TECUTCO4C"/>
    <s v="Superficie Escritorio Caramelo 140x70 Clasico"/>
    <n v="1"/>
    <x v="1"/>
    <x v="6"/>
    <x v="23"/>
    <x v="0"/>
    <s v="Envioclick- Coordinadora"/>
    <s v="2300371 – 84150822213"/>
    <d v="2024-04-02T00:00:00"/>
    <d v="2024-04-04T00:00:00"/>
    <x v="0"/>
    <n v="1"/>
    <n v="3"/>
    <x v="1"/>
    <n v="37361"/>
    <n v="-2361"/>
  </r>
  <r>
    <d v="2024-04-01T00:00:00"/>
    <x v="3"/>
    <n v="14"/>
    <n v="1956"/>
    <x v="0"/>
    <s v="CAMILO ANDRES MORENO CIFUENTES"/>
    <s v="TECURCO"/>
    <s v="Repisa TECU  Caramelo"/>
    <n v="1"/>
    <x v="2"/>
    <x v="6"/>
    <x v="23"/>
    <x v="0"/>
    <s v="Envioclick- Coordinadora"/>
    <s v="2300363 – 84150822206"/>
    <d v="2024-04-02T00:00:00"/>
    <d v="2024-04-04T00:00:00"/>
    <x v="0"/>
    <n v="1"/>
    <n v="3"/>
    <x v="1"/>
    <n v="36102"/>
    <n v="-11102"/>
  </r>
  <r>
    <d v="2024-04-01T00:00:00"/>
    <x v="3"/>
    <n v="14"/>
    <n v="1956"/>
    <x v="0"/>
    <s v="CAMILO ANDRES MORENO CIFUENTES"/>
    <s v="TECUACO"/>
    <s v="Archivador TECU  Caramelo"/>
    <n v="1"/>
    <x v="3"/>
    <x v="6"/>
    <x v="23"/>
    <x v="0"/>
    <s v="Envioclick- Envia"/>
    <s v="2315432 – 954100942886"/>
    <d v="2024-04-09T00:00:00"/>
    <d v="2024-04-11T00:00:00"/>
    <x v="0"/>
    <n v="7"/>
    <n v="9"/>
    <x v="0"/>
    <n v="110295"/>
    <n v="-60295"/>
  </r>
  <r>
    <d v="2024-04-01T00:00:00"/>
    <x v="3"/>
    <n v="14"/>
    <n v="1957"/>
    <x v="0"/>
    <s v="Sebastian Ordoñez"/>
    <s v="TECU3FNPRO"/>
    <s v="Electric Standing Desk  PRO Negro"/>
    <n v="1"/>
    <x v="0"/>
    <x v="1"/>
    <x v="1"/>
    <x v="0"/>
    <s v="Envioclick- Coordinadora"/>
    <s v="2300453 – 84150822242"/>
    <d v="2024-04-02T00:00:00"/>
    <d v="2024-04-03T00:00:00"/>
    <x v="0"/>
    <n v="1"/>
    <n v="2"/>
    <x v="1"/>
    <n v="42002"/>
    <n v="-2002"/>
  </r>
  <r>
    <d v="2024-04-01T00:00:00"/>
    <x v="3"/>
    <n v="14"/>
    <n v="1957"/>
    <x v="0"/>
    <s v="Sebastian Ordoñez"/>
    <s v="TECUTB7M"/>
    <s v="Superficie Escritorio Blanco (Niebla) 170x70 Moderno"/>
    <n v="1"/>
    <x v="1"/>
    <x v="1"/>
    <x v="1"/>
    <x v="0"/>
    <s v="Envioclick- Coordinadora"/>
    <s v="2300455 – 84150822243"/>
    <d v="2024-04-02T00:00:00"/>
    <d v="2024-04-03T00:00:00"/>
    <x v="0"/>
    <n v="1"/>
    <n v="2"/>
    <x v="1"/>
    <n v="25521"/>
    <n v="9479"/>
  </r>
  <r>
    <d v="2024-04-01T00:00:00"/>
    <x v="3"/>
    <n v="14"/>
    <n v="1957"/>
    <x v="0"/>
    <s v="Sebastian Ordoñez"/>
    <s v="TECURB"/>
    <s v="Repisa TECU  Blanco (Niebla)"/>
    <n v="1"/>
    <x v="2"/>
    <x v="1"/>
    <x v="1"/>
    <x v="0"/>
    <s v="Envioclick- Coordinadora"/>
    <s v="2300437 – 84150822237"/>
    <d v="2024-04-02T00:00:00"/>
    <d v="2024-04-03T00:00:00"/>
    <x v="0"/>
    <n v="1"/>
    <n v="2"/>
    <x v="1"/>
    <n v="22355"/>
    <n v="2645"/>
  </r>
  <r>
    <d v="2024-04-01T00:00:00"/>
    <x v="3"/>
    <n v="14"/>
    <n v="1957"/>
    <x v="0"/>
    <s v="Sebastian Ordoñez"/>
    <s v="TECUDSN"/>
    <s v="TECU Desk Stool Negra Silla ajustable"/>
    <n v="1"/>
    <x v="5"/>
    <x v="1"/>
    <x v="1"/>
    <x v="0"/>
    <s v="Envioclick- Coordinadora"/>
    <s v="2304848 – 84150823623"/>
    <d v="2024-04-03T00:00:00"/>
    <d v="2024-04-04T00:00:00"/>
    <x v="0"/>
    <n v="2"/>
    <n v="3"/>
    <x v="1"/>
    <n v="23835"/>
    <n v="1165"/>
  </r>
  <r>
    <d v="2024-04-01T00:00:00"/>
    <x v="3"/>
    <n v="14"/>
    <n v="1957"/>
    <x v="0"/>
    <s v="Sebastian Ordoñez"/>
    <s v="TECUCT"/>
    <s v="TECU bandeja de cables"/>
    <n v="1"/>
    <x v="4"/>
    <x v="1"/>
    <x v="1"/>
    <x v="0"/>
    <s v="Envioclick- Coordinadora"/>
    <s v="2300404 – 84150822229"/>
    <d v="2024-04-02T00:00:00"/>
    <d v="2024-04-03T00:00:00"/>
    <x v="0"/>
    <n v="1"/>
    <n v="2"/>
    <x v="1"/>
    <n v="16631"/>
    <n v="8369"/>
  </r>
  <r>
    <d v="2024-04-01T00:00:00"/>
    <x v="3"/>
    <n v="14"/>
    <n v="1958"/>
    <x v="0"/>
    <s v="Hernán Perez"/>
    <s v="TECU3FNPRO"/>
    <s v="Electric Standing Desk  PRO Negro"/>
    <n v="1"/>
    <x v="0"/>
    <x v="0"/>
    <x v="3"/>
    <x v="0"/>
    <s v="Envioclick- Coordinadora"/>
    <s v="2299856 – 84150821956"/>
    <d v="2024-04-02T00:00:00"/>
    <d v="2024-04-03T00:00:00"/>
    <x v="0"/>
    <n v="1"/>
    <n v="2"/>
    <x v="1"/>
    <n v="42002"/>
    <n v="-2002"/>
  </r>
  <r>
    <d v="2024-04-01T00:00:00"/>
    <x v="3"/>
    <n v="14"/>
    <n v="1958"/>
    <x v="0"/>
    <s v="Hernán Perez"/>
    <s v="TECUTCO7M"/>
    <s v="Superficie Escritorio Caramelo 170x70 Moderno"/>
    <n v="1"/>
    <x v="1"/>
    <x v="0"/>
    <x v="3"/>
    <x v="0"/>
    <s v="Envioclick- Coordinadora"/>
    <s v="2299857 – 84150821957"/>
    <d v="2024-04-02T00:00:00"/>
    <d v="2024-04-03T00:00:00"/>
    <x v="0"/>
    <n v="1"/>
    <n v="2"/>
    <x v="1"/>
    <n v="25521"/>
    <e v="#N/A"/>
  </r>
  <r>
    <d v="2024-04-01T00:00:00"/>
    <x v="3"/>
    <n v="14"/>
    <n v="1958"/>
    <x v="0"/>
    <s v="Hernán Perez"/>
    <s v="TECURCO"/>
    <s v="Repisa TECU  Caramelo"/>
    <n v="1"/>
    <x v="2"/>
    <x v="0"/>
    <x v="3"/>
    <x v="0"/>
    <s v="Envioclick- Coordinadora"/>
    <s v="2299853 – 84150821954"/>
    <d v="2024-04-02T00:00:00"/>
    <d v="2024-04-03T00:00:00"/>
    <x v="0"/>
    <n v="1"/>
    <n v="2"/>
    <x v="1"/>
    <n v="22355"/>
    <n v="2645"/>
  </r>
  <r>
    <d v="2024-04-02T00:00:00"/>
    <x v="3"/>
    <n v="14"/>
    <n v="1959"/>
    <x v="0"/>
    <s v="Néstor David Pérez Castellanos"/>
    <s v="TECU3FNPRO"/>
    <s v="Electric Standing Desk  PRO Negro"/>
    <n v="1"/>
    <x v="0"/>
    <x v="1"/>
    <x v="1"/>
    <x v="0"/>
    <s v="Envioclick- Coordinadora"/>
    <s v="2303665 – 84150823073"/>
    <d v="2024-04-03T00:00:00"/>
    <d v="2024-04-04T00:00:00"/>
    <x v="0"/>
    <n v="1"/>
    <n v="2"/>
    <x v="1"/>
    <n v="42002"/>
    <n v="-2002"/>
  </r>
  <r>
    <d v="2024-04-02T00:00:00"/>
    <x v="3"/>
    <n v="14"/>
    <n v="1959"/>
    <x v="0"/>
    <s v="Néstor David Pérez Castellanos"/>
    <s v="TECUTCO8C"/>
    <s v="Superficie Escritorio Caramelo 180x70 Clasico"/>
    <n v="1"/>
    <x v="1"/>
    <x v="1"/>
    <x v="1"/>
    <x v="0"/>
    <s v="Envioclick- Coordinadora"/>
    <s v="2303666 – 84150823074"/>
    <d v="2024-04-03T00:00:00"/>
    <d v="2024-04-04T00:00:00"/>
    <x v="0"/>
    <n v="1"/>
    <n v="2"/>
    <x v="1"/>
    <n v="25521"/>
    <e v="#N/A"/>
  </r>
  <r>
    <d v="2024-04-02T00:00:00"/>
    <x v="3"/>
    <n v="14"/>
    <n v="1959"/>
    <x v="0"/>
    <s v="Néstor David Pérez Castellanos"/>
    <s v="TECURCO"/>
    <s v="Repisa TECU  Caramelo"/>
    <n v="1"/>
    <x v="2"/>
    <x v="1"/>
    <x v="1"/>
    <x v="0"/>
    <s v="Envioclick- Coordinadora"/>
    <s v="2303661 – 84150823070"/>
    <d v="2024-04-03T00:00:00"/>
    <d v="2024-04-04T00:00:00"/>
    <x v="0"/>
    <n v="1"/>
    <n v="2"/>
    <x v="1"/>
    <n v="22355"/>
    <n v="2645"/>
  </r>
  <r>
    <d v="2024-04-03T00:00:00"/>
    <x v="3"/>
    <n v="14"/>
    <n v="1960"/>
    <x v="0"/>
    <s v="Melissa Ballesteros Puerta"/>
    <s v="TECU2FNG"/>
    <s v="Electric Standing Desk GO Negro"/>
    <n v="1"/>
    <x v="0"/>
    <x v="0"/>
    <x v="24"/>
    <x v="0"/>
    <s v="Envioclick- Coordinadora"/>
    <s v="2303922 – 84150823198"/>
    <d v="2024-04-03T00:00:00"/>
    <d v="2024-04-04T00:00:00"/>
    <x v="0"/>
    <n v="0"/>
    <n v="1"/>
    <x v="1"/>
    <n v="40734"/>
    <n v="-734"/>
  </r>
  <r>
    <d v="2024-04-03T00:00:00"/>
    <x v="3"/>
    <n v="14"/>
    <n v="1960"/>
    <x v="0"/>
    <s v="Melissa Ballesteros Puerta"/>
    <s v="TECUTCC4C"/>
    <s v="Superficie Escritorio Miel 140x70 Clasico"/>
    <n v="1"/>
    <x v="1"/>
    <x v="0"/>
    <x v="24"/>
    <x v="0"/>
    <s v="Envioclick- Coordinadora"/>
    <s v="2303923 – 84150823199"/>
    <d v="2024-04-03T00:00:00"/>
    <d v="2024-04-04T00:00:00"/>
    <x v="0"/>
    <n v="0"/>
    <n v="1"/>
    <x v="1"/>
    <n v="22988"/>
    <n v="12012"/>
  </r>
  <r>
    <d v="2024-04-03T00:00:00"/>
    <x v="3"/>
    <n v="14"/>
    <n v="1961"/>
    <x v="0"/>
    <s v="silvana camacho"/>
    <s v="TECU2FBGO"/>
    <s v="Electric Standing Desk GO Blanco"/>
    <n v="1"/>
    <x v="0"/>
    <x v="1"/>
    <x v="1"/>
    <x v="0"/>
    <s v="Envioclick- Coordinadora"/>
    <s v="2304704 – 84150823539"/>
    <d v="2024-04-03T00:00:00"/>
    <d v="2024-04-17T00:00:00"/>
    <x v="0"/>
    <n v="0"/>
    <n v="12"/>
    <x v="0"/>
    <n v="40734"/>
    <n v="-734"/>
  </r>
  <r>
    <d v="2024-04-03T00:00:00"/>
    <x v="3"/>
    <n v="14"/>
    <n v="1961"/>
    <x v="0"/>
    <s v="silvana camacho"/>
    <s v="TECUTCC2C"/>
    <s v="Superficie Escritorio Miel 120x70 Clasico Small"/>
    <n v="1"/>
    <x v="1"/>
    <x v="1"/>
    <x v="1"/>
    <x v="0"/>
    <s v="Envioclick- Coordinadora"/>
    <s v="2304705 – 84150823540"/>
    <d v="2024-04-03T00:00:00"/>
    <d v="2024-04-09T00:00:00"/>
    <x v="0"/>
    <n v="0"/>
    <n v="5"/>
    <x v="0"/>
    <n v="22988"/>
    <n v="12012"/>
  </r>
  <r>
    <d v="2024-04-19T00:00:00"/>
    <x v="3"/>
    <n v="16"/>
    <n v="1961"/>
    <x v="0"/>
    <s v="silvana camacho"/>
    <s v="TECUCT"/>
    <s v="TECU bandeja de cables"/>
    <n v="1"/>
    <x v="4"/>
    <x v="1"/>
    <x v="1"/>
    <x v="0"/>
    <s v="Envioclick- Coordinadora"/>
    <s v="2338483 - 84150837194"/>
    <d v="2024-04-19T00:00:00"/>
    <d v="2024-04-22T00:00:00"/>
    <x v="0"/>
    <n v="0"/>
    <n v="2"/>
    <x v="1"/>
    <n v="16631"/>
    <n v="8369"/>
  </r>
  <r>
    <d v="2024-04-03T00:00:00"/>
    <x v="3"/>
    <n v="14"/>
    <n v="1962"/>
    <x v="0"/>
    <s v="Daniel De La Pava Suarez"/>
    <s v="TECU3FNPRO"/>
    <s v="Electric Standing Desk  PRO Negro"/>
    <n v="1"/>
    <x v="0"/>
    <x v="4"/>
    <x v="5"/>
    <x v="0"/>
    <s v="Envioclick- Coordinadora"/>
    <s v="2306161 – 84150824140"/>
    <d v="2024-04-04T00:00:00"/>
    <d v="2024-04-05T00:00:00"/>
    <x v="0"/>
    <n v="1"/>
    <n v="2"/>
    <x v="1"/>
    <n v="42002"/>
    <n v="-2002"/>
  </r>
  <r>
    <d v="2024-04-03T00:00:00"/>
    <x v="3"/>
    <n v="14"/>
    <n v="1962"/>
    <x v="0"/>
    <s v="Daniel De La Pava Suarez"/>
    <s v="TECUTRN5C"/>
    <s v="Superficie Escritorio Roble negro 150x70 Clasico"/>
    <n v="1"/>
    <x v="1"/>
    <x v="4"/>
    <x v="5"/>
    <x v="0"/>
    <s v="Envioclick- Coordinadora"/>
    <s v="2306162 – 84150824141"/>
    <d v="2024-04-04T00:00:00"/>
    <d v="2024-04-05T00:00:00"/>
    <x v="0"/>
    <n v="1"/>
    <n v="2"/>
    <x v="1"/>
    <n v="22988"/>
    <n v="12012"/>
  </r>
  <r>
    <d v="2024-04-03T00:00:00"/>
    <x v="3"/>
    <n v="14"/>
    <n v="1962"/>
    <x v="0"/>
    <s v="Daniel De La Pava Suarez"/>
    <s v="TECURN"/>
    <s v="Repisa TECU  Negro (Wengue)"/>
    <n v="1"/>
    <x v="2"/>
    <x v="4"/>
    <x v="5"/>
    <x v="0"/>
    <s v="Envioclick- Coordinadora"/>
    <s v="2306158 – 84150824137"/>
    <d v="2024-04-04T00:00:00"/>
    <d v="2024-04-05T00:00:00"/>
    <x v="0"/>
    <n v="1"/>
    <n v="2"/>
    <x v="1"/>
    <n v="22355"/>
    <n v="2645"/>
  </r>
  <r>
    <d v="2024-04-03T00:00:00"/>
    <x v="3"/>
    <n v="14"/>
    <n v="1963"/>
    <x v="0"/>
    <s v="Melisa Arias Diaz"/>
    <s v="TECU3FNPRO"/>
    <s v="Electric Standing Desk  PRO Negro"/>
    <n v="1"/>
    <x v="0"/>
    <x v="1"/>
    <x v="1"/>
    <x v="0"/>
    <s v="Envioclick- Coordinadora"/>
    <s v="2306207 – 84150824157"/>
    <d v="2024-04-04T00:00:00"/>
    <d v="2024-04-05T00:00:00"/>
    <x v="0"/>
    <n v="1"/>
    <n v="2"/>
    <x v="1"/>
    <n v="42002"/>
    <n v="-2002"/>
  </r>
  <r>
    <d v="2024-04-03T00:00:00"/>
    <x v="3"/>
    <n v="14"/>
    <n v="1963"/>
    <x v="0"/>
    <s v="Melisa Arias Diaz"/>
    <s v="TECUTCO20C"/>
    <s v="Superficie Escritorio Caramelo 200x70 Clasico"/>
    <n v="1"/>
    <x v="1"/>
    <x v="1"/>
    <x v="1"/>
    <x v="0"/>
    <s v="Envioclick- Coordinadora"/>
    <s v="2306208 – 84150824158"/>
    <d v="2024-04-04T00:00:00"/>
    <d v="2024-04-05T00:00:00"/>
    <x v="0"/>
    <n v="1"/>
    <n v="2"/>
    <x v="1"/>
    <n v="25521"/>
    <n v="9479"/>
  </r>
  <r>
    <d v="2024-04-03T00:00:00"/>
    <x v="3"/>
    <n v="14"/>
    <n v="1963"/>
    <x v="0"/>
    <s v="Melisa Arias Diaz"/>
    <s v="TECURCO"/>
    <s v="Repisa TECU  Caramelo"/>
    <n v="1"/>
    <x v="2"/>
    <x v="1"/>
    <x v="1"/>
    <x v="0"/>
    <s v="Envioclick- Coordinadora"/>
    <s v="2306163 – 84150824143"/>
    <d v="2024-04-04T00:00:00"/>
    <d v="2024-04-05T00:00:00"/>
    <x v="0"/>
    <n v="1"/>
    <n v="2"/>
    <x v="1"/>
    <n v="22355"/>
    <n v="2645"/>
  </r>
  <r>
    <d v="2024-04-04T00:00:00"/>
    <x v="3"/>
    <n v="14"/>
    <n v="1964"/>
    <x v="0"/>
    <s v="Damián Cárdenas Loboguerrero"/>
    <s v="TECU2FGGO"/>
    <s v="Electric Standing Desk GO Gris"/>
    <n v="1"/>
    <x v="0"/>
    <x v="1"/>
    <x v="1"/>
    <x v="0"/>
    <s v="Envioclick- Coordinadora"/>
    <s v="2307342 – 84150824458"/>
    <d v="2024-04-04T00:00:00"/>
    <d v="2024-04-05T00:00:00"/>
    <x v="0"/>
    <n v="0"/>
    <n v="1"/>
    <x v="1"/>
    <n v="40734"/>
    <n v="-734"/>
  </r>
  <r>
    <d v="2024-04-04T00:00:00"/>
    <x v="3"/>
    <n v="14"/>
    <n v="1964"/>
    <x v="0"/>
    <s v="Damián Cárdenas Loboguerrero"/>
    <s v="TECUTCO4C"/>
    <s v="Superficie Escritorio Caramelo 140x70 Clasico"/>
    <n v="1"/>
    <x v="1"/>
    <x v="1"/>
    <x v="1"/>
    <x v="0"/>
    <s v="Envioclick- Coordinadora"/>
    <s v="2307343 – 84150824459"/>
    <d v="2024-04-04T00:00:00"/>
    <d v="2024-04-05T00:00:00"/>
    <x v="0"/>
    <n v="0"/>
    <n v="1"/>
    <x v="1"/>
    <n v="22988"/>
    <n v="12012"/>
  </r>
  <r>
    <d v="2024-04-04T00:00:00"/>
    <x v="3"/>
    <n v="14"/>
    <n v="1965"/>
    <x v="0"/>
    <s v="Gabriel Contreras"/>
    <s v="TECU3FNPRO"/>
    <s v="Electric Standing Desk  PRO Negro"/>
    <n v="1"/>
    <x v="0"/>
    <x v="1"/>
    <x v="1"/>
    <x v="0"/>
    <s v="Envioclick- Coordinadora"/>
    <s v="2308710 – 84150825086"/>
    <d v="2024-04-05T00:00:00"/>
    <d v="2024-04-06T00:00:00"/>
    <x v="0"/>
    <n v="1"/>
    <n v="2"/>
    <x v="1"/>
    <n v="42002"/>
    <n v="-2002"/>
  </r>
  <r>
    <d v="2024-04-04T00:00:00"/>
    <x v="3"/>
    <n v="14"/>
    <n v="1965"/>
    <x v="0"/>
    <s v="Gabriel Contreras"/>
    <s v="TECUTCO2C"/>
    <s v="Superficie Escritorio Caramelo 120x70 Clasico Small"/>
    <n v="1"/>
    <x v="1"/>
    <x v="1"/>
    <x v="1"/>
    <x v="0"/>
    <s v="Envioclick- Coordinadora"/>
    <s v="2308712 – 84150825087"/>
    <d v="2024-04-05T00:00:00"/>
    <d v="2024-04-06T00:00:00"/>
    <x v="0"/>
    <n v="1"/>
    <n v="2"/>
    <x v="1"/>
    <n v="27422"/>
    <n v="7578"/>
  </r>
  <r>
    <d v="2024-04-04T00:00:00"/>
    <x v="3"/>
    <n v="14"/>
    <n v="1965"/>
    <x v="0"/>
    <s v="Gabriel Contreras"/>
    <s v="TECURCO"/>
    <s v="Repisa TECU  Caramelo"/>
    <n v="1"/>
    <x v="2"/>
    <x v="1"/>
    <x v="1"/>
    <x v="0"/>
    <s v="Envioclick- Coordinadora"/>
    <s v="2308715 – 84150825088"/>
    <d v="2024-04-05T00:00:00"/>
    <d v="2024-04-06T00:00:00"/>
    <x v="0"/>
    <n v="1"/>
    <n v="2"/>
    <x v="1"/>
    <n v="22355"/>
    <n v="2645"/>
  </r>
  <r>
    <d v="2024-04-04T00:00:00"/>
    <x v="3"/>
    <n v="14"/>
    <n v="1965"/>
    <x v="0"/>
    <s v="Gabriel Contreras"/>
    <s v="TECU3FNPRO"/>
    <s v="Electric Standing Desk  PRO Negro"/>
    <n v="1"/>
    <x v="0"/>
    <x v="1"/>
    <x v="1"/>
    <x v="0"/>
    <s v="Envioclick- Coordinadora"/>
    <s v="2308716 – 84150825090"/>
    <d v="2024-04-05T00:00:00"/>
    <d v="2024-04-06T00:00:00"/>
    <x v="0"/>
    <n v="1"/>
    <n v="2"/>
    <x v="1"/>
    <n v="42002"/>
    <n v="-2002"/>
  </r>
  <r>
    <d v="2024-04-04T00:00:00"/>
    <x v="3"/>
    <n v="14"/>
    <n v="1965"/>
    <x v="0"/>
    <s v="Gabriel Contreras"/>
    <s v="TECUTCO2C"/>
    <s v="Superficie Escritorio Caramelo 120x70 Clasico Small"/>
    <n v="1"/>
    <x v="1"/>
    <x v="1"/>
    <x v="1"/>
    <x v="0"/>
    <s v="Envioclick- Coordinadora"/>
    <s v="2308717 – 84150825091"/>
    <d v="2024-04-05T00:00:00"/>
    <d v="2024-04-06T00:00:00"/>
    <x v="0"/>
    <n v="1"/>
    <n v="2"/>
    <x v="1"/>
    <n v="27422"/>
    <n v="7578"/>
  </r>
  <r>
    <d v="2024-04-04T00:00:00"/>
    <x v="3"/>
    <n v="14"/>
    <n v="1965"/>
    <x v="0"/>
    <s v="Gabriel Contreras"/>
    <s v="TECURCO"/>
    <s v="Repisa TECU  Caramelo"/>
    <n v="1"/>
    <x v="2"/>
    <x v="1"/>
    <x v="1"/>
    <x v="0"/>
    <s v="Envioclick- Coordinadora"/>
    <s v="2308705 – 84150825084"/>
    <d v="2024-04-05T00:00:00"/>
    <d v="2024-04-06T00:00:00"/>
    <x v="0"/>
    <n v="1"/>
    <n v="2"/>
    <x v="1"/>
    <n v="22355"/>
    <n v="2645"/>
  </r>
  <r>
    <d v="2024-04-04T00:00:00"/>
    <x v="3"/>
    <n v="14"/>
    <n v="1966"/>
    <x v="0"/>
    <s v="Jacqueline Piccigallo"/>
    <s v="TECU3FNPRO"/>
    <s v="Electric Standing Desk  PRO Negro"/>
    <n v="1"/>
    <x v="0"/>
    <x v="1"/>
    <x v="1"/>
    <x v="0"/>
    <s v="Envioclick- Coordinadora"/>
    <s v="2318398 – 84150829262"/>
    <d v="2024-04-10T00:00:00"/>
    <d v="2024-04-11T00:00:00"/>
    <x v="0"/>
    <n v="5"/>
    <n v="6"/>
    <x v="0"/>
    <n v="42002"/>
    <n v="-2002"/>
  </r>
  <r>
    <d v="2024-04-04T00:00:00"/>
    <x v="3"/>
    <n v="14"/>
    <n v="1966"/>
    <x v="0"/>
    <s v="Jacqueline Piccigallo"/>
    <s v="TECUTCO2C"/>
    <s v="Superficie Escritorio Caramelo 120x70 Clasico Small"/>
    <n v="1"/>
    <x v="1"/>
    <x v="1"/>
    <x v="1"/>
    <x v="0"/>
    <s v="Envioclick- Coordinadora"/>
    <s v="2318378 – 84150829256"/>
    <d v="2024-04-10T00:00:00"/>
    <d v="2024-04-11T00:00:00"/>
    <x v="0"/>
    <n v="5"/>
    <n v="6"/>
    <x v="0"/>
    <n v="22988"/>
    <n v="12012"/>
  </r>
  <r>
    <d v="2024-04-04T00:00:00"/>
    <x v="3"/>
    <n v="14"/>
    <n v="1966"/>
    <x v="0"/>
    <s v="Jacqueline Piccigallo"/>
    <s v="TECURCO"/>
    <s v="Repisa TECU  Caramelo"/>
    <n v="1"/>
    <x v="2"/>
    <x v="1"/>
    <x v="1"/>
    <x v="0"/>
    <s v="Envioclick- Coordinadora"/>
    <s v="2318403 – 84150829265"/>
    <d v="2024-04-10T00:00:00"/>
    <d v="2024-04-11T00:00:00"/>
    <x v="0"/>
    <n v="5"/>
    <n v="6"/>
    <x v="0"/>
    <n v="22355"/>
    <n v="2645"/>
  </r>
  <r>
    <d v="2024-04-05T00:00:00"/>
    <x v="3"/>
    <n v="14"/>
    <n v="1967"/>
    <x v="0"/>
    <s v="Johan Sebastian Meneses"/>
    <s v="TECU2FNG"/>
    <s v="Electric Standing Desk GO Negro"/>
    <n v="1"/>
    <x v="0"/>
    <x v="11"/>
    <x v="25"/>
    <x v="0"/>
    <s v="Envioclick- Coordinadora"/>
    <s v="2316254 – 84150828391"/>
    <d v="2024-04-09T00:00:00"/>
    <d v="2024-04-12T00:00:00"/>
    <x v="0"/>
    <n v="3"/>
    <n v="6"/>
    <x v="3"/>
    <n v="99555"/>
    <n v="-59555"/>
  </r>
  <r>
    <d v="2024-04-05T00:00:00"/>
    <x v="3"/>
    <n v="14"/>
    <n v="1967"/>
    <x v="0"/>
    <s v="Johan Sebastian Meneses"/>
    <s v="TECUTCC4C"/>
    <s v="Superficie Escritorio Miel 140x70 Clasico"/>
    <n v="1"/>
    <x v="1"/>
    <x v="11"/>
    <x v="25"/>
    <x v="0"/>
    <s v="Envioclick- Coordinadora"/>
    <s v="2316255 – 84150828392"/>
    <d v="2024-04-09T00:00:00"/>
    <d v="2024-04-12T00:00:00"/>
    <x v="0"/>
    <n v="3"/>
    <n v="6"/>
    <x v="3"/>
    <n v="75975"/>
    <n v="-40975"/>
  </r>
  <r>
    <d v="2024-04-05T00:00:00"/>
    <x v="3"/>
    <n v="14"/>
    <n v="1968"/>
    <x v="0"/>
    <s v="Jorge Medrano"/>
    <s v="TECU2FNG"/>
    <s v="Electric Standing Desk GO Negro"/>
    <n v="1"/>
    <x v="0"/>
    <x v="1"/>
    <x v="1"/>
    <x v="0"/>
    <s v="Envioclick- Coordinadora"/>
    <s v="2315669 – 84150828110"/>
    <d v="2024-04-09T00:00:00"/>
    <d v="2024-04-10T00:00:00"/>
    <x v="0"/>
    <n v="3"/>
    <n v="4"/>
    <x v="0"/>
    <n v="40734"/>
    <n v="-734"/>
  </r>
  <r>
    <d v="2024-04-05T00:00:00"/>
    <x v="3"/>
    <n v="14"/>
    <n v="1968"/>
    <x v="0"/>
    <s v="Jorge Medrano"/>
    <s v="TECUTCO4C"/>
    <s v="Superficie Escritorio Caramelo 140x70 Clasico"/>
    <n v="1"/>
    <x v="1"/>
    <x v="1"/>
    <x v="1"/>
    <x v="0"/>
    <s v="Envioclick- Coordinadora"/>
    <s v="2315670 – 84150828111"/>
    <d v="2024-04-09T00:00:00"/>
    <d v="2024-04-10T00:00:00"/>
    <x v="0"/>
    <n v="3"/>
    <n v="4"/>
    <x v="0"/>
    <n v="22988"/>
    <n v="12012"/>
  </r>
  <r>
    <d v="2024-04-05T00:00:00"/>
    <x v="3"/>
    <n v="14"/>
    <n v="1969"/>
    <x v="0"/>
    <s v="Ronald Ramirez"/>
    <s v="TECU2FNG"/>
    <s v="Electric Standing Desk GO Negro"/>
    <n v="1"/>
    <x v="0"/>
    <x v="1"/>
    <x v="1"/>
    <x v="0"/>
    <s v="Envioclick- Coordinadora"/>
    <s v="2312379 – 84150826569"/>
    <d v="2024-04-08T00:00:00"/>
    <d v="2024-04-09T00:00:00"/>
    <x v="0"/>
    <n v="2"/>
    <n v="3"/>
    <x v="1"/>
    <n v="40734"/>
    <n v="-734"/>
  </r>
  <r>
    <d v="2024-04-05T00:00:00"/>
    <x v="3"/>
    <n v="14"/>
    <n v="1969"/>
    <x v="0"/>
    <s v="Ronald Ramirez"/>
    <s v="TECUTRN2C"/>
    <s v="Superficie Escritorio Roble Negro 120x70 Clasico Small"/>
    <n v="1"/>
    <x v="1"/>
    <x v="1"/>
    <x v="1"/>
    <x v="0"/>
    <s v="Envioclick- Coordinadora"/>
    <s v="2312380 – 84150826570"/>
    <d v="2024-04-08T00:00:00"/>
    <d v="2024-04-09T00:00:00"/>
    <x v="0"/>
    <n v="2"/>
    <n v="3"/>
    <x v="1"/>
    <n v="22988"/>
    <n v="12012"/>
  </r>
  <r>
    <d v="2024-04-08T00:00:00"/>
    <x v="3"/>
    <n v="15"/>
    <n v="1970"/>
    <x v="0"/>
    <s v="carlos morales"/>
    <s v="TECU3FNPRO"/>
    <s v="Electric Standing Desk  PRO Negro"/>
    <n v="1"/>
    <x v="0"/>
    <x v="1"/>
    <x v="1"/>
    <x v="0"/>
    <s v="Envioclick- Coordinadora"/>
    <s v="2315690 – 84150828120"/>
    <d v="2024-04-09T00:00:00"/>
    <d v="2024-04-10T00:00:00"/>
    <x v="0"/>
    <n v="1"/>
    <n v="2"/>
    <x v="1"/>
    <n v="42002"/>
    <n v="-2002"/>
  </r>
  <r>
    <d v="2024-04-08T00:00:00"/>
    <x v="3"/>
    <n v="15"/>
    <n v="1970"/>
    <x v="0"/>
    <s v="carlos morales"/>
    <s v="TECUTCO3C"/>
    <s v="Superficie Escritorio Caramelo 130x70 Clasico"/>
    <n v="1"/>
    <x v="1"/>
    <x v="1"/>
    <x v="1"/>
    <x v="0"/>
    <s v="Envioclick- Coordinadora"/>
    <s v="2315691 – 84150828121"/>
    <d v="2024-04-09T00:00:00"/>
    <d v="2024-04-10T00:00:00"/>
    <x v="0"/>
    <n v="1"/>
    <n v="2"/>
    <x v="1"/>
    <n v="27422"/>
    <n v="7578"/>
  </r>
  <r>
    <d v="2024-04-08T00:00:00"/>
    <x v="3"/>
    <n v="15"/>
    <n v="1970"/>
    <x v="0"/>
    <s v="carlos morales"/>
    <s v="TECURCO"/>
    <s v="Repisa TECU  Caramelo"/>
    <n v="1"/>
    <x v="2"/>
    <x v="1"/>
    <x v="1"/>
    <x v="0"/>
    <s v="Envioclick- Coordinadora"/>
    <s v="2315686 – 84150828118"/>
    <d v="2024-04-09T00:00:00"/>
    <d v="2024-04-10T00:00:00"/>
    <x v="0"/>
    <n v="1"/>
    <n v="2"/>
    <x v="1"/>
    <n v="22355"/>
    <n v="2645"/>
  </r>
  <r>
    <d v="2024-04-08T00:00:00"/>
    <x v="3"/>
    <n v="15"/>
    <n v="1971"/>
    <x v="0"/>
    <s v="Carolina Guevara"/>
    <s v="TECU2FNG"/>
    <s v="Electric Standing Desk GO Negro"/>
    <n v="1"/>
    <x v="0"/>
    <x v="1"/>
    <x v="1"/>
    <x v="0"/>
    <s v="Envioclick- Coordinadora"/>
    <s v="2317529 – 84150828922"/>
    <d v="2024-04-10T00:00:00"/>
    <d v="2024-04-11T00:00:00"/>
    <x v="0"/>
    <n v="2"/>
    <n v="3"/>
    <x v="1"/>
    <n v="40734"/>
    <n v="-734"/>
  </r>
  <r>
    <d v="2024-04-08T00:00:00"/>
    <x v="3"/>
    <n v="15"/>
    <n v="1971"/>
    <x v="0"/>
    <s v="Carolina Guevara"/>
    <s v="TECUTCC4C"/>
    <s v="Superficie Escritorio Miel 140x70 Clasico"/>
    <n v="1"/>
    <x v="1"/>
    <x v="1"/>
    <x v="1"/>
    <x v="0"/>
    <s v="Envioclick- Coordinadora"/>
    <s v="2317520 – 84150828914"/>
    <d v="2024-04-10T00:00:00"/>
    <d v="2024-04-11T00:00:00"/>
    <x v="0"/>
    <n v="2"/>
    <n v="3"/>
    <x v="1"/>
    <n v="22988"/>
    <n v="12012"/>
  </r>
  <r>
    <d v="2024-04-08T00:00:00"/>
    <x v="3"/>
    <n v="15"/>
    <n v="1972"/>
    <x v="0"/>
    <s v="Jorge Paternina Montiel"/>
    <s v="TECUACC"/>
    <s v="Archivador TECU  Miel"/>
    <n v="1"/>
    <x v="3"/>
    <x v="2"/>
    <x v="2"/>
    <x v="0"/>
    <s v="Envioclick- Envia"/>
    <s v="2315795 – 954100942937"/>
    <d v="2024-04-09T00:00:00"/>
    <d v="2024-04-11T00:00:00"/>
    <x v="0"/>
    <n v="1"/>
    <n v="3"/>
    <x v="1"/>
    <n v="89267"/>
    <n v="-39267"/>
  </r>
  <r>
    <d v="2024-04-08T00:00:00"/>
    <x v="3"/>
    <n v="15"/>
    <n v="1973"/>
    <x v="0"/>
    <s v="Carlos Saballeth"/>
    <s v="TECU3FNPRO"/>
    <s v="Electric Standing Desk  PRO Negro"/>
    <n v="1"/>
    <x v="0"/>
    <x v="7"/>
    <x v="18"/>
    <x v="0"/>
    <s v="Envioclick- Coordinadora"/>
    <s v="2315755 – 84150828154"/>
    <d v="2024-04-09T00:00:00"/>
    <d v="2024-04-10T00:00:00"/>
    <x v="0"/>
    <n v="1"/>
    <n v="2"/>
    <x v="1"/>
    <n v="54627"/>
    <n v="-14627"/>
  </r>
  <r>
    <d v="2024-04-08T00:00:00"/>
    <x v="3"/>
    <n v="15"/>
    <n v="1974"/>
    <x v="0"/>
    <s v="Angela Hernandez"/>
    <s v="TECU3FNPRO"/>
    <s v="Electric Standing Desk  PRO Negro"/>
    <n v="1"/>
    <x v="0"/>
    <x v="4"/>
    <x v="5"/>
    <x v="0"/>
    <s v="Envioclick- Coordinadora"/>
    <s v="2317642 – 84150828940"/>
    <d v="2024-04-10T00:00:00"/>
    <d v="2024-04-11T00:00:00"/>
    <x v="0"/>
    <n v="2"/>
    <n v="3"/>
    <x v="1"/>
    <n v="42002"/>
    <n v="-2002"/>
  </r>
  <r>
    <d v="2024-04-08T00:00:00"/>
    <x v="3"/>
    <n v="15"/>
    <n v="1974"/>
    <x v="0"/>
    <s v="Angela Hernandez"/>
    <s v="TECUTCC5C"/>
    <s v="Superficie Escritorio Miel 150x70 Clasico"/>
    <n v="1"/>
    <x v="1"/>
    <x v="4"/>
    <x v="5"/>
    <x v="0"/>
    <s v="Envioclick- Coordinadora"/>
    <s v="2317582 – 84150828933"/>
    <d v="2024-04-10T00:00:00"/>
    <d v="2024-04-11T00:00:00"/>
    <x v="0"/>
    <n v="2"/>
    <n v="3"/>
    <x v="1"/>
    <n v="22988"/>
    <n v="12012"/>
  </r>
  <r>
    <d v="2024-04-08T00:00:00"/>
    <x v="3"/>
    <n v="15"/>
    <n v="1974"/>
    <x v="0"/>
    <s v="Angela Hernandez"/>
    <s v="TECURCC"/>
    <s v="Repisa TECU  Miel"/>
    <n v="1"/>
    <x v="2"/>
    <x v="4"/>
    <x v="5"/>
    <x v="0"/>
    <s v="Envioclick- Coordinadora"/>
    <s v="2317766 – 84150828992"/>
    <d v="2024-04-10T00:00:00"/>
    <d v="2024-04-11T00:00:00"/>
    <x v="0"/>
    <n v="2"/>
    <n v="3"/>
    <x v="1"/>
    <n v="22355"/>
    <n v="2645"/>
  </r>
  <r>
    <d v="2024-04-08T00:00:00"/>
    <x v="3"/>
    <n v="15"/>
    <n v="1974"/>
    <x v="0"/>
    <s v="Angela Hernandez"/>
    <s v="TECUACC"/>
    <s v="Archivador TECU  Miel"/>
    <n v="1"/>
    <x v="3"/>
    <x v="4"/>
    <x v="5"/>
    <x v="0"/>
    <s v="Envioclick- Envia"/>
    <s v="2332844 – 954100948110"/>
    <d v="2024-04-17T00:00:00"/>
    <d v="2024-04-19T00:00:00"/>
    <x v="0"/>
    <n v="8"/>
    <n v="10"/>
    <x v="0"/>
    <n v="65442"/>
    <n v="-15442"/>
  </r>
  <r>
    <d v="2024-04-08T00:00:00"/>
    <x v="3"/>
    <n v="15"/>
    <n v="1975"/>
    <x v="0"/>
    <s v="SANTIAGO MONTOYA SUAREZ"/>
    <s v="TECU2FNG"/>
    <s v="Electric Standing Desk GO Negro"/>
    <n v="1"/>
    <x v="0"/>
    <x v="10"/>
    <x v="26"/>
    <x v="0"/>
    <s v="Envioclick- Coordinadora"/>
    <s v="2315779 – 84150828174"/>
    <d v="2024-04-09T00:00:00"/>
    <d v="2024-04-10T00:00:00"/>
    <x v="0"/>
    <n v="1"/>
    <n v="2"/>
    <x v="1"/>
    <n v="33736"/>
    <n v="6264"/>
  </r>
  <r>
    <d v="2024-04-08T00:00:00"/>
    <x v="3"/>
    <n v="15"/>
    <n v="1975"/>
    <x v="0"/>
    <s v="SANTIAGO MONTOYA SUAREZ"/>
    <s v="TECUTCO4C"/>
    <s v="Superficie Escritorio Caramelo 140x70 Clasico"/>
    <n v="1"/>
    <x v="1"/>
    <x v="10"/>
    <x v="26"/>
    <x v="0"/>
    <s v="Envioclick- Coordinadora"/>
    <s v="2315780 – 84150828175"/>
    <d v="2024-04-09T00:00:00"/>
    <d v="2024-04-10T00:00:00"/>
    <x v="0"/>
    <n v="1"/>
    <n v="2"/>
    <x v="1"/>
    <n v="14589"/>
    <n v="20411"/>
  </r>
  <r>
    <d v="2024-04-09T00:00:00"/>
    <x v="3"/>
    <n v="15"/>
    <n v="1976"/>
    <x v="0"/>
    <s v="3D CONSULTING GROUP S.A.S"/>
    <s v="TECULFN2"/>
    <s v="Electric Standing Desk | Escritorio Ajustable En L Frame Negro 2.0"/>
    <n v="1"/>
    <x v="0"/>
    <x v="1"/>
    <x v="1"/>
    <x v="0"/>
    <s v="Envioclick- Coordinadora"/>
    <s v="2320189 – 84150829917"/>
    <d v="2024-04-11T00:00:00"/>
    <d v="2024-04-12T00:00:00"/>
    <x v="0"/>
    <n v="2"/>
    <n v="3"/>
    <x v="1"/>
    <n v="60937"/>
    <n v="-20937"/>
  </r>
  <r>
    <d v="2024-04-10T00:00:00"/>
    <x v="3"/>
    <n v="15"/>
    <n v="1977"/>
    <x v="0"/>
    <s v="Felipe Guerrero"/>
    <s v="TECU3FNPRO"/>
    <s v="Electric Standing Desk  PRO Negro"/>
    <n v="1"/>
    <x v="0"/>
    <x v="1"/>
    <x v="1"/>
    <x v="0"/>
    <s v="Envioclick- Coordinadora"/>
    <s v="2325972 – 84150832229"/>
    <d v="2024-04-15T00:00:00"/>
    <d v="2024-04-16T00:00:00"/>
    <x v="0"/>
    <n v="4"/>
    <n v="5"/>
    <x v="0"/>
    <n v="42002"/>
    <n v="-2002"/>
  </r>
  <r>
    <d v="2024-04-10T00:00:00"/>
    <x v="3"/>
    <n v="15"/>
    <n v="1977"/>
    <x v="0"/>
    <s v="Felipe Guerrero"/>
    <s v="TECUTB6C"/>
    <s v="Superficie Escritorio Blanco (Niebla) 160x70 Clasico"/>
    <n v="1"/>
    <x v="1"/>
    <x v="1"/>
    <x v="1"/>
    <x v="0"/>
    <s v="Envioclick- Coordinadora"/>
    <s v="2325974 – 84150832230"/>
    <d v="2024-04-15T00:00:00"/>
    <d v="2024-04-16T00:00:00"/>
    <x v="0"/>
    <n v="4"/>
    <n v="5"/>
    <x v="0"/>
    <n v="22988"/>
    <n v="12012"/>
  </r>
  <r>
    <d v="2024-04-10T00:00:00"/>
    <x v="3"/>
    <n v="15"/>
    <n v="1977"/>
    <x v="0"/>
    <s v="Felipe Guerrero"/>
    <s v="TECURB"/>
    <s v="Repisa TECU  Blanco (Niebla)"/>
    <n v="1"/>
    <x v="2"/>
    <x v="1"/>
    <x v="1"/>
    <x v="0"/>
    <s v="Envioclick- Coordinadora"/>
    <s v="2325968 – 84150832223"/>
    <d v="2024-04-15T00:00:00"/>
    <d v="2024-04-16T00:00:00"/>
    <x v="0"/>
    <n v="4"/>
    <n v="5"/>
    <x v="0"/>
    <n v="22355"/>
    <n v="2645"/>
  </r>
  <r>
    <d v="2024-04-11T00:00:00"/>
    <x v="3"/>
    <n v="15"/>
    <n v="1978"/>
    <x v="0"/>
    <s v="Juan Restrepo"/>
    <s v="TECU3FNPRO"/>
    <s v="Electric Standing Desk  PRO Negro"/>
    <n v="1"/>
    <x v="0"/>
    <x v="0"/>
    <x v="0"/>
    <x v="0"/>
    <s v="Envioclick- Coordinadora"/>
    <s v="2326298 – 84150832373"/>
    <d v="2024-04-15T00:00:00"/>
    <d v="2024-04-16T00:00:00"/>
    <x v="0"/>
    <n v="3"/>
    <n v="4"/>
    <x v="0"/>
    <n v="42002"/>
    <n v="-2002"/>
  </r>
  <r>
    <d v="2024-04-11T00:00:00"/>
    <x v="3"/>
    <n v="15"/>
    <n v="1978"/>
    <x v="0"/>
    <s v="Juan Restrepo"/>
    <s v="TECUTCC6C"/>
    <s v="Superficie Escritorio Miel 160x70 Clasico"/>
    <n v="1"/>
    <x v="1"/>
    <x v="0"/>
    <x v="0"/>
    <x v="0"/>
    <s v="Envioclick- Coordinadora"/>
    <s v="2326299 – 84150832374"/>
    <d v="2024-04-15T00:00:00"/>
    <d v="2024-04-16T00:00:00"/>
    <x v="0"/>
    <n v="3"/>
    <n v="4"/>
    <x v="0"/>
    <n v="22988"/>
    <n v="12012"/>
  </r>
  <r>
    <d v="2024-04-11T00:00:00"/>
    <x v="3"/>
    <n v="15"/>
    <n v="1978"/>
    <x v="0"/>
    <s v="Juan Restrepo"/>
    <s v="TECURCC"/>
    <s v="Repisa TECU  Miel"/>
    <n v="1"/>
    <x v="2"/>
    <x v="0"/>
    <x v="0"/>
    <x v="0"/>
    <s v="Envioclick- Coordinadora"/>
    <s v="2326281 – 84150832364"/>
    <d v="2024-04-15T00:00:00"/>
    <d v="2024-04-16T00:00:00"/>
    <x v="0"/>
    <n v="3"/>
    <n v="4"/>
    <x v="0"/>
    <n v="22355"/>
    <n v="2645"/>
  </r>
  <r>
    <d v="2024-04-11T00:00:00"/>
    <x v="3"/>
    <n v="15"/>
    <n v="1979"/>
    <x v="0"/>
    <s v="carlos morales"/>
    <s v="TECUCT"/>
    <s v="TECU bandeja de cables"/>
    <n v="1"/>
    <x v="4"/>
    <x v="1"/>
    <x v="1"/>
    <x v="0"/>
    <s v="Envioclick- Coordinadora"/>
    <s v="2322099 – 84150830688"/>
    <d v="2024-04-12T00:00:00"/>
    <d v="2024-04-13T00:00:00"/>
    <x v="0"/>
    <n v="1"/>
    <n v="2"/>
    <x v="1"/>
    <n v="16631"/>
    <n v="8369"/>
  </r>
  <r>
    <d v="2024-04-12T00:00:00"/>
    <x v="3"/>
    <n v="15"/>
    <n v="1980"/>
    <x v="0"/>
    <s v="Marco Useche"/>
    <s v="TECU3FNPRO"/>
    <s v="Electric Standing Desk  PRO Negro"/>
    <n v="1"/>
    <x v="0"/>
    <x v="1"/>
    <x v="1"/>
    <x v="0"/>
    <s v="Envioclick- Coordinadora"/>
    <s v="2326005 – 84150832247"/>
    <d v="2024-04-15T00:00:00"/>
    <d v="2024-04-16T00:00:00"/>
    <x v="0"/>
    <n v="2"/>
    <n v="3"/>
    <x v="1"/>
    <n v="42002"/>
    <n v="-2002"/>
  </r>
  <r>
    <d v="2024-04-12T00:00:00"/>
    <x v="3"/>
    <n v="15"/>
    <n v="1980"/>
    <x v="0"/>
    <s v="Marco Useche"/>
    <s v="TECUTRN6M"/>
    <s v="Superficie Escritorio Roble Negro 160x70 Moderno"/>
    <n v="1"/>
    <x v="1"/>
    <x v="1"/>
    <x v="1"/>
    <x v="0"/>
    <s v="Envioclick- Coordinadora"/>
    <s v="2326007 – 84150832248"/>
    <d v="2024-04-15T00:00:00"/>
    <d v="2024-04-16T00:00:00"/>
    <x v="0"/>
    <n v="2"/>
    <n v="3"/>
    <x v="1"/>
    <n v="22988"/>
    <e v="#N/A"/>
  </r>
  <r>
    <d v="2024-04-12T00:00:00"/>
    <x v="3"/>
    <n v="15"/>
    <n v="1980"/>
    <x v="0"/>
    <s v="Marco Useche"/>
    <s v="TECURN"/>
    <s v="Repisa TECU  Negro (Wengue)"/>
    <n v="1"/>
    <x v="2"/>
    <x v="1"/>
    <x v="1"/>
    <x v="0"/>
    <s v="Envioclick- Coordinadora"/>
    <s v="2325999 – 84150832244"/>
    <d v="2024-04-15T00:00:00"/>
    <d v="2024-04-16T00:00:00"/>
    <x v="0"/>
    <n v="2"/>
    <n v="3"/>
    <x v="1"/>
    <n v="22355"/>
    <n v="2645"/>
  </r>
  <r>
    <d v="2024-04-12T00:00:00"/>
    <x v="3"/>
    <n v="15"/>
    <n v="1981"/>
    <x v="0"/>
    <s v="Santiago Tovar Ruiz"/>
    <s v="TECU2FNG"/>
    <s v="Electric Standing Desk GO Negro"/>
    <n v="1"/>
    <x v="0"/>
    <x v="1"/>
    <x v="1"/>
    <x v="0"/>
    <s v="Envioclick- Coordinadora"/>
    <s v="2326219 – 84150832320"/>
    <d v="2024-04-15T00:00:00"/>
    <d v="2024-04-16T00:00:00"/>
    <x v="0"/>
    <n v="2"/>
    <n v="3"/>
    <x v="1"/>
    <n v="40734"/>
    <n v="-734"/>
  </r>
  <r>
    <d v="2024-04-12T00:00:00"/>
    <x v="3"/>
    <n v="15"/>
    <n v="1981"/>
    <x v="0"/>
    <s v="Santiago Tovar Ruiz"/>
    <s v="TECUTB4C"/>
    <s v="Superficie Escritorio Blanco (Niebla) 140x70 Clasico"/>
    <n v="1"/>
    <x v="1"/>
    <x v="1"/>
    <x v="1"/>
    <x v="0"/>
    <s v="Envioclick- Coordinadora"/>
    <s v="2326221 – 84150832322"/>
    <d v="2024-04-15T00:00:00"/>
    <d v="2024-04-16T00:00:00"/>
    <x v="0"/>
    <n v="2"/>
    <n v="3"/>
    <x v="1"/>
    <n v="22988"/>
    <n v="12012"/>
  </r>
  <r>
    <d v="2024-04-15T00:00:00"/>
    <x v="3"/>
    <n v="16"/>
    <n v="1982"/>
    <x v="0"/>
    <s v="john diaz"/>
    <s v="TECUACO"/>
    <s v="Archivador TECU  Caramelo"/>
    <n v="1"/>
    <x v="3"/>
    <x v="1"/>
    <x v="1"/>
    <x v="0"/>
    <s v="Envioclick- Envia"/>
    <s v="2332874 – 954100948127"/>
    <d v="2024-04-18T00:00:00"/>
    <d v="2024-04-23T00:00:00"/>
    <x v="0"/>
    <n v="3"/>
    <n v="7"/>
    <x v="0"/>
    <n v="56461"/>
    <n v="-6461"/>
  </r>
  <r>
    <d v="2024-04-15T00:00:00"/>
    <x v="3"/>
    <n v="16"/>
    <s v="INFLUENCER"/>
    <x v="0"/>
    <s v="Brown Studio"/>
    <s v="TECU3FNPRO"/>
    <s v="Electric Standing Desk  PRO Negro"/>
    <n v="1"/>
    <x v="0"/>
    <x v="1"/>
    <x v="1"/>
    <x v="0"/>
    <s v="Envioclick- Coordinadora"/>
    <s v="2327381 – 84150832968"/>
    <d v="2024-04-15T00:00:00"/>
    <d v="2024-04-16T00:00:00"/>
    <x v="0"/>
    <n v="0"/>
    <n v="1"/>
    <x v="1"/>
    <n v="42042"/>
    <n v="-2042"/>
  </r>
  <r>
    <d v="2024-04-15T00:00:00"/>
    <x v="3"/>
    <n v="16"/>
    <s v="INFLUENCER"/>
    <x v="0"/>
    <s v="Brown Studio"/>
    <s v="TECUTRM8C"/>
    <s v="Superficie Roble Miel 180x70 Clasico"/>
    <n v="1"/>
    <x v="1"/>
    <x v="1"/>
    <x v="1"/>
    <x v="0"/>
    <s v="Envioclick- Coordinadora"/>
    <s v="2327362 – 84150832960"/>
    <d v="2024-04-15T00:00:00"/>
    <d v="2024-04-16T00:00:00"/>
    <x v="0"/>
    <n v="0"/>
    <n v="1"/>
    <x v="1"/>
    <n v="30589"/>
    <n v="4411"/>
  </r>
  <r>
    <d v="2024-04-15T00:00:00"/>
    <x v="3"/>
    <n v="16"/>
    <s v="INFLUENCER"/>
    <x v="0"/>
    <s v="Brown Studio"/>
    <s v="TECURRM"/>
    <s v="Repisa Roble Miel"/>
    <n v="1"/>
    <x v="2"/>
    <x v="1"/>
    <x v="1"/>
    <x v="0"/>
    <s v="Envioclick- Coordinadora"/>
    <s v="2334211 – 84150835985"/>
    <d v="2024-04-18T00:00:00"/>
    <d v="2024-04-19T00:00:00"/>
    <x v="0"/>
    <n v="3"/>
    <n v="4"/>
    <x v="0"/>
    <n v="23545"/>
    <e v="#N/A"/>
  </r>
  <r>
    <d v="2024-04-15T00:00:00"/>
    <x v="3"/>
    <n v="16"/>
    <s v="INFLUENCER"/>
    <x v="0"/>
    <s v="Brown Studio"/>
    <s v="TECUCT"/>
    <s v="TECU bandeja de cables"/>
    <n v="1"/>
    <x v="4"/>
    <x v="1"/>
    <x v="1"/>
    <x v="0"/>
    <s v="Envioclick- Coordinadora"/>
    <s v="2334292 – 84150836012"/>
    <d v="2024-04-18T00:00:00"/>
    <d v="2024-04-19T00:00:00"/>
    <x v="0"/>
    <n v="3"/>
    <n v="4"/>
    <x v="0"/>
    <n v="16631"/>
    <n v="8369"/>
  </r>
  <r>
    <d v="2024-04-15T00:00:00"/>
    <x v="3"/>
    <n v="16"/>
    <s v="INFLUENCER"/>
    <x v="0"/>
    <s v="Brown Studio"/>
    <s v="TECUDSN"/>
    <s v="TECU Desk Stool Negra Silla ajustable"/>
    <n v="1"/>
    <x v="5"/>
    <x v="1"/>
    <x v="1"/>
    <x v="0"/>
    <s v="Envioclick- Coordinadora"/>
    <s v="2334117 – 84150835964"/>
    <d v="2024-04-18T00:00:00"/>
    <d v="2024-04-19T00:00:00"/>
    <x v="0"/>
    <n v="3"/>
    <n v="4"/>
    <x v="0"/>
    <n v="23835"/>
    <n v="1165"/>
  </r>
  <r>
    <d v="2024-04-15T00:00:00"/>
    <x v="3"/>
    <n v="16"/>
    <s v="INFLUENCER"/>
    <x v="0"/>
    <s v="Brown Studio"/>
    <s v="TECUBLS"/>
    <s v="TECU Laptop Stand B"/>
    <n v="1"/>
    <x v="4"/>
    <x v="1"/>
    <x v="1"/>
    <x v="0"/>
    <s v="Envioclick- Coordinadora"/>
    <s v="2334268 – 84150836000"/>
    <d v="2024-04-18T00:00:00"/>
    <d v="2024-04-19T00:00:00"/>
    <x v="0"/>
    <n v="3"/>
    <n v="4"/>
    <x v="0"/>
    <n v="23432"/>
    <n v="26568"/>
  </r>
  <r>
    <d v="2024-04-15T00:00:00"/>
    <x v="3"/>
    <n v="16"/>
    <s v="INFLUENCER"/>
    <x v="0"/>
    <s v="Brown Studio"/>
    <s v="TECUBDPM"/>
    <s v="TECU Desk Pad B Negro Café Miel"/>
    <n v="1"/>
    <x v="4"/>
    <x v="1"/>
    <x v="1"/>
    <x v="0"/>
    <s v="Envioclick- Coordinadora"/>
    <s v="2334349 – 84150836019"/>
    <d v="2024-04-18T00:00:00"/>
    <d v="2024-04-19T00:00:00"/>
    <x v="0"/>
    <n v="3"/>
    <n v="4"/>
    <x v="0"/>
    <n v="15721"/>
    <n v="34279"/>
  </r>
  <r>
    <d v="2024-04-15T00:00:00"/>
    <x v="3"/>
    <n v="16"/>
    <s v="INFLUENCER"/>
    <x v="0"/>
    <s v="Brown Studio"/>
    <s v="TECUAN"/>
    <s v="Archivador TECU  Negro (Wengue)"/>
    <n v="1"/>
    <x v="3"/>
    <x v="1"/>
    <x v="1"/>
    <x v="0"/>
    <s v="Envioclick- Envia"/>
    <s v="2332919 – 954100948211"/>
    <d v="2024-04-18T00:00:00"/>
    <d v="2024-04-26T00:00:00"/>
    <x v="0"/>
    <n v="3"/>
    <n v="10"/>
    <x v="0"/>
    <n v="56461"/>
    <n v="-6461"/>
  </r>
  <r>
    <d v="2024-04-16T00:00:00"/>
    <x v="3"/>
    <n v="16"/>
    <n v="1983"/>
    <x v="0"/>
    <s v="Kristian Espitia"/>
    <s v="TECU3FNPRO"/>
    <s v="Electric Standing Desk  PRO Negro"/>
    <n v="1"/>
    <x v="0"/>
    <x v="1"/>
    <x v="1"/>
    <x v="0"/>
    <s v="Envioclick- Coordinadora"/>
    <s v="2328938 – 84150833844"/>
    <d v="2024-04-16T00:00:00"/>
    <d v="2024-04-17T00:00:00"/>
    <x v="0"/>
    <n v="0"/>
    <n v="1"/>
    <x v="1"/>
    <n v="42002"/>
    <n v="-2002"/>
  </r>
  <r>
    <d v="2024-04-16T00:00:00"/>
    <x v="3"/>
    <n v="16"/>
    <n v="1983"/>
    <x v="0"/>
    <s v="Kristian Espitia"/>
    <s v="TECUTRN2C"/>
    <s v="Superficie Escritorio Roble Negro 120x70 Clasico Small"/>
    <n v="1"/>
    <x v="1"/>
    <x v="1"/>
    <x v="1"/>
    <x v="0"/>
    <s v="Envioclick- Coordinadora"/>
    <s v="2328941 – 84150833847"/>
    <d v="2024-04-16T00:00:00"/>
    <d v="2024-04-17T00:00:00"/>
    <x v="0"/>
    <n v="0"/>
    <n v="1"/>
    <x v="1"/>
    <n v="27422"/>
    <n v="7578"/>
  </r>
  <r>
    <d v="2024-04-16T00:00:00"/>
    <x v="3"/>
    <n v="16"/>
    <n v="1983"/>
    <x v="0"/>
    <s v="Kristian Espitia"/>
    <s v="TECURN"/>
    <s v="Repisa TECU  Negro (Wengue)"/>
    <n v="1"/>
    <x v="2"/>
    <x v="1"/>
    <x v="1"/>
    <x v="0"/>
    <s v="Envioclick- Coordinadora"/>
    <s v="2328936 – 84150833840"/>
    <d v="2024-04-16T00:00:00"/>
    <d v="2024-04-17T00:00:00"/>
    <x v="0"/>
    <n v="0"/>
    <n v="1"/>
    <x v="1"/>
    <n v="22355"/>
    <n v="2645"/>
  </r>
  <r>
    <d v="2024-04-16T00:00:00"/>
    <x v="3"/>
    <n v="16"/>
    <n v="1984"/>
    <x v="0"/>
    <s v="Victor Orobio Hurtado"/>
    <s v="TECULFN2"/>
    <s v="Electric Standing Desk | Escritorio Ajustable En L Frame Negro 2.0"/>
    <n v="1"/>
    <x v="0"/>
    <x v="4"/>
    <x v="6"/>
    <x v="0"/>
    <s v="Envioclick- Coordinadora"/>
    <s v="2335040 – 84150836219"/>
    <d v="2024-04-18T00:00:00"/>
    <d v="2024-04-19T00:00:00"/>
    <x v="0"/>
    <n v="2"/>
    <n v="3"/>
    <x v="1"/>
    <n v="60937"/>
    <n v="-20937"/>
  </r>
  <r>
    <d v="2024-04-16T00:00:00"/>
    <x v="3"/>
    <n v="16"/>
    <n v="1984"/>
    <x v="0"/>
    <s v="Victor Orobio Hurtado"/>
    <s v="TECUTLCCS"/>
    <s v="Superficie Escritorio en L Caramelo Set completo"/>
    <n v="1"/>
    <x v="1"/>
    <x v="4"/>
    <x v="6"/>
    <x v="0"/>
    <s v="Envioclick- Coordinadora"/>
    <s v="2335042 – 84150836220"/>
    <d v="2024-04-18T00:00:00"/>
    <d v="2024-04-19T00:00:00"/>
    <x v="0"/>
    <n v="2"/>
    <n v="3"/>
    <x v="1"/>
    <n v="25521"/>
    <n v="9479"/>
  </r>
  <r>
    <d v="2024-04-16T00:00:00"/>
    <x v="3"/>
    <n v="16"/>
    <n v="1985"/>
    <x v="0"/>
    <s v="Jose Luis Polanco Morales"/>
    <s v="TECU3FNPRO"/>
    <s v="Electric Standing Desk  PRO Negro"/>
    <n v="1"/>
    <x v="0"/>
    <x v="1"/>
    <x v="1"/>
    <x v="0"/>
    <s v="Envioclick- Coordinadora"/>
    <s v="2335022 – 84150836206"/>
    <d v="2024-04-18T00:00:00"/>
    <d v="2024-04-19T00:00:00"/>
    <x v="0"/>
    <n v="2"/>
    <n v="3"/>
    <x v="1"/>
    <n v="42002"/>
    <n v="-2002"/>
  </r>
  <r>
    <d v="2024-04-16T00:00:00"/>
    <x v="3"/>
    <n v="16"/>
    <n v="1985"/>
    <x v="0"/>
    <s v="Jose Luis Polanco Morales"/>
    <s v="TECUTCO5M"/>
    <s v="Superficie Escritorio Caramelo 150x70 Moderno"/>
    <n v="1"/>
    <x v="1"/>
    <x v="1"/>
    <x v="1"/>
    <x v="0"/>
    <s v="Envioclick- Coordinadora"/>
    <s v="2335023 – 84150836207"/>
    <d v="2024-04-18T00:00:00"/>
    <d v="2024-04-19T00:00:00"/>
    <x v="0"/>
    <n v="2"/>
    <n v="3"/>
    <x v="1"/>
    <n v="22988"/>
    <n v="12012"/>
  </r>
  <r>
    <d v="2024-04-16T00:00:00"/>
    <x v="3"/>
    <n v="16"/>
    <n v="1985"/>
    <x v="0"/>
    <s v="Jose Luis Polanco Morales"/>
    <s v="TECURCO"/>
    <s v="Repisa TECU  Caramelo"/>
    <n v="1"/>
    <x v="2"/>
    <x v="1"/>
    <x v="1"/>
    <x v="0"/>
    <s v="Envioclick- Coordinadora"/>
    <s v="2335020 – 84150836204"/>
    <d v="2024-04-18T00:00:00"/>
    <d v="2024-04-19T00:00:00"/>
    <x v="0"/>
    <n v="2"/>
    <n v="3"/>
    <x v="1"/>
    <n v="22355"/>
    <n v="2645"/>
  </r>
  <r>
    <d v="2024-04-16T00:00:00"/>
    <x v="3"/>
    <n v="16"/>
    <n v="1986"/>
    <x v="0"/>
    <s v="Nestor David Perez Catellanos"/>
    <s v="TECUBDPG"/>
    <s v="TECU Desk Pad B Negro Gris"/>
    <n v="1"/>
    <x v="4"/>
    <x v="1"/>
    <x v="1"/>
    <x v="0"/>
    <s v="Envioclick- Coordinadora"/>
    <s v="2331134 – 84150834779"/>
    <d v="2024-04-17T00:00:00"/>
    <d v="2024-04-18T00:00:00"/>
    <x v="0"/>
    <n v="1"/>
    <n v="2"/>
    <x v="1"/>
    <n v="16131"/>
    <n v="33869"/>
  </r>
  <r>
    <d v="2024-04-16T00:00:00"/>
    <x v="3"/>
    <n v="16"/>
    <n v="1987"/>
    <x v="0"/>
    <s v="Camilo Torres Callejas"/>
    <s v="TECURCC"/>
    <s v="Repisa TECU  Miel"/>
    <n v="1"/>
    <x v="2"/>
    <x v="12"/>
    <x v="27"/>
    <x v="0"/>
    <s v="Envioclick- Coordinadora"/>
    <s v="2335031 – 84150836211"/>
    <d v="2024-04-18T00:00:00"/>
    <d v="2024-04-20T00:00:00"/>
    <x v="0"/>
    <n v="2"/>
    <n v="4"/>
    <x v="3"/>
    <n v="36102"/>
    <n v="-11102"/>
  </r>
  <r>
    <d v="2024-04-16T00:00:00"/>
    <x v="3"/>
    <n v="16"/>
    <n v="1988"/>
    <x v="0"/>
    <s v="Marta Sanchez"/>
    <s v="TECUCT"/>
    <s v="TECU bandeja de cables"/>
    <n v="1"/>
    <x v="4"/>
    <x v="1"/>
    <x v="1"/>
    <x v="0"/>
    <s v="Envioclick- Coordinadora"/>
    <s v="2331186 – 84150834792"/>
    <d v="2024-04-17T00:00:00"/>
    <d v="2024-04-18T00:00:00"/>
    <x v="0"/>
    <n v="1"/>
    <n v="2"/>
    <x v="1"/>
    <n v="16631"/>
    <n v="8369"/>
  </r>
  <r>
    <d v="2024-04-16T00:00:00"/>
    <x v="3"/>
    <n v="16"/>
    <n v="1988"/>
    <x v="0"/>
    <s v="Marta Sanchez"/>
    <s v="TECUDSN"/>
    <s v="TECU Desk Stool Negra Silla ajustable"/>
    <n v="1"/>
    <x v="5"/>
    <x v="1"/>
    <x v="1"/>
    <x v="0"/>
    <s v="Envioclick- Coordinadora"/>
    <s v="2331249 – 84150834802"/>
    <d v="2024-04-17T00:00:00"/>
    <d v="2024-04-18T00:00:00"/>
    <x v="0"/>
    <n v="1"/>
    <n v="2"/>
    <x v="1"/>
    <n v="25935"/>
    <n v="-935"/>
  </r>
  <r>
    <d v="2024-04-17T00:00:00"/>
    <x v="3"/>
    <n v="16"/>
    <n v="1989"/>
    <x v="0"/>
    <s v="Alejandro Rodriguez"/>
    <s v="TECUBDPM"/>
    <s v="TECU Desk Pad B Negro Café Miel"/>
    <n v="1"/>
    <x v="4"/>
    <x v="1"/>
    <x v="1"/>
    <x v="0"/>
    <s v="Envioclick- Coordinadora"/>
    <s v="2331946 – 84150835035"/>
    <d v="2024-04-17T00:00:00"/>
    <d v="2024-04-18T00:00:00"/>
    <x v="0"/>
    <n v="0"/>
    <n v="1"/>
    <x v="1"/>
    <n v="16131"/>
    <n v="33869"/>
  </r>
  <r>
    <d v="2024-04-18T00:00:00"/>
    <x v="3"/>
    <n v="16"/>
    <n v="1990"/>
    <x v="0"/>
    <s v="Lucas Cosoli"/>
    <s v="TECU3FNPRO"/>
    <s v="Electric Standing Desk  PRO Negro"/>
    <n v="1"/>
    <x v="0"/>
    <x v="1"/>
    <x v="1"/>
    <x v="0"/>
    <s v="Envioclick- Coordinadora"/>
    <s v="2337521 – 84150836792"/>
    <d v="2024-04-19T00:00:00"/>
    <d v="2024-04-20T00:00:00"/>
    <x v="0"/>
    <n v="1"/>
    <n v="2"/>
    <x v="1"/>
    <n v="42002"/>
    <n v="-2002"/>
  </r>
  <r>
    <d v="2024-04-18T00:00:00"/>
    <x v="3"/>
    <n v="16"/>
    <n v="1990"/>
    <x v="0"/>
    <s v="Lucas Cosoli"/>
    <s v="TECUTCO7M"/>
    <s v="Superficie Escritorio Caramelo 170x70 Moderno"/>
    <n v="1"/>
    <x v="1"/>
    <x v="1"/>
    <x v="1"/>
    <x v="0"/>
    <s v="Envioclick- Coordinadora"/>
    <s v="2337522 – 84150836793"/>
    <d v="2024-04-19T00:00:00"/>
    <d v="2024-04-20T00:00:00"/>
    <x v="0"/>
    <n v="1"/>
    <n v="2"/>
    <x v="1"/>
    <n v="25521"/>
    <e v="#N/A"/>
  </r>
  <r>
    <d v="2024-04-18T00:00:00"/>
    <x v="3"/>
    <n v="16"/>
    <n v="1990"/>
    <x v="0"/>
    <s v="Lucas Cosoli"/>
    <s v="TECURCO"/>
    <s v="Repisa TECU  Caramelo"/>
    <n v="1"/>
    <x v="2"/>
    <x v="1"/>
    <x v="1"/>
    <x v="0"/>
    <s v="Envioclick- Coordinadora"/>
    <s v="2337520 – 84150836790"/>
    <d v="2024-04-19T00:00:00"/>
    <d v="2024-04-20T00:00:00"/>
    <x v="0"/>
    <n v="1"/>
    <n v="2"/>
    <x v="1"/>
    <n v="22355"/>
    <n v="2645"/>
  </r>
  <r>
    <d v="2024-04-18T00:00:00"/>
    <x v="3"/>
    <n v="16"/>
    <n v="1990"/>
    <x v="0"/>
    <s v="Lucas Cosoli"/>
    <s v="TECUBDPA"/>
    <s v="TECU Desk Pad B Negro Azul"/>
    <n v="1"/>
    <x v="4"/>
    <x v="1"/>
    <x v="1"/>
    <x v="0"/>
    <s v="Envioclick- Coordinadora"/>
    <s v="2337518 – 84150836788"/>
    <d v="2024-04-19T00:00:00"/>
    <d v="2024-04-20T00:00:00"/>
    <x v="0"/>
    <n v="1"/>
    <n v="2"/>
    <x v="1"/>
    <n v="16131"/>
    <n v="33869"/>
  </r>
  <r>
    <d v="2024-04-22T00:00:00"/>
    <x v="3"/>
    <n v="17"/>
    <n v="1991"/>
    <x v="0"/>
    <s v="Jose Manuel Medina Cano"/>
    <s v="TECU2FNG"/>
    <s v="Electric Standing Desk GO Negro"/>
    <n v="1"/>
    <x v="0"/>
    <x v="0"/>
    <x v="3"/>
    <x v="0"/>
    <s v="Envioclick- Coordinadora"/>
    <s v="2341817 – 84150838486"/>
    <d v="2024-04-22T00:00:00"/>
    <d v="2024-04-23T00:00:00"/>
    <x v="0"/>
    <n v="0"/>
    <n v="1"/>
    <x v="1"/>
    <n v="40734"/>
    <n v="-734"/>
  </r>
  <r>
    <d v="2024-04-22T00:00:00"/>
    <x v="3"/>
    <n v="17"/>
    <n v="1991"/>
    <x v="0"/>
    <s v="Jose Manuel Medina Cano"/>
    <s v="TECUTCC4C"/>
    <s v="Superficie Escritorio Miel 140x70 Clasico"/>
    <n v="1"/>
    <x v="1"/>
    <x v="0"/>
    <x v="3"/>
    <x v="0"/>
    <s v="Envioclick- Coordinadora"/>
    <s v="2341818 – 84150838487"/>
    <d v="2024-04-22T00:00:00"/>
    <d v="2024-04-23T00:00:00"/>
    <x v="0"/>
    <n v="0"/>
    <n v="1"/>
    <x v="1"/>
    <n v="22988"/>
    <n v="12012"/>
  </r>
  <r>
    <d v="2024-04-22T00:00:00"/>
    <x v="3"/>
    <n v="17"/>
    <n v="1992"/>
    <x v="0"/>
    <s v="Carlos Torres"/>
    <s v="TECU3FNPRO"/>
    <s v="Electric Standing Desk  PRO Negro"/>
    <n v="1"/>
    <x v="0"/>
    <x v="0"/>
    <x v="12"/>
    <x v="0"/>
    <s v="Envioclick- Coordinadora"/>
    <s v="2341889 – 84150838516"/>
    <d v="2024-04-22T00:00:00"/>
    <d v="2024-04-23T00:00:00"/>
    <x v="0"/>
    <n v="0"/>
    <n v="1"/>
    <x v="1"/>
    <n v="42002"/>
    <n v="-2002"/>
  </r>
  <r>
    <d v="2024-04-22T00:00:00"/>
    <x v="3"/>
    <n v="17"/>
    <n v="1992"/>
    <x v="0"/>
    <s v="Carlos Torres"/>
    <s v="TECUTCO8M"/>
    <s v="Superficie Escritorio Caramelo 180x70 Moderno"/>
    <n v="1"/>
    <x v="1"/>
    <x v="0"/>
    <x v="12"/>
    <x v="0"/>
    <s v="Envioclick- Coordinadora"/>
    <s v="2341891 – 84150838517"/>
    <d v="2024-04-22T00:00:00"/>
    <d v="2024-04-23T00:00:00"/>
    <x v="0"/>
    <n v="0"/>
    <n v="1"/>
    <x v="1"/>
    <n v="25521"/>
    <n v="9479"/>
  </r>
  <r>
    <d v="2024-04-22T00:00:00"/>
    <x v="3"/>
    <n v="17"/>
    <n v="1992"/>
    <x v="0"/>
    <s v="Carlos Torres"/>
    <s v="TECURCO"/>
    <s v="Repisa TECU  Caramelo"/>
    <n v="1"/>
    <x v="2"/>
    <x v="0"/>
    <x v="12"/>
    <x v="0"/>
    <s v="Envioclick- Coordinadora"/>
    <s v="2341863 - 84150838511"/>
    <d v="2024-04-22T00:00:00"/>
    <d v="2024-04-23T00:00:00"/>
    <x v="0"/>
    <n v="0"/>
    <n v="1"/>
    <x v="1"/>
    <n v="22355"/>
    <n v="2645"/>
  </r>
  <r>
    <d v="2024-04-22T00:00:00"/>
    <x v="3"/>
    <n v="17"/>
    <n v="1993"/>
    <x v="0"/>
    <s v="Daniel Cuervo Arevalo"/>
    <s v="TECU2FNG"/>
    <s v="Electric Standing Desk GO Negro"/>
    <n v="1"/>
    <x v="0"/>
    <x v="1"/>
    <x v="1"/>
    <x v="0"/>
    <s v="Envioclick- Coordinadora"/>
    <s v="2346594 – 84150840783"/>
    <d v="2024-04-24T00:00:00"/>
    <d v="2024-04-25T00:00:00"/>
    <x v="0"/>
    <n v="2"/>
    <n v="3"/>
    <x v="1"/>
    <n v="40734"/>
    <n v="-734"/>
  </r>
  <r>
    <d v="2024-04-22T00:00:00"/>
    <x v="3"/>
    <n v="17"/>
    <n v="1993"/>
    <x v="0"/>
    <s v="Daniel Cuervo Arevalo"/>
    <s v="TECUTCO2C"/>
    <s v="Superficie Escritorio Caramelo 120x70 Clasico Small"/>
    <n v="1"/>
    <x v="1"/>
    <x v="1"/>
    <x v="1"/>
    <x v="0"/>
    <s v="Envioclick- Coordinadora"/>
    <s v="2346595 – 84150840784"/>
    <d v="2024-04-24T00:00:00"/>
    <d v="2024-04-25T00:00:00"/>
    <x v="0"/>
    <n v="2"/>
    <n v="3"/>
    <x v="1"/>
    <n v="22988"/>
    <n v="12012"/>
  </r>
  <r>
    <d v="2024-04-22T00:00:00"/>
    <x v="3"/>
    <n v="17"/>
    <n v="1993"/>
    <x v="0"/>
    <s v="Daniel Cuervo Arevalo"/>
    <s v="TECU3FNPRO"/>
    <s v="Electric Standing Desk  PRO Negro"/>
    <n v="1"/>
    <x v="0"/>
    <x v="1"/>
    <x v="1"/>
    <x v="0"/>
    <s v="Envioclick- Coordinadora"/>
    <s v="2346597 – 84150840786"/>
    <d v="2024-04-24T00:00:00"/>
    <d v="2024-04-25T00:00:00"/>
    <x v="0"/>
    <n v="2"/>
    <n v="3"/>
    <x v="1"/>
    <n v="42002"/>
    <n v="-2002"/>
  </r>
  <r>
    <d v="2024-04-22T00:00:00"/>
    <x v="3"/>
    <n v="17"/>
    <n v="1993"/>
    <x v="0"/>
    <s v="Daniel Cuervo Arevalo"/>
    <s v="TECUTCO2C"/>
    <s v="Superficie Escritorio Caramelo 120x70 Clasico Small"/>
    <n v="1"/>
    <x v="1"/>
    <x v="1"/>
    <x v="1"/>
    <x v="0"/>
    <s v="Envioclick- Coordinadora"/>
    <s v="2346598 – 84150840787"/>
    <d v="2024-04-24T00:00:00"/>
    <d v="2024-04-25T00:00:00"/>
    <x v="0"/>
    <n v="2"/>
    <n v="3"/>
    <x v="1"/>
    <n v="27422"/>
    <n v="7578"/>
  </r>
  <r>
    <d v="2024-04-22T00:00:00"/>
    <x v="3"/>
    <n v="17"/>
    <n v="1993"/>
    <x v="0"/>
    <s v="Daniel Cuervo Arevalo"/>
    <s v="TECURCO"/>
    <s v="Repisa TECU  Caramelo"/>
    <n v="1"/>
    <x v="2"/>
    <x v="1"/>
    <x v="1"/>
    <x v="0"/>
    <s v="Envioclick- Coordinadora"/>
    <s v="2346588 – 84150840779"/>
    <d v="2024-04-24T00:00:00"/>
    <d v="2024-04-25T00:00:00"/>
    <x v="0"/>
    <n v="2"/>
    <n v="3"/>
    <x v="1"/>
    <n v="22355"/>
    <n v="2645"/>
  </r>
  <r>
    <d v="2024-04-24T00:00:00"/>
    <x v="3"/>
    <n v="17"/>
    <n v="1994"/>
    <x v="0"/>
    <s v="Juan Carlos Gomez"/>
    <s v="TECUACC"/>
    <s v="Archivador TECU  Miel"/>
    <n v="1"/>
    <x v="3"/>
    <x v="1"/>
    <x v="1"/>
    <x v="0"/>
    <s v="Envioclick- Envia"/>
    <s v="2348798 – 954100952512"/>
    <d v="2024-04-25T00:00:00"/>
    <d v="2024-04-26T00:00:00"/>
    <x v="0"/>
    <n v="1"/>
    <n v="2"/>
    <x v="1"/>
    <n v="56461"/>
    <n v="-6461"/>
  </r>
  <r>
    <d v="2024-04-24T00:00:00"/>
    <x v="3"/>
    <n v="17"/>
    <n v="1994"/>
    <x v="0"/>
    <s v="Juan Carlos Gomez"/>
    <s v="TECUAB"/>
    <s v="Archivador TECU  Blanco (Niebla)"/>
    <n v="1"/>
    <x v="3"/>
    <x v="1"/>
    <x v="1"/>
    <x v="0"/>
    <s v="Envioclick- Envia"/>
    <s v="2348806 – 954100952519"/>
    <d v="2024-04-25T00:00:00"/>
    <d v="2024-04-26T00:00:00"/>
    <x v="0"/>
    <n v="1"/>
    <n v="2"/>
    <x v="1"/>
    <n v="56461"/>
    <n v="-6461"/>
  </r>
  <r>
    <d v="2024-04-24T00:00:00"/>
    <x v="3"/>
    <n v="17"/>
    <n v="1994"/>
    <x v="0"/>
    <s v="Juan Carlos Gomez"/>
    <s v="TECURB"/>
    <s v="Repisa TECU  Blanco (Niebla)"/>
    <n v="1"/>
    <x v="2"/>
    <x v="1"/>
    <x v="1"/>
    <x v="0"/>
    <s v="Envioclick- Coordinadora"/>
    <s v="2348840 – 84150841828"/>
    <d v="2024-04-25T00:00:00"/>
    <d v="2024-04-26T00:00:00"/>
    <x v="0"/>
    <n v="1"/>
    <n v="2"/>
    <x v="1"/>
    <n v="22355"/>
    <n v="2645"/>
  </r>
  <r>
    <d v="2024-04-25T00:00:00"/>
    <x v="3"/>
    <n v="17"/>
    <n v="1995"/>
    <x v="0"/>
    <s v="Javier Andrés Collazos Gómez"/>
    <s v="TECUTRN7C"/>
    <s v="Superficie Escritorio Roble Negro 170x70 Clasico"/>
    <n v="1"/>
    <x v="1"/>
    <x v="13"/>
    <x v="28"/>
    <x v="0"/>
    <s v="Envioclick- Coordinadora"/>
    <s v="2351181 – 84150842798"/>
    <d v="2024-04-26T00:00:00"/>
    <d v="2024-04-27T00:00:00"/>
    <x v="0"/>
    <n v="1"/>
    <n v="2"/>
    <x v="1"/>
    <n v="25521"/>
    <n v="9479"/>
  </r>
  <r>
    <d v="2024-04-25T00:00:00"/>
    <x v="3"/>
    <n v="17"/>
    <n v="1995"/>
    <x v="0"/>
    <s v="Javier Andrés Collazos Gómez"/>
    <s v="TECU3FNPRO"/>
    <s v="Electric Standing Desk  PRO Negro"/>
    <n v="1"/>
    <x v="0"/>
    <x v="13"/>
    <x v="28"/>
    <x v="0"/>
    <s v="Envioclick- Coordinadora"/>
    <s v="2351180 – 84150842797"/>
    <d v="2024-04-26T00:00:00"/>
    <d v="2024-04-27T00:00:00"/>
    <x v="0"/>
    <n v="1"/>
    <n v="2"/>
    <x v="1"/>
    <n v="42002"/>
    <n v="-2002"/>
  </r>
  <r>
    <d v="2024-04-25T00:00:00"/>
    <x v="3"/>
    <n v="17"/>
    <n v="1995"/>
    <x v="0"/>
    <s v="Javier Andrés Collazos Gómez"/>
    <s v="TECURN"/>
    <s v="Repisa TECU  Negro (Wengue)"/>
    <n v="1"/>
    <x v="2"/>
    <x v="13"/>
    <x v="28"/>
    <x v="0"/>
    <s v="Envioclick- Coordinadora"/>
    <s v="2351177 – 84150842786"/>
    <d v="2024-04-26T00:00:00"/>
    <d v="2024-04-29T00:00:00"/>
    <x v="0"/>
    <n v="1"/>
    <n v="3"/>
    <x v="1"/>
    <n v="22355"/>
    <n v="2645"/>
  </r>
  <r>
    <d v="2024-04-25T00:00:00"/>
    <x v="3"/>
    <n v="17"/>
    <n v="1996"/>
    <x v="0"/>
    <s v="3D CONSULTING GROUP S.A.S."/>
    <s v="TECULFN2"/>
    <s v="Electric Standing Desk | Escritorio Ajustable En L Frame Negro 2.0"/>
    <n v="1"/>
    <x v="0"/>
    <x v="1"/>
    <x v="1"/>
    <x v="0"/>
    <s v="Envioclick- Coordinadora"/>
    <s v="2362164 - 84150846913"/>
    <d v="2024-05-02T00:00:00"/>
    <d v="2024-05-03T00:00:00"/>
    <x v="0"/>
    <n v="5"/>
    <n v="6"/>
    <x v="0"/>
    <n v="60937"/>
    <n v="-20937"/>
  </r>
  <r>
    <d v="2024-04-25T00:00:00"/>
    <x v="3"/>
    <n v="17"/>
    <n v="1996"/>
    <x v="0"/>
    <s v="3D CONSULTING GROUP S.A.S."/>
    <s v="TECULFN2"/>
    <s v="Electric Standing Desk | Escritorio Ajustable En L Frame Negro 2.0"/>
    <n v="1"/>
    <x v="0"/>
    <x v="1"/>
    <x v="1"/>
    <x v="0"/>
    <s v="Envioclick- Coordinadora"/>
    <s v="2362178 - 84150846917"/>
    <d v="2024-05-02T00:00:00"/>
    <d v="2024-05-03T00:00:00"/>
    <x v="0"/>
    <n v="5"/>
    <n v="6"/>
    <x v="0"/>
    <n v="60937"/>
    <n v="-20937"/>
  </r>
  <r>
    <d v="2024-04-25T00:00:00"/>
    <x v="3"/>
    <n v="17"/>
    <n v="1997"/>
    <x v="0"/>
    <s v="ROLANDO COGOLLO"/>
    <s v="TECUTCC7C"/>
    <s v="Superficie Escritorio Miel 170x70 Clasico"/>
    <n v="1"/>
    <x v="1"/>
    <x v="1"/>
    <x v="1"/>
    <x v="0"/>
    <s v="Envioclick- Coordinadora"/>
    <s v="2351205 – 84150842818"/>
    <d v="2024-04-26T00:00:00"/>
    <d v="2024-04-27T00:00:00"/>
    <x v="0"/>
    <n v="1"/>
    <n v="2"/>
    <x v="1"/>
    <n v="25521"/>
    <n v="9479"/>
  </r>
  <r>
    <d v="2024-04-25T00:00:00"/>
    <x v="3"/>
    <n v="17"/>
    <n v="1997"/>
    <x v="0"/>
    <s v="ROLANDO COGOLLO"/>
    <s v="TECU3FGPRO"/>
    <s v="Electric Standing Desk  PRO Gris"/>
    <n v="1"/>
    <x v="0"/>
    <x v="1"/>
    <x v="1"/>
    <x v="0"/>
    <s v="Envioclick- Coordinadora"/>
    <s v="2351204 – 84150842817"/>
    <d v="2024-04-26T00:00:00"/>
    <d v="2024-04-27T00:00:00"/>
    <x v="0"/>
    <n v="1"/>
    <n v="2"/>
    <x v="1"/>
    <n v="42002"/>
    <n v="-2002"/>
  </r>
  <r>
    <d v="2024-04-25T00:00:00"/>
    <x v="3"/>
    <n v="17"/>
    <n v="1997"/>
    <x v="0"/>
    <s v="ROLANDO COGOLLO"/>
    <s v="TECURCC"/>
    <s v="Repisa TECU  Miel"/>
    <n v="1"/>
    <x v="2"/>
    <x v="1"/>
    <x v="1"/>
    <x v="0"/>
    <s v="Envioclick- Coordinadora"/>
    <s v="2351201 – 84150842814"/>
    <d v="2024-04-26T00:00:00"/>
    <d v="2024-04-27T00:00:00"/>
    <x v="0"/>
    <n v="1"/>
    <n v="2"/>
    <x v="1"/>
    <n v="22355"/>
    <n v="2645"/>
  </r>
  <r>
    <d v="2024-04-25T00:00:00"/>
    <x v="3"/>
    <n v="17"/>
    <n v="1997"/>
    <x v="0"/>
    <s v="ROLANDO COGOLLO"/>
    <s v="TECUCT"/>
    <s v="TECU bandeja de cables"/>
    <n v="1"/>
    <x v="4"/>
    <x v="1"/>
    <x v="1"/>
    <x v="0"/>
    <s v="Envioclick- Coordinadora"/>
    <s v="2351189 – 84150842809"/>
    <d v="2024-04-26T00:00:00"/>
    <d v="2024-04-27T00:00:00"/>
    <x v="0"/>
    <n v="1"/>
    <n v="2"/>
    <x v="1"/>
    <n v="16631"/>
    <n v="8369"/>
  </r>
  <r>
    <d v="2024-04-26T00:00:00"/>
    <x v="3"/>
    <n v="17"/>
    <n v="1998"/>
    <x v="0"/>
    <s v="David Alonso Ladino Medina"/>
    <s v="TECU3FNPRO"/>
    <s v="Electric Standing Desk  PRO Negro"/>
    <n v="1"/>
    <x v="0"/>
    <x v="1"/>
    <x v="1"/>
    <x v="0"/>
    <s v="Envioclick- Coordinadora"/>
    <s v="2351224 – 84150842822"/>
    <d v="2024-04-26T00:00:00"/>
    <d v="2024-04-27T00:00:00"/>
    <x v="0"/>
    <n v="0"/>
    <n v="1"/>
    <x v="1"/>
    <n v="42002"/>
    <n v="-2002"/>
  </r>
  <r>
    <d v="2024-04-26T00:00:00"/>
    <x v="3"/>
    <n v="17"/>
    <n v="1998"/>
    <x v="0"/>
    <s v="David Alonso Ladino Medina"/>
    <s v="TECUTCO5C"/>
    <s v="Superficie Escritorio Caramelo 150x70 Clasico"/>
    <n v="1"/>
    <x v="1"/>
    <x v="1"/>
    <x v="1"/>
    <x v="0"/>
    <s v="Envioclick- Coordinadora"/>
    <s v="2351226 – 84150842823"/>
    <d v="2024-04-26T00:00:00"/>
    <d v="2024-04-27T00:00:00"/>
    <x v="0"/>
    <n v="0"/>
    <n v="1"/>
    <x v="1"/>
    <n v="22988"/>
    <e v="#N/A"/>
  </r>
  <r>
    <d v="2024-04-26T00:00:00"/>
    <x v="3"/>
    <n v="17"/>
    <n v="1998"/>
    <x v="0"/>
    <s v="David Alonso Ladino Medina"/>
    <s v="TECURCO"/>
    <s v="Repisa TECU  Caramelo"/>
    <n v="1"/>
    <x v="2"/>
    <x v="1"/>
    <x v="1"/>
    <x v="0"/>
    <s v="Envioclick- Coordinadora"/>
    <s v="2351222 – 84150842821"/>
    <d v="2024-04-26T00:00:00"/>
    <d v="2024-04-27T00:00:00"/>
    <x v="0"/>
    <n v="0"/>
    <n v="1"/>
    <x v="1"/>
    <n v="22355"/>
    <n v="2645"/>
  </r>
  <r>
    <d v="2024-04-26T00:00:00"/>
    <x v="3"/>
    <n v="17"/>
    <n v="1999"/>
    <x v="0"/>
    <s v="Juan David Espitia Aguillon"/>
    <s v="TECULFN2"/>
    <s v="Electric Standing Desk | Escritorio Ajustable En L Frame Negro 2.0"/>
    <n v="1"/>
    <x v="0"/>
    <x v="14"/>
    <x v="29"/>
    <x v="0"/>
    <s v="Entrega directa"/>
    <s v="NA"/>
    <d v="2024-04-30T00:00:00"/>
    <d v="2024-04-30T00:00:00"/>
    <x v="0"/>
    <n v="3"/>
    <n v="3"/>
    <x v="1"/>
    <n v="25000"/>
    <n v="15000"/>
  </r>
  <r>
    <d v="2024-04-26T00:00:00"/>
    <x v="3"/>
    <n v="17"/>
    <n v="1999"/>
    <x v="0"/>
    <s v="Juan David Espitia Aguillon"/>
    <s v="TECUTLCCS"/>
    <s v="Superficie Escritorio en L Caramelo Set completo"/>
    <n v="1"/>
    <x v="1"/>
    <x v="14"/>
    <x v="29"/>
    <x v="0"/>
    <s v="Entrega directa"/>
    <s v="NA"/>
    <d v="2024-04-30T00:00:00"/>
    <d v="2024-04-30T00:00:00"/>
    <x v="0"/>
    <n v="3"/>
    <n v="3"/>
    <x v="1"/>
    <n v="25000"/>
    <n v="10000"/>
  </r>
  <r>
    <d v="2024-04-26T00:00:00"/>
    <x v="3"/>
    <n v="17"/>
    <n v="2000"/>
    <x v="0"/>
    <s v="Misael Gutierrez"/>
    <s v="TECU3FNPRO"/>
    <s v="Electric Standing Desk  PRO Negro"/>
    <n v="1"/>
    <x v="0"/>
    <x v="1"/>
    <x v="15"/>
    <x v="0"/>
    <s v="Envioclick- Coordinadora"/>
    <s v="2354800 – 84150844174"/>
    <d v="2024-04-29T00:00:00"/>
    <d v="2024-04-30T00:00:00"/>
    <x v="0"/>
    <n v="2"/>
    <n v="3"/>
    <x v="1"/>
    <n v="54627"/>
    <n v="-14627"/>
  </r>
  <r>
    <d v="2024-04-26T00:00:00"/>
    <x v="3"/>
    <n v="17"/>
    <n v="2000"/>
    <x v="0"/>
    <s v="Misael Gutierrez"/>
    <s v="TECUTCC8M"/>
    <s v="Superficie Escritorio Miel 180x70 Moderno"/>
    <n v="1"/>
    <x v="1"/>
    <x v="1"/>
    <x v="15"/>
    <x v="0"/>
    <s v="Envioclick- Coordinadora"/>
    <s v="2354801 – 84150844175"/>
    <d v="2024-04-29T00:00:00"/>
    <d v="2024-04-30T00:00:00"/>
    <x v="0"/>
    <n v="2"/>
    <n v="3"/>
    <x v="1"/>
    <n v="36884"/>
    <n v="-1884"/>
  </r>
  <r>
    <d v="2024-04-26T00:00:00"/>
    <x v="3"/>
    <n v="17"/>
    <n v="2000"/>
    <x v="0"/>
    <s v="Misael Gutierrez"/>
    <s v="TECURCC"/>
    <s v="Repisa TECU  Miel"/>
    <n v="1"/>
    <x v="2"/>
    <x v="1"/>
    <x v="15"/>
    <x v="0"/>
    <s v="Envioclick- Coordinadora"/>
    <s v="2354787 – 84150844172"/>
    <d v="2024-04-29T00:00:00"/>
    <d v="2024-04-30T00:00:00"/>
    <x v="0"/>
    <n v="2"/>
    <n v="3"/>
    <x v="1"/>
    <n v="31613"/>
    <n v="-6613"/>
  </r>
  <r>
    <d v="2024-04-29T00:00:00"/>
    <x v="3"/>
    <n v="18"/>
    <n v="2001"/>
    <x v="0"/>
    <s v="RUBEN ORTIZ"/>
    <s v="TECU3FNPRO"/>
    <s v="Electric Standing Desk  PRO Negro"/>
    <n v="1"/>
    <x v="0"/>
    <x v="1"/>
    <x v="1"/>
    <x v="0"/>
    <s v="Envioclick- Coordinadora"/>
    <s v="2354774 – 84150844163"/>
    <d v="2024-04-29T00:00:00"/>
    <d v="2024-04-30T00:00:00"/>
    <x v="0"/>
    <n v="0"/>
    <n v="1"/>
    <x v="1"/>
    <n v="42002"/>
    <n v="-2002"/>
  </r>
  <r>
    <d v="2024-04-29T00:00:00"/>
    <x v="3"/>
    <n v="18"/>
    <n v="2001"/>
    <x v="0"/>
    <s v="RUBEN ORTIZ"/>
    <s v="TECUTCO20C"/>
    <s v="Superficie Escritorio Caramelo 200x70 Clasico"/>
    <n v="1"/>
    <x v="1"/>
    <x v="1"/>
    <x v="1"/>
    <x v="0"/>
    <s v="Envioclick- Coordinadora"/>
    <s v="2354775 – 84150844164"/>
    <d v="2024-04-29T00:00:00"/>
    <d v="2024-04-30T00:00:00"/>
    <x v="0"/>
    <n v="0"/>
    <n v="1"/>
    <x v="1"/>
    <n v="25521"/>
    <n v="9479"/>
  </r>
  <r>
    <d v="2024-04-29T00:00:00"/>
    <x v="3"/>
    <n v="18"/>
    <n v="2001"/>
    <x v="0"/>
    <s v="RUBEN ORTIZ"/>
    <s v="TECURCO"/>
    <s v="Repisa TECU  Caramelo"/>
    <n v="1"/>
    <x v="2"/>
    <x v="1"/>
    <x v="1"/>
    <x v="0"/>
    <s v="Envioclick- Coordinadora"/>
    <s v="2354755 – 84150844157"/>
    <d v="2024-04-29T00:00:00"/>
    <d v="2024-04-30T00:00:00"/>
    <x v="0"/>
    <n v="0"/>
    <n v="1"/>
    <x v="1"/>
    <n v="22355"/>
    <n v="2645"/>
  </r>
  <r>
    <d v="2024-04-29T00:00:00"/>
    <x v="3"/>
    <n v="18"/>
    <n v="2002"/>
    <x v="0"/>
    <s v="Daniel Correa"/>
    <s v="TECU2FBGO"/>
    <s v="Electric Standing Desk GO Blanco"/>
    <n v="1"/>
    <x v="0"/>
    <x v="0"/>
    <x v="10"/>
    <x v="0"/>
    <s v="Envioclick- Coordinadora"/>
    <s v="2354740 – 84150844148"/>
    <d v="2024-04-29T00:00:00"/>
    <d v="2024-04-30T00:00:00"/>
    <x v="0"/>
    <n v="0"/>
    <n v="1"/>
    <x v="1"/>
    <n v="40734"/>
    <n v="-734"/>
  </r>
  <r>
    <d v="2024-04-29T00:00:00"/>
    <x v="3"/>
    <n v="18"/>
    <n v="2002"/>
    <x v="0"/>
    <s v="Daniel Correa"/>
    <s v="TECUTB2C"/>
    <s v="Superficie Escritorio Blanco (Niebla) 120x70 Clasico Small"/>
    <n v="1"/>
    <x v="1"/>
    <x v="0"/>
    <x v="10"/>
    <x v="0"/>
    <s v="Envioclick- Coordinadora"/>
    <s v="2354741 – 84150844150"/>
    <d v="2024-04-29T00:00:00"/>
    <d v="2024-04-30T00:00:00"/>
    <x v="0"/>
    <n v="0"/>
    <n v="1"/>
    <x v="1"/>
    <n v="22988"/>
    <n v="12012"/>
  </r>
  <r>
    <d v="2024-04-29T00:00:00"/>
    <x v="3"/>
    <n v="18"/>
    <n v="2003"/>
    <x v="0"/>
    <s v="Latin Leap SAS"/>
    <s v="TECU3FNPRO"/>
    <s v="Electric Standing Desk  PRO Negro"/>
    <n v="1"/>
    <x v="0"/>
    <x v="0"/>
    <x v="10"/>
    <x v="0"/>
    <s v="Envioclick- Coordinadora"/>
    <s v="2354836 – 84150844189"/>
    <d v="2024-04-29T00:00:00"/>
    <d v="2024-04-30T00:00:00"/>
    <x v="0"/>
    <n v="0"/>
    <n v="1"/>
    <x v="1"/>
    <n v="42002"/>
    <n v="-2002"/>
  </r>
  <r>
    <d v="2024-04-29T00:00:00"/>
    <x v="3"/>
    <n v="18"/>
    <n v="2003"/>
    <x v="0"/>
    <s v="Latin Leap SAS"/>
    <s v="TECUTCO6M"/>
    <s v="Superficie Escritorio Caramelo 160x70 Moderno"/>
    <n v="1"/>
    <x v="1"/>
    <x v="0"/>
    <x v="10"/>
    <x v="0"/>
    <s v="Envioclick- Coordinadora"/>
    <s v="2354853 – 84150844190"/>
    <d v="2024-04-29T00:00:00"/>
    <d v="2024-04-30T00:00:00"/>
    <x v="0"/>
    <n v="0"/>
    <n v="1"/>
    <x v="1"/>
    <n v="22988"/>
    <e v="#N/A"/>
  </r>
  <r>
    <d v="2024-04-29T00:00:00"/>
    <x v="3"/>
    <n v="18"/>
    <n v="2003"/>
    <x v="0"/>
    <s v="Latin Leap SAS"/>
    <s v="TECURCO"/>
    <s v="Repisa TECU  Caramelo"/>
    <n v="1"/>
    <x v="2"/>
    <x v="0"/>
    <x v="10"/>
    <x v="0"/>
    <s v="Envioclick- Coordinadora"/>
    <s v="2354829 – 84150844183"/>
    <d v="2024-04-29T00:00:00"/>
    <d v="2024-04-30T00:00:00"/>
    <x v="0"/>
    <n v="0"/>
    <n v="1"/>
    <x v="1"/>
    <n v="22355"/>
    <n v="2645"/>
  </r>
  <r>
    <d v="2024-04-30T00:00:00"/>
    <x v="3"/>
    <n v="18"/>
    <n v="2004"/>
    <x v="0"/>
    <s v="Juan David Cano"/>
    <s v="TECU3FNPRO"/>
    <s v="Electric Standing Desk  PRO Negro"/>
    <n v="1"/>
    <x v="0"/>
    <x v="0"/>
    <x v="3"/>
    <x v="0"/>
    <s v="Envioclick- Coordinadora"/>
    <s v="2361905 – 84150846832"/>
    <d v="2024-05-02T00:00:00"/>
    <d v="2024-05-03T00:00:00"/>
    <x v="0"/>
    <n v="1"/>
    <n v="2"/>
    <x v="1"/>
    <n v="42002"/>
    <n v="-2002"/>
  </r>
  <r>
    <d v="2024-04-30T00:00:00"/>
    <x v="3"/>
    <n v="18"/>
    <n v="2004"/>
    <x v="0"/>
    <s v="Juan David Cano"/>
    <s v="TECUTCO5C"/>
    <s v="Superficie Escritorio Caramelo 150x70 Clasico"/>
    <n v="1"/>
    <x v="1"/>
    <x v="0"/>
    <x v="3"/>
    <x v="0"/>
    <s v="Envioclick- Coordinadora"/>
    <s v="2361907 – 84150846835"/>
    <d v="2024-05-02T00:00:00"/>
    <d v="2024-05-03T00:00:00"/>
    <x v="0"/>
    <n v="1"/>
    <n v="2"/>
    <x v="1"/>
    <n v="22988"/>
    <e v="#N/A"/>
  </r>
  <r>
    <d v="2024-04-30T00:00:00"/>
    <x v="3"/>
    <n v="18"/>
    <n v="2004"/>
    <x v="0"/>
    <s v="Juan David Cano"/>
    <s v="TECURCO"/>
    <s v="Repisa TECU  Caramelo"/>
    <n v="1"/>
    <x v="2"/>
    <x v="0"/>
    <x v="3"/>
    <x v="0"/>
    <s v="Envioclick- Coordinadora"/>
    <s v="2361900 – 84150846827"/>
    <d v="2024-05-02T00:00:00"/>
    <d v="2024-05-03T00:00:00"/>
    <x v="0"/>
    <n v="1"/>
    <n v="2"/>
    <x v="1"/>
    <n v="22355"/>
    <n v="2645"/>
  </r>
  <r>
    <d v="2024-05-01T00:00:00"/>
    <x v="4"/>
    <n v="18"/>
    <n v="2005"/>
    <x v="0"/>
    <s v="David Lopez"/>
    <s v="TECURCC"/>
    <s v="Repisa TECU  Miel"/>
    <n v="1"/>
    <x v="2"/>
    <x v="1"/>
    <x v="1"/>
    <x v="0"/>
    <s v="Envioclick- Coordinadora"/>
    <s v="2362056 – 84150846854"/>
    <d v="2024-05-02T00:00:00"/>
    <d v="2024-05-03T00:00:00"/>
    <x v="0"/>
    <n v="0"/>
    <n v="1"/>
    <x v="1"/>
    <n v="22355"/>
    <n v="2645"/>
  </r>
  <r>
    <d v="2024-05-01T00:00:00"/>
    <x v="4"/>
    <n v="18"/>
    <n v="2006"/>
    <x v="0"/>
    <s v="Ronald Ramirez"/>
    <s v="TECUCT"/>
    <s v="TECU bandeja de cables"/>
    <n v="1"/>
    <x v="4"/>
    <x v="1"/>
    <x v="1"/>
    <x v="0"/>
    <s v="Envioclick- Coordinadora"/>
    <s v="2362450 – 84150847053"/>
    <d v="2024-05-02T00:00:00"/>
    <d v="2024-05-03T00:00:00"/>
    <x v="0"/>
    <n v="0"/>
    <n v="1"/>
    <x v="1"/>
    <n v="16121"/>
    <n v="8879"/>
  </r>
  <r>
    <d v="2024-04-30T00:00:00"/>
    <x v="3"/>
    <n v="18"/>
    <n v="1993"/>
    <x v="1"/>
    <s v="Daniel Cuervo Arevalo"/>
    <s v="TECURCO"/>
    <s v="Repisa TECU  Caramelo"/>
    <n v="1"/>
    <x v="2"/>
    <x v="1"/>
    <x v="1"/>
    <x v="0"/>
    <s v="Envioclick- Coordinadora"/>
    <s v="2358111 - 84150845766"/>
    <d v="2024-04-30T00:00:00"/>
    <d v="2024-05-02T00:00:00"/>
    <x v="0"/>
    <n v="0"/>
    <n v="1"/>
    <x v="1"/>
    <n v="23545"/>
    <n v="1455"/>
  </r>
  <r>
    <d v="2024-04-30T00:00:00"/>
    <x v="3"/>
    <n v="18"/>
    <n v="1994"/>
    <x v="1"/>
    <s v="Juan Carlos Gomez"/>
    <s v="TECUACC"/>
    <s v="Archivador TECU  Miel"/>
    <n v="1"/>
    <x v="3"/>
    <x v="1"/>
    <x v="1"/>
    <x v="0"/>
    <s v="Envioclick- Envia"/>
    <s v="2379789 - 954100958823"/>
    <d v="2024-05-06T00:00:00"/>
    <d v="2024-05-07T00:00:00"/>
    <x v="0"/>
    <n v="4"/>
    <n v="5"/>
    <x v="0"/>
    <n v="56461"/>
    <n v="-6461"/>
  </r>
  <r>
    <d v="2024-04-15T00:00:00"/>
    <x v="3"/>
    <n v="16"/>
    <s v="INFLUENCER"/>
    <x v="1"/>
    <s v="Brown Studio"/>
    <s v="TECUAN"/>
    <s v="Archivador TECU  Negro (Wengue)"/>
    <n v="1"/>
    <x v="3"/>
    <x v="1"/>
    <x v="1"/>
    <x v="0"/>
    <s v="Envioclick- Envia"/>
    <s v="2379196 - 954100958746"/>
    <d v="2024-05-06T00:00:00"/>
    <d v="2024-05-07T00:00:00"/>
    <x v="0"/>
    <n v="17"/>
    <n v="18"/>
    <x v="0"/>
    <n v="56461"/>
    <n v="-6461"/>
  </r>
  <r>
    <d v="2024-05-02T00:00:00"/>
    <x v="4"/>
    <n v="18"/>
    <n v="2007"/>
    <x v="0"/>
    <s v="PRICESMART COLOMBIA SAS"/>
    <s v="TECU3FNPRO"/>
    <s v="Electric Standing Desk  PRO Negro"/>
    <n v="1"/>
    <x v="0"/>
    <x v="1"/>
    <x v="1"/>
    <x v="0"/>
    <s v="Envioclick- Coordinadora"/>
    <s v="2446146 - 84150879597"/>
    <d v="2024-05-28T00:00:00"/>
    <d v="2024-05-31T00:00:00"/>
    <x v="0"/>
    <n v="21"/>
    <n v="24"/>
    <x v="0"/>
    <n v="40734"/>
    <n v="-734"/>
  </r>
  <r>
    <d v="2024-05-02T00:00:00"/>
    <x v="4"/>
    <n v="18"/>
    <n v="2007"/>
    <x v="0"/>
    <s v="PRICESMART COLOMBIA SAS"/>
    <s v="TECUTCC5C"/>
    <s v="Superficie Escritorio Miel 150x70 Clasico"/>
    <n v="1"/>
    <x v="1"/>
    <x v="1"/>
    <x v="1"/>
    <x v="0"/>
    <s v="Envioclick- Coordinadora"/>
    <s v="2446148 - 84150879599"/>
    <d v="2024-05-28T00:00:00"/>
    <d v="2024-05-31T00:00:00"/>
    <x v="0"/>
    <n v="21"/>
    <n v="24"/>
    <x v="0"/>
    <n v="22988"/>
    <n v="12012"/>
  </r>
  <r>
    <d v="2024-05-03T00:00:00"/>
    <x v="4"/>
    <n v="18"/>
    <n v="2008"/>
    <x v="0"/>
    <s v="Jose Leonardo Nuñez Amado"/>
    <s v="TECUDSN"/>
    <s v="TECU Desk Stool Negra Silla ajustable"/>
    <n v="1"/>
    <x v="5"/>
    <x v="1"/>
    <x v="1"/>
    <x v="0"/>
    <s v="Envioclick- Coordinadora"/>
    <s v="2373252 – 84150849127"/>
    <d v="2024-05-03T00:00:00"/>
    <d v="2024-05-04T00:00:00"/>
    <x v="0"/>
    <n v="0"/>
    <n v="1"/>
    <x v="1"/>
    <n v="22355"/>
    <n v="2645"/>
  </r>
  <r>
    <d v="2024-05-06T00:00:00"/>
    <x v="4"/>
    <n v="19"/>
    <n v="2009"/>
    <x v="0"/>
    <s v="Juan Felipe Montaña Perdomo"/>
    <s v="TECU2FNG"/>
    <s v="Electric Standing Desk GO Negro"/>
    <n v="1"/>
    <x v="0"/>
    <x v="1"/>
    <x v="14"/>
    <x v="0"/>
    <s v="Envioclick- Coordinadora"/>
    <s v="2380007 – 84150852218"/>
    <d v="2024-05-06T00:00:00"/>
    <d v="2024-05-07T00:00:00"/>
    <x v="0"/>
    <n v="0"/>
    <n v="1"/>
    <x v="1"/>
    <n v="60937"/>
    <n v="-20937"/>
  </r>
  <r>
    <d v="2024-05-06T00:00:00"/>
    <x v="4"/>
    <n v="19"/>
    <n v="2009"/>
    <x v="0"/>
    <s v="Juan Felipe Montaña Perdomo"/>
    <s v="TECUTCC4C"/>
    <s v="Superficie Escritorio Miel 140x70 Clasico"/>
    <n v="1"/>
    <x v="1"/>
    <x v="1"/>
    <x v="14"/>
    <x v="0"/>
    <s v="Envioclick- Coordinadora"/>
    <s v="2380009 – 84150852220"/>
    <d v="2024-05-06T00:00:00"/>
    <d v="2024-05-07T00:00:00"/>
    <x v="0"/>
    <n v="0"/>
    <n v="1"/>
    <x v="1"/>
    <n v="60937"/>
    <n v="-25937"/>
  </r>
  <r>
    <d v="2024-05-06T00:00:00"/>
    <x v="4"/>
    <n v="19"/>
    <n v="2010"/>
    <x v="0"/>
    <s v="Carlos Aroca"/>
    <s v="TECU3FNPRO"/>
    <s v="Electric Standing Desk  PRO Negro"/>
    <n v="1"/>
    <x v="0"/>
    <x v="1"/>
    <x v="1"/>
    <x v="0"/>
    <s v="Servientrega"/>
    <n v="9173879326"/>
    <d v="2024-05-06T00:00:00"/>
    <d v="2024-05-09T00:00:00"/>
    <x v="0"/>
    <n v="0"/>
    <n v="3"/>
    <x v="1"/>
    <n v="25521"/>
    <n v="14479"/>
  </r>
  <r>
    <d v="2024-05-06T00:00:00"/>
    <x v="4"/>
    <n v="19"/>
    <n v="2010"/>
    <x v="0"/>
    <s v="Carlos Aroca"/>
    <s v="TECUTCO8C"/>
    <s v="Superficie Escritorio Caramelo 180x70 Clasico"/>
    <n v="1"/>
    <x v="1"/>
    <x v="1"/>
    <x v="1"/>
    <x v="0"/>
    <s v="Servientrega"/>
    <n v="9173879325"/>
    <d v="2024-05-06T00:00:00"/>
    <d v="2024-05-09T00:00:00"/>
    <x v="0"/>
    <n v="0"/>
    <n v="3"/>
    <x v="1"/>
    <n v="42002"/>
    <e v="#N/A"/>
  </r>
  <r>
    <d v="2024-05-06T00:00:00"/>
    <x v="4"/>
    <n v="19"/>
    <n v="2010"/>
    <x v="0"/>
    <s v="Carlos Aroca"/>
    <s v="TECURCO"/>
    <s v="Repisa TECU  Caramelo"/>
    <n v="1"/>
    <x v="2"/>
    <x v="1"/>
    <x v="1"/>
    <x v="0"/>
    <s v="Servientrega"/>
    <n v="9173879327"/>
    <d v="2024-05-06T00:00:00"/>
    <d v="2024-05-09T00:00:00"/>
    <x v="0"/>
    <n v="0"/>
    <n v="3"/>
    <x v="1"/>
    <n v="22355"/>
    <n v="2645"/>
  </r>
  <r>
    <d v="2024-05-06T00:00:00"/>
    <x v="4"/>
    <n v="19"/>
    <n v="2011"/>
    <x v="0"/>
    <s v="Andrés Sarria Castillo"/>
    <s v="TECU3FNPRO"/>
    <s v="Electric Standing Desk  PRO Negro"/>
    <n v="1"/>
    <x v="0"/>
    <x v="4"/>
    <x v="30"/>
    <x v="0"/>
    <s v="Envioclick- Coordinadora"/>
    <s v="2379872 – 84150852154"/>
    <d v="2024-05-06T00:00:00"/>
    <d v="2024-05-07T00:00:00"/>
    <x v="0"/>
    <n v="0"/>
    <n v="1"/>
    <x v="1"/>
    <n v="16631"/>
    <n v="23369"/>
  </r>
  <r>
    <d v="2024-05-06T00:00:00"/>
    <x v="4"/>
    <n v="19"/>
    <n v="2012"/>
    <x v="0"/>
    <s v="John Alejandro Nuñez Giraldo"/>
    <s v="TECULFN2"/>
    <s v="Electric Standing Desk | Escritorio Ajustable En L Frame Negro 2.0"/>
    <n v="1"/>
    <x v="0"/>
    <x v="0"/>
    <x v="3"/>
    <x v="0"/>
    <s v="Envioclick- Coordinadora"/>
    <s v="2384109 – 84150854286"/>
    <d v="2024-05-07T00:00:00"/>
    <d v="2024-05-08T00:00:00"/>
    <x v="0"/>
    <n v="1"/>
    <n v="2"/>
    <x v="1"/>
    <n v="42002"/>
    <n v="-2002"/>
  </r>
  <r>
    <d v="2024-05-06T00:00:00"/>
    <x v="4"/>
    <n v="19"/>
    <n v="2012"/>
    <x v="0"/>
    <s v="John Alejandro Nuñez Giraldo"/>
    <s v="TECUTLCCS"/>
    <s v="Superficie Escritorio en L Caramelo Set completo"/>
    <n v="1"/>
    <x v="1"/>
    <x v="0"/>
    <x v="3"/>
    <x v="0"/>
    <s v="Envioclick- Coordinadora"/>
    <s v="2384113 – 84150854287"/>
    <d v="2024-05-07T00:00:00"/>
    <d v="2024-05-08T00:00:00"/>
    <x v="0"/>
    <n v="1"/>
    <n v="2"/>
    <x v="1"/>
    <n v="22988"/>
    <n v="12012"/>
  </r>
  <r>
    <d v="2024-05-06T00:00:00"/>
    <x v="4"/>
    <n v="19"/>
    <n v="2013"/>
    <x v="0"/>
    <s v="Alejandro Garzon"/>
    <s v="TECU3FNPRO"/>
    <s v="Electric Standing Desk  PRO Negro"/>
    <n v="1"/>
    <x v="0"/>
    <x v="4"/>
    <x v="5"/>
    <x v="0"/>
    <s v="Envioclick- Coordinadora"/>
    <s v="2384300 – 84150854380"/>
    <d v="2024-05-07T00:00:00"/>
    <d v="2024-05-08T00:00:00"/>
    <x v="0"/>
    <n v="1"/>
    <n v="2"/>
    <x v="1"/>
    <n v="22355"/>
    <n v="17645"/>
  </r>
  <r>
    <d v="2024-05-06T00:00:00"/>
    <x v="4"/>
    <n v="19"/>
    <n v="2013"/>
    <x v="0"/>
    <s v="Alejandro Garzon"/>
    <s v="TECUTCO20C"/>
    <s v="Superficie Escritorio Caramelo 200x70 Clasico"/>
    <n v="1"/>
    <x v="1"/>
    <x v="4"/>
    <x v="5"/>
    <x v="0"/>
    <s v="Envioclick- Coordinadora"/>
    <s v="2384302 – 84150854382"/>
    <d v="2024-05-07T00:00:00"/>
    <d v="2024-05-08T00:00:00"/>
    <x v="0"/>
    <n v="1"/>
    <n v="2"/>
    <x v="1"/>
    <m/>
    <n v="35000"/>
  </r>
  <r>
    <d v="2024-05-06T00:00:00"/>
    <x v="4"/>
    <n v="19"/>
    <n v="2013"/>
    <x v="0"/>
    <s v="Alejandro Garzon"/>
    <s v="TECURCO"/>
    <s v="Repisa TECU  Caramelo"/>
    <n v="1"/>
    <x v="2"/>
    <x v="4"/>
    <x v="5"/>
    <x v="0"/>
    <s v="Envioclick- Coordinadora"/>
    <s v="2384294 – 84150854374"/>
    <d v="2024-05-07T00:00:00"/>
    <d v="2024-05-08T00:00:00"/>
    <x v="0"/>
    <n v="1"/>
    <n v="2"/>
    <x v="1"/>
    <m/>
    <n v="25000"/>
  </r>
  <r>
    <d v="2024-05-06T00:00:00"/>
    <x v="4"/>
    <n v="19"/>
    <n v="2014"/>
    <x v="0"/>
    <s v="Santiago Carmona Rincon"/>
    <s v="TECU2FNG"/>
    <s v="Electric Standing Desk GO Negro"/>
    <n v="1"/>
    <x v="0"/>
    <x v="0"/>
    <x v="31"/>
    <x v="0"/>
    <s v="Envioclick- Coordinadora"/>
    <s v="2384263 – 84150854361"/>
    <d v="2024-05-07T00:00:00"/>
    <d v="2024-05-08T00:00:00"/>
    <x v="0"/>
    <n v="1"/>
    <n v="2"/>
    <x v="3"/>
    <n v="54627"/>
    <n v="-14627"/>
  </r>
  <r>
    <d v="2024-05-06T00:00:00"/>
    <x v="4"/>
    <n v="19"/>
    <n v="2014"/>
    <x v="0"/>
    <s v="Santiago Carmona Rincon"/>
    <s v="TECUTCC4C"/>
    <s v="Superficie Escritorio Miel 140x70 Clasico"/>
    <n v="1"/>
    <x v="1"/>
    <x v="0"/>
    <x v="31"/>
    <x v="0"/>
    <s v="Envioclick- Coordinadora"/>
    <s v="2384267 – 84150854363"/>
    <d v="2024-05-07T00:00:00"/>
    <d v="2024-05-08T00:00:00"/>
    <x v="0"/>
    <n v="1"/>
    <n v="2"/>
    <x v="3"/>
    <n v="36884"/>
    <n v="-1884"/>
  </r>
  <r>
    <d v="2024-05-06T00:00:00"/>
    <x v="4"/>
    <n v="19"/>
    <n v="2014"/>
    <x v="0"/>
    <s v="Santiago Carmona Rincon"/>
    <s v="TECUBLS"/>
    <s v="TECU Laptop Stand B"/>
    <n v="1"/>
    <x v="4"/>
    <x v="0"/>
    <x v="31"/>
    <x v="0"/>
    <s v="Envioclick- Coordinadora"/>
    <s v="2384133 – 84150854299"/>
    <d v="2024-05-07T00:00:00"/>
    <d v="2024-05-08T00:00:00"/>
    <x v="0"/>
    <n v="1"/>
    <n v="2"/>
    <x v="3"/>
    <n v="31613"/>
    <n v="18387"/>
  </r>
  <r>
    <d v="2024-05-06T00:00:00"/>
    <x v="4"/>
    <n v="19"/>
    <n v="2014"/>
    <x v="0"/>
    <s v="Santiago Carmona Rincon"/>
    <s v="TECUBDPA"/>
    <s v="TECU Desk Pad B Negro Azul"/>
    <n v="1"/>
    <x v="4"/>
    <x v="0"/>
    <x v="31"/>
    <x v="0"/>
    <s v="Envioclick- Coordinadora"/>
    <s v="2384126 – 84150854297"/>
    <d v="2024-05-07T00:00:00"/>
    <d v="2024-05-08T00:00:00"/>
    <x v="0"/>
    <n v="1"/>
    <n v="2"/>
    <x v="3"/>
    <n v="42002"/>
    <n v="7998"/>
  </r>
  <r>
    <d v="2024-05-06T00:00:00"/>
    <x v="4"/>
    <n v="19"/>
    <n v="2014"/>
    <x v="0"/>
    <s v="Santiago Carmona Rincon"/>
    <s v="TECUCT"/>
    <s v="TECU bandeja de cables"/>
    <n v="1"/>
    <x v="4"/>
    <x v="0"/>
    <x v="31"/>
    <x v="0"/>
    <s v="Envioclick- Coordinadora"/>
    <s v="2384422 – 84150854464"/>
    <d v="2024-05-07T00:00:00"/>
    <d v="2024-05-08T00:00:00"/>
    <x v="0"/>
    <n v="1"/>
    <n v="2"/>
    <x v="3"/>
    <n v="25521"/>
    <n v="-521"/>
  </r>
  <r>
    <d v="2024-05-07T00:00:00"/>
    <x v="4"/>
    <n v="19"/>
    <n v="2015"/>
    <x v="0"/>
    <s v="wpd Colombia SAS"/>
    <s v="TECU2FNG"/>
    <s v="Electric Standing Desk GO Negro"/>
    <n v="1"/>
    <x v="0"/>
    <x v="1"/>
    <x v="1"/>
    <x v="0"/>
    <s v="Envioclick- Coordinadora"/>
    <s v="2396490 – 84150860126"/>
    <d v="2024-05-11T00:00:00"/>
    <d v="2024-05-14T00:00:00"/>
    <x v="0"/>
    <n v="4"/>
    <n v="5"/>
    <x v="0"/>
    <n v="22355"/>
    <n v="17645"/>
  </r>
  <r>
    <d v="2024-05-07T00:00:00"/>
    <x v="4"/>
    <n v="19"/>
    <n v="2015"/>
    <x v="0"/>
    <s v="wpd Colombia SAS"/>
    <s v="TECUTCC4C"/>
    <s v="Superficie Escritorio Miel 140x70 Clasico"/>
    <n v="1"/>
    <x v="1"/>
    <x v="1"/>
    <x v="1"/>
    <x v="0"/>
    <s v="Envioclick- Coordinadora"/>
    <s v="2396491 – 84150860127"/>
    <d v="2024-05-11T00:00:00"/>
    <d v="2024-05-14T00:00:00"/>
    <x v="0"/>
    <n v="4"/>
    <n v="5"/>
    <x v="0"/>
    <n v="40734"/>
    <n v="-5734"/>
  </r>
  <r>
    <d v="2024-05-07T00:00:00"/>
    <x v="4"/>
    <n v="19"/>
    <n v="2015"/>
    <x v="0"/>
    <s v="wpd Colombia SAS"/>
    <s v="TECU2FNG"/>
    <s v="Electric Standing Desk GO Negro"/>
    <n v="1"/>
    <x v="0"/>
    <x v="1"/>
    <x v="1"/>
    <x v="0"/>
    <s v="Envioclick- Coordinadora"/>
    <s v="2396492 – 84150860128"/>
    <d v="2024-05-11T00:00:00"/>
    <d v="2024-05-14T00:00:00"/>
    <x v="0"/>
    <n v="4"/>
    <n v="5"/>
    <x v="0"/>
    <n v="22988"/>
    <n v="17012"/>
  </r>
  <r>
    <d v="2024-05-07T00:00:00"/>
    <x v="4"/>
    <n v="19"/>
    <n v="2015"/>
    <x v="0"/>
    <s v="wpd Colombia SAS"/>
    <s v="TECUTCC4C"/>
    <s v="Superficie Escritorio Miel 140x70 Clasico"/>
    <n v="1"/>
    <x v="1"/>
    <x v="1"/>
    <x v="1"/>
    <x v="0"/>
    <s v="Envioclick- Coordinadora"/>
    <s v="2396493 – 84150860129"/>
    <d v="2024-05-11T00:00:00"/>
    <d v="2024-05-14T00:00:00"/>
    <x v="0"/>
    <n v="4"/>
    <n v="5"/>
    <x v="0"/>
    <n v="42002"/>
    <n v="-7002"/>
  </r>
  <r>
    <d v="2024-05-07T00:00:00"/>
    <x v="4"/>
    <n v="19"/>
    <n v="2015"/>
    <x v="0"/>
    <s v="wpd Colombia SAS"/>
    <s v="TECU2FNG"/>
    <s v="Electric Standing Desk GO Negro"/>
    <n v="1"/>
    <x v="0"/>
    <x v="1"/>
    <x v="1"/>
    <x v="0"/>
    <s v="Envioclick- Coordinadora"/>
    <s v="2396501 – 84150860134"/>
    <d v="2024-05-11T00:00:00"/>
    <d v="2024-05-14T00:00:00"/>
    <x v="0"/>
    <n v="4"/>
    <n v="5"/>
    <x v="0"/>
    <n v="22988"/>
    <n v="17012"/>
  </r>
  <r>
    <d v="2024-05-07T00:00:00"/>
    <x v="4"/>
    <n v="19"/>
    <n v="2015"/>
    <x v="0"/>
    <s v="wpd Colombia SAS"/>
    <s v="TECUTCC4C"/>
    <s v="Superficie Escritorio Miel 140x70 Clasico"/>
    <n v="1"/>
    <x v="1"/>
    <x v="1"/>
    <x v="1"/>
    <x v="0"/>
    <s v="Envioclick- Coordinadora"/>
    <s v="2396502 – 84150860135"/>
    <d v="2024-05-11T00:00:00"/>
    <d v="2024-05-14T00:00:00"/>
    <x v="0"/>
    <n v="4"/>
    <n v="5"/>
    <x v="0"/>
    <n v="22355"/>
    <n v="12645"/>
  </r>
  <r>
    <d v="2024-05-07T00:00:00"/>
    <x v="4"/>
    <n v="19"/>
    <n v="2016"/>
    <x v="0"/>
    <s v="American KPO SAS"/>
    <s v="TECU3FNPRO"/>
    <s v="Electric Standing Desk  PRO Negro"/>
    <n v="1"/>
    <x v="0"/>
    <x v="1"/>
    <x v="1"/>
    <x v="0"/>
    <s v="Envioclick- Coordinadora"/>
    <s v="2389993 – 84150857088"/>
    <d v="2024-05-09T00:00:00"/>
    <d v="2024-05-10T00:00:00"/>
    <x v="0"/>
    <n v="2"/>
    <n v="3"/>
    <x v="1"/>
    <n v="42002"/>
    <n v="-2002"/>
  </r>
  <r>
    <d v="2024-05-07T00:00:00"/>
    <x v="4"/>
    <n v="19"/>
    <n v="2016"/>
    <x v="0"/>
    <s v="American KPO SAS"/>
    <s v="TECUDSN"/>
    <s v="TECU Desk Stool Negra Silla ajustable"/>
    <n v="1"/>
    <x v="5"/>
    <x v="1"/>
    <x v="1"/>
    <x v="0"/>
    <s v="Envioclick- Coordinadora"/>
    <s v="2390007 – 84150857099"/>
    <d v="2024-05-09T00:00:00"/>
    <d v="2024-05-10T00:00:00"/>
    <x v="0"/>
    <n v="2"/>
    <n v="3"/>
    <x v="1"/>
    <n v="22988"/>
    <n v="2012"/>
  </r>
  <r>
    <d v="2024-05-07T00:00:00"/>
    <x v="4"/>
    <n v="19"/>
    <n v="2016"/>
    <x v="0"/>
    <s v="American KPO SAS"/>
    <s v="TECURN"/>
    <s v="Repisa TECU  Negro (Wengue)"/>
    <n v="1"/>
    <x v="2"/>
    <x v="1"/>
    <x v="1"/>
    <x v="0"/>
    <s v="Envioclick- Coordinadora"/>
    <s v="2390024 – 84150857107"/>
    <d v="2024-05-09T00:00:00"/>
    <d v="2024-05-10T00:00:00"/>
    <x v="0"/>
    <n v="2"/>
    <n v="3"/>
    <x v="1"/>
    <n v="22355"/>
    <n v="2645"/>
  </r>
  <r>
    <d v="2024-05-07T00:00:00"/>
    <x v="4"/>
    <n v="19"/>
    <n v="2017"/>
    <x v="0"/>
    <s v="Diandra Escobar"/>
    <s v="TECU2FNG"/>
    <s v="Electric Standing Desk GO Negro"/>
    <n v="1"/>
    <x v="0"/>
    <x v="0"/>
    <x v="3"/>
    <x v="0"/>
    <s v="Envioclick- Coordinadora"/>
    <s v="2386834 – 84150855623"/>
    <d v="2024-05-08T00:00:00"/>
    <d v="2024-05-09T00:00:00"/>
    <x v="0"/>
    <n v="1"/>
    <n v="2"/>
    <x v="1"/>
    <n v="22355"/>
    <n v="17645"/>
  </r>
  <r>
    <d v="2024-05-07T00:00:00"/>
    <x v="4"/>
    <n v="19"/>
    <n v="2017"/>
    <x v="0"/>
    <s v="Diandra Escobar"/>
    <s v="TECUTB2C"/>
    <s v="Superficie Escritorio Blanco (Niebla) 120x70 Clasico Small"/>
    <n v="1"/>
    <x v="1"/>
    <x v="0"/>
    <x v="3"/>
    <x v="0"/>
    <s v="Envioclick- Coordinadora"/>
    <s v="2386835 – 84150855625"/>
    <d v="2024-05-08T00:00:00"/>
    <d v="2024-05-09T00:00:00"/>
    <x v="0"/>
    <n v="1"/>
    <n v="2"/>
    <x v="1"/>
    <n v="16121"/>
    <n v="18879"/>
  </r>
  <r>
    <d v="2024-05-08T00:00:00"/>
    <x v="4"/>
    <n v="19"/>
    <n v="2018"/>
    <x v="0"/>
    <s v="Luis Fernando Amezquita Vasquez"/>
    <s v="TECU2FNG"/>
    <s v="Electric Standing Desk GO Negro"/>
    <n v="1"/>
    <x v="0"/>
    <x v="1"/>
    <x v="1"/>
    <x v="0"/>
    <s v="Envioclick- Coordinadora"/>
    <s v="2390036 – 84150857116"/>
    <d v="2024-05-09T00:00:00"/>
    <d v="2024-05-10T00:00:00"/>
    <x v="0"/>
    <n v="1"/>
    <n v="2"/>
    <x v="1"/>
    <m/>
    <n v="40000"/>
  </r>
  <r>
    <d v="2024-05-08T00:00:00"/>
    <x v="4"/>
    <n v="19"/>
    <n v="2018"/>
    <x v="0"/>
    <s v="Luis Fernando Amezquita Vasquez"/>
    <s v="TECUTCO4C"/>
    <s v="Superficie Escritorio Caramelo 140x70 Clasico"/>
    <n v="1"/>
    <x v="1"/>
    <x v="1"/>
    <x v="1"/>
    <x v="0"/>
    <s v="Envioclick- Coordinadora"/>
    <s v="2390038 – 84150857117"/>
    <d v="2024-05-09T00:00:00"/>
    <d v="2024-05-10T00:00:00"/>
    <x v="0"/>
    <n v="1"/>
    <n v="2"/>
    <x v="1"/>
    <m/>
    <n v="35000"/>
  </r>
  <r>
    <d v="2024-05-08T00:00:00"/>
    <x v="4"/>
    <n v="19"/>
    <n v="2018"/>
    <x v="0"/>
    <s v="Luis Fernando Amezquita Vasquez"/>
    <s v="TECURCO"/>
    <s v="Repisa TECU  Caramelo"/>
    <n v="1"/>
    <x v="2"/>
    <x v="1"/>
    <x v="1"/>
    <x v="0"/>
    <s v="Envioclick- Coordinadora"/>
    <s v="2390038 – 84150857117"/>
    <d v="2024-05-09T00:00:00"/>
    <d v="2024-05-10T00:00:00"/>
    <x v="0"/>
    <n v="1"/>
    <n v="2"/>
    <x v="1"/>
    <m/>
    <n v="25000"/>
  </r>
  <r>
    <d v="2024-05-09T00:00:00"/>
    <x v="4"/>
    <n v="19"/>
    <n v="2019"/>
    <x v="0"/>
    <s v="Gabriel Herrera Zarate"/>
    <s v="TECUBDPA"/>
    <s v="TECU Desk Pad B Negro Azul"/>
    <n v="1"/>
    <x v="4"/>
    <x v="7"/>
    <x v="32"/>
    <x v="0"/>
    <s v="Envioclick- Coordinadora"/>
    <s v="2390067 – 84150857137"/>
    <d v="2024-05-09T00:00:00"/>
    <d v="2024-05-11T00:00:00"/>
    <x v="0"/>
    <n v="0"/>
    <n v="2"/>
    <x v="3"/>
    <n v="25935"/>
    <n v="24065"/>
  </r>
  <r>
    <d v="2024-05-09T00:00:00"/>
    <x v="4"/>
    <n v="19"/>
    <n v="2020"/>
    <x v="0"/>
    <s v="Luisa Gonzalez"/>
    <s v="TECU3FGPRO"/>
    <s v="Electric Standing Desk  PRO Gris"/>
    <n v="1"/>
    <x v="0"/>
    <x v="1"/>
    <x v="1"/>
    <x v="0"/>
    <s v="Envioclick- Coordinadora"/>
    <s v="2394100 – 84150858973"/>
    <d v="2024-05-10T00:00:00"/>
    <d v="2024-05-14T00:00:00"/>
    <x v="0"/>
    <n v="1"/>
    <n v="3"/>
    <x v="1"/>
    <n v="40734"/>
    <n v="-734"/>
  </r>
  <r>
    <d v="2024-05-09T00:00:00"/>
    <x v="4"/>
    <n v="19"/>
    <n v="2020"/>
    <x v="0"/>
    <s v="Luisa Gonzalez"/>
    <s v="TECUTB5M"/>
    <s v="Superficie Escritorio Blanco(Niebla) 150x70 Moderno"/>
    <n v="1"/>
    <x v="1"/>
    <x v="1"/>
    <x v="1"/>
    <x v="0"/>
    <s v="Envioclick- Coordinadora"/>
    <s v="2394101 – 84150858974"/>
    <d v="2024-05-10T00:00:00"/>
    <d v="2024-05-14T00:00:00"/>
    <x v="0"/>
    <n v="1"/>
    <n v="3"/>
    <x v="1"/>
    <n v="22988"/>
    <n v="12012"/>
  </r>
  <r>
    <d v="2024-05-09T00:00:00"/>
    <x v="4"/>
    <n v="19"/>
    <n v="2020"/>
    <x v="0"/>
    <s v="Luisa Gonzalez"/>
    <s v="TECURB"/>
    <s v="Repisa TECU  Blanco (Niebla)"/>
    <n v="1"/>
    <x v="2"/>
    <x v="1"/>
    <x v="1"/>
    <x v="0"/>
    <s v="Envioclick- Coordinadora"/>
    <s v="2394101 – 84150858974"/>
    <d v="2024-05-10T00:00:00"/>
    <d v="2024-05-14T00:00:00"/>
    <x v="0"/>
    <n v="1"/>
    <n v="3"/>
    <x v="1"/>
    <n v="67500"/>
    <n v="-42500"/>
  </r>
  <r>
    <d v="2024-05-08T00:00:00"/>
    <x v="4"/>
    <n v="19"/>
    <s v="Dra Paola"/>
    <x v="3"/>
    <s v="Paola Castañeda Guti"/>
    <s v="TECU2FNG"/>
    <s v="Electric Standing Desk GO Negro"/>
    <n v="1"/>
    <x v="0"/>
    <x v="1"/>
    <x v="1"/>
    <x v="0"/>
    <s v="Envioclick- Coordinadora"/>
    <s v="2387596 – 84150855933"/>
    <d v="2024-05-08T00:00:00"/>
    <d v="2024-05-09T00:00:00"/>
    <x v="0"/>
    <n v="0"/>
    <n v="1"/>
    <x v="1"/>
    <n v="25521"/>
    <n v="14479"/>
  </r>
  <r>
    <d v="2024-05-08T00:00:00"/>
    <x v="4"/>
    <n v="19"/>
    <s v="Dra Paola"/>
    <x v="3"/>
    <s v="Paola Castañeda Guti"/>
    <s v="TECUTCO4C"/>
    <s v="Superficie Escritorio Caramelo 140x70 Clasico"/>
    <n v="1"/>
    <x v="1"/>
    <x v="1"/>
    <x v="1"/>
    <x v="0"/>
    <s v="Envioclick- Coordinadora"/>
    <s v="2387567 – 84150855923"/>
    <d v="2024-05-08T00:00:00"/>
    <d v="2024-05-09T00:00:00"/>
    <x v="0"/>
    <n v="0"/>
    <n v="1"/>
    <x v="1"/>
    <n v="22355"/>
    <n v="12645"/>
  </r>
  <r>
    <d v="2024-05-10T00:00:00"/>
    <x v="4"/>
    <n v="19"/>
    <n v="1961"/>
    <x v="4"/>
    <s v="silvana camacho"/>
    <s v="TECURCC"/>
    <s v="Repisa TECU  Miel"/>
    <n v="1"/>
    <x v="2"/>
    <x v="1"/>
    <x v="1"/>
    <x v="0"/>
    <s v="Envioclick- Coordinadora"/>
    <s v="2394745 - 84150859365"/>
    <d v="2024-05-10T00:00:00"/>
    <d v="2024-05-11T00:00:00"/>
    <x v="0"/>
    <n v="0"/>
    <n v="1"/>
    <x v="1"/>
    <n v="40734"/>
    <n v="-15734"/>
  </r>
  <r>
    <d v="2024-05-10T00:00:00"/>
    <x v="4"/>
    <n v="19"/>
    <n v="2021"/>
    <x v="0"/>
    <s v="Sergio Pomárico Hernández"/>
    <s v="TECURCC"/>
    <s v="Repisa TECU  Miel"/>
    <n v="1"/>
    <x v="2"/>
    <x v="0"/>
    <x v="3"/>
    <x v="0"/>
    <s v="Envioclick- Coordinadora"/>
    <s v="2398798 – 84150860999"/>
    <d v="2024-05-14T00:00:00"/>
    <d v="2024-05-15T00:00:00"/>
    <x v="0"/>
    <n v="2"/>
    <n v="3"/>
    <x v="1"/>
    <n v="22988"/>
    <n v="2012"/>
  </r>
  <r>
    <d v="2024-05-10T00:00:00"/>
    <x v="4"/>
    <n v="19"/>
    <n v="2022"/>
    <x v="0"/>
    <s v="Daniel Roberto Prada Granada"/>
    <s v="TECUDSN"/>
    <s v="TECU Desk Stool Negra Silla ajustable"/>
    <n v="1"/>
    <x v="5"/>
    <x v="1"/>
    <x v="1"/>
    <x v="0"/>
    <s v="Envioclick- Coordinadora"/>
    <s v="2396509 – 84150860140"/>
    <d v="2024-05-11T00:00:00"/>
    <d v="2024-05-14T00:00:00"/>
    <x v="0"/>
    <n v="1"/>
    <n v="2"/>
    <x v="1"/>
    <n v="24042"/>
    <n v="958"/>
  </r>
  <r>
    <d v="2024-05-14T00:00:00"/>
    <x v="4"/>
    <n v="20"/>
    <n v="2023"/>
    <x v="0"/>
    <s v="Francisco Tabares"/>
    <s v="TECU3FGPRO"/>
    <s v="Electric Standing Desk  PRO Gris"/>
    <n v="1"/>
    <x v="0"/>
    <x v="1"/>
    <x v="15"/>
    <x v="0"/>
    <s v="Envioclick- Coordinadora"/>
    <s v="2398905 – 84150861048"/>
    <d v="2024-05-14T00:00:00"/>
    <d v="2024-05-17T00:00:00"/>
    <x v="0"/>
    <n v="0"/>
    <n v="3"/>
    <x v="1"/>
    <n v="16131"/>
    <n v="23869"/>
  </r>
  <r>
    <d v="2024-05-14T00:00:00"/>
    <x v="4"/>
    <n v="20"/>
    <n v="2023"/>
    <x v="0"/>
    <s v="Francisco Tabares"/>
    <s v="TECUTCC8C"/>
    <s v="Superficie Escritorio Miel 180x70 Clasico"/>
    <n v="1"/>
    <x v="1"/>
    <x v="1"/>
    <x v="15"/>
    <x v="0"/>
    <s v="Envioclick- Coordinadora"/>
    <s v="2398908 – 84150861050"/>
    <d v="2024-05-14T00:00:00"/>
    <d v="2024-05-17T00:00:00"/>
    <x v="0"/>
    <n v="0"/>
    <n v="3"/>
    <x v="1"/>
    <n v="16131"/>
    <n v="18869"/>
  </r>
  <r>
    <d v="2024-05-14T00:00:00"/>
    <x v="4"/>
    <n v="20"/>
    <n v="2023"/>
    <x v="0"/>
    <s v="Francisco Tabares"/>
    <s v="TECURCC"/>
    <s v="Repisa TECU  Miel"/>
    <n v="1"/>
    <x v="2"/>
    <x v="1"/>
    <x v="15"/>
    <x v="0"/>
    <s v="Envioclick- Coordinadora"/>
    <s v="2398908 – 84150861050"/>
    <d v="2024-05-14T00:00:00"/>
    <d v="2024-05-17T00:00:00"/>
    <x v="0"/>
    <n v="0"/>
    <n v="3"/>
    <x v="1"/>
    <n v="40734"/>
    <n v="-15734"/>
  </r>
  <r>
    <d v="2024-05-14T00:00:00"/>
    <x v="4"/>
    <n v="20"/>
    <n v="2024"/>
    <x v="0"/>
    <s v="Brahayan David Mindiola Joiro"/>
    <s v="TECU3FBRO"/>
    <s v="Electric Standing Desk  PRO Blanco"/>
    <n v="1"/>
    <x v="0"/>
    <x v="1"/>
    <x v="15"/>
    <x v="0"/>
    <s v="Envioclick- Coordinadora"/>
    <s v="2399334 – 84150861298"/>
    <d v="2024-05-14T00:00:00"/>
    <d v="2024-05-15T00:00:00"/>
    <x v="0"/>
    <n v="0"/>
    <n v="1"/>
    <x v="1"/>
    <n v="22988"/>
    <n v="17012"/>
  </r>
  <r>
    <d v="2024-05-14T00:00:00"/>
    <x v="4"/>
    <n v="20"/>
    <n v="2024"/>
    <x v="0"/>
    <s v="Brahayan David Mindiola Joiro"/>
    <s v="TECUTCO7C"/>
    <s v="Superficie Escritorio Caramelo 170x70 Clasico"/>
    <n v="1"/>
    <x v="1"/>
    <x v="1"/>
    <x v="15"/>
    <x v="0"/>
    <s v="Envioclick- Coordinadora"/>
    <s v="2399336 – 84150861300"/>
    <d v="2024-05-14T00:00:00"/>
    <d v="2024-05-15T00:00:00"/>
    <x v="0"/>
    <n v="0"/>
    <n v="1"/>
    <x v="1"/>
    <n v="40734"/>
    <n v="-5734"/>
  </r>
  <r>
    <d v="2024-05-14T00:00:00"/>
    <x v="4"/>
    <n v="20"/>
    <n v="2024"/>
    <x v="0"/>
    <s v="Brahayan David Mindiola Joiro"/>
    <s v="TECURCO"/>
    <s v="Repisa TECU  Caramelo"/>
    <n v="1"/>
    <x v="2"/>
    <x v="1"/>
    <x v="15"/>
    <x v="0"/>
    <s v="Envioclick- Coordinadora"/>
    <s v="2399336 – 84150861300"/>
    <d v="2024-05-14T00:00:00"/>
    <d v="2024-05-15T00:00:00"/>
    <x v="0"/>
    <n v="0"/>
    <n v="1"/>
    <x v="1"/>
    <n v="22988"/>
    <n v="2012"/>
  </r>
  <r>
    <d v="2024-05-14T00:00:00"/>
    <x v="4"/>
    <n v="20"/>
    <n v="2024"/>
    <x v="0"/>
    <s v="Brahayan David Mindiola Joiro"/>
    <s v="TECUBDPA"/>
    <s v="TECU Desk Pad B Negro Azul"/>
    <n v="1"/>
    <x v="4"/>
    <x v="1"/>
    <x v="15"/>
    <x v="0"/>
    <s v="Envioclick- Coordinadora"/>
    <s v="2399219 – 84150861235"/>
    <d v="2024-05-14T00:00:00"/>
    <d v="2024-05-15T00:00:00"/>
    <x v="0"/>
    <n v="0"/>
    <n v="1"/>
    <x v="1"/>
    <n v="40734"/>
    <n v="9266"/>
  </r>
  <r>
    <d v="2024-05-14T00:00:00"/>
    <x v="4"/>
    <n v="20"/>
    <n v="2025"/>
    <x v="0"/>
    <s v="Jhon Vega"/>
    <s v="TECU3FNPRO"/>
    <s v="Electric Standing Desk  PRO Negro"/>
    <n v="1"/>
    <x v="0"/>
    <x v="6"/>
    <x v="23"/>
    <x v="0"/>
    <s v="Envioclick- Coordinadora"/>
    <s v="2403740 – 84150863835"/>
    <d v="2024-05-15T00:00:00"/>
    <d v="2024-05-17T00:00:00"/>
    <x v="0"/>
    <n v="1"/>
    <n v="3"/>
    <x v="1"/>
    <n v="60748"/>
    <n v="-20748"/>
  </r>
  <r>
    <d v="2024-05-14T00:00:00"/>
    <x v="4"/>
    <n v="20"/>
    <n v="2025"/>
    <x v="0"/>
    <s v="Jhon Vega"/>
    <s v="TECUTRN2C"/>
    <s v="Superficie Escritorio Roble Negro 120x70 Clasico Small"/>
    <n v="1"/>
    <x v="1"/>
    <x v="6"/>
    <x v="23"/>
    <x v="0"/>
    <s v="Envioclick- Coordinadora"/>
    <s v="2403741 – 84150863836"/>
    <d v="2024-05-15T00:00:00"/>
    <d v="2024-05-17T00:00:00"/>
    <x v="0"/>
    <n v="1"/>
    <n v="3"/>
    <x v="1"/>
    <n v="46168"/>
    <n v="-11168"/>
  </r>
  <r>
    <d v="2024-05-14T00:00:00"/>
    <x v="4"/>
    <n v="20"/>
    <n v="2026"/>
    <x v="0"/>
    <s v="Alejandro Galante"/>
    <s v="TECU2FNG"/>
    <s v="Electric Standing Desk GO Negro"/>
    <n v="1"/>
    <x v="0"/>
    <x v="1"/>
    <x v="1"/>
    <x v="0"/>
    <s v="Envioclick- Coordinadora"/>
    <s v="2402610 – 84150863213"/>
    <d v="2024-05-15T00:00:00"/>
    <d v="2024-05-16T00:00:00"/>
    <x v="0"/>
    <n v="1"/>
    <n v="2"/>
    <x v="1"/>
    <n v="40734"/>
    <n v="-734"/>
  </r>
  <r>
    <d v="2024-05-15T00:00:00"/>
    <x v="4"/>
    <n v="20"/>
    <n v="2027"/>
    <x v="0"/>
    <s v="Mauricio Diaz Martinez"/>
    <s v="TECU2FNG"/>
    <s v="Electric Standing Desk GO Negro"/>
    <n v="1"/>
    <x v="0"/>
    <x v="1"/>
    <x v="1"/>
    <x v="0"/>
    <s v="Envioclick- Coordinadora"/>
    <s v="2406719 – 84150865508"/>
    <d v="2024-05-16T00:00:00"/>
    <d v="2024-05-17T00:00:00"/>
    <x v="0"/>
    <n v="1"/>
    <n v="2"/>
    <x v="1"/>
    <n v="40734"/>
    <n v="-734"/>
  </r>
  <r>
    <d v="2024-05-15T00:00:00"/>
    <x v="4"/>
    <n v="20"/>
    <n v="2027"/>
    <x v="0"/>
    <s v="Mauricio Diaz Martinez"/>
    <s v="TECUTCC2C"/>
    <s v="Superficie Escritorio Miel 120x70 Clasico Small"/>
    <n v="1"/>
    <x v="1"/>
    <x v="1"/>
    <x v="1"/>
    <x v="0"/>
    <s v="Envioclick- Coordinadora"/>
    <s v="2406720 – 84150865509"/>
    <d v="2024-05-16T00:00:00"/>
    <d v="2024-05-17T00:00:00"/>
    <x v="0"/>
    <n v="1"/>
    <n v="2"/>
    <x v="1"/>
    <n v="22988"/>
    <n v="12012"/>
  </r>
  <r>
    <d v="2024-05-17T00:00:00"/>
    <x v="4"/>
    <n v="20"/>
    <s v="James"/>
    <x v="0"/>
    <s v="James Alonso"/>
    <s v="TECURCO"/>
    <s v="Repisa TECU  Caramelo"/>
    <n v="1"/>
    <x v="2"/>
    <x v="2"/>
    <x v="2"/>
    <x v="0"/>
    <s v="Envioclick- Coordinadora"/>
    <s v="2409431 – 84150866922"/>
    <d v="2024-05-17T00:00:00"/>
    <d v="2024-05-20T00:00:00"/>
    <x v="0"/>
    <n v="0"/>
    <n v="2"/>
    <x v="1"/>
    <n v="37292"/>
    <n v="-12292"/>
  </r>
  <r>
    <d v="2024-05-20T00:00:00"/>
    <x v="4"/>
    <n v="21"/>
    <n v="2028"/>
    <x v="0"/>
    <s v="Juan David Alvarino Abril"/>
    <s v="TECURCO"/>
    <s v="Repisa TECU  Caramelo"/>
    <n v="1"/>
    <x v="2"/>
    <x v="1"/>
    <x v="1"/>
    <x v="0"/>
    <s v="Envioclick- Coordinadora"/>
    <s v="2418061 – 84150871974"/>
    <d v="2024-05-20T00:00:00"/>
    <d v="2024-05-21T00:00:00"/>
    <x v="0"/>
    <n v="0"/>
    <n v="1"/>
    <x v="1"/>
    <n v="22355"/>
    <n v="2645"/>
  </r>
  <r>
    <d v="2024-05-20T00:00:00"/>
    <x v="4"/>
    <n v="21"/>
    <n v="2029"/>
    <x v="0"/>
    <s v="Maria Virginia Alvarez Maya"/>
    <s v="TECU2FBGO"/>
    <s v="Electric Standing Desk GO Blanco"/>
    <n v="1"/>
    <x v="0"/>
    <x v="1"/>
    <x v="1"/>
    <x v="0"/>
    <s v="Envioclick- Coordinadora"/>
    <s v="2418069 – 84150871979"/>
    <d v="2024-05-20T00:00:00"/>
    <d v="2024-05-21T00:00:00"/>
    <x v="0"/>
    <n v="0"/>
    <n v="1"/>
    <x v="1"/>
    <n v="40734"/>
    <n v="-734"/>
  </r>
  <r>
    <d v="2024-05-20T00:00:00"/>
    <x v="4"/>
    <n v="21"/>
    <n v="2029"/>
    <x v="0"/>
    <s v="Maria Virginia Alvarez Maya"/>
    <s v="TECUTCC2C"/>
    <s v="Superficie Escritorio Miel 120x70 Clasico Small"/>
    <n v="1"/>
    <x v="1"/>
    <x v="1"/>
    <x v="1"/>
    <x v="0"/>
    <s v="Envioclick- Coordinadora"/>
    <s v="2418072 – 84150871982"/>
    <d v="2024-05-20T00:00:00"/>
    <d v="2024-05-21T00:00:00"/>
    <x v="0"/>
    <n v="0"/>
    <n v="1"/>
    <x v="1"/>
    <n v="22988"/>
    <n v="12012"/>
  </r>
  <r>
    <d v="2024-05-20T00:00:00"/>
    <x v="4"/>
    <n v="21"/>
    <n v="2030"/>
    <x v="0"/>
    <s v="Mateo Tobón Henao"/>
    <s v="TECU3FBRO"/>
    <s v="Electric Standing Desk  PRO Blanco"/>
    <n v="1"/>
    <x v="0"/>
    <x v="5"/>
    <x v="33"/>
    <x v="0"/>
    <s v="Envioclick- Coordinadora"/>
    <s v="2418087 – 84150871985"/>
    <d v="2024-05-20T00:00:00"/>
    <d v="2024-05-21T00:00:00"/>
    <x v="0"/>
    <n v="0"/>
    <n v="1"/>
    <x v="1"/>
    <n v="34504"/>
    <n v="5496"/>
  </r>
  <r>
    <d v="2024-05-20T00:00:00"/>
    <x v="4"/>
    <n v="21"/>
    <n v="2030"/>
    <x v="0"/>
    <s v="Mateo Tobón Henao"/>
    <s v="TECUTCC5C"/>
    <s v="Superficie Escritorio Miel 150x70 Clasico"/>
    <n v="1"/>
    <x v="1"/>
    <x v="5"/>
    <x v="33"/>
    <x v="0"/>
    <s v="Envioclick- Coordinadora"/>
    <s v="2418145 – 84150871986"/>
    <d v="2024-05-20T00:00:00"/>
    <d v="2024-05-21T00:00:00"/>
    <x v="0"/>
    <n v="0"/>
    <n v="1"/>
    <x v="1"/>
    <n v="14589"/>
    <n v="20411"/>
  </r>
  <r>
    <d v="2024-05-20T00:00:00"/>
    <x v="4"/>
    <n v="21"/>
    <n v="2031"/>
    <x v="0"/>
    <s v="Jesus Antonio Zapata Cruz"/>
    <s v="TECU3FNPRO"/>
    <s v="Electric Standing Desk  PRO Negro"/>
    <n v="1"/>
    <x v="0"/>
    <x v="0"/>
    <x v="0"/>
    <x v="0"/>
    <s v="Envioclick- Coordinadora"/>
    <s v="2421369 – 84150873451"/>
    <d v="2024-05-21T00:00:00"/>
    <d v="2024-05-22T00:00:00"/>
    <x v="0"/>
    <n v="1"/>
    <n v="2"/>
    <x v="1"/>
    <n v="42002"/>
    <n v="-2002"/>
  </r>
  <r>
    <d v="2024-05-20T00:00:00"/>
    <x v="4"/>
    <n v="21"/>
    <n v="2031"/>
    <x v="0"/>
    <s v="Jesus Antonio Zapata Cruz"/>
    <s v="TECUTCC8M"/>
    <s v="Superficie Escritorio Miel 180x70 Moderno"/>
    <n v="1"/>
    <x v="1"/>
    <x v="0"/>
    <x v="0"/>
    <x v="0"/>
    <s v="Envioclick- Coordinadora"/>
    <s v="2421370 – 84150873452"/>
    <d v="2024-05-21T00:00:00"/>
    <d v="2024-05-22T00:00:00"/>
    <x v="0"/>
    <n v="1"/>
    <n v="2"/>
    <x v="1"/>
    <n v="25521"/>
    <n v="9479"/>
  </r>
  <r>
    <d v="2024-05-20T00:00:00"/>
    <x v="4"/>
    <n v="21"/>
    <n v="2031"/>
    <x v="0"/>
    <s v="Jesus Antonio Zapata Cruz"/>
    <s v="TECUBLS"/>
    <s v="TECU Laptop Stand B"/>
    <n v="1"/>
    <x v="4"/>
    <x v="0"/>
    <x v="0"/>
    <x v="0"/>
    <s v="Envioclick- Coordinadora"/>
    <s v="2422649 – 84150874080"/>
    <d v="2024-05-21T00:00:00"/>
    <d v="2024-05-22T00:00:00"/>
    <x v="0"/>
    <n v="1"/>
    <n v="2"/>
    <x v="1"/>
    <n v="16131"/>
    <n v="33869"/>
  </r>
  <r>
    <d v="2024-05-20T00:00:00"/>
    <x v="4"/>
    <n v="21"/>
    <n v="2032"/>
    <x v="0"/>
    <s v="Jesus Antonio Zapata Cruz"/>
    <s v="TECUCT"/>
    <s v="TECU bandeja de cables"/>
    <n v="1"/>
    <x v="4"/>
    <x v="0"/>
    <x v="0"/>
    <x v="0"/>
    <s v="Envioclick- Coordinadora"/>
    <s v="2421862 – 84150873726"/>
    <d v="2024-05-21T00:00:00"/>
    <d v="2024-05-22T00:00:00"/>
    <x v="0"/>
    <n v="1"/>
    <n v="2"/>
    <x v="1"/>
    <n v="16121"/>
    <n v="8879"/>
  </r>
  <r>
    <d v="2024-05-20T00:00:00"/>
    <x v="4"/>
    <n v="21"/>
    <n v="2032"/>
    <x v="0"/>
    <s v="Jesus Antonio Zapata Cruz"/>
    <s v="TECUBDPM"/>
    <s v="TECU Desk Pad B Negro Café Miel"/>
    <n v="1"/>
    <x v="4"/>
    <x v="0"/>
    <x v="0"/>
    <x v="0"/>
    <s v="Envioclick- Coordinadora"/>
    <s v="2421373 - 84150873453"/>
    <d v="2024-05-21T00:00:00"/>
    <d v="2024-05-22T00:00:00"/>
    <x v="0"/>
    <n v="1"/>
    <n v="2"/>
    <x v="1"/>
    <n v="16131"/>
    <n v="33869"/>
  </r>
  <r>
    <d v="2024-05-20T00:00:00"/>
    <x v="4"/>
    <n v="21"/>
    <n v="2033"/>
    <x v="0"/>
    <s v="Fernando Giraldo"/>
    <s v="TECU3FNPRO"/>
    <s v="Electric Standing Desk  PRO Negro"/>
    <n v="1"/>
    <x v="0"/>
    <x v="0"/>
    <x v="0"/>
    <x v="0"/>
    <s v="Envioclick- Coordinadora"/>
    <s v="2421381 – 84150873458"/>
    <d v="2024-05-21T00:00:00"/>
    <d v="2024-05-22T00:00:00"/>
    <x v="0"/>
    <n v="1"/>
    <n v="2"/>
    <x v="1"/>
    <n v="42002"/>
    <n v="-2002"/>
  </r>
  <r>
    <d v="2024-05-20T00:00:00"/>
    <x v="4"/>
    <n v="21"/>
    <n v="2033"/>
    <x v="0"/>
    <s v="Fernando Giraldo"/>
    <s v="TECUTCC2C"/>
    <s v="Superficie Escritorio Miel 120x70 Clasico Small"/>
    <n v="1"/>
    <x v="1"/>
    <x v="0"/>
    <x v="0"/>
    <x v="0"/>
    <s v="Envioclick- Coordinadora"/>
    <s v="2421382 – 84150873459"/>
    <d v="2024-05-21T00:00:00"/>
    <d v="2024-05-22T00:00:00"/>
    <x v="0"/>
    <n v="1"/>
    <n v="2"/>
    <x v="1"/>
    <n v="27422"/>
    <n v="7578"/>
  </r>
  <r>
    <d v="2024-05-21T00:00:00"/>
    <x v="4"/>
    <n v="21"/>
    <n v="2034"/>
    <x v="0"/>
    <s v="Brayan Carreño"/>
    <s v="TECU3FNPRO"/>
    <s v="Electric Standing Desk  PRO Negro"/>
    <n v="1"/>
    <x v="0"/>
    <x v="15"/>
    <x v="34"/>
    <x v="0"/>
    <s v="Envioclick- Coordinadora"/>
    <s v="2421961 – 84150873786"/>
    <d v="2024-05-21T00:00:00"/>
    <d v="2024-05-23T00:00:00"/>
    <x v="0"/>
    <n v="0"/>
    <n v="2"/>
    <x v="3"/>
    <n v="72991"/>
    <n v="-32991"/>
  </r>
  <r>
    <d v="2024-05-21T00:00:00"/>
    <x v="4"/>
    <n v="21"/>
    <n v="2034"/>
    <x v="0"/>
    <s v="Brayan Carreño"/>
    <s v="TECUTCO8C"/>
    <s v="Superficie Escritorio Caramelo 180x70 Clasico"/>
    <n v="1"/>
    <x v="1"/>
    <x v="15"/>
    <x v="34"/>
    <x v="0"/>
    <s v="Envioclick- Coordinadora"/>
    <s v="2421962 – 84150873788"/>
    <d v="2024-05-21T00:00:00"/>
    <d v="2024-05-23T00:00:00"/>
    <x v="0"/>
    <n v="0"/>
    <n v="2"/>
    <x v="3"/>
    <n v="53412"/>
    <e v="#N/A"/>
  </r>
  <r>
    <d v="2024-05-21T00:00:00"/>
    <x v="4"/>
    <n v="21"/>
    <n v="2035"/>
    <x v="0"/>
    <s v="Brayan Carreño"/>
    <s v="TECUCT"/>
    <s v="TECU bandeja de cables"/>
    <n v="1"/>
    <x v="4"/>
    <x v="15"/>
    <x v="34"/>
    <x v="0"/>
    <s v="Envioclick- Coordinadora"/>
    <s v="2422493 – 84150873997"/>
    <d v="2024-05-21T00:00:00"/>
    <d v="2024-05-23T00:00:00"/>
    <x v="0"/>
    <n v="0"/>
    <n v="2"/>
    <x v="3"/>
    <n v="46580"/>
    <n v="-21580"/>
  </r>
  <r>
    <d v="2024-05-21T00:00:00"/>
    <x v="4"/>
    <n v="21"/>
    <n v="2036"/>
    <x v="0"/>
    <s v="Luis Carrion"/>
    <s v="TECU3FNPRO"/>
    <s v="Electric Standing Desk  PRO Negro"/>
    <n v="1"/>
    <x v="0"/>
    <x v="1"/>
    <x v="35"/>
    <x v="0"/>
    <s v="Envioclick- Coordinadora"/>
    <s v="2422562 – 84150874026"/>
    <d v="2024-05-21T00:00:00"/>
    <d v="2024-05-22T00:00:00"/>
    <x v="0"/>
    <n v="0"/>
    <n v="1"/>
    <x v="3"/>
    <n v="42002"/>
    <n v="-2002"/>
  </r>
  <r>
    <d v="2024-05-21T00:00:00"/>
    <x v="4"/>
    <n v="21"/>
    <n v="2036"/>
    <x v="0"/>
    <s v="Luis Carrion"/>
    <s v="TECUTB2C"/>
    <s v="Superficie Escritorio Blanco (Niebla) 120x70 Clasico Small"/>
    <n v="1"/>
    <x v="1"/>
    <x v="1"/>
    <x v="35"/>
    <x v="0"/>
    <s v="Envioclick- Coordinadora"/>
    <s v="2422563 – 84150874027"/>
    <d v="2024-05-21T00:00:00"/>
    <d v="2024-05-22T00:00:00"/>
    <x v="0"/>
    <n v="0"/>
    <n v="1"/>
    <x v="3"/>
    <n v="27422"/>
    <m/>
  </r>
  <r>
    <d v="2024-05-21T00:00:00"/>
    <x v="4"/>
    <n v="21"/>
    <n v="2037"/>
    <x v="0"/>
    <s v="Oliver Johnson"/>
    <s v="TECU3FGPRO"/>
    <s v="Electric Standing Desk  PRO Gris"/>
    <n v="1"/>
    <x v="0"/>
    <x v="0"/>
    <x v="3"/>
    <x v="0"/>
    <s v="Envioclick- Coordinadora"/>
    <s v="2432584 – 84150876593"/>
    <d v="2024-05-24T00:00:00"/>
    <d v="2024-05-25T00:00:00"/>
    <x v="0"/>
    <n v="3"/>
    <n v="4"/>
    <x v="0"/>
    <n v="42002"/>
    <m/>
  </r>
  <r>
    <d v="2024-05-21T00:00:00"/>
    <x v="4"/>
    <n v="21"/>
    <n v="2037"/>
    <x v="0"/>
    <s v="Oliver Johnson"/>
    <s v="TECUTB3C"/>
    <s v="Superficie Escritorio Blanco (Niebla) 130x70 Clasico"/>
    <n v="1"/>
    <x v="1"/>
    <x v="0"/>
    <x v="3"/>
    <x v="0"/>
    <s v="Envioclick- Coordinadora"/>
    <s v="2432585 – 84150876594"/>
    <d v="2024-05-24T00:00:00"/>
    <d v="2024-05-25T00:00:00"/>
    <x v="0"/>
    <n v="3"/>
    <n v="4"/>
    <x v="0"/>
    <n v="27422"/>
    <m/>
  </r>
  <r>
    <d v="2024-05-22T00:00:00"/>
    <x v="4"/>
    <n v="21"/>
    <n v="2038"/>
    <x v="0"/>
    <s v="Juan Nicolas Nontoa Caballero"/>
    <s v="TECU2FNG"/>
    <s v="Electric Standing Desk GO Negro"/>
    <n v="1"/>
    <x v="0"/>
    <x v="1"/>
    <x v="1"/>
    <x v="0"/>
    <s v="Envioclick- Coordinadora"/>
    <s v="2426137 – 84150875803"/>
    <d v="2024-05-23T00:00:00"/>
    <d v="2024-05-24T00:00:00"/>
    <x v="0"/>
    <n v="1"/>
    <n v="2"/>
    <x v="1"/>
    <n v="40734"/>
    <m/>
  </r>
  <r>
    <d v="2024-05-22T00:00:00"/>
    <x v="4"/>
    <n v="21"/>
    <n v="2038"/>
    <x v="0"/>
    <s v="Juan Nicolas Nontoa Caballero"/>
    <s v="TECUTCO4C"/>
    <s v="Superficie Escritorio Caramelo 140x70 Clasico"/>
    <n v="1"/>
    <x v="1"/>
    <x v="1"/>
    <x v="1"/>
    <x v="0"/>
    <s v="Envioclick- Coordinadora"/>
    <s v="2426138 – 84150875804"/>
    <d v="2024-05-23T00:00:00"/>
    <d v="2024-05-24T00:00:00"/>
    <x v="0"/>
    <n v="1"/>
    <n v="2"/>
    <x v="1"/>
    <n v="22988"/>
    <m/>
  </r>
  <r>
    <d v="2024-05-22T00:00:00"/>
    <x v="4"/>
    <n v="21"/>
    <n v="2039"/>
    <x v="0"/>
    <s v="Oscar Rojas Cerquera"/>
    <s v="TECU3FNPRO"/>
    <s v="Electric Standing Desk  PRO Negro"/>
    <n v="1"/>
    <x v="0"/>
    <x v="1"/>
    <x v="1"/>
    <x v="0"/>
    <s v="Envioclick- Coordinadora"/>
    <s v="2432610 – 84150876607"/>
    <d v="2024-05-24T00:00:00"/>
    <d v="2024-05-27T00:00:00"/>
    <x v="0"/>
    <n v="2"/>
    <n v="4"/>
    <x v="0"/>
    <n v="42002"/>
    <m/>
  </r>
  <r>
    <d v="2024-05-22T00:00:00"/>
    <x v="4"/>
    <n v="21"/>
    <n v="2039"/>
    <x v="0"/>
    <s v="Oscar Rojas Cerquera"/>
    <s v="TECUTRM5C"/>
    <s v="Superficie Roble Miel 150x70 Clasico"/>
    <n v="1"/>
    <x v="1"/>
    <x v="1"/>
    <x v="1"/>
    <x v="0"/>
    <s v="Envioclick- Coordinadora"/>
    <s v="2432612 – 84150876609"/>
    <d v="2024-05-24T00:00:00"/>
    <d v="2024-05-27T00:00:00"/>
    <x v="0"/>
    <n v="2"/>
    <n v="4"/>
    <x v="0"/>
    <n v="22988"/>
    <m/>
  </r>
  <r>
    <d v="2024-05-22T00:00:00"/>
    <x v="4"/>
    <n v="21"/>
    <n v="2039"/>
    <x v="0"/>
    <s v="Oscar Rojas Cerquera"/>
    <s v="TECUCT"/>
    <s v="TECU bandeja de cables"/>
    <n v="1"/>
    <x v="4"/>
    <x v="1"/>
    <x v="1"/>
    <x v="0"/>
    <s v="Envioclick- Coordinadora"/>
    <s v="2440407 – 84150877080"/>
    <d v="2024-05-24T00:00:00"/>
    <d v="2024-05-27T00:00:00"/>
    <x v="0"/>
    <n v="2"/>
    <n v="4"/>
    <x v="0"/>
    <n v="16121"/>
    <m/>
  </r>
  <r>
    <d v="2024-05-22T00:00:00"/>
    <x v="4"/>
    <n v="21"/>
    <n v="2039"/>
    <x v="0"/>
    <s v="Oscar Rojas Cerquera"/>
    <s v="TECURRM"/>
    <s v="Repisa Roble Miel"/>
    <n v="1"/>
    <x v="2"/>
    <x v="1"/>
    <x v="1"/>
    <x v="0"/>
    <s v="Envioclick- Coordinadora"/>
    <s v="2432615 - 84150876611"/>
    <d v="2024-05-24T00:00:00"/>
    <d v="2024-05-27T00:00:00"/>
    <x v="0"/>
    <n v="2"/>
    <n v="4"/>
    <x v="0"/>
    <n v="22355"/>
    <m/>
  </r>
  <r>
    <d v="2024-05-22T00:00:00"/>
    <x v="4"/>
    <n v="21"/>
    <n v="2039"/>
    <x v="0"/>
    <s v="Oscar Rojas Cerquera"/>
    <s v="TECUAN"/>
    <s v="Archivador TECU  Negro (Wengue)"/>
    <n v="1"/>
    <x v="3"/>
    <x v="1"/>
    <x v="1"/>
    <x v="0"/>
    <s v="Envioclick- Envia"/>
    <s v="2451306 - 954100974401"/>
    <d v="2024-05-30T00:00:00"/>
    <d v="2024-06-01T00:00:00"/>
    <x v="0"/>
    <n v="7"/>
    <n v="9"/>
    <x v="0"/>
    <n v="49332"/>
    <m/>
  </r>
  <r>
    <d v="2024-05-22T00:00:00"/>
    <x v="4"/>
    <n v="21"/>
    <n v="2040"/>
    <x v="0"/>
    <s v="Julian Rojas"/>
    <s v="TECU3FNPRO"/>
    <s v="Electric Standing Desk  PRO Negro"/>
    <n v="1"/>
    <x v="0"/>
    <x v="0"/>
    <x v="10"/>
    <x v="0"/>
    <s v="Envioclick- Coordinadora"/>
    <s v="2425946 – 84150875714"/>
    <d v="2024-05-23T00:00:00"/>
    <d v="2024-05-24T00:00:00"/>
    <x v="0"/>
    <n v="1"/>
    <n v="2"/>
    <x v="1"/>
    <n v="42002"/>
    <m/>
  </r>
  <r>
    <d v="2024-05-22T00:00:00"/>
    <x v="4"/>
    <n v="21"/>
    <n v="2040"/>
    <x v="0"/>
    <s v="Julian Rojas"/>
    <s v="TECUTCC2C"/>
    <s v="Superficie Escritorio Miel 120x70 Clasico Small"/>
    <n v="1"/>
    <x v="1"/>
    <x v="0"/>
    <x v="10"/>
    <x v="0"/>
    <s v="Envioclick- Coordinadora"/>
    <s v="2425959 – 84150875720"/>
    <d v="2024-05-23T00:00:00"/>
    <d v="2024-05-24T00:00:00"/>
    <x v="0"/>
    <n v="1"/>
    <n v="2"/>
    <x v="1"/>
    <n v="27422"/>
    <m/>
  </r>
  <r>
    <d v="2024-05-22T00:00:00"/>
    <x v="4"/>
    <n v="21"/>
    <n v="2041"/>
    <x v="0"/>
    <s v="Silvana Bahamon"/>
    <s v="TECU3FBRO"/>
    <s v="Electric Standing Desk  PRO Blanco"/>
    <n v="1"/>
    <x v="0"/>
    <x v="4"/>
    <x v="5"/>
    <x v="0"/>
    <s v="Envioclick- Coordinadora"/>
    <s v="2425956 – 84150875719"/>
    <d v="2024-05-23T00:00:00"/>
    <d v="2024-05-24T00:00:00"/>
    <x v="0"/>
    <n v="1"/>
    <n v="2"/>
    <x v="1"/>
    <n v="42002"/>
    <m/>
  </r>
  <r>
    <d v="2024-05-22T00:00:00"/>
    <x v="4"/>
    <n v="21"/>
    <n v="2041"/>
    <x v="0"/>
    <s v="Silvana Bahamon"/>
    <s v="TECUTCC3C"/>
    <s v="Superficie Escritorio Miel 130x70 Clasico"/>
    <n v="1"/>
    <x v="1"/>
    <x v="4"/>
    <x v="5"/>
    <x v="0"/>
    <s v="Envioclick- Coordinadora"/>
    <s v="2425959 – 84150875720"/>
    <d v="2024-05-23T00:00:00"/>
    <d v="2024-05-24T00:00:00"/>
    <x v="0"/>
    <n v="1"/>
    <n v="2"/>
    <x v="1"/>
    <n v="27422"/>
    <m/>
  </r>
  <r>
    <d v="2024-05-23T00:00:00"/>
    <x v="4"/>
    <n v="21"/>
    <n v="2042"/>
    <x v="0"/>
    <s v="Jose Roldán"/>
    <s v="TECU2FGGO"/>
    <s v="Electric Standing Desk GO Gris"/>
    <n v="1"/>
    <x v="0"/>
    <x v="0"/>
    <x v="3"/>
    <x v="0"/>
    <s v="Envioclick- Coordinadora"/>
    <s v="2426083 – 84150875773"/>
    <d v="2024-05-23T00:00:00"/>
    <d v="2024-05-24T00:00:00"/>
    <x v="0"/>
    <n v="0"/>
    <n v="1"/>
    <x v="1"/>
    <n v="40734"/>
    <m/>
  </r>
  <r>
    <d v="2024-05-23T00:00:00"/>
    <x v="4"/>
    <n v="21"/>
    <n v="2042"/>
    <x v="0"/>
    <s v="Jose Roldán"/>
    <s v="TECUTRN4C"/>
    <s v="Superficie Escritorio Roble Negro 140x70 Clasico"/>
    <n v="1"/>
    <x v="1"/>
    <x v="0"/>
    <x v="3"/>
    <x v="0"/>
    <s v="Envioclick- Coordinadora"/>
    <s v="2426085 – 84150875774"/>
    <d v="2024-05-23T00:00:00"/>
    <d v="2024-05-24T00:00:00"/>
    <x v="0"/>
    <n v="0"/>
    <n v="1"/>
    <x v="1"/>
    <n v="22988"/>
    <m/>
  </r>
  <r>
    <d v="2024-05-23T00:00:00"/>
    <x v="4"/>
    <n v="21"/>
    <n v="2043"/>
    <x v="0"/>
    <s v="Maria Camila Alzate Restrepo"/>
    <s v="TECU2FNG"/>
    <s v="Electric Standing Desk GO Negro"/>
    <n v="1"/>
    <x v="0"/>
    <x v="0"/>
    <x v="8"/>
    <x v="0"/>
    <s v="Envioclick- Coordinadora"/>
    <s v="2426153 – 84150875811"/>
    <d v="2024-05-23T00:00:00"/>
    <d v="2024-05-24T00:00:00"/>
    <x v="0"/>
    <n v="0"/>
    <n v="1"/>
    <x v="1"/>
    <n v="40734"/>
    <m/>
  </r>
  <r>
    <d v="2024-05-23T00:00:00"/>
    <x v="4"/>
    <n v="21"/>
    <n v="2043"/>
    <x v="0"/>
    <s v="Maria Camila Alzate Restrepo"/>
    <s v="TECUTCC2C"/>
    <s v="Superficie Escritorio Miel 120x70 Clasico Small"/>
    <n v="1"/>
    <x v="1"/>
    <x v="0"/>
    <x v="8"/>
    <x v="0"/>
    <s v="Envioclick- Coordinadora"/>
    <s v="2426155 – 84150875812"/>
    <d v="2024-05-23T00:00:00"/>
    <d v="2024-05-24T00:00:00"/>
    <x v="0"/>
    <n v="0"/>
    <n v="1"/>
    <x v="1"/>
    <n v="22988"/>
    <m/>
  </r>
  <r>
    <d v="2024-05-23T00:00:00"/>
    <x v="4"/>
    <n v="21"/>
    <n v="2043"/>
    <x v="0"/>
    <s v="Maria Camila Alzate Restrepo"/>
    <s v="TECUACC"/>
    <s v="Archivador TECU  Miel"/>
    <n v="1"/>
    <x v="3"/>
    <x v="0"/>
    <x v="8"/>
    <x v="0"/>
    <s v="Envioclick- Envia"/>
    <s v="2443032 – 954100971980"/>
    <d v="2024-05-27T00:00:00"/>
    <d v="2024-05-28T00:00:00"/>
    <x v="0"/>
    <n v="3"/>
    <n v="4"/>
    <x v="0"/>
    <n v="59204"/>
    <m/>
  </r>
  <r>
    <d v="2024-05-23T00:00:00"/>
    <x v="4"/>
    <n v="21"/>
    <s v="Dra Paola"/>
    <x v="3"/>
    <s v="Paola Castañeda Gutierrez"/>
    <s v="TECU2FNG"/>
    <s v="Electric Standing Desk GO Negro"/>
    <n v="1"/>
    <x v="0"/>
    <x v="1"/>
    <x v="1"/>
    <x v="0"/>
    <s v="Envioclick- Coordinadora"/>
    <s v="NA"/>
    <d v="2024-05-08T00:00:00"/>
    <d v="2024-05-09T00:00:00"/>
    <x v="0"/>
    <n v="-14"/>
    <n v="-13"/>
    <x v="1"/>
    <n v="44782"/>
    <m/>
  </r>
  <r>
    <d v="2024-05-23T00:00:00"/>
    <x v="4"/>
    <n v="21"/>
    <s v="Dra Paola"/>
    <x v="3"/>
    <s v="Paola Castañeda Gutierrez"/>
    <s v="TECUTCC5C"/>
    <s v="Superficie Escritorio Miel 150x70 Clasico"/>
    <n v="1"/>
    <x v="1"/>
    <x v="1"/>
    <x v="1"/>
    <x v="0"/>
    <s v="Envioclick- Coordinadora"/>
    <s v="NA"/>
    <d v="2024-05-08T00:00:00"/>
    <d v="2024-05-09T00:00:00"/>
    <x v="0"/>
    <n v="-14"/>
    <n v="-13"/>
    <x v="1"/>
    <n v="26312"/>
    <m/>
  </r>
  <r>
    <d v="2024-05-24T00:00:00"/>
    <x v="4"/>
    <n v="21"/>
    <n v="2044"/>
    <x v="0"/>
    <s v="Johan Sebastian Meneses Cifuentes"/>
    <s v="TECUACC"/>
    <s v="Archivador TECU  Miel"/>
    <n v="1"/>
    <x v="3"/>
    <x v="11"/>
    <x v="25"/>
    <x v="0"/>
    <s v="Envioclick- Envia"/>
    <s v="2451278 - 954100974399"/>
    <d v="2024-05-30T00:00:00"/>
    <d v="2024-06-06T00:00:00"/>
    <x v="0"/>
    <n v="5"/>
    <n v="10"/>
    <x v="3"/>
    <n v="133290"/>
    <m/>
  </r>
  <r>
    <d v="2024-05-27T00:00:00"/>
    <x v="4"/>
    <n v="22"/>
    <n v="2045"/>
    <x v="0"/>
    <s v="Sergio Pomárico Hernández"/>
    <s v="TECU3FNPRO"/>
    <s v="Electric Standing Desk  PRO Negro"/>
    <n v="1"/>
    <x v="0"/>
    <x v="0"/>
    <x v="3"/>
    <x v="0"/>
    <s v="Envioclick- Coordinadora"/>
    <s v="2443052 – 84150878046"/>
    <d v="2024-05-27T00:00:00"/>
    <d v="2024-05-28T00:00:00"/>
    <x v="0"/>
    <n v="0"/>
    <n v="1"/>
    <x v="1"/>
    <n v="42002"/>
    <m/>
  </r>
  <r>
    <d v="2024-05-27T00:00:00"/>
    <x v="4"/>
    <n v="22"/>
    <n v="2045"/>
    <x v="0"/>
    <s v="Sergio Pomárico Hernández"/>
    <s v="TECUTCC8C"/>
    <s v="Superficie Escritorio Miel 180x70 Clasico"/>
    <n v="1"/>
    <x v="1"/>
    <x v="0"/>
    <x v="3"/>
    <x v="0"/>
    <s v="Envioclick- Coordinadora"/>
    <s v="2443054 – 84150878047"/>
    <d v="2024-05-27T00:00:00"/>
    <d v="2024-05-28T00:00:00"/>
    <x v="0"/>
    <n v="0"/>
    <n v="1"/>
    <x v="1"/>
    <n v="25521"/>
    <m/>
  </r>
  <r>
    <d v="2024-05-27T00:00:00"/>
    <x v="4"/>
    <n v="22"/>
    <n v="2046"/>
    <x v="0"/>
    <s v="Insight Technologies"/>
    <s v="TECU3FNPRO"/>
    <s v="Electric Standing Desk  PRO Negro"/>
    <n v="1"/>
    <x v="0"/>
    <x v="11"/>
    <x v="36"/>
    <x v="0"/>
    <s v="Envioclick- Coordinadora"/>
    <s v="2443078 – 84150878062 / 39722779585"/>
    <d v="2024-05-27T00:00:00"/>
    <d v="2024-05-31T00:00:00"/>
    <x v="0"/>
    <n v="0"/>
    <n v="4"/>
    <x v="1"/>
    <n v="42002"/>
    <m/>
  </r>
  <r>
    <d v="2024-05-27T00:00:00"/>
    <x v="4"/>
    <n v="22"/>
    <n v="2046"/>
    <x v="0"/>
    <s v="Insight Technologies"/>
    <s v="TECUTRN7C"/>
    <s v="Superficie Escritorio Roble Negro 170x70 Clasico"/>
    <n v="1"/>
    <x v="1"/>
    <x v="11"/>
    <x v="36"/>
    <x v="0"/>
    <s v="Envioclick- Coordinadora"/>
    <s v="2443080 – 84150878063 / 39722781562"/>
    <d v="2024-05-27T00:00:00"/>
    <d v="2024-05-31T00:00:00"/>
    <x v="0"/>
    <n v="0"/>
    <n v="4"/>
    <x v="1"/>
    <n v="25521"/>
    <m/>
  </r>
  <r>
    <d v="2024-05-27T00:00:00"/>
    <x v="4"/>
    <n v="22"/>
    <n v="2047"/>
    <x v="0"/>
    <s v="Jose Sema"/>
    <s v="TECURCO"/>
    <s v="Repisa TECU  Caramelo"/>
    <n v="1"/>
    <x v="2"/>
    <x v="8"/>
    <x v="19"/>
    <x v="0"/>
    <s v="Envioclick- Envia"/>
    <s v="2443745 - 954100972127"/>
    <d v="2024-05-27T00:00:00"/>
    <d v="2024-05-31T00:00:00"/>
    <x v="0"/>
    <n v="0"/>
    <n v="4"/>
    <x v="1"/>
    <n v="49618"/>
    <m/>
  </r>
  <r>
    <d v="2024-05-28T00:00:00"/>
    <x v="4"/>
    <n v="22"/>
    <n v="2048"/>
    <x v="0"/>
    <s v="Oliver Johnson"/>
    <s v="TECU2FBGO"/>
    <s v="Electric Standing Desk GO Blanco"/>
    <n v="1"/>
    <x v="0"/>
    <x v="0"/>
    <x v="3"/>
    <x v="0"/>
    <s v="Envioclick- Coordinadora"/>
    <s v="2446522 - 84150879791"/>
    <d v="2024-05-28T00:00:00"/>
    <d v="2024-05-29T00:00:00"/>
    <x v="0"/>
    <n v="0"/>
    <n v="1"/>
    <x v="1"/>
    <n v="40734"/>
    <m/>
  </r>
  <r>
    <d v="2024-05-28T00:00:00"/>
    <x v="4"/>
    <n v="22"/>
    <n v="2048"/>
    <x v="0"/>
    <s v="Oliver Johnson"/>
    <s v="TECUTRN2C"/>
    <s v="Superficie Escritorio Roble Negro 120x70 Clasico Small"/>
    <n v="1"/>
    <x v="1"/>
    <x v="0"/>
    <x v="3"/>
    <x v="0"/>
    <s v="Envioclick- Coordinadora"/>
    <s v="2450983 - 84150881625"/>
    <d v="2024-05-28T00:00:00"/>
    <d v="2024-05-29T00:00:00"/>
    <x v="0"/>
    <n v="0"/>
    <n v="1"/>
    <x v="1"/>
    <n v="22988"/>
    <m/>
  </r>
  <r>
    <d v="2024-05-29T00:00:00"/>
    <x v="4"/>
    <n v="22"/>
    <n v="2049"/>
    <x v="0"/>
    <s v="Luis Alfredo Velasco Davila"/>
    <s v="TECU2FBGO"/>
    <s v="Electric Standing Desk GO Blanco"/>
    <n v="1"/>
    <x v="0"/>
    <x v="1"/>
    <x v="1"/>
    <x v="0"/>
    <s v="Envioclick- Coordinadora"/>
    <s v="2450982 - 84150881624"/>
    <d v="2024-05-30T00:00:00"/>
    <d v="2024-05-31T00:00:00"/>
    <x v="0"/>
    <n v="1"/>
    <n v="2"/>
    <x v="1"/>
    <n v="40734"/>
    <m/>
  </r>
  <r>
    <d v="2024-05-29T00:00:00"/>
    <x v="4"/>
    <n v="22"/>
    <n v="2049"/>
    <x v="0"/>
    <s v="Luis Alfredo Velasco Davila"/>
    <s v="TECUTB2C"/>
    <s v="Superficie Escritorio Blanco (Niebla) 120x70 Clasico Small"/>
    <n v="1"/>
    <x v="1"/>
    <x v="1"/>
    <x v="1"/>
    <x v="0"/>
    <s v="Envioclick- Coordinadora"/>
    <s v="2450983 - 84150881625"/>
    <d v="2024-05-30T00:00:00"/>
    <d v="2024-05-31T00:00:00"/>
    <x v="0"/>
    <n v="1"/>
    <n v="2"/>
    <x v="1"/>
    <n v="22988"/>
    <m/>
  </r>
  <r>
    <d v="2024-05-29T00:00:00"/>
    <x v="4"/>
    <n v="22"/>
    <n v="2050"/>
    <x v="0"/>
    <s v="Obed Gonzalez Velez"/>
    <s v="TECU3FNPRO"/>
    <s v="Electric Standing Desk  PRO Negro"/>
    <n v="1"/>
    <x v="0"/>
    <x v="0"/>
    <x v="3"/>
    <x v="0"/>
    <s v="Envioclick- Coordinadora"/>
    <s v="2451010 - 84150881638"/>
    <d v="2024-05-30T00:00:00"/>
    <d v="2024-05-31T00:00:00"/>
    <x v="0"/>
    <n v="1"/>
    <n v="2"/>
    <x v="1"/>
    <n v="42002"/>
    <m/>
  </r>
  <r>
    <d v="2024-05-29T00:00:00"/>
    <x v="4"/>
    <n v="22"/>
    <n v="2050"/>
    <x v="0"/>
    <s v="Obed Gonzalez Velez"/>
    <s v="TECUTCO5M"/>
    <s v="Superficie Escritorio Caramelo 150x70 Moderno"/>
    <n v="1"/>
    <x v="1"/>
    <x v="0"/>
    <x v="3"/>
    <x v="0"/>
    <s v="Envioclick- Coordinadora"/>
    <s v="2451011 - 84150881639"/>
    <d v="2024-05-30T00:00:00"/>
    <d v="2024-05-31T00:00:00"/>
    <x v="0"/>
    <n v="1"/>
    <n v="2"/>
    <x v="1"/>
    <n v="22988"/>
    <m/>
  </r>
  <r>
    <d v="2024-05-29T00:00:00"/>
    <x v="4"/>
    <n v="22"/>
    <n v="2050"/>
    <x v="0"/>
    <s v="Obed Gonzalez Velez"/>
    <s v="TECUACO"/>
    <s v="Archivador TECU  Caramelo"/>
    <n v="1"/>
    <x v="3"/>
    <x v="0"/>
    <x v="3"/>
    <x v="0"/>
    <s v="Envioclick- Envia"/>
    <s v="2451258 - 954100974389"/>
    <d v="2024-05-30T00:00:00"/>
    <d v="2024-06-04T00:00:00"/>
    <x v="0"/>
    <n v="1"/>
    <n v="4"/>
    <x v="0"/>
    <n v="57224"/>
    <m/>
  </r>
  <r>
    <d v="2024-06-01T00:00:00"/>
    <x v="5"/>
    <n v="22"/>
    <n v="2051"/>
    <x v="0"/>
    <s v="Jairo Andrés Ospina Mendoza"/>
    <s v="TECULFN2"/>
    <s v="Electric Standing Desk | Escritorio Ajustable En L Frame Negro 2.0"/>
    <n v="1"/>
    <x v="0"/>
    <x v="1"/>
    <x v="1"/>
    <x v="0"/>
    <s v="Envioclick- Coordinadora"/>
    <s v="2460322 - 84150884439"/>
    <d v="2024-06-04T00:00:00"/>
    <d v="2024-06-06T00:00:00"/>
    <x v="0"/>
    <n v="1"/>
    <n v="3"/>
    <x v="1"/>
    <n v="60937"/>
    <m/>
  </r>
  <r>
    <d v="2024-06-01T00:00:00"/>
    <x v="5"/>
    <n v="22"/>
    <n v="2051"/>
    <x v="0"/>
    <s v="Jairo Andrés Ospina Mendoza"/>
    <s v="TECUTLCCS"/>
    <s v="Superficie Escritorio en L Caramelo Set completo"/>
    <n v="1"/>
    <x v="1"/>
    <x v="1"/>
    <x v="1"/>
    <x v="0"/>
    <s v="Envioclick- Coordinadora"/>
    <s v="2460324 - 84150884440"/>
    <d v="2024-06-04T00:00:00"/>
    <d v="2024-06-06T00:00:00"/>
    <x v="0"/>
    <n v="1"/>
    <n v="3"/>
    <x v="1"/>
    <n v="25521"/>
    <m/>
  </r>
  <r>
    <d v="2024-06-03T00:00:00"/>
    <x v="5"/>
    <n v="23"/>
    <n v="2052"/>
    <x v="0"/>
    <s v="Fernanda Sánchez"/>
    <s v="TECULFN2"/>
    <s v="Electric Standing Desk | Escritorio Ajustable En L Frame Negro 2.0"/>
    <n v="1"/>
    <x v="0"/>
    <x v="16"/>
    <x v="37"/>
    <x v="0"/>
    <s v="Envioclick- Coordinadora"/>
    <s v="2460836 - 84150884719"/>
    <d v="2024-06-04T00:00:00"/>
    <d v="2024-06-05T00:00:00"/>
    <x v="0"/>
    <n v="0"/>
    <n v="1"/>
    <x v="1"/>
    <n v="68452"/>
    <m/>
  </r>
  <r>
    <d v="2024-06-03T00:00:00"/>
    <x v="5"/>
    <n v="23"/>
    <n v="2052"/>
    <x v="0"/>
    <s v="Fernanda Sánchez"/>
    <s v="TECUTLCCS"/>
    <s v="Superficie Escritorio en L Caramelo Set completo"/>
    <n v="1"/>
    <x v="1"/>
    <x v="16"/>
    <x v="37"/>
    <x v="0"/>
    <s v="Envioclick- Coordinadora"/>
    <s v="2460837 - 84150884720"/>
    <d v="2024-06-04T00:00:00"/>
    <d v="2024-06-05T00:00:00"/>
    <x v="0"/>
    <n v="0"/>
    <n v="1"/>
    <x v="1"/>
    <n v="29424"/>
    <m/>
  </r>
  <r>
    <d v="2024-06-03T00:00:00"/>
    <x v="5"/>
    <n v="23"/>
    <n v="2053"/>
    <x v="0"/>
    <s v="Kyle Duff"/>
    <s v="TECU2FNG"/>
    <s v="Electric Standing Desk GO Negro"/>
    <n v="1"/>
    <x v="0"/>
    <x v="0"/>
    <x v="10"/>
    <x v="0"/>
    <s v="Envioclick- Coordinadora"/>
    <s v="2460361 - 84150884474"/>
    <d v="2024-06-04T00:00:00"/>
    <d v="2024-06-05T00:00:00"/>
    <x v="0"/>
    <n v="0"/>
    <n v="1"/>
    <x v="1"/>
    <n v="40734"/>
    <m/>
  </r>
  <r>
    <d v="2024-06-03T00:00:00"/>
    <x v="5"/>
    <n v="23"/>
    <n v="2053"/>
    <x v="0"/>
    <s v="Kyle Duff"/>
    <s v="TECUTRN4C"/>
    <s v="Superficie Escritorio Roble Negro 140x70 Clasico"/>
    <n v="1"/>
    <x v="1"/>
    <x v="0"/>
    <x v="10"/>
    <x v="0"/>
    <s v="Envioclick- Coordinadora"/>
    <s v="2460365 - 84150884476"/>
    <d v="2024-06-04T00:00:00"/>
    <d v="2024-06-05T00:00:00"/>
    <x v="0"/>
    <n v="0"/>
    <n v="1"/>
    <x v="1"/>
    <n v="22988"/>
    <m/>
  </r>
  <r>
    <d v="2024-06-03T00:00:00"/>
    <x v="5"/>
    <n v="23"/>
    <n v="2054"/>
    <x v="0"/>
    <s v="Sergio Pomárico Hernández"/>
    <s v="TECUCT"/>
    <s v="TECU bandeja de cables"/>
    <n v="1"/>
    <x v="4"/>
    <x v="0"/>
    <x v="3"/>
    <x v="0"/>
    <s v="Envioclick- Coordinadora"/>
    <s v="2461207 - 84150884971"/>
    <d v="2024-06-04T00:00:00"/>
    <d v="2024-06-05T00:00:00"/>
    <x v="0"/>
    <n v="0"/>
    <n v="1"/>
    <x v="1"/>
    <n v="23855"/>
    <m/>
  </r>
  <r>
    <d v="2024-06-04T00:00:00"/>
    <x v="5"/>
    <n v="23"/>
    <n v="2055"/>
    <x v="0"/>
    <s v="Gustavo Salgado"/>
    <s v="TECU3FNPRO"/>
    <s v="Electric Standing Desk  PRO Negro"/>
    <n v="1"/>
    <x v="0"/>
    <x v="0"/>
    <x v="0"/>
    <x v="0"/>
    <s v="Envioclick- Coordinadora"/>
    <s v="2464117 - 84150886295"/>
    <d v="2024-06-05T00:00:00"/>
    <d v="2024-06-06T00:00:00"/>
    <x v="0"/>
    <n v="1"/>
    <n v="2"/>
    <x v="1"/>
    <n v="42002"/>
    <m/>
  </r>
  <r>
    <d v="2024-06-04T00:00:00"/>
    <x v="5"/>
    <n v="23"/>
    <n v="2055"/>
    <x v="0"/>
    <s v="Gustavo Salgado"/>
    <s v="TECUTCO8M"/>
    <s v="Superficie Escritorio Caramelo 180x70 Moderno"/>
    <n v="1"/>
    <x v="1"/>
    <x v="0"/>
    <x v="0"/>
    <x v="0"/>
    <s v="Envioclick- Coordinadora"/>
    <s v="2464120 - 84150886297"/>
    <d v="2024-06-05T00:00:00"/>
    <d v="2024-06-06T00:00:00"/>
    <x v="0"/>
    <n v="1"/>
    <n v="2"/>
    <x v="1"/>
    <n v="25521"/>
    <m/>
  </r>
  <r>
    <d v="2024-06-04T00:00:00"/>
    <x v="5"/>
    <n v="23"/>
    <n v="2056"/>
    <x v="0"/>
    <s v="Juan Jose Olave Romero"/>
    <s v="TECU3FNPRO"/>
    <s v="Electric Standing Desk  PRO Negro"/>
    <n v="1"/>
    <x v="0"/>
    <x v="7"/>
    <x v="18"/>
    <x v="0"/>
    <s v="Envioclick- Coordinadora"/>
    <s v="2464140 - 84150886310"/>
    <d v="2024-06-05T00:00:00"/>
    <d v="2024-06-06T00:00:00"/>
    <x v="0"/>
    <n v="1"/>
    <n v="2"/>
    <x v="1"/>
    <n v="54627"/>
    <m/>
  </r>
  <r>
    <d v="2024-06-04T00:00:00"/>
    <x v="5"/>
    <n v="23"/>
    <n v="2056"/>
    <x v="0"/>
    <s v="Juan Jose Olave Romero"/>
    <s v="TECUTRN20C"/>
    <s v="Superficie Escritorio Roble Negro 200x70 Clasico"/>
    <n v="1"/>
    <x v="1"/>
    <x v="7"/>
    <x v="18"/>
    <x v="0"/>
    <s v="Envioclick- Coordinadora"/>
    <s v="2464141 - 84150886311"/>
    <d v="2024-06-05T00:00:00"/>
    <d v="2024-06-06T00:00:00"/>
    <x v="0"/>
    <n v="1"/>
    <n v="2"/>
    <x v="1"/>
    <n v="36884"/>
    <m/>
  </r>
  <r>
    <d v="2024-06-04T00:00:00"/>
    <x v="5"/>
    <n v="23"/>
    <n v="2056"/>
    <x v="0"/>
    <s v="Juan Jose Olave Romero"/>
    <s v="TECUCT"/>
    <s v="TECU bandeja de cables"/>
    <n v="1"/>
    <x v="4"/>
    <x v="7"/>
    <x v="18"/>
    <x v="0"/>
    <s v="Envioclick- Coordinadora"/>
    <s v="2464707 - 84150886611"/>
    <d v="2024-06-05T00:00:00"/>
    <d v="2024-06-06T00:00:00"/>
    <x v="0"/>
    <n v="1"/>
    <n v="2"/>
    <x v="1"/>
    <n v="61686"/>
    <m/>
  </r>
  <r>
    <d v="2024-06-05T00:00:00"/>
    <x v="5"/>
    <n v="23"/>
    <n v="2057"/>
    <x v="0"/>
    <s v="Juliana Martinez"/>
    <s v="TECU3FNPRO"/>
    <s v="Electric Standing Desk  PRO Negro"/>
    <n v="1"/>
    <x v="0"/>
    <x v="1"/>
    <x v="1"/>
    <x v="0"/>
    <s v="Envioclick- Coordinadora"/>
    <s v="2477753 - 84150892156"/>
    <d v="2024-06-12T00:00:00"/>
    <d v="2024-06-14T00:00:00"/>
    <x v="0"/>
    <n v="5"/>
    <n v="7"/>
    <x v="0"/>
    <n v="42002"/>
    <s v="Cliente pide que el pedido se le despache el 12 Junio por mudanza"/>
  </r>
  <r>
    <d v="2024-06-05T00:00:00"/>
    <x v="5"/>
    <n v="23"/>
    <n v="2057"/>
    <x v="0"/>
    <s v="Juliana Martinez"/>
    <s v="TECUTCO7M"/>
    <s v="Superficie Escritorio Caramelo 170x70 Moderno"/>
    <n v="1"/>
    <x v="1"/>
    <x v="1"/>
    <x v="1"/>
    <x v="0"/>
    <s v="Envioclick- Coordinadora"/>
    <s v="2477754 - 84150892157"/>
    <d v="2024-06-12T00:00:00"/>
    <d v="2024-06-14T00:00:00"/>
    <x v="0"/>
    <n v="5"/>
    <n v="7"/>
    <x v="0"/>
    <n v="25521"/>
    <s v="Cliente pide que el pedido se le despache el 12 Junio por mudanza"/>
  </r>
  <r>
    <d v="2024-06-05T00:00:00"/>
    <x v="5"/>
    <n v="23"/>
    <n v="2058"/>
    <x v="0"/>
    <s v="Ernesto Betancourt Ramirez"/>
    <s v="TECU3FNPRO"/>
    <s v="Electric Standing Desk  PRO Negro"/>
    <n v="1"/>
    <x v="0"/>
    <x v="4"/>
    <x v="5"/>
    <x v="0"/>
    <s v="Envioclick- Coordinadora"/>
    <s v="2464152 - 84150886316"/>
    <d v="2024-06-05T00:00:00"/>
    <d v="2024-06-06T00:00:00"/>
    <x v="0"/>
    <n v="0"/>
    <n v="1"/>
    <x v="1"/>
    <n v="42002"/>
    <m/>
  </r>
  <r>
    <d v="2024-06-06T00:00:00"/>
    <x v="5"/>
    <n v="23"/>
    <n v="2059"/>
    <x v="0"/>
    <s v="Kyle Duff"/>
    <s v="TECUCT"/>
    <s v="TECU bandeja de cables"/>
    <n v="1"/>
    <x v="4"/>
    <x v="0"/>
    <x v="10"/>
    <x v="0"/>
    <s v="Envioclick- Coordinadora"/>
    <s v="2466900 - 84150887492"/>
    <d v="2024-06-06T00:00:00"/>
    <d v="2024-06-07T00:00:00"/>
    <x v="0"/>
    <n v="0"/>
    <n v="1"/>
    <x v="1"/>
    <n v="24355"/>
    <m/>
  </r>
  <r>
    <d v="2024-06-06T00:00:00"/>
    <x v="5"/>
    <n v="23"/>
    <n v="2059"/>
    <x v="1"/>
    <s v="Kyle Duff"/>
    <s v="TECUCT"/>
    <s v="TECU bandeja de cables"/>
    <n v="1"/>
    <x v="4"/>
    <x v="0"/>
    <x v="10"/>
    <x v="0"/>
    <s v="Envioclick- Coordinadora"/>
    <s v="2473918 - 84150890326"/>
    <d v="2024-06-11T00:00:00"/>
    <d v="2024-06-12T00:00:00"/>
    <x v="0"/>
    <n v="3"/>
    <n v="4"/>
    <x v="0"/>
    <n v="24355"/>
    <m/>
  </r>
  <r>
    <d v="2024-06-06T00:00:00"/>
    <x v="5"/>
    <n v="23"/>
    <n v="2060"/>
    <x v="0"/>
    <s v="Fabio José Cuello Henández"/>
    <s v="TECU3FNPRO"/>
    <s v="Electric Standing Desk  PRO Negro"/>
    <n v="1"/>
    <x v="0"/>
    <x v="2"/>
    <x v="2"/>
    <x v="0"/>
    <s v="Envioclick- Coordinadora"/>
    <s v="2469408 - 84150888582"/>
    <d v="2024-06-07T00:00:00"/>
    <d v="2024-06-11T00:00:00"/>
    <x v="0"/>
    <n v="1"/>
    <n v="3"/>
    <x v="1"/>
    <n v="60748"/>
    <m/>
  </r>
  <r>
    <d v="2024-06-06T00:00:00"/>
    <x v="5"/>
    <n v="23"/>
    <n v="2060"/>
    <x v="0"/>
    <s v="Fabio José Cuello Henández"/>
    <s v="TECUTCO7C"/>
    <s v="Superficie Escritorio Caramelo 170x70 Clasico"/>
    <n v="1"/>
    <x v="1"/>
    <x v="2"/>
    <x v="2"/>
    <x v="0"/>
    <s v="Envioclick- Coordinadora"/>
    <s v="2469409 - 84150888583"/>
    <d v="2024-06-07T00:00:00"/>
    <d v="2024-06-11T00:00:00"/>
    <x v="0"/>
    <n v="1"/>
    <n v="3"/>
    <x v="1"/>
    <n v="42393"/>
    <m/>
  </r>
  <r>
    <d v="2024-06-07T00:00:00"/>
    <x v="5"/>
    <n v="23"/>
    <n v="2061"/>
    <x v="0"/>
    <s v="Alejandra Alvarez"/>
    <s v="TECULFN2"/>
    <s v="Electric Standing Desk | Escritorio Ajustable En L Frame Negro 2.0"/>
    <n v="1"/>
    <x v="0"/>
    <x v="1"/>
    <x v="1"/>
    <x v="0"/>
    <s v="Envioclick- Coordinadora"/>
    <s v="2474105 - 84150890381"/>
    <d v="2024-06-11T00:00:00"/>
    <d v="2024-06-12T00:00:00"/>
    <x v="0"/>
    <n v="2"/>
    <n v="3"/>
    <x v="1"/>
    <n v="60937"/>
    <m/>
  </r>
  <r>
    <d v="2024-06-07T00:00:00"/>
    <x v="5"/>
    <n v="23"/>
    <n v="2061"/>
    <x v="0"/>
    <s v="Alejandra Alvarez"/>
    <s v="TECUTLCCS"/>
    <s v="Superficie Escritorio en L Caramelo Set completo"/>
    <n v="1"/>
    <x v="1"/>
    <x v="1"/>
    <x v="1"/>
    <x v="0"/>
    <s v="Envioclick- Coordinadora"/>
    <s v="2474106 - 84150890382"/>
    <d v="2024-06-11T00:00:00"/>
    <d v="2024-06-12T00:00:00"/>
    <x v="0"/>
    <n v="2"/>
    <n v="3"/>
    <x v="1"/>
    <n v="25251"/>
    <m/>
  </r>
  <r>
    <d v="2024-06-07T00:00:00"/>
    <x v="5"/>
    <n v="23"/>
    <n v="2061"/>
    <x v="0"/>
    <s v="Alejandra Alvarez"/>
    <s v="TECUACO"/>
    <s v="Archivador TECU  Caramelo"/>
    <n v="1"/>
    <x v="3"/>
    <x v="1"/>
    <x v="1"/>
    <x v="0"/>
    <s v="Envioclick- Envia"/>
    <s v="2486924 - 954100984812"/>
    <d v="2024-06-17T00:00:00"/>
    <d v="2024-06-18T00:00:00"/>
    <x v="0"/>
    <n v="7"/>
    <n v="8"/>
    <x v="0"/>
    <n v="49332"/>
    <m/>
  </r>
  <r>
    <d v="2024-06-07T00:00:00"/>
    <x v="5"/>
    <n v="23"/>
    <n v="2061"/>
    <x v="0"/>
    <s v="Alejandra Alvarez"/>
    <s v="TECURCO"/>
    <s v="Repisa TECU  Caramelo"/>
    <n v="1"/>
    <x v="2"/>
    <x v="1"/>
    <x v="1"/>
    <x v="0"/>
    <s v="Envioclick- Coordinadora"/>
    <s v="2474135 - 84150890397"/>
    <d v="2024-06-11T00:00:00"/>
    <d v="2024-06-12T00:00:00"/>
    <x v="0"/>
    <n v="2"/>
    <n v="3"/>
    <x v="1"/>
    <n v="22355"/>
    <m/>
  </r>
  <r>
    <d v="2024-06-07T00:00:00"/>
    <x v="5"/>
    <n v="23"/>
    <n v="2061"/>
    <x v="0"/>
    <s v="Alejandra Alvarez"/>
    <s v="TECUBDPA"/>
    <s v="TECU Desk Pad B Negro Azul"/>
    <n v="1"/>
    <x v="4"/>
    <x v="1"/>
    <x v="1"/>
    <x v="0"/>
    <s v="Envioclick- Coordinadora"/>
    <s v="2474120 - 84150890388"/>
    <d v="2024-06-11T00:00:00"/>
    <d v="2024-06-13T00:00:00"/>
    <x v="0"/>
    <n v="2"/>
    <n v="4"/>
    <x v="0"/>
    <n v="16131"/>
    <m/>
  </r>
  <r>
    <d v="2024-06-07T00:00:00"/>
    <x v="5"/>
    <n v="23"/>
    <n v="2061"/>
    <x v="0"/>
    <s v="Alejandra Alvarez"/>
    <s v="TECUBLS"/>
    <s v="TECU Laptop Stand B"/>
    <n v="1"/>
    <x v="4"/>
    <x v="1"/>
    <x v="1"/>
    <x v="0"/>
    <s v="Envioclick- Coordinadora"/>
    <s v="2474125 - 84150890393"/>
    <d v="2024-06-11T00:00:00"/>
    <d v="2024-06-15T00:00:00"/>
    <x v="0"/>
    <n v="2"/>
    <n v="6"/>
    <x v="0"/>
    <n v="24042"/>
    <m/>
  </r>
  <r>
    <d v="2024-06-18T00:00:00"/>
    <x v="5"/>
    <n v="25"/>
    <n v="2061"/>
    <x v="1"/>
    <s v="Alejandra Alvarez"/>
    <s v="TECURCO"/>
    <s v="Repisa TECU  Caramelo"/>
    <n v="1"/>
    <x v="2"/>
    <x v="1"/>
    <x v="1"/>
    <x v="0"/>
    <s v="Envioclick- Coordinadora"/>
    <s v="2474135 - 84150890397"/>
    <d v="2024-06-11T00:00:00"/>
    <d v="2024-06-12T00:00:00"/>
    <x v="0"/>
    <n v="-8"/>
    <n v="-7"/>
    <x v="1"/>
    <n v="16401"/>
    <m/>
  </r>
  <r>
    <d v="2024-06-11T00:00:00"/>
    <x v="5"/>
    <n v="24"/>
    <n v="2062"/>
    <x v="0"/>
    <s v="Daniel Valderrama"/>
    <s v="TECURCC"/>
    <s v="Repisa TECU  Miel"/>
    <n v="1"/>
    <x v="2"/>
    <x v="0"/>
    <x v="0"/>
    <x v="0"/>
    <s v="Envioclick- Coordinadora"/>
    <s v="2474562 - 84150890577"/>
    <d v="2024-06-11T00:00:00"/>
    <d v="2024-06-12T00:00:00"/>
    <x v="0"/>
    <n v="0"/>
    <n v="1"/>
    <x v="1"/>
    <n v="22355"/>
    <m/>
  </r>
  <r>
    <d v="2024-06-11T00:00:00"/>
    <x v="5"/>
    <n v="24"/>
    <n v="2063"/>
    <x v="0"/>
    <s v="soraya silva"/>
    <s v="TECU3FNPRO"/>
    <s v="Electric Standing Desk  PRO Negro"/>
    <n v="1"/>
    <x v="0"/>
    <x v="1"/>
    <x v="1"/>
    <x v="0"/>
    <s v="Envioclick- Coordinadora"/>
    <s v="2474576 - 84150890584"/>
    <d v="2024-06-11T00:00:00"/>
    <d v="2024-06-12T00:00:00"/>
    <x v="0"/>
    <n v="0"/>
    <n v="1"/>
    <x v="1"/>
    <n v="42002"/>
    <m/>
  </r>
  <r>
    <d v="2024-06-11T00:00:00"/>
    <x v="5"/>
    <n v="24"/>
    <n v="2063"/>
    <x v="0"/>
    <s v="soraya silva"/>
    <s v="TECUCT"/>
    <s v="TECU bandeja de cables"/>
    <n v="1"/>
    <x v="4"/>
    <x v="1"/>
    <x v="1"/>
    <x v="0"/>
    <s v="Envioclick- Coordinadora"/>
    <s v="2473897 - 84150890302"/>
    <d v="2024-06-11T00:00:00"/>
    <d v="2024-06-12T00:00:00"/>
    <x v="0"/>
    <n v="0"/>
    <n v="1"/>
    <x v="1"/>
    <n v="24355"/>
    <m/>
  </r>
  <r>
    <d v="2024-06-11T00:00:00"/>
    <x v="5"/>
    <n v="24"/>
    <n v="2063"/>
    <x v="0"/>
    <s v="soraya silva"/>
    <s v="TECUBLS"/>
    <s v="TECU Laptop Stand B"/>
    <n v="1"/>
    <x v="4"/>
    <x v="1"/>
    <x v="1"/>
    <x v="0"/>
    <s v="Envioclick- Coordinadora"/>
    <s v="2474596 - 84150890597"/>
    <d v="2024-06-11T00:00:00"/>
    <d v="2024-06-12T00:00:00"/>
    <x v="0"/>
    <n v="0"/>
    <n v="1"/>
    <x v="1"/>
    <n v="24042"/>
    <m/>
  </r>
  <r>
    <d v="2024-06-11T00:00:00"/>
    <x v="5"/>
    <n v="24"/>
    <n v="2064"/>
    <x v="0"/>
    <s v="Ivan Dario Ocampo Abril / Juan David Alvarino Abril"/>
    <s v="TECURCC"/>
    <s v="Repisa TECU  Miel"/>
    <n v="1"/>
    <x v="2"/>
    <x v="1"/>
    <x v="1"/>
    <x v="0"/>
    <s v="Envioclick- Coordinadora"/>
    <s v="2474604 - 84150890604"/>
    <d v="2024-06-11T00:00:00"/>
    <d v="2024-06-12T00:00:00"/>
    <x v="0"/>
    <n v="0"/>
    <n v="1"/>
    <x v="1"/>
    <n v="22355"/>
    <m/>
  </r>
  <r>
    <d v="2024-06-14T00:00:00"/>
    <x v="5"/>
    <n v="24"/>
    <n v="2065"/>
    <x v="0"/>
    <s v="Jonathan Prieto"/>
    <s v="TECU2FNG"/>
    <s v="Electric Standing Desk GO Negro"/>
    <n v="1"/>
    <x v="0"/>
    <x v="1"/>
    <x v="1"/>
    <x v="0"/>
    <s v="Envioclick- Coordinadora"/>
    <s v="2486903 - 84150895996"/>
    <d v="2024-06-17T00:00:00"/>
    <d v="2024-06-18T00:00:00"/>
    <x v="0"/>
    <n v="2"/>
    <n v="3"/>
    <x v="1"/>
    <n v="40734"/>
    <m/>
  </r>
  <r>
    <d v="2024-06-14T00:00:00"/>
    <x v="5"/>
    <n v="24"/>
    <n v="2065"/>
    <x v="0"/>
    <s v="Jonathan Prieto"/>
    <s v="TECUTB2C"/>
    <s v="Superficie Escritorio Blanco (Niebla) 120x70 Clasico Small"/>
    <n v="1"/>
    <x v="1"/>
    <x v="1"/>
    <x v="1"/>
    <x v="0"/>
    <s v="Envioclick- Coordinadora"/>
    <s v="2486904 - 84150895998"/>
    <d v="2024-06-17T00:00:00"/>
    <d v="2024-06-18T00:00:00"/>
    <x v="0"/>
    <n v="2"/>
    <n v="3"/>
    <x v="1"/>
    <n v="22988"/>
    <m/>
  </r>
  <r>
    <d v="2024-06-17T00:00:00"/>
    <x v="5"/>
    <n v="25"/>
    <n v="2066"/>
    <x v="0"/>
    <s v="John Fredy Herrera Herrera"/>
    <s v="TECULFN2"/>
    <s v="Electric Standing Desk | Escritorio Ajustable En L Frame Negro 2.0"/>
    <n v="1"/>
    <x v="0"/>
    <x v="0"/>
    <x v="38"/>
    <x v="0"/>
    <s v="Envioclick- Coordinadora"/>
    <s v="2486913 - 84150896003"/>
    <d v="2024-06-17T00:00:00"/>
    <d v="2024-06-18T00:00:00"/>
    <x v="0"/>
    <n v="0"/>
    <n v="1"/>
    <x v="3"/>
    <n v="60937"/>
    <m/>
  </r>
  <r>
    <d v="2024-06-17T00:00:00"/>
    <x v="5"/>
    <n v="25"/>
    <n v="2069"/>
    <x v="0"/>
    <s v="Daniel Esteban Yepes Palacio"/>
    <s v="TECU3FGPRO"/>
    <s v="Electric Standing Desk  PRO Gris"/>
    <n v="1"/>
    <x v="0"/>
    <x v="0"/>
    <x v="10"/>
    <x v="0"/>
    <s v="Envioclick- Coordinadora"/>
    <s v="2486919 - 84150896006"/>
    <d v="2024-06-17T00:00:00"/>
    <d v="2024-06-18T00:00:00"/>
    <x v="0"/>
    <n v="0"/>
    <n v="1"/>
    <x v="1"/>
    <n v="42002"/>
    <m/>
  </r>
  <r>
    <d v="2024-06-17T00:00:00"/>
    <x v="5"/>
    <n v="25"/>
    <n v="2069"/>
    <x v="0"/>
    <s v="Daniel Esteban Yepes Palacio"/>
    <s v="TECUTCC5C"/>
    <s v="Superficie Escritorio Miel 150x70 Clasico"/>
    <n v="1"/>
    <x v="1"/>
    <x v="0"/>
    <x v="10"/>
    <x v="0"/>
    <s v="Envioclick- Coordinadora"/>
    <s v="2486920 - 84150896007"/>
    <d v="2024-06-17T00:00:00"/>
    <d v="2024-06-18T00:00:00"/>
    <x v="0"/>
    <n v="0"/>
    <n v="1"/>
    <x v="1"/>
    <n v="22988"/>
    <m/>
  </r>
  <r>
    <d v="2024-06-17T00:00:00"/>
    <x v="5"/>
    <n v="25"/>
    <n v="2069"/>
    <x v="0"/>
    <s v="Daniel Esteban Yepes Palacio"/>
    <s v="TECUCT"/>
    <s v="TECU bandeja de cables"/>
    <n v="1"/>
    <x v="4"/>
    <x v="0"/>
    <x v="10"/>
    <x v="0"/>
    <s v="Envioclick- Coordinadora"/>
    <s v="2488137 - 84150896641"/>
    <d v="2024-06-17T00:00:00"/>
    <d v="2024-06-18T00:00:00"/>
    <x v="0"/>
    <n v="0"/>
    <n v="1"/>
    <x v="1"/>
    <n v="24355"/>
    <m/>
  </r>
  <r>
    <d v="2024-06-18T00:00:00"/>
    <x v="5"/>
    <n v="25"/>
    <n v="2070"/>
    <x v="0"/>
    <s v="German Andres Perez Escobar"/>
    <s v="TECU3FGPRO"/>
    <s v="Electric Standing Desk  PRO Gris"/>
    <n v="1"/>
    <x v="0"/>
    <x v="4"/>
    <x v="5"/>
    <x v="0"/>
    <s v="Envioclick- Coordinadora"/>
    <s v="2489822 - 84150897307"/>
    <d v="2024-06-18T00:00:00"/>
    <d v="2024-06-19T00:00:00"/>
    <x v="0"/>
    <n v="0"/>
    <n v="1"/>
    <x v="1"/>
    <n v="42002"/>
    <m/>
  </r>
  <r>
    <d v="2024-06-18T00:00:00"/>
    <x v="5"/>
    <n v="25"/>
    <n v="2070"/>
    <x v="0"/>
    <s v="German Andres Perez Escobar"/>
    <s v="TECUTCC8C"/>
    <s v="Superficie Escritorio Miel 180x70 Clasico"/>
    <n v="1"/>
    <x v="1"/>
    <x v="4"/>
    <x v="5"/>
    <x v="0"/>
    <s v="Envioclick- Coordinadora"/>
    <s v="2489823 - 84150897309"/>
    <d v="2024-06-18T00:00:00"/>
    <d v="2024-06-19T00:00:00"/>
    <x v="0"/>
    <n v="0"/>
    <n v="1"/>
    <x v="1"/>
    <n v="25521"/>
    <m/>
  </r>
  <r>
    <d v="2024-06-18T00:00:00"/>
    <x v="5"/>
    <n v="25"/>
    <n v="2070"/>
    <x v="0"/>
    <s v="German Andres Perez Escobar"/>
    <s v="TECUCT"/>
    <s v="TECU bandeja de cables"/>
    <n v="1"/>
    <x v="4"/>
    <x v="4"/>
    <x v="5"/>
    <x v="0"/>
    <s v="Envioclick- Coordinadora"/>
    <s v="2489994 - 84150897400"/>
    <d v="2024-06-18T00:00:00"/>
    <d v="2024-06-19T00:00:00"/>
    <x v="0"/>
    <n v="0"/>
    <n v="1"/>
    <x v="1"/>
    <n v="24355"/>
    <m/>
  </r>
  <r>
    <d v="2024-06-18T00:00:00"/>
    <x v="5"/>
    <n v="25"/>
    <n v="2071"/>
    <x v="0"/>
    <s v="Luis Caballero"/>
    <s v="TECU3FNPRO"/>
    <s v="Electric Standing Desk  PRO Negro"/>
    <n v="1"/>
    <x v="0"/>
    <x v="1"/>
    <x v="1"/>
    <x v="0"/>
    <s v="Envioclick- Coordinadora"/>
    <s v="2491946 - 84150898326"/>
    <d v="2024-06-19T00:00:00"/>
    <d v="2024-06-20T00:00:00"/>
    <x v="0"/>
    <n v="1"/>
    <n v="2"/>
    <x v="1"/>
    <n v="42002"/>
    <m/>
  </r>
  <r>
    <d v="2024-06-18T00:00:00"/>
    <x v="5"/>
    <n v="25"/>
    <n v="2071"/>
    <x v="0"/>
    <s v="Luis Caballero"/>
    <s v="TECUTCO6M"/>
    <s v="Superficie Escritorio Caramelo 160x70 Moderno"/>
    <n v="1"/>
    <x v="1"/>
    <x v="1"/>
    <x v="1"/>
    <x v="0"/>
    <s v="Envioclick- Coordinadora"/>
    <s v="2491948 - 84150898328"/>
    <d v="2024-06-19T00:00:00"/>
    <d v="2024-06-20T00:00:00"/>
    <x v="0"/>
    <n v="1"/>
    <n v="2"/>
    <x v="1"/>
    <n v="22988"/>
    <m/>
  </r>
  <r>
    <d v="2024-06-18T00:00:00"/>
    <x v="5"/>
    <n v="25"/>
    <n v="2071"/>
    <x v="0"/>
    <s v="Luis Caballero"/>
    <s v="TECUCT"/>
    <s v="TECU bandeja de cables"/>
    <n v="1"/>
    <x v="4"/>
    <x v="1"/>
    <x v="1"/>
    <x v="0"/>
    <s v="Envioclick- Coordinadora"/>
    <s v="2491991 - 84150898355"/>
    <d v="2024-06-19T00:00:00"/>
    <d v="2024-06-20T00:00:00"/>
    <x v="0"/>
    <n v="1"/>
    <n v="2"/>
    <x v="1"/>
    <n v="24355"/>
    <m/>
  </r>
  <r>
    <d v="2024-06-18T00:00:00"/>
    <x v="5"/>
    <n v="25"/>
    <n v="2071"/>
    <x v="0"/>
    <s v="Luis Caballero"/>
    <s v="TECUDSN"/>
    <s v="TECU Desk Stool Negra Silla ajustable"/>
    <n v="1"/>
    <x v="5"/>
    <x v="1"/>
    <x v="1"/>
    <x v="0"/>
    <s v="Envioclick- Coordinadora"/>
    <s v="2491942 - 84150898324"/>
    <d v="2024-06-19T00:00:00"/>
    <d v="2024-06-20T00:00:00"/>
    <x v="0"/>
    <n v="1"/>
    <n v="2"/>
    <x v="1"/>
    <n v="25935"/>
    <m/>
  </r>
  <r>
    <d v="2024-06-18T00:00:00"/>
    <x v="5"/>
    <n v="25"/>
    <n v="2071"/>
    <x v="0"/>
    <s v="Luis Caballero"/>
    <s v="TECUACO"/>
    <s v="Archivador TECU  Caramelo"/>
    <n v="1"/>
    <x v="3"/>
    <x v="1"/>
    <x v="1"/>
    <x v="0"/>
    <s v="Envioclick- Envia"/>
    <s v="2492025 - 954100986487"/>
    <d v="2024-06-19T00:00:00"/>
    <d v="2024-06-20T00:00:00"/>
    <x v="0"/>
    <n v="1"/>
    <n v="2"/>
    <x v="1"/>
    <n v="49332"/>
    <m/>
  </r>
  <r>
    <d v="2024-06-19T00:00:00"/>
    <x v="5"/>
    <n v="25"/>
    <n v="2072"/>
    <x v="0"/>
    <s v="Juan Bonilla"/>
    <s v="TECU3FBRO"/>
    <s v="Electric Standing Desk  PRO Blanco"/>
    <n v="1"/>
    <x v="0"/>
    <x v="1"/>
    <x v="1"/>
    <x v="0"/>
    <s v="Envioclick- Coordinadora"/>
    <s v="2491958 - 84150898334"/>
    <d v="2024-06-19T00:00:00"/>
    <d v="2024-06-21T00:00:00"/>
    <x v="0"/>
    <n v="0"/>
    <n v="2"/>
    <x v="1"/>
    <n v="42002"/>
    <m/>
  </r>
  <r>
    <d v="2024-06-19T00:00:00"/>
    <x v="5"/>
    <n v="25"/>
    <n v="2072"/>
    <x v="0"/>
    <s v="Juan Bonilla"/>
    <s v="TECUTCO6C"/>
    <s v="Superficie Escritorio Caramelo 160x70 Clasico"/>
    <n v="1"/>
    <x v="1"/>
    <x v="1"/>
    <x v="1"/>
    <x v="0"/>
    <s v="Envioclick- Coordinadora"/>
    <s v="2491959 -84150898335"/>
    <d v="2024-06-19T00:00:00"/>
    <d v="2024-06-20T00:00:00"/>
    <x v="0"/>
    <n v="0"/>
    <n v="1"/>
    <x v="1"/>
    <n v="22988"/>
    <m/>
  </r>
  <r>
    <d v="2024-06-19T00:00:00"/>
    <x v="5"/>
    <n v="25"/>
    <n v="2072"/>
    <x v="0"/>
    <s v="Juan Bonilla"/>
    <s v="TECUCT"/>
    <s v="TECU bandeja de cables"/>
    <n v="1"/>
    <x v="4"/>
    <x v="1"/>
    <x v="1"/>
    <x v="0"/>
    <s v="Envioclick- Coordinadora"/>
    <s v="2492055 - 84150898384"/>
    <d v="2024-06-19T00:00:00"/>
    <d v="2024-06-20T00:00:00"/>
    <x v="0"/>
    <n v="0"/>
    <n v="1"/>
    <x v="1"/>
    <n v="24355"/>
    <m/>
  </r>
  <r>
    <d v="2024-06-18T00:00:00"/>
    <x v="5"/>
    <n v="25"/>
    <n v="2073"/>
    <x v="0"/>
    <s v="Angela Hernandez"/>
    <s v="TECUCT"/>
    <s v="TECU bandeja de cables"/>
    <n v="1"/>
    <x v="4"/>
    <x v="4"/>
    <x v="5"/>
    <x v="0"/>
    <s v="Envioclick- Coordinadora"/>
    <s v="2492071 - 84150898393"/>
    <d v="2024-06-19T00:00:00"/>
    <d v="2024-06-20T00:00:00"/>
    <x v="0"/>
    <n v="1"/>
    <n v="2"/>
    <x v="1"/>
    <n v="24355"/>
    <m/>
  </r>
  <r>
    <d v="2024-06-19T00:00:00"/>
    <x v="5"/>
    <n v="25"/>
    <n v="2074"/>
    <x v="0"/>
    <s v="Laura Mogollón"/>
    <s v="TECU2FNG"/>
    <s v="Electric Standing Desk GO Negro"/>
    <n v="1"/>
    <x v="0"/>
    <x v="1"/>
    <x v="1"/>
    <x v="0"/>
    <s v="Envioclick- Coordinadora"/>
    <s v="2494265 - 84150898882"/>
    <d v="2024-06-19T00:00:00"/>
    <d v="2024-06-20T00:00:00"/>
    <x v="0"/>
    <n v="0"/>
    <n v="1"/>
    <x v="1"/>
    <n v="40735"/>
    <m/>
  </r>
  <r>
    <d v="2024-06-19T00:00:00"/>
    <x v="5"/>
    <n v="25"/>
    <n v="2074"/>
    <x v="0"/>
    <s v="Laura Mogollón"/>
    <s v="TECUTCC2C"/>
    <s v="Superficie Escritorio Miel 120x70 Clasico Small"/>
    <n v="1"/>
    <x v="1"/>
    <x v="1"/>
    <x v="1"/>
    <x v="0"/>
    <s v="Envioclick- Coordinadora"/>
    <s v="2499547 - 84150899566"/>
    <d v="2024-06-19T00:00:00"/>
    <d v="2024-06-21T00:00:00"/>
    <x v="0"/>
    <n v="0"/>
    <n v="2"/>
    <x v="1"/>
    <n v="22988"/>
    <m/>
  </r>
  <r>
    <d v="2024-06-19T00:00:00"/>
    <x v="5"/>
    <n v="25"/>
    <n v="2074"/>
    <x v="0"/>
    <s v="Laura Mogollón"/>
    <s v="TECUCT"/>
    <s v="TECU bandeja de cables"/>
    <n v="1"/>
    <x v="4"/>
    <x v="1"/>
    <x v="1"/>
    <x v="0"/>
    <s v="Envioclick- Coordinadora"/>
    <s v="2494244 - 84150898877"/>
    <d v="2024-06-19T00:00:00"/>
    <d v="2024-06-20T00:00:00"/>
    <x v="0"/>
    <n v="0"/>
    <n v="1"/>
    <x v="1"/>
    <n v="16631"/>
    <m/>
  </r>
  <r>
    <d v="2024-06-20T00:00:00"/>
    <x v="5"/>
    <n v="25"/>
    <n v="2075"/>
    <x v="0"/>
    <s v="Rene Jassen Vasquez Campo"/>
    <s v="TECU3FBRO"/>
    <s v="Electric Standing Desk  PRO Blanco"/>
    <n v="1"/>
    <x v="0"/>
    <x v="2"/>
    <x v="2"/>
    <x v="0"/>
    <s v="Envioclick- Coordinadora"/>
    <s v="2501566 - 84150900338"/>
    <d v="2024-06-21T00:00:00"/>
    <d v="2024-06-24T00:00:00"/>
    <x v="0"/>
    <n v="1"/>
    <n v="3"/>
    <x v="1"/>
    <n v="60748"/>
    <m/>
  </r>
  <r>
    <d v="2024-06-20T00:00:00"/>
    <x v="5"/>
    <n v="25"/>
    <n v="2075"/>
    <x v="0"/>
    <s v="Rene Jassen Vasquez Campo"/>
    <s v="TECUTB7C"/>
    <s v="Superficie Escritorio Blanco (Niebla) 170x70 Clasico"/>
    <n v="1"/>
    <x v="1"/>
    <x v="2"/>
    <x v="2"/>
    <x v="0"/>
    <s v="Envioclick- Coordinadora"/>
    <s v="2501569 - 84150900339"/>
    <d v="2024-06-21T00:00:00"/>
    <d v="2024-06-24T00:00:00"/>
    <x v="0"/>
    <n v="1"/>
    <n v="3"/>
    <x v="1"/>
    <n v="42393"/>
    <m/>
  </r>
  <r>
    <d v="2024-06-20T00:00:00"/>
    <x v="5"/>
    <n v="25"/>
    <n v="2075"/>
    <x v="0"/>
    <s v="Rene Jassen Vasquez Campo"/>
    <s v="TECUCT"/>
    <s v="TECU bandeja de cables"/>
    <n v="1"/>
    <x v="4"/>
    <x v="2"/>
    <x v="2"/>
    <x v="0"/>
    <s v="Envioclick- Coordinadora"/>
    <s v="2501442 - 84150900293"/>
    <d v="2024-06-21T00:00:00"/>
    <d v="2024-06-24T00:00:00"/>
    <x v="0"/>
    <n v="1"/>
    <n v="3"/>
    <x v="1"/>
    <n v="38102"/>
    <m/>
  </r>
  <r>
    <d v="2024-06-20T00:00:00"/>
    <x v="5"/>
    <n v="25"/>
    <n v="2075"/>
    <x v="0"/>
    <s v="Rene Jassen Vasquez Campo"/>
    <s v="TECUAB"/>
    <s v="Archivador TECU  Blanco (Niebla)"/>
    <n v="1"/>
    <x v="3"/>
    <x v="2"/>
    <x v="2"/>
    <x v="0"/>
    <s v="Envioclick- Envia"/>
    <s v="2501609 - 954100988177"/>
    <d v="2024-06-21T00:00:00"/>
    <d v="2024-06-24T00:00:00"/>
    <x v="0"/>
    <n v="1"/>
    <n v="3"/>
    <x v="1"/>
    <n v="87287"/>
    <m/>
  </r>
  <r>
    <d v="2024-06-21T00:00:00"/>
    <x v="5"/>
    <n v="25"/>
    <n v="2076"/>
    <x v="0"/>
    <s v="Juan Felipe Zapata"/>
    <s v="TECULFN2"/>
    <s v="Electric Standing Desk | Escritorio Ajustable En L Frame Negro 2.0"/>
    <n v="1"/>
    <x v="0"/>
    <x v="4"/>
    <x v="39"/>
    <x v="0"/>
    <s v="Envioclick- Coordinadora"/>
    <s v="2501680 - 84150900398"/>
    <d v="2024-06-21T00:00:00"/>
    <d v="2024-06-24T00:00:00"/>
    <x v="0"/>
    <n v="0"/>
    <n v="2"/>
    <x v="3"/>
    <n v="60937"/>
    <m/>
  </r>
  <r>
    <d v="2024-06-21T00:00:00"/>
    <x v="5"/>
    <n v="25"/>
    <n v="2076"/>
    <x v="0"/>
    <s v="Juan Felipe Zapata"/>
    <s v="TECUTLCCS"/>
    <s v="Superficie Escritorio en L Caramelo Set completo"/>
    <n v="1"/>
    <x v="1"/>
    <x v="4"/>
    <x v="39"/>
    <x v="0"/>
    <s v="Envioclick- Coordinadora"/>
    <s v="2501682 - 84150900399"/>
    <d v="2024-06-21T00:00:00"/>
    <d v="2024-06-24T00:00:00"/>
    <x v="0"/>
    <n v="0"/>
    <n v="2"/>
    <x v="3"/>
    <n v="25521"/>
    <m/>
  </r>
  <r>
    <d v="2024-06-21T00:00:00"/>
    <x v="5"/>
    <n v="25"/>
    <n v="2077"/>
    <x v="0"/>
    <s v="Sebastian Zambrano Torres"/>
    <s v="TECU3FNPRO"/>
    <s v="Electric Standing Desk  PRO Negro"/>
    <n v="1"/>
    <x v="0"/>
    <x v="1"/>
    <x v="1"/>
    <x v="0"/>
    <s v="Envioclick- Coordinadora"/>
    <s v="2501798 - 84150900438"/>
    <d v="2024-06-21T00:00:00"/>
    <d v="2024-06-24T00:00:00"/>
    <x v="0"/>
    <n v="0"/>
    <n v="2"/>
    <x v="1"/>
    <n v="42002"/>
    <m/>
  </r>
  <r>
    <d v="2024-06-21T00:00:00"/>
    <x v="5"/>
    <n v="25"/>
    <n v="2077"/>
    <x v="0"/>
    <s v="Sebastian Zambrano Torres"/>
    <s v="TECUTCC8C"/>
    <s v="Superficie Escritorio Miel 180x70 Clasico"/>
    <n v="1"/>
    <x v="1"/>
    <x v="1"/>
    <x v="1"/>
    <x v="0"/>
    <s v="Envioclick- Coordinadora"/>
    <s v="2501799 - 84150900439"/>
    <d v="2024-06-21T00:00:00"/>
    <d v="2024-06-24T00:00:00"/>
    <x v="0"/>
    <n v="0"/>
    <n v="2"/>
    <x v="1"/>
    <n v="25521"/>
    <m/>
  </r>
  <r>
    <d v="2024-06-21T00:00:00"/>
    <x v="5"/>
    <n v="25"/>
    <n v="2077"/>
    <x v="0"/>
    <s v="Sebastian Zambrano Torres"/>
    <s v="TECUCT"/>
    <s v="TECU bandeja de cables"/>
    <n v="1"/>
    <x v="4"/>
    <x v="1"/>
    <x v="1"/>
    <x v="0"/>
    <s v="Envioclick- Coordinadora"/>
    <s v="2502337 - 84150900738"/>
    <d v="2024-06-21T00:00:00"/>
    <d v="2024-06-22T00:00:00"/>
    <x v="0"/>
    <n v="0"/>
    <n v="1"/>
    <x v="1"/>
    <n v="24355"/>
    <m/>
  </r>
  <r>
    <d v="2024-06-22T00:00:00"/>
    <x v="5"/>
    <n v="25"/>
    <n v="2078"/>
    <x v="0"/>
    <s v="Carolina Navarrete"/>
    <s v="TECU3FNPRO"/>
    <s v="Electric Standing Desk  PRO Negro"/>
    <n v="1"/>
    <x v="0"/>
    <x v="4"/>
    <x v="5"/>
    <x v="0"/>
    <s v="Envioclick- Coordinadora"/>
    <s v="2601629 - 84150936186"/>
    <d v="2024-08-01T00:00:00"/>
    <d v="2024-08-02T00:00:00"/>
    <x v="0"/>
    <n v="33"/>
    <n v="34"/>
    <x v="0"/>
    <n v="42002"/>
    <s v="Cliente solicita envio 01 Agosto"/>
  </r>
  <r>
    <d v="2024-06-22T00:00:00"/>
    <x v="5"/>
    <n v="25"/>
    <n v="2078"/>
    <x v="0"/>
    <s v="Carolina Navarrete"/>
    <s v="TECUTCO2C"/>
    <s v="Superficie Escritorio Caramelo 120x70 Clasico Small"/>
    <n v="1"/>
    <x v="1"/>
    <x v="4"/>
    <x v="5"/>
    <x v="0"/>
    <s v="Envioclick- Coordinadora"/>
    <s v="2601630 - 84150936187"/>
    <d v="2024-08-01T00:00:00"/>
    <d v="2024-08-02T00:00:00"/>
    <x v="0"/>
    <n v="33"/>
    <n v="34"/>
    <x v="0"/>
    <n v="27422"/>
    <s v="Cliente solicita envio 01 Agosto"/>
  </r>
  <r>
    <d v="2024-06-22T00:00:00"/>
    <x v="5"/>
    <n v="25"/>
    <n v="2078"/>
    <x v="0"/>
    <s v="Carolina Navarrete"/>
    <s v="TECUCT"/>
    <s v="TECU bandeja de cables"/>
    <n v="1"/>
    <x v="4"/>
    <x v="4"/>
    <x v="5"/>
    <x v="0"/>
    <s v="Envioclick- Coordinadora"/>
    <s v="2601804 - 84150936286"/>
    <d v="2024-08-01T00:00:00"/>
    <d v="2024-08-02T00:00:00"/>
    <x v="0"/>
    <n v="33"/>
    <n v="34"/>
    <x v="0"/>
    <n v="16631"/>
    <s v="Cliente solicita envio 01 Agosto"/>
  </r>
  <r>
    <d v="2024-06-24T00:00:00"/>
    <x v="5"/>
    <n v="26"/>
    <n v="2079"/>
    <x v="0"/>
    <s v="Jordan Fares"/>
    <s v="TECU3FNPRO"/>
    <s v="Electric Standing Desk  PRO Negro"/>
    <n v="1"/>
    <x v="0"/>
    <x v="0"/>
    <x v="3"/>
    <x v="0"/>
    <s v="Envioclick- Coordinadora"/>
    <s v="2507722 - 84150903090"/>
    <d v="2024-06-25T00:00:00"/>
    <d v="2024-06-26T00:00:00"/>
    <x v="0"/>
    <n v="1"/>
    <n v="2"/>
    <x v="1"/>
    <n v="42002"/>
    <m/>
  </r>
  <r>
    <d v="2024-06-24T00:00:00"/>
    <x v="5"/>
    <n v="26"/>
    <n v="2079"/>
    <x v="0"/>
    <s v="Jordan Fares"/>
    <s v="TECUTCC20C"/>
    <s v="Superficie Escritorio Miel 200x70 Clasico"/>
    <n v="1"/>
    <x v="1"/>
    <x v="0"/>
    <x v="3"/>
    <x v="0"/>
    <s v="Envioclick- Coordinadora"/>
    <s v="2507723 - 84150903092"/>
    <d v="2024-06-25T00:00:00"/>
    <d v="2024-06-26T00:00:00"/>
    <x v="0"/>
    <n v="1"/>
    <n v="2"/>
    <x v="1"/>
    <n v="25521"/>
    <m/>
  </r>
  <r>
    <d v="2024-06-24T00:00:00"/>
    <x v="5"/>
    <n v="26"/>
    <n v="2079"/>
    <x v="0"/>
    <s v="Jordan Fares"/>
    <s v="TECUCT"/>
    <s v="TECU bandeja de cables"/>
    <n v="1"/>
    <x v="4"/>
    <x v="0"/>
    <x v="3"/>
    <x v="0"/>
    <s v="Envioclick- Coordinadora"/>
    <s v="2508322 - 84150903373"/>
    <d v="2024-06-25T00:00:00"/>
    <d v="2024-06-26T00:00:00"/>
    <x v="0"/>
    <n v="1"/>
    <n v="2"/>
    <x v="1"/>
    <n v="24355"/>
    <m/>
  </r>
  <r>
    <d v="2024-06-24T00:00:00"/>
    <x v="5"/>
    <n v="26"/>
    <n v="2080"/>
    <x v="0"/>
    <s v="Jorge Guerrero"/>
    <s v="TECU2FNG"/>
    <s v="Electric Standing Desk GO Negro"/>
    <n v="1"/>
    <x v="0"/>
    <x v="1"/>
    <x v="1"/>
    <x v="0"/>
    <s v="Envioclick- Coordinadora"/>
    <s v="2505223 - 84150901828"/>
    <d v="2024-06-24T00:00:00"/>
    <d v="2024-06-25T00:00:00"/>
    <x v="0"/>
    <n v="0"/>
    <n v="1"/>
    <x v="1"/>
    <n v="40734"/>
    <m/>
  </r>
  <r>
    <d v="2024-06-24T00:00:00"/>
    <x v="5"/>
    <n v="26"/>
    <n v="2080"/>
    <x v="0"/>
    <s v="Jorge Guerrero"/>
    <s v="TECUTCO2C"/>
    <s v="Superficie Escritorio Caramelo 120x70 Clasico Small"/>
    <n v="1"/>
    <x v="1"/>
    <x v="1"/>
    <x v="1"/>
    <x v="0"/>
    <s v="Envioclick- Coordinadora"/>
    <s v="2505374 - 84150901910"/>
    <d v="2024-06-24T00:00:00"/>
    <d v="2024-06-25T00:00:00"/>
    <x v="0"/>
    <n v="0"/>
    <n v="1"/>
    <x v="1"/>
    <n v="22988"/>
    <m/>
  </r>
  <r>
    <d v="2024-06-24T00:00:00"/>
    <x v="5"/>
    <n v="26"/>
    <n v="2080"/>
    <x v="0"/>
    <s v="Jorge Guerrero"/>
    <s v="TECUCT"/>
    <s v="TECU bandeja de cables"/>
    <n v="1"/>
    <x v="4"/>
    <x v="1"/>
    <x v="1"/>
    <x v="0"/>
    <s v="Envioclick- Coordinadora"/>
    <s v="2505959 - 84150902208"/>
    <d v="2024-06-24T00:00:00"/>
    <d v="2024-06-25T00:00:00"/>
    <x v="0"/>
    <n v="0"/>
    <n v="1"/>
    <x v="1"/>
    <n v="24355"/>
    <m/>
  </r>
  <r>
    <d v="2024-06-24T00:00:00"/>
    <x v="5"/>
    <n v="26"/>
    <n v="2081"/>
    <x v="0"/>
    <s v="Fredy Mosquera Lemus"/>
    <s v="TECU2FBGO"/>
    <s v="Electric Standing Desk GO Blanco"/>
    <n v="1"/>
    <x v="0"/>
    <x v="0"/>
    <x v="10"/>
    <x v="0"/>
    <s v="Envioclick- Coordinadora"/>
    <s v="2505373 - 84150901909"/>
    <d v="2024-06-24T00:00:00"/>
    <d v="2024-06-25T00:00:00"/>
    <x v="0"/>
    <n v="0"/>
    <n v="1"/>
    <x v="1"/>
    <n v="40734"/>
    <m/>
  </r>
  <r>
    <d v="2024-06-24T00:00:00"/>
    <x v="5"/>
    <n v="26"/>
    <n v="2081"/>
    <x v="0"/>
    <s v="Fredy Mosquera Lemus"/>
    <s v="TECUTB4C"/>
    <s v="Superficie Escritorio Blanco (Niebla) 140x70 Clasico"/>
    <n v="1"/>
    <x v="1"/>
    <x v="0"/>
    <x v="10"/>
    <x v="0"/>
    <s v="Envioclick- Coordinadora"/>
    <s v="2505374 - 84150901910"/>
    <d v="2024-06-24T00:00:00"/>
    <d v="2024-06-25T00:00:00"/>
    <x v="0"/>
    <n v="0"/>
    <n v="1"/>
    <x v="1"/>
    <n v="22988"/>
    <m/>
  </r>
  <r>
    <d v="2024-06-24T00:00:00"/>
    <x v="5"/>
    <n v="26"/>
    <n v="2081"/>
    <x v="0"/>
    <s v="Fredy Mosquera Lemus"/>
    <s v="TECUCT"/>
    <s v="TECU bandeja de cables"/>
    <n v="1"/>
    <x v="4"/>
    <x v="0"/>
    <x v="10"/>
    <x v="0"/>
    <s v="Envioclick- Coordinadora"/>
    <s v="2505973 - 84150902212"/>
    <d v="2024-06-24T00:00:00"/>
    <d v="2024-06-25T00:00:00"/>
    <x v="0"/>
    <n v="0"/>
    <n v="1"/>
    <x v="1"/>
    <n v="24988"/>
    <m/>
  </r>
  <r>
    <d v="2024-06-25T00:00:00"/>
    <x v="5"/>
    <n v="26"/>
    <n v="2083"/>
    <x v="0"/>
    <s v="Natalia Betancur"/>
    <s v="TECU3FGPRO"/>
    <s v="Electric Standing Desk  PRO Gris"/>
    <n v="1"/>
    <x v="0"/>
    <x v="0"/>
    <x v="3"/>
    <x v="0"/>
    <s v="Envioclick- Coordinadora"/>
    <s v="2507746 - 84150903097"/>
    <d v="2024-06-25T00:00:00"/>
    <d v="2024-06-26T00:00:00"/>
    <x v="0"/>
    <n v="0"/>
    <n v="1"/>
    <x v="1"/>
    <n v="42002"/>
    <m/>
  </r>
  <r>
    <d v="2024-06-25T00:00:00"/>
    <x v="5"/>
    <n v="26"/>
    <n v="2083"/>
    <x v="0"/>
    <s v="Natalia Betancur"/>
    <s v="TECUTCC6C"/>
    <s v="Superficie Escritorio Miel 160x70 Clasico"/>
    <n v="1"/>
    <x v="1"/>
    <x v="0"/>
    <x v="3"/>
    <x v="0"/>
    <s v="Envioclick- Coordinadora"/>
    <s v="2507747 - 84150903098"/>
    <d v="2024-06-25T00:00:00"/>
    <d v="2024-06-26T00:00:00"/>
    <x v="0"/>
    <n v="0"/>
    <n v="1"/>
    <x v="1"/>
    <n v="22988"/>
    <m/>
  </r>
  <r>
    <d v="2024-06-25T00:00:00"/>
    <x v="5"/>
    <n v="26"/>
    <n v="2083"/>
    <x v="0"/>
    <s v="Natalia Betancur"/>
    <s v="TECUCT"/>
    <s v="TECU bandeja de cables"/>
    <n v="1"/>
    <x v="4"/>
    <x v="0"/>
    <x v="3"/>
    <x v="0"/>
    <s v="Envioclick- Coordinadora"/>
    <s v="2508356 - 84150903388"/>
    <d v="2024-06-25T00:00:00"/>
    <d v="2024-06-26T00:00:00"/>
    <x v="0"/>
    <n v="0"/>
    <n v="1"/>
    <x v="1"/>
    <n v="24355"/>
    <m/>
  </r>
  <r>
    <d v="2024-06-27T00:00:00"/>
    <x v="5"/>
    <n v="26"/>
    <n v="2084"/>
    <x v="0"/>
    <s v="Maricela del Pilar Coral Palacios"/>
    <s v="TECU2FBGO"/>
    <s v="Electric Standing Desk GO Blanco"/>
    <n v="1"/>
    <x v="0"/>
    <x v="1"/>
    <x v="1"/>
    <x v="0"/>
    <s v="Envioclick- Coordinadora"/>
    <s v="2527730 - 84150905020"/>
    <d v="2024-06-27T00:00:00"/>
    <d v="2024-06-28T00:00:00"/>
    <x v="0"/>
    <n v="0"/>
    <n v="1"/>
    <x v="1"/>
    <n v="40734"/>
    <m/>
  </r>
  <r>
    <d v="2024-06-27T00:00:00"/>
    <x v="5"/>
    <n v="26"/>
    <n v="2084"/>
    <x v="0"/>
    <s v="Maricela del Pilar Coral Palacios"/>
    <s v="TECUTB4C"/>
    <s v="Superficie Escritorio Blanco (Niebla) 140x70 Clasico"/>
    <n v="1"/>
    <x v="1"/>
    <x v="1"/>
    <x v="1"/>
    <x v="0"/>
    <s v="Envioclick- Coordinadora"/>
    <s v="2527731 - 84150905021"/>
    <d v="2024-06-27T00:00:00"/>
    <d v="2024-06-28T00:00:00"/>
    <x v="0"/>
    <n v="0"/>
    <n v="1"/>
    <x v="1"/>
    <n v="22988"/>
    <m/>
  </r>
  <r>
    <d v="2024-06-27T00:00:00"/>
    <x v="5"/>
    <n v="26"/>
    <n v="2084"/>
    <x v="0"/>
    <s v="Maricela del Pilar Coral Palacios"/>
    <s v="TECUCT"/>
    <s v="TECU bandeja de cables"/>
    <n v="1"/>
    <x v="4"/>
    <x v="1"/>
    <x v="1"/>
    <x v="0"/>
    <s v="Envioclick- Coordinadora"/>
    <s v="2528749 - 84150905487"/>
    <d v="2024-06-27T00:00:00"/>
    <d v="2024-06-28T00:00:00"/>
    <x v="0"/>
    <n v="0"/>
    <n v="1"/>
    <x v="1"/>
    <n v="21855"/>
    <m/>
  </r>
  <r>
    <d v="2024-06-27T00:00:00"/>
    <x v="5"/>
    <n v="26"/>
    <n v="2085"/>
    <x v="0"/>
    <s v="Diego Alejandro Jaramillo Rendon"/>
    <s v="TECU2FNG"/>
    <s v="Electric Standing Desk GO Negro"/>
    <n v="1"/>
    <x v="0"/>
    <x v="0"/>
    <x v="3"/>
    <x v="0"/>
    <s v="Envioclick- Coordinadora"/>
    <s v="2527814 - 84150905057"/>
    <d v="2024-06-27T00:00:00"/>
    <d v="2024-06-28T00:00:00"/>
    <x v="0"/>
    <n v="0"/>
    <n v="1"/>
    <x v="1"/>
    <n v="40734"/>
    <m/>
  </r>
  <r>
    <d v="2024-06-27T00:00:00"/>
    <x v="5"/>
    <n v="26"/>
    <n v="2085"/>
    <x v="0"/>
    <s v="Diego Alejandro Jaramillo Rendon"/>
    <s v="TECUTCO2C"/>
    <s v="Superficie Escritorio Caramelo 120x70 Clasico Small"/>
    <n v="1"/>
    <x v="1"/>
    <x v="0"/>
    <x v="3"/>
    <x v="0"/>
    <s v="Envioclick- Coordinadora"/>
    <s v="2527816 - 84150905059"/>
    <d v="2024-06-27T00:00:00"/>
    <d v="2024-06-28T00:00:00"/>
    <x v="0"/>
    <n v="0"/>
    <n v="1"/>
    <x v="1"/>
    <n v="22988"/>
    <m/>
  </r>
  <r>
    <d v="2024-06-27T00:00:00"/>
    <x v="5"/>
    <n v="26"/>
    <n v="2085"/>
    <x v="0"/>
    <s v="Diego Alejandro Jaramillo Rendon"/>
    <s v="TECUCT"/>
    <s v="TECU bandeja de cables"/>
    <n v="1"/>
    <x v="4"/>
    <x v="0"/>
    <x v="3"/>
    <x v="0"/>
    <s v="Envioclick- Coordinadora"/>
    <s v="2528762 - 84150905493"/>
    <d v="2024-06-27T00:00:00"/>
    <d v="2024-06-28T00:00:00"/>
    <x v="0"/>
    <n v="0"/>
    <n v="1"/>
    <x v="1"/>
    <n v="24355"/>
    <m/>
  </r>
  <r>
    <d v="2024-06-28T00:00:00"/>
    <x v="5"/>
    <n v="26"/>
    <n v="2086"/>
    <x v="0"/>
    <s v="Vivian Toro"/>
    <s v="TECU2FBGO"/>
    <s v="Electric Standing Desk GO Blanco"/>
    <n v="1"/>
    <x v="0"/>
    <x v="1"/>
    <x v="1"/>
    <x v="0"/>
    <s v="Envioclick- Coordinadora"/>
    <s v="2530261 - 84150905978"/>
    <d v="2024-06-28T00:00:00"/>
    <d v="2024-07-02T00:00:00"/>
    <x v="0"/>
    <n v="0"/>
    <n v="2"/>
    <x v="1"/>
    <n v="40734"/>
    <m/>
  </r>
  <r>
    <d v="2024-06-28T00:00:00"/>
    <x v="5"/>
    <n v="26"/>
    <n v="2086"/>
    <x v="0"/>
    <s v="Vivian Toro"/>
    <s v="TECUTCC2C"/>
    <s v="Superficie Escritorio Miel 120x70 Clasico Small"/>
    <n v="1"/>
    <x v="1"/>
    <x v="1"/>
    <x v="1"/>
    <x v="0"/>
    <s v="Envioclick- Coordinadora"/>
    <s v="2530262 - 84150905979"/>
    <d v="2024-06-28T00:00:00"/>
    <d v="2024-07-02T00:00:00"/>
    <x v="0"/>
    <n v="0"/>
    <n v="2"/>
    <x v="1"/>
    <n v="22988"/>
    <m/>
  </r>
  <r>
    <d v="2024-06-28T00:00:00"/>
    <x v="5"/>
    <n v="26"/>
    <n v="2086"/>
    <x v="0"/>
    <s v="Vivian Toro"/>
    <s v="TECUCT"/>
    <s v="TECU bandeja de cables"/>
    <n v="1"/>
    <x v="4"/>
    <x v="1"/>
    <x v="1"/>
    <x v="0"/>
    <s v="Envioclick- Coordinadora"/>
    <s v="2531168 - 84150906429"/>
    <d v="2024-06-28T00:00:00"/>
    <d v="2024-07-02T00:00:00"/>
    <x v="0"/>
    <n v="0"/>
    <n v="2"/>
    <x v="1"/>
    <n v="24355"/>
    <m/>
  </r>
  <r>
    <d v="2024-06-29T00:00:00"/>
    <x v="5"/>
    <n v="26"/>
    <n v="2087"/>
    <x v="0"/>
    <s v="Laura Melisa Carmona Manjarrez"/>
    <s v="TECU2FNG"/>
    <s v="Electric Standing Desk GO Negro"/>
    <n v="1"/>
    <x v="0"/>
    <x v="3"/>
    <x v="4"/>
    <x v="0"/>
    <s v="Envioclick- Coordinadora"/>
    <s v="2535128 - 84150907779"/>
    <d v="2024-07-02T00:00:00"/>
    <d v="2024-07-05T00:00:00"/>
    <x v="0"/>
    <n v="1"/>
    <n v="4"/>
    <x v="1"/>
    <n v="58232"/>
    <m/>
  </r>
  <r>
    <d v="2024-06-29T00:00:00"/>
    <x v="5"/>
    <n v="26"/>
    <n v="2087"/>
    <x v="0"/>
    <s v="Laura Melisa Carmona Manjarrez"/>
    <s v="TECUTCO2C"/>
    <s v="Superficie Escritorio Caramelo 120x70 Clasico Small"/>
    <n v="1"/>
    <x v="1"/>
    <x v="3"/>
    <x v="4"/>
    <x v="0"/>
    <s v="Envioclick- Coordinadora"/>
    <s v="2535130 - 84150907781"/>
    <d v="2024-07-02T00:00:00"/>
    <d v="2024-07-05T00:00:00"/>
    <x v="0"/>
    <n v="1"/>
    <n v="4"/>
    <x v="1"/>
    <n v="37361"/>
    <m/>
  </r>
  <r>
    <d v="2024-06-29T00:00:00"/>
    <x v="5"/>
    <n v="26"/>
    <n v="2087"/>
    <x v="0"/>
    <s v="Laura Melisa Carmona Manjarrez"/>
    <s v="TECUCT"/>
    <s v="TECU bandeja de cables"/>
    <n v="1"/>
    <x v="4"/>
    <x v="3"/>
    <x v="4"/>
    <x v="0"/>
    <s v="Envioclick- Coordinadora"/>
    <s v="2536834 - 84150908584"/>
    <d v="2024-07-02T00:00:00"/>
    <d v="2024-07-05T00:00:00"/>
    <x v="0"/>
    <n v="1"/>
    <n v="4"/>
    <x v="1"/>
    <n v="38102"/>
    <m/>
  </r>
  <r>
    <d v="2024-06-29T00:00:00"/>
    <x v="5"/>
    <n v="26"/>
    <n v="2088"/>
    <x v="0"/>
    <s v="Valentina Jaimes Osman"/>
    <s v="TECU3FNPRO"/>
    <s v="Electric Standing Desk  PRO Negro"/>
    <n v="1"/>
    <x v="0"/>
    <x v="7"/>
    <x v="17"/>
    <x v="0"/>
    <s v="Envioclick- Coordinadora"/>
    <s v="2535156 - 84150907791"/>
    <d v="2024-07-02T00:00:00"/>
    <d v="2024-07-03T00:00:00"/>
    <x v="0"/>
    <n v="1"/>
    <n v="2"/>
    <x v="1"/>
    <n v="54627"/>
    <m/>
  </r>
  <r>
    <d v="2024-06-29T00:00:00"/>
    <x v="5"/>
    <n v="26"/>
    <n v="2088"/>
    <x v="0"/>
    <s v="Valentina Jaimes Osman"/>
    <s v="TECUTCO8C"/>
    <s v="Superficie Escritorio Caramelo 180x70 Clasico"/>
    <n v="1"/>
    <x v="1"/>
    <x v="7"/>
    <x v="17"/>
    <x v="0"/>
    <s v="Envioclick- Coordinadora"/>
    <s v="2535157 -84150907792"/>
    <d v="2024-07-02T00:00:00"/>
    <d v="2024-07-03T00:00:00"/>
    <x v="0"/>
    <n v="1"/>
    <n v="2"/>
    <x v="1"/>
    <n v="36884"/>
    <m/>
  </r>
  <r>
    <d v="2024-06-29T00:00:00"/>
    <x v="5"/>
    <n v="26"/>
    <n v="2088"/>
    <x v="0"/>
    <s v="Valentina Jaimes Osman"/>
    <s v="TECUCT"/>
    <s v="TECU bandeja de cables"/>
    <n v="1"/>
    <x v="4"/>
    <x v="7"/>
    <x v="17"/>
    <x v="0"/>
    <s v="Envioclick- Coordinadora"/>
    <s v="2536951 - 84150908642"/>
    <d v="2024-07-02T00:00:00"/>
    <d v="2024-07-03T00:00:00"/>
    <x v="0"/>
    <n v="1"/>
    <n v="2"/>
    <x v="1"/>
    <n v="33613"/>
    <m/>
  </r>
  <r>
    <d v="2024-06-30T00:00:00"/>
    <x v="5"/>
    <n v="27"/>
    <n v="2089"/>
    <x v="0"/>
    <s v="John Fredy Herrera Herrera"/>
    <s v="TECUBDPA"/>
    <s v="TECU Desk Pad B Negro Azul"/>
    <n v="1"/>
    <x v="4"/>
    <x v="0"/>
    <x v="38"/>
    <x v="0"/>
    <s v="Envioclick- Coordinadora"/>
    <s v="2535174 - 84150907801"/>
    <d v="2024-07-02T00:00:00"/>
    <d v="2024-07-03T00:00:00"/>
    <x v="0"/>
    <n v="0"/>
    <n v="1"/>
    <x v="3"/>
    <n v="16131"/>
    <m/>
  </r>
  <r>
    <d v="2024-06-30T00:00:00"/>
    <x v="5"/>
    <n v="27"/>
    <n v="2089"/>
    <x v="0"/>
    <s v="John Fredy Herrera Herrera"/>
    <s v="TECUCT"/>
    <s v="TECU bandeja de cables"/>
    <n v="1"/>
    <x v="4"/>
    <x v="0"/>
    <x v="38"/>
    <x v="0"/>
    <s v="Envioclick- Coordinadora"/>
    <s v="2536975 - 84150908667"/>
    <d v="2024-07-02T00:00:00"/>
    <d v="2024-07-04T00:00:00"/>
    <x v="0"/>
    <n v="0"/>
    <n v="2"/>
    <x v="3"/>
    <n v="24355"/>
    <m/>
  </r>
  <r>
    <d v="2024-06-30T00:00:00"/>
    <x v="5"/>
    <n v="27"/>
    <n v="2090"/>
    <x v="0"/>
    <s v="Nicolas Forero Puello"/>
    <s v="TECU3FGPRO"/>
    <s v="Electric Standing Desk  PRO Gris"/>
    <n v="1"/>
    <x v="0"/>
    <x v="0"/>
    <x v="3"/>
    <x v="0"/>
    <s v="Envioclick- Coordinadora"/>
    <s v="2535196 - 84150907815"/>
    <d v="2024-07-02T00:00:00"/>
    <d v="2024-07-03T00:00:00"/>
    <x v="0"/>
    <n v="0"/>
    <n v="1"/>
    <x v="1"/>
    <n v="42002"/>
    <m/>
  </r>
  <r>
    <d v="2024-06-30T00:00:00"/>
    <x v="5"/>
    <n v="27"/>
    <n v="2090"/>
    <x v="0"/>
    <s v="Nicolas Forero Puello"/>
    <s v="TECUTCC8M"/>
    <s v="Superficie Escritorio Miel 180x70 Moderno"/>
    <n v="1"/>
    <x v="1"/>
    <x v="0"/>
    <x v="3"/>
    <x v="0"/>
    <s v="Envioclick- Coordinadora"/>
    <s v="2535198 - 84150907816"/>
    <d v="2024-07-02T00:00:00"/>
    <d v="2024-07-03T00:00:00"/>
    <x v="0"/>
    <n v="0"/>
    <n v="1"/>
    <x v="1"/>
    <n v="25521"/>
    <m/>
  </r>
  <r>
    <d v="2024-07-01T00:00:00"/>
    <x v="6"/>
    <n v="27"/>
    <n v="2091"/>
    <x v="0"/>
    <s v="Mateo Cuervo Taylor"/>
    <s v="TECU2FNG"/>
    <s v="Electric Standing Desk GO Negro"/>
    <n v="1"/>
    <x v="0"/>
    <x v="1"/>
    <x v="14"/>
    <x v="0"/>
    <s v="Envioclick- Coordinadora"/>
    <s v="2535232 - 84150907832"/>
    <d v="2024-07-02T00:00:00"/>
    <d v="2024-07-04T00:00:00"/>
    <x v="0"/>
    <n v="0"/>
    <n v="2"/>
    <x v="1"/>
    <n v="40734"/>
    <m/>
  </r>
  <r>
    <d v="2024-07-01T00:00:00"/>
    <x v="6"/>
    <n v="27"/>
    <n v="2091"/>
    <x v="0"/>
    <s v="Mateo Cuervo Taylor"/>
    <s v="TECUTCO4C"/>
    <s v="Superficie Escritorio Caramelo 140x70 Clasico"/>
    <n v="1"/>
    <x v="1"/>
    <x v="1"/>
    <x v="14"/>
    <x v="0"/>
    <s v="Envioclick- Coordinadora"/>
    <s v="2535234 - 84150907834"/>
    <d v="2024-07-02T00:00:00"/>
    <d v="2024-07-04T00:00:00"/>
    <x v="0"/>
    <n v="0"/>
    <n v="2"/>
    <x v="1"/>
    <n v="22988"/>
    <m/>
  </r>
  <r>
    <d v="2024-07-01T00:00:00"/>
    <x v="6"/>
    <n v="27"/>
    <n v="2091"/>
    <x v="0"/>
    <s v="Mateo Cuervo Taylor"/>
    <s v="TECUCT"/>
    <s v="TECU bandeja de cables"/>
    <n v="1"/>
    <x v="4"/>
    <x v="1"/>
    <x v="1"/>
    <x v="0"/>
    <s v="Envioclick- Coordinadora"/>
    <s v="2537009 - 84150908682"/>
    <d v="2024-07-02T00:00:00"/>
    <d v="2024-07-08T00:00:00"/>
    <x v="0"/>
    <n v="0"/>
    <n v="5"/>
    <x v="0"/>
    <n v="21855"/>
    <m/>
  </r>
  <r>
    <d v="2024-07-01T00:00:00"/>
    <x v="6"/>
    <n v="27"/>
    <n v="2092"/>
    <x v="0"/>
    <s v="Luis Angel Cortes Buitrago"/>
    <s v="TECU3FBRO"/>
    <s v="Electric Standing Desk  PRO Blanco"/>
    <n v="1"/>
    <x v="0"/>
    <x v="1"/>
    <x v="1"/>
    <x v="0"/>
    <s v="Envioclick- Coordinadora"/>
    <s v="2535655 - 84150907903"/>
    <d v="2024-07-02T00:00:00"/>
    <d v="2024-07-04T00:00:00"/>
    <x v="0"/>
    <n v="0"/>
    <n v="2"/>
    <x v="1"/>
    <n v="42002"/>
    <m/>
  </r>
  <r>
    <d v="2024-07-01T00:00:00"/>
    <x v="6"/>
    <n v="27"/>
    <n v="2092"/>
    <x v="0"/>
    <s v="Luis Angel Cortes Buitrago"/>
    <s v="TECUTRN20C"/>
    <s v="Superficie Escritorio Roble Negro 200x70 Clasico"/>
    <n v="1"/>
    <x v="1"/>
    <x v="1"/>
    <x v="1"/>
    <x v="0"/>
    <s v="Envioclick- Coordinadora"/>
    <s v="2535656 - 84150907904"/>
    <d v="2024-07-02T00:00:00"/>
    <d v="2024-07-04T00:00:00"/>
    <x v="0"/>
    <n v="0"/>
    <n v="2"/>
    <x v="1"/>
    <n v="25521"/>
    <m/>
  </r>
  <r>
    <d v="2024-07-01T00:00:00"/>
    <x v="6"/>
    <n v="27"/>
    <n v="2092"/>
    <x v="0"/>
    <s v="Luis Angel Cortes Buitrago"/>
    <s v="TECUCT"/>
    <s v="TECU bandeja de cables"/>
    <n v="1"/>
    <x v="4"/>
    <x v="1"/>
    <x v="1"/>
    <x v="0"/>
    <s v="Envioclick- Coordinadora"/>
    <s v="2537027 - 84150908701"/>
    <d v="2024-07-02T00:00:00"/>
    <d v="2024-07-04T00:00:00"/>
    <x v="0"/>
    <n v="0"/>
    <n v="2"/>
    <x v="1"/>
    <n v="24355"/>
    <m/>
  </r>
  <r>
    <d v="2024-07-03T00:00:00"/>
    <x v="6"/>
    <n v="27"/>
    <n v="2093"/>
    <x v="0"/>
    <s v="Jose Manuel Fajardo Dueñas"/>
    <s v="TECU3FNPRO"/>
    <s v="Electric Standing Desk  PRO Negro"/>
    <n v="1"/>
    <x v="0"/>
    <x v="1"/>
    <x v="1"/>
    <x v="0"/>
    <s v="Envioclick- Coordinadora"/>
    <s v="2539375 - 84150909793"/>
    <d v="2024-07-03T00:00:00"/>
    <d v="2024-07-04T00:00:00"/>
    <x v="0"/>
    <n v="0"/>
    <n v="1"/>
    <x v="1"/>
    <n v="42002"/>
    <m/>
  </r>
  <r>
    <d v="2024-07-03T00:00:00"/>
    <x v="6"/>
    <n v="27"/>
    <n v="2093"/>
    <x v="0"/>
    <s v="Jose Manuel Fajardo Dueñas"/>
    <s v="TECUTRM5C"/>
    <s v="Superficie Roble Miel 150x70 Clasico"/>
    <n v="1"/>
    <x v="1"/>
    <x v="1"/>
    <x v="1"/>
    <x v="0"/>
    <s v="Envioclick- Coordinadora"/>
    <s v="2539376 - 84150909794"/>
    <d v="2024-07-03T00:00:00"/>
    <d v="2024-07-04T00:00:00"/>
    <x v="0"/>
    <n v="0"/>
    <n v="1"/>
    <x v="1"/>
    <n v="22988"/>
    <m/>
  </r>
  <r>
    <d v="2024-07-03T00:00:00"/>
    <x v="6"/>
    <n v="27"/>
    <n v="2093"/>
    <x v="0"/>
    <s v="Jose Manuel Fajardo Dueñas"/>
    <s v="TECURRM"/>
    <s v="Repisa Roble Miel"/>
    <n v="1"/>
    <x v="2"/>
    <x v="1"/>
    <x v="1"/>
    <x v="0"/>
    <s v="Envioclick- Coordinadora"/>
    <s v="2539773 - 84150910013"/>
    <d v="2024-07-03T00:00:00"/>
    <d v="2024-07-04T00:00:00"/>
    <x v="0"/>
    <n v="0"/>
    <n v="1"/>
    <x v="1"/>
    <n v="24355"/>
    <m/>
  </r>
  <r>
    <d v="2024-07-03T00:00:00"/>
    <x v="6"/>
    <n v="27"/>
    <n v="2094"/>
    <x v="0"/>
    <s v="Jorge Humberto Valderrama Ortiz"/>
    <s v="TECU2FNG"/>
    <s v="Electric Standing Desk GO Negro"/>
    <n v="1"/>
    <x v="0"/>
    <x v="0"/>
    <x v="38"/>
    <x v="0"/>
    <s v="Envioclick- Coordinadora"/>
    <s v="2539445 - 84150909826"/>
    <d v="2024-07-03T00:00:00"/>
    <d v="2024-07-04T00:00:00"/>
    <x v="0"/>
    <n v="0"/>
    <n v="1"/>
    <x v="3"/>
    <n v="40734"/>
    <m/>
  </r>
  <r>
    <d v="2024-07-03T00:00:00"/>
    <x v="6"/>
    <n v="27"/>
    <n v="2094"/>
    <x v="0"/>
    <s v="Jorge Humberto Valderrama Ortiz"/>
    <s v="TECUTCC2C"/>
    <s v="Superficie Escritorio Miel 120x70 Clasico Small"/>
    <n v="1"/>
    <x v="1"/>
    <x v="0"/>
    <x v="38"/>
    <x v="0"/>
    <s v="Envioclick- Coordinadora"/>
    <s v="2539815 - 84150910027"/>
    <d v="2024-07-03T00:00:00"/>
    <d v="2024-07-04T00:00:00"/>
    <x v="0"/>
    <n v="0"/>
    <n v="1"/>
    <x v="3"/>
    <n v="24355"/>
    <m/>
  </r>
  <r>
    <d v="2024-07-03T00:00:00"/>
    <x v="6"/>
    <n v="27"/>
    <n v="2094"/>
    <x v="0"/>
    <s v="Jorge Humberto Valderrama Ortiz"/>
    <s v="TECUCT"/>
    <s v="TECU bandeja de cables"/>
    <n v="1"/>
    <x v="4"/>
    <x v="0"/>
    <x v="38"/>
    <x v="0"/>
    <s v="Envioclick- Coordinadora"/>
    <s v="2539815 - 84150910027"/>
    <d v="2024-07-03T00:00:00"/>
    <d v="2024-07-04T00:00:00"/>
    <x v="0"/>
    <n v="0"/>
    <n v="1"/>
    <x v="3"/>
    <n v="24355"/>
    <m/>
  </r>
  <r>
    <d v="2024-07-03T00:00:00"/>
    <x v="6"/>
    <n v="27"/>
    <n v="2095"/>
    <x v="0"/>
    <s v="Neiber Padierna Perez"/>
    <s v="TECULFN2"/>
    <s v="Electric Standing Desk | Escritorio Ajustable En L Frame Negro 2.0"/>
    <n v="1"/>
    <x v="0"/>
    <x v="0"/>
    <x v="3"/>
    <x v="0"/>
    <s v="Envioclick- Coordinadora"/>
    <s v="2539967 - 84150910122"/>
    <d v="2024-07-03T00:00:00"/>
    <d v="2024-07-04T00:00:00"/>
    <x v="0"/>
    <n v="0"/>
    <n v="1"/>
    <x v="1"/>
    <n v="60937"/>
    <m/>
  </r>
  <r>
    <d v="2024-07-03T00:00:00"/>
    <x v="6"/>
    <n v="27"/>
    <n v="2095"/>
    <x v="0"/>
    <s v="Neiber Padierna Perez"/>
    <s v="TECUTLNS"/>
    <s v="Superficie Escritorio en L Negro (Wengue) Set completo"/>
    <n v="1"/>
    <x v="1"/>
    <x v="0"/>
    <x v="3"/>
    <x v="0"/>
    <s v="Envioclick- Coordinadora"/>
    <s v="2539969 - 84150910123"/>
    <d v="2024-07-03T00:00:00"/>
    <d v="2024-07-04T00:00:00"/>
    <x v="0"/>
    <n v="0"/>
    <n v="1"/>
    <x v="1"/>
    <n v="25521"/>
    <m/>
  </r>
  <r>
    <d v="2024-07-03T00:00:00"/>
    <x v="6"/>
    <n v="27"/>
    <n v="2095"/>
    <x v="0"/>
    <s v="Neiber Padierna Perez"/>
    <s v="TECUCT"/>
    <s v="TECU bandeja de cables"/>
    <n v="1"/>
    <x v="4"/>
    <x v="0"/>
    <x v="3"/>
    <x v="0"/>
    <s v="Envioclick- Coordinadora"/>
    <s v="2540080 - 84150910189"/>
    <d v="2024-07-02T00:00:00"/>
    <d v="2024-07-04T00:00:00"/>
    <x v="0"/>
    <n v="-3"/>
    <n v="1"/>
    <x v="1"/>
    <n v="24355"/>
    <m/>
  </r>
  <r>
    <d v="2024-07-03T00:00:00"/>
    <x v="6"/>
    <n v="27"/>
    <n v="2096"/>
    <x v="0"/>
    <s v="DANIEL RODRIGUEZ"/>
    <s v="TECU3FNPRO"/>
    <s v="Electric Standing Desk  PRO Negro"/>
    <n v="1"/>
    <x v="0"/>
    <x v="17"/>
    <x v="36"/>
    <x v="0"/>
    <s v="Envioclick- Coordinadora"/>
    <s v="2542435 - 84150911229"/>
    <d v="2024-07-04T00:00:00"/>
    <d v="2024-07-06T00:00:00"/>
    <x v="0"/>
    <n v="1"/>
    <n v="3"/>
    <x v="1"/>
    <n v="60748"/>
    <m/>
  </r>
  <r>
    <d v="2024-07-03T00:00:00"/>
    <x v="6"/>
    <n v="27"/>
    <n v="2096"/>
    <x v="0"/>
    <s v="DANIEL RODRIGUEZ"/>
    <s v="TECUTCO5M"/>
    <s v="Superficie Escritorio Caramelo 150x70 Moderno"/>
    <n v="1"/>
    <x v="1"/>
    <x v="17"/>
    <x v="36"/>
    <x v="0"/>
    <s v="Envioclick- Coordinadora"/>
    <s v="2542436 - 84150911230"/>
    <d v="2024-07-04T00:00:00"/>
    <d v="2024-07-06T00:00:00"/>
    <x v="0"/>
    <n v="1"/>
    <n v="3"/>
    <x v="1"/>
    <n v="37761"/>
    <m/>
  </r>
  <r>
    <d v="2024-07-03T00:00:00"/>
    <x v="6"/>
    <n v="27"/>
    <n v="2096"/>
    <x v="0"/>
    <s v="DANIEL RODRIGUEZ"/>
    <s v="TECUBDPA"/>
    <s v="TECU Desk Pad B Negro Azul"/>
    <n v="1"/>
    <x v="4"/>
    <x v="17"/>
    <x v="36"/>
    <x v="0"/>
    <s v="Envioclick- Coordinadora"/>
    <s v="2542429 - 84150911223"/>
    <d v="2024-07-04T00:00:00"/>
    <d v="2024-07-07T00:00:00"/>
    <x v="0"/>
    <n v="1"/>
    <n v="3"/>
    <x v="1"/>
    <n v="16131"/>
    <m/>
  </r>
  <r>
    <d v="2024-07-03T00:00:00"/>
    <x v="6"/>
    <n v="27"/>
    <n v="2096"/>
    <x v="0"/>
    <s v="DANIEL RODRIGUEZ"/>
    <s v="TECUCT"/>
    <s v="TECU bandeja de cables"/>
    <n v="1"/>
    <x v="4"/>
    <x v="17"/>
    <x v="36"/>
    <x v="0"/>
    <s v="Envioclick- Coordinadora"/>
    <s v="2542422 - 84150911231"/>
    <d v="2024-07-04T00:00:00"/>
    <d v="2024-07-06T00:00:00"/>
    <x v="0"/>
    <n v="1"/>
    <n v="3"/>
    <x v="1"/>
    <n v="38102"/>
    <m/>
  </r>
  <r>
    <d v="2024-07-05T00:00:00"/>
    <x v="6"/>
    <n v="27"/>
    <n v="2097"/>
    <x v="0"/>
    <s v="Angela Franco"/>
    <s v="TECU3FBRO"/>
    <s v="Electric Standing Desk  PRO Blanco"/>
    <n v="1"/>
    <x v="0"/>
    <x v="1"/>
    <x v="1"/>
    <x v="0"/>
    <s v="Envioclick- Coordinadora"/>
    <s v="2548324 - 84150913677"/>
    <d v="2024-07-08T00:00:00"/>
    <d v="2024-07-09T00:00:00"/>
    <x v="0"/>
    <n v="2"/>
    <n v="3"/>
    <x v="1"/>
    <n v="42002"/>
    <m/>
  </r>
  <r>
    <d v="2024-07-05T00:00:00"/>
    <x v="6"/>
    <n v="27"/>
    <n v="2097"/>
    <x v="0"/>
    <s v="Angela Franco"/>
    <s v="TECUTCC3C"/>
    <s v="Superficie Escritorio Miel 130x70 Clasico"/>
    <n v="1"/>
    <x v="1"/>
    <x v="1"/>
    <x v="1"/>
    <x v="0"/>
    <s v="Envioclick- Coordinadora"/>
    <s v="2548326 - 84150913678"/>
    <d v="2024-07-08T00:00:00"/>
    <d v="2024-07-09T00:00:00"/>
    <x v="0"/>
    <n v="2"/>
    <n v="3"/>
    <x v="1"/>
    <n v="27422"/>
    <m/>
  </r>
  <r>
    <d v="2024-07-05T00:00:00"/>
    <x v="6"/>
    <n v="27"/>
    <n v="2097"/>
    <x v="0"/>
    <s v="Angela Franco"/>
    <s v="TECUCT"/>
    <s v="TECU bandeja de cables"/>
    <n v="1"/>
    <x v="4"/>
    <x v="1"/>
    <x v="1"/>
    <x v="0"/>
    <s v="Envioclick- Coordinadora"/>
    <s v="2549629 - 84150914360"/>
    <d v="2024-07-08T00:00:00"/>
    <d v="2024-07-09T00:00:00"/>
    <x v="0"/>
    <n v="2"/>
    <n v="3"/>
    <x v="1"/>
    <n v="16631"/>
    <m/>
  </r>
  <r>
    <d v="2024-07-05T00:00:00"/>
    <x v="6"/>
    <n v="27"/>
    <n v="2098"/>
    <x v="0"/>
    <s v="Juan Camilo Clement Santacruz"/>
    <s v="TECU3FNPRO"/>
    <s v="Electric Standing Desk  PRO Negro"/>
    <n v="1"/>
    <x v="0"/>
    <x v="4"/>
    <x v="5"/>
    <x v="0"/>
    <s v="Envioclick- Coordinadora"/>
    <s v="2548332 - 84150913683"/>
    <d v="2024-07-08T00:00:00"/>
    <d v="2024-07-09T00:00:00"/>
    <x v="0"/>
    <n v="2"/>
    <n v="3"/>
    <x v="1"/>
    <n v="42002"/>
    <m/>
  </r>
  <r>
    <d v="2024-07-05T00:00:00"/>
    <x v="6"/>
    <n v="27"/>
    <n v="2098"/>
    <x v="0"/>
    <s v="Juan Camilo Clement Santacruz"/>
    <s v="TECUTRM8C"/>
    <s v="Superficie Roble Miel 180x70 Clasico"/>
    <n v="1"/>
    <x v="1"/>
    <x v="4"/>
    <x v="5"/>
    <x v="0"/>
    <s v="Envioclick- Coordinadora"/>
    <s v="2548333 - 84150913684"/>
    <d v="2024-07-08T00:00:00"/>
    <d v="2024-07-09T00:00:00"/>
    <x v="0"/>
    <n v="2"/>
    <n v="3"/>
    <x v="1"/>
    <n v="25521"/>
    <m/>
  </r>
  <r>
    <d v="2024-07-05T00:00:00"/>
    <x v="6"/>
    <n v="27"/>
    <n v="2098"/>
    <x v="0"/>
    <s v="Juan Camilo Clement Santacruz"/>
    <s v="TECURRM"/>
    <s v="Repisa Roble Miel"/>
    <n v="1"/>
    <x v="2"/>
    <x v="4"/>
    <x v="5"/>
    <x v="0"/>
    <s v="Envioclick- Coordinadora"/>
    <s v="2549657 - 84150914381"/>
    <d v="2024-07-08T00:00:00"/>
    <d v="2024-07-09T00:00:00"/>
    <x v="0"/>
    <n v="2"/>
    <n v="3"/>
    <x v="1"/>
    <n v="24545"/>
    <m/>
  </r>
  <r>
    <d v="2024-07-05T00:00:00"/>
    <x v="6"/>
    <n v="27"/>
    <n v="2098"/>
    <x v="0"/>
    <s v="Juan Camilo Clement Santacruz"/>
    <s v="TECUCT"/>
    <s v="TECU bandeja de cables"/>
    <n v="1"/>
    <x v="4"/>
    <x v="4"/>
    <x v="5"/>
    <x v="0"/>
    <s v="Envioclick- Coordinadora"/>
    <s v="2554327  - 84150916497"/>
    <d v="2024-07-10T00:00:00"/>
    <d v="2024-07-11T00:00:00"/>
    <x v="0"/>
    <n v="4"/>
    <n v="5"/>
    <x v="0"/>
    <n v="24355"/>
    <m/>
  </r>
  <r>
    <d v="2024-07-07T00:00:00"/>
    <x v="6"/>
    <n v="28"/>
    <n v="2099"/>
    <x v="0"/>
    <s v="Daniel Quiceno Calderón"/>
    <s v="TECU3FNPRO"/>
    <s v="Electric Standing Desk  PRO Negro"/>
    <n v="1"/>
    <x v="0"/>
    <x v="10"/>
    <x v="26"/>
    <x v="0"/>
    <s v="Envioclick- Coordinadora"/>
    <s v="2563973 - 84150920680"/>
    <d v="2024-07-15T00:00:00"/>
    <d v="2024-07-16T00:00:00"/>
    <x v="0"/>
    <n v="6"/>
    <n v="7"/>
    <x v="0"/>
    <n v="34504"/>
    <m/>
  </r>
  <r>
    <d v="2024-07-07T00:00:00"/>
    <x v="6"/>
    <n v="28"/>
    <n v="2099"/>
    <x v="0"/>
    <s v="Daniel Quiceno Calderón"/>
    <s v="TECUTRM8C"/>
    <s v="Superficie Roble Miel 180x70 Clasico"/>
    <n v="1"/>
    <x v="1"/>
    <x v="10"/>
    <x v="26"/>
    <x v="0"/>
    <s v="Envioclick- Coordinadora"/>
    <s v="2563975 - 84150920681"/>
    <d v="2024-07-15T00:00:00"/>
    <d v="2024-07-16T00:00:00"/>
    <x v="0"/>
    <n v="6"/>
    <n v="7"/>
    <x v="0"/>
    <n v="16123"/>
    <m/>
  </r>
  <r>
    <d v="2024-07-07T00:00:00"/>
    <x v="6"/>
    <n v="28"/>
    <n v="2099"/>
    <x v="0"/>
    <s v="Daniel Quiceno Calderón"/>
    <s v="TECURRM"/>
    <s v="Repisa Roble Miel"/>
    <n v="1"/>
    <x v="2"/>
    <x v="10"/>
    <x v="26"/>
    <x v="0"/>
    <s v="Envioclick- Coordinadora"/>
    <s v="2564522 - 84150920848"/>
    <d v="2024-07-15T00:00:00"/>
    <d v="2024-07-16T00:00:00"/>
    <x v="0"/>
    <n v="6"/>
    <n v="7"/>
    <x v="0"/>
    <n v="14206"/>
    <m/>
  </r>
  <r>
    <d v="2024-07-07T00:00:00"/>
    <x v="6"/>
    <n v="28"/>
    <n v="2099"/>
    <x v="0"/>
    <s v="Daniel Quiceno Calderón"/>
    <s v="TECUCT"/>
    <s v="TECU bandeja de cables"/>
    <n v="1"/>
    <x v="4"/>
    <x v="10"/>
    <x v="26"/>
    <x v="0"/>
    <s v="Envioclick- Coordinadora"/>
    <s v="2564544 - 84150920856"/>
    <d v="2024-07-15T00:00:00"/>
    <d v="2024-07-16T00:00:00"/>
    <x v="0"/>
    <n v="6"/>
    <n v="7"/>
    <x v="0"/>
    <n v="9393"/>
    <m/>
  </r>
  <r>
    <d v="2024-07-07T00:00:00"/>
    <x v="6"/>
    <n v="28"/>
    <n v="2099"/>
    <x v="0"/>
    <s v="Daniel Quiceno Calderón"/>
    <s v="TECUACO"/>
    <s v="Archivador TECU  Caramelo"/>
    <n v="1"/>
    <x v="3"/>
    <x v="10"/>
    <x v="26"/>
    <x v="0"/>
    <s v="Envioclick- Envia"/>
    <s v="2566264 - 954101003439"/>
    <d v="2024-07-16T00:00:00"/>
    <d v="2024-07-17T00:00:00"/>
    <x v="0"/>
    <n v="7"/>
    <n v="8"/>
    <x v="0"/>
    <n v="40246"/>
    <m/>
  </r>
  <r>
    <d v="2024-07-08T00:00:00"/>
    <x v="6"/>
    <n v="28"/>
    <n v="2100"/>
    <x v="0"/>
    <s v="Carlos Francisco Salazar Velasco"/>
    <s v="TECU2FNG"/>
    <s v="Electric Standing Desk GO Negro"/>
    <n v="1"/>
    <x v="0"/>
    <x v="4"/>
    <x v="5"/>
    <x v="0"/>
    <s v="Envioclick- Coordinadora"/>
    <s v="2549621 - 84150914353"/>
    <d v="2024-07-08T00:00:00"/>
    <d v="2024-07-09T00:00:00"/>
    <x v="0"/>
    <n v="0"/>
    <n v="1"/>
    <x v="1"/>
    <n v="40734"/>
    <m/>
  </r>
  <r>
    <d v="2024-07-08T00:00:00"/>
    <x v="6"/>
    <n v="28"/>
    <n v="2100"/>
    <x v="0"/>
    <s v="Carlos Francisco Salazar Velasco"/>
    <s v="TECUTCO4C"/>
    <s v="Superficie Escritorio Caramelo 140x70 Clasico"/>
    <n v="1"/>
    <x v="1"/>
    <x v="4"/>
    <x v="5"/>
    <x v="0"/>
    <s v="Envioclick- Coordinadora"/>
    <s v="2549622 - 84150914355"/>
    <d v="2024-07-08T00:00:00"/>
    <d v="2024-07-09T00:00:00"/>
    <x v="0"/>
    <n v="0"/>
    <n v="1"/>
    <x v="1"/>
    <n v="22988"/>
    <m/>
  </r>
  <r>
    <d v="2024-07-08T00:00:00"/>
    <x v="6"/>
    <n v="28"/>
    <n v="2100"/>
    <x v="0"/>
    <s v="Carlos Francisco Salazar Velasco"/>
    <s v="TECUBDPM"/>
    <s v="TECU Desk Pad B Negro Café Miel"/>
    <n v="1"/>
    <x v="4"/>
    <x v="4"/>
    <x v="5"/>
    <x v="0"/>
    <s v="Envioclick- Coordinadora"/>
    <s v="2549595 - 84150914341"/>
    <d v="2024-07-08T00:00:00"/>
    <d v="2024-07-09T00:00:00"/>
    <x v="0"/>
    <n v="0"/>
    <n v="1"/>
    <x v="1"/>
    <n v="16131"/>
    <m/>
  </r>
  <r>
    <d v="2024-07-09T00:00:00"/>
    <x v="6"/>
    <n v="28"/>
    <n v="2101"/>
    <x v="0"/>
    <s v="Hilda gicela Escobar rojas Escobar"/>
    <s v="TECU2FNG"/>
    <s v="Electric Standing Desk GO Negro"/>
    <n v="1"/>
    <x v="0"/>
    <x v="0"/>
    <x v="40"/>
    <x v="0"/>
    <s v="Envioclick- Coordinadora"/>
    <s v="2551457 - 84150915177"/>
    <d v="2024-07-09T00:00:00"/>
    <d v="2024-07-12T00:00:00"/>
    <x v="0"/>
    <n v="0"/>
    <n v="3"/>
    <x v="3"/>
    <n v="106410"/>
    <m/>
  </r>
  <r>
    <d v="2024-07-09T00:00:00"/>
    <x v="6"/>
    <n v="28"/>
    <n v="2101"/>
    <x v="0"/>
    <s v="Hilda gicela Escobar rojas Escobar"/>
    <s v="TECUTCO4C"/>
    <s v="Superficie Escritorio Caramelo 140x70 Clasico"/>
    <n v="1"/>
    <x v="1"/>
    <x v="0"/>
    <x v="40"/>
    <x v="0"/>
    <s v="Envioclick- Coordinadora"/>
    <s v="2551458 - 84150915178"/>
    <d v="2024-07-09T00:00:00"/>
    <d v="2024-07-12T00:00:00"/>
    <x v="0"/>
    <n v="0"/>
    <n v="3"/>
    <x v="3"/>
    <n v="91830"/>
    <m/>
  </r>
  <r>
    <d v="2024-07-09T00:00:00"/>
    <x v="6"/>
    <n v="28"/>
    <n v="2102"/>
    <x v="0"/>
    <s v="Juan Sebastian Cortes Torres"/>
    <s v="TECU3FNPRO"/>
    <s v="Electric Standing Desk  PRO Negro"/>
    <n v="1"/>
    <x v="0"/>
    <x v="4"/>
    <x v="5"/>
    <x v="0"/>
    <s v="Envioclick- Coordinadora"/>
    <s v="2551469 - 84150915181"/>
    <d v="2024-07-09T00:00:00"/>
    <d v="2024-07-10T00:00:00"/>
    <x v="0"/>
    <n v="0"/>
    <n v="1"/>
    <x v="1"/>
    <n v="42002"/>
    <m/>
  </r>
  <r>
    <d v="2024-07-09T00:00:00"/>
    <x v="6"/>
    <n v="28"/>
    <n v="2102"/>
    <x v="0"/>
    <s v="Juan Sebastian Cortes Torres"/>
    <s v="TECUTCO6C"/>
    <s v="Superficie Escritorio Caramelo 160x70 Clasico"/>
    <n v="1"/>
    <x v="1"/>
    <x v="4"/>
    <x v="5"/>
    <x v="0"/>
    <s v="Envioclick- Coordinadora"/>
    <s v="2551470 - 84150915182"/>
    <d v="2024-07-09T00:00:00"/>
    <d v="2024-07-10T00:00:00"/>
    <x v="0"/>
    <n v="0"/>
    <n v="1"/>
    <x v="1"/>
    <n v="22988"/>
    <m/>
  </r>
  <r>
    <d v="2024-07-10T00:00:00"/>
    <x v="6"/>
    <n v="28"/>
    <n v="2103"/>
    <x v="0"/>
    <s v="Lucia Moreno Cristancho"/>
    <s v="TECU2FNG"/>
    <s v="Electric Standing Desk GO Negro"/>
    <n v="1"/>
    <x v="0"/>
    <x v="1"/>
    <x v="1"/>
    <x v="0"/>
    <s v="Envioclick- Coordinadora"/>
    <s v="2554381 - 84150916517"/>
    <d v="2024-07-10T00:00:00"/>
    <d v="2024-07-11T00:00:00"/>
    <x v="0"/>
    <n v="0"/>
    <n v="1"/>
    <x v="1"/>
    <n v="40734"/>
    <m/>
  </r>
  <r>
    <d v="2024-07-10T00:00:00"/>
    <x v="6"/>
    <n v="28"/>
    <n v="2103"/>
    <x v="0"/>
    <s v="Lucia Moreno Cristancho"/>
    <s v="TECUTCO2C"/>
    <s v="Superficie Escritorio Caramelo 120x70 Clasico Small"/>
    <n v="1"/>
    <x v="1"/>
    <x v="1"/>
    <x v="1"/>
    <x v="0"/>
    <s v="Envioclick- Coordinadora"/>
    <s v="2554383 - 84150916518"/>
    <d v="2024-07-10T00:00:00"/>
    <d v="2024-07-11T00:00:00"/>
    <x v="0"/>
    <n v="0"/>
    <n v="1"/>
    <x v="1"/>
    <n v="22988"/>
    <m/>
  </r>
  <r>
    <d v="2024-07-11T00:00:00"/>
    <x v="6"/>
    <n v="28"/>
    <n v="2104"/>
    <x v="0"/>
    <s v="Nicolás steven Martín Castellanos"/>
    <s v="TECU2FNG"/>
    <s v="Electric Standing Desk GO Negro"/>
    <n v="1"/>
    <x v="0"/>
    <x v="1"/>
    <x v="1"/>
    <x v="0"/>
    <s v="Envioclick- Coordinadora"/>
    <s v="2556751 - 84150917560"/>
    <d v="2024-07-11T00:00:00"/>
    <d v="2024-07-12T00:00:00"/>
    <x v="0"/>
    <n v="0"/>
    <n v="1"/>
    <x v="1"/>
    <n v="40734"/>
    <m/>
  </r>
  <r>
    <d v="2024-07-11T00:00:00"/>
    <x v="6"/>
    <n v="28"/>
    <n v="2104"/>
    <x v="0"/>
    <s v="Nicolás steven Martín Castellanos"/>
    <s v="TECUTCO2C"/>
    <s v="Superficie Escritorio Caramelo 120x70 Clasico Small"/>
    <n v="1"/>
    <x v="1"/>
    <x v="1"/>
    <x v="1"/>
    <x v="0"/>
    <s v="Envioclick- Coordinadora"/>
    <s v="2556752 - 84150917562"/>
    <d v="2024-07-11T00:00:00"/>
    <d v="2024-07-12T00:00:00"/>
    <x v="0"/>
    <n v="0"/>
    <n v="1"/>
    <x v="1"/>
    <n v="22988"/>
    <m/>
  </r>
  <r>
    <d v="2024-07-11T00:00:00"/>
    <x v="6"/>
    <n v="28"/>
    <n v="2105"/>
    <x v="0"/>
    <s v="German David Ruiz Figueroa"/>
    <s v="TECU3FGPRO"/>
    <s v="Electric Standing Desk  PRO Gris"/>
    <n v="1"/>
    <x v="0"/>
    <x v="17"/>
    <x v="36"/>
    <x v="0"/>
    <s v="Envioclick- Coordinadora"/>
    <s v="2556759 - 84150917565"/>
    <d v="2024-07-11T00:00:00"/>
    <d v="2024-07-13T00:00:00"/>
    <x v="0"/>
    <n v="0"/>
    <n v="2"/>
    <x v="1"/>
    <n v="60748"/>
    <m/>
  </r>
  <r>
    <d v="2024-07-11T00:00:00"/>
    <x v="6"/>
    <n v="28"/>
    <n v="2105"/>
    <x v="0"/>
    <s v="German David Ruiz Figueroa"/>
    <s v="TECUTB5C"/>
    <s v="Superficie Escritorio Blanco(Niebla) 150x70 Clasico"/>
    <n v="1"/>
    <x v="1"/>
    <x v="17"/>
    <x v="36"/>
    <x v="0"/>
    <s v="Envioclick- Coordinadora"/>
    <s v="2556760 - 84150917567"/>
    <d v="2024-07-11T00:00:00"/>
    <d v="2024-07-13T00:00:00"/>
    <x v="0"/>
    <n v="0"/>
    <n v="2"/>
    <x v="1"/>
    <n v="37361"/>
    <m/>
  </r>
  <r>
    <d v="2024-07-12T00:00:00"/>
    <x v="6"/>
    <n v="28"/>
    <n v="2106"/>
    <x v="0"/>
    <s v="Ronald Ramirez"/>
    <s v="TECURN"/>
    <s v="Repisa TECU  Negro (Wengue)"/>
    <n v="1"/>
    <x v="2"/>
    <x v="1"/>
    <x v="1"/>
    <x v="0"/>
    <s v="Envioclick- Coordinadora"/>
    <s v="2559184 - 84150918734"/>
    <d v="2024-07-12T00:00:00"/>
    <d v="2024-07-17T00:00:00"/>
    <x v="0"/>
    <n v="0"/>
    <n v="4"/>
    <x v="0"/>
    <n v="22355"/>
    <m/>
  </r>
  <r>
    <d v="2024-07-12T00:00:00"/>
    <x v="6"/>
    <n v="28"/>
    <n v="2107"/>
    <x v="0"/>
    <s v="Sebastian David Rendon Soto"/>
    <s v="TECU3FNPRO"/>
    <s v="Electric Standing Desk  PRO Negro"/>
    <n v="1"/>
    <x v="0"/>
    <x v="14"/>
    <x v="29"/>
    <x v="0"/>
    <s v="Entrega directa"/>
    <s v="NA"/>
    <d v="2024-07-12T00:00:00"/>
    <d v="2024-07-12T00:00:00"/>
    <x v="0"/>
    <n v="0"/>
    <n v="0"/>
    <x v="1"/>
    <n v="40000"/>
    <m/>
  </r>
  <r>
    <d v="2024-07-12T00:00:00"/>
    <x v="6"/>
    <n v="28"/>
    <n v="2108"/>
    <x v="0"/>
    <s v="Adam Smiarowski"/>
    <s v="TECU3FBRO"/>
    <s v="Electric Standing Desk  PRO Blanco"/>
    <n v="1"/>
    <x v="0"/>
    <x v="1"/>
    <x v="1"/>
    <x v="0"/>
    <s v="Envioclick- Coordinadora"/>
    <s v="2562818 - 84150920131"/>
    <d v="2024-07-15T00:00:00"/>
    <d v="2024-07-16T00:00:00"/>
    <x v="0"/>
    <n v="2"/>
    <n v="3"/>
    <x v="1"/>
    <n v="42002"/>
    <m/>
  </r>
  <r>
    <d v="2024-07-12T00:00:00"/>
    <x v="6"/>
    <n v="28"/>
    <n v="2108"/>
    <x v="0"/>
    <s v="Adam Smiarowski"/>
    <s v="TECUTCC6C"/>
    <s v="Superficie Escritorio Miel 160x70 Clasico"/>
    <n v="1"/>
    <x v="1"/>
    <x v="1"/>
    <x v="1"/>
    <x v="0"/>
    <s v="Envioclick- Coordinadora"/>
    <s v="2562819 - 84150920132"/>
    <d v="2024-07-15T00:00:00"/>
    <d v="2024-07-16T00:00:00"/>
    <x v="0"/>
    <n v="2"/>
    <n v="3"/>
    <x v="1"/>
    <n v="22988"/>
    <m/>
  </r>
  <r>
    <d v="2024-07-14T00:00:00"/>
    <x v="6"/>
    <n v="29"/>
    <n v="2109"/>
    <x v="0"/>
    <s v="David Ernesto Vargas"/>
    <s v="TECU3FBRO"/>
    <s v="Electric Standing Desk  PRO Blanco"/>
    <n v="1"/>
    <x v="0"/>
    <x v="1"/>
    <x v="1"/>
    <x v="0"/>
    <s v="Envioclick- Coordinadora"/>
    <s v="2562799 - 84150920116"/>
    <d v="2024-07-15T00:00:00"/>
    <d v="2024-07-16T00:00:00"/>
    <x v="0"/>
    <n v="0"/>
    <n v="1"/>
    <x v="1"/>
    <n v="42002"/>
    <m/>
  </r>
  <r>
    <d v="2024-07-14T00:00:00"/>
    <x v="6"/>
    <n v="29"/>
    <n v="2109"/>
    <x v="0"/>
    <s v="David Ernesto Vargas"/>
    <s v="TECUTRN4C"/>
    <s v="Superficie Escritorio Roble Negro 140x70 Clasico"/>
    <n v="1"/>
    <x v="1"/>
    <x v="1"/>
    <x v="1"/>
    <x v="0"/>
    <s v="Envioclick- Coordinadora"/>
    <s v="2562801 - 84150920118"/>
    <d v="2024-07-15T00:00:00"/>
    <d v="2024-07-16T00:00:00"/>
    <x v="0"/>
    <n v="0"/>
    <n v="1"/>
    <x v="1"/>
    <n v="22988"/>
    <m/>
  </r>
  <r>
    <d v="2024-07-15T00:00:00"/>
    <x v="6"/>
    <n v="29"/>
    <n v="2110"/>
    <x v="0"/>
    <s v="Johnnatan Nicolás Ruiz Sánchez"/>
    <s v="TECU3FNPRO"/>
    <s v="Electric Standing Desk  PRO Negro"/>
    <n v="1"/>
    <x v="0"/>
    <x v="1"/>
    <x v="1"/>
    <x v="0"/>
    <s v="Envioclick- Coordinadora"/>
    <s v="2566111 - 84150921490"/>
    <d v="2024-07-16T00:00:00"/>
    <d v="2024-07-17T00:00:00"/>
    <x v="0"/>
    <n v="1"/>
    <n v="2"/>
    <x v="1"/>
    <n v="42002"/>
    <m/>
  </r>
  <r>
    <d v="2024-07-15T00:00:00"/>
    <x v="6"/>
    <n v="29"/>
    <n v="2110"/>
    <x v="0"/>
    <s v="Johnnatan Nicolás Ruiz Sánchez"/>
    <s v="TECUTRN8M"/>
    <s v="Superficie Escritorio Roble Negro 180x70 Moderno"/>
    <n v="1"/>
    <x v="1"/>
    <x v="1"/>
    <x v="1"/>
    <x v="0"/>
    <s v="Envioclick- Coordinadora"/>
    <s v="2566114 - 84150921492"/>
    <d v="2024-07-16T00:00:00"/>
    <d v="2024-07-17T00:00:00"/>
    <x v="0"/>
    <n v="1"/>
    <n v="2"/>
    <x v="1"/>
    <n v="25521"/>
    <m/>
  </r>
  <r>
    <d v="2024-07-15T00:00:00"/>
    <x v="6"/>
    <n v="29"/>
    <n v="2111"/>
    <x v="0"/>
    <s v="Patricia Arenas Mosquera"/>
    <s v="TECU2FNG"/>
    <s v="Electric Standing Desk GO Negro"/>
    <n v="1"/>
    <x v="0"/>
    <x v="1"/>
    <x v="1"/>
    <x v="0"/>
    <s v="Envioclick- Coordinadora"/>
    <s v="2566142 - 84150921511"/>
    <d v="2024-07-16T00:00:00"/>
    <d v="2024-07-17T00:00:00"/>
    <x v="0"/>
    <n v="1"/>
    <n v="2"/>
    <x v="1"/>
    <n v="40734"/>
    <m/>
  </r>
  <r>
    <d v="2024-07-15T00:00:00"/>
    <x v="6"/>
    <n v="29"/>
    <n v="2111"/>
    <x v="0"/>
    <s v="Patricia Arenas Mosquera"/>
    <s v="TECUTCC2C"/>
    <s v="Superficie Escritorio Miel 120x70 Clasico Small"/>
    <n v="1"/>
    <x v="1"/>
    <x v="1"/>
    <x v="1"/>
    <x v="0"/>
    <s v="Envioclick- Coordinadora"/>
    <s v="2566144 - 84150921512"/>
    <d v="2024-07-16T00:00:00"/>
    <d v="2024-07-17T00:00:00"/>
    <x v="0"/>
    <n v="1"/>
    <n v="2"/>
    <x v="1"/>
    <m/>
    <m/>
  </r>
  <r>
    <d v="2024-07-15T00:00:00"/>
    <x v="6"/>
    <n v="29"/>
    <n v="2112"/>
    <x v="0"/>
    <s v="Luis Alberto Moreno Chanchay"/>
    <s v="TECURCC"/>
    <s v="Repisa TECU  Miel"/>
    <n v="1"/>
    <x v="2"/>
    <x v="1"/>
    <x v="1"/>
    <x v="0"/>
    <s v="Envioclick- Coordinadora"/>
    <s v="2566149 - 84150921515"/>
    <d v="2024-07-16T00:00:00"/>
    <d v="2024-07-17T00:00:00"/>
    <x v="0"/>
    <n v="1"/>
    <n v="2"/>
    <x v="1"/>
    <n v="22355"/>
    <m/>
  </r>
  <r>
    <d v="2024-07-16T00:00:00"/>
    <x v="6"/>
    <n v="29"/>
    <n v="2113"/>
    <x v="0"/>
    <s v="Diana Ramirez"/>
    <s v="TECU2FBGO"/>
    <s v="Electric Standing Desk GO Blanco"/>
    <n v="1"/>
    <x v="0"/>
    <x v="0"/>
    <x v="8"/>
    <x v="0"/>
    <s v="Envioclick- Coordinadora"/>
    <s v="2566331 - 84150921605"/>
    <d v="2024-07-16T00:00:00"/>
    <d v="2024-07-17T00:00:00"/>
    <x v="0"/>
    <n v="0"/>
    <n v="1"/>
    <x v="1"/>
    <n v="40734"/>
    <m/>
  </r>
  <r>
    <d v="2024-07-16T00:00:00"/>
    <x v="6"/>
    <n v="29"/>
    <n v="2113"/>
    <x v="0"/>
    <s v="Diana Ramirez"/>
    <s v="TECUTCC4C"/>
    <s v="Superficie Escritorio Miel 140x70 Clasico"/>
    <n v="1"/>
    <x v="1"/>
    <x v="0"/>
    <x v="8"/>
    <x v="0"/>
    <s v="Envioclick- Coordinadora"/>
    <s v="2566332 - 84150921606"/>
    <d v="2024-07-16T00:00:00"/>
    <d v="2024-07-17T00:00:00"/>
    <x v="0"/>
    <n v="0"/>
    <n v="1"/>
    <x v="1"/>
    <n v="22988"/>
    <m/>
  </r>
  <r>
    <d v="2024-07-17T00:00:00"/>
    <x v="6"/>
    <n v="29"/>
    <n v="2114"/>
    <x v="0"/>
    <s v="Diego Alejandro Velásquez García"/>
    <s v="TECU3FNPRO"/>
    <s v="Electric Standing Desk  PRO Negro"/>
    <n v="1"/>
    <x v="0"/>
    <x v="10"/>
    <x v="41"/>
    <x v="0"/>
    <s v="Envioclick- Coordinadora"/>
    <s v="2568922 - 84150922845"/>
    <d v="2024-07-17T00:00:00"/>
    <d v="2024-07-19T00:00:00"/>
    <x v="0"/>
    <n v="0"/>
    <n v="2"/>
    <x v="3"/>
    <n v="106410"/>
    <m/>
  </r>
  <r>
    <d v="2024-07-17T00:00:00"/>
    <x v="6"/>
    <n v="29"/>
    <n v="2114"/>
    <x v="0"/>
    <s v="Diego Alejandro Velásquez García"/>
    <s v="TECUTRM8C"/>
    <s v="Superficie Roble Miel 180x70 Clasico"/>
    <n v="1"/>
    <x v="1"/>
    <x v="10"/>
    <x v="41"/>
    <x v="0"/>
    <s v="Envioclick- Coordinadora"/>
    <s v="2568979 - 84150922862"/>
    <d v="2024-07-17T00:00:00"/>
    <d v="2024-07-19T00:00:00"/>
    <x v="0"/>
    <n v="0"/>
    <n v="2"/>
    <x v="3"/>
    <n v="91830"/>
    <m/>
  </r>
  <r>
    <d v="2024-07-17T00:00:00"/>
    <x v="6"/>
    <n v="29"/>
    <n v="2114"/>
    <x v="0"/>
    <s v="Diego Alejandro Velásquez García"/>
    <s v="TECURRM"/>
    <s v="Repisa Roble Miel"/>
    <n v="1"/>
    <x v="2"/>
    <x v="10"/>
    <x v="41"/>
    <x v="0"/>
    <s v="Envioclick- Coordinadora"/>
    <s v="2569043 - 84150922889"/>
    <d v="2024-07-17T00:00:00"/>
    <d v="2024-07-19T00:00:00"/>
    <x v="0"/>
    <n v="0"/>
    <n v="2"/>
    <x v="3"/>
    <n v="93020"/>
    <m/>
  </r>
  <r>
    <d v="2024-07-17T00:00:00"/>
    <x v="6"/>
    <n v="29"/>
    <n v="2114"/>
    <x v="0"/>
    <s v="Diego Alejandro Velásquez García"/>
    <s v="TECUCT"/>
    <s v="TECU bandeja de cables"/>
    <n v="1"/>
    <x v="4"/>
    <x v="10"/>
    <x v="41"/>
    <x v="0"/>
    <s v="Envioclick- Coordinadora"/>
    <s v="2569021 - 84150922880"/>
    <d v="2024-07-17T00:00:00"/>
    <d v="2024-07-19T00:00:00"/>
    <x v="0"/>
    <n v="0"/>
    <n v="2"/>
    <x v="3"/>
    <n v="32371"/>
    <m/>
  </r>
  <r>
    <d v="2024-07-18T00:00:00"/>
    <x v="6"/>
    <n v="29"/>
    <n v="2115"/>
    <x v="0"/>
    <s v="Carlos Andrés Fernández Ramos"/>
    <s v="TECU3FBRO"/>
    <s v="Electric Standing Desk  PRO Blanco"/>
    <n v="1"/>
    <x v="0"/>
    <x v="1"/>
    <x v="1"/>
    <x v="0"/>
    <s v="Envioclick- Coordinadora"/>
    <s v="2573631 - 84150924878"/>
    <d v="2024-07-19T00:00:00"/>
    <d v="2024-07-22T00:00:00"/>
    <x v="0"/>
    <n v="1"/>
    <n v="3"/>
    <x v="1"/>
    <n v="42002"/>
    <m/>
  </r>
  <r>
    <d v="2024-07-18T00:00:00"/>
    <x v="6"/>
    <n v="29"/>
    <n v="2115"/>
    <x v="0"/>
    <s v="Carlos Andrés Fernández Ramos"/>
    <s v="TECUTCO7C"/>
    <s v="Superficie Escritorio Caramelo 170x70 Clasico"/>
    <n v="1"/>
    <x v="1"/>
    <x v="1"/>
    <x v="1"/>
    <x v="0"/>
    <s v="Envioclick- Coordinadora"/>
    <s v="2573632 - 84150924879"/>
    <d v="2024-07-19T00:00:00"/>
    <d v="2024-07-22T00:00:00"/>
    <x v="0"/>
    <n v="1"/>
    <n v="3"/>
    <x v="1"/>
    <n v="25521"/>
    <m/>
  </r>
  <r>
    <d v="2024-07-18T00:00:00"/>
    <x v="6"/>
    <n v="29"/>
    <n v="2115"/>
    <x v="0"/>
    <s v="Carlos Andrés Fernández Ramos"/>
    <s v="TECUROD"/>
    <s v="Rodachines con freno para Standing desk x 4 UN"/>
    <n v="1"/>
    <x v="6"/>
    <x v="1"/>
    <x v="1"/>
    <x v="0"/>
    <s v="Envioclick- Coordinadora"/>
    <s v="2574278 - 84150925124"/>
    <d v="2024-07-19T00:00:00"/>
    <d v="2024-07-22T00:00:00"/>
    <x v="0"/>
    <n v="1"/>
    <n v="3"/>
    <x v="1"/>
    <n v="23042"/>
    <m/>
  </r>
  <r>
    <d v="2024-07-19T00:00:00"/>
    <x v="6"/>
    <n v="29"/>
    <n v="2116"/>
    <x v="0"/>
    <s v="Juan Angulo"/>
    <s v="TECU3FBRO"/>
    <s v="Electric Standing Desk  PRO Blanco"/>
    <n v="1"/>
    <x v="0"/>
    <x v="2"/>
    <x v="2"/>
    <x v="0"/>
    <s v="Envioclick- Coordinadora"/>
    <s v="2591509 - 84150932281"/>
    <d v="2024-07-29T00:00:00"/>
    <d v="2024-07-31T00:00:00"/>
    <x v="0"/>
    <n v="8"/>
    <n v="10"/>
    <x v="0"/>
    <n v="60748"/>
    <s v="Pedido influencer / especial con bandeja- Piden salir 29 Jul"/>
  </r>
  <r>
    <d v="2024-07-19T00:00:00"/>
    <x v="6"/>
    <n v="29"/>
    <n v="2116"/>
    <x v="0"/>
    <s v="Juan Angulo"/>
    <s v="TECUTCC5C"/>
    <s v="Superficie Escritorio Miel 150x70 Clasico"/>
    <n v="1"/>
    <x v="1"/>
    <x v="2"/>
    <x v="2"/>
    <x v="0"/>
    <s v="Envioclick- Coordinadora"/>
    <s v="2591513 - 84150932282"/>
    <d v="2024-07-29T00:00:00"/>
    <d v="2024-07-31T00:00:00"/>
    <x v="0"/>
    <n v="8"/>
    <n v="10"/>
    <x v="0"/>
    <n v="37361"/>
    <s v="Pedido influencer / especial con bandeja- Piden salir 29 Jul"/>
  </r>
  <r>
    <d v="2024-07-19T00:00:00"/>
    <x v="6"/>
    <n v="29"/>
    <n v="2117"/>
    <x v="0"/>
    <s v="Juan Angulo"/>
    <s v="TECULFN2"/>
    <s v="Electric Standing Desk | Escritorio Ajustable En L Frame Negro 2.0"/>
    <n v="1"/>
    <x v="0"/>
    <x v="2"/>
    <x v="2"/>
    <x v="0"/>
    <s v="Envioclick- Coordinadora"/>
    <s v="2591486 - 84150932262"/>
    <d v="2024-07-29T00:00:00"/>
    <d v="2024-07-31T00:00:00"/>
    <x v="0"/>
    <n v="8"/>
    <n v="10"/>
    <x v="0"/>
    <n v="93429"/>
    <s v="Pedido influencer / especial con bandeja- Piden salir 29 Jul"/>
  </r>
  <r>
    <d v="2024-07-19T00:00:00"/>
    <x v="6"/>
    <n v="29"/>
    <n v="2117"/>
    <x v="0"/>
    <s v="Juan Angulo"/>
    <s v="TECUTLRNS"/>
    <s v="Superficie Escritorio en L Roble Negro Set completo"/>
    <n v="1"/>
    <x v="1"/>
    <x v="2"/>
    <x v="2"/>
    <x v="0"/>
    <s v="Envioclick- Coordinadora"/>
    <s v="2591488 - 84150932264"/>
    <d v="2024-07-29T00:00:00"/>
    <d v="2024-07-31T00:00:00"/>
    <x v="0"/>
    <n v="8"/>
    <n v="10"/>
    <x v="0"/>
    <n v="42393"/>
    <s v="Pedido influencer / especial con bandeja- Piden salir 29 Jul"/>
  </r>
  <r>
    <d v="2024-07-19T00:00:00"/>
    <x v="6"/>
    <n v="29"/>
    <n v="2118"/>
    <x v="0"/>
    <s v="Maria Camila Baquero Vargas"/>
    <s v="TECU3FBRO"/>
    <s v="Electric Standing Desk  PRO Blanco"/>
    <n v="1"/>
    <x v="0"/>
    <x v="1"/>
    <x v="14"/>
    <x v="0"/>
    <s v="Envioclick- Coordinadora"/>
    <s v="2574487 - 84150925267"/>
    <d v="2024-07-19T00:00:00"/>
    <d v="2024-07-22T00:00:00"/>
    <x v="0"/>
    <n v="0"/>
    <n v="2"/>
    <x v="1"/>
    <n v="42002"/>
    <m/>
  </r>
  <r>
    <d v="2024-07-19T00:00:00"/>
    <x v="6"/>
    <n v="29"/>
    <n v="2118"/>
    <x v="0"/>
    <s v="Maria Camila Baquero Vargas"/>
    <s v="TECUTCC2C"/>
    <s v="Superficie Escritorio Miel 120x70 Clasico Small"/>
    <n v="1"/>
    <x v="1"/>
    <x v="1"/>
    <x v="14"/>
    <x v="0"/>
    <s v="Envioclick- Coordinadora"/>
    <s v="2574489 - 84150925269"/>
    <d v="2024-07-19T00:00:00"/>
    <d v="2024-07-22T00:00:00"/>
    <x v="0"/>
    <n v="0"/>
    <n v="2"/>
    <x v="1"/>
    <n v="27422"/>
    <m/>
  </r>
  <r>
    <d v="2024-07-19T00:00:00"/>
    <x v="6"/>
    <n v="29"/>
    <n v="2119"/>
    <x v="0"/>
    <s v="Víctor Morales"/>
    <s v="TECUROD"/>
    <s v="Rodachines con freno para Standing desk x 4 UN"/>
    <n v="1"/>
    <x v="6"/>
    <x v="1"/>
    <x v="14"/>
    <x v="0"/>
    <s v="Envioclick- Coordinadora"/>
    <s v="2574899 - 84150925483"/>
    <d v="2024-07-19T00:00:00"/>
    <d v="2024-07-22T00:00:00"/>
    <x v="0"/>
    <n v="0"/>
    <n v="2"/>
    <x v="1"/>
    <n v="23042"/>
    <m/>
  </r>
  <r>
    <d v="2024-07-19T00:00:00"/>
    <x v="6"/>
    <n v="29"/>
    <n v="2120"/>
    <x v="0"/>
    <s v="Ivo Leonardo Ochoa Galeano"/>
    <s v="TECUROD"/>
    <s v="Rodachines con freno para Standing desk x 4 UN"/>
    <n v="1"/>
    <x v="6"/>
    <x v="1"/>
    <x v="1"/>
    <x v="0"/>
    <s v="Envioclick- Coordinadora"/>
    <s v="2584860 - 84150929669"/>
    <d v="2024-07-25T00:00:00"/>
    <d v="2024-07-26T00:00:00"/>
    <x v="0"/>
    <n v="5"/>
    <n v="6"/>
    <x v="0"/>
    <n v="23042"/>
    <m/>
  </r>
  <r>
    <d v="2024-07-22T00:00:00"/>
    <x v="6"/>
    <n v="30"/>
    <n v="2121"/>
    <x v="0"/>
    <s v="Diana Gonzalez"/>
    <s v="TECU3FNPRO"/>
    <s v="Electric Standing Desk  PRO Negro"/>
    <n v="1"/>
    <x v="0"/>
    <x v="0"/>
    <x v="10"/>
    <x v="0"/>
    <s v="Envioclick- Coordinadora"/>
    <s v="2577423 - 84150926352"/>
    <d v="2024-07-22T00:00:00"/>
    <d v="2024-07-23T00:00:00"/>
    <x v="0"/>
    <n v="0"/>
    <n v="1"/>
    <x v="1"/>
    <n v="42002"/>
    <m/>
  </r>
  <r>
    <d v="2024-07-22T00:00:00"/>
    <x v="6"/>
    <n v="30"/>
    <n v="2121"/>
    <x v="0"/>
    <s v="Diana Gonzalez"/>
    <s v="TECUTCO5C"/>
    <s v="Superficie Escritorio Caramelo 150x70 Clasico"/>
    <n v="1"/>
    <x v="1"/>
    <x v="0"/>
    <x v="10"/>
    <x v="0"/>
    <s v="Envioclick- Coordinadora"/>
    <s v="2577425 - 84150926353"/>
    <d v="2024-07-22T00:00:00"/>
    <d v="2024-07-23T00:00:00"/>
    <x v="0"/>
    <n v="0"/>
    <n v="1"/>
    <x v="1"/>
    <n v="22988"/>
    <m/>
  </r>
  <r>
    <d v="2024-07-22T00:00:00"/>
    <x v="6"/>
    <n v="30"/>
    <n v="2122"/>
    <x v="0"/>
    <s v="Jorge Montes"/>
    <s v="TECU3FNPRO"/>
    <s v="Electric Standing Desk  PRO Negro"/>
    <n v="1"/>
    <x v="0"/>
    <x v="0"/>
    <x v="3"/>
    <x v="0"/>
    <s v="Envioclick- Coordinadora"/>
    <s v="2578545 - 84150926830"/>
    <d v="2024-07-22T00:00:00"/>
    <d v="2024-07-24T00:00:00"/>
    <x v="0"/>
    <n v="0"/>
    <n v="2"/>
    <x v="1"/>
    <n v="42002"/>
    <m/>
  </r>
  <r>
    <d v="2024-07-22T00:00:00"/>
    <x v="6"/>
    <n v="30"/>
    <n v="2122"/>
    <x v="0"/>
    <s v="Jorge Montes"/>
    <s v="TECUTRN6M"/>
    <s v="Superficie Escritorio Roble Negro 160x70 Moderno"/>
    <n v="1"/>
    <x v="1"/>
    <x v="0"/>
    <x v="3"/>
    <x v="0"/>
    <s v="Envioclick- Coordinadora"/>
    <s v="2578546 - 84150926831"/>
    <d v="2024-07-22T00:00:00"/>
    <d v="2024-07-24T00:00:00"/>
    <x v="0"/>
    <n v="0"/>
    <n v="2"/>
    <x v="1"/>
    <n v="22988"/>
    <m/>
  </r>
  <r>
    <d v="2024-07-22T00:00:00"/>
    <x v="6"/>
    <n v="30"/>
    <n v="2122"/>
    <x v="0"/>
    <s v="Jorge Montes"/>
    <s v="TECU3FNPRO"/>
    <s v="Electric Standing Desk  PRO Negro"/>
    <n v="1"/>
    <x v="0"/>
    <x v="0"/>
    <x v="3"/>
    <x v="0"/>
    <s v="Envioclick- Coordinadora"/>
    <s v="2578555 - 84150926837"/>
    <d v="2024-07-22T00:00:00"/>
    <d v="2024-07-24T00:00:00"/>
    <x v="0"/>
    <n v="0"/>
    <n v="2"/>
    <x v="1"/>
    <n v="42002"/>
    <m/>
  </r>
  <r>
    <d v="2024-07-22T00:00:00"/>
    <x v="6"/>
    <n v="30"/>
    <n v="2122"/>
    <x v="0"/>
    <s v="Jorge Montes"/>
    <s v="TECUTCC5C"/>
    <s v="Superficie Escritorio Miel 150x70 Clasico"/>
    <n v="1"/>
    <x v="1"/>
    <x v="0"/>
    <x v="3"/>
    <x v="0"/>
    <s v="Envioclick- Coordinadora"/>
    <s v="2578556 - 84150926838"/>
    <d v="2024-07-22T00:00:00"/>
    <d v="2024-07-24T00:00:00"/>
    <x v="0"/>
    <n v="0"/>
    <n v="2"/>
    <x v="1"/>
    <n v="22988"/>
    <m/>
  </r>
  <r>
    <d v="2024-07-22T00:00:00"/>
    <x v="6"/>
    <n v="30"/>
    <n v="2123"/>
    <x v="0"/>
    <s v="Hernan Belalcazar"/>
    <s v="TECU3FBRO"/>
    <s v="Electric Standing Desk  PRO Blanco"/>
    <n v="1"/>
    <x v="0"/>
    <x v="16"/>
    <x v="37"/>
    <x v="0"/>
    <s v="Envioclick- Coordinadora"/>
    <s v="2578562 - 84150926841"/>
    <d v="2024-07-22T00:00:00"/>
    <d v="2024-07-23T00:00:00"/>
    <x v="0"/>
    <n v="0"/>
    <n v="1"/>
    <x v="1"/>
    <n v="46338"/>
    <m/>
  </r>
  <r>
    <d v="2024-07-22T00:00:00"/>
    <x v="6"/>
    <n v="30"/>
    <n v="2123"/>
    <x v="0"/>
    <s v="Hernan Belalcazar"/>
    <s v="TECUTCO4C"/>
    <s v="Superficie Escritorio Caramelo 140x70 Clasico"/>
    <n v="1"/>
    <x v="1"/>
    <x v="16"/>
    <x v="37"/>
    <x v="0"/>
    <s v="Envioclick- Coordinadora"/>
    <s v="2578564 - 84150926843"/>
    <d v="2024-07-22T00:00:00"/>
    <d v="2024-07-23T00:00:00"/>
    <x v="0"/>
    <n v="0"/>
    <n v="1"/>
    <x v="1"/>
    <n v="26312"/>
    <m/>
  </r>
  <r>
    <d v="2024-07-23T00:00:00"/>
    <x v="6"/>
    <n v="30"/>
    <n v="2124"/>
    <x v="0"/>
    <s v="Cristian Andres Gonzalez Rodriguez"/>
    <s v="TECU3FBRO"/>
    <s v="Electric Standing Desk  PRO Blanco"/>
    <n v="1"/>
    <x v="0"/>
    <x v="0"/>
    <x v="8"/>
    <x v="0"/>
    <s v="Envioclick- Coordinadora"/>
    <s v="2580670 - 84150927827"/>
    <d v="2024-07-23T00:00:00"/>
    <d v="2024-07-25T00:00:00"/>
    <x v="0"/>
    <n v="0"/>
    <n v="2"/>
    <x v="1"/>
    <n v="42002"/>
    <m/>
  </r>
  <r>
    <d v="2024-07-23T00:00:00"/>
    <x v="6"/>
    <n v="30"/>
    <n v="2124"/>
    <x v="0"/>
    <s v="Cristian Andres Gonzalez Rodriguez"/>
    <s v="TECUTRN5M"/>
    <s v="Superficie Escritorio Roble Negro 150x70 Moderno"/>
    <n v="1"/>
    <x v="1"/>
    <x v="0"/>
    <x v="8"/>
    <x v="0"/>
    <s v="Envioclick- Coordinadora"/>
    <s v="2580671 - 84150927828"/>
    <d v="2024-07-23T00:00:00"/>
    <d v="2024-07-25T00:00:00"/>
    <x v="0"/>
    <n v="0"/>
    <n v="2"/>
    <x v="1"/>
    <n v="22988"/>
    <m/>
  </r>
  <r>
    <d v="2024-07-23T00:00:00"/>
    <x v="6"/>
    <n v="30"/>
    <n v="2125"/>
    <x v="0"/>
    <s v="Christian Gonzalez"/>
    <s v="TECUROD"/>
    <s v="Rodachines con freno para Standing desk x 4 UN"/>
    <n v="1"/>
    <x v="6"/>
    <x v="0"/>
    <x v="8"/>
    <x v="0"/>
    <s v="Envioclick- Coordinadora"/>
    <s v="2581430 - 84150928212"/>
    <d v="2024-07-23T00:00:00"/>
    <d v="2024-07-24T00:00:00"/>
    <x v="0"/>
    <n v="0"/>
    <n v="1"/>
    <x v="1"/>
    <n v="23042"/>
    <m/>
  </r>
  <r>
    <d v="2024-07-23T00:00:00"/>
    <x v="6"/>
    <n v="30"/>
    <n v="2126"/>
    <x v="0"/>
    <s v="Andrea Rosales"/>
    <s v="TECUTCC4C"/>
    <s v="Superficie Escritorio Miel 140x70 Clasico"/>
    <n v="1"/>
    <x v="1"/>
    <x v="0"/>
    <x v="10"/>
    <x v="0"/>
    <s v="Envioclick- Coordinadora"/>
    <s v="2583443 - 84150929073"/>
    <d v="2024-07-24T00:00:00"/>
    <d v="2024-07-25T00:00:00"/>
    <x v="0"/>
    <n v="1"/>
    <n v="2"/>
    <x v="1"/>
    <n v="23042"/>
    <m/>
  </r>
  <r>
    <d v="2024-07-23T00:00:00"/>
    <x v="6"/>
    <n v="30"/>
    <n v="2126"/>
    <x v="0"/>
    <s v="Andrea Rosales"/>
    <s v="TECURCC"/>
    <s v="Repisa TECU  Miel"/>
    <n v="1"/>
    <x v="2"/>
    <x v="0"/>
    <x v="10"/>
    <x v="0"/>
    <s v="Envioclick- Coordinadora"/>
    <s v="2583443 - 84150929073"/>
    <d v="2024-07-24T00:00:00"/>
    <d v="2024-07-25T00:00:00"/>
    <x v="0"/>
    <n v="1"/>
    <n v="2"/>
    <x v="1"/>
    <n v="23042"/>
    <m/>
  </r>
  <r>
    <d v="2024-07-24T00:00:00"/>
    <x v="6"/>
    <n v="30"/>
    <n v="2127"/>
    <x v="0"/>
    <s v="Carolina Navarrete"/>
    <s v="TECUROD"/>
    <s v="Rodachines con freno para Standing desk x 4 UN"/>
    <n v="1"/>
    <x v="6"/>
    <x v="4"/>
    <x v="5"/>
    <x v="0"/>
    <s v="Envioclick- Coordinadora"/>
    <s v="2601819 - 84150936295"/>
    <d v="2024-08-01T00:00:00"/>
    <d v="2024-08-02T00:00:00"/>
    <x v="0"/>
    <n v="7"/>
    <n v="8"/>
    <x v="0"/>
    <n v="23032"/>
    <s v="Ciente pide despacho hasta el 1 Agosto"/>
  </r>
  <r>
    <d v="2024-07-24T00:00:00"/>
    <x v="6"/>
    <n v="30"/>
    <n v="2128"/>
    <x v="0"/>
    <s v="Miguel Saavedra"/>
    <s v="TECU3FNPRO"/>
    <s v="Electric Standing Desk  PRO Negro"/>
    <n v="1"/>
    <x v="0"/>
    <x v="1"/>
    <x v="1"/>
    <x v="0"/>
    <s v="Envioclick- Coordinadora"/>
    <s v="2583120 - 84150928908"/>
    <d v="2024-07-24T00:00:00"/>
    <d v="2024-07-25T00:00:00"/>
    <x v="0"/>
    <n v="0"/>
    <n v="1"/>
    <x v="1"/>
    <n v="42002"/>
    <m/>
  </r>
  <r>
    <d v="2024-07-24T00:00:00"/>
    <x v="6"/>
    <n v="30"/>
    <n v="2128"/>
    <x v="0"/>
    <s v="Miguel Saavedra"/>
    <s v="TECUTCO8C"/>
    <s v="Superficie Escritorio Caramelo 180x70 Clasico"/>
    <n v="1"/>
    <x v="1"/>
    <x v="1"/>
    <x v="1"/>
    <x v="0"/>
    <s v="Envioclick- Coordinadora"/>
    <s v="2583123 - 84150928909"/>
    <d v="2024-07-24T00:00:00"/>
    <d v="2024-07-25T00:00:00"/>
    <x v="0"/>
    <n v="0"/>
    <n v="1"/>
    <x v="1"/>
    <n v="25521"/>
    <m/>
  </r>
  <r>
    <d v="2024-07-25T00:00:00"/>
    <x v="6"/>
    <n v="30"/>
    <n v="2129"/>
    <x v="0"/>
    <s v="Juan Camilo Romero Sarmiento"/>
    <s v="TECU2FNG"/>
    <s v="Electric Standing Desk GO Negro"/>
    <n v="1"/>
    <x v="0"/>
    <x v="1"/>
    <x v="1"/>
    <x v="0"/>
    <s v="Envioclick- Coordinadora"/>
    <s v="2585211 - 84150929823"/>
    <d v="2024-07-25T00:00:00"/>
    <d v="2024-07-26T00:00:00"/>
    <x v="0"/>
    <n v="0"/>
    <n v="1"/>
    <x v="1"/>
    <n v="40734"/>
    <m/>
  </r>
  <r>
    <d v="2024-07-25T00:00:00"/>
    <x v="6"/>
    <n v="30"/>
    <n v="2129"/>
    <x v="0"/>
    <s v="Juan Camilo Romero Sarmiento"/>
    <s v="TECUTCC4C"/>
    <s v="Superficie Escritorio Miel 140x70 Clasico"/>
    <n v="1"/>
    <x v="1"/>
    <x v="1"/>
    <x v="1"/>
    <x v="0"/>
    <s v="Envioclick- Coordinadora"/>
    <s v="2585212 - 84150929824"/>
    <d v="2024-07-25T00:00:00"/>
    <d v="2024-08-02T00:00:00"/>
    <x v="0"/>
    <n v="0"/>
    <n v="7"/>
    <x v="0"/>
    <n v="22988"/>
    <s v="Novedad en entrega de transporte porque al momento de la entrega indican no conocer persona para entregar se pide Notificacion para cambio de direccion. "/>
  </r>
  <r>
    <d v="2024-07-25T00:00:00"/>
    <x v="6"/>
    <n v="30"/>
    <n v="2130"/>
    <x v="0"/>
    <s v="Steven Obando"/>
    <s v="TECURN"/>
    <s v="Repisa TECU  Negro (Wengue)"/>
    <n v="1"/>
    <x v="2"/>
    <x v="0"/>
    <x v="0"/>
    <x v="0"/>
    <s v="Envioclick- Coordinadora"/>
    <s v="2585476 - 84150929918"/>
    <d v="2024-07-25T00:00:00"/>
    <d v="2024-07-26T00:00:00"/>
    <x v="0"/>
    <n v="0"/>
    <n v="1"/>
    <x v="1"/>
    <n v="22355"/>
    <m/>
  </r>
  <r>
    <d v="2024-07-29T00:00:00"/>
    <x v="6"/>
    <n v="31"/>
    <n v="2131"/>
    <x v="0"/>
    <s v="Andres Lubo Carracedo"/>
    <s v="TECU3FNPRO"/>
    <s v="Electric Standing Desk  PRO Negro"/>
    <n v="1"/>
    <x v="0"/>
    <x v="1"/>
    <x v="1"/>
    <x v="0"/>
    <s v="Envioclick- Coordinadora"/>
    <s v="2591428 - 84150932233"/>
    <d v="2024-07-29T00:00:00"/>
    <d v="2024-07-30T00:00:00"/>
    <x v="0"/>
    <n v="0"/>
    <n v="1"/>
    <x v="1"/>
    <n v="42002"/>
    <m/>
  </r>
  <r>
    <d v="2024-07-29T00:00:00"/>
    <x v="6"/>
    <n v="31"/>
    <n v="2131"/>
    <x v="0"/>
    <s v="Andres Lubo Carracedo"/>
    <s v="TECUTCC8C"/>
    <s v="Superficie Escritorio Miel 180x70 Clasico"/>
    <n v="1"/>
    <x v="1"/>
    <x v="1"/>
    <x v="1"/>
    <x v="0"/>
    <s v="Envioclick- Coordinadora"/>
    <s v="2591430 - 84150932234"/>
    <d v="2024-07-29T00:00:00"/>
    <d v="2024-07-30T00:00:00"/>
    <x v="0"/>
    <n v="0"/>
    <n v="1"/>
    <x v="1"/>
    <n v="25521"/>
    <m/>
  </r>
  <r>
    <d v="2024-07-29T00:00:00"/>
    <x v="6"/>
    <n v="31"/>
    <n v="2131"/>
    <x v="0"/>
    <s v="Andres Lubo Carracedo"/>
    <s v="TECUACC"/>
    <s v="Archivador TECU  Miel"/>
    <n v="1"/>
    <x v="3"/>
    <x v="1"/>
    <x v="1"/>
    <x v="0"/>
    <s v="Envioclick- Envia"/>
    <s v="2595304 - 954101011304"/>
    <d v="2024-07-30T00:00:00"/>
    <d v="2024-07-31T00:00:00"/>
    <x v="0"/>
    <n v="1"/>
    <n v="2"/>
    <x v="1"/>
    <n v="51312"/>
    <m/>
  </r>
  <r>
    <d v="2024-07-29T00:00:00"/>
    <x v="6"/>
    <n v="31"/>
    <n v="2132"/>
    <x v="0"/>
    <s v="Juan Pablo Jiménez Pérez"/>
    <s v="TECU2FGGO"/>
    <s v="Electric Standing Desk GO Gris"/>
    <n v="1"/>
    <x v="0"/>
    <x v="1"/>
    <x v="1"/>
    <x v="0"/>
    <s v="Envioclick- Coordinadora"/>
    <s v="2595310 - 84150933569"/>
    <d v="2024-07-30T00:00:00"/>
    <d v="2024-07-31T00:00:00"/>
    <x v="0"/>
    <n v="1"/>
    <n v="2"/>
    <x v="1"/>
    <n v="40734"/>
    <m/>
  </r>
  <r>
    <d v="2024-07-29T00:00:00"/>
    <x v="6"/>
    <n v="31"/>
    <n v="2132"/>
    <x v="0"/>
    <s v="Juan Pablo Jiménez Pérez"/>
    <s v="TECUTRN4C"/>
    <s v="Superficie Escritorio Roble Negro 140x70 Clasico"/>
    <n v="1"/>
    <x v="1"/>
    <x v="1"/>
    <x v="1"/>
    <x v="0"/>
    <s v="Envioclick- Coordinadora"/>
    <s v="2595311 - 84150933570"/>
    <d v="2024-07-30T00:00:00"/>
    <d v="2024-07-31T00:00:00"/>
    <x v="0"/>
    <n v="1"/>
    <n v="2"/>
    <x v="1"/>
    <n v="22988"/>
    <m/>
  </r>
  <r>
    <d v="2024-07-29T00:00:00"/>
    <x v="6"/>
    <n v="31"/>
    <n v="2132"/>
    <x v="0"/>
    <s v="Juan Pablo Jiménez Pérez"/>
    <s v="TECUCT"/>
    <s v="TECU bandeja de cables"/>
    <n v="1"/>
    <x v="4"/>
    <x v="1"/>
    <x v="1"/>
    <x v="0"/>
    <s v="Envioclick- Coordinadora"/>
    <s v="2595525 - 84150933640"/>
    <d v="2024-07-30T00:00:00"/>
    <d v="2024-07-31T00:00:00"/>
    <x v="0"/>
    <n v="1"/>
    <n v="2"/>
    <x v="1"/>
    <n v="16631"/>
    <m/>
  </r>
  <r>
    <d v="2024-07-30T00:00:00"/>
    <x v="6"/>
    <n v="31"/>
    <n v="2133"/>
    <x v="0"/>
    <s v="Sebastian Sierra Botero"/>
    <s v="TECU2FBGO"/>
    <s v="Electric Standing Desk GO Blanco"/>
    <n v="1"/>
    <x v="0"/>
    <x v="5"/>
    <x v="33"/>
    <x v="0"/>
    <s v="Envioclick- Coordinadora"/>
    <s v="2596406 - 84150934084"/>
    <d v="2024-07-30T00:00:00"/>
    <d v="2024-07-31T00:00:00"/>
    <x v="0"/>
    <n v="0"/>
    <n v="1"/>
    <x v="1"/>
    <n v="33736"/>
    <m/>
  </r>
  <r>
    <d v="2024-07-30T00:00:00"/>
    <x v="6"/>
    <n v="31"/>
    <n v="2133"/>
    <x v="0"/>
    <s v="Sebastian Sierra Botero"/>
    <s v="TECUTCC4C"/>
    <s v="Superficie Escritorio Miel 140x70 Clasico"/>
    <n v="1"/>
    <x v="1"/>
    <x v="5"/>
    <x v="33"/>
    <x v="0"/>
    <s v="Envioclick- Coordinadora"/>
    <s v="2596407 - 84150934085"/>
    <d v="2024-07-30T00:00:00"/>
    <d v="2024-07-31T00:00:00"/>
    <x v="0"/>
    <n v="0"/>
    <n v="1"/>
    <x v="1"/>
    <n v="14589"/>
    <m/>
  </r>
  <r>
    <d v="2024-07-30T00:00:00"/>
    <x v="6"/>
    <n v="31"/>
    <n v="2133"/>
    <x v="0"/>
    <s v="Sebastian Sierra Botero"/>
    <s v="TECUCT"/>
    <s v="TECU bandeja de cables"/>
    <n v="1"/>
    <x v="4"/>
    <x v="5"/>
    <x v="33"/>
    <x v="0"/>
    <s v="Envioclick- Coordinadora"/>
    <s v="2596398 - 84150934087"/>
    <d v="2024-07-30T00:00:00"/>
    <d v="2024-07-31T00:00:00"/>
    <x v="0"/>
    <n v="0"/>
    <n v="1"/>
    <x v="1"/>
    <n v="9393"/>
    <m/>
  </r>
  <r>
    <d v="2024-07-30T00:00:00"/>
    <x v="6"/>
    <n v="31"/>
    <n v="2090"/>
    <x v="4"/>
    <s v="Nicolas Forero Puello"/>
    <s v="TECUCT"/>
    <s v="TECU bandeja de cables"/>
    <n v="1"/>
    <x v="4"/>
    <x v="0"/>
    <x v="3"/>
    <x v="0"/>
    <s v="Envioclick- Coordinadora"/>
    <s v="2595633 - 84150933687"/>
    <d v="2024-07-30T00:00:00"/>
    <d v="2024-07-31T00:00:00"/>
    <x v="0"/>
    <n v="0"/>
    <n v="1"/>
    <x v="1"/>
    <n v="16631"/>
    <s v="Cortesia por review negativa."/>
  </r>
  <r>
    <d v="2024-07-30T00:00:00"/>
    <x v="6"/>
    <n v="31"/>
    <n v="2134"/>
    <x v="0"/>
    <s v="Alejandro Cardona Suaza"/>
    <s v="TECU2FGGO"/>
    <s v="Electric Standing Desk GO Gris"/>
    <n v="1"/>
    <x v="0"/>
    <x v="0"/>
    <x v="3"/>
    <x v="0"/>
    <s v="Envioclick- Coordinadora"/>
    <s v="2598369 - 84150934860"/>
    <d v="2024-07-31T00:00:00"/>
    <d v="2024-08-01T00:00:00"/>
    <x v="0"/>
    <n v="1"/>
    <n v="2"/>
    <x v="1"/>
    <n v="40734"/>
    <m/>
  </r>
  <r>
    <d v="2024-07-30T00:00:00"/>
    <x v="6"/>
    <n v="31"/>
    <n v="2134"/>
    <x v="0"/>
    <s v="Alejandro Cardona Suaza"/>
    <s v="TECUTCC4C"/>
    <s v="Superficie Escritorio Miel 140x70 Clasico"/>
    <n v="1"/>
    <x v="1"/>
    <x v="0"/>
    <x v="3"/>
    <x v="0"/>
    <s v="Envioclick- Coordinadora"/>
    <s v="2598370 - 84150934861"/>
    <d v="2024-07-31T00:00:00"/>
    <d v="2024-08-09T00:00:00"/>
    <x v="0"/>
    <n v="1"/>
    <n v="8"/>
    <x v="0"/>
    <n v="22988"/>
    <s v="Coordinadora extravia superficie - Se envia a Pereira"/>
  </r>
  <r>
    <d v="2024-07-30T00:00:00"/>
    <x v="6"/>
    <n v="31"/>
    <n v="2134"/>
    <x v="0"/>
    <s v="Alejandro Cardona Suaza"/>
    <s v="TECUACC"/>
    <s v="Archivador TECU  Miel"/>
    <n v="1"/>
    <x v="3"/>
    <x v="0"/>
    <x v="3"/>
    <x v="0"/>
    <s v="Envioclick- Envia"/>
    <s v="2598286 - 954101012172"/>
    <d v="2024-07-31T00:00:00"/>
    <d v="2024-08-01T00:00:00"/>
    <x v="0"/>
    <n v="1"/>
    <n v="2"/>
    <x v="1"/>
    <n v="59204"/>
    <m/>
  </r>
  <r>
    <d v="2024-07-30T00:00:00"/>
    <x v="6"/>
    <n v="31"/>
    <n v="2134"/>
    <x v="1"/>
    <s v="Alejandro Cardona Suaza"/>
    <s v="TECUTCC4C"/>
    <s v="Superficie Escritorio Miel 140x70 Clasico"/>
    <n v="1"/>
    <x v="1"/>
    <x v="0"/>
    <x v="3"/>
    <x v="0"/>
    <s v="Envioclick- Coordinadora"/>
    <s v="2611343 - 84150940192"/>
    <d v="2024-08-06T00:00:00"/>
    <d v="2024-08-09T00:00:00"/>
    <x v="0"/>
    <n v="6"/>
    <n v="8"/>
    <x v="0"/>
    <n v="27488"/>
    <s v="Se le envia nueva superficie ya que Coordinadoraa hace la entrega en Pereira y aunque se hace seguimiento cliente prefiere envio de una nueva. "/>
  </r>
  <r>
    <d v="2024-07-31T00:00:00"/>
    <x v="6"/>
    <n v="31"/>
    <n v="2135"/>
    <x v="0"/>
    <s v="Carlos Huila"/>
    <s v="TECUROD"/>
    <s v="Rodachines con freno para Standing desk x 4 UN"/>
    <n v="1"/>
    <x v="6"/>
    <x v="16"/>
    <x v="37"/>
    <x v="0"/>
    <s v="Envioclick- Coordinadora"/>
    <s v="2598354 - 84150934873"/>
    <d v="2024-07-31T00:00:00"/>
    <d v="2024-08-02T00:00:00"/>
    <x v="0"/>
    <n v="0"/>
    <n v="2"/>
    <x v="1"/>
    <n v="23032"/>
    <m/>
  </r>
  <r>
    <d v="2024-07-31T00:00:00"/>
    <x v="6"/>
    <n v="31"/>
    <n v="2136"/>
    <x v="0"/>
    <s v="Juan Felipe Remolina García"/>
    <s v="TECUROD"/>
    <s v="Rodachines con freno para Standing desk x 4 UN"/>
    <n v="1"/>
    <x v="6"/>
    <x v="1"/>
    <x v="1"/>
    <x v="0"/>
    <s v="Envioclick- Coordinadora"/>
    <s v="2598871 - 84150935073"/>
    <d v="2024-07-31T00:00:00"/>
    <d v="2024-08-02T00:00:00"/>
    <x v="0"/>
    <n v="0"/>
    <n v="2"/>
    <x v="1"/>
    <n v="23032"/>
    <m/>
  </r>
  <r>
    <d v="2024-08-01T00:00:00"/>
    <x v="7"/>
    <n v="31"/>
    <n v="2137"/>
    <x v="0"/>
    <s v="Carlos Diaz"/>
    <s v="TECU3FNPRO"/>
    <s v="Electric Standing Desk  PRO Negro"/>
    <n v="1"/>
    <x v="0"/>
    <x v="1"/>
    <x v="1"/>
    <x v="0"/>
    <s v="Envioclick- Coordinadora"/>
    <s v="2603597 - 84150936928"/>
    <d v="2024-08-02T00:00:00"/>
    <d v="2024-08-03T00:00:00"/>
    <x v="0"/>
    <n v="1"/>
    <n v="2"/>
    <x v="1"/>
    <n v="42002"/>
    <m/>
  </r>
  <r>
    <d v="2024-08-01T00:00:00"/>
    <x v="7"/>
    <n v="31"/>
    <n v="2137"/>
    <x v="0"/>
    <s v="Carlos Diaz"/>
    <s v="TECUTB7C"/>
    <s v="Superficie Escritorio Blanco (Niebla) 170x70 Clasico"/>
    <n v="1"/>
    <x v="1"/>
    <x v="1"/>
    <x v="1"/>
    <x v="0"/>
    <s v="Envioclick- Coordinadora"/>
    <s v="2603598 - 84150936929"/>
    <d v="2024-08-02T00:00:00"/>
    <d v="2024-08-03T00:00:00"/>
    <x v="0"/>
    <n v="1"/>
    <n v="2"/>
    <x v="1"/>
    <n v="25521"/>
    <m/>
  </r>
  <r>
    <d v="2024-08-02T00:00:00"/>
    <x v="7"/>
    <n v="31"/>
    <n v="2138"/>
    <x v="0"/>
    <s v="Juan Camilo Cajamarca Mayorga"/>
    <s v="TECU2FNG"/>
    <s v="Electric Standing Desk GO Negro"/>
    <n v="1"/>
    <x v="0"/>
    <x v="18"/>
    <x v="42"/>
    <x v="0"/>
    <s v="Envioclick- Coordinadora"/>
    <s v="2604490 - 84150937317"/>
    <d v="2024-08-02T00:00:00"/>
    <d v="2024-08-05T00:00:00"/>
    <x v="0"/>
    <n v="0"/>
    <n v="2"/>
    <x v="3"/>
    <n v="58232"/>
    <m/>
  </r>
  <r>
    <d v="2024-08-02T00:00:00"/>
    <x v="7"/>
    <n v="31"/>
    <n v="2138"/>
    <x v="0"/>
    <s v="Juan Camilo Cajamarca Mayorga"/>
    <s v="TECUTRN4C"/>
    <s v="Superficie Escritorio Roble Negro 140x70 Clasico"/>
    <n v="1"/>
    <x v="1"/>
    <x v="18"/>
    <x v="42"/>
    <x v="0"/>
    <s v="Envioclick- Coordinadora"/>
    <s v="2604491 - 84150937318"/>
    <d v="2024-08-02T00:00:00"/>
    <d v="2024-08-05T00:00:00"/>
    <x v="0"/>
    <n v="0"/>
    <n v="2"/>
    <x v="3"/>
    <n v="37761"/>
    <m/>
  </r>
  <r>
    <d v="2024-08-05T00:00:00"/>
    <x v="7"/>
    <n v="32"/>
    <n v="2139"/>
    <x v="0"/>
    <s v="Carlos Diaz"/>
    <s v="TECUCT"/>
    <s v="TECU bandeja de cables"/>
    <n v="1"/>
    <x v="4"/>
    <x v="1"/>
    <x v="1"/>
    <x v="0"/>
    <s v="Envioclick- Coordinadora"/>
    <s v="2608103 - 84150938711"/>
    <d v="2024-08-05T00:00:00"/>
    <d v="2024-08-08T00:00:00"/>
    <x v="0"/>
    <n v="0"/>
    <n v="2"/>
    <x v="1"/>
    <n v="16631"/>
    <m/>
  </r>
  <r>
    <d v="2024-08-06T00:00:00"/>
    <x v="7"/>
    <n v="32"/>
    <n v="2140"/>
    <x v="0"/>
    <s v="Felipe Mora"/>
    <s v="TECU3FNPRO"/>
    <s v="Electric Standing Desk  PRO Negro"/>
    <n v="1"/>
    <x v="0"/>
    <x v="1"/>
    <x v="1"/>
    <x v="0"/>
    <s v="Envioclick- Coordinadora"/>
    <s v="2610933 - 84150939997"/>
    <d v="2024-08-06T00:00:00"/>
    <d v="2024-08-08T00:00:00"/>
    <x v="0"/>
    <n v="0"/>
    <n v="1"/>
    <x v="1"/>
    <n v="42002"/>
    <m/>
  </r>
  <r>
    <d v="2024-08-06T00:00:00"/>
    <x v="7"/>
    <n v="32"/>
    <n v="2140"/>
    <x v="0"/>
    <s v="Felipe Mora"/>
    <s v="TECUTCO8M"/>
    <s v="Superficie Escritorio Caramelo 180x70 Moderno"/>
    <n v="1"/>
    <x v="1"/>
    <x v="1"/>
    <x v="1"/>
    <x v="0"/>
    <s v="Envioclick- Coordinadora"/>
    <s v="2610934 - 84150939998"/>
    <d v="2024-08-06T00:00:00"/>
    <d v="2024-08-08T00:00:00"/>
    <x v="0"/>
    <n v="0"/>
    <n v="1"/>
    <x v="1"/>
    <n v="25521"/>
    <m/>
  </r>
  <r>
    <d v="2024-08-06T00:00:00"/>
    <x v="7"/>
    <n v="32"/>
    <n v="2141"/>
    <x v="0"/>
    <s v="Mario Gonzalez"/>
    <s v="TECU3FNPRO"/>
    <s v="Electric Standing Desk  PRO Negro"/>
    <n v="1"/>
    <x v="0"/>
    <x v="0"/>
    <x v="3"/>
    <x v="0"/>
    <s v="Envioclick- Coordinadora"/>
    <s v="2610964 - 84150940015"/>
    <d v="2024-08-06T00:00:00"/>
    <d v="2024-08-08T00:00:00"/>
    <x v="0"/>
    <n v="0"/>
    <n v="1"/>
    <x v="1"/>
    <n v="42002"/>
    <m/>
  </r>
  <r>
    <d v="2024-08-06T00:00:00"/>
    <x v="7"/>
    <n v="32"/>
    <n v="2141"/>
    <x v="0"/>
    <s v="Mario Gonzalez"/>
    <s v="TECUTCO20C"/>
    <s v="Superficie Escritorio Caramelo 200x70 Clasico"/>
    <n v="1"/>
    <x v="1"/>
    <x v="0"/>
    <x v="3"/>
    <x v="0"/>
    <s v="Envioclick- Coordinadora"/>
    <s v="2610965 - 84150940017"/>
    <d v="2024-08-06T00:00:00"/>
    <d v="2024-08-08T00:00:00"/>
    <x v="0"/>
    <n v="0"/>
    <n v="1"/>
    <x v="1"/>
    <n v="24355"/>
    <m/>
  </r>
  <r>
    <d v="2024-08-06T00:00:00"/>
    <x v="7"/>
    <n v="32"/>
    <n v="2141"/>
    <x v="0"/>
    <s v="Mario Gonzalez"/>
    <s v="TECUCT"/>
    <s v="TECU bandeja de cables"/>
    <n v="1"/>
    <x v="4"/>
    <x v="0"/>
    <x v="3"/>
    <x v="0"/>
    <s v="Envioclick- Coordinadora"/>
    <s v="2611010 - 84150940055"/>
    <d v="2024-08-06T00:00:00"/>
    <d v="2024-08-08T00:00:00"/>
    <x v="0"/>
    <n v="0"/>
    <n v="1"/>
    <x v="1"/>
    <n v="24355"/>
    <m/>
  </r>
  <r>
    <d v="2024-08-06T00:00:00"/>
    <x v="7"/>
    <n v="32"/>
    <n v="2142"/>
    <x v="0"/>
    <s v="Jaime Sanchez"/>
    <s v="TECURN"/>
    <s v="Repisa TECU  Negro (Wengue)"/>
    <n v="1"/>
    <x v="2"/>
    <x v="0"/>
    <x v="43"/>
    <x v="0"/>
    <s v="Envioclick- Coordinadora"/>
    <s v="2612404 - 84150940826"/>
    <d v="2024-08-06T00:00:00"/>
    <d v="2024-08-08T00:00:00"/>
    <x v="0"/>
    <n v="0"/>
    <n v="1"/>
    <x v="1"/>
    <n v="22355"/>
    <m/>
  </r>
  <r>
    <d v="2024-08-06T00:00:00"/>
    <x v="7"/>
    <n v="32"/>
    <n v="2142"/>
    <x v="0"/>
    <s v="Jaime Sanchez"/>
    <s v="TECUAN"/>
    <s v="Archivador TECU  Negro (Wengue)"/>
    <n v="1"/>
    <x v="3"/>
    <x v="0"/>
    <x v="43"/>
    <x v="0"/>
    <s v="Envioclick- Envia"/>
    <s v="2614882 - 954101016456"/>
    <d v="2024-08-08T00:00:00"/>
    <d v="2024-08-09T00:00:00"/>
    <x v="0"/>
    <n v="1"/>
    <n v="2"/>
    <x v="1"/>
    <n v="59204"/>
    <m/>
  </r>
  <r>
    <d v="2024-08-06T00:00:00"/>
    <x v="7"/>
    <n v="32"/>
    <n v="2142"/>
    <x v="0"/>
    <s v="Jaime Sanchez"/>
    <s v="TECUDSN"/>
    <s v="TECU Desk Stool Negra Silla ajustable"/>
    <n v="1"/>
    <x v="5"/>
    <x v="0"/>
    <x v="43"/>
    <x v="0"/>
    <s v="Envioclick- Coordinadora"/>
    <s v="2612415 - 84150940833"/>
    <d v="2024-08-06T00:00:00"/>
    <d v="2024-08-08T00:00:00"/>
    <x v="0"/>
    <n v="0"/>
    <n v="1"/>
    <x v="1"/>
    <n v="25935"/>
    <m/>
  </r>
  <r>
    <d v="2024-08-08T00:00:00"/>
    <x v="7"/>
    <n v="32"/>
    <n v="2142"/>
    <x v="1"/>
    <s v="Jaime Sanchez"/>
    <s v="TECURN"/>
    <s v="Repisa TECU  Negro (Wengue)"/>
    <n v="1"/>
    <x v="2"/>
    <x v="0"/>
    <x v="43"/>
    <x v="0"/>
    <s v="Envioclick- Coordinadora"/>
    <s v="2615127 - 84150941827"/>
    <d v="2024-08-08T00:00:00"/>
    <d v="2024-08-09T00:00:00"/>
    <x v="0"/>
    <n v="0"/>
    <n v="1"/>
    <x v="1"/>
    <n v="21855"/>
    <m/>
  </r>
  <r>
    <d v="2024-08-07T00:00:00"/>
    <x v="7"/>
    <n v="32"/>
    <n v="2143"/>
    <x v="0"/>
    <s v="IGNACIO ROJAS"/>
    <s v="TECUDSN"/>
    <s v="TECU Desk Stool Negra Silla ajustable"/>
    <n v="1"/>
    <x v="5"/>
    <x v="1"/>
    <x v="1"/>
    <x v="0"/>
    <s v="Envioclick- Coordinadora"/>
    <s v="2614773 - 84150941633"/>
    <d v="2024-08-08T00:00:00"/>
    <d v="2024-08-12T00:00:00"/>
    <x v="0"/>
    <n v="0"/>
    <n v="3"/>
    <x v="1"/>
    <n v="25935"/>
    <m/>
  </r>
  <r>
    <d v="2024-08-07T00:00:00"/>
    <x v="7"/>
    <n v="32"/>
    <n v="2144"/>
    <x v="0"/>
    <s v="Cesar Forero"/>
    <s v="TECU3FNPRO"/>
    <s v="Electric Standing Desk  PRO Negro"/>
    <n v="1"/>
    <x v="0"/>
    <x v="1"/>
    <x v="1"/>
    <x v="0"/>
    <s v="Envioclick- Coordinadora"/>
    <s v="2614783 - 84150941636"/>
    <d v="2024-08-08T00:00:00"/>
    <d v="2024-08-10T00:00:00"/>
    <x v="0"/>
    <n v="0"/>
    <n v="2"/>
    <x v="1"/>
    <n v="42002"/>
    <m/>
  </r>
  <r>
    <d v="2024-08-07T00:00:00"/>
    <x v="7"/>
    <n v="32"/>
    <n v="2144"/>
    <x v="0"/>
    <s v="Cesar Forero"/>
    <s v="TECUTCC4C"/>
    <s v="Superficie Escritorio Miel 140x70 Clasico"/>
    <n v="1"/>
    <x v="1"/>
    <x v="1"/>
    <x v="1"/>
    <x v="0"/>
    <s v="Envioclick- Coordinadora"/>
    <s v="2614785 - 84150941637"/>
    <d v="2024-08-08T00:00:00"/>
    <d v="2024-08-10T00:00:00"/>
    <x v="0"/>
    <n v="0"/>
    <n v="2"/>
    <x v="1"/>
    <n v="22988"/>
    <m/>
  </r>
  <r>
    <d v="2024-08-07T00:00:00"/>
    <x v="7"/>
    <n v="32"/>
    <n v="2144"/>
    <x v="0"/>
    <s v="Cesar Forero"/>
    <s v="TECUROD"/>
    <s v="Rodachines con freno para Standing desk x 4 UN"/>
    <n v="1"/>
    <x v="6"/>
    <x v="1"/>
    <x v="1"/>
    <x v="0"/>
    <s v="Envioclick- Coordinadora"/>
    <s v="2615067 - 84150941797"/>
    <d v="2024-08-08T00:00:00"/>
    <d v="2024-08-10T00:00:00"/>
    <x v="0"/>
    <n v="0"/>
    <n v="2"/>
    <x v="1"/>
    <n v="23032"/>
    <m/>
  </r>
  <r>
    <d v="2024-08-08T00:00:00"/>
    <x v="7"/>
    <n v="32"/>
    <n v="2136"/>
    <x v="1"/>
    <s v="Juan Felipe Remolina García"/>
    <s v="TECUROD"/>
    <s v="Rodachines con freno para Standing desk x 4 UN"/>
    <n v="1"/>
    <x v="6"/>
    <x v="1"/>
    <x v="1"/>
    <x v="0"/>
    <s v="Envioclick- Coordinadora"/>
    <s v="2616322 - 84150942437"/>
    <d v="2024-08-08T00:00:00"/>
    <d v="2024-08-10T00:00:00"/>
    <x v="0"/>
    <n v="0"/>
    <n v="2"/>
    <x v="1"/>
    <n v="23042"/>
    <m/>
  </r>
  <r>
    <d v="2024-08-07T00:00:00"/>
    <x v="7"/>
    <n v="32"/>
    <n v="2145"/>
    <x v="0"/>
    <s v="Jhon Jimenez"/>
    <s v="TECU3FNPRO"/>
    <s v="Electric Standing Desk  PRO Negro"/>
    <n v="1"/>
    <x v="0"/>
    <x v="0"/>
    <x v="0"/>
    <x v="0"/>
    <s v="Envioclick- Coordinadora"/>
    <s v="2614792 - 84150941638"/>
    <d v="2024-08-08T00:00:00"/>
    <d v="2024-08-10T00:00:00"/>
    <x v="0"/>
    <n v="0"/>
    <n v="2"/>
    <x v="1"/>
    <n v="42002"/>
    <m/>
  </r>
  <r>
    <d v="2024-08-12T00:00:00"/>
    <x v="7"/>
    <n v="33"/>
    <n v="2146"/>
    <x v="0"/>
    <s v="VICTOR OROBIO"/>
    <s v="TECUROD"/>
    <s v="Rodachines con freno para Standing desk x 4 UN"/>
    <n v="1"/>
    <x v="6"/>
    <x v="4"/>
    <x v="6"/>
    <x v="0"/>
    <s v="Envioclick- Coordinadora"/>
    <s v="2621820 - 84150944654"/>
    <d v="2024-08-12T00:00:00"/>
    <d v="2024-08-13T00:00:00"/>
    <x v="0"/>
    <n v="0"/>
    <n v="1"/>
    <x v="1"/>
    <n v="23032"/>
    <m/>
  </r>
  <r>
    <d v="2024-08-12T00:00:00"/>
    <x v="7"/>
    <n v="33"/>
    <n v="2147"/>
    <x v="0"/>
    <s v="Carlos Diaz"/>
    <s v="TECUAB"/>
    <s v="Archivador TECU  Blanco (Niebla)"/>
    <n v="1"/>
    <x v="3"/>
    <x v="1"/>
    <x v="1"/>
    <x v="0"/>
    <s v="Envioclick- Envia"/>
    <s v="2621794 - 954101018482"/>
    <d v="2024-08-12T00:00:00"/>
    <d v="2024-08-13T00:00:00"/>
    <x v="0"/>
    <n v="0"/>
    <n v="1"/>
    <x v="1"/>
    <n v="51312"/>
    <m/>
  </r>
  <r>
    <d v="2024-08-14T00:00:00"/>
    <x v="7"/>
    <n v="33"/>
    <n v="2148"/>
    <x v="0"/>
    <s v="Javier Villa"/>
    <s v="TECU2FNG"/>
    <s v="Electric Standing Desk GO Negro"/>
    <n v="1"/>
    <x v="0"/>
    <x v="1"/>
    <x v="1"/>
    <x v="0"/>
    <s v="Envioclick- Coordinadora"/>
    <s v="2626960 - 84150947060"/>
    <d v="2024-08-14T00:00:00"/>
    <d v="2024-08-15T00:00:00"/>
    <x v="0"/>
    <n v="0"/>
    <n v="1"/>
    <x v="1"/>
    <n v="40734"/>
    <m/>
  </r>
  <r>
    <d v="2024-08-14T00:00:00"/>
    <x v="7"/>
    <n v="33"/>
    <n v="2148"/>
    <x v="0"/>
    <s v="Javier Villa"/>
    <s v="TECUTCO2C"/>
    <s v="Superficie Escritorio Caramelo 120x70 Clasico Small"/>
    <n v="1"/>
    <x v="1"/>
    <x v="1"/>
    <x v="1"/>
    <x v="0"/>
    <s v="Envioclick- Coordinadora"/>
    <s v="2626962 - 84150947061"/>
    <d v="2024-08-14T00:00:00"/>
    <d v="2024-08-15T00:00:00"/>
    <x v="0"/>
    <n v="0"/>
    <n v="1"/>
    <x v="1"/>
    <n v="22988"/>
    <m/>
  </r>
  <r>
    <d v="2024-08-14T00:00:00"/>
    <x v="7"/>
    <n v="33"/>
    <n v="2149"/>
    <x v="0"/>
    <s v="Andrea Marcela Cortés Bernal"/>
    <s v="TECU3FBRO"/>
    <s v="Electric Standing Desk  PRO Blanco"/>
    <n v="1"/>
    <x v="0"/>
    <x v="1"/>
    <x v="44"/>
    <x v="0"/>
    <s v="Envioclick- Coordinadora"/>
    <s v="2629235 - 84150948091"/>
    <d v="2024-08-15T00:00:00"/>
    <d v="2024-08-16T00:00:00"/>
    <x v="0"/>
    <n v="1"/>
    <n v="2"/>
    <x v="3"/>
    <n v="42002"/>
    <m/>
  </r>
  <r>
    <d v="2024-08-14T00:00:00"/>
    <x v="7"/>
    <n v="33"/>
    <n v="2149"/>
    <x v="0"/>
    <s v="Andrea Marcela Cortés Bernal"/>
    <s v="TECUTCC8C"/>
    <s v="Superficie Escritorio Miel 180x70 Clasico"/>
    <n v="1"/>
    <x v="1"/>
    <x v="1"/>
    <x v="44"/>
    <x v="0"/>
    <s v="Envioclick- Coordinadora"/>
    <s v="2626962 - 84150947061"/>
    <d v="2024-08-15T00:00:00"/>
    <d v="2024-08-15T00:00:00"/>
    <x v="0"/>
    <n v="1"/>
    <n v="1"/>
    <x v="3"/>
    <n v="22988"/>
    <m/>
  </r>
  <r>
    <d v="2024-08-15T00:00:00"/>
    <x v="7"/>
    <n v="33"/>
    <n v="2150"/>
    <x v="0"/>
    <s v="Andrea Marcela Cortés Bernal"/>
    <s v="TECUACC"/>
    <s v="Archivador TECU  Miel"/>
    <n v="2"/>
    <x v="3"/>
    <x v="1"/>
    <x v="44"/>
    <x v="0"/>
    <s v="Envioclick- Envia"/>
    <s v="2629360 - 954101021051 / 2629373 - 954101021055"/>
    <d v="2024-08-15T00:00:00"/>
    <d v="2024-08-16T00:00:00"/>
    <x v="0"/>
    <n v="0"/>
    <n v="1"/>
    <x v="3"/>
    <n v="118408"/>
    <m/>
  </r>
  <r>
    <d v="2024-08-15T00:00:00"/>
    <x v="7"/>
    <n v="33"/>
    <n v="2150"/>
    <x v="0"/>
    <s v="Andrea Marcela Cortés Bernal"/>
    <s v="TECUCT"/>
    <s v="TECU bandeja de cables"/>
    <n v="1"/>
    <x v="4"/>
    <x v="1"/>
    <x v="44"/>
    <x v="0"/>
    <s v="Envioclick- Coordinadora"/>
    <s v="2629398 - 84150948205"/>
    <d v="2024-08-15T00:00:00"/>
    <d v="2024-08-16T00:00:00"/>
    <x v="0"/>
    <n v="0"/>
    <n v="1"/>
    <x v="3"/>
    <n v="16631"/>
    <m/>
  </r>
  <r>
    <d v="2024-08-15T00:00:00"/>
    <x v="7"/>
    <n v="33"/>
    <n v="2151"/>
    <x v="0"/>
    <s v="Juan Pablo Valencia Isaza"/>
    <s v="TECUACO"/>
    <s v="Archivador TECU  Caramelo"/>
    <n v="1"/>
    <x v="3"/>
    <x v="10"/>
    <x v="21"/>
    <x v="0"/>
    <s v="Envioclick- Envia"/>
    <s v="2629810 - 954101021233"/>
    <d v="2024-08-15T00:00:00"/>
    <d v="2024-08-16T00:00:00"/>
    <x v="0"/>
    <n v="0"/>
    <n v="1"/>
    <x v="1"/>
    <n v="45289"/>
    <m/>
  </r>
  <r>
    <d v="2024-08-16T00:00:00"/>
    <x v="7"/>
    <n v="33"/>
    <n v="2152"/>
    <x v="0"/>
    <s v="Melina Mejia Bedoya"/>
    <s v="TECU3FNPRO"/>
    <s v="Electric Standing Desk  PRO Negro"/>
    <n v="1"/>
    <x v="0"/>
    <x v="0"/>
    <x v="0"/>
    <x v="0"/>
    <s v="Envioclick- Coordinadora"/>
    <s v="2719009 - 84150979286"/>
    <d v="2024-09-11T00:00:00"/>
    <d v="2024-09-12T00:00:00"/>
    <x v="0"/>
    <n v="21"/>
    <n v="22"/>
    <x v="0"/>
    <m/>
    <n v="43277"/>
  </r>
  <r>
    <d v="2024-08-16T00:00:00"/>
    <x v="7"/>
    <n v="33"/>
    <n v="2152"/>
    <x v="0"/>
    <s v="Melina Mejia Bedoya"/>
    <s v="TECUTRN6C"/>
    <s v="Superficie Escritorio Roble Negro 160x70 Clasico"/>
    <n v="1"/>
    <x v="1"/>
    <x v="0"/>
    <x v="0"/>
    <x v="0"/>
    <s v="Envioclick- Coordinadora"/>
    <s v="2719011 - 84150979288"/>
    <d v="2024-09-11T00:00:00"/>
    <d v="2024-09-12T00:00:00"/>
    <x v="0"/>
    <n v="21"/>
    <n v="22"/>
    <x v="0"/>
    <m/>
    <n v="24366"/>
  </r>
  <r>
    <d v="2024-08-20T00:00:00"/>
    <x v="7"/>
    <n v="34"/>
    <n v="2154"/>
    <x v="0"/>
    <s v="Rodrigo Andrés Arcila Murcia"/>
    <s v="TECUACO"/>
    <s v="Archivador TECU  Caramelo"/>
    <n v="1"/>
    <x v="3"/>
    <x v="1"/>
    <x v="1"/>
    <x v="0"/>
    <s v="Envioclick- Envia"/>
    <s v="2649461 - 954101023899"/>
    <d v="2024-08-21T00:00:00"/>
    <d v="2024-08-22T00:00:00"/>
    <x v="0"/>
    <n v="1"/>
    <n v="2"/>
    <x v="1"/>
    <n v="51312"/>
    <m/>
  </r>
  <r>
    <d v="2024-08-20T00:00:00"/>
    <x v="7"/>
    <n v="34"/>
    <n v="2155"/>
    <x v="0"/>
    <s v="Jairo Remolina"/>
    <s v="TECU2FNG"/>
    <s v="Electric Standing Desk GO Negro"/>
    <n v="1"/>
    <x v="0"/>
    <x v="7"/>
    <x v="17"/>
    <x v="0"/>
    <s v="Envioclick- Coordinadora"/>
    <s v="2651233 - 84150952060"/>
    <d v="2024-08-21T00:00:00"/>
    <d v="2024-08-22T00:00:00"/>
    <x v="0"/>
    <n v="1"/>
    <n v="2"/>
    <x v="1"/>
    <n v="52519"/>
    <m/>
  </r>
  <r>
    <d v="2024-08-20T00:00:00"/>
    <x v="7"/>
    <n v="34"/>
    <n v="2155"/>
    <x v="0"/>
    <s v="Jairo Remolina"/>
    <s v="TECUTRN2C"/>
    <s v="Superficie Escritorio Roble Negro 120x70 Clasico Small"/>
    <n v="1"/>
    <x v="1"/>
    <x v="7"/>
    <x v="17"/>
    <x v="0"/>
    <s v="Envioclick- Coordinadora"/>
    <s v="2651236 - 84150952063"/>
    <d v="2024-08-21T00:00:00"/>
    <d v="2024-08-24T00:00:00"/>
    <x v="0"/>
    <n v="1"/>
    <n v="4"/>
    <x v="0"/>
    <n v="32668"/>
    <m/>
  </r>
  <r>
    <d v="2024-08-20T00:00:00"/>
    <x v="7"/>
    <n v="34"/>
    <n v="2155"/>
    <x v="0"/>
    <s v="Jairo Remolina"/>
    <s v="TECUROD"/>
    <s v="Rodachines con freno para Standing desk x 4 UN"/>
    <n v="1"/>
    <x v="6"/>
    <x v="7"/>
    <x v="17"/>
    <x v="0"/>
    <s v="Envioclick- Coordinadora"/>
    <s v="2649472 - 84150951997"/>
    <d v="2024-08-21T00:00:00"/>
    <d v="2024-08-22T00:00:00"/>
    <x v="0"/>
    <n v="1"/>
    <n v="2"/>
    <x v="1"/>
    <n v="23032"/>
    <m/>
  </r>
  <r>
    <d v="2024-08-21T00:00:00"/>
    <x v="7"/>
    <n v="34"/>
    <n v="2156"/>
    <x v="0"/>
    <s v="Yorman Alberto Londoño trujillo"/>
    <s v="TECU3FGPRO"/>
    <s v="Electric Standing Desk  PRO Gris"/>
    <n v="1"/>
    <x v="0"/>
    <x v="19"/>
    <x v="43"/>
    <x v="0"/>
    <s v="Envioclick- Coordinadora"/>
    <s v="2651389 - 84150952156"/>
    <d v="2024-08-21T00:00:00"/>
    <d v="2024-08-22T00:00:00"/>
    <x v="0"/>
    <n v="0"/>
    <n v="1"/>
    <x v="1"/>
    <n v="34504"/>
    <m/>
  </r>
  <r>
    <d v="2024-08-21T00:00:00"/>
    <x v="7"/>
    <n v="34"/>
    <n v="2156"/>
    <x v="0"/>
    <s v="Yorman Alberto Londoño trujillo"/>
    <s v="TECUTCO3C"/>
    <s v="Superficie Escritorio Caramelo 130x70 Clasico"/>
    <n v="1"/>
    <x v="1"/>
    <x v="19"/>
    <x v="43"/>
    <x v="0"/>
    <s v="Envioclick- Coordinadora"/>
    <s v="2651392 - 84150952157"/>
    <d v="2024-08-21T00:00:00"/>
    <d v="2024-08-22T00:00:00"/>
    <x v="0"/>
    <n v="0"/>
    <n v="1"/>
    <x v="1"/>
    <n v="14589"/>
    <m/>
  </r>
  <r>
    <d v="2024-08-21T00:00:00"/>
    <x v="7"/>
    <n v="34"/>
    <n v="2157"/>
    <x v="0"/>
    <s v="Sebastian Restrepo"/>
    <s v="TECU3FBRO"/>
    <s v="Electric Standing Desk  PRO Blanco"/>
    <n v="1"/>
    <x v="0"/>
    <x v="4"/>
    <x v="5"/>
    <x v="0"/>
    <s v="Envioclick- Coordinadora"/>
    <s v="2651459 - 84150952182"/>
    <d v="2024-08-21T00:00:00"/>
    <d v="2024-08-22T00:00:00"/>
    <x v="0"/>
    <n v="0"/>
    <n v="1"/>
    <x v="1"/>
    <n v="42002"/>
    <m/>
  </r>
  <r>
    <d v="2024-08-21T00:00:00"/>
    <x v="7"/>
    <n v="34"/>
    <n v="2157"/>
    <x v="0"/>
    <s v="Sebastian Restrepo"/>
    <s v="TECUTCC20C"/>
    <s v="Superficie Escritorio Miel 200x70 Clasico"/>
    <n v="1"/>
    <x v="1"/>
    <x v="4"/>
    <x v="5"/>
    <x v="0"/>
    <s v="Envioclick- Coordinadora"/>
    <s v="2651460 - 84150952184"/>
    <d v="2024-08-21T00:00:00"/>
    <d v="2024-08-23T00:00:00"/>
    <x v="0"/>
    <n v="0"/>
    <n v="2"/>
    <x v="1"/>
    <n v="25521"/>
    <m/>
  </r>
  <r>
    <d v="2024-08-22T00:00:00"/>
    <x v="7"/>
    <n v="34"/>
    <n v="2158"/>
    <x v="0"/>
    <s v="Camilo Calvache"/>
    <s v="TECU2FNG"/>
    <s v="Electric Standing Desk GO Negro"/>
    <n v="1"/>
    <x v="0"/>
    <x v="1"/>
    <x v="1"/>
    <x v="0"/>
    <s v="Envioclick- Coordinadora"/>
    <s v="2654109 - 84150953160"/>
    <d v="2024-08-22T00:00:00"/>
    <d v="2024-08-23T00:00:00"/>
    <x v="0"/>
    <n v="0"/>
    <n v="1"/>
    <x v="1"/>
    <n v="40734"/>
    <m/>
  </r>
  <r>
    <d v="2024-08-22T00:00:00"/>
    <x v="7"/>
    <n v="34"/>
    <n v="2158"/>
    <x v="0"/>
    <s v="Camilo Calvache"/>
    <s v="TECUTRN4C"/>
    <s v="Superficie Escritorio Roble Negro 140x70 Clasico"/>
    <n v="1"/>
    <x v="1"/>
    <x v="1"/>
    <x v="1"/>
    <x v="0"/>
    <s v="Envioclick- Coordinadora"/>
    <s v="2654110 - 84150953161"/>
    <d v="2024-08-22T00:00:00"/>
    <d v="2024-08-23T00:00:00"/>
    <x v="0"/>
    <n v="0"/>
    <n v="1"/>
    <x v="1"/>
    <n v="22988"/>
    <m/>
  </r>
  <r>
    <d v="2024-08-22T00:00:00"/>
    <x v="7"/>
    <n v="34"/>
    <n v="2159"/>
    <x v="0"/>
    <s v="Albeiro Romero"/>
    <s v="TECU3FGPRO"/>
    <s v="Electric Standing Desk  PRO Gris"/>
    <n v="1"/>
    <x v="0"/>
    <x v="1"/>
    <x v="1"/>
    <x v="0"/>
    <s v="Envioclick- Coordinadora"/>
    <s v="2654626 - 84150953413"/>
    <d v="2024-08-22T00:00:00"/>
    <d v="2024-08-23T00:00:00"/>
    <x v="0"/>
    <n v="0"/>
    <n v="1"/>
    <x v="1"/>
    <n v="42002"/>
    <m/>
  </r>
  <r>
    <d v="2024-08-22T00:00:00"/>
    <x v="7"/>
    <n v="34"/>
    <n v="2159"/>
    <x v="0"/>
    <s v="Albeiro Romero"/>
    <s v="TECUTB5M"/>
    <s v="Superficie Escritorio Blanco(Niebla) 150x70 Moderno"/>
    <n v="1"/>
    <x v="1"/>
    <x v="1"/>
    <x v="1"/>
    <x v="0"/>
    <s v="Envioclick- Coordinadora"/>
    <s v="2654627 - 84150953414"/>
    <d v="2024-08-22T00:00:00"/>
    <d v="2024-08-23T00:00:00"/>
    <x v="0"/>
    <n v="0"/>
    <n v="1"/>
    <x v="1"/>
    <n v="22988"/>
    <m/>
  </r>
  <r>
    <d v="2024-08-22T00:00:00"/>
    <x v="7"/>
    <n v="34"/>
    <n v="2160"/>
    <x v="0"/>
    <s v="Javier Peláez Grisales"/>
    <s v="TECURCC"/>
    <s v="Repisa TECU  Miel"/>
    <n v="1"/>
    <x v="2"/>
    <x v="0"/>
    <x v="3"/>
    <x v="0"/>
    <s v="Envioclick- Coordinadora"/>
    <s v="2654585 - 84150953392"/>
    <d v="2024-08-22T00:00:00"/>
    <d v="2024-08-23T00:00:00"/>
    <x v="0"/>
    <n v="0"/>
    <n v="1"/>
    <x v="1"/>
    <n v="22355"/>
    <m/>
  </r>
  <r>
    <d v="2024-08-24T00:00:00"/>
    <x v="7"/>
    <n v="34"/>
    <n v="2161"/>
    <x v="0"/>
    <s v="Javier Peláez Grisales"/>
    <s v="TECURCC"/>
    <s v="Repisa TECU  Miel"/>
    <n v="1"/>
    <x v="2"/>
    <x v="0"/>
    <x v="3"/>
    <x v="0"/>
    <s v="Envioclick- Coordinadora"/>
    <s v="2661522 - 84150957020"/>
    <d v="2024-08-26T00:00:00"/>
    <d v="2024-08-27T00:00:00"/>
    <x v="0"/>
    <n v="1"/>
    <n v="2"/>
    <x v="1"/>
    <n v="22355"/>
    <m/>
  </r>
  <r>
    <d v="2024-08-25T00:00:00"/>
    <x v="7"/>
    <n v="35"/>
    <n v="2162"/>
    <x v="0"/>
    <s v="Ling Lung"/>
    <s v="TECU3FBRO"/>
    <s v="Electric Standing Desk  PRO Blanco"/>
    <n v="1"/>
    <x v="0"/>
    <x v="0"/>
    <x v="0"/>
    <x v="0"/>
    <s v="Envioclick- Coordinadora"/>
    <s v="2661880 - 84150957237"/>
    <d v="2024-08-26T00:00:00"/>
    <d v="2024-08-27T00:00:00"/>
    <x v="0"/>
    <n v="0"/>
    <n v="1"/>
    <x v="1"/>
    <n v="42002"/>
    <m/>
  </r>
  <r>
    <d v="2024-08-25T00:00:00"/>
    <x v="7"/>
    <n v="35"/>
    <n v="2162"/>
    <x v="0"/>
    <s v="Ling Lung"/>
    <s v="TECUTCC8M"/>
    <s v="Superficie Escritorio Miel 180x70 Moderno"/>
    <n v="1"/>
    <x v="1"/>
    <x v="0"/>
    <x v="0"/>
    <x v="0"/>
    <s v="Envioclick- Coordinadora"/>
    <s v="2661881 - 84150957238"/>
    <d v="2024-08-26T00:00:00"/>
    <d v="2024-08-27T00:00:00"/>
    <x v="0"/>
    <n v="0"/>
    <n v="1"/>
    <x v="1"/>
    <n v="25521"/>
    <m/>
  </r>
  <r>
    <d v="2024-08-27T00:00:00"/>
    <x v="7"/>
    <n v="35"/>
    <n v="2163"/>
    <x v="0"/>
    <s v="XIMENA DUQUE VALENCIA / KORADI SAS"/>
    <s v="TECULFN2"/>
    <s v="Electric Standing Desk | Escritorio Ajustable En L Frame Negro 2.0"/>
    <n v="1"/>
    <x v="0"/>
    <x v="1"/>
    <x v="1"/>
    <x v="0"/>
    <s v="Envioclick- Coordinadora"/>
    <s v="2719022 - 84150979291"/>
    <d v="2024-09-11T00:00:00"/>
    <d v="2024-09-12T00:00:00"/>
    <x v="0"/>
    <n v="13"/>
    <n v="14"/>
    <x v="0"/>
    <m/>
    <n v="63147"/>
  </r>
  <r>
    <d v="2024-08-27T00:00:00"/>
    <x v="7"/>
    <n v="35"/>
    <n v="2163"/>
    <x v="0"/>
    <s v="XIMENA DUQUE VALENCIA / KORADI SAS"/>
    <s v="TECUTLCOS"/>
    <s v="Superficie Escritorio en L Miel Set completo"/>
    <n v="1"/>
    <x v="1"/>
    <x v="1"/>
    <x v="1"/>
    <x v="0"/>
    <s v="Envioclick- Coordinadora"/>
    <s v="2719024 - 84150979292"/>
    <d v="2024-09-11T00:00:00"/>
    <d v="2024-09-12T00:00:00"/>
    <x v="0"/>
    <n v="13"/>
    <n v="14"/>
    <x v="0"/>
    <m/>
    <n v="27069"/>
  </r>
  <r>
    <d v="2024-08-28T00:00:00"/>
    <x v="7"/>
    <n v="35"/>
    <n v="2167"/>
    <x v="0"/>
    <s v="Cristian Steven Chavarro Rico"/>
    <s v="TECU3FNPRO"/>
    <s v="Electric Standing Desk  PRO Negro"/>
    <n v="1"/>
    <x v="0"/>
    <x v="0"/>
    <x v="10"/>
    <x v="0"/>
    <s v="Envioclick- Coordinadora"/>
    <s v="2719066 - 84150979311"/>
    <d v="2024-09-11T00:00:00"/>
    <d v="2024-09-14T00:00:00"/>
    <x v="0"/>
    <n v="12"/>
    <n v="15"/>
    <x v="0"/>
    <m/>
    <n v="43277"/>
  </r>
  <r>
    <d v="2024-08-28T00:00:00"/>
    <x v="7"/>
    <n v="35"/>
    <n v="2167"/>
    <x v="0"/>
    <s v="Cristian Steven Chavarro Rico"/>
    <s v="TECUTB7C"/>
    <s v="Superficie Escritorio Blanco (Niebla) 170x70 Clasico"/>
    <n v="1"/>
    <x v="1"/>
    <x v="0"/>
    <x v="10"/>
    <x v="0"/>
    <s v="Envioclick- Coordinadora"/>
    <s v="2719067 - 84150979312"/>
    <d v="2024-09-11T00:00:00"/>
    <d v="2024-09-13T00:00:00"/>
    <x v="0"/>
    <n v="12"/>
    <n v="14"/>
    <x v="0"/>
    <m/>
    <n v="27069"/>
  </r>
  <r>
    <d v="2024-08-28T00:00:00"/>
    <x v="7"/>
    <n v="35"/>
    <n v="2167"/>
    <x v="0"/>
    <s v="Cristian Steven Chavarro Rico"/>
    <s v="TECUCT"/>
    <s v="TECU bandeja de cables"/>
    <n v="1"/>
    <x v="4"/>
    <x v="0"/>
    <x v="10"/>
    <x v="0"/>
    <s v="Envioclick- Coordinadora"/>
    <s v="2719351 - 84150979425"/>
    <d v="2024-09-11T00:00:00"/>
    <d v="2024-09-12T00:00:00"/>
    <x v="0"/>
    <n v="12"/>
    <n v="13"/>
    <x v="0"/>
    <m/>
    <n v="25690"/>
  </r>
  <r>
    <d v="2024-08-28T00:00:00"/>
    <x v="7"/>
    <n v="35"/>
    <n v="2168"/>
    <x v="0"/>
    <s v="David Barrera"/>
    <s v="TECU3FNPRO"/>
    <s v="Electric Standing Desk  PRO Negro"/>
    <n v="1"/>
    <x v="0"/>
    <x v="1"/>
    <x v="1"/>
    <x v="0"/>
    <s v="Envioclick- Coordinadora"/>
    <s v="2719397 - 84150979437"/>
    <d v="2024-09-11T00:00:00"/>
    <d v="2024-09-12T00:00:00"/>
    <x v="0"/>
    <n v="12"/>
    <n v="13"/>
    <x v="0"/>
    <m/>
    <n v="43277"/>
  </r>
  <r>
    <d v="2024-08-28T00:00:00"/>
    <x v="7"/>
    <n v="35"/>
    <n v="2168"/>
    <x v="0"/>
    <s v="David Barrera"/>
    <s v="TECUTCO3M"/>
    <s v="Superficie Escritorio Caramelo 130x70 Moderno"/>
    <n v="1"/>
    <x v="1"/>
    <x v="1"/>
    <x v="1"/>
    <x v="0"/>
    <s v="Envioclick- Coordinadora"/>
    <s v="2719400 - 84150979438"/>
    <d v="2024-09-11T00:00:00"/>
    <d v="2024-09-12T00:00:00"/>
    <x v="0"/>
    <n v="12"/>
    <n v="13"/>
    <x v="0"/>
    <m/>
    <n v="29097"/>
  </r>
  <r>
    <d v="2024-08-28T00:00:00"/>
    <x v="7"/>
    <n v="35"/>
    <n v="2168"/>
    <x v="0"/>
    <s v="David Barrera"/>
    <s v="TECUBLS"/>
    <s v="TECU Laptop Stand B"/>
    <n v="1"/>
    <x v="4"/>
    <x v="1"/>
    <x v="1"/>
    <x v="0"/>
    <s v="Envioclick- Coordinadora"/>
    <s v="2719402 - 84150979439"/>
    <d v="2024-09-11T00:00:00"/>
    <d v="2024-09-12T00:00:00"/>
    <x v="0"/>
    <n v="12"/>
    <n v="13"/>
    <x v="0"/>
    <m/>
    <n v="25593"/>
  </r>
  <r>
    <d v="2024-08-28T00:00:00"/>
    <x v="7"/>
    <n v="35"/>
    <n v="2168"/>
    <x v="0"/>
    <s v="David Barrera"/>
    <s v="TECUCT"/>
    <s v="TECU bandeja de cables"/>
    <n v="1"/>
    <x v="4"/>
    <x v="1"/>
    <x v="1"/>
    <x v="0"/>
    <s v="Envioclick- Coordinadora"/>
    <s v="2719414 - 84150979447"/>
    <d v="2024-09-11T00:00:00"/>
    <d v="2024-09-12T00:00:00"/>
    <x v="0"/>
    <n v="12"/>
    <n v="13"/>
    <x v="0"/>
    <m/>
    <n v="25690"/>
  </r>
  <r>
    <d v="2024-08-28T00:00:00"/>
    <x v="7"/>
    <n v="35"/>
    <n v="2168"/>
    <x v="0"/>
    <s v="David Barrera"/>
    <s v="TECUBDPA"/>
    <s v="TECU Desk Pad B Negro Azul"/>
    <n v="1"/>
    <x v="4"/>
    <x v="1"/>
    <x v="1"/>
    <x v="0"/>
    <s v="Envioclick- Coordinadora"/>
    <s v="2719407 - 84150979440"/>
    <d v="2024-09-11T00:00:00"/>
    <d v="2024-09-12T00:00:00"/>
    <x v="0"/>
    <n v="12"/>
    <n v="13"/>
    <x v="0"/>
    <m/>
    <n v="17079"/>
  </r>
  <r>
    <d v="2024-08-28T00:00:00"/>
    <x v="7"/>
    <n v="35"/>
    <n v="2168"/>
    <x v="0"/>
    <s v="David Barrera"/>
    <s v="TECUACO"/>
    <s v="Archivador TECU  Caramelo"/>
    <n v="1"/>
    <x v="3"/>
    <x v="1"/>
    <x v="1"/>
    <x v="0"/>
    <s v="Envioclick- Envia"/>
    <s v="2719422 - 954101038056"/>
    <d v="2024-09-11T00:00:00"/>
    <d v="2024-09-13T00:00:00"/>
    <x v="0"/>
    <n v="12"/>
    <n v="14"/>
    <x v="0"/>
    <m/>
    <n v="43847"/>
  </r>
  <r>
    <d v="2024-08-29T00:00:00"/>
    <x v="7"/>
    <n v="35"/>
    <n v="2169"/>
    <x v="0"/>
    <s v="Carlos Restrepo"/>
    <s v="TECU2FNG"/>
    <s v="Electric Standing Desk GO Negro"/>
    <n v="1"/>
    <x v="0"/>
    <x v="1"/>
    <x v="14"/>
    <x v="0"/>
    <s v="Envioclick- Coordinadora"/>
    <s v="2672800 - 84150963227"/>
    <d v="2024-08-29T00:00:00"/>
    <d v="2024-08-30T00:00:00"/>
    <x v="0"/>
    <n v="0"/>
    <n v="1"/>
    <x v="1"/>
    <n v="40734"/>
    <m/>
  </r>
  <r>
    <d v="2024-08-29T00:00:00"/>
    <x v="7"/>
    <n v="35"/>
    <n v="2169"/>
    <x v="0"/>
    <s v="Carlos Restrepo"/>
    <s v="TECUTCO4C"/>
    <s v="Superficie Escritorio Caramelo 140x70 Clasico"/>
    <n v="1"/>
    <x v="1"/>
    <x v="1"/>
    <x v="14"/>
    <x v="0"/>
    <s v="Envioclick- Coordinadora"/>
    <s v="2672803 - 84150963228"/>
    <d v="2024-08-29T00:00:00"/>
    <d v="2024-08-30T00:00:00"/>
    <x v="0"/>
    <n v="0"/>
    <n v="1"/>
    <x v="1"/>
    <n v="22988"/>
    <m/>
  </r>
  <r>
    <d v="2024-08-29T00:00:00"/>
    <x v="7"/>
    <n v="35"/>
    <n v="2170"/>
    <x v="0"/>
    <s v="Carlos Restrepo"/>
    <s v="TECUDSN"/>
    <s v="TECU Desk Stool Negra Silla ajustable"/>
    <n v="1"/>
    <x v="5"/>
    <x v="1"/>
    <x v="14"/>
    <x v="0"/>
    <s v="Envioclick- Coordinadora"/>
    <s v="2672826 - 84150963240"/>
    <d v="2024-08-29T00:00:00"/>
    <d v="2024-08-30T00:00:00"/>
    <x v="0"/>
    <n v="0"/>
    <n v="1"/>
    <x v="1"/>
    <n v="25935"/>
    <m/>
  </r>
  <r>
    <d v="2024-08-29T00:00:00"/>
    <x v="7"/>
    <n v="35"/>
    <n v="2171"/>
    <x v="0"/>
    <s v="Bryce Karasawa"/>
    <s v="TECU3FNPRO"/>
    <s v="Electric Standing Desk  PRO Negro"/>
    <n v="1"/>
    <x v="0"/>
    <x v="0"/>
    <x v="3"/>
    <x v="0"/>
    <s v="Envioclick- Coordinadora"/>
    <s v="2719439 - 84150979462"/>
    <d v="2024-09-11T00:00:00"/>
    <d v="2024-09-12T00:00:00"/>
    <x v="0"/>
    <n v="11"/>
    <n v="12"/>
    <x v="0"/>
    <m/>
    <n v="41925"/>
  </r>
  <r>
    <d v="2024-08-29T00:00:00"/>
    <x v="7"/>
    <n v="35"/>
    <n v="2171"/>
    <x v="0"/>
    <s v="Bryce Karasawa"/>
    <s v="TECUTRM8C"/>
    <s v="Superficie Roble Miel 180x70 Clasico"/>
    <n v="1"/>
    <x v="1"/>
    <x v="0"/>
    <x v="3"/>
    <x v="0"/>
    <s v="Envioclick- Coordinadora"/>
    <s v="2719440 - 84150979463"/>
    <d v="2024-09-11T00:00:00"/>
    <d v="2024-09-12T00:00:00"/>
    <x v="0"/>
    <n v="11"/>
    <n v="12"/>
    <x v="0"/>
    <m/>
    <n v="27069"/>
  </r>
  <r>
    <d v="2024-08-29T00:00:00"/>
    <x v="7"/>
    <n v="35"/>
    <n v="2171"/>
    <x v="0"/>
    <s v="Bryce Karasawa"/>
    <s v="TECUCT"/>
    <s v="TECU bandeja de cables"/>
    <n v="1"/>
    <x v="4"/>
    <x v="0"/>
    <x v="3"/>
    <x v="0"/>
    <s v="Envioclick- Coordinadora"/>
    <s v="2720286 - 84150979910"/>
    <d v="2024-09-11T00:00:00"/>
    <d v="2024-09-12T00:00:00"/>
    <x v="0"/>
    <n v="11"/>
    <n v="12"/>
    <x v="0"/>
    <m/>
    <n v="25690"/>
  </r>
  <r>
    <d v="2024-08-29T00:00:00"/>
    <x v="7"/>
    <n v="35"/>
    <n v="2172"/>
    <x v="0"/>
    <s v="Marcela Ocampo Quintero"/>
    <s v="TECU2FNG"/>
    <s v="Electric Standing Desk GO Negro"/>
    <n v="1"/>
    <x v="0"/>
    <x v="1"/>
    <x v="1"/>
    <x v="0"/>
    <s v="Envioclick- Coordinadora"/>
    <s v="2675411 - 84150964727"/>
    <d v="2024-08-29T00:00:00"/>
    <d v="2024-08-30T00:00:00"/>
    <x v="0"/>
    <n v="0"/>
    <n v="1"/>
    <x v="1"/>
    <n v="40734"/>
    <m/>
  </r>
  <r>
    <d v="2024-08-29T00:00:00"/>
    <x v="7"/>
    <n v="35"/>
    <n v="2172"/>
    <x v="0"/>
    <s v="Marcela Ocampo Quintero"/>
    <s v="TECUTCC4C"/>
    <s v="Superficie Escritorio Miel 140x70 Clasico"/>
    <n v="1"/>
    <x v="1"/>
    <x v="1"/>
    <x v="1"/>
    <x v="0"/>
    <s v="Envioclick- Coordinadora"/>
    <s v="2675414 - 84150964729"/>
    <d v="2024-08-29T00:00:00"/>
    <d v="2024-08-30T00:00:00"/>
    <x v="0"/>
    <n v="0"/>
    <n v="1"/>
    <x v="1"/>
    <n v="22988"/>
    <m/>
  </r>
  <r>
    <d v="2024-08-30T00:00:00"/>
    <x v="7"/>
    <n v="35"/>
    <n v="2173"/>
    <x v="0"/>
    <s v="Hugo Bayona"/>
    <s v="TECU3FNPRO"/>
    <s v="Electric Standing Desk  PRO Negro"/>
    <n v="1"/>
    <x v="0"/>
    <x v="4"/>
    <x v="5"/>
    <x v="0"/>
    <s v="Envioclick- Coordinadora"/>
    <s v="2719446 - 84150979467"/>
    <d v="2024-09-11T00:00:00"/>
    <d v="2024-09-13T00:00:00"/>
    <x v="0"/>
    <n v="10"/>
    <n v="12"/>
    <x v="0"/>
    <m/>
    <n v="43277"/>
  </r>
  <r>
    <d v="2024-08-30T00:00:00"/>
    <x v="7"/>
    <n v="35"/>
    <n v="2173"/>
    <x v="0"/>
    <s v="Hugo Bayona"/>
    <s v="TECUTCC8M"/>
    <s v="Superficie Escritorio Miel 180x70 Moderno"/>
    <n v="1"/>
    <x v="1"/>
    <x v="4"/>
    <x v="5"/>
    <x v="0"/>
    <s v="Envioclick- Coordinadora"/>
    <s v="2719448 - 84150979468"/>
    <d v="2024-09-11T00:00:00"/>
    <d v="2024-09-12T00:00:00"/>
    <x v="0"/>
    <n v="10"/>
    <n v="11"/>
    <x v="0"/>
    <m/>
    <n v="27069"/>
  </r>
  <r>
    <d v="2024-08-31T00:00:00"/>
    <x v="7"/>
    <n v="35"/>
    <n v="2174"/>
    <x v="0"/>
    <s v="Juan Esteban Hernández"/>
    <s v="TECU2FNG"/>
    <s v="Electric Standing Desk GO Negro"/>
    <n v="1"/>
    <x v="0"/>
    <x v="1"/>
    <x v="1"/>
    <x v="0"/>
    <s v="Envioclick- Coordinadora"/>
    <s v="2687519 - 84150969064"/>
    <d v="2024-09-02T00:00:00"/>
    <d v="2024-09-03T00:00:00"/>
    <x v="0"/>
    <n v="1"/>
    <n v="2"/>
    <x v="1"/>
    <n v="41925"/>
    <m/>
  </r>
  <r>
    <d v="2024-08-31T00:00:00"/>
    <x v="7"/>
    <n v="35"/>
    <n v="2174"/>
    <x v="0"/>
    <s v="Juan Esteban Hernández"/>
    <s v="TECUTCO4C"/>
    <s v="Superficie Escritorio Caramelo 140x70 Clasico"/>
    <n v="1"/>
    <x v="1"/>
    <x v="1"/>
    <x v="1"/>
    <x v="0"/>
    <s v="Envioclick- Coordinadora"/>
    <s v="2687521 - 84150969066"/>
    <d v="2024-09-02T00:00:00"/>
    <d v="2024-09-03T00:00:00"/>
    <x v="0"/>
    <n v="1"/>
    <n v="2"/>
    <x v="1"/>
    <n v="24366"/>
    <m/>
  </r>
  <r>
    <d v="2024-08-31T00:00:00"/>
    <x v="7"/>
    <n v="35"/>
    <n v="2175"/>
    <x v="0"/>
    <s v="Carlos Restrepo"/>
    <s v="TECUBDPA"/>
    <s v="TECU Desk Pad B Negro Azul"/>
    <n v="1"/>
    <x v="4"/>
    <x v="1"/>
    <x v="14"/>
    <x v="0"/>
    <s v="Envioclick- Coordinadora"/>
    <s v="2687544 - 84150969078"/>
    <d v="2024-09-02T00:00:00"/>
    <d v="2024-09-04T00:00:00"/>
    <x v="0"/>
    <n v="1"/>
    <n v="3"/>
    <x v="1"/>
    <n v="17079"/>
    <m/>
  </r>
  <r>
    <d v="2024-08-28T00:00:00"/>
    <x v="7"/>
    <n v="35"/>
    <n v="2132"/>
    <x v="5"/>
    <s v="Juan Pablo Jiménez Pérez"/>
    <s v="TECU3FGPRO"/>
    <s v="Electric Standing Desk  PRO Gris"/>
    <n v="1"/>
    <x v="0"/>
    <x v="1"/>
    <x v="1"/>
    <x v="0"/>
    <s v="Envioclick- Coordinadora"/>
    <s v="2674702 - 84150964355"/>
    <d v="2024-08-29T00:00:00"/>
    <d v="2024-08-30T00:00:00"/>
    <x v="0"/>
    <n v="1"/>
    <n v="2"/>
    <x v="1"/>
    <n v="42002"/>
    <m/>
  </r>
  <r>
    <d v="2024-09-02T00:00:00"/>
    <x v="8"/>
    <n v="36"/>
    <n v="2177"/>
    <x v="0"/>
    <s v="Rolando Cogollo"/>
    <s v="TECUACC"/>
    <s v="Archivador TECU  Miel"/>
    <n v="1"/>
    <x v="3"/>
    <x v="1"/>
    <x v="1"/>
    <x v="0"/>
    <s v="Envioclick- Envia"/>
    <s v="2706712 - 954101034282"/>
    <d v="2024-09-09T00:00:00"/>
    <d v="2024-09-10T00:00:00"/>
    <x v="0"/>
    <n v="6"/>
    <n v="7"/>
    <x v="0"/>
    <n v="43847"/>
    <s v="Demora envio por el paro"/>
  </r>
  <r>
    <d v="2024-09-02T00:00:00"/>
    <x v="8"/>
    <n v="36"/>
    <n v="2177"/>
    <x v="0"/>
    <s v="Rolando Cogollo"/>
    <s v="TECUROD"/>
    <s v="Rodachines con freno para Standing desk x 4 UN"/>
    <n v="1"/>
    <x v="6"/>
    <x v="1"/>
    <x v="1"/>
    <x v="0"/>
    <s v="Envioclick- Coordinadora"/>
    <s v="Envio con el arch*ivador"/>
    <d v="2024-09-09T00:00:00"/>
    <d v="2024-09-10T00:00:00"/>
    <x v="0"/>
    <n v="6"/>
    <n v="7"/>
    <x v="0"/>
    <m/>
    <s v="Demora envio por el paro"/>
  </r>
  <r>
    <d v="2024-09-03T00:00:00"/>
    <x v="8"/>
    <n v="36"/>
    <n v="2178"/>
    <x v="0"/>
    <s v="Jairo Andres Mora Santos"/>
    <s v="TECUDSN"/>
    <s v="TECU Desk Stool Negra Silla ajustable"/>
    <n v="1"/>
    <x v="5"/>
    <x v="7"/>
    <x v="17"/>
    <x v="0"/>
    <s v="Envioclick- Coordinadora"/>
    <s v="2692190 - 84150971088"/>
    <d v="2024-09-03T00:00:00"/>
    <d v="2024-09-10T00:00:00"/>
    <x v="0"/>
    <n v="0"/>
    <n v="6"/>
    <x v="0"/>
    <n v="36690"/>
    <m/>
  </r>
  <r>
    <d v="2024-09-03T00:00:00"/>
    <x v="8"/>
    <n v="36"/>
    <n v="2179"/>
    <x v="0"/>
    <s v="Sebastian Zambrano Torres"/>
    <s v="TECUACO"/>
    <s v="Archivador TECU  Caramelo"/>
    <n v="1"/>
    <x v="3"/>
    <x v="1"/>
    <x v="1"/>
    <x v="0"/>
    <s v="Envioclick- Envia"/>
    <s v="2692165 - 954101032622"/>
    <d v="2024-09-03T00:00:00"/>
    <d v="2024-09-07T00:00:00"/>
    <x v="0"/>
    <n v="0"/>
    <n v="4"/>
    <x v="0"/>
    <n v="43847"/>
    <m/>
  </r>
  <r>
    <d v="2024-09-04T00:00:00"/>
    <x v="8"/>
    <n v="36"/>
    <n v="2180"/>
    <x v="0"/>
    <s v="Juan Angulo"/>
    <s v="TECUACC"/>
    <s v="Archivador TECU  Miel"/>
    <n v="1"/>
    <x v="3"/>
    <x v="2"/>
    <x v="2"/>
    <x v="0"/>
    <s v="Envioclick- Envia"/>
    <s v="2706900 - 954101034425"/>
    <d v="2024-09-09T00:00:00"/>
    <d v="2024-09-11T00:00:00"/>
    <x v="0"/>
    <n v="4"/>
    <n v="6"/>
    <x v="0"/>
    <n v="85376"/>
    <m/>
  </r>
  <r>
    <d v="2024-09-05T00:00:00"/>
    <x v="8"/>
    <n v="36"/>
    <n v="2181"/>
    <x v="0"/>
    <s v="Jenniffer Duitama"/>
    <s v="TECU3FNPRO"/>
    <s v="Electric Standing Desk  PRO Negro"/>
    <n v="1"/>
    <x v="0"/>
    <x v="1"/>
    <x v="45"/>
    <x v="0"/>
    <s v="Envioclick- Coordinadora"/>
    <s v="2719478 - 84150979486"/>
    <d v="2024-09-11T00:00:00"/>
    <d v="2024-09-12T00:00:00"/>
    <x v="0"/>
    <n v="5"/>
    <n v="6"/>
    <x v="0"/>
    <n v="43277"/>
    <m/>
  </r>
  <r>
    <d v="2024-09-05T00:00:00"/>
    <x v="8"/>
    <n v="36"/>
    <n v="2181"/>
    <x v="0"/>
    <s v="Jenniffer Duitama"/>
    <s v="TECUTRN6M"/>
    <s v="Superficie Escritorio Roble Negro 160x70 Moderno"/>
    <n v="1"/>
    <x v="1"/>
    <x v="1"/>
    <x v="45"/>
    <x v="0"/>
    <s v="Envioclick- Coordinadora"/>
    <s v="2719479 - 84150979487"/>
    <d v="2024-09-11T00:00:00"/>
    <d v="2024-09-13T00:00:00"/>
    <x v="0"/>
    <n v="5"/>
    <n v="7"/>
    <x v="0"/>
    <n v="24866"/>
    <m/>
  </r>
  <r>
    <d v="2024-09-06T00:00:00"/>
    <x v="8"/>
    <n v="36"/>
    <n v="2182"/>
    <x v="0"/>
    <s v="María Lucia Quintero"/>
    <s v="TECU2FBGO"/>
    <s v="Electric Standing Desk GO Blanco"/>
    <n v="1"/>
    <x v="0"/>
    <x v="1"/>
    <x v="1"/>
    <x v="0"/>
    <s v="Envioclick- Coordinadora"/>
    <s v="2708999 - 84150975437"/>
    <d v="2024-09-06T00:00:00"/>
    <d v="2024-09-09T00:00:00"/>
    <x v="0"/>
    <n v="0"/>
    <n v="2"/>
    <x v="1"/>
    <n v="41925"/>
    <m/>
  </r>
  <r>
    <d v="2024-09-06T00:00:00"/>
    <x v="8"/>
    <n v="36"/>
    <n v="2182"/>
    <x v="0"/>
    <s v="María Lucia Quintero"/>
    <s v="TECUTCC4C"/>
    <s v="Superficie Escritorio Miel 140x70 Clasico"/>
    <n v="1"/>
    <x v="1"/>
    <x v="1"/>
    <x v="1"/>
    <x v="0"/>
    <s v="Envioclick- Coordinadora"/>
    <s v="2709000 - 84150975438"/>
    <d v="2024-09-06T00:00:00"/>
    <d v="2024-09-09T00:00:00"/>
    <x v="0"/>
    <n v="0"/>
    <n v="2"/>
    <x v="1"/>
    <n v="24366"/>
    <m/>
  </r>
  <r>
    <d v="2024-09-06T00:00:00"/>
    <x v="8"/>
    <n v="36"/>
    <n v="2182"/>
    <x v="0"/>
    <s v="María Lucia Quintero"/>
    <s v="TECUCT"/>
    <s v="TECU bandeja de cables"/>
    <n v="1"/>
    <x v="4"/>
    <x v="1"/>
    <x v="1"/>
    <x v="0"/>
    <s v="Envioclick- Coordinadora"/>
    <s v="2709263 - 84150975541"/>
    <d v="2024-09-06T00:00:00"/>
    <d v="2024-09-09T00:00:00"/>
    <x v="0"/>
    <n v="0"/>
    <n v="2"/>
    <x v="1"/>
    <n v="25690"/>
    <m/>
  </r>
  <r>
    <d v="2024-09-06T00:00:00"/>
    <x v="8"/>
    <n v="36"/>
    <n v="2183"/>
    <x v="0"/>
    <s v="Fabian David Arias Muñoz"/>
    <s v="TECU2FNG"/>
    <s v="Electric Standing Desk GO Negro"/>
    <n v="1"/>
    <x v="0"/>
    <x v="14"/>
    <x v="29"/>
    <x v="0"/>
    <s v="Entrega directa"/>
    <s v="NA"/>
    <d v="2024-09-06T00:00:00"/>
    <d v="2024-09-06T00:00:00"/>
    <x v="0"/>
    <n v="0"/>
    <n v="0"/>
    <x v="1"/>
    <n v="25000"/>
    <m/>
  </r>
  <r>
    <d v="2024-09-06T00:00:00"/>
    <x v="8"/>
    <n v="36"/>
    <n v="2183"/>
    <x v="0"/>
    <s v="Fabian David Arias Muñoz"/>
    <s v="TECUTCO4C"/>
    <s v="Superficie Escritorio Caramelo 140x70 Clasico"/>
    <n v="1"/>
    <x v="1"/>
    <x v="14"/>
    <x v="29"/>
    <x v="0"/>
    <s v="Entrega directa"/>
    <s v="NA"/>
    <d v="2024-09-06T00:00:00"/>
    <d v="2024-09-06T00:00:00"/>
    <x v="0"/>
    <n v="0"/>
    <n v="0"/>
    <x v="1"/>
    <n v="25000"/>
    <m/>
  </r>
  <r>
    <d v="2024-09-09T00:00:00"/>
    <x v="8"/>
    <n v="37"/>
    <n v="2184"/>
    <x v="0"/>
    <s v="Serrano Martínez CMA SAS"/>
    <s v="TECULFN2"/>
    <s v="Electric Standing Desk | Escritorio Ajustable En L Frame Negro 2.0"/>
    <n v="1"/>
    <x v="0"/>
    <x v="1"/>
    <x v="1"/>
    <x v="0"/>
    <s v="Envioclick- Coordinadora"/>
    <s v="2719496 - 84150979500"/>
    <d v="2024-09-11T00:00:00"/>
    <d v="2024-09-13T00:00:00"/>
    <x v="0"/>
    <n v="2"/>
    <n v="4"/>
    <x v="0"/>
    <n v="63147"/>
    <m/>
  </r>
  <r>
    <d v="2024-09-09T00:00:00"/>
    <x v="8"/>
    <n v="37"/>
    <n v="2184"/>
    <x v="0"/>
    <s v="Serrano Martínez CMA SAS"/>
    <s v="TECUTLCOS"/>
    <s v="Superficie Escritorio en L Miel Set completo"/>
    <n v="1"/>
    <x v="1"/>
    <x v="1"/>
    <x v="1"/>
    <x v="0"/>
    <s v="Envioclick- Coordinadora"/>
    <s v="2719497 - 84150979501"/>
    <d v="2024-09-11T00:00:00"/>
    <d v="2024-09-12T00:00:00"/>
    <x v="0"/>
    <n v="2"/>
    <n v="3"/>
    <x v="1"/>
    <n v="27069"/>
    <m/>
  </r>
  <r>
    <d v="2024-09-09T00:00:00"/>
    <x v="8"/>
    <n v="37"/>
    <n v="2184"/>
    <x v="0"/>
    <s v="Serrano Martínez CMA SAS"/>
    <s v="TECUACC"/>
    <s v="Archivador TECU  Miel"/>
    <n v="1"/>
    <x v="3"/>
    <x v="1"/>
    <x v="1"/>
    <x v="0"/>
    <s v="Envioclick- Envia"/>
    <s v="2719493 - 954101038077"/>
    <d v="2024-09-11T00:00:00"/>
    <d v="2024-09-12T00:00:00"/>
    <x v="0"/>
    <n v="2"/>
    <n v="3"/>
    <x v="1"/>
    <n v="43847"/>
    <m/>
  </r>
  <r>
    <d v="2024-09-09T00:00:00"/>
    <x v="8"/>
    <n v="37"/>
    <n v="2186"/>
    <x v="0"/>
    <s v="Roberto Villadiego"/>
    <s v="TECU3FNPRO"/>
    <s v="Electric Standing Desk  PRO Negro"/>
    <n v="1"/>
    <x v="0"/>
    <x v="1"/>
    <x v="1"/>
    <x v="0"/>
    <s v="Envioclick- Coordinadora"/>
    <s v="2719510 - 84150979511"/>
    <d v="2024-09-11T00:00:00"/>
    <d v="2024-09-13T00:00:00"/>
    <x v="0"/>
    <n v="2"/>
    <n v="4"/>
    <x v="0"/>
    <n v="43277"/>
    <m/>
  </r>
  <r>
    <d v="2024-09-09T00:00:00"/>
    <x v="8"/>
    <n v="37"/>
    <n v="2186"/>
    <x v="0"/>
    <s v="Roberto Villadiego"/>
    <s v="TECUTCO5C"/>
    <s v="Superficie Escritorio Caramelo 150x70 Clasico"/>
    <n v="1"/>
    <x v="1"/>
    <x v="1"/>
    <x v="1"/>
    <x v="0"/>
    <s v="Envioclick- Coordinadora"/>
    <s v="2719512 - 84150979513"/>
    <d v="2024-09-11T00:00:00"/>
    <d v="2024-09-12T00:00:00"/>
    <x v="0"/>
    <n v="2"/>
    <n v="3"/>
    <x v="1"/>
    <n v="24366"/>
    <m/>
  </r>
  <r>
    <d v="2024-09-09T00:00:00"/>
    <x v="8"/>
    <n v="37"/>
    <n v="2186"/>
    <x v="0"/>
    <s v="Roberto Villadiego"/>
    <m/>
    <s v="Servicio de instalacion"/>
    <n v="1"/>
    <x v="7"/>
    <x v="1"/>
    <x v="1"/>
    <x v="0"/>
    <s v="NA"/>
    <s v="NA"/>
    <s v="NA"/>
    <s v="NA"/>
    <x v="0"/>
    <e v="#VALUE!"/>
    <e v="#VALUE!"/>
    <x v="4"/>
    <m/>
    <m/>
  </r>
  <r>
    <d v="2024-09-09T00:00:00"/>
    <x v="8"/>
    <n v="37"/>
    <n v="2187"/>
    <x v="0"/>
    <s v="John Jairo Castillo Cortes"/>
    <s v="TECU3FNPRO"/>
    <s v="Electric Standing Desk  PRO Negro"/>
    <n v="1"/>
    <x v="0"/>
    <x v="0"/>
    <x v="0"/>
    <x v="0"/>
    <s v="Envioclick- Coordinadora"/>
    <s v="2719527 - 84150979525"/>
    <d v="2024-09-12T00:00:00"/>
    <d v="2024-09-13T00:00:00"/>
    <x v="0"/>
    <n v="3"/>
    <n v="4"/>
    <x v="0"/>
    <n v="43277"/>
    <m/>
  </r>
  <r>
    <d v="2024-09-09T00:00:00"/>
    <x v="8"/>
    <n v="37"/>
    <n v="2187"/>
    <x v="0"/>
    <s v="John Jairo Castillo Cortes"/>
    <s v="TECUTRN8C"/>
    <s v="Superficie Escritorio Roble Negro 180x70 Clasico"/>
    <n v="1"/>
    <x v="1"/>
    <x v="0"/>
    <x v="0"/>
    <x v="0"/>
    <s v="Envioclick- Coordinadora"/>
    <s v="2719528 - 84150979526"/>
    <d v="2024-09-12T00:00:00"/>
    <d v="2024-09-13T00:00:00"/>
    <x v="0"/>
    <n v="3"/>
    <n v="4"/>
    <x v="0"/>
    <n v="27069"/>
    <s v="Cliente inicialmente pide 170 se cambio a 180 "/>
  </r>
  <r>
    <d v="2024-09-09T00:00:00"/>
    <x v="8"/>
    <n v="37"/>
    <n v="2188"/>
    <x v="0"/>
    <s v="Natalia Trujillo Gonzalez"/>
    <s v="TECULFN2"/>
    <s v="Electric Standing Desk | Escritorio Ajustable En L Frame Negro 2.0"/>
    <n v="1"/>
    <x v="0"/>
    <x v="0"/>
    <x v="10"/>
    <x v="0"/>
    <s v="Envioclick- Coordinadora"/>
    <s v="2719558 - 84150979539"/>
    <d v="2024-09-11T00:00:00"/>
    <d v="2024-09-12T00:00:00"/>
    <x v="0"/>
    <n v="2"/>
    <n v="3"/>
    <x v="1"/>
    <n v="63147"/>
    <m/>
  </r>
  <r>
    <d v="2024-09-09T00:00:00"/>
    <x v="8"/>
    <n v="37"/>
    <n v="2188"/>
    <x v="0"/>
    <s v="Natalia Trujillo Gonzalez"/>
    <s v="TECUTLCOS"/>
    <s v="Superficie Escritorio en L Miel Set completo"/>
    <n v="1"/>
    <x v="1"/>
    <x v="0"/>
    <x v="10"/>
    <x v="0"/>
    <s v="Envioclick- Coordinadora"/>
    <s v="2719560 - 84150979540"/>
    <d v="2024-09-11T00:00:00"/>
    <d v="2024-09-12T00:00:00"/>
    <x v="0"/>
    <n v="2"/>
    <n v="3"/>
    <x v="1"/>
    <n v="27069"/>
    <m/>
  </r>
  <r>
    <d v="2024-09-09T00:00:00"/>
    <x v="8"/>
    <n v="37"/>
    <n v="2189"/>
    <x v="0"/>
    <s v="JUAN CAMILO SEPULVEDA"/>
    <s v="TECU3FNPRO"/>
    <s v="Electric Standing Desk  PRO Negro"/>
    <n v="1"/>
    <x v="0"/>
    <x v="1"/>
    <x v="46"/>
    <x v="0"/>
    <s v="Envioclick- Coordinadora"/>
    <s v="2719576 - 84150979546"/>
    <d v="2024-09-11T00:00:00"/>
    <d v="2024-09-12T00:00:00"/>
    <x v="0"/>
    <n v="2"/>
    <n v="3"/>
    <x v="3"/>
    <n v="43277"/>
    <m/>
  </r>
  <r>
    <d v="2024-09-09T00:00:00"/>
    <x v="8"/>
    <n v="37"/>
    <n v="2189"/>
    <x v="0"/>
    <s v="JUAN CAMILO SEPULVEDA"/>
    <s v="TECUTCO8M"/>
    <s v="Superficie Escritorio Caramelo 180x70 Moderno"/>
    <n v="1"/>
    <x v="1"/>
    <x v="1"/>
    <x v="46"/>
    <x v="0"/>
    <s v="Envioclick- Coordinadora"/>
    <s v="2719578 - 84150979547"/>
    <d v="2024-09-11T00:00:00"/>
    <d v="2024-09-13T00:00:00"/>
    <x v="0"/>
    <n v="2"/>
    <n v="4"/>
    <x v="3"/>
    <n v="27069"/>
    <m/>
  </r>
  <r>
    <d v="2024-09-09T00:00:00"/>
    <x v="8"/>
    <n v="37"/>
    <n v="2190"/>
    <x v="0"/>
    <s v="John Jairo Castillo Cortes"/>
    <s v="TECUCT"/>
    <s v="TECU bandeja de cables"/>
    <n v="1"/>
    <x v="4"/>
    <x v="0"/>
    <x v="0"/>
    <x v="0"/>
    <s v="Envioclick- Coordinadora"/>
    <s v="2719599 - 84150979565"/>
    <d v="2024-09-12T00:00:00"/>
    <d v="2024-09-13T00:00:00"/>
    <x v="0"/>
    <n v="3"/>
    <n v="4"/>
    <x v="0"/>
    <n v="25690"/>
    <m/>
  </r>
  <r>
    <d v="2024-09-10T00:00:00"/>
    <x v="8"/>
    <n v="37"/>
    <n v="2192"/>
    <x v="0"/>
    <s v="Christian Camilo Pérez Bedoya"/>
    <s v="TECU2FNG"/>
    <s v="Electric Standing Desk GO Negro"/>
    <n v="1"/>
    <x v="0"/>
    <x v="14"/>
    <x v="29"/>
    <x v="0"/>
    <s v="Entrega directa"/>
    <s v="NA"/>
    <d v="2024-09-11T00:00:00"/>
    <d v="2024-09-11T00:00:00"/>
    <x v="0"/>
    <n v="1"/>
    <n v="1"/>
    <x v="1"/>
    <n v="25000"/>
    <m/>
  </r>
  <r>
    <d v="2024-09-10T00:00:00"/>
    <x v="8"/>
    <n v="37"/>
    <n v="2192"/>
    <x v="0"/>
    <s v="Christian Camilo Pérez Bedoya"/>
    <s v="TECUTRN2C"/>
    <s v="Superficie Escritorio Roble Negro 120x70 Clasico Small"/>
    <n v="1"/>
    <x v="1"/>
    <x v="14"/>
    <x v="29"/>
    <x v="0"/>
    <s v="Entrega directa"/>
    <s v="NA"/>
    <d v="2024-09-11T00:00:00"/>
    <d v="2024-09-11T00:00:00"/>
    <x v="0"/>
    <n v="1"/>
    <n v="1"/>
    <x v="1"/>
    <n v="25000"/>
    <m/>
  </r>
  <r>
    <d v="2024-09-12T00:00:00"/>
    <x v="8"/>
    <n v="37"/>
    <n v="2193"/>
    <x v="0"/>
    <s v="Cleider Viera"/>
    <s v="TECU3FNPRO"/>
    <s v="Electric Standing Desk  PRO Negro"/>
    <n v="1"/>
    <x v="0"/>
    <x v="0"/>
    <x v="3"/>
    <x v="0"/>
    <s v="Envioclick- Coordinadora"/>
    <s v="2721662 - 84150980476"/>
    <d v="2024-09-12T00:00:00"/>
    <d v="2024-09-13T00:00:00"/>
    <x v="0"/>
    <n v="0"/>
    <n v="1"/>
    <x v="1"/>
    <n v="43277"/>
    <m/>
  </r>
  <r>
    <d v="2024-09-13T00:00:00"/>
    <x v="8"/>
    <n v="37"/>
    <n v="2194"/>
    <x v="0"/>
    <s v="Stefan Krautwald"/>
    <s v="TECU3FGPRO"/>
    <s v="Electric Standing Desk  PRO Gris"/>
    <n v="1"/>
    <x v="0"/>
    <x v="0"/>
    <x v="3"/>
    <x v="0"/>
    <s v="Envioclick- Coordinadora"/>
    <s v="2724879 - 84150981947"/>
    <d v="2024-09-13T00:00:00"/>
    <d v="2024-09-14T00:00:00"/>
    <x v="0"/>
    <n v="0"/>
    <n v="1"/>
    <x v="1"/>
    <n v="43277"/>
    <m/>
  </r>
  <r>
    <d v="2024-09-13T00:00:00"/>
    <x v="8"/>
    <n v="37"/>
    <n v="2194"/>
    <x v="0"/>
    <s v="Stefan Krautwald"/>
    <s v="TECUTCO4C"/>
    <s v="Superficie Escritorio Caramelo 140x70 Clasico"/>
    <n v="1"/>
    <x v="1"/>
    <x v="0"/>
    <x v="3"/>
    <x v="0"/>
    <s v="Envioclick- Coordinadora"/>
    <s v="2724881 - 84150981949"/>
    <d v="2024-09-13T00:00:00"/>
    <d v="2024-09-14T00:00:00"/>
    <x v="0"/>
    <n v="0"/>
    <n v="1"/>
    <x v="1"/>
    <n v="24366"/>
    <m/>
  </r>
  <r>
    <d v="2024-09-16T00:00:00"/>
    <x v="8"/>
    <n v="38"/>
    <n v="2195"/>
    <x v="0"/>
    <s v="Andres Gutierrez Huerfano"/>
    <s v="TECU3FNPRO"/>
    <s v="Electric Standing Desk  PRO Negro"/>
    <n v="1"/>
    <x v="0"/>
    <x v="1"/>
    <x v="1"/>
    <x v="0"/>
    <s v="Envioclick- Coordinadora"/>
    <s v="2728353 - 84150983121"/>
    <d v="2024-09-16T00:00:00"/>
    <d v="2024-09-19T00:00:00"/>
    <x v="0"/>
    <n v="0"/>
    <n v="3"/>
    <x v="1"/>
    <n v="43277"/>
    <m/>
  </r>
  <r>
    <d v="2024-09-16T00:00:00"/>
    <x v="8"/>
    <n v="38"/>
    <n v="2195"/>
    <x v="0"/>
    <s v="Andres Gutierrez Huerfano"/>
    <s v="TECUTCO5M"/>
    <s v="Superficie Escritorio Caramelo 150x70 Moderno"/>
    <n v="1"/>
    <x v="1"/>
    <x v="1"/>
    <x v="1"/>
    <x v="0"/>
    <s v="Envioclick- Coordinadora"/>
    <s v="2728354 - 84150983122"/>
    <d v="2024-09-16T00:00:00"/>
    <d v="2024-09-19T00:00:00"/>
    <x v="0"/>
    <n v="0"/>
    <n v="3"/>
    <x v="1"/>
    <n v="24366"/>
    <m/>
  </r>
  <r>
    <d v="2024-09-16T00:00:00"/>
    <x v="8"/>
    <n v="38"/>
    <n v="2196"/>
    <x v="0"/>
    <s v="Shara María Bueno Ramírez"/>
    <s v="TECU2FNG"/>
    <s v="Electric Standing Desk GO Negro"/>
    <n v="1"/>
    <x v="0"/>
    <x v="14"/>
    <x v="29"/>
    <x v="0"/>
    <s v="Entrega directa"/>
    <s v="NA"/>
    <d v="2024-09-16T00:00:00"/>
    <d v="2024-09-16T00:00:00"/>
    <x v="0"/>
    <n v="0"/>
    <n v="0"/>
    <x v="1"/>
    <n v="25000"/>
    <m/>
  </r>
  <r>
    <d v="2024-09-16T00:00:00"/>
    <x v="8"/>
    <n v="38"/>
    <n v="2196"/>
    <x v="0"/>
    <s v="Shara María Bueno Ramírez"/>
    <s v="TECUTRN2C"/>
    <s v="Superficie Escritorio Roble Negro 120x70 Clasico Small"/>
    <n v="1"/>
    <x v="1"/>
    <x v="14"/>
    <x v="29"/>
    <x v="0"/>
    <s v="Entrega directa"/>
    <s v="NA"/>
    <d v="2024-09-16T00:00:00"/>
    <d v="2024-09-16T00:00:00"/>
    <x v="0"/>
    <n v="0"/>
    <n v="0"/>
    <x v="1"/>
    <n v="25000"/>
    <m/>
  </r>
  <r>
    <d v="2024-09-16T00:00:00"/>
    <x v="8"/>
    <n v="38"/>
    <n v="2197"/>
    <x v="0"/>
    <s v="Roberto Villadiego"/>
    <s v="TECUCT"/>
    <s v="TECU bandeja de cables"/>
    <n v="1"/>
    <x v="4"/>
    <x v="1"/>
    <x v="1"/>
    <x v="0"/>
    <s v="Envioclick- Coordinadora"/>
    <s v="2731733 - 84150984435"/>
    <d v="2024-09-17T00:00:00"/>
    <d v="2024-09-18T00:00:00"/>
    <x v="0"/>
    <n v="1"/>
    <n v="2"/>
    <x v="1"/>
    <n v="25690"/>
    <m/>
  </r>
  <r>
    <d v="2024-09-19T00:00:00"/>
    <x v="8"/>
    <n v="38"/>
    <n v="2198"/>
    <x v="0"/>
    <s v="Juan Esteban Aguedlo"/>
    <s v="TECU2FNG"/>
    <s v="Electric Standing Desk GO Negro"/>
    <n v="1"/>
    <x v="0"/>
    <x v="0"/>
    <x v="3"/>
    <x v="0"/>
    <s v="Envioclick- Coordinadora"/>
    <s v="2736521 - 84150986467"/>
    <d v="2024-09-19T00:00:00"/>
    <d v="2024-09-20T00:00:00"/>
    <x v="0"/>
    <n v="0"/>
    <n v="1"/>
    <x v="1"/>
    <n v="41925"/>
    <m/>
  </r>
  <r>
    <d v="2024-09-19T00:00:00"/>
    <x v="8"/>
    <n v="38"/>
    <n v="2198"/>
    <x v="0"/>
    <s v="Juan Esteban Aguedlo"/>
    <s v="TECUTCO4C"/>
    <s v="Superficie Escritorio Caramelo 140x70 Clasico"/>
    <n v="1"/>
    <x v="1"/>
    <x v="0"/>
    <x v="3"/>
    <x v="0"/>
    <s v="Envioclick- Coordinadora"/>
    <s v="2736523 - 84150986469"/>
    <d v="2024-09-19T00:00:00"/>
    <d v="2024-09-20T00:00:00"/>
    <x v="0"/>
    <n v="0"/>
    <n v="1"/>
    <x v="1"/>
    <n v="24366"/>
    <m/>
  </r>
  <r>
    <d v="2024-09-19T00:00:00"/>
    <x v="8"/>
    <n v="38"/>
    <n v="2198"/>
    <x v="0"/>
    <s v="Juan Esteban Aguedlo"/>
    <s v="TECUACO"/>
    <s v="Archivador TECU  Caramelo"/>
    <n v="1"/>
    <x v="3"/>
    <x v="0"/>
    <x v="3"/>
    <x v="0"/>
    <s v="Envioclick- Envia"/>
    <s v="2736536 - 954101043323"/>
    <d v="2024-09-19T00:00:00"/>
    <d v="2024-09-20T00:00:00"/>
    <x v="0"/>
    <n v="0"/>
    <n v="1"/>
    <x v="1"/>
    <n v="52482"/>
    <m/>
  </r>
  <r>
    <d v="2024-09-19T00:00:00"/>
    <x v="8"/>
    <n v="38"/>
    <n v="2198"/>
    <x v="0"/>
    <s v="Juan Esteban Aguedlo"/>
    <s v="TECURCO"/>
    <s v="Repisa TECU  Caramelo"/>
    <n v="1"/>
    <x v="2"/>
    <x v="0"/>
    <x v="3"/>
    <x v="0"/>
    <s v="Envioclick- Coordinadora"/>
    <s v="envio con la Superficie"/>
    <d v="2024-09-19T00:00:00"/>
    <d v="2024-09-20T00:00:00"/>
    <x v="0"/>
    <n v="0"/>
    <n v="1"/>
    <x v="1"/>
    <n v="0"/>
    <m/>
  </r>
  <r>
    <d v="2024-09-20T00:00:00"/>
    <x v="8"/>
    <n v="38"/>
    <n v="2199"/>
    <x v="0"/>
    <s v="Jose David Soba Loaiza"/>
    <s v="TECU3FNPRO"/>
    <s v="Electric Standing Desk  PRO Negro"/>
    <n v="1"/>
    <x v="0"/>
    <x v="1"/>
    <x v="1"/>
    <x v="0"/>
    <s v="Envioclick- Coordinadora"/>
    <s v="2738977 - 84150987414"/>
    <d v="2024-09-20T00:00:00"/>
    <d v="2024-09-21T00:00:00"/>
    <x v="0"/>
    <n v="0"/>
    <n v="1"/>
    <x v="1"/>
    <n v="43277"/>
    <m/>
  </r>
  <r>
    <d v="2024-09-20T00:00:00"/>
    <x v="8"/>
    <n v="38"/>
    <n v="2199"/>
    <x v="0"/>
    <s v="Jose David Soba Loaiza"/>
    <s v="TECUTCO5C"/>
    <s v="Superficie Escritorio Caramelo 150x70 Clasico"/>
    <n v="1"/>
    <x v="1"/>
    <x v="1"/>
    <x v="1"/>
    <x v="0"/>
    <s v="Envioclick- Coordinadora"/>
    <s v="2738978 - 84150987415"/>
    <d v="2024-09-20T00:00:00"/>
    <d v="2024-09-21T00:00:00"/>
    <x v="0"/>
    <n v="0"/>
    <n v="1"/>
    <x v="1"/>
    <n v="24366"/>
    <m/>
  </r>
  <r>
    <d v="2024-09-23T00:00:00"/>
    <x v="8"/>
    <n v="39"/>
    <n v="2200"/>
    <x v="0"/>
    <s v="Juan Esteban Hoyos"/>
    <s v="TECURCC"/>
    <s v="Repisa TECU  Miel"/>
    <n v="1"/>
    <x v="2"/>
    <x v="4"/>
    <x v="39"/>
    <x v="0"/>
    <s v="Envioclick- Coordinadora"/>
    <s v="2743567 - 84150989004"/>
    <d v="2024-09-23T00:00:00"/>
    <d v="2024-09-24T00:00:00"/>
    <x v="0"/>
    <n v="0"/>
    <n v="1"/>
    <x v="3"/>
    <n v="23690"/>
    <m/>
  </r>
  <r>
    <d v="2024-09-23T00:00:00"/>
    <x v="8"/>
    <n v="39"/>
    <n v="2201"/>
    <x v="0"/>
    <s v="Yurani Salamanca"/>
    <s v="TECU2FBGO"/>
    <s v="Electric Standing Desk GO Blanco"/>
    <n v="1"/>
    <x v="0"/>
    <x v="1"/>
    <x v="1"/>
    <x v="0"/>
    <s v="Envioclick- Coordinadora"/>
    <s v="2743074 - 84150988773"/>
    <d v="2024-09-23T00:00:00"/>
    <d v="2024-09-24T00:00:00"/>
    <x v="0"/>
    <n v="0"/>
    <n v="1"/>
    <x v="1"/>
    <n v="41925"/>
    <m/>
  </r>
  <r>
    <d v="2024-09-23T00:00:00"/>
    <x v="8"/>
    <n v="39"/>
    <n v="2201"/>
    <x v="0"/>
    <s v="Yurani Salamanca"/>
    <s v="TECUTB4C"/>
    <s v="Superficie Escritorio Blanco (Niebla) 140x70 Clasico"/>
    <n v="1"/>
    <x v="1"/>
    <x v="1"/>
    <x v="1"/>
    <x v="0"/>
    <s v="Envioclick- Coordinadora"/>
    <s v="2743076 - 84150988774"/>
    <d v="2024-09-23T00:00:00"/>
    <d v="2024-09-24T00:00:00"/>
    <x v="0"/>
    <n v="0"/>
    <n v="1"/>
    <x v="1"/>
    <n v="24366"/>
    <m/>
  </r>
  <r>
    <d v="2024-09-23T00:00:00"/>
    <x v="8"/>
    <n v="39"/>
    <n v="2201"/>
    <x v="0"/>
    <s v="Yurani Salamanca"/>
    <m/>
    <s v="Servicio de instalacion"/>
    <n v="1"/>
    <x v="7"/>
    <x v="1"/>
    <x v="1"/>
    <x v="0"/>
    <s v="NA"/>
    <s v="NA"/>
    <s v="NA"/>
    <s v="NA"/>
    <x v="0"/>
    <e v="#VALUE!"/>
    <e v="#VALUE!"/>
    <x v="4"/>
    <m/>
    <m/>
  </r>
  <r>
    <d v="2024-09-23T00:00:00"/>
    <x v="8"/>
    <n v="39"/>
    <n v="2202"/>
    <x v="0"/>
    <s v="Josdin Daniel Pinzon"/>
    <s v="TECU3FNPRO"/>
    <s v="Electric Standing Desk  PRO Negro"/>
    <n v="1"/>
    <x v="0"/>
    <x v="1"/>
    <x v="1"/>
    <x v="0"/>
    <s v="Envioclick- Coordinadora"/>
    <s v="2744030 - 84150989155"/>
    <d v="2024-09-23T00:00:00"/>
    <d v="2024-09-24T00:00:00"/>
    <x v="0"/>
    <n v="0"/>
    <n v="1"/>
    <x v="1"/>
    <n v="43277"/>
    <m/>
  </r>
  <r>
    <d v="2024-09-23T00:00:00"/>
    <x v="8"/>
    <n v="39"/>
    <n v="2202"/>
    <x v="0"/>
    <s v="Josdin Daniel Pinzon"/>
    <s v="TECUTCO8C"/>
    <s v="Superficie Escritorio Caramelo 180x70 Clasico"/>
    <n v="1"/>
    <x v="1"/>
    <x v="1"/>
    <x v="1"/>
    <x v="0"/>
    <s v="Envioclick- Coordinadora"/>
    <s v="2744031 - 84150989156"/>
    <d v="2024-09-23T00:00:00"/>
    <d v="2024-09-24T00:00:00"/>
    <x v="0"/>
    <n v="0"/>
    <n v="1"/>
    <x v="1"/>
    <n v="27069"/>
    <m/>
  </r>
  <r>
    <d v="2024-09-23T00:00:00"/>
    <x v="8"/>
    <n v="39"/>
    <n v="2202"/>
    <x v="0"/>
    <s v="Josdin Daniel Pinzon"/>
    <s v="TECUCT"/>
    <s v="TECU bandeja de cables"/>
    <n v="1"/>
    <x v="4"/>
    <x v="1"/>
    <x v="1"/>
    <x v="0"/>
    <s v="Envioclick- Coordinadora"/>
    <s v="2744139 - 84150989214"/>
    <d v="2024-09-23T00:00:00"/>
    <d v="2024-09-24T00:00:00"/>
    <x v="0"/>
    <n v="0"/>
    <n v="1"/>
    <x v="1"/>
    <n v="25593"/>
    <m/>
  </r>
  <r>
    <d v="2024-09-23T00:00:00"/>
    <x v="8"/>
    <n v="39"/>
    <n v="2203"/>
    <x v="0"/>
    <s v="Daniel Zapata Ramirez"/>
    <s v="TECU2FGGO"/>
    <s v="Electric Standing Desk GO Gris"/>
    <n v="1"/>
    <x v="0"/>
    <x v="0"/>
    <x v="12"/>
    <x v="0"/>
    <s v="Envioclick- Coordinadora"/>
    <s v="2744046 - 84150989163"/>
    <d v="2024-09-23T00:00:00"/>
    <d v="2024-09-24T00:00:00"/>
    <x v="0"/>
    <n v="0"/>
    <n v="1"/>
    <x v="1"/>
    <n v="41925"/>
    <m/>
  </r>
  <r>
    <d v="2024-09-23T00:00:00"/>
    <x v="8"/>
    <n v="39"/>
    <n v="2203"/>
    <x v="0"/>
    <s v="Daniel Zapata Ramirez"/>
    <s v="TECUTRN4C"/>
    <s v="Superficie Escritorio Roble Negro 140x70 Clasico"/>
    <n v="1"/>
    <x v="1"/>
    <x v="0"/>
    <x v="12"/>
    <x v="0"/>
    <s v="Envioclick- Coordinadora"/>
    <s v="2744047 - 84150989164"/>
    <d v="2024-09-23T00:00:00"/>
    <d v="2024-09-24T00:00:00"/>
    <x v="0"/>
    <n v="0"/>
    <n v="1"/>
    <x v="1"/>
    <n v="24366"/>
    <m/>
  </r>
  <r>
    <d v="2024-09-23T00:00:00"/>
    <x v="8"/>
    <n v="39"/>
    <n v="2204"/>
    <x v="0"/>
    <s v="FRANCYS LOPEZ"/>
    <s v="TECU2FNG"/>
    <s v="Electric Standing Desk GO Negro"/>
    <n v="1"/>
    <x v="0"/>
    <x v="0"/>
    <x v="3"/>
    <x v="0"/>
    <s v="Envioclick- Coordinadora"/>
    <s v="2744056 - 84150989168"/>
    <d v="2024-09-23T00:00:00"/>
    <d v="2024-09-24T00:00:00"/>
    <x v="0"/>
    <n v="0"/>
    <n v="1"/>
    <x v="1"/>
    <n v="41925"/>
    <m/>
  </r>
  <r>
    <d v="2024-09-23T00:00:00"/>
    <x v="8"/>
    <n v="39"/>
    <n v="2204"/>
    <x v="0"/>
    <s v="FRANCYS LOPEZ"/>
    <s v="TECUROD"/>
    <s v="Rodachines con freno para Standing desk x 4 UN"/>
    <n v="1"/>
    <x v="6"/>
    <x v="0"/>
    <x v="3"/>
    <x v="0"/>
    <s v="Envioclick- Coordinadora"/>
    <s v="2744103 - 84150989198"/>
    <d v="2024-09-23T00:00:00"/>
    <d v="2024-09-24T00:00:00"/>
    <x v="0"/>
    <n v="0"/>
    <n v="1"/>
    <x v="1"/>
    <n v="24128"/>
    <m/>
  </r>
  <r>
    <d v="2024-09-23T00:00:00"/>
    <x v="8"/>
    <n v="39"/>
    <n v="2205"/>
    <x v="0"/>
    <s v="Serrano Martínez CMA SAS"/>
    <s v="TECUDSN"/>
    <s v="TECU Desk Stool Negra Silla ajustable"/>
    <n v="3"/>
    <x v="5"/>
    <x v="1"/>
    <x v="1"/>
    <x v="0"/>
    <s v="Envioclick- Coordinadora"/>
    <s v="84150989276 - 84150989280 - 84150989285"/>
    <d v="2024-09-23T00:00:00"/>
    <d v="2024-09-25T00:00:00"/>
    <x v="0"/>
    <n v="0"/>
    <n v="2"/>
    <x v="1"/>
    <n v="80610"/>
    <m/>
  </r>
  <r>
    <d v="2024-09-24T00:00:00"/>
    <x v="8"/>
    <n v="39"/>
    <n v="2206"/>
    <x v="0"/>
    <s v="Claudia Vanegas"/>
    <s v="TECU3FNPRO"/>
    <s v="Electric Standing Desk  PRO Negro"/>
    <n v="1"/>
    <x v="0"/>
    <x v="1"/>
    <x v="1"/>
    <x v="0"/>
    <s v="Envioclick- Coordinadora"/>
    <s v="2752271 - 84150990006"/>
    <d v="2024-09-24T00:00:00"/>
    <d v="2024-09-25T00:00:00"/>
    <x v="0"/>
    <n v="0"/>
    <n v="1"/>
    <x v="1"/>
    <n v="43277"/>
    <m/>
  </r>
  <r>
    <d v="2024-09-24T00:00:00"/>
    <x v="8"/>
    <n v="39"/>
    <n v="2206"/>
    <x v="0"/>
    <s v="Claudia Vanegas"/>
    <s v="TECUTCO6C"/>
    <s v="Superficie Escritorio Caramelo 160x70 Clasico"/>
    <n v="1"/>
    <x v="1"/>
    <x v="1"/>
    <x v="1"/>
    <x v="0"/>
    <s v="Envioclick- Coordinadora"/>
    <s v="2752272 - 84150990007"/>
    <d v="2024-09-24T00:00:00"/>
    <d v="2024-09-25T00:00:00"/>
    <x v="0"/>
    <n v="0"/>
    <n v="1"/>
    <x v="1"/>
    <n v="24366"/>
    <m/>
  </r>
  <r>
    <d v="2024-09-24T00:00:00"/>
    <x v="8"/>
    <n v="39"/>
    <n v="2207"/>
    <x v="0"/>
    <s v="Daniela Rodríguez Daza"/>
    <s v="TECU2FNG"/>
    <s v="Electric Standing Desk GO Negro"/>
    <n v="1"/>
    <x v="0"/>
    <x v="1"/>
    <x v="1"/>
    <x v="0"/>
    <s v="Envioclick- Coordinadora"/>
    <s v="2758558 - 84150991301"/>
    <d v="2024-09-25T00:00:00"/>
    <d v="2024-09-26T00:00:00"/>
    <x v="0"/>
    <n v="1"/>
    <n v="2"/>
    <x v="1"/>
    <n v="41925"/>
    <m/>
  </r>
  <r>
    <d v="2024-09-24T00:00:00"/>
    <x v="8"/>
    <n v="39"/>
    <n v="2207"/>
    <x v="0"/>
    <s v="Daniela Rodríguez Daza"/>
    <s v="TECUTRN2C"/>
    <s v="Superficie Escritorio Roble Negro 120x70 Clasico Small"/>
    <n v="1"/>
    <x v="1"/>
    <x v="1"/>
    <x v="1"/>
    <x v="0"/>
    <s v="Envioclick- Coordinadora"/>
    <s v="2758559 - 84150991302"/>
    <d v="2024-09-25T00:00:00"/>
    <d v="2024-09-26T00:00:00"/>
    <x v="0"/>
    <n v="1"/>
    <n v="2"/>
    <x v="1"/>
    <n v="24366"/>
    <m/>
  </r>
  <r>
    <d v="2024-09-24T00:00:00"/>
    <x v="8"/>
    <n v="39"/>
    <n v="2207"/>
    <x v="0"/>
    <s v="Daniela Rodríguez Daza"/>
    <s v="TECU2FNG"/>
    <s v="Electric Standing Desk GO Negro"/>
    <n v="1"/>
    <x v="0"/>
    <x v="1"/>
    <x v="1"/>
    <x v="0"/>
    <s v="Envioclick- Coordinadora"/>
    <s v="2757982 - 84150991021"/>
    <d v="2024-09-25T00:00:00"/>
    <d v="2024-09-26T00:00:00"/>
    <x v="0"/>
    <n v="1"/>
    <n v="2"/>
    <x v="1"/>
    <n v="41925"/>
    <m/>
  </r>
  <r>
    <d v="2024-09-24T00:00:00"/>
    <x v="8"/>
    <n v="39"/>
    <n v="2207"/>
    <x v="0"/>
    <s v="Daniela Rodríguez Daza"/>
    <s v="TECUTRN6C"/>
    <s v="Superficie Escritorio Roble Negro 160x70 Clasico"/>
    <n v="1"/>
    <x v="1"/>
    <x v="1"/>
    <x v="1"/>
    <x v="0"/>
    <s v="Envioclick- Coordinadora"/>
    <s v="2757983 - 84150991023"/>
    <d v="2024-09-25T00:00:00"/>
    <d v="2024-09-26T00:00:00"/>
    <x v="0"/>
    <n v="1"/>
    <n v="2"/>
    <x v="1"/>
    <n v="24366"/>
    <m/>
  </r>
  <r>
    <d v="2024-09-25T00:00:00"/>
    <x v="8"/>
    <n v="39"/>
    <n v="2208"/>
    <x v="0"/>
    <s v="Jeison Velasquez Sepúlveda"/>
    <s v="TECU3FGPRO"/>
    <s v="Electric Standing Desk  PRO Gris"/>
    <n v="1"/>
    <x v="0"/>
    <x v="0"/>
    <x v="3"/>
    <x v="0"/>
    <s v="Envioclick- Coordinadora"/>
    <s v="2758015 - 84150991041"/>
    <d v="2024-09-25T00:00:00"/>
    <d v="2024-09-26T00:00:00"/>
    <x v="0"/>
    <n v="0"/>
    <n v="1"/>
    <x v="1"/>
    <n v="43277"/>
    <m/>
  </r>
  <r>
    <d v="2024-09-25T00:00:00"/>
    <x v="8"/>
    <n v="39"/>
    <n v="2208"/>
    <x v="0"/>
    <s v="Jeison Velasquez Sepúlveda"/>
    <s v="TECUTCC6C"/>
    <s v="Superficie Escritorio Miel 160x70 Clasico"/>
    <n v="1"/>
    <x v="1"/>
    <x v="0"/>
    <x v="3"/>
    <x v="0"/>
    <s v="Envioclick- Coordinadora"/>
    <s v="2758017 - 84150991042"/>
    <d v="2024-09-25T00:00:00"/>
    <d v="2024-09-26T00:00:00"/>
    <x v="0"/>
    <n v="0"/>
    <n v="1"/>
    <x v="1"/>
    <n v="24366"/>
    <m/>
  </r>
  <r>
    <d v="2024-09-26T00:00:00"/>
    <x v="8"/>
    <n v="39"/>
    <n v="2209"/>
    <x v="0"/>
    <s v="Yurani Salamanca"/>
    <s v="TECUAB"/>
    <s v="Archivador TECU  Blanco (Niebla)"/>
    <n v="1"/>
    <x v="3"/>
    <x v="1"/>
    <x v="1"/>
    <x v="0"/>
    <s v="Envioclick- Envia"/>
    <s v="2760033 - 954101048146"/>
    <d v="2024-09-26T00:00:00"/>
    <d v="2024-09-27T00:00:00"/>
    <x v="0"/>
    <n v="0"/>
    <n v="1"/>
    <x v="1"/>
    <n v="43847"/>
    <m/>
  </r>
  <r>
    <d v="2024-09-30T00:00:00"/>
    <x v="8"/>
    <n v="40"/>
    <n v="2210"/>
    <x v="0"/>
    <s v="Julian Cuevas"/>
    <s v="TECU3FBRO"/>
    <s v="Electric Standing Desk  PRO Blanco"/>
    <n v="1"/>
    <x v="0"/>
    <x v="1"/>
    <x v="1"/>
    <x v="0"/>
    <s v="Envioclick- Coordinadora"/>
    <s v="2770251 - 84150996101"/>
    <d v="2024-10-01T00:00:00"/>
    <d v="2024-10-02T00:00:00"/>
    <x v="0"/>
    <n v="1"/>
    <n v="2"/>
    <x v="1"/>
    <n v="43277"/>
    <m/>
  </r>
  <r>
    <d v="2024-09-30T00:00:00"/>
    <x v="8"/>
    <n v="40"/>
    <n v="2210"/>
    <x v="0"/>
    <s v="Julian Cuevas"/>
    <s v="TECU-BMUSB"/>
    <s v="Superficie Escritorio Music Blanco"/>
    <n v="1"/>
    <x v="1"/>
    <x v="1"/>
    <x v="1"/>
    <x v="0"/>
    <s v="Envioclick- Coordinadora"/>
    <s v="2770253 - 84150996102 / 2770260 - 84150996104"/>
    <d v="2024-10-01T00:00:00"/>
    <d v="2024-10-03T00:00:00"/>
    <x v="0"/>
    <n v="1"/>
    <n v="3"/>
    <x v="1"/>
    <n v="66722"/>
    <m/>
  </r>
  <r>
    <d v="2024-09-30T00:00:00"/>
    <x v="8"/>
    <n v="40"/>
    <n v="2210"/>
    <x v="0"/>
    <s v="Julian Cuevas"/>
    <m/>
    <s v="Servicio de instalacion"/>
    <n v="1"/>
    <x v="7"/>
    <x v="1"/>
    <x v="1"/>
    <x v="2"/>
    <s v="NA"/>
    <s v="NA"/>
    <s v="NA"/>
    <s v="NA"/>
    <x v="2"/>
    <m/>
    <m/>
    <x v="5"/>
    <m/>
    <m/>
  </r>
  <r>
    <d v="2024-09-30T00:00:00"/>
    <x v="8"/>
    <n v="40"/>
    <n v="2211"/>
    <x v="0"/>
    <s v="Daniel Castro"/>
    <s v="TECUCT"/>
    <s v="TECU bandeja de cables"/>
    <n v="1"/>
    <x v="4"/>
    <x v="0"/>
    <x v="3"/>
    <x v="0"/>
    <s v="Envioclick- Coordinadora"/>
    <s v="2766994 - 84150994692"/>
    <d v="2024-09-30T00:00:00"/>
    <d v="2024-10-01T00:00:00"/>
    <x v="0"/>
    <n v="0"/>
    <n v="1"/>
    <x v="1"/>
    <n v="25593"/>
    <m/>
  </r>
  <r>
    <d v="2024-09-30T00:00:00"/>
    <x v="8"/>
    <n v="40"/>
    <n v="2212"/>
    <x v="0"/>
    <s v="Michael Tagen"/>
    <s v="TECU2FNG"/>
    <s v="Electric Standing Desk GO Negro"/>
    <n v="1"/>
    <x v="0"/>
    <x v="0"/>
    <x v="3"/>
    <x v="0"/>
    <s v="Envioclick- Coordinadora"/>
    <s v="2770940 - 84150996462"/>
    <d v="2024-09-30T00:00:00"/>
    <d v="2024-10-02T00:00:00"/>
    <x v="0"/>
    <n v="0"/>
    <n v="2"/>
    <x v="1"/>
    <n v="27245"/>
    <m/>
  </r>
  <r>
    <d v="2024-09-30T00:00:00"/>
    <x v="8"/>
    <n v="40"/>
    <n v="2212"/>
    <x v="0"/>
    <s v="Michael Tagen"/>
    <s v="TECUTCC4C"/>
    <s v="Superficie Escritorio Miel 140x70 Clasico"/>
    <n v="1"/>
    <x v="1"/>
    <x v="0"/>
    <x v="3"/>
    <x v="0"/>
    <s v="Envioclick- Coordinadora"/>
    <s v="2770931 - 84150996455"/>
    <d v="2024-09-30T00:00:00"/>
    <d v="2024-10-02T00:00:00"/>
    <x v="0"/>
    <n v="0"/>
    <n v="2"/>
    <x v="1"/>
    <n v="24366"/>
    <m/>
  </r>
  <r>
    <d v="2024-10-01T00:00:00"/>
    <x v="9"/>
    <n v="40"/>
    <n v="2213"/>
    <x v="0"/>
    <s v="Nathalia Ortiz"/>
    <s v="TECU3FGPRO"/>
    <s v="Electric Standing Desk  PRO Gris"/>
    <n v="1"/>
    <x v="0"/>
    <x v="0"/>
    <x v="10"/>
    <x v="0"/>
    <s v="Envioclick- Coordinadora"/>
    <s v="2770994 - 84150996488"/>
    <d v="2024-10-01T00:00:00"/>
    <d v="2024-10-02T00:00:00"/>
    <x v="0"/>
    <n v="0"/>
    <n v="1"/>
    <x v="1"/>
    <n v="43277"/>
    <m/>
  </r>
  <r>
    <d v="2024-10-01T00:00:00"/>
    <x v="9"/>
    <n v="40"/>
    <n v="2213"/>
    <x v="0"/>
    <s v="Nathalia Ortiz"/>
    <s v="TECUTCC2C"/>
    <s v="Superficie Escritorio Miel 120x70 Clasico Small"/>
    <n v="1"/>
    <x v="1"/>
    <x v="0"/>
    <x v="10"/>
    <x v="0"/>
    <s v="Envioclick- Coordinadora"/>
    <s v="2770995 - 84150996489"/>
    <d v="2024-10-01T00:00:00"/>
    <d v="2024-10-02T00:00:00"/>
    <x v="0"/>
    <n v="0"/>
    <n v="1"/>
    <x v="1"/>
    <n v="29097"/>
    <m/>
  </r>
  <r>
    <d v="2024-10-01T00:00:00"/>
    <x v="9"/>
    <n v="40"/>
    <n v="2214"/>
    <x v="0"/>
    <s v="Nancy Ramirez"/>
    <s v="TECU2FNG"/>
    <s v="Electric Standing Desk GO Negro"/>
    <n v="1"/>
    <x v="0"/>
    <x v="1"/>
    <x v="1"/>
    <x v="0"/>
    <s v="Envioclick- Coordinadora"/>
    <s v="2771100 - 84150996547"/>
    <d v="2024-10-01T00:00:00"/>
    <d v="2024-10-02T00:00:00"/>
    <x v="0"/>
    <n v="0"/>
    <n v="1"/>
    <x v="1"/>
    <n v="41925"/>
    <m/>
  </r>
  <r>
    <d v="2024-10-01T00:00:00"/>
    <x v="9"/>
    <n v="40"/>
    <n v="2214"/>
    <x v="0"/>
    <s v="Nancy Ramirez"/>
    <s v="TECUTCO2C"/>
    <s v="Superficie Escritorio Caramelo 120x70 Clasico Small"/>
    <n v="1"/>
    <x v="1"/>
    <x v="1"/>
    <x v="1"/>
    <x v="0"/>
    <s v="Envioclick- Coordinadora"/>
    <s v="2771101 - 84150996548"/>
    <d v="2024-10-01T00:00:00"/>
    <d v="2024-10-02T00:00:00"/>
    <x v="0"/>
    <n v="0"/>
    <n v="1"/>
    <x v="1"/>
    <n v="24366"/>
    <m/>
  </r>
  <r>
    <d v="2024-10-02T00:00:00"/>
    <x v="9"/>
    <n v="40"/>
    <n v="2215"/>
    <x v="0"/>
    <s v="Jose Perez"/>
    <s v="TECURCC"/>
    <s v="Repisa TECU  Miel"/>
    <n v="1"/>
    <x v="2"/>
    <x v="2"/>
    <x v="2"/>
    <x v="0"/>
    <s v="Envioclick- Coordinadora"/>
    <s v="2772634 - 84150997166"/>
    <d v="2024-10-02T00:00:00"/>
    <d v="2024-10-05T00:00:00"/>
    <x v="0"/>
    <n v="0"/>
    <n v="3"/>
    <x v="1"/>
    <n v="38279"/>
    <m/>
  </r>
  <r>
    <d v="2024-10-02T00:00:00"/>
    <x v="9"/>
    <n v="40"/>
    <n v="2216"/>
    <x v="0"/>
    <s v="Laura Melissa Arciniegas"/>
    <s v="TECUBLS"/>
    <s v="TECU Laptop Stand B"/>
    <n v="2"/>
    <x v="4"/>
    <x v="1"/>
    <x v="1"/>
    <x v="0"/>
    <s v="Envioclick- Coordinadora"/>
    <s v="2773174 - 84150997431"/>
    <d v="2024-10-02T00:00:00"/>
    <d v="2024-10-03T00:00:00"/>
    <x v="0"/>
    <n v="0"/>
    <n v="1"/>
    <x v="1"/>
    <n v="24805"/>
    <m/>
  </r>
  <r>
    <d v="2024-10-02T00:00:00"/>
    <x v="9"/>
    <n v="40"/>
    <n v="2217"/>
    <x v="0"/>
    <s v="Nathalia Ortiz"/>
    <s v="TECUACC"/>
    <s v="Archivador TECU  Miel"/>
    <n v="1"/>
    <x v="3"/>
    <x v="0"/>
    <x v="10"/>
    <x v="0"/>
    <s v="Envioclick- Coordinadora"/>
    <s v="2772690 - 954101052611"/>
    <d v="2024-10-02T00:00:00"/>
    <d v="2024-10-03T00:00:00"/>
    <x v="0"/>
    <n v="0"/>
    <n v="1"/>
    <x v="1"/>
    <n v="52482"/>
    <m/>
  </r>
  <r>
    <d v="2024-10-02T00:00:00"/>
    <x v="9"/>
    <n v="40"/>
    <n v="2218"/>
    <x v="0"/>
    <s v="Edwin Antonio Torres Martinez"/>
    <s v="TECU2FGGO"/>
    <s v="Electric Standing Desk GO Gris"/>
    <n v="1"/>
    <x v="0"/>
    <x v="4"/>
    <x v="5"/>
    <x v="0"/>
    <s v="Envioclick- Coordinadora"/>
    <s v="2778249 - 84150999691"/>
    <d v="2024-10-04T00:00:00"/>
    <d v="2024-10-05T00:00:00"/>
    <x v="0"/>
    <n v="2"/>
    <n v="3"/>
    <x v="1"/>
    <n v="41925"/>
    <m/>
  </r>
  <r>
    <d v="2024-10-02T00:00:00"/>
    <x v="9"/>
    <n v="40"/>
    <n v="2218"/>
    <x v="0"/>
    <s v="Edwin Antonio Torres Martinez"/>
    <s v="TECUTCO2C"/>
    <s v="Superficie Escritorio Caramelo 120x70 Clasico Small"/>
    <n v="1"/>
    <x v="1"/>
    <x v="4"/>
    <x v="5"/>
    <x v="0"/>
    <s v="Envioclick- Coordinadora"/>
    <s v="2778250 - 84150999692"/>
    <d v="2024-10-04T00:00:00"/>
    <d v="2024-10-05T00:00:00"/>
    <x v="0"/>
    <n v="2"/>
    <n v="3"/>
    <x v="1"/>
    <n v="24366"/>
    <m/>
  </r>
  <r>
    <d v="2024-10-03T00:00:00"/>
    <x v="9"/>
    <n v="40"/>
    <n v="2219"/>
    <x v="0"/>
    <s v="Miguel Sanabria"/>
    <s v="TECU3FNPRO"/>
    <s v="Electric Standing Desk  PRO Negro"/>
    <n v="1"/>
    <x v="0"/>
    <x v="10"/>
    <x v="47"/>
    <x v="0"/>
    <s v="Envioclick- Coordinadora"/>
    <s v="2777326 - 84150999233"/>
    <d v="2024-10-04T00:00:00"/>
    <d v="2024-10-05T00:00:00"/>
    <x v="0"/>
    <n v="1"/>
    <n v="2"/>
    <x v="3"/>
    <n v="35331"/>
    <m/>
  </r>
  <r>
    <d v="2024-10-03T00:00:00"/>
    <x v="9"/>
    <n v="40"/>
    <n v="2219"/>
    <x v="0"/>
    <s v="Miguel Sanabria"/>
    <s v="TECUTCO2C"/>
    <s v="Superficie Escritorio Caramelo 120x70 Clasico Small"/>
    <n v="1"/>
    <x v="1"/>
    <x v="10"/>
    <x v="47"/>
    <x v="0"/>
    <s v="Envioclick- Coordinadora"/>
    <s v="2777327 - 84150999234"/>
    <d v="2024-10-04T00:00:00"/>
    <d v="2024-10-05T00:00:00"/>
    <x v="0"/>
    <n v="1"/>
    <n v="2"/>
    <x v="3"/>
    <n v="18361"/>
    <m/>
  </r>
  <r>
    <d v="2024-10-04T00:00:00"/>
    <x v="9"/>
    <n v="40"/>
    <n v="2220"/>
    <x v="0"/>
    <s v="Aura Maria Cardenas Bustos"/>
    <s v="TECU3FNPRO"/>
    <s v="Electric Standing Desk  PRO Negro"/>
    <n v="1"/>
    <x v="0"/>
    <x v="14"/>
    <x v="29"/>
    <x v="0"/>
    <s v="Entrega directa"/>
    <s v="NA"/>
    <d v="2024-10-04T00:00:00"/>
    <d v="2024-10-04T00:00:00"/>
    <x v="0"/>
    <n v="0"/>
    <n v="0"/>
    <x v="1"/>
    <n v="0"/>
    <m/>
  </r>
  <r>
    <d v="2024-10-04T00:00:00"/>
    <x v="9"/>
    <n v="40"/>
    <n v="2220"/>
    <x v="0"/>
    <s v="Aura Maria Cardenas Bustos"/>
    <s v="TECUTRN2C"/>
    <s v="Superficie Escritorio Roble Negro 120x70 Clasico Small"/>
    <n v="1"/>
    <x v="1"/>
    <x v="14"/>
    <x v="29"/>
    <x v="0"/>
    <s v="Entrega directa"/>
    <s v="NA"/>
    <d v="2024-10-04T00:00:00"/>
    <d v="2024-10-04T00:00:00"/>
    <x v="0"/>
    <n v="0"/>
    <n v="0"/>
    <x v="1"/>
    <n v="0"/>
    <m/>
  </r>
  <r>
    <d v="2024-10-07T00:00:00"/>
    <x v="9"/>
    <n v="41"/>
    <n v="2221"/>
    <x v="0"/>
    <s v="Jesus Falla"/>
    <s v="TECU2FGGO"/>
    <s v="Electric Standing Desk GO Gris"/>
    <n v="1"/>
    <x v="0"/>
    <x v="1"/>
    <x v="1"/>
    <x v="0"/>
    <s v="Envioclick- Coordinadora"/>
    <s v="2782117 - 84151000750"/>
    <d v="2024-10-07T00:00:00"/>
    <d v="2024-10-08T00:00:00"/>
    <x v="0"/>
    <n v="0"/>
    <n v="1"/>
    <x v="1"/>
    <n v="41925"/>
    <m/>
  </r>
  <r>
    <d v="2024-10-07T00:00:00"/>
    <x v="9"/>
    <n v="41"/>
    <n v="2221"/>
    <x v="0"/>
    <s v="Jesus Falla"/>
    <s v="TECUTCO4C"/>
    <s v="Superficie Escritorio Caramelo 140x70 Clasico"/>
    <n v="1"/>
    <x v="1"/>
    <x v="1"/>
    <x v="1"/>
    <x v="0"/>
    <s v="Envioclick- Coordinadora"/>
    <s v="2782118 - 84151000752"/>
    <d v="2024-10-07T00:00:00"/>
    <d v="2024-10-08T00:00:00"/>
    <x v="0"/>
    <n v="0"/>
    <n v="1"/>
    <x v="1"/>
    <n v="24366"/>
    <m/>
  </r>
  <r>
    <d v="2024-10-07T00:00:00"/>
    <x v="9"/>
    <n v="41"/>
    <n v="2222"/>
    <x v="0"/>
    <s v="Sebastian Betancur"/>
    <s v="TECU2FNG"/>
    <s v="Electric Standing Desk GO Negro"/>
    <n v="1"/>
    <x v="0"/>
    <x v="0"/>
    <x v="3"/>
    <x v="0"/>
    <s v="Envioclick- Coordinadora"/>
    <s v="2783305 - 84151001335"/>
    <d v="2024-10-07T00:00:00"/>
    <d v="2024-10-08T00:00:00"/>
    <x v="0"/>
    <n v="0"/>
    <n v="1"/>
    <x v="1"/>
    <n v="41925"/>
    <m/>
  </r>
  <r>
    <d v="2024-10-07T00:00:00"/>
    <x v="9"/>
    <n v="41"/>
    <n v="2222"/>
    <x v="0"/>
    <s v="Sebastian Betancur"/>
    <s v="TECUTCO4C"/>
    <s v="Superficie Escritorio Caramelo 140x70 Clasico"/>
    <n v="1"/>
    <x v="1"/>
    <x v="0"/>
    <x v="3"/>
    <x v="0"/>
    <s v="Envioclick- Coordinadora"/>
    <s v="2783306 - 84151001336"/>
    <d v="2024-10-07T00:00:00"/>
    <d v="2024-10-08T00:00:00"/>
    <x v="0"/>
    <n v="0"/>
    <n v="1"/>
    <x v="1"/>
    <n v="24366"/>
    <m/>
  </r>
  <r>
    <d v="2024-10-08T00:00:00"/>
    <x v="9"/>
    <n v="41"/>
    <n v="2223"/>
    <x v="0"/>
    <s v="Ana Maria Nossa Gonzalez"/>
    <s v="TECU3FNPRO"/>
    <s v="Electric Standing Desk  PRO Negro"/>
    <n v="1"/>
    <x v="0"/>
    <x v="10"/>
    <x v="26"/>
    <x v="0"/>
    <s v="Envioclick- Coordinadora"/>
    <s v="2785503 - 84151002151"/>
    <d v="2024-10-08T00:00:00"/>
    <d v="2024-10-09T00:00:00"/>
    <x v="0"/>
    <n v="0"/>
    <n v="1"/>
    <x v="1"/>
    <n v="35331"/>
    <m/>
  </r>
  <r>
    <d v="2024-10-08T00:00:00"/>
    <x v="9"/>
    <n v="41"/>
    <n v="2223"/>
    <x v="0"/>
    <s v="Ana Maria Nossa Gonzalez"/>
    <s v="TECUTCO2C"/>
    <s v="Superficie Escritorio Caramelo 120x70 Clasico Small"/>
    <n v="1"/>
    <x v="1"/>
    <x v="10"/>
    <x v="26"/>
    <x v="0"/>
    <s v="Envioclick- Coordinadora"/>
    <s v="2785505 - 84151002152"/>
    <d v="2024-10-08T00:00:00"/>
    <d v="2024-10-09T00:00:00"/>
    <x v="0"/>
    <n v="0"/>
    <n v="1"/>
    <x v="1"/>
    <n v="18361"/>
    <m/>
  </r>
  <r>
    <d v="2024-10-08T00:00:00"/>
    <x v="9"/>
    <n v="41"/>
    <n v="2224"/>
    <x v="0"/>
    <s v="Sebastian Valencia"/>
    <s v="TECU3FNPRO"/>
    <s v="Electric Standing Desk  PRO Negro"/>
    <n v="1"/>
    <x v="0"/>
    <x v="0"/>
    <x v="38"/>
    <x v="0"/>
    <s v="Envioclick- Coordinadora"/>
    <s v="2785495 - 84151002149"/>
    <d v="2024-10-08T00:00:00"/>
    <d v="2024-10-09T00:00:00"/>
    <x v="0"/>
    <n v="0"/>
    <n v="1"/>
    <x v="3"/>
    <n v="43277"/>
    <m/>
  </r>
  <r>
    <d v="2024-10-08T00:00:00"/>
    <x v="9"/>
    <n v="41"/>
    <n v="2224"/>
    <x v="0"/>
    <s v="Sebastian Valencia"/>
    <s v="TECUTCO4C"/>
    <s v="Superficie Escritorio Caramelo 140x70 Clasico"/>
    <n v="1"/>
    <x v="1"/>
    <x v="0"/>
    <x v="38"/>
    <x v="0"/>
    <s v="Envioclick- Coordinadora"/>
    <s v="2785496 - 84151002150"/>
    <d v="2024-10-08T00:00:00"/>
    <d v="2024-10-09T00:00:00"/>
    <x v="0"/>
    <n v="0"/>
    <n v="1"/>
    <x v="3"/>
    <n v="24366"/>
    <m/>
  </r>
  <r>
    <d v="2024-10-10T00:00:00"/>
    <x v="9"/>
    <n v="41"/>
    <n v="2225"/>
    <x v="0"/>
    <s v="Andrés Camilo Marín González"/>
    <s v="TECURCO"/>
    <s v="Repisa TECU  Caramelo"/>
    <n v="1"/>
    <x v="2"/>
    <x v="19"/>
    <x v="43"/>
    <x v="0"/>
    <s v="Envioclick- Coordinadora"/>
    <s v="2792054 - 84151004615"/>
    <d v="2024-10-10T00:00:00"/>
    <d v="2024-10-11T00:00:00"/>
    <x v="0"/>
    <n v="0"/>
    <n v="1"/>
    <x v="1"/>
    <n v="15073"/>
    <m/>
  </r>
  <r>
    <d v="2024-10-15T00:00:00"/>
    <x v="9"/>
    <n v="42"/>
    <n v="2226"/>
    <x v="0"/>
    <s v="Luis Fernando Trigueros"/>
    <s v="TECURN"/>
    <s v="Repisa TECU  Negro (Wengue)"/>
    <n v="1"/>
    <x v="2"/>
    <x v="4"/>
    <x v="39"/>
    <x v="0"/>
    <s v="Envioclick- Coordinadora"/>
    <s v="2797908 - 84151006579"/>
    <d v="2024-10-15T00:00:00"/>
    <d v="2024-10-16T00:00:00"/>
    <x v="0"/>
    <n v="0"/>
    <n v="1"/>
    <x v="3"/>
    <n v="23690"/>
    <m/>
  </r>
  <r>
    <d v="2024-10-15T00:00:00"/>
    <x v="9"/>
    <n v="42"/>
    <n v="2227"/>
    <x v="0"/>
    <s v="Laura Castillo"/>
    <s v="TECU2FNG"/>
    <s v="Electric Standing Desk GO Negro"/>
    <n v="1"/>
    <x v="0"/>
    <x v="1"/>
    <x v="1"/>
    <x v="0"/>
    <s v="Envioclick- Coordinadora"/>
    <s v="2797915 - 84151006583"/>
    <d v="2024-10-15T00:00:00"/>
    <d v="2024-10-16T00:00:00"/>
    <x v="0"/>
    <n v="0"/>
    <n v="1"/>
    <x v="1"/>
    <n v="41925"/>
    <m/>
  </r>
  <r>
    <d v="2024-10-15T00:00:00"/>
    <x v="9"/>
    <n v="42"/>
    <n v="2227"/>
    <x v="0"/>
    <s v="Laura Castillo"/>
    <s v="TECUTCO2C"/>
    <s v="Superficie Escritorio Caramelo 120x70 Clasico Small"/>
    <n v="1"/>
    <x v="1"/>
    <x v="1"/>
    <x v="1"/>
    <x v="0"/>
    <s v="Envioclick- Coordinadora"/>
    <s v="2797917 - 84151006584"/>
    <d v="2024-10-15T00:00:00"/>
    <d v="2024-10-16T00:00:00"/>
    <x v="0"/>
    <n v="0"/>
    <n v="1"/>
    <x v="1"/>
    <n v="24366"/>
    <m/>
  </r>
  <r>
    <d v="2024-10-16T00:00:00"/>
    <x v="9"/>
    <n v="42"/>
    <n v="2228"/>
    <x v="0"/>
    <s v="Saul Leonardo Celis Valbuena"/>
    <s v="TECU3FGPRO"/>
    <s v="Electric Standing Desk  PRO Gris"/>
    <n v="1"/>
    <x v="0"/>
    <x v="1"/>
    <x v="48"/>
    <x v="0"/>
    <s v="Envioclick- Coordinadora"/>
    <s v="2801213 - 84151007962"/>
    <d v="2024-10-16T00:00:00"/>
    <d v="2024-10-18T00:00:00"/>
    <x v="0"/>
    <n v="0"/>
    <n v="2"/>
    <x v="3"/>
    <n v="56667"/>
    <m/>
  </r>
  <r>
    <d v="2024-10-16T00:00:00"/>
    <x v="9"/>
    <n v="42"/>
    <n v="2228"/>
    <x v="0"/>
    <s v="Saul Leonardo Celis Valbuena"/>
    <s v="TECUTCC20C"/>
    <s v="Superficie Escritorio Miel 200x70 Clasico"/>
    <n v="1"/>
    <x v="1"/>
    <x v="1"/>
    <x v="48"/>
    <x v="0"/>
    <s v="Envioclick- Coordinadora"/>
    <s v="2801214 - 84151007964"/>
    <d v="2024-10-16T00:00:00"/>
    <d v="2024-10-18T00:00:00"/>
    <x v="0"/>
    <n v="0"/>
    <n v="2"/>
    <x v="3"/>
    <n v="39121"/>
    <m/>
  </r>
  <r>
    <d v="2024-10-16T00:00:00"/>
    <x v="9"/>
    <n v="42"/>
    <n v="2229"/>
    <x v="0"/>
    <s v="Nicolas Forero Puello"/>
    <s v="TECUCT"/>
    <s v="TECU bandeja de cables"/>
    <n v="1"/>
    <x v="4"/>
    <x v="0"/>
    <x v="8"/>
    <x v="0"/>
    <s v="Envioclick- Coordinadora"/>
    <s v="2803903 - 84151009175"/>
    <d v="2024-10-17T00:00:00"/>
    <d v="2024-10-18T00:00:00"/>
    <x v="0"/>
    <n v="1"/>
    <n v="2"/>
    <x v="1"/>
    <n v="28190"/>
    <m/>
  </r>
  <r>
    <d v="2024-10-16T00:00:00"/>
    <x v="9"/>
    <n v="42"/>
    <n v="2229"/>
    <x v="0"/>
    <s v="Nicolas Forero Puello"/>
    <s v="TECUROD"/>
    <s v="Rodachines con freno para Standing desk x 4 UN"/>
    <n v="1"/>
    <x v="6"/>
    <x v="0"/>
    <x v="8"/>
    <x v="0"/>
    <s v="Envioclick- Coordinadora"/>
    <s v="2803905 - 84151009176"/>
    <d v="2024-10-17T00:00:00"/>
    <d v="2024-10-18T00:00:00"/>
    <x v="0"/>
    <n v="1"/>
    <n v="2"/>
    <x v="1"/>
    <n v="24583"/>
    <m/>
  </r>
  <r>
    <d v="2024-10-17T00:00:00"/>
    <x v="9"/>
    <n v="42"/>
    <n v="2230"/>
    <x v="0"/>
    <s v="JORGE ANDRES WOLF OCHOA"/>
    <s v="TECUROD"/>
    <s v="Rodachines con freno para Standing desk x 4 UN"/>
    <n v="1"/>
    <x v="6"/>
    <x v="0"/>
    <x v="0"/>
    <x v="0"/>
    <s v="Envioclick- Coordinadora"/>
    <s v="2804349 - 84151009382"/>
    <d v="2024-10-17T00:00:00"/>
    <d v="2024-10-18T00:00:00"/>
    <x v="0"/>
    <n v="0"/>
    <n v="1"/>
    <x v="1"/>
    <n v="24583"/>
    <m/>
  </r>
  <r>
    <d v="2024-10-17T00:00:00"/>
    <x v="9"/>
    <n v="42"/>
    <n v="2230"/>
    <x v="0"/>
    <s v="JORGE ANDRES WOLF OCHOA"/>
    <s v="TECUCT"/>
    <s v="TECU bandeja de cables"/>
    <n v="1"/>
    <x v="4"/>
    <x v="0"/>
    <x v="0"/>
    <x v="0"/>
    <s v="Envioclick- Coordinadora"/>
    <s v="2804335 - 84151009377"/>
    <d v="2024-10-17T00:00:00"/>
    <d v="2024-10-18T00:00:00"/>
    <x v="0"/>
    <n v="0"/>
    <n v="1"/>
    <x v="1"/>
    <n v="25593"/>
    <m/>
  </r>
  <r>
    <d v="2024-10-17T00:00:00"/>
    <x v="9"/>
    <n v="42"/>
    <n v="2230"/>
    <x v="0"/>
    <s v="JORGE ANDRES WOLF OCHOA"/>
    <s v="TECU3FNPRO"/>
    <s v="Electric Standing Desk  PRO Negro"/>
    <n v="1"/>
    <x v="0"/>
    <x v="0"/>
    <x v="0"/>
    <x v="0"/>
    <s v="Envioclick- Coordinadora"/>
    <s v="2804319 - 84151009365"/>
    <d v="2024-10-17T00:00:00"/>
    <d v="2024-10-18T00:00:00"/>
    <x v="0"/>
    <n v="0"/>
    <n v="1"/>
    <x v="1"/>
    <n v="43277"/>
    <m/>
  </r>
  <r>
    <d v="2024-10-17T00:00:00"/>
    <x v="9"/>
    <n v="42"/>
    <n v="2230"/>
    <x v="0"/>
    <s v="JORGE ANDRES WOLF OCHOA"/>
    <s v="TECUTCO8C"/>
    <s v="Superficie Escritorio Caramelo 180x70 Clasico"/>
    <n v="1"/>
    <x v="1"/>
    <x v="0"/>
    <x v="0"/>
    <x v="0"/>
    <s v="Envioclick- Coordinadora"/>
    <s v="2804320 - 84151009366"/>
    <d v="2024-10-17T00:00:00"/>
    <d v="2024-10-18T00:00:00"/>
    <x v="0"/>
    <n v="0"/>
    <n v="1"/>
    <x v="1"/>
    <n v="27069"/>
    <m/>
  </r>
  <r>
    <d v="2024-10-17T00:00:00"/>
    <x v="9"/>
    <n v="42"/>
    <n v="2231"/>
    <x v="0"/>
    <s v="Juan Pablo Velasquez Agudelo"/>
    <s v="TECU3FNPRO"/>
    <s v="Electric Standing Desk  PRO Negro"/>
    <n v="1"/>
    <x v="0"/>
    <x v="0"/>
    <x v="3"/>
    <x v="0"/>
    <s v="Envioclick- Coordinadora"/>
    <s v="2804361 - 84151009389"/>
    <d v="2024-10-17T00:00:00"/>
    <d v="2024-10-18T00:00:00"/>
    <x v="0"/>
    <n v="0"/>
    <n v="1"/>
    <x v="1"/>
    <n v="43277"/>
    <m/>
  </r>
  <r>
    <d v="2024-10-17T00:00:00"/>
    <x v="9"/>
    <n v="42"/>
    <n v="2231"/>
    <x v="0"/>
    <s v="Juan Pablo Velasquez Agudelo"/>
    <s v="TECUTCO2C"/>
    <s v="Superficie Escritorio Caramelo 120x70 Clasico Small"/>
    <n v="1"/>
    <x v="1"/>
    <x v="0"/>
    <x v="3"/>
    <x v="0"/>
    <s v="Envioclick- Coordinadora"/>
    <s v="2804362 - 84151009390"/>
    <d v="2024-10-17T00:00:00"/>
    <d v="2024-10-18T00:00:00"/>
    <x v="0"/>
    <n v="0"/>
    <n v="1"/>
    <x v="1"/>
    <n v="29097"/>
    <m/>
  </r>
  <r>
    <d v="2024-10-18T00:00:00"/>
    <x v="9"/>
    <n v="42"/>
    <n v="2232"/>
    <x v="0"/>
    <s v="Martin Villalobos"/>
    <s v="TECU2FNG"/>
    <s v="Electric Standing Desk GO Negro"/>
    <n v="1"/>
    <x v="0"/>
    <x v="1"/>
    <x v="1"/>
    <x v="0"/>
    <s v="Envioclick- Coordinadora"/>
    <s v="2813049 - 84151010399"/>
    <d v="2024-10-18T00:00:00"/>
    <d v="2024-10-21T00:00:00"/>
    <x v="0"/>
    <n v="0"/>
    <n v="2"/>
    <x v="1"/>
    <n v="41925"/>
    <m/>
  </r>
  <r>
    <d v="2024-10-18T00:00:00"/>
    <x v="9"/>
    <n v="42"/>
    <n v="2232"/>
    <x v="0"/>
    <s v="Martin Villalobos"/>
    <s v="TECUTCO2C"/>
    <s v="Superficie Escritorio Caramelo 120x70 Clasico Small"/>
    <n v="1"/>
    <x v="1"/>
    <x v="1"/>
    <x v="1"/>
    <x v="0"/>
    <s v="Envioclick- Coordinadora"/>
    <s v="2813052 - 84151010401"/>
    <d v="2024-10-18T00:00:00"/>
    <d v="2024-10-22T00:00:00"/>
    <x v="0"/>
    <n v="0"/>
    <n v="3"/>
    <x v="1"/>
    <n v="24366"/>
    <m/>
  </r>
  <r>
    <d v="2024-10-18T00:00:00"/>
    <x v="9"/>
    <n v="42"/>
    <n v="2233"/>
    <x v="0"/>
    <s v="Manuela Sadovnik Taborda"/>
    <s v="TECU2FBGO"/>
    <s v="Electric Standing Desk GO Blanco"/>
    <n v="1"/>
    <x v="0"/>
    <x v="4"/>
    <x v="5"/>
    <x v="0"/>
    <s v="Envioclick- Coordinadora"/>
    <s v="2813301 - 84151010524"/>
    <d v="2024-10-18T00:00:00"/>
    <d v="2024-10-22T00:00:00"/>
    <x v="0"/>
    <n v="0"/>
    <n v="3"/>
    <x v="1"/>
    <n v="41925"/>
    <m/>
  </r>
  <r>
    <d v="2024-10-18T00:00:00"/>
    <x v="9"/>
    <n v="42"/>
    <n v="2233"/>
    <x v="0"/>
    <s v="Manuela Sadovnik Taborda"/>
    <s v="TECUTCC4C"/>
    <s v="Superficie Escritorio Miel 140x70 Clasico"/>
    <n v="1"/>
    <x v="1"/>
    <x v="4"/>
    <x v="5"/>
    <x v="0"/>
    <s v="Envioclick- Coordinadora"/>
    <s v="2813302 - 84151010525"/>
    <d v="2024-10-18T00:00:00"/>
    <d v="2024-10-22T00:00:00"/>
    <x v="0"/>
    <n v="0"/>
    <n v="3"/>
    <x v="1"/>
    <n v="24366"/>
    <m/>
  </r>
  <r>
    <d v="2024-10-19T00:00:00"/>
    <x v="9"/>
    <n v="42"/>
    <n v="2234"/>
    <x v="0"/>
    <s v="Sergio Luque"/>
    <s v="TECURN"/>
    <s v="Repisa TECU  Negro (Wengue)"/>
    <n v="1"/>
    <x v="2"/>
    <x v="2"/>
    <x v="2"/>
    <x v="0"/>
    <s v="Envioclick- Coordinadora"/>
    <s v="2816969 - 84151011801"/>
    <d v="2024-10-21T00:00:00"/>
    <d v="2024-10-24T00:00:00"/>
    <x v="0"/>
    <n v="1"/>
    <n v="4"/>
    <x v="1"/>
    <n v="38279"/>
    <m/>
  </r>
  <r>
    <d v="2024-10-19T00:00:00"/>
    <x v="9"/>
    <n v="42"/>
    <n v="2235"/>
    <x v="0"/>
    <s v="Juan Camilo Sandoval Devia"/>
    <s v="TECU3FNPRO"/>
    <s v="Electric Standing Desk  PRO Negro"/>
    <n v="1"/>
    <x v="0"/>
    <x v="1"/>
    <x v="1"/>
    <x v="0"/>
    <s v="Envioclick- Coordinadora"/>
    <s v="2816818 - 84151011759"/>
    <d v="2024-10-21T00:00:00"/>
    <d v="2024-10-22T00:00:00"/>
    <x v="0"/>
    <n v="1"/>
    <n v="2"/>
    <x v="1"/>
    <n v="43277"/>
    <m/>
  </r>
  <r>
    <d v="2024-10-19T00:00:00"/>
    <x v="9"/>
    <n v="42"/>
    <n v="2235"/>
    <x v="0"/>
    <s v="Juan Camilo Sandoval Devia"/>
    <s v="TECUTCO5M"/>
    <s v="Superficie Escritorio Caramelo 150x70 Moderno"/>
    <n v="1"/>
    <x v="1"/>
    <x v="1"/>
    <x v="1"/>
    <x v="0"/>
    <s v="Envioclick- Coordinadora"/>
    <s v="2816819 - 84151011760"/>
    <d v="2024-10-21T00:00:00"/>
    <d v="2024-10-22T00:00:00"/>
    <x v="0"/>
    <n v="1"/>
    <n v="2"/>
    <x v="1"/>
    <n v="24366"/>
    <m/>
  </r>
  <r>
    <d v="2024-10-19T00:00:00"/>
    <x v="9"/>
    <n v="42"/>
    <n v="2235"/>
    <x v="0"/>
    <s v="Juan Camilo Sandoval Devia"/>
    <m/>
    <s v="Servicio de instalacion"/>
    <n v="1"/>
    <x v="7"/>
    <x v="1"/>
    <x v="1"/>
    <x v="0"/>
    <s v="NA"/>
    <s v="NA"/>
    <s v="NA"/>
    <s v="NA"/>
    <x v="2"/>
    <m/>
    <m/>
    <x v="5"/>
    <m/>
    <m/>
  </r>
  <r>
    <d v="2024-10-19T00:00:00"/>
    <x v="9"/>
    <n v="42"/>
    <n v="2236"/>
    <x v="0"/>
    <s v="Juan Camilo Sandoval Devia"/>
    <s v="TECUBDPA"/>
    <s v="TECU Desk Pad B Negro Azul"/>
    <n v="1"/>
    <x v="4"/>
    <x v="1"/>
    <x v="1"/>
    <x v="0"/>
    <s v="Envioclick- Coordinadora"/>
    <s v="2817037 - 84151011833"/>
    <d v="2024-10-21T00:00:00"/>
    <d v="2024-10-22T00:00:00"/>
    <x v="0"/>
    <n v="1"/>
    <n v="2"/>
    <x v="1"/>
    <n v="17079"/>
    <m/>
  </r>
  <r>
    <d v="2024-10-19T00:00:00"/>
    <x v="9"/>
    <n v="42"/>
    <n v="2236"/>
    <x v="0"/>
    <s v="Juan Camilo Sandoval Devia"/>
    <s v="TECUCT"/>
    <s v="TECU bandeja de cables"/>
    <n v="1"/>
    <x v="4"/>
    <x v="1"/>
    <x v="1"/>
    <x v="0"/>
    <s v="Envioclick- Coordinadora"/>
    <s v="2816831 - 84151011768"/>
    <d v="2024-10-21T00:00:00"/>
    <d v="2024-10-22T00:00:00"/>
    <x v="0"/>
    <n v="1"/>
    <n v="2"/>
    <x v="1"/>
    <n v="25593"/>
    <m/>
  </r>
  <r>
    <d v="2024-10-19T00:00:00"/>
    <x v="9"/>
    <n v="42"/>
    <n v="2236"/>
    <x v="0"/>
    <s v="Juan Camilo Sandoval Devia"/>
    <s v="TECUBLS"/>
    <s v="TECU Laptop Stand B"/>
    <n v="1"/>
    <x v="4"/>
    <x v="1"/>
    <x v="1"/>
    <x v="0"/>
    <s v="Envioclick- Coordinadora"/>
    <s v="2817005 - 84151011818"/>
    <d v="2024-10-21T00:00:00"/>
    <d v="2024-10-22T00:00:00"/>
    <x v="0"/>
    <n v="1"/>
    <n v="2"/>
    <x v="1"/>
    <n v="25593"/>
    <m/>
  </r>
  <r>
    <d v="2024-10-19T00:00:00"/>
    <x v="9"/>
    <n v="42"/>
    <n v="2237"/>
    <x v="0"/>
    <s v="ESTEFANY LUNA PEREZ"/>
    <s v="TECU2FBGO"/>
    <s v="Electric Standing Desk GO Blanco"/>
    <n v="1"/>
    <x v="0"/>
    <x v="20"/>
    <x v="49"/>
    <x v="0"/>
    <s v="Envioclick- Coordinadora"/>
    <s v="2817045 - 84151011839"/>
    <d v="2024-10-21T00:00:00"/>
    <d v="2024-10-24T00:00:00"/>
    <x v="0"/>
    <n v="1"/>
    <n v="4"/>
    <x v="3"/>
    <n v="60493"/>
    <m/>
  </r>
  <r>
    <d v="2024-10-19T00:00:00"/>
    <x v="9"/>
    <n v="42"/>
    <n v="2237"/>
    <x v="0"/>
    <s v="ESTEFANY LUNA PEREZ"/>
    <s v="TECUTB4C"/>
    <s v="Superficie Escritorio Blanco (Niebla) 140x70 Clasico"/>
    <n v="1"/>
    <x v="1"/>
    <x v="20"/>
    <x v="49"/>
    <x v="0"/>
    <s v="Envioclick- Coordinadora"/>
    <s v="2817047 - 84151011840"/>
    <d v="2024-10-21T00:00:00"/>
    <d v="2024-10-24T00:00:00"/>
    <x v="0"/>
    <n v="1"/>
    <n v="4"/>
    <x v="3"/>
    <n v="39619"/>
    <m/>
  </r>
  <r>
    <d v="2024-10-19T00:00:00"/>
    <x v="9"/>
    <n v="42"/>
    <n v="2238"/>
    <x v="0"/>
    <s v="Manuel Castaño Jaramillo"/>
    <s v="TECUACO"/>
    <s v="Archivador TECU  Caramelo"/>
    <n v="1"/>
    <x v="3"/>
    <x v="0"/>
    <x v="10"/>
    <x v="0"/>
    <s v="Envioclick- Envia"/>
    <s v="2817071 - 954101066098"/>
    <d v="2024-10-21T00:00:00"/>
    <d v="2024-10-23T00:00:00"/>
    <x v="0"/>
    <n v="1"/>
    <n v="3"/>
    <x v="1"/>
    <n v="52482"/>
    <m/>
  </r>
  <r>
    <d v="2024-10-19T00:00:00"/>
    <x v="9"/>
    <n v="42"/>
    <n v="2238"/>
    <x v="0"/>
    <s v="Manuel Castaño Jaramillo"/>
    <s v="TECUCT"/>
    <s v="TECU bandeja de cables"/>
    <n v="1"/>
    <x v="4"/>
    <x v="0"/>
    <x v="10"/>
    <x v="0"/>
    <s v="Envioclick- Envia"/>
    <s v="2816735 - 954101066059"/>
    <d v="2024-10-21T00:00:00"/>
    <d v="2024-10-23T00:00:00"/>
    <x v="0"/>
    <n v="1"/>
    <n v="3"/>
    <x v="1"/>
    <n v="18428"/>
    <m/>
  </r>
  <r>
    <d v="2024-10-20T00:00:00"/>
    <x v="9"/>
    <n v="43"/>
    <n v="2239"/>
    <x v="0"/>
    <s v="Laura Sofía Mejía Muñoz"/>
    <s v="TECU3FNPRO"/>
    <s v="Electric Standing Desk  PRO Negro"/>
    <n v="1"/>
    <x v="0"/>
    <x v="0"/>
    <x v="3"/>
    <x v="0"/>
    <s v="Envioclick- Coordinadora"/>
    <s v="2817092 - 84151011871"/>
    <d v="2024-10-21T00:00:00"/>
    <d v="2024-10-22T00:00:00"/>
    <x v="0"/>
    <n v="0"/>
    <n v="1"/>
    <x v="1"/>
    <n v="43277"/>
    <m/>
  </r>
  <r>
    <d v="2024-10-20T00:00:00"/>
    <x v="9"/>
    <n v="43"/>
    <n v="2239"/>
    <x v="0"/>
    <s v="Laura Sofía Mejía Muñoz"/>
    <s v="TECUTCC2C"/>
    <s v="Superficie Escritorio Miel 120x70 Clasico Small"/>
    <n v="1"/>
    <x v="1"/>
    <x v="0"/>
    <x v="3"/>
    <x v="0"/>
    <s v="Envioclick- Coordinadora"/>
    <s v="2817094 - 84151011872"/>
    <d v="2024-10-21T00:00:00"/>
    <d v="2024-10-22T00:00:00"/>
    <x v="0"/>
    <n v="0"/>
    <n v="1"/>
    <x v="1"/>
    <n v="29097"/>
    <m/>
  </r>
  <r>
    <d v="2024-10-20T00:00:00"/>
    <x v="9"/>
    <n v="43"/>
    <n v="2239"/>
    <x v="0"/>
    <s v="Laura Sofía Mejía Muñoz"/>
    <s v="TECUACC"/>
    <s v="Archivador TECU  Miel"/>
    <n v="1"/>
    <x v="3"/>
    <x v="0"/>
    <x v="3"/>
    <x v="0"/>
    <s v="Envioclick- Envia"/>
    <s v="2817110 - 954101066105"/>
    <d v="2024-10-21T00:00:00"/>
    <d v="2024-10-22T00:00:00"/>
    <x v="0"/>
    <n v="0"/>
    <n v="1"/>
    <x v="1"/>
    <n v="52482"/>
    <m/>
  </r>
  <r>
    <d v="2024-10-20T00:00:00"/>
    <x v="9"/>
    <n v="43"/>
    <n v="2239"/>
    <x v="0"/>
    <s v="Laura Sofía Mejía Muñoz"/>
    <m/>
    <s v="Servicio de instalacion"/>
    <n v="1"/>
    <x v="7"/>
    <x v="0"/>
    <x v="3"/>
    <x v="0"/>
    <s v="NA"/>
    <s v="NA"/>
    <s v="NA"/>
    <s v="NA"/>
    <x v="2"/>
    <m/>
    <m/>
    <x v="5"/>
    <m/>
    <m/>
  </r>
  <r>
    <d v="2024-10-20T00:00:00"/>
    <x v="9"/>
    <n v="43"/>
    <n v="2240"/>
    <x v="0"/>
    <s v="Ana Maria Cuellar Urbano"/>
    <s v="TECU3FNPRO"/>
    <s v="Electric Standing Desk  PRO Negro"/>
    <n v="1"/>
    <x v="0"/>
    <x v="1"/>
    <x v="1"/>
    <x v="0"/>
    <s v="Envioclick- Coordinadora"/>
    <s v="2817135 - 84151011893"/>
    <d v="2024-10-21T00:00:00"/>
    <d v="2024-10-22T00:00:00"/>
    <x v="0"/>
    <n v="0"/>
    <n v="1"/>
    <x v="1"/>
    <n v="43277"/>
    <m/>
  </r>
  <r>
    <d v="2024-10-20T00:00:00"/>
    <x v="9"/>
    <n v="43"/>
    <n v="2240"/>
    <x v="0"/>
    <s v="Ana Maria Cuellar Urbano"/>
    <s v="TECUTCC2C"/>
    <s v="Superficie Escritorio Miel 120x70 Clasico Small"/>
    <n v="1"/>
    <x v="1"/>
    <x v="1"/>
    <x v="1"/>
    <x v="0"/>
    <s v="Envioclick- Coordinadora"/>
    <s v="2817136 - 84151011894"/>
    <d v="2024-10-21T00:00:00"/>
    <d v="2024-10-22T00:00:00"/>
    <x v="0"/>
    <n v="0"/>
    <n v="1"/>
    <x v="1"/>
    <n v="29097"/>
    <m/>
  </r>
  <r>
    <d v="2024-10-20T00:00:00"/>
    <x v="9"/>
    <n v="43"/>
    <n v="2241"/>
    <x v="0"/>
    <s v="Adriana Victoria Peña"/>
    <s v="TECU2FNG"/>
    <s v="Electric Standing Desk GO Negro"/>
    <n v="1"/>
    <x v="0"/>
    <x v="10"/>
    <x v="21"/>
    <x v="0"/>
    <s v="Envioclick- Coordinadora"/>
    <s v="2817170 - 84151011903"/>
    <d v="2024-10-21T00:00:00"/>
    <d v="2024-10-22T00:00:00"/>
    <x v="0"/>
    <n v="0"/>
    <n v="1"/>
    <x v="1"/>
    <n v="34509"/>
    <m/>
  </r>
  <r>
    <d v="2024-10-20T00:00:00"/>
    <x v="9"/>
    <n v="43"/>
    <n v="2241"/>
    <x v="0"/>
    <s v="Adriana Victoria Peña"/>
    <s v="TECUTCO4C"/>
    <s v="Superficie Escritorio Caramelo 140x70 Clasico"/>
    <n v="1"/>
    <x v="1"/>
    <x v="10"/>
    <x v="21"/>
    <x v="0"/>
    <s v="Envioclick- Coordinadora"/>
    <s v="2817172 - 84151011904"/>
    <d v="2024-10-21T00:00:00"/>
    <d v="2024-10-22T00:00:00"/>
    <x v="0"/>
    <n v="0"/>
    <n v="1"/>
    <x v="1"/>
    <n v="15483"/>
    <m/>
  </r>
  <r>
    <d v="2024-10-21T00:00:00"/>
    <x v="9"/>
    <n v="43"/>
    <n v="2242"/>
    <x v="0"/>
    <s v="Juan Manuel Betancourt Calero"/>
    <s v="TECU3FNPRO"/>
    <s v="Electric Standing Desk  PRO Negro"/>
    <n v="1"/>
    <x v="0"/>
    <x v="1"/>
    <x v="1"/>
    <x v="0"/>
    <s v="Envioclick- Coordinadora"/>
    <s v="2817175 - 84151011909"/>
    <d v="2024-10-21T00:00:00"/>
    <d v="2024-10-22T00:00:00"/>
    <x v="0"/>
    <n v="0"/>
    <n v="1"/>
    <x v="1"/>
    <n v="43277"/>
    <m/>
  </r>
  <r>
    <d v="2024-10-21T00:00:00"/>
    <x v="9"/>
    <n v="43"/>
    <n v="2242"/>
    <x v="0"/>
    <s v="Juan Manuel Betancourt Calero"/>
    <s v="TECUTCC2C"/>
    <s v="Superficie Escritorio Miel 120x70 Clasico Small"/>
    <n v="1"/>
    <x v="1"/>
    <x v="1"/>
    <x v="1"/>
    <x v="0"/>
    <s v="Envioclick- Coordinadora"/>
    <s v="2817176 - 84151011912"/>
    <d v="2024-10-21T00:00:00"/>
    <d v="2024-10-22T00:00:00"/>
    <x v="0"/>
    <n v="0"/>
    <n v="1"/>
    <x v="1"/>
    <n v="27069"/>
    <m/>
  </r>
  <r>
    <d v="2024-10-22T00:00:00"/>
    <x v="9"/>
    <n v="43"/>
    <n v="2243"/>
    <x v="0"/>
    <s v="Camilo Betancur"/>
    <s v="TECU2FNG"/>
    <s v="Electric Standing Desk GO Negro"/>
    <n v="1"/>
    <x v="0"/>
    <x v="0"/>
    <x v="8"/>
    <x v="0"/>
    <s v="Envioclick- Coordinadora"/>
    <s v="2822189 - 84151014018"/>
    <d v="2024-10-23T00:00:00"/>
    <d v="2024-10-24T00:00:00"/>
    <x v="0"/>
    <n v="1"/>
    <n v="2"/>
    <x v="1"/>
    <n v="41925"/>
    <m/>
  </r>
  <r>
    <d v="2024-10-22T00:00:00"/>
    <x v="9"/>
    <n v="43"/>
    <n v="2243"/>
    <x v="0"/>
    <s v="Camilo Betancur"/>
    <s v="TECUTCC2C"/>
    <s v="Superficie Escritorio Miel 120x70 Clasico Small"/>
    <n v="1"/>
    <x v="1"/>
    <x v="0"/>
    <x v="8"/>
    <x v="0"/>
    <s v="Envioclick- Coordinadora"/>
    <s v="2822190 - 84151014019"/>
    <d v="2024-10-23T00:00:00"/>
    <d v="2024-10-24T00:00:00"/>
    <x v="0"/>
    <n v="1"/>
    <n v="2"/>
    <x v="1"/>
    <n v="24366"/>
    <m/>
  </r>
  <r>
    <d v="2024-10-23T00:00:00"/>
    <x v="9"/>
    <n v="43"/>
    <n v="2244"/>
    <x v="0"/>
    <s v="Brayan Santiago Chaparro Ladino"/>
    <s v="TECUBDPA"/>
    <s v="TECU Desk Pad B Negro Azul"/>
    <n v="1"/>
    <x v="4"/>
    <x v="6"/>
    <x v="9"/>
    <x v="0"/>
    <s v="Envioclick- Coordinadora"/>
    <s v="2822608 - 84151014224"/>
    <d v="2024-10-23T00:00:00"/>
    <d v="2024-10-28T00:00:00"/>
    <x v="0"/>
    <n v="0"/>
    <n v="4"/>
    <x v="1"/>
    <n v="17079"/>
    <m/>
  </r>
  <r>
    <d v="2024-10-23T00:00:00"/>
    <x v="9"/>
    <n v="43"/>
    <n v="2245"/>
    <x v="0"/>
    <s v="Natalia Cardona"/>
    <s v="TECUDSN"/>
    <s v="TECU Desk Stool Negra Silla ajustable"/>
    <n v="1"/>
    <x v="5"/>
    <x v="0"/>
    <x v="3"/>
    <x v="0"/>
    <s v="Envioclick- Coordinadora"/>
    <s v="2822902 - 84151014381"/>
    <d v="2024-10-23T00:00:00"/>
    <d v="2024-10-24T00:00:00"/>
    <x v="0"/>
    <n v="0"/>
    <n v="1"/>
    <x v="1"/>
    <n v="26870"/>
    <m/>
  </r>
  <r>
    <d v="2024-10-23T00:00:00"/>
    <x v="9"/>
    <n v="43"/>
    <n v="2245"/>
    <x v="0"/>
    <s v="Natalia Cardona"/>
    <s v="TECUDSN"/>
    <s v="TECU Desk Stool Negra Silla ajustable"/>
    <n v="1"/>
    <x v="5"/>
    <x v="0"/>
    <x v="3"/>
    <x v="0"/>
    <s v="Envioclick- Coordinadora"/>
    <s v="2822914 - 84151014384"/>
    <d v="2024-10-23T00:00:00"/>
    <d v="2024-10-24T00:00:00"/>
    <x v="0"/>
    <n v="0"/>
    <n v="1"/>
    <x v="1"/>
    <n v="26870"/>
    <m/>
  </r>
  <r>
    <d v="2024-10-24T00:00:00"/>
    <x v="9"/>
    <n v="43"/>
    <n v="2246"/>
    <x v="0"/>
    <s v="Michell Peñuela"/>
    <s v="TECU2FNG"/>
    <s v="Electric Standing Desk GO Negro"/>
    <n v="1"/>
    <x v="0"/>
    <x v="1"/>
    <x v="1"/>
    <x v="0"/>
    <s v="Envioclick- Coordinadora"/>
    <s v="2824759 - 84151014987"/>
    <d v="2024-10-24T00:00:00"/>
    <d v="2024-10-25T00:00:00"/>
    <x v="0"/>
    <n v="0"/>
    <n v="1"/>
    <x v="1"/>
    <n v="41925"/>
    <m/>
  </r>
  <r>
    <d v="2024-10-24T00:00:00"/>
    <x v="9"/>
    <n v="43"/>
    <n v="2246"/>
    <x v="0"/>
    <s v="Michell Peñuela"/>
    <s v="TECUTB4C"/>
    <s v="Superficie Escritorio Blanco (Niebla) 140x70 Clasico"/>
    <n v="1"/>
    <x v="1"/>
    <x v="1"/>
    <x v="1"/>
    <x v="0"/>
    <s v="Envioclick- Coordinadora"/>
    <s v="2822914 - 84151014384"/>
    <d v="2024-10-24T00:00:00"/>
    <d v="2024-10-24T00:00:00"/>
    <x v="0"/>
    <n v="0"/>
    <n v="0"/>
    <x v="1"/>
    <n v="26870"/>
    <m/>
  </r>
  <r>
    <d v="2024-10-24T00:00:00"/>
    <x v="9"/>
    <n v="43"/>
    <n v="2247"/>
    <x v="0"/>
    <s v="Luis Caballero"/>
    <s v="TECU3FNPRO"/>
    <s v="Electric Standing Desk  PRO Negro"/>
    <n v="1"/>
    <x v="0"/>
    <x v="1"/>
    <x v="1"/>
    <x v="0"/>
    <s v="Envioclick- Coordinadora"/>
    <s v="2827096 - 84151015898"/>
    <d v="2024-10-25T00:00:00"/>
    <d v="2024-10-26T00:00:00"/>
    <x v="0"/>
    <n v="1"/>
    <n v="2"/>
    <x v="1"/>
    <n v="43277"/>
    <m/>
  </r>
  <r>
    <d v="2024-10-24T00:00:00"/>
    <x v="9"/>
    <n v="43"/>
    <n v="2247"/>
    <x v="0"/>
    <s v="Luis Caballero"/>
    <s v="TECUTCC5M"/>
    <s v="Superficie Escritorio Miel 150x70 Moderno"/>
    <n v="1"/>
    <x v="1"/>
    <x v="1"/>
    <x v="1"/>
    <x v="0"/>
    <s v="Envioclick- Coordinadora"/>
    <s v="2827097 - 84151015899"/>
    <d v="2024-10-25T00:00:00"/>
    <d v="2024-10-26T00:00:00"/>
    <x v="0"/>
    <n v="1"/>
    <n v="2"/>
    <x v="1"/>
    <n v="24366"/>
    <m/>
  </r>
  <r>
    <d v="2024-10-24T00:00:00"/>
    <x v="9"/>
    <n v="43"/>
    <n v="2247"/>
    <x v="0"/>
    <s v="Luis Caballero"/>
    <s v="TECUACC"/>
    <s v="Archivador TECU  Miel"/>
    <n v="1"/>
    <x v="3"/>
    <x v="1"/>
    <x v="1"/>
    <x v="0"/>
    <s v="Envioclick- Envia"/>
    <s v="2827103 - 84151015901"/>
    <d v="2024-10-25T00:00:00"/>
    <d v="2024-10-26T00:00:00"/>
    <x v="0"/>
    <n v="1"/>
    <n v="2"/>
    <x v="1"/>
    <n v="25593"/>
    <m/>
  </r>
  <r>
    <d v="2024-10-24T00:00:00"/>
    <x v="9"/>
    <n v="43"/>
    <n v="2247"/>
    <x v="0"/>
    <s v="Luis Caballero"/>
    <s v="TECUCT"/>
    <s v="TECU bandeja de cables"/>
    <n v="1"/>
    <x v="4"/>
    <x v="1"/>
    <x v="1"/>
    <x v="0"/>
    <s v="Envioclick- Coordinadora"/>
    <s v="2827103 - 84151015901"/>
    <d v="2024-10-25T00:00:00"/>
    <d v="2024-10-26T00:00:00"/>
    <x v="0"/>
    <n v="1"/>
    <n v="2"/>
    <x v="1"/>
    <n v="25593"/>
    <m/>
  </r>
  <r>
    <d v="2024-10-24T00:00:00"/>
    <x v="9"/>
    <n v="43"/>
    <n v="2248"/>
    <x v="0"/>
    <s v="Serrano Martínez CMA SAS"/>
    <s v="TECULFN2"/>
    <s v="Electric Standing Desk | Escritorio Ajustable En L Frame Negro 2.0"/>
    <n v="1"/>
    <x v="0"/>
    <x v="1"/>
    <x v="1"/>
    <x v="0"/>
    <s v="Envioclick- Coordinadora"/>
    <s v="2831132 - 84151017446"/>
    <d v="2024-10-28T00:00:00"/>
    <d v="2024-10-29T00:00:00"/>
    <x v="0"/>
    <n v="3"/>
    <n v="4"/>
    <x v="0"/>
    <n v="63147"/>
    <m/>
  </r>
  <r>
    <d v="2024-10-24T00:00:00"/>
    <x v="9"/>
    <n v="43"/>
    <n v="2248"/>
    <x v="0"/>
    <s v="Serrano Martínez CMA SAS"/>
    <s v="TECUTLCOS"/>
    <s v="Superficie Escritorio en L Miel Set completo"/>
    <n v="1"/>
    <x v="1"/>
    <x v="1"/>
    <x v="1"/>
    <x v="0"/>
    <s v="Envioclick- Coordinadora"/>
    <s v="2831135 - 84151017447"/>
    <d v="2024-10-28T00:00:00"/>
    <d v="2024-10-29T00:00:00"/>
    <x v="0"/>
    <n v="3"/>
    <n v="4"/>
    <x v="0"/>
    <n v="27069"/>
    <m/>
  </r>
  <r>
    <d v="2024-10-24T00:00:00"/>
    <x v="9"/>
    <n v="43"/>
    <n v="2248"/>
    <x v="0"/>
    <s v="Serrano Martínez CMA SAS"/>
    <s v="TECULFN2"/>
    <s v="Electric Standing Desk | Escritorio Ajustable En L Frame Negro 2.0"/>
    <n v="1"/>
    <x v="0"/>
    <x v="1"/>
    <x v="1"/>
    <x v="0"/>
    <s v="Envioclick- Coordinadora"/>
    <s v="2831139 - 84151017449"/>
    <d v="2024-10-28T00:00:00"/>
    <d v="2024-10-29T00:00:00"/>
    <x v="0"/>
    <n v="3"/>
    <n v="4"/>
    <x v="0"/>
    <n v="63147"/>
    <m/>
  </r>
  <r>
    <d v="2024-10-24T00:00:00"/>
    <x v="9"/>
    <n v="43"/>
    <n v="2248"/>
    <x v="0"/>
    <s v="Serrano Martínez CMA SAS"/>
    <s v="TECUTLCOS"/>
    <s v="Superficie Escritorio en L Miel Set completo"/>
    <n v="1"/>
    <x v="1"/>
    <x v="1"/>
    <x v="1"/>
    <x v="0"/>
    <s v="Envioclick- Coordinadora"/>
    <s v="2831140 - 84151017450"/>
    <d v="2024-10-28T00:00:00"/>
    <d v="2024-10-29T00:00:00"/>
    <x v="0"/>
    <n v="3"/>
    <n v="4"/>
    <x v="0"/>
    <n v="27069"/>
    <m/>
  </r>
  <r>
    <d v="2024-10-24T00:00:00"/>
    <x v="9"/>
    <n v="43"/>
    <n v="2248"/>
    <x v="0"/>
    <s v="Serrano Martínez CMA SAS"/>
    <s v="TECULFN2"/>
    <s v="Electric Standing Desk | Escritorio Ajustable En L Frame Negro 2.0"/>
    <n v="1"/>
    <x v="0"/>
    <x v="1"/>
    <x v="1"/>
    <x v="0"/>
    <s v="Envioclick- Coordinadora"/>
    <s v="2831143 - 84151017451"/>
    <d v="2024-10-28T00:00:00"/>
    <d v="2024-10-29T00:00:00"/>
    <x v="0"/>
    <n v="3"/>
    <n v="4"/>
    <x v="0"/>
    <n v="63147"/>
    <m/>
  </r>
  <r>
    <d v="2024-10-24T00:00:00"/>
    <x v="9"/>
    <n v="43"/>
    <n v="2248"/>
    <x v="0"/>
    <s v="Serrano Martínez CMA SAS"/>
    <s v="TECUTLCOS"/>
    <s v="Superficie Escritorio en L Miel Set completo"/>
    <n v="1"/>
    <x v="1"/>
    <x v="1"/>
    <x v="1"/>
    <x v="0"/>
    <s v="Envioclick- Coordinadora"/>
    <s v="2831144 - 84151017452"/>
    <d v="2024-10-28T00:00:00"/>
    <d v="2024-10-29T00:00:00"/>
    <x v="0"/>
    <n v="3"/>
    <n v="4"/>
    <x v="0"/>
    <n v="27069"/>
    <m/>
  </r>
  <r>
    <d v="2024-10-24T00:00:00"/>
    <x v="9"/>
    <n v="43"/>
    <n v="2248"/>
    <x v="0"/>
    <s v="Serrano Martínez CMA SAS"/>
    <s v="TECU3FNPRO"/>
    <s v="Electric Standing Desk  PRO Negro"/>
    <n v="1"/>
    <x v="0"/>
    <x v="1"/>
    <x v="1"/>
    <x v="0"/>
    <s v="Envioclick- Coordinadora"/>
    <s v="2831961 - 84151017835"/>
    <d v="2024-10-28T00:00:00"/>
    <d v="2024-10-29T00:00:00"/>
    <x v="0"/>
    <n v="3"/>
    <n v="4"/>
    <x v="0"/>
    <n v="49277"/>
    <m/>
  </r>
  <r>
    <d v="2024-10-24T00:00:00"/>
    <x v="9"/>
    <n v="43"/>
    <n v="2248"/>
    <x v="0"/>
    <s v="Serrano Martínez CMA SAS"/>
    <s v="TECUTCC2C"/>
    <s v="Superficie Escritorio Miel 120x70 Clasico Small"/>
    <n v="1"/>
    <x v="1"/>
    <x v="1"/>
    <x v="1"/>
    <x v="0"/>
    <s v="Envioclick- Coordinadora"/>
    <s v="2832182 - 84151017935"/>
    <d v="2024-10-28T00:00:00"/>
    <d v="2024-10-29T00:00:00"/>
    <x v="0"/>
    <n v="3"/>
    <n v="4"/>
    <x v="0"/>
    <n v="28866"/>
    <m/>
  </r>
  <r>
    <d v="2024-10-24T00:00:00"/>
    <x v="9"/>
    <n v="43"/>
    <n v="2248"/>
    <x v="0"/>
    <s v="Serrano Martínez CMA SAS"/>
    <s v="TECUDSN"/>
    <s v="TECU Desk Stool Negra Silla ajustable"/>
    <n v="1"/>
    <x v="5"/>
    <x v="1"/>
    <x v="1"/>
    <x v="0"/>
    <s v="Envioclick- Coordinadora"/>
    <s v="2832124 - 84151017917"/>
    <d v="2024-10-28T00:00:00"/>
    <d v="2024-10-29T00:00:00"/>
    <x v="0"/>
    <n v="3"/>
    <n v="4"/>
    <x v="0"/>
    <m/>
    <m/>
  </r>
  <r>
    <d v="2024-10-24T00:00:00"/>
    <x v="9"/>
    <n v="43"/>
    <n v="2249"/>
    <x v="0"/>
    <s v="Jeny Paola Villate Becerra"/>
    <s v="TECU3FNPRO"/>
    <s v="Electric Standing Desk  PRO Negro"/>
    <n v="1"/>
    <x v="0"/>
    <x v="1"/>
    <x v="1"/>
    <x v="0"/>
    <s v="Envioclick- Coordinadora"/>
    <s v="2827146 - 84151015919"/>
    <d v="2024-10-25T00:00:00"/>
    <d v="2024-10-26T00:00:00"/>
    <x v="0"/>
    <n v="1"/>
    <n v="2"/>
    <x v="1"/>
    <n v="3"/>
    <m/>
  </r>
  <r>
    <d v="2024-10-24T00:00:00"/>
    <x v="9"/>
    <n v="43"/>
    <n v="2249"/>
    <x v="0"/>
    <s v="Jeny Paola Villate Becerra"/>
    <s v="TECUTCO2C"/>
    <s v="Superficie Escritorio Caramelo 120x70 Clasico Small"/>
    <n v="1"/>
    <x v="1"/>
    <x v="1"/>
    <x v="1"/>
    <x v="0"/>
    <s v="Envioclick- Coordinadora"/>
    <s v="2827147 - 84151015920"/>
    <d v="2024-10-25T00:00:00"/>
    <d v="2024-10-28T00:00:00"/>
    <x v="0"/>
    <n v="1"/>
    <n v="3"/>
    <x v="1"/>
    <n v="29097"/>
    <m/>
  </r>
  <r>
    <d v="2024-10-24T00:00:00"/>
    <x v="9"/>
    <n v="43"/>
    <n v="2249"/>
    <x v="0"/>
    <s v="Jeny Paola Villate Becerra"/>
    <s v="TECUDSN"/>
    <s v="TECU Desk Stool Negra Silla ajustable"/>
    <n v="1"/>
    <x v="5"/>
    <x v="1"/>
    <x v="1"/>
    <x v="0"/>
    <s v="Envioclick- Coordinadora"/>
    <s v="2827150 - 84151015921"/>
    <d v="2024-10-25T00:00:00"/>
    <d v="2024-10-26T00:00:00"/>
    <x v="0"/>
    <n v="1"/>
    <n v="2"/>
    <x v="1"/>
    <n v="26870"/>
    <m/>
  </r>
  <r>
    <d v="2024-10-24T00:00:00"/>
    <x v="9"/>
    <n v="43"/>
    <n v="2249"/>
    <x v="0"/>
    <s v="Jeny Paola Villate Becerra"/>
    <m/>
    <s v="Servicio de instalacion"/>
    <n v="1"/>
    <x v="7"/>
    <x v="1"/>
    <x v="1"/>
    <x v="3"/>
    <s v="NA"/>
    <s v="NA"/>
    <s v="NA"/>
    <s v="NA"/>
    <x v="0"/>
    <e v="#VALUE!"/>
    <e v="#VALUE!"/>
    <x v="4"/>
    <m/>
    <m/>
  </r>
  <r>
    <d v="2024-10-28T00:00:00"/>
    <x v="9"/>
    <n v="44"/>
    <n v="2250"/>
    <x v="0"/>
    <s v="ESTEFANY LUNA PEREZ"/>
    <s v="TECUCT"/>
    <s v="TECU bandeja de cables"/>
    <n v="1"/>
    <x v="4"/>
    <x v="20"/>
    <x v="27"/>
    <x v="0"/>
    <s v="Envioclick- Coordinadora"/>
    <s v="2831177 - 84151017472"/>
    <d v="2024-10-28T00:00:00"/>
    <d v="2024-10-31T00:00:00"/>
    <x v="0"/>
    <n v="0"/>
    <n v="3"/>
    <x v="3"/>
    <n v="25593"/>
    <m/>
  </r>
  <r>
    <d v="2024-10-28T00:00:00"/>
    <x v="9"/>
    <n v="44"/>
    <n v="2250"/>
    <x v="0"/>
    <s v="ESTEFANY LUNA PEREZ"/>
    <s v="TECUROD"/>
    <s v="Rodachines con freno para Standing desk x 4 UN"/>
    <n v="1"/>
    <x v="6"/>
    <x v="20"/>
    <x v="27"/>
    <x v="0"/>
    <s v="Envioclick- Coordinadora"/>
    <s v="2831195 - 84151017479"/>
    <d v="2024-10-28T00:00:00"/>
    <d v="2024-10-31T00:00:00"/>
    <x v="0"/>
    <n v="0"/>
    <n v="3"/>
    <x v="3"/>
    <n v="24583"/>
    <m/>
  </r>
  <r>
    <d v="2024-10-28T00:00:00"/>
    <x v="9"/>
    <n v="44"/>
    <n v="2251"/>
    <x v="0"/>
    <s v="Natalia Caicedo"/>
    <s v="TECUDSN"/>
    <s v="TECU Desk Stool Negra Silla ajustable"/>
    <n v="1"/>
    <x v="5"/>
    <x v="4"/>
    <x v="5"/>
    <x v="0"/>
    <s v="Envioclick- Coordinadora"/>
    <s v="2831258 - 84151017503"/>
    <d v="2024-10-28T00:00:00"/>
    <d v="2024-10-30T00:00:00"/>
    <x v="0"/>
    <n v="0"/>
    <n v="2"/>
    <x v="1"/>
    <n v="26870"/>
    <m/>
  </r>
  <r>
    <d v="2024-10-28T00:00:00"/>
    <x v="9"/>
    <n v="44"/>
    <n v="2252"/>
    <x v="0"/>
    <s v="David Sanchez Escobar"/>
    <s v="TECU3FNPRO"/>
    <s v="Electric Standing Desk  PRO Negro"/>
    <n v="1"/>
    <x v="0"/>
    <x v="1"/>
    <x v="1"/>
    <x v="0"/>
    <s v="Envioclick- Coordinadora"/>
    <s v="2841000 - 84151021334"/>
    <d v="2024-11-01T00:00:00"/>
    <d v="2024-11-05T00:00:00"/>
    <x v="0"/>
    <n v="4"/>
    <n v="6"/>
    <x v="0"/>
    <n v="43277"/>
    <m/>
  </r>
  <r>
    <d v="2024-10-28T00:00:00"/>
    <x v="9"/>
    <n v="44"/>
    <n v="2252"/>
    <x v="0"/>
    <s v="David Sanchez Escobar"/>
    <s v="TECUTCO8C"/>
    <s v="Superficie Escritorio Caramelo 180x70 Clasico"/>
    <n v="1"/>
    <x v="1"/>
    <x v="1"/>
    <x v="1"/>
    <x v="0"/>
    <s v="Envioclick- Coordinadora"/>
    <s v="2841001 - 84151021335"/>
    <d v="2024-11-01T00:00:00"/>
    <d v="2024-11-05T00:00:00"/>
    <x v="0"/>
    <n v="4"/>
    <n v="6"/>
    <x v="0"/>
    <n v="27069"/>
    <m/>
  </r>
  <r>
    <d v="2024-10-28T00:00:00"/>
    <x v="9"/>
    <n v="44"/>
    <n v="2252"/>
    <x v="0"/>
    <s v="David Sanchez Escobar"/>
    <s v="TECUCT"/>
    <s v="TECU bandeja de cables"/>
    <n v="1"/>
    <x v="4"/>
    <x v="1"/>
    <x v="1"/>
    <x v="0"/>
    <s v="Envioclick- Coordinadora"/>
    <s v="2841005 - 84151021345"/>
    <d v="2024-11-01T00:00:00"/>
    <d v="2024-11-05T00:00:00"/>
    <x v="0"/>
    <n v="4"/>
    <n v="6"/>
    <x v="0"/>
    <n v="25593"/>
    <m/>
  </r>
  <r>
    <d v="2024-10-28T00:00:00"/>
    <x v="9"/>
    <n v="44"/>
    <n v="2252"/>
    <x v="0"/>
    <s v="David Sanchez Escobar"/>
    <m/>
    <s v="Servicio de instalacion"/>
    <n v="1"/>
    <x v="7"/>
    <x v="1"/>
    <x v="1"/>
    <x v="3"/>
    <s v="NA"/>
    <s v="NA"/>
    <s v="NA"/>
    <s v="NA"/>
    <x v="2"/>
    <m/>
    <m/>
    <x v="5"/>
    <m/>
    <m/>
  </r>
  <r>
    <d v="2024-10-28T00:00:00"/>
    <x v="9"/>
    <n v="44"/>
    <n v="2253"/>
    <x v="0"/>
    <s v="Zaferi SAS"/>
    <s v="TECU3FNPRO"/>
    <s v="Electric Standing Desk  PRO Negro"/>
    <n v="1"/>
    <x v="0"/>
    <x v="0"/>
    <x v="10"/>
    <x v="0"/>
    <s v="Envioclick- Coordinadora"/>
    <s v="2833354 - 84151018449"/>
    <d v="2024-10-29T00:00:00"/>
    <d v="2024-10-30T00:00:00"/>
    <x v="0"/>
    <n v="1"/>
    <n v="2"/>
    <x v="1"/>
    <n v="43277"/>
    <m/>
  </r>
  <r>
    <d v="2024-10-28T00:00:00"/>
    <x v="9"/>
    <n v="44"/>
    <n v="2253"/>
    <x v="0"/>
    <s v="Zaferi SAS"/>
    <s v="TECUTCC8C"/>
    <s v="Superficie Escritorio Miel 180x70 Clasico"/>
    <n v="1"/>
    <x v="1"/>
    <x v="0"/>
    <x v="10"/>
    <x v="0"/>
    <s v="Envioclick- Coordinadora"/>
    <s v="2833355 - 84151018450"/>
    <d v="2024-10-29T00:00:00"/>
    <d v="2024-10-30T00:00:00"/>
    <x v="0"/>
    <n v="1"/>
    <n v="2"/>
    <x v="1"/>
    <n v="27069"/>
    <m/>
  </r>
  <r>
    <d v="2024-10-30T00:00:00"/>
    <x v="9"/>
    <n v="44"/>
    <n v="2254"/>
    <x v="0"/>
    <s v="Diana Mercedes Paez Barbosa"/>
    <s v="TECU2FNG"/>
    <s v="Electric Standing Desk GO Negro"/>
    <n v="1"/>
    <x v="0"/>
    <x v="6"/>
    <x v="23"/>
    <x v="0"/>
    <s v="Envioclick- Coordinadora"/>
    <s v="2836365- 84151019490"/>
    <d v="2024-10-30T00:00:00"/>
    <d v="2024-11-02T00:00:00"/>
    <x v="0"/>
    <n v="0"/>
    <n v="3"/>
    <x v="1"/>
    <n v="60493"/>
    <m/>
  </r>
  <r>
    <d v="2024-10-30T00:00:00"/>
    <x v="9"/>
    <n v="44"/>
    <n v="2254"/>
    <x v="0"/>
    <s v="Diana Mercedes Paez Barbosa"/>
    <s v="TECU2FNG"/>
    <s v="Electric Standing Desk GO Negro"/>
    <n v="1"/>
    <x v="0"/>
    <x v="6"/>
    <x v="23"/>
    <x v="0"/>
    <s v="Envioclick- Coordinadora"/>
    <s v="2836371 - 84151019492"/>
    <d v="2024-10-30T00:00:00"/>
    <d v="2024-11-02T00:00:00"/>
    <x v="0"/>
    <n v="0"/>
    <n v="3"/>
    <x v="1"/>
    <n v="60493"/>
    <m/>
  </r>
  <r>
    <d v="2024-10-30T00:00:00"/>
    <x v="9"/>
    <n v="44"/>
    <n v="2255"/>
    <x v="0"/>
    <s v="Cristian Garzon"/>
    <s v="TECU3FNPRO"/>
    <s v="Electric Standing Desk  PRO Negro"/>
    <n v="1"/>
    <x v="0"/>
    <x v="0"/>
    <x v="38"/>
    <x v="0"/>
    <s v="Envioclick- Coordinadora"/>
    <s v="2837437 - 84151020018"/>
    <d v="2024-10-30T00:00:00"/>
    <d v="2024-10-31T00:00:00"/>
    <x v="0"/>
    <n v="0"/>
    <n v="1"/>
    <x v="3"/>
    <n v="43277"/>
    <m/>
  </r>
  <r>
    <d v="2024-10-30T00:00:00"/>
    <x v="9"/>
    <n v="44"/>
    <n v="2255"/>
    <x v="0"/>
    <s v="Cristian Garzon"/>
    <m/>
    <s v="Servicio de instalacion"/>
    <n v="1"/>
    <x v="7"/>
    <x v="0"/>
    <x v="38"/>
    <x v="0"/>
    <s v="Envioclick- Coordinadora"/>
    <s v="NA"/>
    <s v="NA"/>
    <s v="NA"/>
    <x v="2"/>
    <m/>
    <m/>
    <x v="5"/>
    <m/>
    <m/>
  </r>
  <r>
    <d v="2024-10-30T00:00:00"/>
    <x v="9"/>
    <n v="44"/>
    <n v="2256"/>
    <x v="0"/>
    <s v="Daniel Franco Meneses"/>
    <s v="TECU2FBGO"/>
    <s v="Electric Standing Desk GO Blanco"/>
    <n v="1"/>
    <x v="0"/>
    <x v="13"/>
    <x v="28"/>
    <x v="0"/>
    <s v="Envioclick- Coordinadora"/>
    <s v="2838546 - 84151020448"/>
    <d v="2024-10-31T00:00:00"/>
    <d v="2024-11-01T00:00:00"/>
    <x v="0"/>
    <n v="1"/>
    <n v="2"/>
    <x v="1"/>
    <n v="41925"/>
    <m/>
  </r>
  <r>
    <d v="2024-10-30T00:00:00"/>
    <x v="9"/>
    <n v="44"/>
    <n v="2256"/>
    <x v="0"/>
    <s v="Daniel Franco Meneses"/>
    <s v="TECUTCC4C"/>
    <s v="Superficie Escritorio Miel 140x70 Clasico"/>
    <n v="1"/>
    <x v="1"/>
    <x v="13"/>
    <x v="28"/>
    <x v="0"/>
    <s v="Envioclick- Coordinadora"/>
    <s v="2838548 - 84151020449"/>
    <d v="2024-10-31T00:00:00"/>
    <d v="2024-11-01T00:00:00"/>
    <x v="0"/>
    <n v="1"/>
    <n v="2"/>
    <x v="1"/>
    <n v="24366"/>
    <m/>
  </r>
  <r>
    <d v="2024-10-31T00:00:00"/>
    <x v="9"/>
    <n v="44"/>
    <n v="2257"/>
    <x v="0"/>
    <s v="Fabio Restrepo Tello"/>
    <s v="TECU3FNPRO"/>
    <s v="Electric Standing Desk  PRO Negro"/>
    <n v="1"/>
    <x v="0"/>
    <x v="1"/>
    <x v="1"/>
    <x v="0"/>
    <s v="Envioclick- Coordinadora"/>
    <s v="2841015 - 84151021351"/>
    <d v="2024-11-01T00:00:00"/>
    <d v="2024-11-05T00:00:00"/>
    <x v="0"/>
    <n v="1"/>
    <n v="3"/>
    <x v="1"/>
    <n v="43277"/>
    <m/>
  </r>
  <r>
    <d v="2024-10-31T00:00:00"/>
    <x v="9"/>
    <n v="44"/>
    <n v="2257"/>
    <x v="0"/>
    <s v="Fabio Restrepo Tello"/>
    <s v="TECUTRN5C"/>
    <s v="Superficie Escritorio Roble negro 150x70 Clasico"/>
    <n v="1"/>
    <x v="1"/>
    <x v="1"/>
    <x v="1"/>
    <x v="0"/>
    <s v="Envioclick- Coordinadora"/>
    <s v="2841016 - 84151021352"/>
    <d v="2024-11-01T00:00:00"/>
    <d v="2024-11-05T00:00:00"/>
    <x v="0"/>
    <n v="1"/>
    <n v="3"/>
    <x v="1"/>
    <n v="24366"/>
    <m/>
  </r>
  <r>
    <d v="2024-10-31T00:00:00"/>
    <x v="9"/>
    <n v="44"/>
    <n v="2257"/>
    <x v="0"/>
    <s v="Fabio Restrepo Tello"/>
    <s v="TECUDSN"/>
    <s v="TECU Desk Stool Negra Silla ajustable"/>
    <n v="1"/>
    <x v="5"/>
    <x v="1"/>
    <x v="1"/>
    <x v="0"/>
    <s v="Envioclick- Coordinadora"/>
    <s v="2841245 - 84151021476"/>
    <d v="2024-11-01T00:00:00"/>
    <d v="2024-11-05T00:00:00"/>
    <x v="0"/>
    <n v="1"/>
    <n v="3"/>
    <x v="1"/>
    <n v="26870"/>
    <m/>
  </r>
  <r>
    <d v="2024-10-31T00:00:00"/>
    <x v="9"/>
    <n v="44"/>
    <n v="2257"/>
    <x v="0"/>
    <s v="Fabio Restrepo Tello"/>
    <s v="TECUAN"/>
    <s v="Archivador TECU  Negro (Wengue)"/>
    <n v="1"/>
    <x v="3"/>
    <x v="1"/>
    <x v="1"/>
    <x v="0"/>
    <s v="Envioclick- Envia"/>
    <s v="2840021 - 954101074940"/>
    <d v="2024-10-31T00:00:00"/>
    <d v="2024-11-01T00:00:00"/>
    <x v="0"/>
    <n v="0"/>
    <n v="1"/>
    <x v="1"/>
    <n v="43847"/>
    <m/>
  </r>
  <r>
    <d v="2024-10-31T00:00:00"/>
    <x v="9"/>
    <n v="44"/>
    <n v="2258"/>
    <x v="0"/>
    <s v="matias celiz"/>
    <s v="TECU3FNPRO"/>
    <s v="Electric Standing Desk  PRO Negro"/>
    <n v="1"/>
    <x v="0"/>
    <x v="0"/>
    <x v="3"/>
    <x v="0"/>
    <s v="Envioclick- Coordinadora"/>
    <s v="2841254 - 84151021482"/>
    <d v="2024-11-01T00:00:00"/>
    <d v="2024-11-02T00:00:00"/>
    <x v="0"/>
    <n v="1"/>
    <n v="2"/>
    <x v="1"/>
    <n v="43277"/>
    <m/>
  </r>
  <r>
    <d v="2024-10-31T00:00:00"/>
    <x v="9"/>
    <n v="44"/>
    <n v="2258"/>
    <x v="0"/>
    <s v="matias celiz"/>
    <s v="TECUTCC7C"/>
    <s v="Superficie Escritorio Miel 170x70 Clasico"/>
    <n v="1"/>
    <x v="1"/>
    <x v="0"/>
    <x v="3"/>
    <x v="0"/>
    <s v="Envioclick- Coordinadora"/>
    <s v="2841255 - 84151021483"/>
    <d v="2024-11-01T00:00:00"/>
    <d v="2024-11-04T00:00:00"/>
    <x v="0"/>
    <n v="1"/>
    <n v="2"/>
    <x v="1"/>
    <n v="27069"/>
    <m/>
  </r>
  <r>
    <d v="2024-11-01T00:00:00"/>
    <x v="10"/>
    <n v="44"/>
    <n v="2259"/>
    <x v="0"/>
    <s v="Manuela Rico"/>
    <s v="TECU3FNPRO"/>
    <s v="Electric Standing Desk  PRO Negro"/>
    <n v="1"/>
    <x v="0"/>
    <x v="4"/>
    <x v="5"/>
    <x v="0"/>
    <s v="Envioclick- Coordinadora"/>
    <s v="2845709 - 84151022995"/>
    <d v="2024-11-05T00:00:00"/>
    <d v="2024-11-07T00:00:00"/>
    <x v="0"/>
    <n v="2"/>
    <n v="4"/>
    <x v="0"/>
    <n v="43277"/>
    <m/>
  </r>
  <r>
    <d v="2024-11-01T00:00:00"/>
    <x v="10"/>
    <n v="44"/>
    <n v="2259"/>
    <x v="0"/>
    <s v="Manuela Rico"/>
    <s v="TECUTB7C"/>
    <s v="Superficie Escritorio Blanco (Niebla) 170x70 Clasico"/>
    <n v="1"/>
    <x v="1"/>
    <x v="4"/>
    <x v="5"/>
    <x v="0"/>
    <s v="Envioclick- Coordinadora"/>
    <s v="2845712 - 84151022997"/>
    <d v="2024-11-05T00:00:00"/>
    <d v="2024-11-07T00:00:00"/>
    <x v="0"/>
    <n v="2"/>
    <n v="4"/>
    <x v="0"/>
    <n v="24366"/>
    <m/>
  </r>
  <r>
    <d v="2024-11-01T00:00:00"/>
    <x v="10"/>
    <n v="44"/>
    <n v="2259"/>
    <x v="0"/>
    <s v="Manuela Rico"/>
    <s v="TECUAB"/>
    <s v="Archivador TECU  Blanco (Niebla)"/>
    <n v="1"/>
    <x v="3"/>
    <x v="4"/>
    <x v="5"/>
    <x v="0"/>
    <s v="Envioclick- Envia"/>
    <s v="2845974 - 954101076958"/>
    <d v="2024-11-05T00:00:00"/>
    <d v="2024-11-07T00:00:00"/>
    <x v="0"/>
    <n v="2"/>
    <n v="4"/>
    <x v="0"/>
    <n v="52482"/>
    <m/>
  </r>
  <r>
    <d v="2024-11-01T00:00:00"/>
    <x v="10"/>
    <n v="44"/>
    <n v="2260"/>
    <x v="0"/>
    <s v="Oscar Javier Dominguez Ramirez"/>
    <s v="TECU3FNPRO"/>
    <s v="Electric Standing Desk  PRO Negro"/>
    <n v="1"/>
    <x v="0"/>
    <x v="1"/>
    <x v="50"/>
    <x v="0"/>
    <s v="Envioclick- Coordinadora"/>
    <s v="2845308  - 84151022810"/>
    <d v="2024-11-05T00:00:00"/>
    <d v="2024-11-20T00:00:00"/>
    <x v="0"/>
    <n v="2"/>
    <n v="14"/>
    <x v="0"/>
    <n v="43277"/>
    <s v="Novedad cambio de ciudad en la guia - Se monta tickets para los cambios.  // Toca ir a recogerla presencialmente a Coordindora - Cota. "/>
  </r>
  <r>
    <d v="2024-11-01T00:00:00"/>
    <x v="10"/>
    <n v="44"/>
    <n v="2260"/>
    <x v="0"/>
    <s v="Oscar Javier Dominguez Ramirez"/>
    <s v="TECUTRN6C"/>
    <s v="Superficie Escritorio Roble Negro 160x70 Clasico"/>
    <n v="1"/>
    <x v="1"/>
    <x v="1"/>
    <x v="50"/>
    <x v="0"/>
    <s v="Envioclick- Coordinadora"/>
    <s v="2845310 - 84151022811 / 39723403246"/>
    <d v="2024-11-05T00:00:00"/>
    <d v="2024-11-14T00:00:00"/>
    <x v="0"/>
    <n v="2"/>
    <n v="9"/>
    <x v="0"/>
    <n v="24366"/>
    <s v="Novedad cambio de ciudad en la guia - Se monta tickets para los cambios. "/>
  </r>
  <r>
    <d v="2024-11-02T00:00:00"/>
    <x v="10"/>
    <n v="44"/>
    <n v="2261"/>
    <x v="0"/>
    <s v="Diego Hoyos"/>
    <s v="TECU3FNPRO"/>
    <s v="Electric Standing Desk  PRO Negro"/>
    <n v="1"/>
    <x v="0"/>
    <x v="0"/>
    <x v="12"/>
    <x v="0"/>
    <s v="Envioclick- Coordinadora"/>
    <s v="2858950 - 84151028433"/>
    <d v="2024-11-12T00:00:00"/>
    <d v="2024-11-14T00:00:00"/>
    <x v="0"/>
    <n v="6"/>
    <n v="8"/>
    <x v="0"/>
    <m/>
    <s v="Cliente pide se despache 12 Nov"/>
  </r>
  <r>
    <d v="2024-11-02T00:00:00"/>
    <x v="10"/>
    <n v="44"/>
    <n v="2261"/>
    <x v="0"/>
    <s v="Diego Hoyos"/>
    <s v="TECUTRN5C"/>
    <s v="Superficie Escritorio Roble negro 150x70 Clasico"/>
    <n v="1"/>
    <x v="1"/>
    <x v="0"/>
    <x v="12"/>
    <x v="0"/>
    <s v="Envioclick- Coordinadora"/>
    <s v="2858951 - 84151028434"/>
    <d v="2024-11-12T00:00:00"/>
    <d v="2024-11-14T00:00:00"/>
    <x v="0"/>
    <n v="6"/>
    <n v="8"/>
    <x v="0"/>
    <m/>
    <s v="Cliente pide se despache 12 Nov"/>
  </r>
  <r>
    <d v="2024-11-02T00:00:00"/>
    <x v="10"/>
    <n v="44"/>
    <n v="2262"/>
    <x v="0"/>
    <s v="Helmuth Cepeda"/>
    <s v="TECUACO"/>
    <s v="Archivador TECU  Caramelo"/>
    <n v="1"/>
    <x v="3"/>
    <x v="1"/>
    <x v="1"/>
    <x v="0"/>
    <s v="Envioclick- Envia"/>
    <s v="2845319 - 954101076740"/>
    <d v="2024-11-05T00:00:00"/>
    <d v="2024-11-06T00:00:00"/>
    <x v="0"/>
    <n v="1"/>
    <n v="2"/>
    <x v="1"/>
    <n v="43847"/>
    <m/>
  </r>
  <r>
    <d v="2024-11-02T00:00:00"/>
    <x v="10"/>
    <n v="44"/>
    <n v="2263"/>
    <x v="0"/>
    <s v="Andres Ferreira"/>
    <s v="TECURCC"/>
    <s v="Repisa TECU  Miel"/>
    <n v="1"/>
    <x v="2"/>
    <x v="1"/>
    <x v="1"/>
    <x v="0"/>
    <s v="Envioclick- Coordinadora"/>
    <s v="2845332 - 84151022824"/>
    <d v="2024-11-05T00:00:00"/>
    <d v="2024-11-06T00:00:00"/>
    <x v="0"/>
    <n v="1"/>
    <n v="2"/>
    <x v="1"/>
    <n v="23690"/>
    <m/>
  </r>
  <r>
    <d v="2024-11-02T00:00:00"/>
    <x v="10"/>
    <n v="44"/>
    <n v="2264"/>
    <x v="0"/>
    <s v="Render man project Sas"/>
    <s v="TECURCO"/>
    <s v="Repisa TECU  Caramelo"/>
    <n v="1"/>
    <x v="2"/>
    <x v="1"/>
    <x v="1"/>
    <x v="0"/>
    <s v="Envioclick- Coordinadora"/>
    <s v="2845336 - 84151022826"/>
    <d v="2024-11-05T00:00:00"/>
    <d v="2024-11-07T00:00:00"/>
    <x v="0"/>
    <n v="1"/>
    <n v="3"/>
    <x v="1"/>
    <n v="23690"/>
    <m/>
  </r>
  <r>
    <d v="2024-11-02T00:00:00"/>
    <x v="10"/>
    <n v="44"/>
    <n v="2265"/>
    <x v="0"/>
    <s v="Sebastian Patiño Barrientos"/>
    <s v="TECUCT"/>
    <s v="TECU bandeja de cables"/>
    <n v="1"/>
    <x v="4"/>
    <x v="0"/>
    <x v="3"/>
    <x v="0"/>
    <s v="Envioclick- Coordinadora"/>
    <s v="2845603 - 84151022912"/>
    <d v="2024-11-05T00:00:00"/>
    <d v="2024-11-06T00:00:00"/>
    <x v="0"/>
    <n v="1"/>
    <n v="2"/>
    <x v="1"/>
    <n v="25593"/>
    <m/>
  </r>
  <r>
    <d v="2024-11-02T00:00:00"/>
    <x v="10"/>
    <n v="44"/>
    <n v="2266"/>
    <x v="0"/>
    <s v="Juan Camilo Martinez Coronado"/>
    <s v="TECU3FNPRO"/>
    <s v="Electric Standing Desk  PRO Negro"/>
    <n v="1"/>
    <x v="0"/>
    <x v="0"/>
    <x v="3"/>
    <x v="0"/>
    <s v="Envioclick- Coordinadora"/>
    <s v="2845347 - 84151022830"/>
    <d v="2024-11-05T00:00:00"/>
    <d v="2024-11-06T00:00:00"/>
    <x v="0"/>
    <n v="1"/>
    <n v="2"/>
    <x v="1"/>
    <n v="43277"/>
    <m/>
  </r>
  <r>
    <d v="2024-11-02T00:00:00"/>
    <x v="10"/>
    <n v="44"/>
    <n v="2266"/>
    <x v="0"/>
    <s v="Juan Camilo Martinez Coronado"/>
    <s v="TECUTCC2C"/>
    <s v="Superficie Escritorio Miel 120x70 Clasico Small"/>
    <n v="1"/>
    <x v="1"/>
    <x v="0"/>
    <x v="3"/>
    <x v="0"/>
    <s v="Envioclick- Coordinadora"/>
    <s v="2845348 - 84151022831"/>
    <d v="2024-11-05T00:00:00"/>
    <d v="2024-11-07T00:00:00"/>
    <x v="0"/>
    <n v="1"/>
    <n v="3"/>
    <x v="1"/>
    <n v="29097"/>
    <m/>
  </r>
  <r>
    <d v="2024-11-03T00:00:00"/>
    <x v="10"/>
    <n v="45"/>
    <n v="2267"/>
    <x v="0"/>
    <s v="Daniel Stiven Rendon Cortes"/>
    <s v="TECU3FNPRO"/>
    <s v="Electric Standing Desk  PRO Negro"/>
    <n v="1"/>
    <x v="0"/>
    <x v="0"/>
    <x v="3"/>
    <x v="0"/>
    <s v="Envioclick- Coordinadora"/>
    <s v="2845363 - 84151022839"/>
    <d v="2024-11-05T00:00:00"/>
    <d v="2024-11-06T00:00:00"/>
    <x v="0"/>
    <n v="0"/>
    <n v="1"/>
    <x v="1"/>
    <n v="43277"/>
    <m/>
  </r>
  <r>
    <d v="2024-11-03T00:00:00"/>
    <x v="10"/>
    <n v="45"/>
    <n v="2267"/>
    <x v="0"/>
    <s v="Daniel Stiven Rendon Cortes"/>
    <s v="TECUTB2C"/>
    <s v="Superficie Escritorio Blanco (Niebla) 120x70 Clasico Small"/>
    <n v="1"/>
    <x v="1"/>
    <x v="0"/>
    <x v="3"/>
    <x v="0"/>
    <s v="Envioclick- Coordinadora"/>
    <s v="2845364 - 84151022840"/>
    <d v="2024-11-05T00:00:00"/>
    <d v="2024-11-07T00:00:00"/>
    <x v="0"/>
    <n v="0"/>
    <n v="2"/>
    <x v="1"/>
    <n v="29097"/>
    <m/>
  </r>
  <r>
    <d v="2024-11-03T00:00:00"/>
    <x v="10"/>
    <n v="45"/>
    <n v="2268"/>
    <x v="0"/>
    <s v="juan posada"/>
    <s v="TECU3FNPRO"/>
    <s v="Electric Standing Desk  PRO Negro"/>
    <n v="1"/>
    <x v="0"/>
    <x v="0"/>
    <x v="3"/>
    <x v="0"/>
    <s v="Envioclick- Coordinadora"/>
    <s v="2845373 - 84151022844"/>
    <d v="2024-11-06T00:00:00"/>
    <d v="2024-11-07T00:00:00"/>
    <x v="0"/>
    <n v="1"/>
    <n v="2"/>
    <x v="1"/>
    <n v="43277"/>
    <m/>
  </r>
  <r>
    <d v="2024-11-03T00:00:00"/>
    <x v="10"/>
    <n v="45"/>
    <n v="2268"/>
    <x v="0"/>
    <s v="juan posada"/>
    <s v="TECUTCO2C"/>
    <s v="Superficie Escritorio Caramelo 120x70 Clasico Small"/>
    <n v="1"/>
    <x v="1"/>
    <x v="0"/>
    <x v="3"/>
    <x v="0"/>
    <s v="Envioclick- Coordinadora"/>
    <s v="2845374 - 84151022845"/>
    <d v="2024-11-06T00:00:00"/>
    <d v="2024-11-07T00:00:00"/>
    <x v="0"/>
    <n v="1"/>
    <n v="2"/>
    <x v="1"/>
    <n v="29097"/>
    <m/>
  </r>
  <r>
    <d v="2024-11-04T00:00:00"/>
    <x v="10"/>
    <n v="45"/>
    <n v="2269"/>
    <x v="0"/>
    <s v="Carlos Ferrer"/>
    <s v="TECU2FGGO"/>
    <s v="Electric Standing Desk GO Gris"/>
    <n v="1"/>
    <x v="0"/>
    <x v="0"/>
    <x v="11"/>
    <x v="0"/>
    <s v="Envioclick- Coordinadora"/>
    <s v="2845474 - 84151022854"/>
    <d v="2024-11-05T00:00:00"/>
    <d v="2024-11-06T00:00:00"/>
    <x v="0"/>
    <n v="0"/>
    <n v="1"/>
    <x v="1"/>
    <n v="41925"/>
    <m/>
  </r>
  <r>
    <d v="2024-11-04T00:00:00"/>
    <x v="10"/>
    <n v="45"/>
    <n v="2269"/>
    <x v="0"/>
    <s v="Carlos Ferrer"/>
    <s v="TECUTCC4C"/>
    <s v="Superficie Escritorio Miel 140x70 Clasico"/>
    <n v="1"/>
    <x v="1"/>
    <x v="0"/>
    <x v="11"/>
    <x v="0"/>
    <s v="Envioclick- Coordinadora"/>
    <s v="2845478 - 84151022857"/>
    <d v="2024-11-05T00:00:00"/>
    <d v="2024-11-06T00:00:00"/>
    <x v="0"/>
    <n v="0"/>
    <n v="1"/>
    <x v="1"/>
    <n v="24366"/>
    <m/>
  </r>
  <r>
    <d v="2024-11-04T00:00:00"/>
    <x v="10"/>
    <n v="45"/>
    <n v="2270"/>
    <x v="0"/>
    <s v="Camila White Romero"/>
    <s v="TECU2FGGO"/>
    <s v="Electric Standing Desk GO Gris"/>
    <n v="1"/>
    <x v="0"/>
    <x v="0"/>
    <x v="3"/>
    <x v="0"/>
    <s v="Envioclick- Coordinadora"/>
    <s v="2845528 - 84151022888"/>
    <d v="2024-11-05T00:00:00"/>
    <d v="2024-11-06T00:00:00"/>
    <x v="0"/>
    <n v="0"/>
    <n v="1"/>
    <x v="1"/>
    <n v="41925"/>
    <m/>
  </r>
  <r>
    <d v="2024-11-04T00:00:00"/>
    <x v="10"/>
    <n v="45"/>
    <n v="2270"/>
    <x v="0"/>
    <s v="Camila White Romero"/>
    <s v="TECUTCC2C"/>
    <s v="Superficie Escritorio Miel 120x70 Clasico Small"/>
    <n v="1"/>
    <x v="1"/>
    <x v="0"/>
    <x v="3"/>
    <x v="0"/>
    <s v="Envioclick- Coordinadora"/>
    <s v="2845529 - 84151022889"/>
    <d v="2024-11-05T00:00:00"/>
    <d v="2024-11-06T00:00:00"/>
    <x v="0"/>
    <n v="0"/>
    <n v="1"/>
    <x v="1"/>
    <n v="24366"/>
    <m/>
  </r>
  <r>
    <d v="2024-11-05T00:00:00"/>
    <x v="10"/>
    <n v="45"/>
    <n v="2271"/>
    <x v="0"/>
    <s v="Jeffrey Hooker"/>
    <s v="TECUCT"/>
    <s v="TECU bandeja de cables"/>
    <n v="1"/>
    <x v="4"/>
    <x v="1"/>
    <x v="1"/>
    <x v="0"/>
    <s v="Envioclick- Coordinadora"/>
    <s v="2845564 - 84151022896"/>
    <d v="2024-11-05T00:00:00"/>
    <d v="2024-11-06T00:00:00"/>
    <x v="0"/>
    <n v="0"/>
    <n v="1"/>
    <x v="1"/>
    <n v="25593"/>
    <m/>
  </r>
  <r>
    <d v="2024-11-05T00:00:00"/>
    <x v="10"/>
    <n v="45"/>
    <n v="2273"/>
    <x v="0"/>
    <s v="Rubén Melo"/>
    <s v="TECU3FNPRO"/>
    <s v="Electric Standing Desk  PRO Negro"/>
    <n v="1"/>
    <x v="0"/>
    <x v="3"/>
    <x v="4"/>
    <x v="0"/>
    <s v="Envioclick- Coordinadora"/>
    <s v="2845768 - 84151023030"/>
    <d v="2024-11-05T00:00:00"/>
    <d v="2024-11-08T00:00:00"/>
    <x v="0"/>
    <n v="0"/>
    <n v="3"/>
    <x v="1"/>
    <n v="63171"/>
    <m/>
  </r>
  <r>
    <d v="2024-11-05T00:00:00"/>
    <x v="10"/>
    <n v="45"/>
    <n v="2273"/>
    <x v="0"/>
    <s v="Rubén Melo"/>
    <s v="TECUTRN2C"/>
    <s v="Superficie Escritorio Roble Negro 120x70 Clasico Small"/>
    <n v="1"/>
    <x v="1"/>
    <x v="3"/>
    <x v="4"/>
    <x v="0"/>
    <s v="Envioclick- Coordinadora"/>
    <s v="2845769 - 84151023031"/>
    <d v="2024-11-05T00:00:00"/>
    <d v="2024-11-08T00:00:00"/>
    <x v="0"/>
    <n v="0"/>
    <n v="3"/>
    <x v="1"/>
    <n v="48991"/>
    <m/>
  </r>
  <r>
    <d v="2024-11-05T00:00:00"/>
    <x v="10"/>
    <n v="45"/>
    <n v="2274"/>
    <x v="0"/>
    <s v="Carlos Gutierrez"/>
    <s v="TECU2FNG"/>
    <s v="Electric Standing Desk GO Negro"/>
    <n v="1"/>
    <x v="0"/>
    <x v="1"/>
    <x v="51"/>
    <x v="0"/>
    <s v="Envioclick- Coordinadora"/>
    <s v="2847815 - 84151024213"/>
    <d v="2024-11-05T00:00:00"/>
    <d v="2024-11-07T00:00:00"/>
    <x v="0"/>
    <n v="0"/>
    <n v="2"/>
    <x v="3"/>
    <n v="54422"/>
    <m/>
  </r>
  <r>
    <d v="2024-11-05T00:00:00"/>
    <x v="10"/>
    <n v="45"/>
    <n v="2274"/>
    <x v="0"/>
    <s v="Carlos Gutierrez"/>
    <s v="TECUTRN4C"/>
    <s v="Superficie Escritorio Roble Negro 140x70 Clasico"/>
    <n v="1"/>
    <x v="1"/>
    <x v="1"/>
    <x v="51"/>
    <x v="0"/>
    <s v="Envioclick- Coordinadora"/>
    <s v="2847816 - 84151024214"/>
    <d v="2024-11-05T00:00:00"/>
    <d v="2024-11-07T00:00:00"/>
    <x v="0"/>
    <n v="0"/>
    <n v="2"/>
    <x v="3"/>
    <n v="34631"/>
    <m/>
  </r>
  <r>
    <d v="2024-11-06T00:00:00"/>
    <x v="10"/>
    <n v="45"/>
    <n v="2275"/>
    <x v="0"/>
    <s v="Natalia Suarez"/>
    <s v="TECU2FGGO"/>
    <s v="Electric Standing Desk GO Gris"/>
    <n v="1"/>
    <x v="0"/>
    <x v="7"/>
    <x v="32"/>
    <x v="0"/>
    <s v="Envioclick- Coordinadora"/>
    <s v="2848973 - 84151024653"/>
    <d v="2024-11-08T00:00:00"/>
    <d v="2024-11-09T00:00:00"/>
    <x v="0"/>
    <n v="2"/>
    <n v="3"/>
    <x v="3"/>
    <n v="94864"/>
    <m/>
  </r>
  <r>
    <d v="2024-11-06T00:00:00"/>
    <x v="10"/>
    <n v="45"/>
    <n v="2275"/>
    <x v="0"/>
    <s v="Natalia Suarez"/>
    <s v="TECUTRN2C"/>
    <s v="Superficie Escritorio Roble Negro 120x70 Clasico Small"/>
    <n v="1"/>
    <x v="1"/>
    <x v="7"/>
    <x v="32"/>
    <x v="0"/>
    <s v="Envioclick- Coordinadora"/>
    <s v="2848974 - 84151024654"/>
    <d v="2024-11-08T00:00:00"/>
    <d v="2024-11-09T00:00:00"/>
    <x v="0"/>
    <n v="2"/>
    <n v="3"/>
    <x v="3"/>
    <n v="80684"/>
    <m/>
  </r>
  <r>
    <d v="2024-11-06T00:00:00"/>
    <x v="10"/>
    <n v="45"/>
    <n v="2275"/>
    <x v="0"/>
    <s v="Natalia Suarez"/>
    <s v="TECUDSN"/>
    <s v="TECU Desk Stool Negra Silla ajustable"/>
    <n v="1"/>
    <x v="5"/>
    <x v="7"/>
    <x v="32"/>
    <x v="0"/>
    <s v="Envioclick- Coordinadora"/>
    <s v="2848982 - 84151024657"/>
    <d v="2024-11-08T00:00:00"/>
    <d v="2024-11-09T00:00:00"/>
    <x v="0"/>
    <n v="2"/>
    <n v="3"/>
    <x v="3"/>
    <n v="83864"/>
    <m/>
  </r>
  <r>
    <d v="2024-11-06T00:00:00"/>
    <x v="10"/>
    <n v="45"/>
    <n v="2276"/>
    <x v="0"/>
    <s v="Oscar Andres Cossio Acevedo"/>
    <s v="TECULFN2"/>
    <s v="Electric Standing Desk | Escritorio Ajustable En L Frame Negro 2.0"/>
    <n v="1"/>
    <x v="0"/>
    <x v="5"/>
    <x v="33"/>
    <x v="0"/>
    <s v="Envioclick- Coordinadora"/>
    <s v="2851791 - 84151025770"/>
    <d v="2024-11-07T00:00:00"/>
    <d v="2024-11-08T00:00:00"/>
    <x v="0"/>
    <n v="1"/>
    <n v="2"/>
    <x v="1"/>
    <n v="49373"/>
    <m/>
  </r>
  <r>
    <d v="2024-11-06T00:00:00"/>
    <x v="10"/>
    <n v="45"/>
    <n v="2276"/>
    <x v="0"/>
    <s v="Oscar Andres Cossio Acevedo"/>
    <s v="TECUTLBS"/>
    <s v="Superficie Escritorio en L Blanco (Niebla) Set completo"/>
    <n v="1"/>
    <x v="1"/>
    <x v="5"/>
    <x v="33"/>
    <x v="0"/>
    <s v="Envioclick- Coordinadora"/>
    <s v="2851792 - 84151025771"/>
    <d v="2024-11-07T00:00:00"/>
    <d v="2024-11-08T00:00:00"/>
    <x v="0"/>
    <n v="1"/>
    <n v="2"/>
    <x v="1"/>
    <n v="17127"/>
    <m/>
  </r>
  <r>
    <d v="2024-11-06T00:00:00"/>
    <x v="10"/>
    <n v="45"/>
    <n v="2276"/>
    <x v="0"/>
    <s v="Oscar Andres Cossio Acevedo"/>
    <s v="TECURB"/>
    <s v="Repisa TECU  Blanco (Niebla)"/>
    <n v="1"/>
    <x v="2"/>
    <x v="5"/>
    <x v="33"/>
    <x v="0"/>
    <s v="Envioclick- Coordinadora"/>
    <s v="2851802 - 84151025776"/>
    <d v="2024-11-07T00:00:00"/>
    <d v="2024-11-08T00:00:00"/>
    <x v="0"/>
    <n v="1"/>
    <n v="2"/>
    <x v="1"/>
    <n v="15073"/>
    <m/>
  </r>
  <r>
    <d v="2024-11-06T00:00:00"/>
    <x v="10"/>
    <n v="45"/>
    <n v="2276"/>
    <x v="0"/>
    <s v="Oscar Andres Cossio Acevedo"/>
    <s v="TECUCT"/>
    <s v="TECU bandeja de cables"/>
    <n v="1"/>
    <x v="4"/>
    <x v="5"/>
    <x v="33"/>
    <x v="0"/>
    <s v="Envioclick- Coordinadora"/>
    <s v="2851808 - 84151025778"/>
    <d v="2024-11-07T00:00:00"/>
    <d v="2024-11-08T00:00:00"/>
    <x v="0"/>
    <n v="1"/>
    <n v="2"/>
    <x v="1"/>
    <n v="15856"/>
    <m/>
  </r>
  <r>
    <d v="2024-11-06T00:00:00"/>
    <x v="10"/>
    <n v="45"/>
    <n v="2276"/>
    <x v="0"/>
    <s v="Oscar Andres Cossio Acevedo"/>
    <s v="TECUCT"/>
    <s v="TECU bandeja de cables"/>
    <n v="1"/>
    <x v="4"/>
    <x v="5"/>
    <x v="33"/>
    <x v="0"/>
    <s v="Envioclick- Coordinadora"/>
    <s v="2851815 - 84151025781"/>
    <d v="2024-11-07T00:00:00"/>
    <d v="2024-11-08T00:00:00"/>
    <x v="0"/>
    <n v="1"/>
    <n v="2"/>
    <x v="1"/>
    <n v="15856"/>
    <m/>
  </r>
  <r>
    <d v="2024-11-07T00:00:00"/>
    <x v="10"/>
    <n v="45"/>
    <n v="2277"/>
    <x v="0"/>
    <s v="William Andrés Salazar Gómez"/>
    <s v="TECU2FGGO"/>
    <s v="Electric Standing Desk GO Gris"/>
    <n v="1"/>
    <x v="0"/>
    <x v="10"/>
    <x v="21"/>
    <x v="0"/>
    <s v="Envioclick- Coordinadora"/>
    <s v="2851780 - 84151025766"/>
    <d v="2024-11-07T00:00:00"/>
    <d v="2024-11-08T00:00:00"/>
    <x v="0"/>
    <n v="0"/>
    <n v="1"/>
    <x v="1"/>
    <n v="34509"/>
    <m/>
  </r>
  <r>
    <d v="2024-11-07T00:00:00"/>
    <x v="10"/>
    <n v="45"/>
    <n v="2277"/>
    <x v="0"/>
    <s v="William Andrés Salazar Gómez"/>
    <s v="TECUTCC6C"/>
    <s v="Superficie Escritorio Miel 160x70 Clasico"/>
    <n v="1"/>
    <x v="1"/>
    <x v="10"/>
    <x v="21"/>
    <x v="0"/>
    <s v="Envioclick- Coordinadora"/>
    <s v="2851781 - 84151025767"/>
    <d v="2024-11-07T00:00:00"/>
    <d v="2024-11-08T00:00:00"/>
    <x v="0"/>
    <n v="0"/>
    <n v="1"/>
    <x v="1"/>
    <n v="15483"/>
    <m/>
  </r>
  <r>
    <d v="2024-11-07T00:00:00"/>
    <x v="10"/>
    <n v="45"/>
    <n v="2278"/>
    <x v="0"/>
    <s v="Juan Quiñonez"/>
    <s v="TECU2FGGO"/>
    <s v="Electric Standing Desk GO Gris"/>
    <n v="1"/>
    <x v="0"/>
    <x v="4"/>
    <x v="52"/>
    <x v="0"/>
    <s v="Envioclick- Coordinadora"/>
    <s v="2851829 - 84151025785"/>
    <d v="2024-11-07T00:00:00"/>
    <d v="2024-11-08T00:00:00"/>
    <x v="0"/>
    <n v="0"/>
    <n v="1"/>
    <x v="1"/>
    <n v="41925"/>
    <m/>
  </r>
  <r>
    <d v="2024-11-07T00:00:00"/>
    <x v="10"/>
    <n v="45"/>
    <n v="2278"/>
    <x v="0"/>
    <s v="Juan Quiñonez"/>
    <s v="TECUTCO3C"/>
    <s v="Superficie Escritorio Caramelo 130x70 Clasico"/>
    <n v="1"/>
    <x v="1"/>
    <x v="4"/>
    <x v="52"/>
    <x v="0"/>
    <s v="Envioclick- Coordinadora"/>
    <s v="2851830 - 84151025787"/>
    <d v="2024-11-07T00:00:00"/>
    <d v="2024-11-08T00:00:00"/>
    <x v="0"/>
    <n v="0"/>
    <n v="1"/>
    <x v="1"/>
    <n v="24366"/>
    <m/>
  </r>
  <r>
    <d v="2024-11-08T00:00:00"/>
    <x v="10"/>
    <n v="45"/>
    <n v="2279"/>
    <x v="0"/>
    <s v="Jeffer Alfonso"/>
    <s v="TECU2FGGO"/>
    <s v="Electric Standing Desk GO Gris"/>
    <n v="1"/>
    <x v="0"/>
    <x v="1"/>
    <x v="51"/>
    <x v="0"/>
    <s v="Envioclick- Coordinadora"/>
    <s v="2854489 - 84151026722"/>
    <d v="2024-11-08T00:00:00"/>
    <d v="2024-11-12T00:00:00"/>
    <x v="0"/>
    <n v="0"/>
    <n v="2"/>
    <x v="3"/>
    <n v="54422"/>
    <m/>
  </r>
  <r>
    <d v="2024-11-08T00:00:00"/>
    <x v="10"/>
    <n v="45"/>
    <n v="2279"/>
    <x v="0"/>
    <s v="Jeffer Alfonso"/>
    <s v="TECUTCO5C"/>
    <s v="Superficie Escritorio Caramelo 150x70 Clasico"/>
    <n v="1"/>
    <x v="1"/>
    <x v="1"/>
    <x v="51"/>
    <x v="0"/>
    <s v="Envioclick- Coordinadora"/>
    <s v="2854490 - 84151026723"/>
    <d v="2024-11-08T00:00:00"/>
    <d v="2024-11-12T00:00:00"/>
    <x v="0"/>
    <n v="0"/>
    <n v="2"/>
    <x v="3"/>
    <n v="34641"/>
    <m/>
  </r>
  <r>
    <d v="2024-11-08T00:00:00"/>
    <x v="10"/>
    <n v="45"/>
    <n v="2280"/>
    <x v="0"/>
    <s v="Alain Almeida"/>
    <s v="TECUROD"/>
    <s v="Rodachines con freno para Standing desk x 4 UN"/>
    <n v="1"/>
    <x v="6"/>
    <x v="0"/>
    <x v="10"/>
    <x v="0"/>
    <s v="Envioclick- Coordinadora"/>
    <s v="2854557 - 84151026762"/>
    <d v="2024-11-08T00:00:00"/>
    <d v="2024-11-11T00:00:00"/>
    <x v="0"/>
    <n v="0"/>
    <n v="1"/>
    <x v="1"/>
    <n v="24583"/>
    <m/>
  </r>
  <r>
    <d v="2024-11-08T00:00:00"/>
    <x v="10"/>
    <n v="45"/>
    <n v="2281"/>
    <x v="0"/>
    <s v="Camilo Luna"/>
    <s v="TECUDSN"/>
    <s v="TECU Desk Stool Negra Silla ajustable"/>
    <n v="1"/>
    <x v="5"/>
    <x v="1"/>
    <x v="1"/>
    <x v="0"/>
    <s v="Envioclick- Coordinadora"/>
    <s v="2855189 - 84151027031"/>
    <d v="2024-11-08T00:00:00"/>
    <d v="2024-11-12T00:00:00"/>
    <x v="0"/>
    <n v="0"/>
    <n v="2"/>
    <x v="1"/>
    <n v="26870"/>
    <m/>
  </r>
  <r>
    <d v="2024-11-08T00:00:00"/>
    <x v="10"/>
    <n v="45"/>
    <n v="2282"/>
    <x v="0"/>
    <s v="Julian Vasquez Ospina"/>
    <s v="TECU3FGPRO"/>
    <s v="Electric Standing Desk  PRO Gris"/>
    <n v="1"/>
    <x v="0"/>
    <x v="0"/>
    <x v="3"/>
    <x v="0"/>
    <s v="Envioclick- Coordinadora"/>
    <s v="2859840 - 84151028876"/>
    <d v="2024-11-12T00:00:00"/>
    <d v="2024-11-13T00:00:00"/>
    <x v="0"/>
    <n v="2"/>
    <n v="3"/>
    <x v="1"/>
    <n v="43277"/>
    <m/>
  </r>
  <r>
    <d v="2024-11-08T00:00:00"/>
    <x v="10"/>
    <n v="45"/>
    <n v="2282"/>
    <x v="0"/>
    <s v="Julian Vasquez Ospina"/>
    <s v="TECUTRN4C"/>
    <s v="Superficie Escritorio Roble Negro 140x70 Clasico"/>
    <n v="1"/>
    <x v="1"/>
    <x v="0"/>
    <x v="3"/>
    <x v="0"/>
    <s v="Envioclick- Coordinadora"/>
    <s v="2859841 - 84151028877"/>
    <d v="2024-11-12T00:00:00"/>
    <d v="2024-11-13T00:00:00"/>
    <x v="0"/>
    <n v="2"/>
    <n v="3"/>
    <x v="1"/>
    <n v="24366"/>
    <m/>
  </r>
  <r>
    <d v="2024-11-08T00:00:00"/>
    <x v="10"/>
    <n v="45"/>
    <n v="2282"/>
    <x v="0"/>
    <s v="Julian Vasquez Ospina"/>
    <s v="TECUAN"/>
    <s v="Archivador TECU  Negro (Wengue)"/>
    <n v="1"/>
    <x v="3"/>
    <x v="0"/>
    <x v="3"/>
    <x v="0"/>
    <s v="Envioclick- Envia"/>
    <s v="2862378 - 954101082937"/>
    <d v="2024-11-13T00:00:00"/>
    <d v="2024-11-15T00:00:00"/>
    <x v="0"/>
    <n v="3"/>
    <n v="5"/>
    <x v="0"/>
    <n v="52482"/>
    <m/>
  </r>
  <r>
    <d v="2024-11-12T00:00:00"/>
    <x v="10"/>
    <n v="46"/>
    <n v="2283"/>
    <x v="0"/>
    <s v="Andres ROMO"/>
    <s v="TECU3FNPRO"/>
    <s v="Electric Standing Desk  PRO Negro"/>
    <n v="1"/>
    <x v="0"/>
    <x v="1"/>
    <x v="1"/>
    <x v="0"/>
    <s v="Envioclick- Coordinadora"/>
    <s v="2859144 - 84151028530"/>
    <d v="2024-11-12T00:00:00"/>
    <d v="2024-11-26T00:00:00"/>
    <x v="0"/>
    <n v="0"/>
    <n v="12"/>
    <x v="0"/>
    <n v="43277"/>
    <m/>
  </r>
  <r>
    <d v="2024-11-12T00:00:00"/>
    <x v="10"/>
    <n v="46"/>
    <n v="2283"/>
    <x v="0"/>
    <s v="Andres ROMO"/>
    <s v="TECUTCO20C"/>
    <s v="Superficie Escritorio Caramelo 200x70 Clasico"/>
    <n v="1"/>
    <x v="1"/>
    <x v="1"/>
    <x v="1"/>
    <x v="0"/>
    <s v="Envioclick- Coordinadora"/>
    <s v="2859146 -84151028531"/>
    <d v="2024-11-12T00:00:00"/>
    <d v="2024-11-14T00:00:00"/>
    <x v="0"/>
    <n v="0"/>
    <n v="2"/>
    <x v="1"/>
    <n v="27069"/>
    <m/>
  </r>
  <r>
    <d v="2024-11-12T00:00:00"/>
    <x v="10"/>
    <n v="46"/>
    <n v="2283"/>
    <x v="4"/>
    <s v="Andres ROMO"/>
    <s v="TECUBDPM"/>
    <s v="TECU Desk Pad B Negro Café Miel"/>
    <n v="1"/>
    <x v="4"/>
    <x v="1"/>
    <x v="1"/>
    <x v="0"/>
    <s v="Envioclick- Coordinadora"/>
    <s v="2859122 - 84151028513"/>
    <d v="2024-11-12T00:00:00"/>
    <d v="2024-11-13T00:00:00"/>
    <x v="0"/>
    <n v="0"/>
    <n v="1"/>
    <x v="1"/>
    <n v="17079"/>
    <m/>
  </r>
  <r>
    <d v="2024-11-12T00:00:00"/>
    <x v="10"/>
    <n v="46"/>
    <n v="2284"/>
    <x v="0"/>
    <s v="Santiago Rodriguez Bermúdez"/>
    <s v="TECUCT"/>
    <s v="TECU bandeja de cables"/>
    <n v="1"/>
    <x v="4"/>
    <x v="1"/>
    <x v="1"/>
    <x v="0"/>
    <s v="Envioclick- Coordinadora"/>
    <s v="2858977 - 84151028443"/>
    <d v="2024-11-12T00:00:00"/>
    <d v="2024-11-13T00:00:00"/>
    <x v="0"/>
    <n v="0"/>
    <n v="1"/>
    <x v="1"/>
    <n v="25593"/>
    <m/>
  </r>
  <r>
    <d v="2024-11-12T00:00:00"/>
    <x v="10"/>
    <n v="46"/>
    <n v="2285"/>
    <x v="0"/>
    <s v="Miguel Mejia"/>
    <s v="TECUCT"/>
    <s v="TECU bandeja de cables"/>
    <n v="1"/>
    <x v="4"/>
    <x v="1"/>
    <x v="46"/>
    <x v="0"/>
    <s v="Envioclick- Coordinadora"/>
    <s v="2859008 - 84151028454"/>
    <d v="2024-11-12T00:00:00"/>
    <d v="2024-11-13T00:00:00"/>
    <x v="0"/>
    <n v="0"/>
    <n v="1"/>
    <x v="3"/>
    <n v="25593"/>
    <m/>
  </r>
  <r>
    <d v="2024-11-12T00:00:00"/>
    <x v="10"/>
    <n v="46"/>
    <n v="2285"/>
    <x v="0"/>
    <s v="Miguel Mejia"/>
    <s v="TECUCT"/>
    <s v="TECU bandeja de cables"/>
    <n v="1"/>
    <x v="4"/>
    <x v="1"/>
    <x v="46"/>
    <x v="0"/>
    <s v="Envioclick- Coordinadora"/>
    <s v="2859076 - 84151028483"/>
    <d v="2024-11-12T00:00:00"/>
    <d v="2024-11-13T00:00:00"/>
    <x v="0"/>
    <n v="0"/>
    <n v="1"/>
    <x v="3"/>
    <n v="25593"/>
    <m/>
  </r>
  <r>
    <d v="2024-11-12T00:00:00"/>
    <x v="10"/>
    <n v="46"/>
    <n v="2286"/>
    <x v="0"/>
    <s v="Cesar Santiago Pinto Corredor"/>
    <s v="TECURN"/>
    <s v="Repisa TECU  Negro (Wengue)"/>
    <n v="1"/>
    <x v="2"/>
    <x v="3"/>
    <x v="4"/>
    <x v="0"/>
    <s v="Envioclick- Coordinadora"/>
    <s v="2860436 - 84151029193"/>
    <d v="2024-11-12T00:00:00"/>
    <d v="2024-11-14T00:00:00"/>
    <x v="0"/>
    <n v="0"/>
    <n v="2"/>
    <x v="1"/>
    <n v="38279"/>
    <m/>
  </r>
  <r>
    <d v="2024-11-12T00:00:00"/>
    <x v="10"/>
    <n v="46"/>
    <n v="2287"/>
    <x v="0"/>
    <s v="Santiago Cabrera Silva"/>
    <s v="TECU3FNPRO"/>
    <s v="Electric Standing Desk  PRO Negro"/>
    <n v="1"/>
    <x v="0"/>
    <x v="1"/>
    <x v="1"/>
    <x v="0"/>
    <s v="Envioclick- Coordinadora"/>
    <s v="2866699 - 84151031196"/>
    <d v="2024-11-14T00:00:00"/>
    <d v="2024-11-15T00:00:00"/>
    <x v="0"/>
    <n v="2"/>
    <n v="3"/>
    <x v="1"/>
    <n v="43277"/>
    <m/>
  </r>
  <r>
    <d v="2024-11-12T00:00:00"/>
    <x v="10"/>
    <n v="46"/>
    <n v="2287"/>
    <x v="0"/>
    <s v="Santiago Cabrera Silva"/>
    <s v="TECUTRC8C"/>
    <s v="Superficie Roble Caramelo 180x70 Clasico"/>
    <n v="1"/>
    <x v="1"/>
    <x v="1"/>
    <x v="1"/>
    <x v="0"/>
    <s v="Envioclick- Coordinadora"/>
    <s v="2866700 - 84151031197"/>
    <d v="2024-11-14T00:00:00"/>
    <d v="2024-11-15T00:00:00"/>
    <x v="0"/>
    <n v="2"/>
    <n v="3"/>
    <x v="1"/>
    <n v="27069"/>
    <m/>
  </r>
  <r>
    <d v="2024-11-12T00:00:00"/>
    <x v="10"/>
    <n v="46"/>
    <n v="2287"/>
    <x v="0"/>
    <s v="Santiago Cabrera Silva"/>
    <s v="TECU3FGPRO"/>
    <s v="Electric Standing Desk  PRO Gris"/>
    <n v="1"/>
    <x v="0"/>
    <x v="1"/>
    <x v="1"/>
    <x v="0"/>
    <s v="Envioclick- Coordinadora"/>
    <s v="2866705 - 84151031200"/>
    <d v="2024-11-14T00:00:00"/>
    <d v="2024-11-15T00:00:00"/>
    <x v="0"/>
    <n v="2"/>
    <n v="3"/>
    <x v="1"/>
    <n v="43277"/>
    <m/>
  </r>
  <r>
    <d v="2024-11-12T00:00:00"/>
    <x v="10"/>
    <n v="46"/>
    <n v="2287"/>
    <x v="0"/>
    <s v="Santiago Cabrera Silva"/>
    <s v="TECUTCC8C"/>
    <s v="Superficie Escritorio Miel 180x70 Clasico"/>
    <n v="1"/>
    <x v="1"/>
    <x v="1"/>
    <x v="1"/>
    <x v="0"/>
    <s v="Envioclick- Coordinadora"/>
    <s v="2866706 - 84151031201"/>
    <d v="2024-11-14T00:00:00"/>
    <d v="2024-11-15T00:00:00"/>
    <x v="0"/>
    <n v="2"/>
    <n v="3"/>
    <x v="1"/>
    <n v="27069"/>
    <m/>
  </r>
  <r>
    <d v="2024-11-12T00:00:00"/>
    <x v="10"/>
    <n v="46"/>
    <n v="2287"/>
    <x v="0"/>
    <s v="Santiago Cabrera Silva"/>
    <s v="TECUACC"/>
    <s v="Archivador TECU  Miel"/>
    <n v="1"/>
    <x v="3"/>
    <x v="1"/>
    <x v="1"/>
    <x v="0"/>
    <s v="Envioclick- ROA"/>
    <s v="NA"/>
    <d v="2024-11-19T00:00:00"/>
    <d v="2024-11-22T00:00:00"/>
    <x v="0"/>
    <n v="6"/>
    <n v="9"/>
    <x v="0"/>
    <m/>
    <m/>
  </r>
  <r>
    <d v="2024-11-12T00:00:00"/>
    <x v="10"/>
    <n v="46"/>
    <n v="2287"/>
    <x v="0"/>
    <s v="Santiago Cabrera Silva"/>
    <s v="TECUACO"/>
    <s v="Archivador TECU  Caramelo"/>
    <n v="1"/>
    <x v="3"/>
    <x v="1"/>
    <x v="1"/>
    <x v="0"/>
    <s v="Envioclick- ROA"/>
    <s v="NA"/>
    <d v="2024-11-19T00:00:00"/>
    <d v="2024-11-22T00:00:00"/>
    <x v="0"/>
    <n v="6"/>
    <n v="9"/>
    <x v="0"/>
    <m/>
    <m/>
  </r>
  <r>
    <d v="2024-11-15T00:00:00"/>
    <x v="10"/>
    <n v="46"/>
    <n v="2288"/>
    <x v="0"/>
    <s v="Cristian Marin"/>
    <s v="TECUBLS"/>
    <s v="TECU Laptop Stand B"/>
    <n v="1"/>
    <x v="4"/>
    <x v="0"/>
    <x v="11"/>
    <x v="0"/>
    <s v="Envioclick- Coordinadora"/>
    <s v="2868585 - 84151032076"/>
    <d v="2024-11-15T00:00:00"/>
    <d v="2024-11-17T00:00:00"/>
    <x v="0"/>
    <n v="0"/>
    <n v="1"/>
    <x v="1"/>
    <n v="25593"/>
    <m/>
  </r>
  <r>
    <d v="2024-11-15T00:00:00"/>
    <x v="10"/>
    <n v="46"/>
    <n v="2289"/>
    <x v="0"/>
    <s v="Beatriz Ramírez Ramírez"/>
    <s v="TECU2FGGO"/>
    <s v="Electric Standing Desk GO Gris"/>
    <n v="1"/>
    <x v="0"/>
    <x v="1"/>
    <x v="1"/>
    <x v="0"/>
    <s v="Envioclick- Coordinadora"/>
    <s v="2868612 - 84151032090"/>
    <d v="2024-11-15T00:00:00"/>
    <d v="2024-11-16T00:00:00"/>
    <x v="0"/>
    <n v="0"/>
    <n v="1"/>
    <x v="1"/>
    <n v="41925"/>
    <m/>
  </r>
  <r>
    <d v="2024-11-15T00:00:00"/>
    <x v="10"/>
    <n v="46"/>
    <n v="2289"/>
    <x v="0"/>
    <s v="Beatriz Ramírez Ramírez"/>
    <s v="TECUTCC2C"/>
    <s v="Superficie Escritorio Miel 120x70 Clasico Small"/>
    <n v="1"/>
    <x v="1"/>
    <x v="1"/>
    <x v="1"/>
    <x v="0"/>
    <s v="Envioclick- Coordinadora"/>
    <s v="2868614 - 84151032091"/>
    <d v="2024-11-15T00:00:00"/>
    <d v="2024-11-16T00:00:00"/>
    <x v="0"/>
    <n v="0"/>
    <n v="1"/>
    <x v="1"/>
    <n v="24366"/>
    <m/>
  </r>
  <r>
    <d v="2024-11-15T00:00:00"/>
    <x v="10"/>
    <n v="46"/>
    <n v="2289"/>
    <x v="0"/>
    <s v="Beatriz Ramírez Ramírez"/>
    <s v="TECUCT"/>
    <s v="TECU bandeja de cables"/>
    <n v="1"/>
    <x v="4"/>
    <x v="1"/>
    <x v="1"/>
    <x v="0"/>
    <s v="Envioclick- Coordinadora"/>
    <s v="2868617 - 84151032093"/>
    <d v="2024-11-15T00:00:00"/>
    <d v="2024-11-16T00:00:00"/>
    <x v="0"/>
    <n v="0"/>
    <n v="1"/>
    <x v="1"/>
    <n v="25593"/>
    <m/>
  </r>
  <r>
    <d v="2024-11-15T00:00:00"/>
    <x v="10"/>
    <n v="46"/>
    <n v="2290"/>
    <x v="0"/>
    <s v="Joshua Eidelman"/>
    <s v="TECU3FNPRO"/>
    <s v="Electric Standing Desk  PRO Negro"/>
    <n v="1"/>
    <x v="0"/>
    <x v="0"/>
    <x v="3"/>
    <x v="0"/>
    <s v="Envioclick- Coordinadora"/>
    <s v="2868601 - 84151032084"/>
    <d v="2024-11-15T00:00:00"/>
    <d v="2024-11-16T00:00:00"/>
    <x v="0"/>
    <n v="0"/>
    <n v="1"/>
    <x v="1"/>
    <n v="43277"/>
    <m/>
  </r>
  <r>
    <d v="2024-11-15T00:00:00"/>
    <x v="10"/>
    <n v="46"/>
    <n v="2290"/>
    <x v="0"/>
    <s v="Joshua Eidelman"/>
    <s v="TECUTCC5C"/>
    <s v="Superficie Escritorio Miel 150x70 Clasico"/>
    <n v="1"/>
    <x v="1"/>
    <x v="0"/>
    <x v="3"/>
    <x v="0"/>
    <s v="Envioclick- Coordinadora"/>
    <s v="2868602 - 84151032085"/>
    <d v="2024-11-15T00:00:00"/>
    <d v="2024-11-16T00:00:00"/>
    <x v="0"/>
    <n v="0"/>
    <n v="1"/>
    <x v="1"/>
    <n v="24366"/>
    <m/>
  </r>
  <r>
    <d v="2024-11-15T00:00:00"/>
    <x v="10"/>
    <n v="46"/>
    <n v="2291"/>
    <x v="0"/>
    <s v="Juan Pablo Gomez Ocampo"/>
    <s v="TECURCO"/>
    <s v="Repisa TECU  Caramelo"/>
    <n v="1"/>
    <x v="2"/>
    <x v="4"/>
    <x v="30"/>
    <x v="0"/>
    <s v="Envioclick- Coordinadora"/>
    <s v="2868679 - 84151032117"/>
    <d v="2024-11-15T00:00:00"/>
    <d v="2024-11-18T00:00:00"/>
    <x v="0"/>
    <n v="0"/>
    <n v="2"/>
    <x v="1"/>
    <n v="23690"/>
    <m/>
  </r>
  <r>
    <d v="2024-11-15T00:00:00"/>
    <x v="10"/>
    <n v="46"/>
    <n v="2292"/>
    <x v="0"/>
    <s v="Carlos Villalba"/>
    <s v="TECU3FGPRO"/>
    <s v="Electric Standing Desk  PRO Gris"/>
    <n v="1"/>
    <x v="0"/>
    <x v="13"/>
    <x v="28"/>
    <x v="0"/>
    <s v="Envioclick- Coordinadora"/>
    <s v="2868811 - 84151032171"/>
    <d v="2024-11-15T00:00:00"/>
    <d v="2024-11-16T00:00:00"/>
    <x v="0"/>
    <n v="0"/>
    <n v="1"/>
    <x v="1"/>
    <n v="43277"/>
    <m/>
  </r>
  <r>
    <d v="2024-11-15T00:00:00"/>
    <x v="10"/>
    <n v="46"/>
    <n v="2292"/>
    <x v="0"/>
    <s v="Carlos Villalba"/>
    <s v="TECUTRN2C"/>
    <s v="Superficie Escritorio Roble Negro 120x70 Clasico Small"/>
    <n v="1"/>
    <x v="1"/>
    <x v="13"/>
    <x v="28"/>
    <x v="0"/>
    <s v="Envioclick- Coordinadora"/>
    <s v="2868812 - 84151032172"/>
    <d v="2024-11-15T00:00:00"/>
    <d v="2024-11-16T00:00:00"/>
    <x v="0"/>
    <n v="0"/>
    <n v="1"/>
    <x v="1"/>
    <n v="29097"/>
    <m/>
  </r>
  <r>
    <d v="2024-11-15T00:00:00"/>
    <x v="10"/>
    <n v="46"/>
    <n v="2293"/>
    <x v="0"/>
    <s v="Carlos Villalba"/>
    <s v="TECUCT"/>
    <s v="TECU bandeja de cables"/>
    <n v="1"/>
    <x v="4"/>
    <x v="13"/>
    <x v="28"/>
    <x v="0"/>
    <s v="Envioclick- Coordinadora"/>
    <s v="2868883 - 84151032215"/>
    <d v="2024-11-15T00:00:00"/>
    <d v="2024-11-16T00:00:00"/>
    <x v="0"/>
    <n v="0"/>
    <n v="1"/>
    <x v="1"/>
    <n v="25593"/>
    <m/>
  </r>
  <r>
    <d v="2024-11-16T00:00:00"/>
    <x v="10"/>
    <n v="46"/>
    <n v="2294"/>
    <x v="0"/>
    <s v="Esteban Bautista"/>
    <s v="TECURN"/>
    <s v="Repisa TECU  Negro (Wengue)"/>
    <n v="1"/>
    <x v="2"/>
    <x v="1"/>
    <x v="46"/>
    <x v="0"/>
    <s v="Envioclick- Coordinadora"/>
    <s v="2872708 - 84151033904"/>
    <d v="2024-11-18T00:00:00"/>
    <d v="2024-11-20T00:00:00"/>
    <x v="0"/>
    <n v="1"/>
    <n v="3"/>
    <x v="3"/>
    <n v="23690"/>
    <m/>
  </r>
  <r>
    <d v="2024-11-16T00:00:00"/>
    <x v="10"/>
    <n v="46"/>
    <n v="2295"/>
    <x v="0"/>
    <s v="Aili Carolina Tovar Armas"/>
    <s v="TECUDSN"/>
    <s v="TECU Desk Stool Negra Silla ajustable"/>
    <n v="1"/>
    <x v="5"/>
    <x v="1"/>
    <x v="1"/>
    <x v="0"/>
    <s v="Envioclick- Coordinadora"/>
    <s v="2872979 - 84151034074"/>
    <d v="2024-11-18T00:00:00"/>
    <d v="2024-11-19T00:00:00"/>
    <x v="0"/>
    <n v="1"/>
    <n v="2"/>
    <x v="1"/>
    <n v="26870"/>
    <m/>
  </r>
  <r>
    <d v="2024-11-18T00:00:00"/>
    <x v="10"/>
    <n v="47"/>
    <n v="2296"/>
    <x v="0"/>
    <s v="Alain Bismark"/>
    <s v="TECUCT"/>
    <s v="TECU bandeja de cables"/>
    <n v="1"/>
    <x v="4"/>
    <x v="0"/>
    <x v="10"/>
    <x v="0"/>
    <s v="Envioclick- Coordinadora"/>
    <s v="2872801 - 84151033961"/>
    <d v="2024-11-18T00:00:00"/>
    <d v="2024-11-19T00:00:00"/>
    <x v="0"/>
    <n v="0"/>
    <n v="1"/>
    <x v="1"/>
    <n v="25593"/>
    <m/>
  </r>
  <r>
    <d v="2024-11-18T00:00:00"/>
    <x v="10"/>
    <n v="47"/>
    <n v="2296"/>
    <x v="0"/>
    <s v="Alain Bismark"/>
    <s v="TECUROD"/>
    <s v="Rodachines con freno para Standing desk x 4 UN"/>
    <n v="1"/>
    <x v="6"/>
    <x v="0"/>
    <x v="10"/>
    <x v="0"/>
    <s v="Envioclick- Coordinadora"/>
    <s v="2872812 - 84151033970"/>
    <d v="2024-11-18T00:00:00"/>
    <d v="2024-11-19T00:00:00"/>
    <x v="0"/>
    <n v="0"/>
    <n v="1"/>
    <x v="1"/>
    <n v="24583"/>
    <m/>
  </r>
  <r>
    <d v="2024-11-18T00:00:00"/>
    <x v="10"/>
    <n v="47"/>
    <n v="2297"/>
    <x v="0"/>
    <s v="Mervin Villamizar Rivera"/>
    <s v="TECURCO"/>
    <s v="Repisa TECU  Caramelo"/>
    <n v="1"/>
    <x v="2"/>
    <x v="7"/>
    <x v="18"/>
    <x v="0"/>
    <s v="Envioclick- Coordinadora"/>
    <s v="2874262 - 84151034912"/>
    <d v="2024-11-18T00:00:00"/>
    <d v="2024-11-19T00:00:00"/>
    <x v="0"/>
    <n v="0"/>
    <n v="1"/>
    <x v="1"/>
    <n v="33510"/>
    <m/>
  </r>
  <r>
    <d v="2024-11-18T00:00:00"/>
    <x v="10"/>
    <n v="47"/>
    <n v="2298"/>
    <x v="0"/>
    <s v="Juliana Montoya"/>
    <s v="TECURCO"/>
    <s v="Repisa TECU  Caramelo"/>
    <n v="1"/>
    <x v="2"/>
    <x v="0"/>
    <x v="10"/>
    <x v="0"/>
    <s v="Envioclick- Coordinadora"/>
    <s v="2872831 - 84151033977"/>
    <d v="2024-11-18T00:00:00"/>
    <d v="2024-11-19T00:00:00"/>
    <x v="0"/>
    <n v="0"/>
    <n v="1"/>
    <x v="1"/>
    <n v="23690"/>
    <m/>
  </r>
  <r>
    <d v="2024-11-18T00:00:00"/>
    <x v="10"/>
    <n v="47"/>
    <n v="2299"/>
    <x v="0"/>
    <s v="Eduardo Avellaneda Perez"/>
    <s v="TECURCO"/>
    <s v="Repisa TECU  Caramelo"/>
    <n v="1"/>
    <x v="2"/>
    <x v="1"/>
    <x v="1"/>
    <x v="0"/>
    <s v="Envioclick- Coordinadora"/>
    <s v="2872843 - 84151033985"/>
    <d v="2024-11-18T00:00:00"/>
    <d v="2024-11-19T00:00:00"/>
    <x v="0"/>
    <n v="0"/>
    <n v="1"/>
    <x v="1"/>
    <n v="23690"/>
    <m/>
  </r>
  <r>
    <d v="2024-11-18T00:00:00"/>
    <x v="10"/>
    <n v="47"/>
    <n v="2300"/>
    <x v="0"/>
    <s v="Edwin Ahumada"/>
    <s v="TECU2FNG"/>
    <s v="Electric Standing Desk GO Negro"/>
    <n v="1"/>
    <x v="0"/>
    <x v="1"/>
    <x v="1"/>
    <x v="0"/>
    <s v="Envioclick- Coordinadora"/>
    <s v="2873748 - 84151034561"/>
    <d v="2024-11-18T00:00:00"/>
    <d v="2024-11-19T00:00:00"/>
    <x v="0"/>
    <n v="0"/>
    <n v="1"/>
    <x v="1"/>
    <n v="41925"/>
    <m/>
  </r>
  <r>
    <d v="2024-11-18T00:00:00"/>
    <x v="10"/>
    <n v="47"/>
    <n v="2300"/>
    <x v="0"/>
    <s v="Edwin Ahumada"/>
    <s v="TECUTCO2C"/>
    <s v="Superficie Escritorio Caramelo 120x70 Clasico Small"/>
    <n v="1"/>
    <x v="1"/>
    <x v="1"/>
    <x v="1"/>
    <x v="0"/>
    <s v="Envioclick- Coordinadora"/>
    <s v="2873750 - 84151034562"/>
    <d v="2024-11-18T00:00:00"/>
    <d v="2024-11-20T00:00:00"/>
    <x v="0"/>
    <n v="0"/>
    <n v="2"/>
    <x v="1"/>
    <n v="24366"/>
    <m/>
  </r>
  <r>
    <d v="2024-11-19T00:00:00"/>
    <x v="10"/>
    <n v="47"/>
    <n v="2301"/>
    <x v="0"/>
    <s v="Cristian Marin"/>
    <s v="TECUCT"/>
    <s v="TECU bandeja de cables"/>
    <n v="1"/>
    <x v="4"/>
    <x v="0"/>
    <x v="11"/>
    <x v="0"/>
    <s v="Envioclick- Coordinadora"/>
    <s v="2875947 - 84151035691"/>
    <d v="2024-11-19T00:00:00"/>
    <d v="2024-11-20T00:00:00"/>
    <x v="0"/>
    <n v="0"/>
    <n v="1"/>
    <x v="1"/>
    <n v="25593"/>
    <m/>
  </r>
  <r>
    <d v="2024-11-19T00:00:00"/>
    <x v="10"/>
    <n v="47"/>
    <n v="2301"/>
    <x v="0"/>
    <s v="Cristian Marin"/>
    <s v="TECURCO"/>
    <s v="Repisa TECU  Caramelo"/>
    <n v="1"/>
    <x v="2"/>
    <x v="0"/>
    <x v="11"/>
    <x v="0"/>
    <s v="Envioclick- Coordinadora"/>
    <s v="2875958 - 84151035698"/>
    <d v="2024-11-19T00:00:00"/>
    <d v="2024-11-20T00:00:00"/>
    <x v="0"/>
    <n v="0"/>
    <n v="1"/>
    <x v="1"/>
    <n v="23690"/>
    <m/>
  </r>
  <r>
    <d v="2024-11-19T00:00:00"/>
    <x v="10"/>
    <n v="47"/>
    <n v="2302"/>
    <x v="0"/>
    <s v="Shirley Hurtado Delgado"/>
    <s v="TECU2FNG"/>
    <s v="Electric Standing Desk GO Negro"/>
    <n v="1"/>
    <x v="0"/>
    <x v="0"/>
    <x v="3"/>
    <x v="0"/>
    <s v="Envioclick- Coordinadora"/>
    <s v="2875966 - 84151035705"/>
    <d v="2024-11-19T00:00:00"/>
    <d v="2024-11-20T00:00:00"/>
    <x v="0"/>
    <n v="0"/>
    <n v="1"/>
    <x v="1"/>
    <n v="41925"/>
    <m/>
  </r>
  <r>
    <d v="2024-11-19T00:00:00"/>
    <x v="10"/>
    <n v="47"/>
    <n v="2302"/>
    <x v="0"/>
    <s v="Shirley Hurtado Delgado"/>
    <s v="TECUTCO5C"/>
    <s v="Superficie Escritorio Caramelo 150x70 Clasico"/>
    <n v="1"/>
    <x v="1"/>
    <x v="0"/>
    <x v="3"/>
    <x v="0"/>
    <s v="Envioclick- Coordinadora"/>
    <s v="2875967 - 84151035707"/>
    <d v="2024-11-19T00:00:00"/>
    <d v="2024-11-20T00:00:00"/>
    <x v="0"/>
    <n v="0"/>
    <n v="1"/>
    <x v="1"/>
    <n v="24366"/>
    <m/>
  </r>
  <r>
    <d v="2024-11-19T00:00:00"/>
    <x v="10"/>
    <n v="47"/>
    <n v="2302"/>
    <x v="0"/>
    <s v="Shirley Hurtado Delgado"/>
    <s v="TECUDSN"/>
    <s v="TECU Desk Stool Negra Silla ajustable"/>
    <n v="1"/>
    <x v="5"/>
    <x v="0"/>
    <x v="3"/>
    <x v="0"/>
    <s v="Envioclick- Coordinadora"/>
    <s v="2877161 - 84151036451"/>
    <d v="2024-11-19T00:00:00"/>
    <d v="2024-11-20T00:00:00"/>
    <x v="0"/>
    <n v="0"/>
    <n v="1"/>
    <x v="1"/>
    <n v="26870"/>
    <m/>
  </r>
  <r>
    <d v="2024-11-18T00:00:00"/>
    <x v="10"/>
    <n v="47"/>
    <n v="2289"/>
    <x v="6"/>
    <s v="Beatriz Ramírez Ramírez"/>
    <s v="TECU3FGPRO"/>
    <s v="Electric Standing Desk  PRO Gris"/>
    <n v="1"/>
    <x v="0"/>
    <x v="1"/>
    <x v="1"/>
    <x v="0"/>
    <s v="Envioclick- Coordinadora"/>
    <s v="2878068 - 84151036841"/>
    <d v="2024-11-19T00:00:00"/>
    <d v="2024-11-22T00:00:00"/>
    <x v="0"/>
    <n v="1"/>
    <n v="4"/>
    <x v="0"/>
    <n v="41925"/>
    <s v="Se envia por novedad con la altura del standing desk.- Error TECU"/>
  </r>
  <r>
    <d v="2024-11-19T00:00:00"/>
    <x v="10"/>
    <n v="47"/>
    <n v="2303"/>
    <x v="0"/>
    <s v="Ana Maria Piedrahita Maya"/>
    <s v="TECU3FNPRO"/>
    <s v="Electric Standing Desk  PRO Negro"/>
    <n v="1"/>
    <x v="0"/>
    <x v="0"/>
    <x v="0"/>
    <x v="0"/>
    <s v="Envioclick- Coordinadora"/>
    <s v="2875979 - 84151035713"/>
    <d v="2024-11-19T00:00:00"/>
    <d v="2024-11-20T00:00:00"/>
    <x v="0"/>
    <n v="0"/>
    <n v="1"/>
    <x v="1"/>
    <n v="43277"/>
    <m/>
  </r>
  <r>
    <d v="2024-11-19T00:00:00"/>
    <x v="10"/>
    <n v="47"/>
    <n v="2303"/>
    <x v="0"/>
    <s v="Ana Maria Piedrahita Maya"/>
    <s v="TECUTRM5C"/>
    <s v="Superficie Roble Miel 150x70 Clasico"/>
    <n v="1"/>
    <x v="1"/>
    <x v="0"/>
    <x v="0"/>
    <x v="0"/>
    <s v="Envioclick- Coordinadora"/>
    <s v="2875980 - 84151035714"/>
    <d v="2024-11-19T00:00:00"/>
    <d v="2024-11-20T00:00:00"/>
    <x v="0"/>
    <n v="0"/>
    <n v="1"/>
    <x v="1"/>
    <n v="24866"/>
    <m/>
  </r>
  <r>
    <d v="2024-11-19T00:00:00"/>
    <x v="10"/>
    <n v="47"/>
    <n v="2303"/>
    <x v="0"/>
    <s v="Ana Maria Piedrahita Maya"/>
    <s v="TECURRM"/>
    <s v="Repisa Roble Miel"/>
    <n v="1"/>
    <x v="2"/>
    <x v="0"/>
    <x v="0"/>
    <x v="0"/>
    <s v="Envioclick- Coordinadora"/>
    <s v="2877515 - 84151036560"/>
    <d v="2024-11-19T00:00:00"/>
    <d v="2024-11-20T00:00:00"/>
    <x v="0"/>
    <n v="0"/>
    <n v="1"/>
    <x v="1"/>
    <n v="23690"/>
    <m/>
  </r>
  <r>
    <d v="2024-11-19T00:00:00"/>
    <x v="10"/>
    <n v="47"/>
    <n v="2303"/>
    <x v="0"/>
    <s v="Ana Maria Piedrahita Maya"/>
    <s v="TECUROD"/>
    <s v="Rodachines con freno para Standing desk x 4 UN"/>
    <n v="1"/>
    <x v="6"/>
    <x v="0"/>
    <x v="0"/>
    <x v="0"/>
    <s v="Envioclick- Coordinadora"/>
    <s v="2875986 - 84151035718"/>
    <d v="2024-11-19T00:00:00"/>
    <d v="2024-11-20T00:00:00"/>
    <x v="0"/>
    <n v="0"/>
    <n v="1"/>
    <x v="1"/>
    <n v="24583"/>
    <m/>
  </r>
  <r>
    <d v="2024-11-19T00:00:00"/>
    <x v="10"/>
    <n v="47"/>
    <n v="2303"/>
    <x v="0"/>
    <s v="Ana Maria Piedrahita Maya"/>
    <s v="TECUCT"/>
    <s v="TECU bandeja de cables"/>
    <n v="1"/>
    <x v="4"/>
    <x v="0"/>
    <x v="0"/>
    <x v="0"/>
    <s v="Envioclick- Coordinadora"/>
    <s v="2875993 - 84151035723"/>
    <d v="2024-11-19T00:00:00"/>
    <d v="2024-11-20T00:00:00"/>
    <x v="0"/>
    <n v="0"/>
    <n v="1"/>
    <x v="1"/>
    <n v="25593"/>
    <m/>
  </r>
  <r>
    <d v="2024-11-19T00:00:00"/>
    <x v="10"/>
    <n v="47"/>
    <n v="2303"/>
    <x v="0"/>
    <s v="Ana Maria Piedrahita Maya"/>
    <s v="TECUDSN"/>
    <s v="TECU Desk Stool Negra Silla ajustable"/>
    <n v="1"/>
    <x v="5"/>
    <x v="0"/>
    <x v="0"/>
    <x v="0"/>
    <s v="Envioclick- Coordinadora"/>
    <s v="2876008 - 84151035730"/>
    <d v="2024-11-19T00:00:00"/>
    <d v="2024-11-20T00:00:00"/>
    <x v="0"/>
    <n v="0"/>
    <n v="1"/>
    <x v="1"/>
    <n v="26870"/>
    <m/>
  </r>
  <r>
    <d v="2024-11-19T00:00:00"/>
    <x v="10"/>
    <n v="47"/>
    <n v="2304"/>
    <x v="0"/>
    <s v="Manuel Ricardo CHAVARRO VARGAS"/>
    <s v="TECURN"/>
    <s v="Repisa TECU  Negro (Wengue)"/>
    <n v="1"/>
    <x v="2"/>
    <x v="18"/>
    <x v="53"/>
    <x v="0"/>
    <s v="Envioclick- Coordinadora"/>
    <s v="2876028 - 84151035751"/>
    <d v="2024-11-19T00:00:00"/>
    <d v="2024-11-21T00:00:00"/>
    <x v="0"/>
    <n v="0"/>
    <n v="2"/>
    <x v="1"/>
    <n v="38279"/>
    <m/>
  </r>
  <r>
    <d v="2024-11-19T00:00:00"/>
    <x v="10"/>
    <n v="47"/>
    <n v="2305"/>
    <x v="0"/>
    <s v="Catalina Trujillo"/>
    <s v="TECU3FGPRO"/>
    <s v="Electric Standing Desk  PRO Gris"/>
    <n v="1"/>
    <x v="0"/>
    <x v="4"/>
    <x v="5"/>
    <x v="0"/>
    <s v="Envioclick- Coordinadora"/>
    <s v="2876702 - 84151036161"/>
    <d v="2024-11-19T00:00:00"/>
    <d v="2024-11-20T00:00:00"/>
    <x v="0"/>
    <n v="0"/>
    <n v="1"/>
    <x v="1"/>
    <n v="43277"/>
    <m/>
  </r>
  <r>
    <d v="2024-11-19T00:00:00"/>
    <x v="10"/>
    <n v="47"/>
    <n v="2305"/>
    <x v="0"/>
    <s v="Catalina Trujillo"/>
    <s v="TECUTCO4C"/>
    <s v="Superficie Escritorio Caramelo 140x70 Clasico"/>
    <n v="1"/>
    <x v="1"/>
    <x v="4"/>
    <x v="5"/>
    <x v="0"/>
    <s v="Envioclick- Coordinadora"/>
    <s v="2876703 - 84151036162"/>
    <d v="2024-11-19T00:00:00"/>
    <d v="2024-11-20T00:00:00"/>
    <x v="0"/>
    <n v="0"/>
    <n v="1"/>
    <x v="1"/>
    <n v="24366"/>
    <m/>
  </r>
  <r>
    <d v="2024-11-19T00:00:00"/>
    <x v="10"/>
    <n v="47"/>
    <n v="2305"/>
    <x v="0"/>
    <s v="Catalina Trujillo"/>
    <s v="TECUCT"/>
    <s v="TECU bandeja de cables"/>
    <n v="1"/>
    <x v="4"/>
    <x v="4"/>
    <x v="5"/>
    <x v="0"/>
    <s v="Envioclick- Coordinadora"/>
    <s v="2876706 - 84151036167"/>
    <d v="2024-11-19T00:00:00"/>
    <d v="2024-11-20T00:00:00"/>
    <x v="0"/>
    <n v="0"/>
    <n v="1"/>
    <x v="1"/>
    <n v="25593"/>
    <m/>
  </r>
  <r>
    <d v="2024-11-20T00:00:00"/>
    <x v="10"/>
    <n v="47"/>
    <n v="2306"/>
    <x v="0"/>
    <s v="Sergio Alexis Rodriguez Vasquez"/>
    <s v="TECU3FGPRO"/>
    <s v="Electric Standing Desk  PRO Gris"/>
    <n v="1"/>
    <x v="0"/>
    <x v="1"/>
    <x v="1"/>
    <x v="0"/>
    <s v="Envioclick- Coordinadora"/>
    <s v="2879083 - 84151037259"/>
    <d v="2024-11-20T00:00:00"/>
    <d v="2024-11-22T00:00:00"/>
    <x v="0"/>
    <n v="0"/>
    <n v="2"/>
    <x v="1"/>
    <n v="43277"/>
    <m/>
  </r>
  <r>
    <d v="2024-11-20T00:00:00"/>
    <x v="10"/>
    <n v="47"/>
    <n v="2306"/>
    <x v="0"/>
    <s v="Sergio Alexis Rodriguez Vasquez"/>
    <s v="TECUTCO6C"/>
    <s v="Superficie Escritorio Caramelo 160x70 Clasico"/>
    <n v="1"/>
    <x v="1"/>
    <x v="1"/>
    <x v="1"/>
    <x v="0"/>
    <s v="Envioclick- Coordinadora"/>
    <s v="2879084 - 84151037260"/>
    <d v="2024-11-20T00:00:00"/>
    <d v="2024-11-22T00:00:00"/>
    <x v="0"/>
    <n v="0"/>
    <n v="2"/>
    <x v="1"/>
    <n v="24366"/>
    <m/>
  </r>
  <r>
    <d v="2024-11-20T00:00:00"/>
    <x v="10"/>
    <n v="47"/>
    <n v="2307"/>
    <x v="0"/>
    <s v="Jhon Lopez"/>
    <s v="TECU3FNPRO"/>
    <s v="Electric Standing Desk  PRO Negro"/>
    <n v="1"/>
    <x v="0"/>
    <x v="4"/>
    <x v="5"/>
    <x v="0"/>
    <s v="Envioclick- Coordinadora"/>
    <s v="2879677 - 84151037651"/>
    <d v="2024-11-20T00:00:00"/>
    <d v="2024-11-21T00:00:00"/>
    <x v="0"/>
    <n v="0"/>
    <n v="1"/>
    <x v="1"/>
    <n v="43277"/>
    <m/>
  </r>
  <r>
    <d v="2024-11-21T00:00:00"/>
    <x v="10"/>
    <n v="47"/>
    <n v="2308"/>
    <x v="0"/>
    <s v="Paola Ospina"/>
    <s v="TECU2FGGO"/>
    <s v="Electric Standing Desk GO Gris"/>
    <n v="1"/>
    <x v="0"/>
    <x v="1"/>
    <x v="1"/>
    <x v="0"/>
    <s v="Envioclick- Coordinadora"/>
    <s v="2881843 - 84151038826"/>
    <d v="2024-11-21T00:00:00"/>
    <d v="2024-11-24T00:00:00"/>
    <x v="0"/>
    <n v="0"/>
    <n v="2"/>
    <x v="1"/>
    <n v="41925"/>
    <m/>
  </r>
  <r>
    <d v="2024-11-21T00:00:00"/>
    <x v="10"/>
    <n v="47"/>
    <n v="2308"/>
    <x v="0"/>
    <s v="Paola Ospina"/>
    <s v="TECUTCC4C"/>
    <s v="Superficie Escritorio Miel 140x70 Clasico"/>
    <n v="1"/>
    <x v="1"/>
    <x v="1"/>
    <x v="1"/>
    <x v="0"/>
    <s v="Envioclick- Coordinadora"/>
    <s v="2881844 - 84151038827"/>
    <d v="2024-11-21T00:00:00"/>
    <d v="2024-11-25T00:00:00"/>
    <x v="0"/>
    <n v="0"/>
    <n v="3"/>
    <x v="1"/>
    <n v="24366"/>
    <m/>
  </r>
  <r>
    <d v="2024-11-21T00:00:00"/>
    <x v="10"/>
    <n v="47"/>
    <n v="2308"/>
    <x v="0"/>
    <s v="Paola Ospina"/>
    <s v="TECUDSN"/>
    <s v="TECU Desk Stool Negra Silla ajustable"/>
    <n v="1"/>
    <x v="5"/>
    <x v="1"/>
    <x v="1"/>
    <x v="0"/>
    <s v="Envioclick- Coordinadora"/>
    <s v="2881859 - 84151038831"/>
    <d v="2024-11-21T00:00:00"/>
    <d v="2024-11-24T00:00:00"/>
    <x v="0"/>
    <n v="0"/>
    <n v="2"/>
    <x v="1"/>
    <n v="26870"/>
    <m/>
  </r>
  <r>
    <d v="2024-11-21T00:00:00"/>
    <x v="10"/>
    <n v="47"/>
    <n v="2309"/>
    <x v="0"/>
    <s v="Oscar Gerardo Contreras Aparicio"/>
    <s v="TECU3FGPRO"/>
    <s v="Electric Standing Desk  PRO Gris"/>
    <n v="1"/>
    <x v="0"/>
    <x v="6"/>
    <x v="23"/>
    <x v="0"/>
    <s v="Envioclick- Coordinadora"/>
    <s v="2881869 - 84151038838"/>
    <d v="2024-11-21T00:00:00"/>
    <d v="2024-11-25T00:00:00"/>
    <x v="0"/>
    <n v="0"/>
    <n v="3"/>
    <x v="1"/>
    <n v="63171"/>
    <m/>
  </r>
  <r>
    <d v="2024-11-21T00:00:00"/>
    <x v="10"/>
    <n v="47"/>
    <n v="2309"/>
    <x v="0"/>
    <s v="Oscar Gerardo Contreras Aparicio"/>
    <s v="TECUTRN2C"/>
    <s v="Superficie Escritorio Roble Negro 120x70 Clasico Small"/>
    <n v="1"/>
    <x v="1"/>
    <x v="6"/>
    <x v="23"/>
    <x v="0"/>
    <s v="Envioclick- Coordinadora"/>
    <s v="2881871 - 84151038839"/>
    <d v="2024-11-21T00:00:00"/>
    <d v="2024-11-25T00:00:00"/>
    <x v="0"/>
    <n v="0"/>
    <n v="3"/>
    <x v="1"/>
    <n v="48991"/>
    <m/>
  </r>
  <r>
    <d v="2024-11-21T00:00:00"/>
    <x v="10"/>
    <n v="47"/>
    <n v="2310"/>
    <x v="0"/>
    <s v="Diego Alejandro González Velásquez"/>
    <s v="TECURN"/>
    <s v="Repisa TECU  Negro (Wengue)"/>
    <n v="1"/>
    <x v="2"/>
    <x v="0"/>
    <x v="12"/>
    <x v="0"/>
    <s v="Envioclick- Coordinadora"/>
    <s v="2881883  - 84151038846"/>
    <d v="2024-11-21T00:00:00"/>
    <d v="2024-11-23T00:00:00"/>
    <x v="0"/>
    <n v="0"/>
    <n v="2"/>
    <x v="1"/>
    <n v="23690"/>
    <m/>
  </r>
  <r>
    <d v="2024-11-21T00:00:00"/>
    <x v="10"/>
    <n v="47"/>
    <n v="2311"/>
    <x v="0"/>
    <s v="Carolina Yory"/>
    <s v="TECU2FNG"/>
    <s v="Electric Standing Desk GO Negro"/>
    <n v="1"/>
    <x v="0"/>
    <x v="4"/>
    <x v="5"/>
    <x v="0"/>
    <s v="Envioclick- Coordinadora"/>
    <s v="2881886 - 84151038849"/>
    <d v="2024-12-02T00:00:00"/>
    <d v="2024-12-04T00:00:00"/>
    <x v="0"/>
    <n v="9"/>
    <n v="11"/>
    <x v="0"/>
    <n v="41925"/>
    <m/>
  </r>
  <r>
    <d v="2024-11-21T00:00:00"/>
    <x v="10"/>
    <n v="47"/>
    <n v="2311"/>
    <x v="0"/>
    <s v="Carolina Yory"/>
    <s v="TECUTRN4C"/>
    <s v="Superficie Escritorio Roble Negro 140x70 Clasico"/>
    <n v="1"/>
    <x v="1"/>
    <x v="4"/>
    <x v="5"/>
    <x v="0"/>
    <s v="Envioclick- Coordinadora"/>
    <s v="2909040 - 84151050644"/>
    <d v="2024-12-02T00:00:00"/>
    <d v="2024-12-04T00:00:00"/>
    <x v="0"/>
    <n v="9"/>
    <n v="11"/>
    <x v="0"/>
    <n v="24366"/>
    <m/>
  </r>
  <r>
    <d v="2024-11-21T00:00:00"/>
    <x v="10"/>
    <n v="47"/>
    <n v="2312"/>
    <x v="0"/>
    <s v="Miguel Rodas"/>
    <s v="TECUCT"/>
    <s v="TECU bandeja de cables"/>
    <n v="1"/>
    <x v="4"/>
    <x v="0"/>
    <x v="8"/>
    <x v="0"/>
    <s v="Envioclick- Coordinadora"/>
    <s v="2882636 - 84151039231"/>
    <d v="2024-11-21T00:00:00"/>
    <d v="2024-11-24T00:00:00"/>
    <x v="0"/>
    <n v="0"/>
    <n v="2"/>
    <x v="1"/>
    <n v="25593"/>
    <m/>
  </r>
  <r>
    <d v="2024-11-21T00:00:00"/>
    <x v="10"/>
    <n v="47"/>
    <n v="2312"/>
    <x v="0"/>
    <s v="Miguel Rodas"/>
    <s v="TECURCO"/>
    <s v="Repisa TECU  Caramelo"/>
    <n v="1"/>
    <x v="2"/>
    <x v="0"/>
    <x v="8"/>
    <x v="0"/>
    <s v="Envioclick- Coordinadora"/>
    <s v="2882646 - 84151039233"/>
    <d v="2024-11-21T00:00:00"/>
    <d v="2024-11-24T00:00:00"/>
    <x v="0"/>
    <n v="0"/>
    <n v="2"/>
    <x v="1"/>
    <n v="23690"/>
    <m/>
  </r>
  <r>
    <d v="2024-11-21T00:00:00"/>
    <x v="10"/>
    <n v="47"/>
    <n v="2313"/>
    <x v="0"/>
    <s v="Mauricio Diaz"/>
    <s v="TECU2FNG"/>
    <s v="Electric Standing Desk GO Negro"/>
    <n v="1"/>
    <x v="0"/>
    <x v="1"/>
    <x v="1"/>
    <x v="0"/>
    <s v="Envioclick- Coordinadora"/>
    <s v="2883743 - 84151039686"/>
    <d v="2024-11-22T00:00:00"/>
    <d v="2024-11-25T00:00:00"/>
    <x v="0"/>
    <n v="1"/>
    <n v="3"/>
    <x v="1"/>
    <n v="41925"/>
    <m/>
  </r>
  <r>
    <d v="2024-11-21T00:00:00"/>
    <x v="10"/>
    <n v="47"/>
    <n v="2313"/>
    <x v="0"/>
    <s v="Mauricio Diaz"/>
    <s v="TECUTRN2C"/>
    <s v="Superficie Escritorio Roble Negro 120x70 Clasico Small"/>
    <n v="1"/>
    <x v="1"/>
    <x v="1"/>
    <x v="1"/>
    <x v="0"/>
    <s v="Envioclick- Coordinadora"/>
    <s v="2883745 - 84151039687"/>
    <d v="2024-11-22T00:00:00"/>
    <d v="2024-11-25T00:00:00"/>
    <x v="0"/>
    <n v="1"/>
    <n v="3"/>
    <x v="1"/>
    <n v="24366"/>
    <m/>
  </r>
  <r>
    <d v="2024-11-21T00:00:00"/>
    <x v="10"/>
    <n v="47"/>
    <n v="2313"/>
    <x v="0"/>
    <s v="Mauricio Diaz"/>
    <s v="TECUAN"/>
    <s v="Archivador TECU  Negro (Wengue)"/>
    <n v="1"/>
    <x v="3"/>
    <x v="1"/>
    <x v="1"/>
    <x v="0"/>
    <s v="Envioclick- Envia"/>
    <s v="2884964 - 954101092960"/>
    <d v="2024-11-22T00:00:00"/>
    <d v="2024-11-23T00:00:00"/>
    <x v="0"/>
    <n v="1"/>
    <n v="2"/>
    <x v="1"/>
    <n v="43847"/>
    <m/>
  </r>
  <r>
    <d v="2024-11-22T00:00:00"/>
    <x v="10"/>
    <n v="47"/>
    <n v="2314"/>
    <x v="0"/>
    <s v="David Chejne / Juan Vahos"/>
    <s v="TECU3FGPRO"/>
    <s v="Electric Standing Desk  PRO Gris"/>
    <n v="1"/>
    <x v="0"/>
    <x v="0"/>
    <x v="3"/>
    <x v="0"/>
    <s v="Envioclick- Coordinadora"/>
    <s v="2883762 - 84151039695"/>
    <d v="2024-11-22T00:00:00"/>
    <d v="2024-11-23T00:00:00"/>
    <x v="0"/>
    <n v="0"/>
    <n v="1"/>
    <x v="1"/>
    <n v="43277"/>
    <m/>
  </r>
  <r>
    <d v="2024-11-22T00:00:00"/>
    <x v="10"/>
    <n v="47"/>
    <n v="2314"/>
    <x v="0"/>
    <s v="David Chejne / Juan Vahos"/>
    <s v="TECUTCO2C"/>
    <s v="Superficie Escritorio Caramelo 120x70 Clasico Small"/>
    <n v="1"/>
    <x v="1"/>
    <x v="0"/>
    <x v="3"/>
    <x v="0"/>
    <s v="Envioclick- Coordinadora"/>
    <s v="2883763 - 84151039696"/>
    <d v="2024-11-22T00:00:00"/>
    <d v="2024-11-25T00:00:00"/>
    <x v="0"/>
    <n v="0"/>
    <n v="2"/>
    <x v="1"/>
    <n v="29097"/>
    <m/>
  </r>
  <r>
    <d v="2024-11-22T00:00:00"/>
    <x v="10"/>
    <n v="47"/>
    <n v="2315"/>
    <x v="0"/>
    <s v="Ivan Dario Sarmiento Cabezas"/>
    <s v="TECUCT"/>
    <s v="TECU bandeja de cables"/>
    <n v="1"/>
    <x v="4"/>
    <x v="1"/>
    <x v="1"/>
    <x v="0"/>
    <s v="Envioclick- Coordinadora"/>
    <s v="2884118 - 84151039890"/>
    <d v="2024-11-22T00:00:00"/>
    <d v="2024-11-24T00:00:00"/>
    <x v="0"/>
    <n v="0"/>
    <n v="1"/>
    <x v="1"/>
    <n v="25593"/>
    <m/>
  </r>
  <r>
    <d v="2024-11-23T00:00:00"/>
    <x v="10"/>
    <n v="47"/>
    <n v="2316"/>
    <x v="0"/>
    <s v="Juan Esteban Monsalvo Londoño"/>
    <s v="TECUDSN"/>
    <s v="TECU Desk Stool Negra Silla ajustable"/>
    <n v="1"/>
    <x v="5"/>
    <x v="0"/>
    <x v="3"/>
    <x v="0"/>
    <s v="Envioclick- Coordinadora"/>
    <s v="2888448 - 84151041412"/>
    <d v="2024-11-25T00:00:00"/>
    <d v="2024-11-27T00:00:00"/>
    <x v="0"/>
    <n v="1"/>
    <n v="3"/>
    <x v="1"/>
    <n v="26870"/>
    <m/>
  </r>
  <r>
    <d v="2024-11-23T00:00:00"/>
    <x v="10"/>
    <n v="47"/>
    <n v="2317"/>
    <x v="0"/>
    <s v="Juan David Rios Suarez"/>
    <s v="TECURCO"/>
    <s v="Repisa TECU  Caramelo"/>
    <n v="1"/>
    <x v="2"/>
    <x v="0"/>
    <x v="3"/>
    <x v="0"/>
    <s v="Envioclick- Coordinadora"/>
    <s v="2888731 - 84151041531"/>
    <d v="2024-11-25T00:00:00"/>
    <d v="2024-11-27T00:00:00"/>
    <x v="0"/>
    <n v="1"/>
    <n v="3"/>
    <x v="1"/>
    <n v="23690"/>
    <m/>
  </r>
  <r>
    <d v="2024-11-24T00:00:00"/>
    <x v="10"/>
    <n v="48"/>
    <n v="2318"/>
    <x v="0"/>
    <s v="Juan Pablo Mallarino Robayo"/>
    <s v="TECU3FGPRO"/>
    <s v="Electric Standing Desk  PRO Gris"/>
    <n v="1"/>
    <x v="0"/>
    <x v="1"/>
    <x v="1"/>
    <x v="0"/>
    <s v="Envioclick- Coordinadora"/>
    <s v="2888539 - 84151041439"/>
    <d v="2024-11-25T00:00:00"/>
    <d v="2024-11-26T00:00:00"/>
    <x v="0"/>
    <n v="0"/>
    <n v="1"/>
    <x v="1"/>
    <n v="43277"/>
    <m/>
  </r>
  <r>
    <d v="2024-11-24T00:00:00"/>
    <x v="10"/>
    <n v="48"/>
    <n v="2318"/>
    <x v="0"/>
    <s v="Juan Pablo Mallarino Robayo"/>
    <s v="TECUTCO4C"/>
    <s v="Superficie Escritorio Caramelo 140x70 Clasico"/>
    <n v="1"/>
    <x v="1"/>
    <x v="1"/>
    <x v="1"/>
    <x v="0"/>
    <s v="Envioclick- Coordinadora"/>
    <s v="2888541 - 84151041440"/>
    <d v="2024-11-25T00:00:00"/>
    <d v="2024-11-27T00:00:00"/>
    <x v="0"/>
    <n v="0"/>
    <n v="2"/>
    <x v="1"/>
    <n v="24366"/>
    <m/>
  </r>
  <r>
    <d v="2024-11-24T00:00:00"/>
    <x v="10"/>
    <n v="48"/>
    <n v="2318"/>
    <x v="0"/>
    <s v="Juan Pablo Mallarino Robayo"/>
    <s v="TECUBDPG"/>
    <s v="TECU Desk Pad B Negro Gris"/>
    <n v="1"/>
    <x v="4"/>
    <x v="1"/>
    <x v="1"/>
    <x v="0"/>
    <s v="Envioclick- Coordinadora"/>
    <s v="2888545 - 84151041444"/>
    <d v="2024-11-25T00:00:00"/>
    <d v="2024-11-26T00:00:00"/>
    <x v="0"/>
    <n v="0"/>
    <n v="1"/>
    <x v="1"/>
    <n v="17079"/>
    <m/>
  </r>
  <r>
    <d v="2024-11-24T00:00:00"/>
    <x v="10"/>
    <n v="48"/>
    <n v="2318"/>
    <x v="0"/>
    <s v="Juan Pablo Mallarino Robayo"/>
    <s v="TECUCT"/>
    <s v="TECU bandeja de cables"/>
    <n v="1"/>
    <x v="4"/>
    <x v="1"/>
    <x v="1"/>
    <x v="0"/>
    <s v="Envioclick- Coordinadora"/>
    <s v="2888557 - 84151041451"/>
    <d v="2024-11-25T00:00:00"/>
    <d v="2024-11-26T00:00:00"/>
    <x v="0"/>
    <n v="0"/>
    <n v="1"/>
    <x v="1"/>
    <n v="25593"/>
    <m/>
  </r>
  <r>
    <d v="2024-11-24T00:00:00"/>
    <x v="10"/>
    <n v="48"/>
    <n v="2318"/>
    <x v="0"/>
    <s v="Juan Pablo Mallarino Robayo"/>
    <s v="TECUBLS"/>
    <s v="TECU Laptop Stand B"/>
    <n v="1"/>
    <x v="4"/>
    <x v="1"/>
    <x v="1"/>
    <x v="0"/>
    <s v="Envioclick- Coordinadora"/>
    <s v="2888557 - 84151041451"/>
    <d v="2024-11-25T00:00:00"/>
    <d v="2024-11-26T00:00:00"/>
    <x v="0"/>
    <n v="0"/>
    <n v="1"/>
    <x v="1"/>
    <n v="25593"/>
    <m/>
  </r>
  <r>
    <d v="2024-11-25T00:00:00"/>
    <x v="10"/>
    <n v="48"/>
    <n v="2319"/>
    <x v="0"/>
    <s v="Carlos Javier Cepeda"/>
    <s v="TECURCO"/>
    <s v="Repisa TECU  Caramelo"/>
    <n v="1"/>
    <x v="2"/>
    <x v="16"/>
    <x v="37"/>
    <x v="0"/>
    <s v="Envioclick- Coordinadora"/>
    <s v="2888999 - 84151041674"/>
    <d v="2024-11-25T00:00:00"/>
    <d v="2024-11-27T00:00:00"/>
    <x v="0"/>
    <n v="0"/>
    <n v="2"/>
    <x v="1"/>
    <n v="27056"/>
    <m/>
  </r>
  <r>
    <d v="2024-11-25T00:00:00"/>
    <x v="10"/>
    <n v="48"/>
    <n v="2319"/>
    <x v="0"/>
    <s v="Carlos Javier Cepeda"/>
    <s v="TECUCT"/>
    <s v="TECU bandeja de cables"/>
    <n v="1"/>
    <x v="4"/>
    <x v="16"/>
    <x v="37"/>
    <x v="0"/>
    <s v="Envioclick- Coordinadora"/>
    <s v="2889009 - 84151041680"/>
    <d v="2024-11-25T00:00:00"/>
    <d v="2024-11-27T00:00:00"/>
    <x v="0"/>
    <n v="0"/>
    <n v="2"/>
    <x v="1"/>
    <n v="25593"/>
    <m/>
  </r>
  <r>
    <d v="2024-11-25T00:00:00"/>
    <x v="10"/>
    <n v="48"/>
    <n v="2320"/>
    <x v="0"/>
    <s v="Leyla Cristina Goyeneche Gordillo"/>
    <s v="TECUCT"/>
    <s v="TECU bandeja de cables"/>
    <n v="1"/>
    <x v="4"/>
    <x v="1"/>
    <x v="1"/>
    <x v="0"/>
    <s v="Envioclick- Coordinadora"/>
    <s v="2889945 - 84151042170"/>
    <d v="2024-11-25T00:00:00"/>
    <d v="2024-11-27T00:00:00"/>
    <x v="0"/>
    <n v="0"/>
    <n v="2"/>
    <x v="1"/>
    <n v="25593"/>
    <m/>
  </r>
  <r>
    <d v="2024-11-25T00:00:00"/>
    <x v="10"/>
    <n v="48"/>
    <n v="2320"/>
    <x v="0"/>
    <s v="Leyla Cristina Goyeneche Gordillo"/>
    <s v="TECUCT"/>
    <s v="TECU bandeja de cables"/>
    <n v="1"/>
    <x v="4"/>
    <x v="1"/>
    <x v="1"/>
    <x v="0"/>
    <s v="Envioclick- Coordinadora"/>
    <s v="2900944 - 84151047565"/>
    <d v="2024-11-29T00:00:00"/>
    <d v="2024-12-02T00:00:00"/>
    <x v="0"/>
    <n v="4"/>
    <n v="6"/>
    <x v="0"/>
    <n v="25593"/>
    <m/>
  </r>
  <r>
    <d v="2024-11-25T00:00:00"/>
    <x v="10"/>
    <n v="48"/>
    <n v="2321"/>
    <x v="0"/>
    <s v="Felipe Rivera"/>
    <s v="TECURCO"/>
    <s v="Repisa TECU  Caramelo"/>
    <n v="1"/>
    <x v="2"/>
    <x v="1"/>
    <x v="1"/>
    <x v="0"/>
    <s v="Envioclick- Coordinadora"/>
    <s v="2892240 - 84151043307"/>
    <d v="2024-11-26T00:00:00"/>
    <d v="2024-11-27T00:00:00"/>
    <x v="0"/>
    <n v="1"/>
    <n v="2"/>
    <x v="1"/>
    <n v="23690"/>
    <m/>
  </r>
  <r>
    <d v="2024-11-28T00:00:00"/>
    <x v="10"/>
    <n v="48"/>
    <n v="2321"/>
    <x v="1"/>
    <s v="Felipe Rivera"/>
    <s v="TECURCO"/>
    <s v="Repisa TECU  Caramelo"/>
    <n v="1"/>
    <x v="2"/>
    <x v="1"/>
    <x v="1"/>
    <x v="0"/>
    <s v="Envioclick- Coordinadora"/>
    <s v="2901034 - 84151047613"/>
    <d v="2024-11-29T00:00:00"/>
    <d v="2024-12-01T00:00:00"/>
    <x v="0"/>
    <n v="1"/>
    <n v="2"/>
    <x v="1"/>
    <n v="23690"/>
    <m/>
  </r>
  <r>
    <d v="2024-11-26T00:00:00"/>
    <x v="10"/>
    <n v="48"/>
    <n v="2322"/>
    <x v="0"/>
    <s v="Andres Velasquez"/>
    <s v="TECUAN"/>
    <s v="Archivador TECU  Negro (Wengue)"/>
    <n v="1"/>
    <x v="3"/>
    <x v="1"/>
    <x v="1"/>
    <x v="0"/>
    <s v="Envioclick- Envia"/>
    <s v="2897823 -954101096469"/>
    <d v="2024-11-28T00:00:00"/>
    <d v="2024-11-30T00:00:00"/>
    <x v="0"/>
    <n v="2"/>
    <n v="4"/>
    <x v="0"/>
    <n v="43847"/>
    <m/>
  </r>
  <r>
    <d v="2024-11-28T00:00:00"/>
    <x v="10"/>
    <n v="48"/>
    <n v="2323"/>
    <x v="0"/>
    <s v="Samuel Rivas"/>
    <s v="TECU3FNPRO"/>
    <s v="Electric Standing Desk  PRO Negro"/>
    <n v="1"/>
    <x v="0"/>
    <x v="0"/>
    <x v="3"/>
    <x v="0"/>
    <s v="Envioclick- Coordinadora"/>
    <s v="2897843 - 84151046122"/>
    <d v="2024-11-28T00:00:00"/>
    <d v="2024-11-29T00:00:00"/>
    <x v="0"/>
    <n v="0"/>
    <n v="1"/>
    <x v="1"/>
    <n v="43277"/>
    <m/>
  </r>
  <r>
    <d v="2024-11-28T00:00:00"/>
    <x v="10"/>
    <n v="48"/>
    <n v="2323"/>
    <x v="0"/>
    <s v="Samuel Rivas"/>
    <s v="TECUTCO2C"/>
    <s v="Superficie Escritorio Caramelo 120x70 Clasico Small"/>
    <n v="1"/>
    <x v="1"/>
    <x v="0"/>
    <x v="3"/>
    <x v="0"/>
    <s v="Envioclick- Coordinadora"/>
    <s v="2897844 - 84151046123"/>
    <d v="2024-11-28T00:00:00"/>
    <d v="2024-11-29T00:00:00"/>
    <x v="0"/>
    <n v="0"/>
    <n v="1"/>
    <x v="1"/>
    <n v="29097"/>
    <m/>
  </r>
  <r>
    <d v="2024-11-28T00:00:00"/>
    <x v="10"/>
    <n v="48"/>
    <n v="2323"/>
    <x v="0"/>
    <s v="Samuel Rivas"/>
    <s v="TECUBLS"/>
    <s v="TECU Laptop Stand B"/>
    <n v="1"/>
    <x v="4"/>
    <x v="0"/>
    <x v="3"/>
    <x v="0"/>
    <s v="Envioclick- Coordinadora"/>
    <s v="2897859 - 84151046132"/>
    <d v="2024-11-28T00:00:00"/>
    <d v="2024-11-29T00:00:00"/>
    <x v="0"/>
    <n v="0"/>
    <n v="1"/>
    <x v="1"/>
    <n v="25593"/>
    <m/>
  </r>
  <r>
    <d v="2024-11-28T00:00:00"/>
    <x v="10"/>
    <n v="48"/>
    <n v="2325"/>
    <x v="0"/>
    <s v="Wilson Javier Forero"/>
    <s v="TECU3FNPRO"/>
    <s v="Electric Standing Desk  PRO Negro"/>
    <n v="1"/>
    <x v="0"/>
    <x v="1"/>
    <x v="1"/>
    <x v="0"/>
    <s v="Envioclick- Coordinadora"/>
    <s v="2900821 - 84151047512"/>
    <d v="2024-11-29T00:00:00"/>
    <d v="2024-12-01T00:00:00"/>
    <x v="0"/>
    <n v="1"/>
    <n v="2"/>
    <x v="1"/>
    <n v="43277"/>
    <m/>
  </r>
  <r>
    <d v="2024-11-28T00:00:00"/>
    <x v="10"/>
    <n v="48"/>
    <n v="2325"/>
    <x v="0"/>
    <s v="Wilson Javier Forero"/>
    <s v="TECUTCC5C"/>
    <s v="Superficie Escritorio Miel 150x70 Clasico"/>
    <n v="1"/>
    <x v="1"/>
    <x v="1"/>
    <x v="1"/>
    <x v="0"/>
    <s v="Envioclick- Coordinadora"/>
    <s v="2900822 - 84151047513"/>
    <d v="2024-11-29T00:00:00"/>
    <d v="2024-12-03T00:00:00"/>
    <x v="0"/>
    <n v="1"/>
    <n v="4"/>
    <x v="0"/>
    <n v="24366"/>
    <m/>
  </r>
  <r>
    <d v="2024-11-28T00:00:00"/>
    <x v="10"/>
    <n v="48"/>
    <n v="2326"/>
    <x v="0"/>
    <s v="Felipe Abaunza"/>
    <s v="TECU3FNPRO"/>
    <s v="Electric Standing Desk  PRO Negro"/>
    <n v="1"/>
    <x v="0"/>
    <x v="1"/>
    <x v="1"/>
    <x v="0"/>
    <s v="Envioclick- Coordinadora"/>
    <s v="2901047 - 84151047621"/>
    <d v="2024-11-29T00:00:00"/>
    <d v="2024-12-01T00:00:00"/>
    <x v="0"/>
    <n v="1"/>
    <n v="2"/>
    <x v="1"/>
    <n v="43277"/>
    <m/>
  </r>
  <r>
    <d v="2024-11-28T00:00:00"/>
    <x v="10"/>
    <n v="48"/>
    <n v="2326"/>
    <x v="0"/>
    <s v="Felipe Abaunza"/>
    <s v="TECUTCO2C"/>
    <s v="Superficie Escritorio Caramelo 120x70 Clasico Small"/>
    <n v="1"/>
    <x v="1"/>
    <x v="1"/>
    <x v="1"/>
    <x v="0"/>
    <s v="Envioclick- Coordinadora"/>
    <s v="2901050 - 84151047623"/>
    <d v="2024-11-29T00:00:00"/>
    <d v="2024-12-01T00:00:00"/>
    <x v="0"/>
    <n v="1"/>
    <n v="2"/>
    <x v="1"/>
    <n v="29097"/>
    <m/>
  </r>
  <r>
    <d v="2024-11-28T00:00:00"/>
    <x v="10"/>
    <n v="48"/>
    <n v="2326"/>
    <x v="0"/>
    <s v="Felipe Abaunza"/>
    <s v="TECUROD"/>
    <s v="Rodachines con freno para Standing desk x 4 UN"/>
    <n v="1"/>
    <x v="6"/>
    <x v="1"/>
    <x v="1"/>
    <x v="0"/>
    <s v="Envioclick- Envia"/>
    <s v="2901062 - 84151047632"/>
    <d v="2024-11-29T00:00:00"/>
    <d v="2024-12-01T00:00:00"/>
    <x v="0"/>
    <n v="1"/>
    <n v="2"/>
    <x v="1"/>
    <n v="24583"/>
    <m/>
  </r>
  <r>
    <d v="2024-11-28T00:00:00"/>
    <x v="10"/>
    <n v="48"/>
    <n v="2326"/>
    <x v="0"/>
    <s v="Felipe Abaunza"/>
    <m/>
    <s v="Servicio de instalacion"/>
    <n v="1"/>
    <x v="7"/>
    <x v="1"/>
    <x v="1"/>
    <x v="0"/>
    <s v="Envioclick- Coordinadora"/>
    <s v="NA"/>
    <d v="2024-12-02T00:00:00"/>
    <d v="2024-12-02T00:00:00"/>
    <x v="0"/>
    <n v="3"/>
    <n v="3"/>
    <x v="1"/>
    <m/>
    <m/>
  </r>
  <r>
    <d v="2024-11-29T00:00:00"/>
    <x v="10"/>
    <n v="48"/>
    <n v="2327"/>
    <x v="0"/>
    <s v="Juan Sebastian Hernandez Crespo"/>
    <s v="TECU3FGPRO"/>
    <s v="Electric Standing Desk  PRO Gris"/>
    <n v="1"/>
    <x v="0"/>
    <x v="0"/>
    <x v="12"/>
    <x v="0"/>
    <s v="Envioclick- Coordinadora"/>
    <s v="2900862 - 84151047535"/>
    <d v="2024-11-29T00:00:00"/>
    <d v="2024-12-01T00:00:00"/>
    <x v="0"/>
    <n v="0"/>
    <n v="1"/>
    <x v="1"/>
    <n v="43277"/>
    <m/>
  </r>
  <r>
    <d v="2024-11-29T00:00:00"/>
    <x v="10"/>
    <n v="48"/>
    <n v="2327"/>
    <x v="0"/>
    <s v="Juan Sebastian Hernandez Crespo"/>
    <s v="TECUTCO8C"/>
    <s v="Superficie Escritorio Caramelo 180x70 Clasico"/>
    <n v="1"/>
    <x v="1"/>
    <x v="0"/>
    <x v="12"/>
    <x v="0"/>
    <s v="Envioclick- Coordinadora"/>
    <s v="2900863 - 84151047536"/>
    <d v="2024-11-29T00:00:00"/>
    <d v="2024-12-01T00:00:00"/>
    <x v="0"/>
    <n v="0"/>
    <n v="1"/>
    <x v="1"/>
    <n v="27069"/>
    <m/>
  </r>
  <r>
    <d v="2024-11-29T00:00:00"/>
    <x v="10"/>
    <n v="48"/>
    <n v="2327"/>
    <x v="0"/>
    <s v="Juan Sebastian Hernandez Crespo"/>
    <s v="TECUCT"/>
    <s v="TECU bandeja de cables"/>
    <n v="1"/>
    <x v="4"/>
    <x v="0"/>
    <x v="12"/>
    <x v="0"/>
    <s v="Envioclick- Coordinadora"/>
    <s v="2900877 - 84151047541"/>
    <d v="2024-11-29T00:00:00"/>
    <d v="2024-12-01T00:00:00"/>
    <x v="0"/>
    <n v="0"/>
    <n v="1"/>
    <x v="1"/>
    <n v="25593"/>
    <m/>
  </r>
  <r>
    <d v="2024-11-29T00:00:00"/>
    <x v="10"/>
    <n v="48"/>
    <n v="2328"/>
    <x v="0"/>
    <s v="Gustavo Adolfo Cardona Quintero"/>
    <s v="TECU2FGGO"/>
    <s v="Electric Standing Desk GO Gris"/>
    <n v="1"/>
    <x v="0"/>
    <x v="0"/>
    <x v="38"/>
    <x v="0"/>
    <s v="Envioclick- Coordinadora"/>
    <s v="2900909 - 84151047554"/>
    <d v="2024-11-29T00:00:00"/>
    <d v="2024-12-01T00:00:00"/>
    <x v="0"/>
    <n v="0"/>
    <n v="1"/>
    <x v="3"/>
    <n v="41925"/>
    <m/>
  </r>
  <r>
    <d v="2024-11-29T00:00:00"/>
    <x v="10"/>
    <n v="48"/>
    <n v="2328"/>
    <x v="0"/>
    <s v="Gustavo Adolfo Cardona Quintero"/>
    <s v="TECUTRN2C"/>
    <s v="Superficie Escritorio Roble Negro 120x70 Clasico Small"/>
    <n v="1"/>
    <x v="1"/>
    <x v="0"/>
    <x v="38"/>
    <x v="0"/>
    <s v="Envioclick- Coordinadora"/>
    <s v="2900911 - 84151047556"/>
    <d v="2024-11-29T00:00:00"/>
    <d v="2024-12-01T00:00:00"/>
    <x v="0"/>
    <n v="0"/>
    <n v="1"/>
    <x v="3"/>
    <n v="24366"/>
    <m/>
  </r>
  <r>
    <d v="2024-11-29T00:00:00"/>
    <x v="10"/>
    <n v="48"/>
    <n v="2329"/>
    <x v="0"/>
    <s v="Alejandro Vasquez"/>
    <s v="TECU2FGGO"/>
    <s v="Electric Standing Desk GO Gris"/>
    <n v="1"/>
    <x v="0"/>
    <x v="4"/>
    <x v="5"/>
    <x v="0"/>
    <s v="Envioclick- Coordinadora"/>
    <s v="2902008 - 84151047996"/>
    <d v="2024-11-29T00:00:00"/>
    <d v="2024-11-30T00:00:00"/>
    <x v="0"/>
    <n v="0"/>
    <n v="1"/>
    <x v="1"/>
    <n v="41925"/>
    <m/>
  </r>
  <r>
    <d v="2024-11-29T00:00:00"/>
    <x v="10"/>
    <n v="48"/>
    <n v="2329"/>
    <x v="0"/>
    <s v="Alejandro Vasquez"/>
    <s v="TECUTCC2C"/>
    <s v="Superficie Escritorio Miel 120x70 Clasico Small"/>
    <n v="1"/>
    <x v="1"/>
    <x v="4"/>
    <x v="5"/>
    <x v="0"/>
    <s v="Envioclick- Coordinadora"/>
    <s v="2902009 - 84151047997"/>
    <d v="2024-11-29T00:00:00"/>
    <d v="2024-11-30T00:00:00"/>
    <x v="0"/>
    <n v="0"/>
    <n v="1"/>
    <x v="1"/>
    <n v="24366"/>
    <m/>
  </r>
  <r>
    <d v="2024-11-29T00:00:00"/>
    <x v="10"/>
    <n v="48"/>
    <n v="2329"/>
    <x v="0"/>
    <s v="Alejandro Vasquez"/>
    <s v="TECUDSN"/>
    <s v="TECU Desk Stool Negra Silla ajustable"/>
    <n v="1"/>
    <x v="5"/>
    <x v="4"/>
    <x v="5"/>
    <x v="0"/>
    <s v="Envioclick- Coordinadora"/>
    <s v="2902015 - 84151047998"/>
    <d v="2024-11-29T00:00:00"/>
    <d v="2024-12-02T00:00:00"/>
    <x v="0"/>
    <n v="0"/>
    <n v="2"/>
    <x v="1"/>
    <n v="26870"/>
    <m/>
  </r>
  <r>
    <d v="2024-11-29T00:00:00"/>
    <x v="10"/>
    <n v="48"/>
    <n v="2330"/>
    <x v="0"/>
    <s v="Cesar Augusto Vidarte Uribe"/>
    <s v="TECU3FNPRO"/>
    <s v="Electric Standing Desk  PRO Negro"/>
    <n v="1"/>
    <x v="0"/>
    <x v="4"/>
    <x v="5"/>
    <x v="0"/>
    <s v="Envioclick- Coordinadora"/>
    <s v="2909977 - 84151051028"/>
    <d v="2024-12-02T00:00:00"/>
    <d v="2024-12-03T00:00:00"/>
    <x v="0"/>
    <n v="2"/>
    <n v="3"/>
    <x v="1"/>
    <n v="43277"/>
    <m/>
  </r>
  <r>
    <d v="2024-11-29T00:00:00"/>
    <x v="10"/>
    <n v="48"/>
    <n v="2330"/>
    <x v="0"/>
    <s v="Cesar Augusto Vidarte Uribe"/>
    <s v="TECUTRN7M"/>
    <s v="Superficie Escritorio Roble Negro 170x70 Moderno"/>
    <n v="1"/>
    <x v="1"/>
    <x v="4"/>
    <x v="5"/>
    <x v="0"/>
    <s v="Envioclick- Coordinadora"/>
    <s v="2909980 - 84151051030"/>
    <d v="2024-12-02T00:00:00"/>
    <d v="2024-12-03T00:00:00"/>
    <x v="0"/>
    <n v="2"/>
    <n v="3"/>
    <x v="1"/>
    <n v="27069"/>
    <m/>
  </r>
  <r>
    <d v="2024-11-29T00:00:00"/>
    <x v="10"/>
    <n v="48"/>
    <n v="2331"/>
    <x v="0"/>
    <s v="Maria Alejandra Benitez Trujillo"/>
    <s v="TECU3FNPRO"/>
    <s v="Electric Standing Desk  PRO Negro"/>
    <n v="1"/>
    <x v="0"/>
    <x v="1"/>
    <x v="1"/>
    <x v="0"/>
    <s v="Envioclick- Coordinadora"/>
    <s v="2909301 - 84151050710"/>
    <d v="2024-12-02T00:00:00"/>
    <d v="2024-12-04T00:00:00"/>
    <x v="0"/>
    <n v="2"/>
    <n v="4"/>
    <x v="0"/>
    <n v="43277"/>
    <m/>
  </r>
  <r>
    <d v="2024-11-29T00:00:00"/>
    <x v="10"/>
    <n v="48"/>
    <n v="2331"/>
    <x v="0"/>
    <s v="Maria Alejandra Benitez Trujillo"/>
    <s v="TECUTCO5M"/>
    <s v="Superficie Escritorio Caramelo 150x70 Moderno"/>
    <n v="1"/>
    <x v="1"/>
    <x v="1"/>
    <x v="1"/>
    <x v="0"/>
    <s v="Envioclick- Coordinadora"/>
    <s v="2909311 - 84151050720"/>
    <d v="2024-12-02T00:00:00"/>
    <d v="2024-12-04T00:00:00"/>
    <x v="0"/>
    <n v="2"/>
    <n v="4"/>
    <x v="0"/>
    <n v="24366"/>
    <m/>
  </r>
  <r>
    <d v="2024-11-29T00:00:00"/>
    <x v="10"/>
    <n v="48"/>
    <n v="2331"/>
    <x v="0"/>
    <s v="Maria Alejandra Benitez Trujillo"/>
    <m/>
    <s v="Servicio de instalacion"/>
    <n v="1"/>
    <x v="7"/>
    <x v="1"/>
    <x v="1"/>
    <x v="0"/>
    <s v="Envioclick- Coordinadora"/>
    <s v="NA"/>
    <d v="2024-12-05T00:00:00"/>
    <d v="2024-12-05T00:00:00"/>
    <x v="0"/>
    <n v="5"/>
    <n v="5"/>
    <x v="0"/>
    <m/>
    <m/>
  </r>
  <r>
    <d v="2024-11-29T00:00:00"/>
    <x v="10"/>
    <n v="48"/>
    <n v="2332"/>
    <x v="0"/>
    <s v="Laura Melisa Carmona Manjarrez"/>
    <s v="TECU2FGGO"/>
    <s v="Electric Standing Desk GO Gris"/>
    <n v="1"/>
    <x v="0"/>
    <x v="3"/>
    <x v="4"/>
    <x v="0"/>
    <s v="Envioclick- Coordinadora"/>
    <s v="2914814 - 84151053507"/>
    <d v="2024-12-03T00:00:00"/>
    <d v="2024-12-10T00:00:00"/>
    <x v="0"/>
    <n v="3"/>
    <n v="9"/>
    <x v="0"/>
    <n v="60493"/>
    <m/>
  </r>
  <r>
    <d v="2024-11-29T00:00:00"/>
    <x v="10"/>
    <n v="48"/>
    <n v="2332"/>
    <x v="0"/>
    <s v="Laura Melisa Carmona Manjarrez"/>
    <s v="TECUTRN2C"/>
    <s v="Superficie Escritorio Roble Negro 120x70 Clasico Small"/>
    <n v="1"/>
    <x v="1"/>
    <x v="3"/>
    <x v="4"/>
    <x v="0"/>
    <s v="Envioclick- Coordinadora"/>
    <s v="2914815 - 84151053509"/>
    <d v="2024-12-03T00:00:00"/>
    <d v="2024-12-10T00:00:00"/>
    <x v="0"/>
    <n v="3"/>
    <n v="9"/>
    <x v="0"/>
    <n v="39619"/>
    <m/>
  </r>
  <r>
    <d v="2024-11-30T00:00:00"/>
    <x v="10"/>
    <n v="48"/>
    <n v="2333"/>
    <x v="0"/>
    <s v="Nicol Valeria Ortiz Rodríguez"/>
    <s v="TECU2FGGO"/>
    <s v="Electric Standing Desk GO Gris"/>
    <n v="1"/>
    <x v="0"/>
    <x v="4"/>
    <x v="5"/>
    <x v="0"/>
    <s v="Envioclick- Coordinadora"/>
    <s v="2916106 - 84151054109"/>
    <d v="2024-12-03T00:00:00"/>
    <d v="2024-12-04T00:00:00"/>
    <x v="0"/>
    <n v="2"/>
    <n v="3"/>
    <x v="1"/>
    <n v="41925"/>
    <m/>
  </r>
  <r>
    <d v="2024-11-30T00:00:00"/>
    <x v="10"/>
    <n v="48"/>
    <n v="2333"/>
    <x v="0"/>
    <s v="Nicol Valeria Ortiz Rodríguez"/>
    <s v="TECUTRN6C"/>
    <s v="Superficie Escritorio Roble Negro 160x70 Clasico"/>
    <n v="1"/>
    <x v="1"/>
    <x v="4"/>
    <x v="5"/>
    <x v="0"/>
    <s v="Envioclick- Coordinadora"/>
    <s v="2916108 - 84151054110"/>
    <d v="2024-12-03T00:00:00"/>
    <d v="2024-12-05T00:00:00"/>
    <x v="0"/>
    <n v="2"/>
    <n v="4"/>
    <x v="0"/>
    <m/>
    <m/>
  </r>
  <r>
    <d v="2024-11-30T00:00:00"/>
    <x v="10"/>
    <n v="48"/>
    <n v="2334"/>
    <x v="0"/>
    <s v="Jairo Baquero"/>
    <s v="TECU2FGGO"/>
    <s v="Electric Standing Desk GO Gris"/>
    <n v="1"/>
    <x v="0"/>
    <x v="1"/>
    <x v="1"/>
    <x v="0"/>
    <s v="Envioclick- Coordinadora"/>
    <s v="2931513 - 84151062466"/>
    <d v="2025-12-09T00:00:00"/>
    <d v="2025-12-10T00:00:00"/>
    <x v="0"/>
    <n v="319"/>
    <n v="320"/>
    <x v="0"/>
    <n v="41925"/>
    <m/>
  </r>
  <r>
    <d v="2024-11-30T00:00:00"/>
    <x v="10"/>
    <n v="48"/>
    <n v="2334"/>
    <x v="0"/>
    <s v="Jairo Baquero"/>
    <s v="TECUTCC5C"/>
    <s v="Superficie Escritorio Miel 150x70 Clasico"/>
    <n v="1"/>
    <x v="1"/>
    <x v="1"/>
    <x v="1"/>
    <x v="0"/>
    <s v="Envioclick- Coordinadora"/>
    <s v="2931513 - 84151062466"/>
    <d v="2024-12-09T00:00:00"/>
    <d v="2024-12-10T00:00:00"/>
    <x v="0"/>
    <n v="7"/>
    <n v="8"/>
    <x v="0"/>
    <n v="41925"/>
    <m/>
  </r>
  <r>
    <d v="2024-11-30T00:00:00"/>
    <x v="10"/>
    <n v="48"/>
    <n v="2334"/>
    <x v="0"/>
    <s v="Jairo Baquero"/>
    <m/>
    <s v="Servicio de instalacion"/>
    <n v="1"/>
    <x v="7"/>
    <x v="1"/>
    <x v="1"/>
    <x v="1"/>
    <s v="Envioclick- Coordinadora"/>
    <s v="NA"/>
    <m/>
    <m/>
    <x v="1"/>
    <n v="-39095"/>
    <s v="PTE"/>
    <x v="2"/>
    <m/>
    <m/>
  </r>
  <r>
    <d v="2024-11-30T00:00:00"/>
    <x v="10"/>
    <n v="48"/>
    <n v="2335"/>
    <x v="0"/>
    <s v="Melissa Arango Morales"/>
    <s v="TECU2FNG"/>
    <s v="Electric Standing Desk GO Negro"/>
    <n v="1"/>
    <x v="0"/>
    <x v="1"/>
    <x v="1"/>
    <x v="0"/>
    <s v="Envioclick- Coordinadora"/>
    <s v="2914899 - 84151053552"/>
    <d v="2024-12-03T00:00:00"/>
    <d v="2024-12-06T00:00:00"/>
    <x v="0"/>
    <n v="2"/>
    <n v="5"/>
    <x v="0"/>
    <n v="41925"/>
    <m/>
  </r>
  <r>
    <d v="2024-11-30T00:00:00"/>
    <x v="10"/>
    <n v="48"/>
    <n v="2335"/>
    <x v="0"/>
    <s v="Melissa Arango Morales"/>
    <s v="TECUTCC2C"/>
    <s v="Superficie Escritorio Miel 120x70 Clasico Small"/>
    <n v="1"/>
    <x v="1"/>
    <x v="1"/>
    <x v="1"/>
    <x v="0"/>
    <s v="Envioclick- Coordinadora"/>
    <s v="2914900 - 84151053554"/>
    <d v="2024-12-03T00:00:00"/>
    <d v="2024-12-06T00:00:00"/>
    <x v="0"/>
    <n v="2"/>
    <n v="5"/>
    <x v="0"/>
    <n v="24366"/>
    <m/>
  </r>
  <r>
    <d v="2024-11-30T00:00:00"/>
    <x v="10"/>
    <n v="48"/>
    <n v="2336"/>
    <x v="0"/>
    <s v="Paula Andrea Carrasco Meza"/>
    <s v="TECURCC"/>
    <s v="Repisa TECU  Miel"/>
    <n v="1"/>
    <x v="2"/>
    <x v="1"/>
    <x v="1"/>
    <x v="0"/>
    <s v="Envioclick- Coordinadora"/>
    <s v="2909525 - 84151050843"/>
    <d v="2024-12-03T00:00:00"/>
    <d v="2024-12-05T00:00:00"/>
    <x v="0"/>
    <n v="2"/>
    <n v="4"/>
    <x v="0"/>
    <n v="23690"/>
    <m/>
  </r>
  <r>
    <d v="2024-11-30T00:00:00"/>
    <x v="10"/>
    <n v="48"/>
    <n v="2337"/>
    <x v="0"/>
    <s v="LAURA CAROLINA DÍAZ PARRA"/>
    <s v="TECU2FNG"/>
    <s v="Electric Standing Desk GO Negro"/>
    <n v="1"/>
    <x v="0"/>
    <x v="1"/>
    <x v="1"/>
    <x v="0"/>
    <s v="Envioclick- Coordinadora"/>
    <s v="2910027 - 84151051047"/>
    <d v="2024-12-02T00:00:00"/>
    <d v="2024-12-05T00:00:00"/>
    <x v="0"/>
    <n v="1"/>
    <n v="4"/>
    <x v="0"/>
    <n v="43277"/>
    <m/>
  </r>
  <r>
    <d v="2024-11-30T00:00:00"/>
    <x v="10"/>
    <n v="48"/>
    <n v="2337"/>
    <x v="0"/>
    <s v="LAURA CAROLINA DÍAZ PARRA"/>
    <s v="TECUTCC4C"/>
    <s v="Superficie Escritorio Miel 140x70 Clasico"/>
    <n v="1"/>
    <x v="1"/>
    <x v="1"/>
    <x v="1"/>
    <x v="0"/>
    <s v="Envioclick- Coordinadora"/>
    <s v="2910031 - 84151051049"/>
    <d v="2024-12-02T00:00:00"/>
    <d v="2024-12-05T00:00:00"/>
    <x v="0"/>
    <n v="1"/>
    <n v="4"/>
    <x v="0"/>
    <n v="24366"/>
    <m/>
  </r>
  <r>
    <d v="2024-11-30T00:00:00"/>
    <x v="10"/>
    <n v="48"/>
    <n v="2337"/>
    <x v="0"/>
    <s v="LAURA CAROLINA DÍAZ PARRA"/>
    <s v="TECU3FNPRO"/>
    <s v="Electric Standing Desk  PRO Negro"/>
    <n v="1"/>
    <x v="0"/>
    <x v="1"/>
    <x v="1"/>
    <x v="0"/>
    <s v="Envioclick- Coordinadora"/>
    <s v="2910053 - 84151051066"/>
    <d v="2024-12-02T00:00:00"/>
    <d v="2024-12-05T00:00:00"/>
    <x v="0"/>
    <n v="1"/>
    <n v="4"/>
    <x v="0"/>
    <n v="41925"/>
    <m/>
  </r>
  <r>
    <d v="2024-11-30T00:00:00"/>
    <x v="10"/>
    <n v="48"/>
    <n v="2337"/>
    <x v="0"/>
    <s v="LAURA CAROLINA DÍAZ PARRA"/>
    <s v="TECUTCC4C"/>
    <s v="Superficie Escritorio Miel 140x70 Clasico"/>
    <n v="1"/>
    <x v="1"/>
    <x v="1"/>
    <x v="1"/>
    <x v="0"/>
    <s v="Envioclick- Coordinadora"/>
    <s v="2910054 - 84151051068"/>
    <d v="2024-12-02T00:00:00"/>
    <d v="2024-12-05T00:00:00"/>
    <x v="0"/>
    <n v="1"/>
    <n v="4"/>
    <x v="0"/>
    <n v="24366"/>
    <m/>
  </r>
  <r>
    <d v="2024-12-02T00:00:00"/>
    <x v="11"/>
    <n v="49"/>
    <n v="2338"/>
    <x v="0"/>
    <s v="Cristian Blandon"/>
    <s v="TECUCT"/>
    <s v="TECU bandeja de cables"/>
    <n v="1"/>
    <x v="4"/>
    <x v="13"/>
    <x v="28"/>
    <x v="0"/>
    <s v="Envioclick- Coordinadora"/>
    <s v="2911061 - 84151051542"/>
    <d v="2024-12-02T00:00:00"/>
    <d v="2024-12-03T00:00:00"/>
    <x v="0"/>
    <n v="0"/>
    <n v="1"/>
    <x v="1"/>
    <n v="25593"/>
    <m/>
  </r>
  <r>
    <d v="2024-12-02T00:00:00"/>
    <x v="11"/>
    <n v="49"/>
    <n v="2339"/>
    <x v="0"/>
    <s v="Andres ROMO"/>
    <s v="TECUACO"/>
    <s v="Archivador TECU  Caramelo"/>
    <n v="1"/>
    <x v="3"/>
    <x v="1"/>
    <x v="1"/>
    <x v="0"/>
    <s v="Envioclick- Envia"/>
    <s v="2916129 - 954101101455"/>
    <d v="2024-12-03T00:00:00"/>
    <m/>
    <x v="1"/>
    <n v="1"/>
    <s v="PTE"/>
    <x v="2"/>
    <n v="43847"/>
    <m/>
  </r>
  <r>
    <d v="2024-12-02T00:00:00"/>
    <x v="11"/>
    <n v="49"/>
    <n v="2339"/>
    <x v="0"/>
    <s v="Andres ROMO"/>
    <s v="TECUDSN"/>
    <s v="TECU Desk Stool Negra Silla ajustable"/>
    <n v="1"/>
    <x v="5"/>
    <x v="1"/>
    <x v="1"/>
    <x v="0"/>
    <s v="Envioclick- Envia"/>
    <s v="2916224 - 954101101484"/>
    <d v="2024-12-03T00:00:00"/>
    <m/>
    <x v="1"/>
    <n v="1"/>
    <s v="PTE"/>
    <x v="2"/>
    <n v="26469"/>
    <m/>
  </r>
  <r>
    <d v="2024-12-02T00:00:00"/>
    <x v="11"/>
    <n v="49"/>
    <n v="2340"/>
    <x v="0"/>
    <s v="Deyxon Miguel Hinestroza Robledo"/>
    <s v="TECURCO"/>
    <s v="Repisa TECU  Caramelo"/>
    <n v="1"/>
    <x v="2"/>
    <x v="1"/>
    <x v="1"/>
    <x v="0"/>
    <s v="Envioclick- Coordinadora"/>
    <s v="2914933 - 84151053569"/>
    <d v="2024-12-03T00:00:00"/>
    <d v="2024-12-06T00:00:00"/>
    <x v="0"/>
    <n v="1"/>
    <n v="4"/>
    <x v="0"/>
    <n v="23690"/>
    <m/>
  </r>
  <r>
    <d v="2024-12-03T00:00:00"/>
    <x v="11"/>
    <n v="49"/>
    <n v="2341"/>
    <x v="0"/>
    <s v="Diego Benjumea Martínez"/>
    <s v="TECURCO"/>
    <s v="Repisa TECU  Caramelo"/>
    <n v="1"/>
    <x v="2"/>
    <x v="4"/>
    <x v="6"/>
    <x v="0"/>
    <s v="Envioclick- Coordinadora"/>
    <s v="2916114 - 84151054115"/>
    <d v="2024-12-03T00:00:00"/>
    <d v="2024-12-04T00:00:00"/>
    <x v="0"/>
    <n v="0"/>
    <n v="1"/>
    <x v="1"/>
    <n v="23690"/>
    <m/>
  </r>
  <r>
    <d v="2024-12-03T00:00:00"/>
    <x v="11"/>
    <n v="49"/>
    <n v="2342"/>
    <x v="0"/>
    <s v="Pedro Velez-Pardo"/>
    <s v="TECU2FNG"/>
    <s v="Electric Standing Desk GO Negro"/>
    <n v="1"/>
    <x v="0"/>
    <x v="0"/>
    <x v="3"/>
    <x v="0"/>
    <s v="Envioclick- Coordinadora"/>
    <s v="2918285 - 84151055119"/>
    <d v="2024-12-04T00:00:00"/>
    <d v="2024-12-08T00:00:00"/>
    <x v="0"/>
    <n v="1"/>
    <n v="4"/>
    <x v="0"/>
    <n v="43277"/>
    <m/>
  </r>
  <r>
    <d v="2024-12-03T00:00:00"/>
    <x v="11"/>
    <n v="49"/>
    <n v="2342"/>
    <x v="0"/>
    <s v="Pedro Velez-Pardo"/>
    <s v="TECUTCO2C"/>
    <s v="Superficie Escritorio Caramelo 120x70 Clasico Small"/>
    <n v="1"/>
    <x v="1"/>
    <x v="0"/>
    <x v="3"/>
    <x v="0"/>
    <s v="Envioclick- Coordinadora"/>
    <s v="2918287 - 84151055120"/>
    <d v="2024-12-04T00:00:00"/>
    <d v="2024-12-07T00:00:00"/>
    <x v="0"/>
    <n v="1"/>
    <n v="4"/>
    <x v="0"/>
    <n v="29097"/>
    <m/>
  </r>
  <r>
    <d v="2024-12-03T00:00:00"/>
    <x v="11"/>
    <n v="49"/>
    <n v="2342"/>
    <x v="0"/>
    <s v="Pedro Velez-Pardo"/>
    <m/>
    <s v="Servicio de instalacion"/>
    <n v="1"/>
    <x v="7"/>
    <x v="0"/>
    <x v="3"/>
    <x v="1"/>
    <s v="Envioclick- Coordinadora"/>
    <s v="NA"/>
    <m/>
    <m/>
    <x v="1"/>
    <n v="-39097"/>
    <s v="PTE"/>
    <x v="2"/>
    <m/>
    <m/>
  </r>
  <r>
    <d v="2024-12-04T00:00:00"/>
    <x v="11"/>
    <n v="49"/>
    <n v="2343"/>
    <x v="0"/>
    <s v="Jose Araque"/>
    <s v="TECU3FNPRO"/>
    <s v="Electric Standing Desk  PRO Negro"/>
    <n v="1"/>
    <x v="0"/>
    <x v="1"/>
    <x v="1"/>
    <x v="0"/>
    <s v="Envioclick- Coordinadora"/>
    <s v="2918320 - 84151055143"/>
    <d v="2024-12-04T00:00:00"/>
    <d v="2024-12-08T00:00:00"/>
    <x v="0"/>
    <n v="0"/>
    <n v="3"/>
    <x v="1"/>
    <n v="43277"/>
    <m/>
  </r>
  <r>
    <d v="2024-12-04T00:00:00"/>
    <x v="11"/>
    <n v="49"/>
    <n v="2343"/>
    <x v="0"/>
    <s v="Jose Araque"/>
    <s v="TECUTB5C"/>
    <s v="Superficie Escritorio Blanco(Niebla) 150x70 Clasico"/>
    <n v="1"/>
    <x v="1"/>
    <x v="1"/>
    <x v="1"/>
    <x v="0"/>
    <s v="Envioclick- Coordinadora"/>
    <s v="2918321 - 84151055144"/>
    <d v="2024-12-04T00:00:00"/>
    <d v="2024-12-07T00:00:00"/>
    <x v="0"/>
    <n v="0"/>
    <n v="3"/>
    <x v="1"/>
    <n v="24366"/>
    <m/>
  </r>
  <r>
    <d v="2024-12-04T00:00:00"/>
    <x v="11"/>
    <n v="49"/>
    <n v="2343"/>
    <x v="0"/>
    <s v="Jose Araque"/>
    <m/>
    <s v="Servicio de instalacion"/>
    <n v="1"/>
    <x v="7"/>
    <x v="1"/>
    <x v="1"/>
    <x v="1"/>
    <s v="Envioclick- Coordinadora"/>
    <s v="NA"/>
    <m/>
    <m/>
    <x v="2"/>
    <m/>
    <m/>
    <x v="5"/>
    <m/>
    <m/>
  </r>
  <r>
    <d v="2024-12-05T00:00:00"/>
    <x v="11"/>
    <n v="49"/>
    <n v="2344"/>
    <x v="0"/>
    <s v="Jenny Castaneda"/>
    <s v="TECU2FGGO"/>
    <s v="Electric Standing Desk GO Gris"/>
    <n v="1"/>
    <x v="0"/>
    <x v="1"/>
    <x v="1"/>
    <x v="0"/>
    <s v="Envioclick- Coordinadora"/>
    <s v="2923043 - 84151057649"/>
    <d v="2024-12-04T00:00:00"/>
    <d v="2024-12-11T00:00:00"/>
    <x v="0"/>
    <n v="-3"/>
    <n v="5"/>
    <x v="0"/>
    <n v="41925"/>
    <m/>
  </r>
  <r>
    <d v="2024-12-05T00:00:00"/>
    <x v="11"/>
    <n v="49"/>
    <n v="2344"/>
    <x v="0"/>
    <s v="Jenny Castaneda"/>
    <s v="TECUTCC5C"/>
    <s v="Superficie Escritorio Miel 150x70 Clasico"/>
    <n v="1"/>
    <x v="1"/>
    <x v="1"/>
    <x v="1"/>
    <x v="0"/>
    <s v="Envioclick- Coordinadora"/>
    <s v="2923044 - 84151057650"/>
    <d v="2024-12-04T00:00:00"/>
    <d v="2024-12-11T00:00:00"/>
    <x v="0"/>
    <n v="-3"/>
    <n v="5"/>
    <x v="0"/>
    <n v="24366"/>
    <m/>
  </r>
  <r>
    <d v="2024-12-07T00:00:00"/>
    <x v="11"/>
    <n v="49"/>
    <n v="2345"/>
    <x v="0"/>
    <s v="Rodrigo Hernandez"/>
    <s v="TECU2FNG"/>
    <s v="Electric Standing Desk GO Negro"/>
    <n v="1"/>
    <x v="0"/>
    <x v="1"/>
    <x v="1"/>
    <x v="0"/>
    <s v="Envioclick- Coordinadora"/>
    <s v="2931521 -84151062473"/>
    <d v="2024-12-09T00:00:00"/>
    <d v="2024-12-10T00:00:00"/>
    <x v="0"/>
    <n v="1"/>
    <n v="2"/>
    <x v="1"/>
    <n v="41925"/>
    <m/>
  </r>
  <r>
    <d v="2024-12-07T00:00:00"/>
    <x v="11"/>
    <n v="49"/>
    <n v="2345"/>
    <x v="0"/>
    <s v="Rodrigo Hernandez"/>
    <s v="TECUTCC2C"/>
    <s v="Superficie Escritorio Miel 120x70 Clasico Small"/>
    <n v="1"/>
    <x v="1"/>
    <x v="1"/>
    <x v="1"/>
    <x v="0"/>
    <s v="Envioclick- Coordinadora"/>
    <s v="2931522 - 84151062474"/>
    <d v="2024-12-09T00:00:00"/>
    <d v="2024-12-10T00:00:00"/>
    <x v="0"/>
    <n v="1"/>
    <n v="2"/>
    <x v="1"/>
    <n v="24366"/>
    <m/>
  </r>
  <r>
    <d v="2024-12-07T00:00:00"/>
    <x v="11"/>
    <n v="49"/>
    <n v="2345"/>
    <x v="0"/>
    <s v="Rodrigo Hernandez"/>
    <s v="TECU2FNG"/>
    <s v="Electric Standing Desk GO Negro"/>
    <n v="1"/>
    <x v="0"/>
    <x v="1"/>
    <x v="1"/>
    <x v="0"/>
    <s v="Envioclick- Coordinadora"/>
    <s v="2931724 - 84151062523"/>
    <d v="2024-12-09T00:00:00"/>
    <d v="2024-12-10T00:00:00"/>
    <x v="0"/>
    <n v="1"/>
    <n v="2"/>
    <x v="1"/>
    <m/>
    <m/>
  </r>
  <r>
    <d v="2024-12-07T00:00:00"/>
    <x v="11"/>
    <n v="49"/>
    <n v="2345"/>
    <x v="0"/>
    <s v="Rodrigo Hernandez"/>
    <s v="TECUTCC2C"/>
    <s v="Superficie Escritorio Miel 120x70 Clasico Small"/>
    <n v="1"/>
    <x v="1"/>
    <x v="1"/>
    <x v="1"/>
    <x v="0"/>
    <s v="Envioclick- Coordinadora"/>
    <s v="2931727 - 84151062525"/>
    <d v="2024-12-09T00:00:00"/>
    <d v="2024-12-10T00:00:00"/>
    <x v="0"/>
    <n v="1"/>
    <n v="2"/>
    <x v="1"/>
    <m/>
    <m/>
  </r>
  <r>
    <d v="2024-12-07T00:00:00"/>
    <x v="11"/>
    <n v="49"/>
    <n v="2345"/>
    <x v="0"/>
    <s v="Rodrigo Hernandez"/>
    <m/>
    <s v="Servicio de instalacion"/>
    <n v="1"/>
    <x v="7"/>
    <x v="1"/>
    <x v="1"/>
    <x v="1"/>
    <s v="Envioclick- Coordinadora"/>
    <s v="NA"/>
    <m/>
    <m/>
    <x v="1"/>
    <n v="-39101"/>
    <s v="PTE"/>
    <x v="2"/>
    <m/>
    <m/>
  </r>
  <r>
    <d v="2024-12-08T00:00:00"/>
    <x v="11"/>
    <n v="50"/>
    <n v="2346"/>
    <x v="0"/>
    <s v="Yesenia Mora Acosta"/>
    <s v="TECU3FNPRO"/>
    <s v="Electric Standing Desk  PRO Negro"/>
    <n v="1"/>
    <x v="0"/>
    <x v="0"/>
    <x v="0"/>
    <x v="0"/>
    <s v="Envioclick- Coordinadora"/>
    <s v="2936012 - 84151064427"/>
    <d v="2025-12-10T00:00:00"/>
    <d v="2025-12-11T00:00:00"/>
    <x v="0"/>
    <n v="313"/>
    <n v="314"/>
    <x v="0"/>
    <n v="43277"/>
    <m/>
  </r>
  <r>
    <d v="2024-12-08T00:00:00"/>
    <x v="11"/>
    <n v="50"/>
    <n v="2346"/>
    <x v="0"/>
    <s v="Yesenia Mora Acosta"/>
    <s v="TECUTCC5C"/>
    <s v="Superficie Escritorio Miel 150x70 Clasico"/>
    <n v="1"/>
    <x v="1"/>
    <x v="0"/>
    <x v="0"/>
    <x v="4"/>
    <s v="Envioclick- Coordinadora"/>
    <s v="2936014 -84151064428"/>
    <e v="#N/A"/>
    <m/>
    <x v="1"/>
    <e v="#N/A"/>
    <s v="PTE"/>
    <x v="2"/>
    <m/>
    <m/>
  </r>
  <r>
    <d v="2024-12-09T00:00:00"/>
    <x v="11"/>
    <n v="50"/>
    <n v="2347"/>
    <x v="0"/>
    <s v="JESSICA SANTODOMINGO"/>
    <s v="TECU2FBGO"/>
    <s v="Electric Standing Desk GO Blanco"/>
    <n v="1"/>
    <x v="0"/>
    <x v="1"/>
    <x v="1"/>
    <x v="0"/>
    <s v="Envioclick- Coordinadora"/>
    <s v="2931748 - 84151062544"/>
    <d v="2024-12-09T00:00:00"/>
    <d v="2024-12-10T00:00:00"/>
    <x v="0"/>
    <n v="0"/>
    <n v="1"/>
    <x v="1"/>
    <n v="41925"/>
    <m/>
  </r>
  <r>
    <d v="2024-12-09T00:00:00"/>
    <x v="11"/>
    <n v="50"/>
    <n v="2347"/>
    <x v="0"/>
    <s v="JESSICA SANTODOMINGO"/>
    <s v="TECUTB4C"/>
    <s v="Superficie Escritorio Blanco (Niebla) 140x70 Clasico"/>
    <n v="1"/>
    <x v="1"/>
    <x v="1"/>
    <x v="1"/>
    <x v="0"/>
    <s v="Envioclick- Coordinadora"/>
    <s v="2931750 - 84151062545"/>
    <d v="2024-12-09T00:00:00"/>
    <d v="2024-12-10T00:00:00"/>
    <x v="0"/>
    <n v="0"/>
    <n v="1"/>
    <x v="1"/>
    <n v="24366"/>
    <m/>
  </r>
  <r>
    <d v="2024-12-09T00:00:00"/>
    <x v="11"/>
    <n v="50"/>
    <n v="2347"/>
    <x v="0"/>
    <s v="JESSICA SANTODOMINGO"/>
    <s v="TECUAB"/>
    <s v="Archivador TECU  Blanco (Niebla)"/>
    <n v="1"/>
    <x v="3"/>
    <x v="1"/>
    <x v="1"/>
    <x v="0"/>
    <s v="Envioclick- Enviia"/>
    <s v="2936418 - 954101106062"/>
    <d v="2024-12-10T00:00:00"/>
    <d v="2024-12-11T00:00:00"/>
    <x v="0"/>
    <n v="1"/>
    <n v="2"/>
    <x v="1"/>
    <n v="43847"/>
    <m/>
  </r>
  <r>
    <d v="2024-12-09T00:00:00"/>
    <x v="11"/>
    <n v="50"/>
    <n v="2347"/>
    <x v="0"/>
    <s v="JESSICA SANTODOMINGO"/>
    <m/>
    <s v="Servicio de instalacion"/>
    <n v="1"/>
    <x v="7"/>
    <x v="1"/>
    <x v="1"/>
    <x v="1"/>
    <s v="Envioclick- Coordinadora"/>
    <s v="NA"/>
    <m/>
    <m/>
    <x v="1"/>
    <n v="-39102"/>
    <s v="PTE"/>
    <x v="2"/>
    <m/>
    <m/>
  </r>
  <r>
    <d v="2024-12-09T00:00:00"/>
    <x v="11"/>
    <n v="50"/>
    <n v="2348"/>
    <x v="0"/>
    <s v="Jael Alexander Rivera Oviedo"/>
    <s v="TECU3FNPRO"/>
    <s v="Electric Standing Desk  PRO Negro"/>
    <n v="1"/>
    <x v="0"/>
    <x v="1"/>
    <x v="1"/>
    <x v="0"/>
    <s v="Envioclick- Coordinadora"/>
    <s v="2936176 - 84151064552"/>
    <d v="2024-12-10T00:00:00"/>
    <d v="2024-12-11T00:00:00"/>
    <x v="0"/>
    <n v="1"/>
    <n v="2"/>
    <x v="1"/>
    <n v="43277"/>
    <m/>
  </r>
  <r>
    <d v="2024-12-09T00:00:00"/>
    <x v="11"/>
    <n v="50"/>
    <n v="2348"/>
    <x v="0"/>
    <s v="Jael Alexander Rivera Oviedo"/>
    <s v="TECUTCO5C"/>
    <s v="Superficie Escritorio Caramelo 150x70 Clasico"/>
    <n v="1"/>
    <x v="1"/>
    <x v="1"/>
    <x v="1"/>
    <x v="0"/>
    <s v="Envioclick- Coordinadora"/>
    <s v="2936178 - 84151064553"/>
    <d v="2024-12-10T00:00:00"/>
    <d v="2024-12-12T00:00:00"/>
    <x v="0"/>
    <n v="1"/>
    <n v="3"/>
    <x v="1"/>
    <n v="24366"/>
    <m/>
  </r>
  <r>
    <d v="2024-12-09T00:00:00"/>
    <x v="11"/>
    <n v="50"/>
    <n v="2348"/>
    <x v="0"/>
    <s v="Jael Alexander Rivera Oviedo"/>
    <m/>
    <s v="Servicio de instalacion"/>
    <n v="1"/>
    <x v="7"/>
    <x v="1"/>
    <x v="1"/>
    <x v="1"/>
    <s v="Envioclick- Coordinadora"/>
    <s v="NA"/>
    <m/>
    <m/>
    <x v="1"/>
    <n v="-39102"/>
    <s v="PTE"/>
    <x v="2"/>
    <m/>
    <m/>
  </r>
  <r>
    <d v="2024-12-09T00:00:00"/>
    <x v="11"/>
    <n v="50"/>
    <n v="2349"/>
    <x v="0"/>
    <s v="MARIO JARAMILLO"/>
    <s v="TECU3FNPRO"/>
    <s v="Electric Standing Desk  PRO Negro"/>
    <n v="1"/>
    <x v="0"/>
    <x v="1"/>
    <x v="1"/>
    <x v="0"/>
    <s v="Envioclick- Coordinadora"/>
    <s v="2936062 -84151064468"/>
    <d v="2024-12-10T00:00:00"/>
    <d v="2024-12-12T00:00:00"/>
    <x v="0"/>
    <n v="1"/>
    <n v="3"/>
    <x v="1"/>
    <n v="43277"/>
    <m/>
  </r>
  <r>
    <d v="2024-12-09T00:00:00"/>
    <x v="11"/>
    <n v="50"/>
    <n v="2349"/>
    <x v="0"/>
    <s v="MARIO JARAMILLO"/>
    <s v="TECUTRM5C"/>
    <s v="Superficie Roble Miel 150x70 Clasico"/>
    <n v="1"/>
    <x v="1"/>
    <x v="1"/>
    <x v="1"/>
    <x v="0"/>
    <s v="Envioclick- Coordinadora"/>
    <s v="2936065 -84151064469"/>
    <d v="2024-12-10T00:00:00"/>
    <d v="2024-12-14T00:00:00"/>
    <x v="0"/>
    <n v="1"/>
    <n v="5"/>
    <x v="0"/>
    <n v="24866"/>
    <m/>
  </r>
  <r>
    <d v="2024-12-09T00:00:00"/>
    <x v="11"/>
    <n v="50"/>
    <n v="2349"/>
    <x v="0"/>
    <s v="MARIO JARAMILLO"/>
    <s v="TECURRM"/>
    <s v="Repisa Roble Miel"/>
    <n v="1"/>
    <x v="2"/>
    <x v="1"/>
    <x v="1"/>
    <x v="0"/>
    <s v="Envioclick- Coordinadora"/>
    <s v="NA"/>
    <s v="NA"/>
    <s v="NA"/>
    <x v="0"/>
    <m/>
    <m/>
    <x v="5"/>
    <m/>
    <m/>
  </r>
  <r>
    <d v="2024-12-09T00:00:00"/>
    <x v="11"/>
    <n v="50"/>
    <n v="2349"/>
    <x v="0"/>
    <s v="MARIO JARAMILLO"/>
    <s v="TECUCT"/>
    <s v="TECU bandeja de cables"/>
    <n v="1"/>
    <x v="4"/>
    <x v="1"/>
    <x v="1"/>
    <x v="0"/>
    <s v="Envioclick- Coordinadora"/>
    <s v="2936857 -84151064949"/>
    <d v="2024-12-10T00:00:00"/>
    <d v="2024-12-12T00:00:00"/>
    <x v="0"/>
    <n v="1"/>
    <n v="3"/>
    <x v="1"/>
    <n v="25593"/>
    <m/>
  </r>
  <r>
    <d v="2024-12-10T00:00:00"/>
    <x v="11"/>
    <n v="50"/>
    <n v="2350"/>
    <x v="0"/>
    <s v="MARIO JARAMILLO"/>
    <s v="TECUAN"/>
    <s v="Archivador TECU  Negro (Wengue)"/>
    <n v="1"/>
    <x v="3"/>
    <x v="1"/>
    <x v="1"/>
    <x v="0"/>
    <s v="Envioclick- Envia"/>
    <s v="2939667 -954101106857"/>
    <d v="2024-12-11T00:00:00"/>
    <d v="2024-12-13T00:00:00"/>
    <x v="0"/>
    <n v="1"/>
    <n v="3"/>
    <x v="1"/>
    <n v="43847"/>
    <m/>
  </r>
  <r>
    <d v="2024-12-10T00:00:00"/>
    <x v="11"/>
    <n v="50"/>
    <n v="2351"/>
    <x v="0"/>
    <s v="Elizabeth Betancur Arboleda"/>
    <s v="TECU2FBGO"/>
    <s v="Electric Standing Desk GO Blanco"/>
    <n v="1"/>
    <x v="0"/>
    <x v="0"/>
    <x v="12"/>
    <x v="0"/>
    <s v="Envioclick- Coordinadora"/>
    <s v="2952676 -84151072878"/>
    <d v="2024-12-16T00:00:00"/>
    <d v="2024-12-18T00:00:00"/>
    <x v="0"/>
    <n v="5"/>
    <n v="7"/>
    <x v="0"/>
    <n v="41925"/>
    <m/>
  </r>
  <r>
    <d v="2024-12-10T00:00:00"/>
    <x v="11"/>
    <n v="50"/>
    <n v="2351"/>
    <x v="0"/>
    <s v="Elizabeth Betancur Arboleda"/>
    <s v="TECUTRM5C"/>
    <s v="Superficie Roble Miel 150x70 Clasico"/>
    <n v="1"/>
    <x v="1"/>
    <x v="0"/>
    <x v="12"/>
    <x v="0"/>
    <s v="Envioclick- Coordinadora"/>
    <s v="2952678 -84151072879"/>
    <d v="2024-12-16T00:00:00"/>
    <d v="2024-12-17T00:00:00"/>
    <x v="0"/>
    <n v="5"/>
    <n v="6"/>
    <x v="0"/>
    <n v="24366"/>
    <m/>
  </r>
  <r>
    <d v="2024-12-13T00:00:00"/>
    <x v="11"/>
    <n v="50"/>
    <n v="2352"/>
    <x v="0"/>
    <s v="Edwin Alexis Duque García"/>
    <s v="TECU2FNG"/>
    <s v="Electric Standing Desk GO Negro"/>
    <n v="1"/>
    <x v="0"/>
    <x v="0"/>
    <x v="3"/>
    <x v="0"/>
    <s v="Envioclick- Coordinadora"/>
    <s v="2946604 -84151069657"/>
    <d v="2024-12-13T00:00:00"/>
    <d v="2024-12-14T00:00:00"/>
    <x v="0"/>
    <n v="0"/>
    <n v="1"/>
    <x v="1"/>
    <n v="41925"/>
    <m/>
  </r>
  <r>
    <d v="2024-12-13T00:00:00"/>
    <x v="11"/>
    <n v="50"/>
    <n v="2352"/>
    <x v="0"/>
    <s v="Edwin Alexis Duque García"/>
    <s v="TECUTCO5C"/>
    <s v="Superficie Escritorio Caramelo 150x70 Clasico"/>
    <n v="1"/>
    <x v="1"/>
    <x v="0"/>
    <x v="3"/>
    <x v="0"/>
    <s v="Envioclick- Coordinadora"/>
    <s v="2946605 -84151069658"/>
    <d v="2024-12-13T00:00:00"/>
    <d v="2024-12-14T00:00:00"/>
    <x v="0"/>
    <n v="0"/>
    <n v="1"/>
    <x v="1"/>
    <n v="24366"/>
    <m/>
  </r>
  <r>
    <d v="2024-12-13T00:00:00"/>
    <x v="11"/>
    <n v="50"/>
    <n v="2353"/>
    <x v="0"/>
    <s v="Juan Gómez"/>
    <s v="TECULFN2"/>
    <s v="Electric Standing Desk | Escritorio Ajustable En L Frame Negro 2.0"/>
    <n v="1"/>
    <x v="0"/>
    <x v="3"/>
    <x v="4"/>
    <x v="0"/>
    <s v="Envioclick- Coordinadora"/>
    <s v="2946615 -84151069664"/>
    <d v="2024-12-13T00:00:00"/>
    <d v="2024-12-16T00:00:00"/>
    <x v="0"/>
    <n v="0"/>
    <n v="2"/>
    <x v="1"/>
    <n v="95748"/>
    <m/>
  </r>
  <r>
    <d v="2024-12-13T00:00:00"/>
    <x v="11"/>
    <n v="50"/>
    <n v="2353"/>
    <x v="0"/>
    <s v="Juan Gómez"/>
    <s v="TECUTLBS"/>
    <s v="Superficie Escritorio en L Blanco (Niebla) Set completo"/>
    <n v="1"/>
    <x v="1"/>
    <x v="3"/>
    <x v="4"/>
    <x v="0"/>
    <s v="Envioclick- Coordinadora"/>
    <s v="2946617 -84151069666"/>
    <d v="2024-12-13T00:00:00"/>
    <d v="2024-12-16T00:00:00"/>
    <x v="0"/>
    <n v="0"/>
    <n v="2"/>
    <x v="1"/>
    <n v="43997"/>
    <m/>
  </r>
  <r>
    <d v="2024-12-14T00:00:00"/>
    <x v="11"/>
    <n v="50"/>
    <n v="2354"/>
    <x v="0"/>
    <s v="Sergio Ceballos"/>
    <s v="TECU2FNG"/>
    <s v="Electric Standing Desk GO Negro"/>
    <n v="1"/>
    <x v="0"/>
    <x v="14"/>
    <x v="54"/>
    <x v="0"/>
    <s v="Envioclick- Coordinadora"/>
    <s v="2953782 -84151073461"/>
    <d v="2024-12-16T00:00:00"/>
    <d v="2024-12-17T00:00:00"/>
    <x v="0"/>
    <n v="1"/>
    <n v="2"/>
    <x v="3"/>
    <n v="34048"/>
    <m/>
  </r>
  <r>
    <d v="2024-12-14T00:00:00"/>
    <x v="11"/>
    <n v="50"/>
    <n v="2354"/>
    <x v="0"/>
    <s v="Sergio Ceballos"/>
    <s v="TECUTRN4C"/>
    <s v="Superficie Escritorio Roble Negro 140x70 Clasico"/>
    <n v="1"/>
    <x v="1"/>
    <x v="14"/>
    <x v="54"/>
    <x v="0"/>
    <s v="Envioclick- Coordinadora"/>
    <s v="2953784 -84151073464"/>
    <d v="2024-12-16T00:00:00"/>
    <d v="2024-12-17T00:00:00"/>
    <x v="0"/>
    <n v="1"/>
    <n v="2"/>
    <x v="3"/>
    <n v="15105"/>
    <m/>
  </r>
  <r>
    <d v="2024-12-16T00:00:00"/>
    <x v="11"/>
    <n v="51"/>
    <n v="2355"/>
    <x v="0"/>
    <s v="Gustavo Adolfo Cardona Quintero"/>
    <s v="TECUBDPM"/>
    <s v="TECU Desk Pad B Negro Café Miel"/>
    <n v="1"/>
    <x v="4"/>
    <x v="0"/>
    <x v="38"/>
    <x v="0"/>
    <s v="Envioclick- Coordinadora"/>
    <s v="2953152 -84151073158"/>
    <d v="2024-12-16T00:00:00"/>
    <d v="2024-12-18T00:00:00"/>
    <x v="0"/>
    <n v="0"/>
    <n v="2"/>
    <x v="3"/>
    <n v="16476"/>
    <m/>
  </r>
  <r>
    <d v="2024-12-16T00:00:00"/>
    <x v="11"/>
    <n v="51"/>
    <n v="2356"/>
    <x v="0"/>
    <s v="Juan Camilo Guzman Sandoval"/>
    <s v="TECU2FNG"/>
    <s v="Electric Standing Desk GO Negro"/>
    <n v="1"/>
    <x v="0"/>
    <x v="4"/>
    <x v="5"/>
    <x v="0"/>
    <s v="Envioclick- Coordinadora"/>
    <s v="2954296 -84151073707"/>
    <d v="2024-12-16T00:00:00"/>
    <d v="2024-12-18T00:00:00"/>
    <x v="0"/>
    <n v="0"/>
    <n v="2"/>
    <x v="1"/>
    <n v="41925"/>
    <m/>
  </r>
  <r>
    <d v="2024-12-16T00:00:00"/>
    <x v="11"/>
    <n v="51"/>
    <n v="2356"/>
    <x v="0"/>
    <s v="Juan Camilo Guzman Sandoval"/>
    <s v="TECUTCO6C"/>
    <s v="Superficie Escritorio Caramelo 160x70 Clasico"/>
    <n v="1"/>
    <x v="1"/>
    <x v="4"/>
    <x v="5"/>
    <x v="0"/>
    <s v="Envioclick- Coordinadora"/>
    <s v="2954298 -84151073709"/>
    <d v="2024-12-16T00:00:00"/>
    <d v="2024-12-18T00:00:00"/>
    <x v="0"/>
    <n v="0"/>
    <n v="2"/>
    <x v="1"/>
    <n v="24366"/>
    <m/>
  </r>
  <r>
    <d v="2024-12-16T00:00:00"/>
    <x v="11"/>
    <n v="51"/>
    <n v="2357"/>
    <x v="0"/>
    <s v="Cesar Gomez"/>
    <s v="TECU2FNG"/>
    <s v="Electric Standing Desk GO Negro"/>
    <n v="1"/>
    <x v="0"/>
    <x v="7"/>
    <x v="18"/>
    <x v="0"/>
    <s v="Envioclick- Coordinadora"/>
    <s v="2955173 -84151075240"/>
    <d v="2024-12-16T00:00:00"/>
    <d v="2024-12-19T00:00:00"/>
    <x v="0"/>
    <n v="0"/>
    <n v="3"/>
    <x v="1"/>
    <n v="53573"/>
    <m/>
  </r>
  <r>
    <d v="2024-12-16T00:00:00"/>
    <x v="11"/>
    <n v="51"/>
    <n v="2357"/>
    <x v="0"/>
    <s v="Cesar Gomez"/>
    <s v="TECUTCO4C"/>
    <s v="Superficie Escritorio Caramelo 140x70 Clasico"/>
    <n v="1"/>
    <x v="1"/>
    <x v="7"/>
    <x v="18"/>
    <x v="0"/>
    <s v="Envioclick- Coordinadora"/>
    <s v="2955175 -84151075243"/>
    <d v="2024-12-16T00:00:00"/>
    <d v="2024-12-20T00:00:00"/>
    <x v="0"/>
    <n v="0"/>
    <n v="4"/>
    <x v="1"/>
    <n v="33934"/>
    <m/>
  </r>
  <r>
    <d v="2024-12-17T00:00:00"/>
    <x v="11"/>
    <n v="51"/>
    <n v="2358"/>
    <x v="0"/>
    <s v="Nicole Gomez"/>
    <s v="TECURN"/>
    <s v="Repisa TECU  Negro (Wengue)"/>
    <n v="1"/>
    <x v="2"/>
    <x v="0"/>
    <x v="3"/>
    <x v="0"/>
    <s v="Envioclick- Coordinadora"/>
    <s v="2958680 -84151076661"/>
    <d v="2024-12-17T00:00:00"/>
    <d v="2024-12-18T00:00:00"/>
    <x v="0"/>
    <n v="0"/>
    <n v="1"/>
    <x v="1"/>
    <n v="23690"/>
    <m/>
  </r>
  <r>
    <d v="2024-12-17T00:00:00"/>
    <x v="11"/>
    <n v="51"/>
    <n v="2358"/>
    <x v="0"/>
    <s v="Nicole Gomez"/>
    <s v="TECUCT"/>
    <s v="TECU bandeja de cables"/>
    <n v="1"/>
    <x v="4"/>
    <x v="0"/>
    <x v="3"/>
    <x v="0"/>
    <s v="Envioclick- Coordinadora"/>
    <s v="2959016 -84151076786"/>
    <d v="2024-12-17T00:00:00"/>
    <d v="2024-12-18T00:00:00"/>
    <x v="0"/>
    <n v="0"/>
    <n v="1"/>
    <x v="1"/>
    <n v="28190"/>
    <m/>
  </r>
  <r>
    <d v="2024-12-17T00:00:00"/>
    <x v="11"/>
    <n v="51"/>
    <n v="2359"/>
    <x v="0"/>
    <s v="Ronald Ortiz"/>
    <s v="TECUTCC2C"/>
    <s v="Superficie Escritorio Miel 120x70 Clasico Small"/>
    <n v="1"/>
    <x v="1"/>
    <x v="1"/>
    <x v="50"/>
    <x v="0"/>
    <s v="Envioclick- Coordinadora"/>
    <s v="2959994 -84151077272"/>
    <d v="2024-12-17T00:00:00"/>
    <d v="2024-12-19T00:00:00"/>
    <x v="0"/>
    <n v="0"/>
    <n v="2"/>
    <x v="1"/>
    <n v="23945"/>
    <m/>
  </r>
  <r>
    <d v="2024-12-17T00:00:00"/>
    <x v="11"/>
    <n v="51"/>
    <n v="2360"/>
    <x v="0"/>
    <s v="Daniel Mateus"/>
    <s v="TECU2FBGO"/>
    <s v="Electric Standing Desk GO Blanco"/>
    <n v="1"/>
    <x v="0"/>
    <x v="1"/>
    <x v="1"/>
    <x v="0"/>
    <s v="Envioclick- Coordinadora"/>
    <s v="2972464 -84151083034"/>
    <d v="2024-12-20T00:00:00"/>
    <d v="2024-12-21T00:00:00"/>
    <x v="0"/>
    <n v="3"/>
    <n v="4"/>
    <x v="0"/>
    <n v="41593"/>
    <s v="Cliente pide despachar 20 Dic "/>
  </r>
  <r>
    <d v="2024-12-17T00:00:00"/>
    <x v="11"/>
    <n v="51"/>
    <n v="2360"/>
    <x v="0"/>
    <s v="Daniel Mateus"/>
    <s v="TECUTCC4C"/>
    <s v="Superficie Escritorio Miel 140x70 Clasico"/>
    <n v="1"/>
    <x v="1"/>
    <x v="1"/>
    <x v="1"/>
    <x v="0"/>
    <s v="Envioclick- Coordinadora"/>
    <s v="2972465 -84151083035"/>
    <d v="2024-12-20T00:00:00"/>
    <d v="2024-12-24T00:00:00"/>
    <x v="0"/>
    <n v="3"/>
    <n v="6"/>
    <x v="0"/>
    <n v="24093"/>
    <s v="Cliente pide despachar 20 Dic "/>
  </r>
  <r>
    <d v="2024-12-18T00:00:00"/>
    <x v="11"/>
    <n v="51"/>
    <n v="2361"/>
    <x v="0"/>
    <s v="Enterprise RM SAS"/>
    <s v="TECU3FNPRO"/>
    <s v="Electric Standing Desk  PRO Negro"/>
    <n v="1"/>
    <x v="0"/>
    <x v="0"/>
    <x v="3"/>
    <x v="0"/>
    <s v="Envioclick- Coordinadora"/>
    <s v="2962533 -84151078551"/>
    <d v="2024-12-18T00:00:00"/>
    <d v="2024-12-19T00:00:00"/>
    <x v="0"/>
    <n v="0"/>
    <n v="1"/>
    <x v="1"/>
    <n v="43277"/>
    <m/>
  </r>
  <r>
    <d v="2024-12-18T00:00:00"/>
    <x v="11"/>
    <n v="51"/>
    <n v="2361"/>
    <x v="0"/>
    <s v="Enterprise RM SAS"/>
    <s v="TECUTCC2C"/>
    <s v="Superficie Escritorio Miel 120x70 Clasico Small"/>
    <n v="1"/>
    <x v="1"/>
    <x v="0"/>
    <x v="3"/>
    <x v="0"/>
    <s v="Envioclick- Coordinadora"/>
    <s v="2962536 -84151078552"/>
    <d v="2024-12-18T00:00:00"/>
    <d v="2024-12-19T00:00:00"/>
    <x v="0"/>
    <n v="0"/>
    <n v="1"/>
    <x v="1"/>
    <n v="29097"/>
    <m/>
  </r>
  <r>
    <d v="2024-12-18T00:00:00"/>
    <x v="11"/>
    <n v="51"/>
    <n v="2361"/>
    <x v="0"/>
    <s v="Enterprise RM SAS"/>
    <m/>
    <s v="Servicio de instalacion"/>
    <n v="1"/>
    <x v="7"/>
    <x v="0"/>
    <x v="3"/>
    <x v="1"/>
    <s v="Envioclick- Coordinadora"/>
    <s v="NA"/>
    <m/>
    <m/>
    <x v="1"/>
    <n v="-39110"/>
    <s v="PTE"/>
    <x v="2"/>
    <m/>
    <m/>
  </r>
  <r>
    <d v="2024-12-18T00:00:00"/>
    <x v="11"/>
    <n v="51"/>
    <n v="2362"/>
    <x v="0"/>
    <s v="Miguel Angel ortiz vargas"/>
    <s v="TECULFN2"/>
    <s v="Electric Standing Desk | Escritorio Ajustable En L Frame Negro 2.0"/>
    <n v="1"/>
    <x v="0"/>
    <x v="1"/>
    <x v="1"/>
    <x v="0"/>
    <s v="Envioclick- Coordinadora"/>
    <s v="2962573 -84151078560"/>
    <d v="2024-12-18T00:00:00"/>
    <d v="2024-12-20T00:00:00"/>
    <x v="0"/>
    <n v="0"/>
    <n v="2"/>
    <x v="1"/>
    <n v="63147"/>
    <m/>
  </r>
  <r>
    <d v="2024-12-18T00:00:00"/>
    <x v="11"/>
    <n v="51"/>
    <n v="2362"/>
    <x v="0"/>
    <s v="Miguel Angel ortiz vargas"/>
    <s v="TECUTLCCS"/>
    <s v="Superficie Escritorio en L Caramelo Set completo"/>
    <n v="1"/>
    <x v="1"/>
    <x v="1"/>
    <x v="1"/>
    <x v="0"/>
    <s v="Envioclick- Coordinadora"/>
    <s v="2962575 -84151078562"/>
    <d v="2024-12-18T00:00:00"/>
    <d v="2024-12-20T00:00:00"/>
    <x v="0"/>
    <n v="0"/>
    <n v="2"/>
    <x v="1"/>
    <n v="27069"/>
    <m/>
  </r>
  <r>
    <d v="2024-12-18T00:00:00"/>
    <x v="11"/>
    <n v="51"/>
    <n v="2362"/>
    <x v="0"/>
    <s v="Miguel Angel ortiz vargas"/>
    <s v="TECUACO"/>
    <s v="Archivador TECU  Caramelo"/>
    <n v="1"/>
    <x v="3"/>
    <x v="1"/>
    <x v="1"/>
    <x v="0"/>
    <s v="Envioclick- Envia"/>
    <s v="2962585 -954101111392"/>
    <d v="2024-12-18T00:00:00"/>
    <d v="2024-12-19T00:00:00"/>
    <x v="0"/>
    <n v="0"/>
    <n v="1"/>
    <x v="1"/>
    <n v="43847"/>
    <m/>
  </r>
  <r>
    <d v="2024-12-21T00:00:00"/>
    <x v="11"/>
    <n v="51"/>
    <n v="2363"/>
    <x v="0"/>
    <s v="Alejandro Orozco Montes"/>
    <s v="TECU3FBRO"/>
    <s v="Electric Standing Desk  PRO Blanco"/>
    <n v="1"/>
    <x v="0"/>
    <x v="1"/>
    <x v="1"/>
    <x v="0"/>
    <s v="Envioclick- Coordinadora"/>
    <s v="2994921 -84151093719"/>
    <d v="2025-01-02T00:00:00"/>
    <d v="2025-01-03T00:00:00"/>
    <x v="0"/>
    <n v="9"/>
    <n v="10"/>
    <x v="0"/>
    <n v="42921"/>
    <s v="Cliente pide enviar pedido despues del 2 de Enero"/>
  </r>
  <r>
    <d v="2024-12-21T00:00:00"/>
    <x v="11"/>
    <n v="51"/>
    <n v="2363"/>
    <x v="0"/>
    <s v="Alejandro Orozco Montes"/>
    <s v="TECUTB4C"/>
    <s v="Superficie Escritorio Blanco (Niebla) 140x70 Clasico"/>
    <n v="1"/>
    <x v="1"/>
    <x v="1"/>
    <x v="1"/>
    <x v="0"/>
    <s v="Envioclick- Coordinadora"/>
    <s v="2994922 -84151093720"/>
    <d v="2025-01-02T00:00:00"/>
    <d v="2025-01-07T00:00:00"/>
    <x v="0"/>
    <n v="9"/>
    <n v="13"/>
    <x v="0"/>
    <n v="24093"/>
    <s v="Cliente pide enviar pedido despues del 2 de Enero"/>
  </r>
  <r>
    <d v="2024-12-21T00:00:00"/>
    <x v="11"/>
    <n v="51"/>
    <n v="2364"/>
    <x v="0"/>
    <s v="Josue Alonso"/>
    <s v="TECU2FNG"/>
    <s v="Electric Standing Desk GO Negro"/>
    <n v="1"/>
    <x v="0"/>
    <x v="0"/>
    <x v="3"/>
    <x v="0"/>
    <s v="Envioclick- Coordinadora"/>
    <s v="2979626 -84151085585"/>
    <d v="2024-12-23T00:00:00"/>
    <d v="2024-12-26T00:00:00"/>
    <x v="0"/>
    <n v="1"/>
    <n v="3"/>
    <x v="1"/>
    <n v="41593"/>
    <m/>
  </r>
  <r>
    <d v="2024-12-21T00:00:00"/>
    <x v="11"/>
    <n v="51"/>
    <n v="2364"/>
    <x v="0"/>
    <s v="Josue Alonso"/>
    <s v="TECUTCC6C"/>
    <s v="Superficie Escritorio Miel 160x70 Clasico"/>
    <n v="1"/>
    <x v="1"/>
    <x v="0"/>
    <x v="3"/>
    <x v="0"/>
    <s v="Envioclick- Coordinadora"/>
    <s v="2979628 -84151085587"/>
    <d v="2024-12-23T00:00:00"/>
    <d v="2024-12-26T00:00:00"/>
    <x v="0"/>
    <n v="1"/>
    <n v="3"/>
    <x v="1"/>
    <n v="24093"/>
    <m/>
  </r>
  <r>
    <d v="2024-12-23T00:00:00"/>
    <x v="11"/>
    <n v="52"/>
    <n v="2365"/>
    <x v="0"/>
    <s v="Yesid Botero"/>
    <s v="TECU3FNPRO"/>
    <s v="Electric Standing Desk  PRO Negro"/>
    <n v="1"/>
    <x v="0"/>
    <x v="0"/>
    <x v="10"/>
    <x v="0"/>
    <s v="Envioclick- Coordinadora"/>
    <s v="2979637 -84151085591"/>
    <d v="2024-12-23T00:00:00"/>
    <d v="2024-12-24T00:00:00"/>
    <x v="0"/>
    <n v="0"/>
    <n v="1"/>
    <x v="1"/>
    <n v="42921"/>
    <m/>
  </r>
  <r>
    <d v="2024-12-23T00:00:00"/>
    <x v="11"/>
    <n v="52"/>
    <n v="2365"/>
    <x v="0"/>
    <s v="Yesid Botero"/>
    <s v="TECUTRN20C"/>
    <s v="Superficie Escritorio Roble Negro 200x70 Clasico"/>
    <n v="1"/>
    <x v="1"/>
    <x v="0"/>
    <x v="10"/>
    <x v="0"/>
    <s v="Envioclick- Coordinadora"/>
    <s v="2979638 -84151085592"/>
    <d v="2024-12-23T00:00:00"/>
    <d v="2024-12-24T00:00:00"/>
    <x v="0"/>
    <n v="0"/>
    <n v="1"/>
    <x v="1"/>
    <n v="26749"/>
    <m/>
  </r>
  <r>
    <d v="2024-12-23T00:00:00"/>
    <x v="11"/>
    <n v="52"/>
    <n v="2366"/>
    <x v="0"/>
    <s v="Steven Hoyos"/>
    <s v="TECU3FBRO"/>
    <s v="Electric Standing Desk  PRO Blanco"/>
    <n v="1"/>
    <x v="0"/>
    <x v="16"/>
    <x v="37"/>
    <x v="0"/>
    <s v="Envioclick- Coordinadora"/>
    <s v="2986995 -84151089692"/>
    <d v="2024-12-28T00:00:00"/>
    <d v="2024-12-30T00:00:00"/>
    <x v="0"/>
    <n v="4"/>
    <n v="5"/>
    <x v="1"/>
    <n v="47432"/>
    <m/>
  </r>
  <r>
    <d v="2024-12-23T00:00:00"/>
    <x v="11"/>
    <n v="52"/>
    <n v="2366"/>
    <x v="0"/>
    <s v="Steven Hoyos"/>
    <s v="TECUTB2C"/>
    <s v="Superficie Escritorio Blanco (Niebla) 120x70 Clasico Small"/>
    <n v="1"/>
    <x v="1"/>
    <x v="16"/>
    <x v="37"/>
    <x v="0"/>
    <s v="Envioclick- Coordinadora"/>
    <s v="2986997 -84151089694"/>
    <d v="2024-12-27T00:00:00"/>
    <d v="2024-12-29T00:00:00"/>
    <x v="0"/>
    <n v="3"/>
    <n v="4"/>
    <x v="1"/>
    <n v="33252"/>
    <m/>
  </r>
  <r>
    <d v="2024-12-23T00:00:00"/>
    <x v="11"/>
    <n v="52"/>
    <n v="2366"/>
    <x v="0"/>
    <s v="Steven Hoyos"/>
    <s v="TECUCT"/>
    <s v="TECU bandeja de cables"/>
    <n v="1"/>
    <x v="4"/>
    <x v="16"/>
    <x v="37"/>
    <x v="0"/>
    <s v="Envioclick- Coordinadora"/>
    <s v="2987004 -84151089700"/>
    <d v="2024-12-27T00:00:00"/>
    <d v="2024-12-28T00:00:00"/>
    <x v="0"/>
    <n v="3"/>
    <n v="4"/>
    <x v="1"/>
    <n v="24885"/>
    <m/>
  </r>
  <r>
    <d v="2024-12-23T00:00:00"/>
    <x v="11"/>
    <n v="52"/>
    <n v="2366"/>
    <x v="4"/>
    <s v="Steven Hoyos"/>
    <s v="TECUBLS"/>
    <s v="TECU Laptop Stand B"/>
    <n v="1"/>
    <x v="4"/>
    <x v="16"/>
    <x v="37"/>
    <x v="0"/>
    <s v="Envioclick- Coordinadora"/>
    <s v="2987015 -84151089704"/>
    <d v="2024-12-27T00:00:00"/>
    <d v="2024-12-29T00:00:00"/>
    <x v="0"/>
    <n v="3"/>
    <n v="4"/>
    <x v="1"/>
    <n v="24885"/>
    <m/>
  </r>
  <r>
    <d v="2024-12-24T00:00:00"/>
    <x v="11"/>
    <n v="52"/>
    <n v="2367"/>
    <x v="0"/>
    <s v="Darwin Sáenz"/>
    <s v="TECU3FNPRO"/>
    <s v="Electric Standing Desk  PRO Negro"/>
    <n v="1"/>
    <x v="0"/>
    <x v="1"/>
    <x v="1"/>
    <x v="0"/>
    <s v="Envioclick- Coordinadora"/>
    <s v="2983860 -84151087961"/>
    <d v="2024-12-26T00:00:00"/>
    <d v="2024-12-30T00:00:00"/>
    <x v="0"/>
    <n v="1"/>
    <n v="4"/>
    <x v="0"/>
    <n v="42921"/>
    <m/>
  </r>
  <r>
    <d v="2024-12-24T00:00:00"/>
    <x v="11"/>
    <n v="52"/>
    <n v="2367"/>
    <x v="0"/>
    <s v="Darwin Sáenz"/>
    <s v="TECUTCO8C"/>
    <s v="Superficie Escritorio Caramelo 180x70 Clasico"/>
    <n v="1"/>
    <x v="1"/>
    <x v="1"/>
    <x v="1"/>
    <x v="0"/>
    <s v="Envioclick- Coordinadora"/>
    <s v="2983861 -84151087962"/>
    <d v="2024-12-26T00:00:00"/>
    <d v="2024-12-30T00:00:00"/>
    <x v="0"/>
    <n v="1"/>
    <n v="4"/>
    <x v="0"/>
    <n v="26749"/>
    <m/>
  </r>
  <r>
    <d v="2024-12-24T00:00:00"/>
    <x v="11"/>
    <n v="52"/>
    <n v="2368"/>
    <x v="0"/>
    <s v="Cristhian mejia"/>
    <s v="TECULFN2"/>
    <s v="Electric Standing Desk | Escritorio Ajustable En L Frame Negro 2.0"/>
    <n v="1"/>
    <x v="0"/>
    <x v="21"/>
    <x v="26"/>
    <x v="0"/>
    <s v="Envioclick- Coordinadora"/>
    <s v="2983907 -84151087987"/>
    <d v="2024-12-26T00:00:00"/>
    <d v="2024-12-27T00:00:00"/>
    <x v="0"/>
    <n v="1"/>
    <n v="2"/>
    <x v="1"/>
    <n v="48718"/>
    <m/>
  </r>
  <r>
    <d v="2024-12-24T00:00:00"/>
    <x v="11"/>
    <n v="52"/>
    <n v="2368"/>
    <x v="0"/>
    <s v="Cristhian mejia"/>
    <s v="TECUTLBS"/>
    <s v="Superficie Escritorio en L Blanco (Niebla) Set completo"/>
    <n v="1"/>
    <x v="1"/>
    <x v="21"/>
    <x v="26"/>
    <x v="0"/>
    <s v="Envioclick- Coordinadora"/>
    <s v="2983908 -84151087988"/>
    <d v="2024-12-26T00:00:00"/>
    <d v="2024-12-27T00:00:00"/>
    <x v="0"/>
    <n v="1"/>
    <n v="2"/>
    <x v="1"/>
    <n v="16788"/>
    <m/>
  </r>
  <r>
    <d v="2024-12-24T00:00:00"/>
    <x v="11"/>
    <n v="52"/>
    <n v="2368"/>
    <x v="0"/>
    <s v="Cristhian mejia"/>
    <s v="TECUDSG"/>
    <s v="TECU Desk Stool Gris Silla ajustable"/>
    <n v="1"/>
    <x v="5"/>
    <x v="21"/>
    <x v="26"/>
    <x v="0"/>
    <s v="Envioclick- Coordinadora"/>
    <s v="2983917 -84151087992"/>
    <d v="2024-12-26T00:00:00"/>
    <d v="2024-12-27T00:00:00"/>
    <x v="0"/>
    <n v="1"/>
    <n v="2"/>
    <x v="1"/>
    <n v="20766"/>
    <m/>
  </r>
  <r>
    <d v="2024-12-24T00:00:00"/>
    <x v="11"/>
    <n v="52"/>
    <n v="2368"/>
    <x v="0"/>
    <s v="Cristhian mejia"/>
    <s v="TECURB"/>
    <s v="Repisa TECU  Blanco (Niebla)"/>
    <n v="1"/>
    <x v="2"/>
    <x v="21"/>
    <x v="26"/>
    <x v="0"/>
    <s v="Envioclick- Coordinadora"/>
    <s v="NA"/>
    <d v="2024-12-26T00:00:00"/>
    <d v="2024-12-27T00:00:00"/>
    <x v="0"/>
    <n v="1"/>
    <n v="2"/>
    <x v="1"/>
    <n v="0"/>
    <m/>
  </r>
  <r>
    <d v="2024-12-24T00:00:00"/>
    <x v="11"/>
    <n v="52"/>
    <n v="2368"/>
    <x v="0"/>
    <s v="Cristhian mejia"/>
    <s v="TECUBDPA"/>
    <s v="TECU Desk Pad B Negro Azul"/>
    <n v="1"/>
    <x v="4"/>
    <x v="21"/>
    <x v="26"/>
    <x v="0"/>
    <s v="Envioclick- Coordinadora"/>
    <s v="2983925 -84151087995"/>
    <d v="2024-12-26T00:00:00"/>
    <d v="2024-12-27T00:00:00"/>
    <x v="0"/>
    <n v="1"/>
    <n v="2"/>
    <x v="1"/>
    <n v="9183"/>
    <m/>
  </r>
  <r>
    <d v="2024-12-24T00:00:00"/>
    <x v="11"/>
    <n v="52"/>
    <n v="2368"/>
    <x v="0"/>
    <s v="Cristhian mejia"/>
    <s v="TECUCT"/>
    <s v="TECU bandeja de cables"/>
    <n v="1"/>
    <x v="4"/>
    <x v="21"/>
    <x v="26"/>
    <x v="0"/>
    <s v="Envioclick- Coordinadora"/>
    <s v="2984075 -84151088078"/>
    <d v="2024-12-26T00:00:00"/>
    <d v="2024-12-27T00:00:00"/>
    <x v="0"/>
    <n v="1"/>
    <n v="2"/>
    <x v="1"/>
    <n v="15447"/>
    <m/>
  </r>
  <r>
    <d v="2024-12-24T00:00:00"/>
    <x v="11"/>
    <n v="52"/>
    <n v="2368"/>
    <x v="0"/>
    <s v="Cristhian mejia"/>
    <s v="TECUAB"/>
    <s v="Archivador TECU  Blanco (Niebla)"/>
    <n v="1"/>
    <x v="3"/>
    <x v="21"/>
    <x v="26"/>
    <x v="0"/>
    <s v="Envioclick- Envia"/>
    <s v="2987020 -954101116248"/>
    <d v="2024-12-27T00:00:00"/>
    <d v="2024-12-30T00:00:00"/>
    <x v="0"/>
    <n v="2"/>
    <n v="4"/>
    <x v="0"/>
    <n v="33905"/>
    <m/>
  </r>
  <r>
    <d v="2024-12-24T00:00:00"/>
    <x v="11"/>
    <n v="52"/>
    <n v="2368"/>
    <x v="0"/>
    <s v="Cristhian mejia"/>
    <s v="TECUAB"/>
    <s v="Archivador TECU  Blanco (Niebla)"/>
    <n v="1"/>
    <x v="3"/>
    <x v="21"/>
    <x v="26"/>
    <x v="0"/>
    <s v="Envioclick- Envia"/>
    <s v="2987615 -954101116465"/>
    <d v="2024-12-27T00:00:00"/>
    <d v="2024-12-30T00:00:00"/>
    <x v="0"/>
    <n v="2"/>
    <n v="4"/>
    <x v="0"/>
    <n v="33905"/>
    <m/>
  </r>
  <r>
    <d v="2024-12-24T00:00:00"/>
    <x v="11"/>
    <n v="52"/>
    <n v="2368"/>
    <x v="0"/>
    <s v="Cristhian mejia"/>
    <s v="TECUAB"/>
    <s v="Archivador TECU  Blanco (Niebla)"/>
    <n v="1"/>
    <x v="3"/>
    <x v="21"/>
    <x v="26"/>
    <x v="1"/>
    <s v="Envioclick- Envia"/>
    <m/>
    <m/>
    <m/>
    <x v="1"/>
    <n v="-39115"/>
    <s v="PTE"/>
    <x v="2"/>
    <m/>
    <m/>
  </r>
  <r>
    <d v="2024-12-24T00:00:00"/>
    <x v="11"/>
    <n v="52"/>
    <n v="2368"/>
    <x v="0"/>
    <s v="Cristhian mejia"/>
    <s v="TECUAB"/>
    <s v="Archivador TECU  Blanco (Niebla)"/>
    <n v="1"/>
    <x v="3"/>
    <x v="21"/>
    <x v="26"/>
    <x v="1"/>
    <s v="Envioclick- Envia"/>
    <m/>
    <m/>
    <m/>
    <x v="1"/>
    <n v="-39115"/>
    <s v="PTE"/>
    <x v="2"/>
    <m/>
    <m/>
  </r>
  <r>
    <d v="2024-12-26T00:00:00"/>
    <x v="11"/>
    <n v="52"/>
    <n v="2369"/>
    <x v="0"/>
    <s v="Aldo Vilardy Roa"/>
    <s v="TECU3FNPRO"/>
    <s v="Electric Standing Desk  PRO Negro"/>
    <n v="1"/>
    <x v="0"/>
    <x v="1"/>
    <x v="1"/>
    <x v="0"/>
    <s v="Envioclick- Coordinadora"/>
    <s v="2985077 -84151088654"/>
    <d v="2024-12-26T00:00:00"/>
    <d v="2024-12-27T00:00:00"/>
    <x v="0"/>
    <n v="0"/>
    <n v="1"/>
    <x v="1"/>
    <n v="42921"/>
    <m/>
  </r>
  <r>
    <d v="2024-12-26T00:00:00"/>
    <x v="11"/>
    <n v="52"/>
    <n v="2369"/>
    <x v="0"/>
    <s v="Aldo Vilardy Roa"/>
    <s v="TECUTFE20C"/>
    <s v="Superficie Escritorio Fresno Europeo 200x70 Clasico"/>
    <n v="1"/>
    <x v="1"/>
    <x v="1"/>
    <x v="1"/>
    <x v="0"/>
    <s v="Envioclick- Coordinadora"/>
    <s v="2985078 -84151088656"/>
    <d v="2024-12-26T00:00:00"/>
    <d v="2024-12-28T00:00:00"/>
    <x v="0"/>
    <n v="0"/>
    <n v="2"/>
    <x v="1"/>
    <n v="26749"/>
    <m/>
  </r>
  <r>
    <d v="2024-12-27T00:00:00"/>
    <x v="11"/>
    <n v="52"/>
    <n v="2370"/>
    <x v="0"/>
    <s v="James Zapata"/>
    <s v="TECU3FNPRO"/>
    <s v="Electric Standing Desk  PRO Negro"/>
    <n v="1"/>
    <x v="0"/>
    <x v="0"/>
    <x v="3"/>
    <x v="0"/>
    <s v="Envioclick- Coordinadora"/>
    <s v="2987958 -84151090274"/>
    <d v="2024-12-27T00:00:00"/>
    <d v="2024-12-28T00:00:00"/>
    <x v="0"/>
    <n v="0"/>
    <n v="1"/>
    <x v="1"/>
    <n v="42921"/>
    <m/>
  </r>
  <r>
    <d v="2024-12-27T00:00:00"/>
    <x v="11"/>
    <n v="52"/>
    <n v="2370"/>
    <x v="0"/>
    <s v="James Zapata"/>
    <s v="TECUTCC6C"/>
    <s v="Superficie Escritorio Miel 160x70 Clasico"/>
    <n v="1"/>
    <x v="1"/>
    <x v="0"/>
    <x v="3"/>
    <x v="0"/>
    <s v="Envioclick- Coordinadora"/>
    <s v="2987959 -84151090275"/>
    <d v="2024-12-27T00:00:00"/>
    <d v="2024-12-28T00:00:00"/>
    <x v="0"/>
    <n v="0"/>
    <n v="1"/>
    <x v="1"/>
    <n v="24093"/>
    <m/>
  </r>
  <r>
    <d v="2024-12-27T00:00:00"/>
    <x v="11"/>
    <n v="52"/>
    <n v="2371"/>
    <x v="0"/>
    <s v="Christiam Bohorquez"/>
    <s v="TECU3FNPRO"/>
    <s v="Electric Standing Desk  PRO Negro"/>
    <n v="1"/>
    <x v="0"/>
    <x v="1"/>
    <x v="1"/>
    <x v="0"/>
    <s v="Envioclick- Coordinadora"/>
    <s v="3003158 -84151097402"/>
    <d v="2025-01-08T00:00:00"/>
    <d v="2025-01-10T00:00:00"/>
    <x v="0"/>
    <n v="10"/>
    <n v="12"/>
    <x v="0"/>
    <n v="42921"/>
    <s v="TECU sale a vacaciones 30 dic al 3 Ene"/>
  </r>
  <r>
    <d v="2024-12-27T00:00:00"/>
    <x v="11"/>
    <n v="52"/>
    <n v="2371"/>
    <x v="0"/>
    <s v="Christiam Bohorquez"/>
    <s v="TECUTRN2C"/>
    <s v="Superficie Escritorio Roble Negro 120x70 Clasico Small"/>
    <n v="1"/>
    <x v="1"/>
    <x v="1"/>
    <x v="1"/>
    <x v="0"/>
    <s v="Envioclick- Coordinadora"/>
    <s v="3003162 -84151097405"/>
    <d v="2025-01-08T00:00:00"/>
    <d v="2025-01-10T00:00:00"/>
    <x v="0"/>
    <n v="10"/>
    <n v="12"/>
    <x v="0"/>
    <n v="28741"/>
    <s v="TECU sale a vacaciones 30 dic al 3 Ene"/>
  </r>
  <r>
    <d v="2024-12-27T00:00:00"/>
    <x v="11"/>
    <n v="52"/>
    <n v="2371"/>
    <x v="0"/>
    <s v="Christiam Bohorquez"/>
    <s v="TECUTBANPI"/>
    <s v="Bandeja Piano"/>
    <n v="1"/>
    <x v="4"/>
    <x v="1"/>
    <x v="1"/>
    <x v="0"/>
    <s v="Envioclick- Coordinadora"/>
    <s v="3003177 -84151097413"/>
    <d v="2025-01-08T00:00:00"/>
    <d v="2025-01-10T00:00:00"/>
    <x v="0"/>
    <n v="10"/>
    <n v="12"/>
    <x v="0"/>
    <n v="27929"/>
    <s v="TECU sale a vacaciones 30 dic al 3 Ene"/>
  </r>
  <r>
    <d v="2024-12-28T00:00:00"/>
    <x v="11"/>
    <n v="52"/>
    <n v="2372"/>
    <x v="0"/>
    <s v="Santiago Osorio López"/>
    <s v="TECUBLS"/>
    <s v="TECU Laptop Stand B"/>
    <n v="1"/>
    <x v="4"/>
    <x v="19"/>
    <x v="43"/>
    <x v="0"/>
    <s v="Envioclick- Coordinadora"/>
    <s v="3002683 -84151097102"/>
    <d v="2025-01-07T00:00:00"/>
    <d v="2025-01-08T00:00:00"/>
    <x v="0"/>
    <n v="8"/>
    <n v="9"/>
    <x v="0"/>
    <n v="15447"/>
    <s v="TECU sale a vacaciones 30 dic al 3 Ene"/>
  </r>
  <r>
    <d v="2024-12-28T00:00:00"/>
    <x v="11"/>
    <n v="52"/>
    <n v="2373"/>
    <x v="0"/>
    <s v="Nicolas Becerra"/>
    <s v="TECU3FNPRO"/>
    <s v="Electric Standing Desk  PRO Negro"/>
    <n v="1"/>
    <x v="0"/>
    <x v="1"/>
    <x v="1"/>
    <x v="0"/>
    <s v="Envioclick- Coordinadora"/>
    <s v="3002707 -84151097113"/>
    <d v="2025-01-07T00:00:00"/>
    <d v="2025-01-08T00:00:00"/>
    <x v="0"/>
    <n v="8"/>
    <n v="9"/>
    <x v="0"/>
    <n v="42921"/>
    <s v="TECU sale a vacaciones 30 dic al 3 Ene"/>
  </r>
  <r>
    <d v="2024-12-28T00:00:00"/>
    <x v="11"/>
    <n v="52"/>
    <n v="2373"/>
    <x v="0"/>
    <s v="Nicolas Becerra"/>
    <s v="TECUTFE5M"/>
    <s v="Superficie Escritorio Fresno Europeo 150x70 Moderno"/>
    <n v="1"/>
    <x v="1"/>
    <x v="1"/>
    <x v="1"/>
    <x v="0"/>
    <s v="Envioclick- Coordinadora"/>
    <s v="3002708 -84151097114"/>
    <d v="2025-01-07T00:00:00"/>
    <d v="2025-01-08T00:00:00"/>
    <x v="0"/>
    <n v="8"/>
    <n v="9"/>
    <x v="0"/>
    <n v="24093"/>
    <s v="TECU sale a vacaciones 30 dic al 3 Ene"/>
  </r>
  <r>
    <d v="2024-12-28T00:00:00"/>
    <x v="11"/>
    <n v="52"/>
    <n v="2373"/>
    <x v="0"/>
    <s v="Nicolas Becerra"/>
    <s v="TECUCT"/>
    <s v="TECU bandeja de cables"/>
    <n v="1"/>
    <x v="4"/>
    <x v="1"/>
    <x v="1"/>
    <x v="0"/>
    <s v="Envioclick- Coordinadora"/>
    <s v="3002714 -84151097123"/>
    <d v="2025-01-07T00:00:00"/>
    <d v="2025-01-08T00:00:00"/>
    <x v="0"/>
    <n v="8"/>
    <n v="9"/>
    <x v="0"/>
    <n v="24885"/>
    <m/>
  </r>
  <r>
    <d v="2024-12-28T00:00:00"/>
    <x v="11"/>
    <n v="52"/>
    <n v="2373"/>
    <x v="0"/>
    <s v="Nicolas Becerra"/>
    <s v="TECUAN"/>
    <s v="Archivador TECU  Negro (Wengue)"/>
    <n v="1"/>
    <x v="3"/>
    <x v="1"/>
    <x v="1"/>
    <x v="0"/>
    <s v="Envioclick- Envia"/>
    <s v="3011829 -954101123078"/>
    <d v="2025-01-10T00:00:00"/>
    <d v="2025-01-11T00:00:00"/>
    <x v="0"/>
    <n v="11"/>
    <n v="12"/>
    <x v="0"/>
    <n v="70717"/>
    <m/>
  </r>
  <r>
    <d v="2024-12-29T00:00:00"/>
    <x v="11"/>
    <n v="53"/>
    <n v="2374"/>
    <x v="0"/>
    <s v="Julian Pulgarin"/>
    <s v="TECULFN2"/>
    <s v="Electric Standing Desk | Escritorio Ajustable En L Frame Negro 2.0"/>
    <n v="1"/>
    <x v="0"/>
    <x v="0"/>
    <x v="3"/>
    <x v="0"/>
    <s v="Envioclick- Coordinadora"/>
    <s v="3002879 -84151097216"/>
    <d v="2025-01-07T00:00:00"/>
    <d v="2025-01-08T00:00:00"/>
    <x v="0"/>
    <n v="7"/>
    <n v="8"/>
    <x v="0"/>
    <n v="62530"/>
    <m/>
  </r>
  <r>
    <d v="2024-12-29T00:00:00"/>
    <x v="11"/>
    <n v="53"/>
    <n v="2374"/>
    <x v="0"/>
    <s v="Julian Pulgarin"/>
    <s v="TECUTLCCS"/>
    <s v="Superficie Escritorio en L Caramelo Set completo"/>
    <n v="1"/>
    <x v="1"/>
    <x v="0"/>
    <x v="3"/>
    <x v="0"/>
    <s v="Envioclick- Coordinadora"/>
    <s v="3002881 -84151097218"/>
    <d v="2025-01-07T00:00:00"/>
    <d v="2025-01-08T00:00:00"/>
    <x v="0"/>
    <n v="7"/>
    <n v="8"/>
    <x v="0"/>
    <n v="26749"/>
    <m/>
  </r>
  <r>
    <d v="2024-12-29T00:00:00"/>
    <x v="11"/>
    <n v="53"/>
    <n v="2374"/>
    <x v="0"/>
    <s v="Julian Pulgarin"/>
    <m/>
    <s v="Servicio de instalacion"/>
    <n v="1"/>
    <x v="7"/>
    <x v="0"/>
    <x v="3"/>
    <x v="1"/>
    <m/>
    <s v="NA"/>
    <m/>
    <m/>
    <x v="1"/>
    <n v="-39118"/>
    <s v="PTE"/>
    <x v="2"/>
    <m/>
    <m/>
  </r>
  <r>
    <d v="2024-12-30T00:00:00"/>
    <x v="11"/>
    <n v="53"/>
    <n v="2375"/>
    <x v="0"/>
    <s v="Sneyder Vergara"/>
    <s v="TECURCO"/>
    <s v="Repisa TECU  Caramelo"/>
    <n v="1"/>
    <x v="2"/>
    <x v="22"/>
    <x v="20"/>
    <x v="0"/>
    <s v="Envioclick- Coordinadora"/>
    <s v="3002907 -84151097232"/>
    <d v="2025-01-08T00:00:00"/>
    <d v="2025-01-10T00:00:00"/>
    <x v="0"/>
    <n v="8"/>
    <n v="10"/>
    <x v="0"/>
    <n v="47133"/>
    <m/>
  </r>
  <r>
    <d v="2024-12-30T00:00:00"/>
    <x v="11"/>
    <n v="53"/>
    <n v="2376"/>
    <x v="0"/>
    <s v="LUIS GUILLERMO CASTRO VASQUEZ"/>
    <s v="TECU3FNPRO"/>
    <s v="Electric Standing Desk  PRO Negro"/>
    <n v="1"/>
    <x v="0"/>
    <x v="23"/>
    <x v="2"/>
    <x v="0"/>
    <s v="Envioclick- Coordinadora"/>
    <s v="3002926 -84151097241"/>
    <d v="2025-01-07T00:00:00"/>
    <d v="2025-01-10T00:00:00"/>
    <x v="0"/>
    <n v="7"/>
    <n v="10"/>
    <x v="0"/>
    <n v="62467"/>
    <m/>
  </r>
  <r>
    <d v="2024-12-30T00:00:00"/>
    <x v="11"/>
    <n v="53"/>
    <n v="2376"/>
    <x v="0"/>
    <s v="LUIS GUILLERMO CASTRO VASQUEZ"/>
    <s v="TECUTFE5M"/>
    <s v="Superficie Escritorio Fresno Europeo 150x70 Moderno"/>
    <n v="1"/>
    <x v="1"/>
    <x v="23"/>
    <x v="2"/>
    <x v="0"/>
    <s v="Envioclick- Coordinadora"/>
    <s v="3002927 -84151097242"/>
    <d v="2025-01-07T00:00:00"/>
    <d v="2025-01-10T00:00:00"/>
    <x v="0"/>
    <n v="7"/>
    <n v="10"/>
    <x v="0"/>
    <n v="3907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d v="2025-01-01T00:00:00"/>
    <x v="0"/>
    <n v="2377"/>
    <x v="0"/>
    <s v="Cata Gómez"/>
    <s v="TECUBDPM"/>
    <s v="Desk Pad B Negro Café Miel"/>
    <n v="1"/>
    <x v="0"/>
    <x v="0"/>
    <x v="0"/>
    <x v="0"/>
    <s v="Coordinadora"/>
    <s v="3002937 -84151097246"/>
    <d v="2025-01-07T00:00:00"/>
    <d v="2025-01-08T00:00:00"/>
    <x v="0"/>
    <n v="0"/>
    <n v="1"/>
    <s v="Cumple"/>
    <n v="16617"/>
    <m/>
    <s v="Vacaciones TECU"/>
  </r>
  <r>
    <d v="2025-01-02T00:00:00"/>
    <x v="0"/>
    <n v="2378"/>
    <x v="0"/>
    <s v="Andres felipe Carreño"/>
    <s v="TECUBDPA"/>
    <s v="Desk Pad B Negro Azul"/>
    <n v="1"/>
    <x v="0"/>
    <x v="1"/>
    <x v="1"/>
    <x v="0"/>
    <s v="Coordinadora"/>
    <s v="3002977 -84151097273"/>
    <d v="2025-01-07T00:00:00"/>
    <d v="2025-01-08T00:00:00"/>
    <x v="0"/>
    <n v="0"/>
    <n v="1"/>
    <s v="Cumple"/>
    <n v="16617"/>
    <m/>
    <s v="Vacaciones TECU"/>
  </r>
  <r>
    <d v="2025-01-06T00:00:00"/>
    <x v="0"/>
    <n v="2379"/>
    <x v="0"/>
    <s v="Juan Guevara"/>
    <s v="TECU2FBGO"/>
    <s v="Electric Standing Desk GO Blanco"/>
    <n v="1"/>
    <x v="1"/>
    <x v="1"/>
    <x v="1"/>
    <x v="0"/>
    <s v="Coordinadora"/>
    <s v="3006333 -84151099203"/>
    <d v="2025-01-08T00:00:00"/>
    <d v="2025-01-10T00:00:00"/>
    <x v="0"/>
    <n v="1"/>
    <n v="3"/>
    <s v="Cumple"/>
    <n v="41593"/>
    <m/>
    <m/>
  </r>
  <r>
    <d v="2025-01-06T00:00:00"/>
    <x v="0"/>
    <n v="2379"/>
    <x v="0"/>
    <s v="Juan Guevara"/>
    <s v="TECUTFE2C"/>
    <s v="Superficie  Fresno Europeo 120x70 Clasico Small"/>
    <n v="1"/>
    <x v="2"/>
    <x v="1"/>
    <x v="1"/>
    <x v="0"/>
    <s v="Coordinadora"/>
    <s v="3006334 -84151099205"/>
    <d v="2025-01-08T00:00:00"/>
    <d v="2025-01-10T00:00:00"/>
    <x v="0"/>
    <n v="1"/>
    <n v="3"/>
    <s v="Cumple"/>
    <n v="24093"/>
    <m/>
    <m/>
  </r>
  <r>
    <d v="2025-01-06T00:00:00"/>
    <x v="0"/>
    <n v="2379"/>
    <x v="0"/>
    <s v="Juan Guevara"/>
    <s v="TECUCT"/>
    <s v="Bandeja de cables"/>
    <n v="1"/>
    <x v="0"/>
    <x v="1"/>
    <x v="1"/>
    <x v="0"/>
    <s v="Coordinadora"/>
    <s v="3006341 -84151099209"/>
    <d v="2025-01-08T00:00:00"/>
    <d v="2025-01-10T00:00:00"/>
    <x v="0"/>
    <n v="1"/>
    <n v="3"/>
    <s v="Cumple"/>
    <n v="24885"/>
    <m/>
    <m/>
  </r>
  <r>
    <d v="2025-01-06T00:00:00"/>
    <x v="0"/>
    <n v="2380"/>
    <x v="0"/>
    <s v="Juan Carlos Urbano"/>
    <s v="TECU2FNG"/>
    <s v="Electric Standing Desk GO Negro"/>
    <n v="1"/>
    <x v="1"/>
    <x v="1"/>
    <x v="1"/>
    <x v="0"/>
    <s v="Coordinadora"/>
    <s v="3003131 -84151097381"/>
    <d v="2025-01-07T00:00:00"/>
    <d v="2025-01-08T00:00:00"/>
    <x v="0"/>
    <n v="0"/>
    <n v="1"/>
    <s v="Cumple"/>
    <n v="41593"/>
    <m/>
    <m/>
  </r>
  <r>
    <d v="2025-01-06T00:00:00"/>
    <x v="0"/>
    <n v="2380"/>
    <x v="0"/>
    <s v="Juan Carlos Urbano"/>
    <s v="TECUTCO4C"/>
    <s v="Superficie Caramelo 140x70 Clasico"/>
    <n v="1"/>
    <x v="2"/>
    <x v="1"/>
    <x v="1"/>
    <x v="0"/>
    <s v="Coordinadora"/>
    <s v="3003134 -84151097383"/>
    <d v="2025-01-07T00:00:00"/>
    <d v="2025-01-09T00:00:00"/>
    <x v="0"/>
    <n v="0"/>
    <n v="2"/>
    <s v="Cumple"/>
    <n v="24093"/>
    <m/>
    <m/>
  </r>
  <r>
    <d v="2025-01-06T00:00:00"/>
    <x v="0"/>
    <n v="2380"/>
    <x v="0"/>
    <s v="Juan Carlos Urbano"/>
    <s v="TECUCT"/>
    <s v="Bandeja de cables"/>
    <n v="1"/>
    <x v="0"/>
    <x v="1"/>
    <x v="1"/>
    <x v="0"/>
    <s v="Coordinadora"/>
    <s v="3003144 -84151097390"/>
    <d v="2025-01-07T00:00:00"/>
    <d v="2025-01-09T00:00:00"/>
    <x v="0"/>
    <n v="0"/>
    <n v="2"/>
    <s v="Cumple"/>
    <n v="24885"/>
    <m/>
    <m/>
  </r>
  <r>
    <d v="2025-01-06T00:00:00"/>
    <x v="0"/>
    <n v="2381"/>
    <x v="0"/>
    <s v="Julian Cujabante Villamil"/>
    <s v="TECULFN2"/>
    <s v="Electric Standing Desk  En L Frame Negro 2.0"/>
    <n v="1"/>
    <x v="1"/>
    <x v="1"/>
    <x v="1"/>
    <x v="0"/>
    <s v="Coordinadora"/>
    <s v="3006368 -84151099224"/>
    <d v="2025-01-08T00:00:00"/>
    <d v="2025-01-10T00:00:00"/>
    <x v="0"/>
    <n v="1"/>
    <n v="3"/>
    <s v="Cumple"/>
    <n v="62530"/>
    <m/>
    <m/>
  </r>
  <r>
    <d v="2025-01-06T00:00:00"/>
    <x v="0"/>
    <n v="2381"/>
    <x v="0"/>
    <s v="Julian Cujabante Villamil"/>
    <s v="TECUTLRNS"/>
    <s v="Superficie en L Roble Negro"/>
    <n v="1"/>
    <x v="2"/>
    <x v="1"/>
    <x v="1"/>
    <x v="0"/>
    <s v="Coordinadora"/>
    <s v="3006370 -84151099227"/>
    <d v="2025-01-08T00:00:00"/>
    <d v="2025-01-10T00:00:00"/>
    <x v="0"/>
    <n v="1"/>
    <n v="3"/>
    <s v="Cumple"/>
    <n v="26749"/>
    <m/>
    <m/>
  </r>
  <r>
    <d v="2025-01-06T00:00:00"/>
    <x v="0"/>
    <n v="2381"/>
    <x v="0"/>
    <s v="Julian Cujabante Villamil"/>
    <s v="TECUCT"/>
    <s v="Bandeja de cables"/>
    <n v="1"/>
    <x v="0"/>
    <x v="1"/>
    <x v="1"/>
    <x v="0"/>
    <s v="Coordinadora"/>
    <s v="3006387 -84151099241"/>
    <d v="2025-01-08T00:00:00"/>
    <d v="2025-01-09T00:00:00"/>
    <x v="0"/>
    <n v="1"/>
    <n v="2"/>
    <s v="Cumple"/>
    <n v="24885"/>
    <m/>
    <m/>
  </r>
  <r>
    <d v="2025-01-06T00:00:00"/>
    <x v="0"/>
    <n v="2381"/>
    <x v="0"/>
    <s v="Julian Cujabante Villamil"/>
    <s v="TECUTBANPI"/>
    <s v="Bandeja Piano"/>
    <n v="1"/>
    <x v="0"/>
    <x v="1"/>
    <x v="1"/>
    <x v="0"/>
    <s v="Coordinadora"/>
    <s v="3006380 -84151099237"/>
    <d v="2025-01-08T00:00:00"/>
    <d v="2025-01-10T00:00:00"/>
    <x v="0"/>
    <n v="1"/>
    <n v="3"/>
    <s v="Cumple"/>
    <n v="39225"/>
    <m/>
    <m/>
  </r>
  <r>
    <d v="2025-01-06T00:00:00"/>
    <x v="0"/>
    <n v="2381"/>
    <x v="0"/>
    <s v="Julian Cujabante Villamil"/>
    <m/>
    <s v="Servicio Instalacion"/>
    <n v="1"/>
    <x v="3"/>
    <x v="1"/>
    <x v="1"/>
    <x v="1"/>
    <s v="Coordinadora"/>
    <s v="NA"/>
    <s v="NA"/>
    <s v="NA"/>
    <x v="0"/>
    <s v="PTE"/>
    <e v="#VALUE!"/>
    <e v="#VALUE!"/>
    <m/>
    <m/>
    <m/>
  </r>
  <r>
    <d v="2025-01-07T00:00:00"/>
    <x v="0"/>
    <n v="2382"/>
    <x v="0"/>
    <s v="Henry De Alba"/>
    <s v="TECU2FNG"/>
    <s v="Electric Standing Desk GO Negro"/>
    <n v="1"/>
    <x v="1"/>
    <x v="2"/>
    <x v="2"/>
    <x v="0"/>
    <s v="Coordinadora"/>
    <s v="3008585 -84151100462"/>
    <d v="2025-01-09T00:00:00"/>
    <d v="2025-01-11T00:00:00"/>
    <x v="0"/>
    <n v="2"/>
    <n v="4"/>
    <s v="Cumple"/>
    <n v="59835"/>
    <m/>
    <m/>
  </r>
  <r>
    <d v="2025-01-07T00:00:00"/>
    <x v="0"/>
    <n v="2382"/>
    <x v="0"/>
    <s v="Henry De Alba"/>
    <s v="TECUTRN2C"/>
    <s v="Superficie  Roble Negro 120x70 Clasico Small"/>
    <n v="1"/>
    <x v="2"/>
    <x v="2"/>
    <x v="2"/>
    <x v="0"/>
    <s v="Coordinadora"/>
    <s v="3008587 -84151100464"/>
    <d v="2025-01-09T00:00:00"/>
    <d v="2025-01-11T00:00:00"/>
    <x v="0"/>
    <n v="2"/>
    <n v="4"/>
    <s v="Cumple"/>
    <n v="39078"/>
    <m/>
    <m/>
  </r>
  <r>
    <d v="2025-01-07T00:00:00"/>
    <x v="0"/>
    <n v="2383"/>
    <x v="0"/>
    <s v="Carlos Andres Polanco Triana"/>
    <s v="TECU3FNPRO"/>
    <s v="Electric Standing Desk  PRO Negro"/>
    <n v="1"/>
    <x v="1"/>
    <x v="3"/>
    <x v="3"/>
    <x v="0"/>
    <s v="Coordinadora"/>
    <s v="3008595 -84151100470"/>
    <d v="2025-01-09T00:00:00"/>
    <d v="2025-01-11T00:00:00"/>
    <x v="0"/>
    <n v="2"/>
    <n v="4"/>
    <s v="Cumple"/>
    <n v="62467"/>
    <m/>
    <m/>
  </r>
  <r>
    <d v="2025-01-07T00:00:00"/>
    <x v="0"/>
    <n v="2383"/>
    <x v="0"/>
    <s v="Carlos Andres Polanco Triana"/>
    <s v="TECUTCO4C"/>
    <s v="Superficie Caramelo 140x70 Clasico"/>
    <n v="1"/>
    <x v="2"/>
    <x v="3"/>
    <x v="3"/>
    <x v="0"/>
    <s v="Coordinadora"/>
    <s v="3008596 -84151100471"/>
    <d v="2025-01-09T00:00:00"/>
    <d v="2025-01-11T00:00:00"/>
    <x v="0"/>
    <n v="2"/>
    <n v="4"/>
    <s v="Cumple"/>
    <n v="39078"/>
    <m/>
    <m/>
  </r>
  <r>
    <d v="2025-01-08T00:00:00"/>
    <x v="0"/>
    <n v="2384"/>
    <x v="0"/>
    <s v="Samuel Antonio Cabezas Tibaquicha"/>
    <s v="TECU3FNPRO"/>
    <s v="Electric Standing Desk  PRO Negro"/>
    <n v="1"/>
    <x v="1"/>
    <x v="1"/>
    <x v="4"/>
    <x v="0"/>
    <s v="Coordinadora"/>
    <s v="3006418 -84151099260"/>
    <d v="2025-01-08T00:00:00"/>
    <d v="2025-01-09T00:00:00"/>
    <x v="0"/>
    <n v="0"/>
    <n v="1"/>
    <s v="Cumple"/>
    <n v="42921"/>
    <m/>
    <m/>
  </r>
  <r>
    <d v="2025-01-08T00:00:00"/>
    <x v="0"/>
    <n v="2384"/>
    <x v="0"/>
    <s v="Samuel Antonio Cabezas Tibaquicha"/>
    <s v="TECUDSN"/>
    <s v="Desk Stool Negra Silla ajustable"/>
    <n v="1"/>
    <x v="4"/>
    <x v="1"/>
    <x v="4"/>
    <x v="0"/>
    <s v="Coordinadora"/>
    <s v="3006424 -84151099263"/>
    <d v="2025-01-08T00:00:00"/>
    <d v="2025-01-09T00:00:00"/>
    <x v="0"/>
    <n v="0"/>
    <n v="1"/>
    <s v="Cumple"/>
    <n v="26609"/>
    <m/>
    <m/>
  </r>
  <r>
    <d v="2025-01-08T00:00:00"/>
    <x v="0"/>
    <n v="2385"/>
    <x v="0"/>
    <s v="Diana Ruiz"/>
    <s v="TECU3FNPRO"/>
    <s v="Electric Standing Desk  PRO Negro"/>
    <n v="1"/>
    <x v="1"/>
    <x v="1"/>
    <x v="1"/>
    <x v="0"/>
    <s v="Coordinadora"/>
    <s v="3009172 -84151100736"/>
    <d v="2025-01-09T00:00:00"/>
    <d v="2025-01-10T00:00:00"/>
    <x v="0"/>
    <n v="1"/>
    <n v="2"/>
    <s v="Cumple"/>
    <n v="42921"/>
    <m/>
    <m/>
  </r>
  <r>
    <d v="2025-01-08T00:00:00"/>
    <x v="0"/>
    <n v="2385"/>
    <x v="0"/>
    <s v="Diana Ruiz"/>
    <s v="TECUTFE4C"/>
    <s v="Superficie  Fresno Europeo 140x70 Clasico"/>
    <n v="1"/>
    <x v="2"/>
    <x v="1"/>
    <x v="1"/>
    <x v="0"/>
    <s v="Coordinadora"/>
    <s v="3009173 -84151100737"/>
    <d v="2025-01-09T00:00:00"/>
    <d v="2025-01-10T00:00:00"/>
    <x v="0"/>
    <n v="1"/>
    <n v="2"/>
    <s v="Cumple"/>
    <n v="24093"/>
    <m/>
    <m/>
  </r>
  <r>
    <d v="2025-01-08T00:00:00"/>
    <x v="0"/>
    <n v="2386"/>
    <x v="0"/>
    <s v="Samuel Vélez Sanín"/>
    <s v="TECU2FNG"/>
    <s v="Electric Standing Desk GO Negro"/>
    <n v="1"/>
    <x v="1"/>
    <x v="0"/>
    <x v="5"/>
    <x v="0"/>
    <s v="Coordinadora"/>
    <s v="3008732 -84151100542"/>
    <d v="2025-01-09T00:00:00"/>
    <d v="2025-01-10T00:00:00"/>
    <x v="0"/>
    <n v="1"/>
    <n v="2"/>
    <s v="Cumple"/>
    <n v="41593"/>
    <m/>
    <m/>
  </r>
  <r>
    <d v="2025-01-08T00:00:00"/>
    <x v="0"/>
    <n v="2386"/>
    <x v="0"/>
    <s v="Samuel Vélez Sanín"/>
    <s v="TECUTFE2C"/>
    <s v="Superficie  Fresno Europeo 120x70 Clasico Small"/>
    <n v="1"/>
    <x v="2"/>
    <x v="0"/>
    <x v="5"/>
    <x v="0"/>
    <s v="Coordinadora"/>
    <s v="3008734 -84151100543"/>
    <d v="2025-01-09T00:00:00"/>
    <d v="2025-01-11T00:00:00"/>
    <x v="0"/>
    <n v="1"/>
    <n v="3"/>
    <s v="Cumple"/>
    <n v="24093"/>
    <m/>
    <m/>
  </r>
  <r>
    <d v="2025-01-08T00:00:00"/>
    <x v="0"/>
    <n v="2387"/>
    <x v="0"/>
    <s v="Miguel Saavedra"/>
    <s v="TECUACO"/>
    <s v="Archivador TECU  Caramelo"/>
    <n v="1"/>
    <x v="5"/>
    <x v="1"/>
    <x v="1"/>
    <x v="0"/>
    <s v="Envia"/>
    <s v="3006909 -954101121278"/>
    <d v="2025-01-08T00:00:00"/>
    <d v="2025-01-09T00:00:00"/>
    <x v="0"/>
    <n v="0"/>
    <n v="1"/>
    <s v="Cumple"/>
    <n v="70717"/>
    <m/>
    <m/>
  </r>
  <r>
    <d v="2025-01-09T00:00:00"/>
    <x v="0"/>
    <n v="2388"/>
    <x v="0"/>
    <s v="CAROLINA RAMIREZ RESTREPO"/>
    <s v="TECU2FNG"/>
    <s v="Electric Standing Desk GO Negro"/>
    <n v="1"/>
    <x v="1"/>
    <x v="0"/>
    <x v="6"/>
    <x v="0"/>
    <s v="Coordinadora"/>
    <s v="3008988 -84151100690"/>
    <d v="2025-01-09T00:00:00"/>
    <d v="2025-01-24T00:00:00"/>
    <x v="0"/>
    <n v="0"/>
    <n v="13"/>
    <s v="No cumple"/>
    <n v="112444"/>
    <m/>
    <s v="Novedad - Se envia a oto pueblo por error en Shopify generar guias // se solicita devolucion a la bodega"/>
  </r>
  <r>
    <d v="2025-01-09T00:00:00"/>
    <x v="0"/>
    <n v="2388"/>
    <x v="0"/>
    <s v="CAROLINA RAMIREZ RESTREPO"/>
    <s v="TECUTCO6C"/>
    <s v="Superficie  Caramelo 160x70 Clasico"/>
    <n v="1"/>
    <x v="2"/>
    <x v="0"/>
    <x v="6"/>
    <x v="0"/>
    <s v="Coordinadora"/>
    <s v="3008990 -84151100691"/>
    <d v="2025-01-09T00:00:00"/>
    <d v="2025-01-24T00:00:00"/>
    <x v="0"/>
    <n v="0"/>
    <n v="13"/>
    <s v="No cumple"/>
    <n v="98264"/>
    <m/>
    <s v="Novedad - Se envia a oto pueblo por error en Shopify generar guias // se solicita devolucion a la bodega"/>
  </r>
  <r>
    <d v="2025-01-09T00:00:00"/>
    <x v="0"/>
    <n v="2389"/>
    <x v="0"/>
    <s v="Alexander Gomez Chaparro"/>
    <s v="TECULFN2"/>
    <s v="Electric Standing Desk  En L Frame Negro 2.0"/>
    <n v="1"/>
    <x v="1"/>
    <x v="4"/>
    <x v="7"/>
    <x v="0"/>
    <s v="Coordinadora"/>
    <s v="3011856 -84151101651"/>
    <d v="2025-01-10T00:00:00"/>
    <d v="2025-01-13T00:00:00"/>
    <x v="0"/>
    <n v="1"/>
    <n v="3"/>
    <s v="Cumple"/>
    <n v="96409"/>
    <m/>
    <m/>
  </r>
  <r>
    <d v="2025-01-09T00:00:00"/>
    <x v="0"/>
    <n v="2389"/>
    <x v="0"/>
    <s v="Alexander Gomez Chaparro"/>
    <s v="TECUTLNS"/>
    <s v="Superficie  en L Negro"/>
    <n v="1"/>
    <x v="2"/>
    <x v="4"/>
    <x v="7"/>
    <x v="0"/>
    <s v="Coordinadora"/>
    <s v="3011858 -84151101652"/>
    <d v="2025-01-10T00:00:00"/>
    <d v="2025-01-13T00:00:00"/>
    <x v="0"/>
    <n v="1"/>
    <n v="3"/>
    <s v="Cumple"/>
    <n v="44340"/>
    <m/>
    <m/>
  </r>
  <r>
    <d v="2025-01-09T00:00:00"/>
    <x v="0"/>
    <n v="2390"/>
    <x v="0"/>
    <s v="Alexander Gomez Chaparro"/>
    <s v="TECUCT"/>
    <s v="Bandeja de cables"/>
    <n v="1"/>
    <x v="0"/>
    <x v="4"/>
    <x v="7"/>
    <x v="0"/>
    <s v="Coordinadora"/>
    <s v="3011897 -84151101678"/>
    <d v="2025-01-10T00:00:00"/>
    <d v="2025-01-13T00:00:00"/>
    <x v="0"/>
    <n v="1"/>
    <n v="3"/>
    <s v="Cumple"/>
    <m/>
    <m/>
    <m/>
  </r>
  <r>
    <d v="2025-01-09T00:00:00"/>
    <x v="0"/>
    <n v="2390"/>
    <x v="0"/>
    <s v="Alexander Gomez Chaparro"/>
    <s v="TECUBDPA"/>
    <s v="Desk Pad B Negro Azul"/>
    <n v="1"/>
    <x v="0"/>
    <x v="4"/>
    <x v="7"/>
    <x v="0"/>
    <s v="Coordinadora"/>
    <s v="3011889 -84151101671"/>
    <d v="2025-01-10T00:00:00"/>
    <d v="2025-01-13T00:00:00"/>
    <x v="0"/>
    <n v="1"/>
    <n v="3"/>
    <s v="Cumple"/>
    <n v="16617"/>
    <m/>
    <m/>
  </r>
  <r>
    <d v="2025-01-09T00:00:00"/>
    <x v="0"/>
    <n v="2390"/>
    <x v="0"/>
    <s v="Alexander Gomez Chaparro"/>
    <s v="TECUDSN"/>
    <s v="Desk Stool Negra Silla ajustable"/>
    <n v="1"/>
    <x v="4"/>
    <x v="4"/>
    <x v="7"/>
    <x v="0"/>
    <s v="Coordinadora"/>
    <s v="3011879 -84151101661"/>
    <d v="2025-01-10T00:00:00"/>
    <d v="2025-01-13T00:00:00"/>
    <x v="0"/>
    <n v="1"/>
    <n v="3"/>
    <s v="Cumple"/>
    <n v="40942"/>
    <m/>
    <m/>
  </r>
  <r>
    <d v="2025-01-09T00:00:00"/>
    <x v="0"/>
    <n v="2390"/>
    <x v="0"/>
    <s v="Alexander Gomez Chaparro"/>
    <s v="TECURN"/>
    <s v="Repisa Negro"/>
    <n v="1"/>
    <x v="6"/>
    <x v="4"/>
    <x v="7"/>
    <x v="0"/>
    <s v="Coordinadora"/>
    <s v="NA"/>
    <d v="2025-01-10T00:00:00"/>
    <d v="2025-01-13T00:00:00"/>
    <x v="0"/>
    <n v="1"/>
    <n v="3"/>
    <s v="Cumple"/>
    <m/>
    <m/>
    <m/>
  </r>
  <r>
    <d v="2025-01-09T00:00:00"/>
    <x v="0"/>
    <n v="2391"/>
    <x v="0"/>
    <s v="Alexander Gomez Chaparro"/>
    <s v="TECUCT"/>
    <s v="Bandeja de cables"/>
    <n v="1"/>
    <x v="0"/>
    <x v="4"/>
    <x v="7"/>
    <x v="0"/>
    <s v="Coordinadora"/>
    <s v="3011897 -84151101678"/>
    <d v="2025-01-10T00:00:00"/>
    <d v="2025-01-13T00:00:00"/>
    <x v="0"/>
    <n v="1"/>
    <n v="3"/>
    <s v="Cumple"/>
    <n v="24885"/>
    <m/>
    <m/>
  </r>
  <r>
    <d v="2025-01-10T00:00:00"/>
    <x v="0"/>
    <n v="2392"/>
    <x v="0"/>
    <s v="David Cadavid"/>
    <s v="TECU3FNPRO"/>
    <s v="Electric Standing Desk  PRO Negro"/>
    <n v="1"/>
    <x v="1"/>
    <x v="0"/>
    <x v="5"/>
    <x v="0"/>
    <s v="Coordinadora"/>
    <s v="3015845 -84151103419"/>
    <d v="2025-01-13T16:47:27"/>
    <d v="2025-01-14T15:27:49"/>
    <x v="0"/>
    <n v="2"/>
    <n v="3"/>
    <s v="Cumple"/>
    <n v="42921"/>
    <m/>
    <m/>
  </r>
  <r>
    <d v="2025-01-10T00:00:00"/>
    <x v="0"/>
    <n v="2392"/>
    <x v="0"/>
    <s v="David Cadavid"/>
    <s v="TECUTCO8C"/>
    <s v="Superficie  Caramelo 180x70 Clasico"/>
    <n v="1"/>
    <x v="2"/>
    <x v="0"/>
    <x v="5"/>
    <x v="0"/>
    <s v="Coordinadora"/>
    <s v="3015847 -84151103420"/>
    <d v="2025-01-13T16:48:27"/>
    <d v="2025-01-14T15:27:49"/>
    <x v="0"/>
    <n v="2"/>
    <n v="3"/>
    <s v="Cumple"/>
    <n v="26749"/>
    <m/>
    <m/>
  </r>
  <r>
    <d v="2025-01-10T00:00:00"/>
    <x v="0"/>
    <n v="2392"/>
    <x v="0"/>
    <s v="David Cadavid"/>
    <s v="TECUCT"/>
    <s v="Bandeja de cables"/>
    <n v="1"/>
    <x v="0"/>
    <x v="0"/>
    <x v="5"/>
    <x v="0"/>
    <s v="Coordinadora"/>
    <s v="3015858 -84151103425"/>
    <d v="2025-01-13T16:47:27"/>
    <d v="2025-01-14T15:27:49"/>
    <x v="0"/>
    <n v="2"/>
    <n v="3"/>
    <s v="Cumple"/>
    <n v="24885"/>
    <m/>
    <m/>
  </r>
  <r>
    <d v="2025-01-11T00:00:00"/>
    <x v="0"/>
    <n v="2393"/>
    <x v="0"/>
    <s v="Santiago Garzon Diaz"/>
    <s v="TECU2FNG"/>
    <s v="Electric Standing Desk GO Negro"/>
    <n v="1"/>
    <x v="1"/>
    <x v="0"/>
    <x v="8"/>
    <x v="0"/>
    <s v="Coordinadora"/>
    <s v="3015877 -84151103435"/>
    <d v="2025-01-13T16:47:27"/>
    <d v="2025-01-14T09:51:51"/>
    <x v="0"/>
    <n v="1"/>
    <n v="2"/>
    <s v="Cumple"/>
    <n v="41593"/>
    <m/>
    <m/>
  </r>
  <r>
    <d v="2025-01-11T00:00:00"/>
    <x v="0"/>
    <n v="2393"/>
    <x v="0"/>
    <s v="Santiago Garzon Diaz"/>
    <m/>
    <s v="Servicio Instalacion"/>
    <n v="1"/>
    <x v="3"/>
    <x v="0"/>
    <x v="8"/>
    <x v="1"/>
    <s v="Coordinadora"/>
    <s v="NA"/>
    <s v="NA"/>
    <s v="NA"/>
    <x v="0"/>
    <s v="PTE"/>
    <e v="#VALUE!"/>
    <e v="#VALUE!"/>
    <n v="0"/>
    <m/>
    <m/>
  </r>
  <r>
    <d v="2025-01-12T00:00:00"/>
    <x v="0"/>
    <n v="2394"/>
    <x v="0"/>
    <s v="Julian Cajiao"/>
    <s v="TECU3FNPRO"/>
    <s v="Electric Standing Desk  PRO Negro"/>
    <n v="1"/>
    <x v="1"/>
    <x v="0"/>
    <x v="8"/>
    <x v="0"/>
    <s v="Coordinadora"/>
    <s v="3015893 -84151103439"/>
    <d v="2025-01-13T16:47:27"/>
    <d v="2025-01-14T11:27:21"/>
    <x v="0"/>
    <n v="0"/>
    <n v="1"/>
    <s v="Cumple"/>
    <n v="42921"/>
    <m/>
    <m/>
  </r>
  <r>
    <d v="2025-01-12T00:00:00"/>
    <x v="0"/>
    <n v="2394"/>
    <x v="0"/>
    <s v="Julian Cajiao"/>
    <s v="TECUTRN6C"/>
    <s v="Superficie  Roble Negro 160x70 Clasico"/>
    <n v="1"/>
    <x v="2"/>
    <x v="0"/>
    <x v="8"/>
    <x v="0"/>
    <s v="Coordinadora"/>
    <s v="3015895 -84151103441"/>
    <d v="2025-01-13T16:48:27"/>
    <d v="2025-01-14T11:27:21"/>
    <x v="0"/>
    <n v="0"/>
    <n v="1"/>
    <s v="Cumple"/>
    <n v="24093"/>
    <m/>
    <m/>
  </r>
  <r>
    <d v="2025-01-12T00:00:00"/>
    <x v="0"/>
    <n v="2394"/>
    <x v="0"/>
    <s v="Julian Cajiao"/>
    <m/>
    <s v="Servicio Instalacion"/>
    <n v="1"/>
    <x v="3"/>
    <x v="0"/>
    <x v="8"/>
    <x v="1"/>
    <s v="Coordinadora"/>
    <s v="NA"/>
    <s v="NA"/>
    <s v="NA"/>
    <x v="0"/>
    <s v="PTE"/>
    <e v="#VALUE!"/>
    <e v="#VALUE!"/>
    <n v="0"/>
    <m/>
    <m/>
  </r>
  <r>
    <d v="2025-01-13T00:00:00"/>
    <x v="0"/>
    <n v="2395"/>
    <x v="0"/>
    <s v="Lucas Latorre"/>
    <s v="TECU3FNPRO"/>
    <s v="Electric Standing Desk  PRO Negro"/>
    <n v="1"/>
    <x v="1"/>
    <x v="5"/>
    <x v="9"/>
    <x v="0"/>
    <s v="Coordinadora"/>
    <s v="3017031 -84151104118"/>
    <d v="2025-01-13T16:47:27"/>
    <d v="2025-01-15T17:17:03"/>
    <x v="0"/>
    <n v="0"/>
    <n v="2"/>
    <s v="Cumple"/>
    <n v="56077"/>
    <m/>
    <m/>
  </r>
  <r>
    <d v="2025-01-13T00:00:00"/>
    <x v="0"/>
    <n v="2395"/>
    <x v="0"/>
    <s v="Lucas Latorre"/>
    <s v="TECUTFE8C"/>
    <s v="Superficie  Fresno Europeo 180x70 Clasico"/>
    <n v="1"/>
    <x v="2"/>
    <x v="5"/>
    <x v="9"/>
    <x v="0"/>
    <s v="Coordinadora"/>
    <s v="3017033 -84151104119"/>
    <d v="2025-01-13T16:48:27"/>
    <d v="2025-01-15T17:17:03"/>
    <x v="0"/>
    <n v="0"/>
    <n v="2"/>
    <s v="Cumple"/>
    <n v="38589"/>
    <m/>
    <m/>
  </r>
  <r>
    <d v="2025-01-13T00:00:00"/>
    <x v="0"/>
    <n v="2396"/>
    <x v="0"/>
    <s v="FELIPE CASTAÑO"/>
    <s v="TECU3FNPRO"/>
    <s v="Electric Standing Desk  PRO Negro"/>
    <n v="1"/>
    <x v="1"/>
    <x v="0"/>
    <x v="5"/>
    <x v="0"/>
    <s v="Coordinadora"/>
    <s v="3018831 -84151104925"/>
    <d v="2025-01-14T15:58:05"/>
    <d v="2025-01-15T10:33:56"/>
    <x v="0"/>
    <n v="1"/>
    <n v="2"/>
    <s v="Cumple"/>
    <n v="42921"/>
    <m/>
    <m/>
  </r>
  <r>
    <d v="2025-01-13T00:00:00"/>
    <x v="0"/>
    <n v="2396"/>
    <x v="0"/>
    <s v="FELIPE CASTAÑO"/>
    <s v="TECUTCO6C"/>
    <s v="Superficie  Caramelo 160x70 Clasico"/>
    <n v="1"/>
    <x v="2"/>
    <x v="0"/>
    <x v="5"/>
    <x v="0"/>
    <s v="Coordinadora"/>
    <s v="3018833 -84151104926"/>
    <d v="2025-01-14T15:58:05"/>
    <d v="2025-01-15T10:33:56"/>
    <x v="0"/>
    <n v="1"/>
    <n v="2"/>
    <s v="Cumple"/>
    <n v="24093"/>
    <m/>
    <m/>
  </r>
  <r>
    <d v="2025-01-13T00:00:00"/>
    <x v="0"/>
    <n v="2396"/>
    <x v="0"/>
    <s v="FELIPE CASTAÑO"/>
    <s v="TECUDSN"/>
    <s v="Desk Stool Negra Silla ajustable"/>
    <n v="1"/>
    <x v="4"/>
    <x v="0"/>
    <x v="5"/>
    <x v="0"/>
    <s v="Coordinadora"/>
    <s v="3018855 -84151104940"/>
    <d v="2025-01-14T15:58:05"/>
    <d v="2025-01-15T10:33:56"/>
    <x v="0"/>
    <n v="1"/>
    <n v="2"/>
    <s v="Cumple"/>
    <n v="26609"/>
    <m/>
    <m/>
  </r>
  <r>
    <d v="2025-01-13T00:00:00"/>
    <x v="0"/>
    <n v="2396"/>
    <x v="0"/>
    <s v="FELIPE CASTAÑO"/>
    <m/>
    <s v="Servicio Instalacion"/>
    <n v="1"/>
    <x v="3"/>
    <x v="0"/>
    <x v="5"/>
    <x v="1"/>
    <s v="Coordinadora"/>
    <s v="NA"/>
    <s v="NA"/>
    <s v="NA"/>
    <x v="0"/>
    <s v="PTE"/>
    <e v="#VALUE!"/>
    <e v="#VALUE!"/>
    <n v="0"/>
    <m/>
    <m/>
  </r>
  <r>
    <d v="2025-01-14T00:00:00"/>
    <x v="0"/>
    <n v="2397"/>
    <x v="0"/>
    <s v="Andres Felipe Parra Rojas"/>
    <s v="TECU2FNG"/>
    <s v="Electric Standing Desk GO Negro"/>
    <n v="1"/>
    <x v="1"/>
    <x v="1"/>
    <x v="1"/>
    <x v="0"/>
    <s v="Coordinadora"/>
    <s v="3023657 -84151107102"/>
    <d v="2025-01-16T16:40:11"/>
    <d v="2025-01-17T16:21:03"/>
    <x v="0"/>
    <n v="2"/>
    <n v="3"/>
    <s v="Cumple"/>
    <n v="41593"/>
    <m/>
    <m/>
  </r>
  <r>
    <d v="2025-01-14T00:00:00"/>
    <x v="0"/>
    <n v="2397"/>
    <x v="0"/>
    <s v="Andres Felipe Parra Rojas"/>
    <s v="TECUTRN5C"/>
    <s v="Superficie  Roble negro 150x70 Clasico"/>
    <n v="1"/>
    <x v="2"/>
    <x v="1"/>
    <x v="1"/>
    <x v="0"/>
    <s v="Coordinadora"/>
    <s v="3023658 -84151107103"/>
    <d v="2025-01-16T16:41:19"/>
    <d v="2025-01-18T14:05:19"/>
    <x v="0"/>
    <n v="2"/>
    <n v="4"/>
    <s v="No cumple"/>
    <n v="24093"/>
    <m/>
    <m/>
  </r>
  <r>
    <d v="2025-01-16T00:00:00"/>
    <x v="0"/>
    <n v="2398"/>
    <x v="0"/>
    <s v="Juan David Martínez Gordillo"/>
    <s v="TECU2FNG"/>
    <s v="Electric Standing Desk GO Negro"/>
    <n v="1"/>
    <x v="1"/>
    <x v="1"/>
    <x v="1"/>
    <x v="0"/>
    <s v="Coordinadora"/>
    <s v="3023776 -84151107161"/>
    <d v="2025-01-16T16:40:11"/>
    <d v="2025-01-18T13:27:15"/>
    <x v="0"/>
    <n v="0"/>
    <n v="2"/>
    <s v="Cumple"/>
    <n v="41593"/>
    <m/>
    <m/>
  </r>
  <r>
    <d v="2025-01-16T00:00:00"/>
    <x v="0"/>
    <n v="2398"/>
    <x v="0"/>
    <s v="Juan David Martínez Gordillo"/>
    <s v="TECUTCO3C"/>
    <s v="Superficie Caramelo 130x70 Clasico"/>
    <n v="1"/>
    <x v="2"/>
    <x v="1"/>
    <x v="1"/>
    <x v="0"/>
    <s v="Coordinadora"/>
    <s v="3023777 -84151107162"/>
    <d v="2025-01-16T16:41:19"/>
    <d v="2025-01-20T14:33:10"/>
    <x v="0"/>
    <n v="0"/>
    <n v="3"/>
    <s v="Cumple"/>
    <n v="24093"/>
    <m/>
    <m/>
  </r>
  <r>
    <d v="2025-01-16T00:00:00"/>
    <x v="0"/>
    <n v="2399"/>
    <x v="0"/>
    <s v="Stefan de Brandt"/>
    <s v="TECU3FNPRO"/>
    <s v="Electric Standing Desk  PRO Negro"/>
    <n v="1"/>
    <x v="1"/>
    <x v="0"/>
    <x v="5"/>
    <x v="0"/>
    <s v="Coordinadora"/>
    <s v="3023834 -84151107192"/>
    <d v="2025-01-16T16:40:11"/>
    <d v="2025-01-17T17:50:22"/>
    <x v="0"/>
    <n v="0"/>
    <n v="1"/>
    <s v="Cumple"/>
    <n v="42921"/>
    <m/>
    <m/>
  </r>
  <r>
    <d v="2025-01-16T00:00:00"/>
    <x v="0"/>
    <n v="2399"/>
    <x v="0"/>
    <s v="Stefan de Brandt"/>
    <s v="TECUTCO6M"/>
    <s v="Superficie  Caramelo 160x70 Moderno"/>
    <n v="1"/>
    <x v="2"/>
    <x v="0"/>
    <x v="5"/>
    <x v="0"/>
    <s v="Coordinadora"/>
    <s v="3023835 -84151107193"/>
    <d v="2025-01-16T16:41:19"/>
    <d v="2025-01-17T17:50:22"/>
    <x v="0"/>
    <n v="0"/>
    <n v="1"/>
    <s v="Cumple"/>
    <n v="24093"/>
    <m/>
    <m/>
  </r>
  <r>
    <d v="2025-01-16T00:00:00"/>
    <x v="0"/>
    <n v="2399"/>
    <x v="0"/>
    <s v="Stefan de Brandt"/>
    <m/>
    <s v="Servicio Instalacion"/>
    <n v="1"/>
    <x v="3"/>
    <x v="0"/>
    <x v="5"/>
    <x v="1"/>
    <s v="Coordinadora"/>
    <s v="NA"/>
    <s v="NA"/>
    <s v="NA"/>
    <x v="0"/>
    <s v="PTE"/>
    <e v="#VALUE!"/>
    <e v="#VALUE!"/>
    <n v="0"/>
    <m/>
    <m/>
  </r>
  <r>
    <d v="2025-01-16T00:00:00"/>
    <x v="0"/>
    <n v="2400"/>
    <x v="0"/>
    <s v="Julian Cujabante Villamil"/>
    <s v="TECUROD6"/>
    <s v="Rodachines con freno para Standing desk x 6 UN"/>
    <n v="1"/>
    <x v="7"/>
    <x v="1"/>
    <x v="1"/>
    <x v="0"/>
    <s v="Coordinadora"/>
    <s v="3026040 -84151108154"/>
    <d v="2025-01-17T15:07:22"/>
    <d v="2025-01-20T12:41:03"/>
    <x v="0"/>
    <n v="1"/>
    <n v="3"/>
    <s v="Cumple"/>
    <n v="23875"/>
    <m/>
    <m/>
  </r>
  <r>
    <d v="2025-01-16T00:00:00"/>
    <x v="0"/>
    <n v="2400"/>
    <x v="0"/>
    <s v="Julian Cujabante Villamil"/>
    <s v="TECUBDPA"/>
    <s v="Desk Pad B Negro Azul"/>
    <n v="1"/>
    <x v="0"/>
    <x v="1"/>
    <x v="1"/>
    <x v="0"/>
    <s v="Coordinadora"/>
    <s v="3026035 -84151108151"/>
    <d v="2025-01-17T15:07:22"/>
    <d v="2025-01-20T12:41:03"/>
    <x v="0"/>
    <n v="1"/>
    <n v="3"/>
    <s v="Cumple"/>
    <n v="16617"/>
    <m/>
    <m/>
  </r>
  <r>
    <d v="2025-01-16T00:00:00"/>
    <x v="0"/>
    <n v="2400"/>
    <x v="0"/>
    <s v="Julian Cujabante Villamil"/>
    <s v="TECURN"/>
    <s v="Repisa Negro"/>
    <n v="1"/>
    <x v="6"/>
    <x v="1"/>
    <x v="1"/>
    <x v="0"/>
    <s v="Coordinadora"/>
    <s v="3026126 -84151108195"/>
    <d v="2025-01-17T15:07:22"/>
    <d v="2025-01-20T12:41:03"/>
    <x v="0"/>
    <n v="1"/>
    <n v="3"/>
    <s v="Cumple"/>
    <n v="23429"/>
    <m/>
    <m/>
  </r>
  <r>
    <d v="2025-01-16T00:00:00"/>
    <x v="0"/>
    <n v="2400"/>
    <x v="0"/>
    <s v="Julian Cujabante Villamil"/>
    <m/>
    <s v="Servicio Instalacion"/>
    <n v="1"/>
    <x v="3"/>
    <x v="1"/>
    <x v="1"/>
    <x v="1"/>
    <s v="Coordinadora"/>
    <s v="NA"/>
    <d v="2025-01-21T00:00:00"/>
    <d v="2025-01-21T00:00:00"/>
    <x v="0"/>
    <s v="PTE"/>
    <n v="4"/>
    <s v="No cumple"/>
    <n v="0"/>
    <m/>
    <m/>
  </r>
  <r>
    <d v="2025-01-16T00:00:00"/>
    <x v="0"/>
    <n v="2401"/>
    <x v="0"/>
    <s v="Julian Cujabante Villamil"/>
    <s v="TECUAN"/>
    <s v="Archivador TECU  Negro"/>
    <n v="1"/>
    <x v="5"/>
    <x v="1"/>
    <x v="1"/>
    <x v="0"/>
    <s v="Envia"/>
    <s v="3026752 -954101129148"/>
    <d v="2025-01-17T15:51:00"/>
    <d v="2025-01-18T11:58:00"/>
    <x v="0"/>
    <n v="1"/>
    <n v="2"/>
    <s v="Cumple"/>
    <n v="70717"/>
    <m/>
    <m/>
  </r>
  <r>
    <d v="2025-01-17T00:00:00"/>
    <x v="0"/>
    <n v="2402"/>
    <x v="0"/>
    <s v="Catalina Alvarado"/>
    <s v="TECU2FNG"/>
    <s v="Electric Standing Desk GO Negro"/>
    <n v="1"/>
    <x v="1"/>
    <x v="1"/>
    <x v="1"/>
    <x v="0"/>
    <s v="Coordinadora"/>
    <s v="3026634 -84151108514"/>
    <d v="2025-01-17T15:07:22"/>
    <d v="2025-01-20T11:09:20"/>
    <x v="0"/>
    <n v="0"/>
    <n v="2"/>
    <s v="Cumple"/>
    <n v="41593"/>
    <m/>
    <m/>
  </r>
  <r>
    <d v="2025-01-17T00:00:00"/>
    <x v="0"/>
    <n v="2402"/>
    <x v="0"/>
    <s v="Catalina Alvarado"/>
    <s v="TECUTFE2C"/>
    <s v="Superficie  Fresno Europeo 120x70 Clasico Small"/>
    <n v="1"/>
    <x v="2"/>
    <x v="1"/>
    <x v="1"/>
    <x v="0"/>
    <s v="Coordinadora"/>
    <s v="3026635 -84151108515"/>
    <d v="2025-01-17T15:07:22"/>
    <d v="2025-01-20T11:07:59"/>
    <x v="0"/>
    <n v="0"/>
    <n v="2"/>
    <s v="Cumple"/>
    <n v="24093"/>
    <m/>
    <m/>
  </r>
  <r>
    <d v="2025-01-17T00:00:00"/>
    <x v="0"/>
    <n v="2403"/>
    <x v="0"/>
    <s v="Alexandra Martínez Ruiz"/>
    <s v="TECU3FNPRO"/>
    <s v="Electric Standing Desk  PRO Negro"/>
    <n v="1"/>
    <x v="1"/>
    <x v="1"/>
    <x v="1"/>
    <x v="0"/>
    <s v="Coordinadora"/>
    <s v="3030945 -84151109872"/>
    <d v="2025-01-20T16:52:51"/>
    <d v="2025-01-22T00:00:00"/>
    <x v="0"/>
    <n v="2"/>
    <n v="4"/>
    <s v="No cumple"/>
    <n v="42921"/>
    <m/>
    <m/>
  </r>
  <r>
    <d v="2025-01-17T00:00:00"/>
    <x v="0"/>
    <n v="2403"/>
    <x v="0"/>
    <s v="Alexandra Martínez Ruiz"/>
    <s v="TECUTFE2C"/>
    <s v="Superficie  Fresno Europeo 120x70 Clasico Small"/>
    <n v="1"/>
    <x v="2"/>
    <x v="1"/>
    <x v="1"/>
    <x v="0"/>
    <s v="Coordinadora"/>
    <s v="3030946 -84151109873"/>
    <d v="2025-01-20T16:52:51"/>
    <d v="2025-01-21T15:36:08"/>
    <x v="0"/>
    <n v="2"/>
    <n v="3"/>
    <s v="Cumple"/>
    <n v="28741"/>
    <m/>
    <m/>
  </r>
  <r>
    <d v="2025-01-17T00:00:00"/>
    <x v="0"/>
    <n v="2403"/>
    <x v="0"/>
    <s v="Alexandra Martínez Ruiz"/>
    <m/>
    <s v="Servicio Instalacion"/>
    <n v="1"/>
    <x v="3"/>
    <x v="1"/>
    <x v="1"/>
    <x v="1"/>
    <s v="Coordinadora"/>
    <s v="NA"/>
    <d v="2025-01-23T00:00:00"/>
    <s v="NA"/>
    <x v="0"/>
    <s v="PTE"/>
    <e v="#VALUE!"/>
    <e v="#VALUE!"/>
    <n v="0"/>
    <m/>
    <m/>
  </r>
  <r>
    <d v="2025-01-18T00:00:00"/>
    <x v="0"/>
    <n v="2404"/>
    <x v="0"/>
    <s v="Juan Camilo Acosta Escobar"/>
    <s v="TECU3FNPRO"/>
    <s v="Electric Standing Desk  PRO Negro"/>
    <n v="1"/>
    <x v="1"/>
    <x v="0"/>
    <x v="10"/>
    <x v="0"/>
    <s v="Coordinadora"/>
    <s v="3030968 -84151109880"/>
    <d v="2025-01-20T16:52:51"/>
    <d v="2025-01-22T14:11:06"/>
    <x v="0"/>
    <n v="1"/>
    <n v="3"/>
    <s v="Cumple"/>
    <n v="42921"/>
    <m/>
    <m/>
  </r>
  <r>
    <d v="2025-01-18T00:00:00"/>
    <x v="0"/>
    <n v="2404"/>
    <x v="0"/>
    <s v="Juan Camilo Acosta Escobar"/>
    <s v="TECUTRM5C"/>
    <s v="Superficie Roble Miel 150x70 Clasico"/>
    <n v="1"/>
    <x v="2"/>
    <x v="0"/>
    <x v="10"/>
    <x v="0"/>
    <s v="Coordinadora"/>
    <s v="3030970 -84151109882"/>
    <d v="2025-01-20T16:52:51"/>
    <d v="2025-01-22T14:11:06"/>
    <x v="0"/>
    <n v="1"/>
    <n v="3"/>
    <s v="Cumple"/>
    <n v="24593"/>
    <m/>
    <m/>
  </r>
  <r>
    <d v="2025-01-18T00:00:00"/>
    <x v="0"/>
    <n v="2404"/>
    <x v="0"/>
    <s v="Juan Camilo Acosta Escobar"/>
    <s v="TECUCT"/>
    <s v="Bandeja de cables"/>
    <n v="1"/>
    <x v="0"/>
    <x v="0"/>
    <x v="10"/>
    <x v="0"/>
    <s v="Coordinadora"/>
    <s v="3031428 -84151110138"/>
    <d v="2025-01-20T16:52:51"/>
    <d v="2025-01-22T14:11:06"/>
    <x v="0"/>
    <n v="1"/>
    <n v="3"/>
    <s v="Cumple"/>
    <n v="24885"/>
    <m/>
    <m/>
  </r>
  <r>
    <d v="2025-01-18T00:00:00"/>
    <x v="0"/>
    <n v="2405"/>
    <x v="0"/>
    <s v="Stefan de Brandt"/>
    <s v="TECUCT"/>
    <s v="Bandeja de cables"/>
    <n v="1"/>
    <x v="0"/>
    <x v="0"/>
    <x v="5"/>
    <x v="0"/>
    <s v="Coordinadora"/>
    <s v="3031190 -84151110013"/>
    <d v="2025-01-20T16:52:51"/>
    <d v="2025-01-21T13:04:29"/>
    <x v="0"/>
    <n v="1"/>
    <n v="2"/>
    <s v="Cumple"/>
    <n v="24885"/>
    <m/>
    <m/>
  </r>
  <r>
    <d v="2025-01-20T00:00:00"/>
    <x v="0"/>
    <n v="2406"/>
    <x v="0"/>
    <s v="MARIA RODRIGUEZ"/>
    <s v="TECU2FBGO"/>
    <s v="Electric Standing Desk GO Blanco"/>
    <n v="1"/>
    <x v="1"/>
    <x v="6"/>
    <x v="11"/>
    <x v="0"/>
    <s v="Coordinadora"/>
    <s v="3034128 -84151111334"/>
    <d v="2025-01-21T17:11:07"/>
    <d v="2025-01-22T00:00:00"/>
    <x v="0"/>
    <n v="1"/>
    <n v="2"/>
    <e v="#N/A"/>
    <n v="41593"/>
    <m/>
    <m/>
  </r>
  <r>
    <d v="2025-01-20T00:00:00"/>
    <x v="0"/>
    <n v="2406"/>
    <x v="0"/>
    <s v="MARIA RODRIGUEZ"/>
    <s v="TECUTFE6C"/>
    <s v="Superficie  Fresno Europeo 160x70 Clasico"/>
    <n v="1"/>
    <x v="2"/>
    <x v="6"/>
    <x v="11"/>
    <x v="0"/>
    <s v="Coordinadora"/>
    <s v="3034129 -84151111335"/>
    <d v="2025-01-21T17:11:07"/>
    <d v="2025-01-22T00:00:00"/>
    <x v="0"/>
    <n v="1"/>
    <n v="2"/>
    <e v="#N/A"/>
    <n v="24093"/>
    <m/>
    <m/>
  </r>
  <r>
    <d v="2025-01-21T00:00:00"/>
    <x v="0"/>
    <n v="2407"/>
    <x v="0"/>
    <s v="Juan Camilo Restrepo"/>
    <s v="TECU2FNG"/>
    <s v="Electric Standing Desk GO Negro"/>
    <n v="1"/>
    <x v="1"/>
    <x v="1"/>
    <x v="1"/>
    <x v="0"/>
    <s v="Coordinadora"/>
    <s v="3034103 -84151111318"/>
    <d v="2025-01-21T17:11:07"/>
    <d v="2025-01-22T00:00:00"/>
    <x v="0"/>
    <n v="0"/>
    <n v="1"/>
    <s v="Cumple"/>
    <n v="41593"/>
    <m/>
    <m/>
  </r>
  <r>
    <d v="2025-01-21T00:00:00"/>
    <x v="0"/>
    <n v="2407"/>
    <x v="0"/>
    <s v="Juan Camilo Restrepo"/>
    <s v="TECUTFE5C"/>
    <s v="Superficie  Fresno Europeo 150x70 Clasico"/>
    <n v="1"/>
    <x v="2"/>
    <x v="1"/>
    <x v="1"/>
    <x v="0"/>
    <s v="Coordinadora"/>
    <s v="3034104 -84151111319"/>
    <d v="2025-01-21T17:11:07"/>
    <m/>
    <x v="1"/>
    <n v="0"/>
    <s v="PTE"/>
    <s v="PTE"/>
    <n v="24093"/>
    <m/>
    <m/>
  </r>
  <r>
    <d v="2025-01-21T00:00:00"/>
    <x v="0"/>
    <n v="2407"/>
    <x v="0"/>
    <s v="Juan Camilo Restrepo"/>
    <s v="TECUCT"/>
    <s v="Bandeja de cables"/>
    <n v="1"/>
    <x v="0"/>
    <x v="1"/>
    <x v="1"/>
    <x v="0"/>
    <s v="Coordinadora"/>
    <s v="3034115 -84151111325"/>
    <d v="2025-01-21T17:11:07"/>
    <d v="2025-01-22T00:00:00"/>
    <x v="0"/>
    <n v="0"/>
    <n v="1"/>
    <s v="Cumple"/>
    <n v="24885"/>
    <m/>
    <m/>
  </r>
  <r>
    <d v="2025-01-21T00:00:00"/>
    <x v="0"/>
    <n v="2408"/>
    <x v="0"/>
    <s v="Andres Mape"/>
    <s v="TECU3FNPRO"/>
    <s v="Electric Standing Desk  PRO Negro"/>
    <n v="1"/>
    <x v="1"/>
    <x v="1"/>
    <x v="1"/>
    <x v="0"/>
    <s v="Coordinadora"/>
    <s v="3034145 -84151111349"/>
    <d v="2025-01-21T17:11:07"/>
    <d v="2025-01-22T00:00:00"/>
    <x v="0"/>
    <n v="0"/>
    <n v="1"/>
    <s v="Cumple"/>
    <n v="42921"/>
    <m/>
    <m/>
  </r>
  <r>
    <d v="2025-01-21T00:00:00"/>
    <x v="0"/>
    <n v="2408"/>
    <x v="0"/>
    <s v="Andres Mape"/>
    <s v="TECUTCO8C"/>
    <s v="Superficie  Caramelo 180x70 Clasico"/>
    <n v="1"/>
    <x v="2"/>
    <x v="1"/>
    <x v="1"/>
    <x v="0"/>
    <s v="Coordinadora"/>
    <s v="3034147 -84151111351"/>
    <d v="2025-01-21T17:11:07"/>
    <d v="2025-01-22T00:00:00"/>
    <x v="0"/>
    <n v="0"/>
    <n v="1"/>
    <s v="Cumple"/>
    <n v="26749"/>
    <m/>
    <m/>
  </r>
  <r>
    <d v="2025-01-21T00:00:00"/>
    <x v="0"/>
    <n v="2408"/>
    <x v="0"/>
    <s v="Andres Mape"/>
    <m/>
    <s v="Servicio Instalacion"/>
    <n v="1"/>
    <x v="3"/>
    <x v="1"/>
    <x v="1"/>
    <x v="1"/>
    <s v="Coordinadora"/>
    <s v="NA"/>
    <s v="NA"/>
    <s v="NA"/>
    <x v="0"/>
    <s v="PTE"/>
    <e v="#VALUE!"/>
    <e v="#VALUE!"/>
    <n v="0"/>
    <m/>
    <m/>
  </r>
  <r>
    <d v="2025-01-21T00:00:00"/>
    <x v="0"/>
    <n v="2409"/>
    <x v="0"/>
    <s v="Rainer Villarreal"/>
    <s v="TECURCO"/>
    <s v="Repisa Caramelo"/>
    <n v="1"/>
    <x v="6"/>
    <x v="7"/>
    <x v="12"/>
    <x v="0"/>
    <s v="Coordinadora"/>
    <s v="3034185 -84151111369"/>
    <d v="2025-01-21T17:11:07"/>
    <d v="2025-01-22T00:00:00"/>
    <x v="0"/>
    <n v="0"/>
    <n v="1"/>
    <e v="#N/A"/>
    <n v="47133"/>
    <m/>
    <m/>
  </r>
  <r>
    <d v="2025-01-21T00:00:00"/>
    <x v="0"/>
    <n v="2410"/>
    <x v="0"/>
    <s v="German Uchamocha Euscategui"/>
    <s v="TECU2FNG"/>
    <s v="Electric Standing Desk GO Negro"/>
    <n v="1"/>
    <x v="1"/>
    <x v="4"/>
    <x v="13"/>
    <x v="0"/>
    <s v="Coordinadora"/>
    <s v="3034194 -84151111375"/>
    <d v="2025-01-21T17:11:07"/>
    <m/>
    <x v="1"/>
    <n v="0"/>
    <s v="PTE"/>
    <s v="PTE"/>
    <n v="59835"/>
    <m/>
    <m/>
  </r>
  <r>
    <d v="2025-01-21T00:00:00"/>
    <x v="0"/>
    <n v="2410"/>
    <x v="0"/>
    <s v="German Uchamocha Euscategui"/>
    <s v="TECUTFE5C"/>
    <s v="Superficie  Fresno Europeo 150x70 Clasico"/>
    <n v="1"/>
    <x v="2"/>
    <x v="4"/>
    <x v="13"/>
    <x v="0"/>
    <s v="Coordinadora"/>
    <s v="3034195 -84151111376"/>
    <d v="2025-01-21T17:11:07"/>
    <m/>
    <x v="1"/>
    <n v="0"/>
    <s v="PTE"/>
    <s v="PTE"/>
    <n v="39078"/>
    <m/>
    <m/>
  </r>
  <r>
    <d v="2025-01-21T00:00:00"/>
    <x v="0"/>
    <n v="2411"/>
    <x v="0"/>
    <s v="Juan David Lagos Rodriguez"/>
    <s v="TECU3FNPRO"/>
    <s v="Electric Standing Desk  PRO Negro"/>
    <n v="1"/>
    <x v="1"/>
    <x v="1"/>
    <x v="1"/>
    <x v="0"/>
    <s v="Coordinadora"/>
    <s v="3034920 -84151111800"/>
    <d v="2025-01-21T17:11:07"/>
    <d v="2025-01-22T00:00:00"/>
    <x v="0"/>
    <n v="0"/>
    <n v="1"/>
    <s v="Cumple"/>
    <n v="42921"/>
    <m/>
    <m/>
  </r>
  <r>
    <d v="2025-01-21T00:00:00"/>
    <x v="0"/>
    <n v="2411"/>
    <x v="0"/>
    <s v="Juan David Lagos Rodriguez"/>
    <s v="TECUROD"/>
    <s v="Rodachines con freno para Standing desk x 4 UN"/>
    <n v="1"/>
    <x v="7"/>
    <x v="1"/>
    <x v="1"/>
    <x v="0"/>
    <s v="Coordinadora"/>
    <s v="3034923 -84151111801"/>
    <d v="2025-01-21T17:11:07"/>
    <d v="2025-01-22T00:00:00"/>
    <x v="0"/>
    <n v="0"/>
    <n v="1"/>
    <s v="Cumple"/>
    <n v="23875"/>
    <m/>
    <m/>
  </r>
  <r>
    <d v="2025-01-21T00:00:00"/>
    <x v="0"/>
    <n v="2411"/>
    <x v="0"/>
    <s v="Juan David Lagos Rodriguez"/>
    <m/>
    <s v="Servicio Instalacion"/>
    <n v="1"/>
    <x v="3"/>
    <x v="1"/>
    <x v="1"/>
    <x v="1"/>
    <s v="Coordinadora"/>
    <s v="NA"/>
    <d v="2025-01-23T00:00:00"/>
    <s v="NA"/>
    <x v="0"/>
    <s v="PTE"/>
    <e v="#VALUE!"/>
    <e v="#VALUE!"/>
    <n v="0"/>
    <m/>
    <m/>
  </r>
  <r>
    <d v="2025-01-14T00:00:00"/>
    <x v="0"/>
    <n v="2388"/>
    <x v="1"/>
    <s v="CAROLINA RAMIREZ RESTREPO"/>
    <s v="TECU2FNG"/>
    <s v="Electric Standing Desk GO Negro"/>
    <n v="1"/>
    <x v="1"/>
    <x v="0"/>
    <x v="6"/>
    <x v="0"/>
    <s v="Coordinadora"/>
    <s v="3019490 - 84151105323"/>
    <d v="2025-01-14T00:00:00"/>
    <d v="2025-01-16T00:00:00"/>
    <x v="0"/>
    <n v="0"/>
    <n v="2"/>
    <s v="Cumple"/>
    <n v="112444"/>
    <n v="47258"/>
    <m/>
  </r>
  <r>
    <d v="2025-01-14T00:00:00"/>
    <x v="0"/>
    <n v="2388"/>
    <x v="1"/>
    <s v="CAROLINA RAMIREZ RESTREPO"/>
    <s v="TECUTCO6C"/>
    <s v="Superficie  Caramelo 160x70 Clasico"/>
    <n v="1"/>
    <x v="2"/>
    <x v="0"/>
    <x v="6"/>
    <x v="0"/>
    <s v="Coordinadora"/>
    <s v="3019497 - 84151105325"/>
    <d v="2025-01-14T00:00:00"/>
    <d v="2025-01-16T00:00:00"/>
    <x v="0"/>
    <n v="0"/>
    <n v="2"/>
    <s v="Cumple"/>
    <n v="98264"/>
    <n v="29257"/>
    <m/>
  </r>
  <r>
    <d v="2025-01-13T00:00:00"/>
    <x v="0"/>
    <n v="2366"/>
    <x v="1"/>
    <s v="Steven Hoyos"/>
    <s v="TECUBLS"/>
    <s v="Laptop Stand B"/>
    <n v="1"/>
    <x v="0"/>
    <x v="8"/>
    <x v="14"/>
    <x v="0"/>
    <s v="Coordinadora"/>
    <s v="3015860 - 84151103434"/>
    <d v="2025-01-13T00:00:00"/>
    <d v="2025-01-14T00:00:00"/>
    <x v="0"/>
    <n v="0"/>
    <n v="1"/>
    <s v="Cumple"/>
    <n v="25385"/>
    <m/>
    <m/>
  </r>
  <r>
    <d v="2025-01-15T00:00:00"/>
    <x v="0"/>
    <n v="2366"/>
    <x v="2"/>
    <s v="Steven Hoyos"/>
    <s v="TECUBDPA"/>
    <s v="Desk Pad B Negro Azul"/>
    <n v="1"/>
    <x v="0"/>
    <x v="8"/>
    <x v="14"/>
    <x v="0"/>
    <s v="Coordinadora"/>
    <s v="3023584 - 84151107068"/>
    <d v="2025-01-16T00:00:00"/>
    <d v="2025-01-18T00:00:00"/>
    <x v="0"/>
    <n v="1"/>
    <n v="3"/>
    <s v="Cumple"/>
    <n v="24855"/>
    <m/>
    <m/>
  </r>
  <r>
    <d v="2025-01-20T00:00:00"/>
    <x v="0"/>
    <n v="2398"/>
    <x v="1"/>
    <s v="Juan David Martínez Gordillo"/>
    <s v="TECUTCO3C"/>
    <s v="Superficie Caramelo 130x70 Clasico"/>
    <n v="1"/>
    <x v="2"/>
    <x v="1"/>
    <x v="1"/>
    <x v="0"/>
    <s v="Coordinadora"/>
    <s v="3035292 - 84151112021"/>
    <d v="2025-01-21T00:00:00"/>
    <d v="2025-01-23T00:00:00"/>
    <x v="0"/>
    <n v="1"/>
    <n v="3"/>
    <s v="Cumple"/>
    <n v="27929"/>
    <m/>
    <m/>
  </r>
  <r>
    <d v="2025-01-23T00:00:00"/>
    <x v="0"/>
    <n v="2412"/>
    <x v="0"/>
    <s v="Juan David Lagos Rodriguez"/>
    <s v="TECUCT"/>
    <s v="Bandeja de cables"/>
    <n v="1"/>
    <x v="0"/>
    <x v="1"/>
    <x v="1"/>
    <x v="0"/>
    <s v="Coordinadora"/>
    <s v="3038877 -84151113422"/>
    <d v="2025-01-23T00:00:00"/>
    <d v="2025-01-24T00:00:00"/>
    <x v="0"/>
    <n v="0"/>
    <n v="1"/>
    <s v="Cumple"/>
    <n v="24885"/>
    <m/>
    <m/>
  </r>
  <r>
    <d v="2025-01-24T00:00:00"/>
    <x v="0"/>
    <n v="2413"/>
    <x v="0"/>
    <s v="Jorge Luis Monroy Herrera"/>
    <s v="TECU3FNPRO"/>
    <s v="Electric Standing Desk  PRO Negro"/>
    <n v="1"/>
    <x v="1"/>
    <x v="2"/>
    <x v="2"/>
    <x v="0"/>
    <s v="Coordinadora"/>
    <s v="3041057 -84151114405"/>
    <d v="2025-01-24T00:00:00"/>
    <d v="2025-01-27T00:00:00"/>
    <x v="0"/>
    <n v="0"/>
    <n v="2"/>
    <s v="Cumple"/>
    <n v="62467"/>
    <m/>
    <m/>
  </r>
  <r>
    <d v="2025-01-24T00:00:00"/>
    <x v="0"/>
    <n v="2413"/>
    <x v="0"/>
    <s v="Jorge Luis Monroy Herrera"/>
    <s v="TECUTFE8M"/>
    <s v="Superficie  Fresno Europeo 180x70 Moderno"/>
    <n v="1"/>
    <x v="2"/>
    <x v="2"/>
    <x v="2"/>
    <x v="0"/>
    <s v="Coordinadora"/>
    <s v="3041058 -84151114407"/>
    <d v="2025-01-24T00:00:00"/>
    <d v="2025-01-27T00:00:00"/>
    <x v="0"/>
    <n v="0"/>
    <n v="2"/>
    <s v="Cumple"/>
    <n v="44340"/>
    <m/>
    <m/>
  </r>
  <r>
    <d v="2025-01-24T00:00:00"/>
    <x v="0"/>
    <n v="2414"/>
    <x v="0"/>
    <s v="Julio Castellanos"/>
    <s v="TECU3FBRO"/>
    <s v="Electric Standing Desk  PRO Blanco"/>
    <n v="1"/>
    <x v="1"/>
    <x v="1"/>
    <x v="1"/>
    <x v="0"/>
    <s v="Coordinadora"/>
    <s v="3041064 -84151114410"/>
    <d v="2025-01-24T00:00:00"/>
    <d v="2025-01-25T00:00:00"/>
    <x v="0"/>
    <n v="0"/>
    <n v="1"/>
    <s v="Cumple"/>
    <n v="42921"/>
    <m/>
    <m/>
  </r>
  <r>
    <d v="2025-01-24T00:00:00"/>
    <x v="0"/>
    <n v="2414"/>
    <x v="0"/>
    <s v="Julio Castellanos"/>
    <s v="TECUTFE7M"/>
    <s v="Superficie  Fresno Europeo 170x70 Moderno"/>
    <n v="1"/>
    <x v="2"/>
    <x v="1"/>
    <x v="1"/>
    <x v="0"/>
    <s v="Coordinadora"/>
    <s v="3041066 -84151114411"/>
    <d v="2025-01-24T00:00:00"/>
    <d v="2025-01-27T00:00:00"/>
    <x v="0"/>
    <n v="0"/>
    <n v="2"/>
    <s v="Cumple"/>
    <n v="24093"/>
    <m/>
    <m/>
  </r>
  <r>
    <d v="2025-01-24T00:00:00"/>
    <x v="0"/>
    <n v="2414"/>
    <x v="0"/>
    <s v="Julio Castellanos"/>
    <m/>
    <s v="Servicio Instalacion"/>
    <n v="1"/>
    <x v="3"/>
    <x v="1"/>
    <x v="1"/>
    <x v="2"/>
    <s v="Coordinadora"/>
    <m/>
    <m/>
    <m/>
    <x v="1"/>
    <s v="PTE"/>
    <s v="PTE"/>
    <s v="PTE"/>
    <m/>
    <m/>
    <m/>
  </r>
  <r>
    <d v="2025-01-24T00:00:00"/>
    <x v="0"/>
    <n v="2415"/>
    <x v="0"/>
    <s v="Julio Castellanos"/>
    <s v="TECUBDPA"/>
    <s v="Desk Pad B Negro Azul"/>
    <n v="1"/>
    <x v="0"/>
    <x v="1"/>
    <x v="1"/>
    <x v="0"/>
    <s v="Coordinadora"/>
    <s v="3041074 -84151114418"/>
    <d v="2025-01-24T00:00:00"/>
    <d v="2025-01-25T00:00:00"/>
    <x v="0"/>
    <n v="0"/>
    <n v="1"/>
    <s v="Cumple"/>
    <n v="16617"/>
    <m/>
    <m/>
  </r>
  <r>
    <d v="2025-01-24T00:00:00"/>
    <x v="0"/>
    <n v="2416"/>
    <x v="0"/>
    <s v="Juan Pablo Romero Bernal"/>
    <s v="TECU2FNG"/>
    <s v="Electric Standing Desk GO Negro"/>
    <n v="1"/>
    <x v="1"/>
    <x v="1"/>
    <x v="1"/>
    <x v="0"/>
    <s v="Coordinadora"/>
    <s v="3041082 -84151114424"/>
    <d v="2025-01-24T00:00:00"/>
    <m/>
    <x v="1"/>
    <n v="0"/>
    <s v="PTE"/>
    <s v="PTE"/>
    <n v="41593"/>
    <m/>
    <m/>
  </r>
  <r>
    <d v="2025-01-24T00:00:00"/>
    <x v="0"/>
    <n v="2416"/>
    <x v="0"/>
    <s v="Juan Pablo Romero Bernal"/>
    <s v="TECUTFE5C"/>
    <s v="Superficie  Fresno Europeo 150x70 Clasico"/>
    <n v="1"/>
    <x v="2"/>
    <x v="1"/>
    <x v="1"/>
    <x v="0"/>
    <s v="Coordinadora"/>
    <s v="3041083 -84151114425"/>
    <d v="2025-01-24T00:00:00"/>
    <m/>
    <x v="1"/>
    <n v="0"/>
    <s v="PTE"/>
    <s v="PTE"/>
    <n v="24093"/>
    <m/>
    <m/>
  </r>
  <r>
    <d v="2025-01-24T00:00:00"/>
    <x v="0"/>
    <n v="2417"/>
    <x v="0"/>
    <s v="Rosemery Carrillo"/>
    <s v="TECU3FNPRO"/>
    <s v="Electric Standing Desk  PRO Negro"/>
    <n v="1"/>
    <x v="1"/>
    <x v="1"/>
    <x v="1"/>
    <x v="0"/>
    <s v="Coordinadora"/>
    <s v="3041165 -84151114467"/>
    <d v="2025-01-24T00:00:00"/>
    <d v="2025-01-27T00:00:00"/>
    <x v="0"/>
    <n v="0"/>
    <n v="2"/>
    <s v="Cumple"/>
    <n v="42921"/>
    <m/>
    <m/>
  </r>
  <r>
    <d v="2025-01-24T00:00:00"/>
    <x v="0"/>
    <n v="2418"/>
    <x v="0"/>
    <s v="Angela Patricia Duque Gutierrez"/>
    <s v="TECU3FNPRO"/>
    <s v="Electric Standing Desk  PRO Negro"/>
    <n v="1"/>
    <x v="1"/>
    <x v="9"/>
    <x v="15"/>
    <x v="0"/>
    <s v="Entrega directa"/>
    <s v="Entrega en la bodega a la cliente"/>
    <d v="2025-01-24T00:00:00"/>
    <d v="2025-01-24T00:00:00"/>
    <x v="0"/>
    <n v="0"/>
    <n v="0"/>
    <e v="#N/A"/>
    <n v="0"/>
    <m/>
    <m/>
  </r>
  <r>
    <d v="2025-01-24T00:00:00"/>
    <x v="0"/>
    <n v="2419"/>
    <x v="0"/>
    <s v="Ricardo Mesa Gallego"/>
    <s v="TECUCT"/>
    <s v="Bandeja de cables"/>
    <n v="1"/>
    <x v="0"/>
    <x v="0"/>
    <x v="8"/>
    <x v="0"/>
    <s v="Coordinadora"/>
    <s v="3041884 - 84151114874"/>
    <d v="2025-01-24T00:00:00"/>
    <d v="2025-01-25T00:00:00"/>
    <x v="0"/>
    <n v="0"/>
    <n v="1"/>
    <s v="Cumple"/>
    <n v="24885"/>
    <m/>
    <m/>
  </r>
  <r>
    <d v="2025-01-27T00:00:00"/>
    <x v="0"/>
    <n v="2420"/>
    <x v="0"/>
    <s v="Cristian Laguado"/>
    <s v="TECU3FNPRO"/>
    <s v="Electric Standing Desk  PRO Negro"/>
    <n v="1"/>
    <x v="1"/>
    <x v="1"/>
    <x v="1"/>
    <x v="0"/>
    <s v="Coordinadora"/>
    <s v="3053751 - 84151119935"/>
    <d v="2025-01-30T00:00:00"/>
    <d v="2025-02-01T00:00:00"/>
    <x v="0"/>
    <n v="3"/>
    <n v="5"/>
    <s v="No cumple"/>
    <n v="42921"/>
    <m/>
    <m/>
  </r>
  <r>
    <d v="2025-01-27T00:00:00"/>
    <x v="0"/>
    <n v="2420"/>
    <x v="0"/>
    <s v="Cristian Laguado"/>
    <s v="TECUTRM5C"/>
    <s v="Superficie Roble Miel 150x70 Clasico"/>
    <n v="1"/>
    <x v="2"/>
    <x v="1"/>
    <x v="1"/>
    <x v="0"/>
    <s v="Coordinadora"/>
    <s v="3053752 - 84151119936"/>
    <d v="2025-01-30T00:00:00"/>
    <d v="2025-02-04T00:00:00"/>
    <x v="0"/>
    <n v="3"/>
    <n v="7"/>
    <s v="No cumple"/>
    <n v="24593"/>
    <m/>
    <m/>
  </r>
  <r>
    <d v="2025-01-27T00:00:00"/>
    <x v="0"/>
    <n v="2421"/>
    <x v="0"/>
    <s v="Carlos Salazar"/>
    <s v="TECUROD"/>
    <s v="Rodachines con freno para Standing desk x 4 UN"/>
    <n v="1"/>
    <x v="7"/>
    <x v="10"/>
    <x v="16"/>
    <x v="0"/>
    <s v="Coordinadora"/>
    <s v="3048222 - 84151117369"/>
    <d v="2025-01-28T00:00:00"/>
    <m/>
    <x v="1"/>
    <n v="1"/>
    <s v="PTE"/>
    <s v="PTE"/>
    <n v="23875"/>
    <m/>
    <m/>
  </r>
  <r>
    <d v="2025-01-27T00:00:00"/>
    <x v="0"/>
    <n v="2422"/>
    <x v="0"/>
    <s v="Juan Angulo"/>
    <s v="TECUCT"/>
    <s v="Bandeja de cables"/>
    <n v="1"/>
    <x v="0"/>
    <x v="2"/>
    <x v="2"/>
    <x v="0"/>
    <s v="Coordinadora"/>
    <s v="3048263 - 84151117376"/>
    <d v="2025-01-28T00:00:00"/>
    <m/>
    <x v="1"/>
    <n v="1"/>
    <s v="PTE"/>
    <s v="PTE"/>
    <n v="24885"/>
    <m/>
    <m/>
  </r>
  <r>
    <d v="2025-01-28T00:00:00"/>
    <x v="0"/>
    <n v="2423"/>
    <x v="0"/>
    <s v="Octavio De La Hoz Franco"/>
    <s v="TECU3FBRO"/>
    <s v="Electric Standing Desk  PRO Blanco"/>
    <n v="1"/>
    <x v="1"/>
    <x v="2"/>
    <x v="2"/>
    <x v="0"/>
    <s v="Coordinadora"/>
    <s v="3049137 - 84151117798"/>
    <d v="2025-01-28T00:00:00"/>
    <d v="2025-02-01T00:00:00"/>
    <x v="0"/>
    <n v="0"/>
    <n v="4"/>
    <s v="Cumple"/>
    <n v="62647"/>
    <m/>
    <m/>
  </r>
  <r>
    <d v="2025-01-28T00:00:00"/>
    <x v="0"/>
    <n v="2423"/>
    <x v="0"/>
    <s v="Octavio De La Hoz Franco"/>
    <s v="TECUTB20C"/>
    <s v="Superficie Niebla 200x70 Clasico"/>
    <n v="1"/>
    <x v="2"/>
    <x v="2"/>
    <x v="2"/>
    <x v="0"/>
    <s v="Coordinadora"/>
    <s v="3049139 - 84151117799"/>
    <d v="2025-01-28T00:00:00"/>
    <d v="2025-02-01T00:00:00"/>
    <x v="0"/>
    <n v="0"/>
    <n v="4"/>
    <s v="Cumple"/>
    <n v="44340"/>
    <m/>
    <m/>
  </r>
  <r>
    <d v="2025-01-28T00:00:00"/>
    <x v="0"/>
    <n v="2424"/>
    <x v="0"/>
    <s v="CARLOS ARTURO REYES ESCOBAR"/>
    <s v="TECU3FNPRO"/>
    <s v="Electric Standing Desk  PRO Negro"/>
    <n v="1"/>
    <x v="1"/>
    <x v="6"/>
    <x v="17"/>
    <x v="0"/>
    <s v="Coordinadora"/>
    <s v="3050418 - 84151118335"/>
    <d v="2025-01-29T00:00:00"/>
    <d v="2025-01-31T00:00:00"/>
    <x v="0"/>
    <n v="1"/>
    <n v="3"/>
    <s v="Cumple"/>
    <n v="42921"/>
    <m/>
    <m/>
  </r>
  <r>
    <d v="2025-01-28T00:00:00"/>
    <x v="0"/>
    <n v="2424"/>
    <x v="0"/>
    <s v="CARLOS ARTURO REYES ESCOBAR"/>
    <s v="TECUTCO2C"/>
    <s v="Superficie  Caramelo 120x70 Clasico Small"/>
    <n v="1"/>
    <x v="2"/>
    <x v="6"/>
    <x v="17"/>
    <x v="0"/>
    <s v="Coordinadora"/>
    <s v="3050419 - 84151118336"/>
    <d v="2025-01-29T00:00:00"/>
    <d v="2025-01-31T00:00:00"/>
    <x v="0"/>
    <n v="1"/>
    <n v="3"/>
    <s v="Cumple"/>
    <n v="28741"/>
    <m/>
    <m/>
  </r>
  <r>
    <d v="2025-01-29T00:00:00"/>
    <x v="0"/>
    <n v="2425"/>
    <x v="0"/>
    <s v="Manuel eduardo Valdez mantero"/>
    <s v="TECU3FBRO"/>
    <s v="Electric Standing Desk  PRO Blanco"/>
    <n v="1"/>
    <x v="1"/>
    <x v="1"/>
    <x v="1"/>
    <x v="0"/>
    <s v="Coordinadora"/>
    <s v="3050613 - 84151118456"/>
    <d v="2025-01-29T00:00:00"/>
    <d v="2025-01-31T00:00:00"/>
    <x v="0"/>
    <n v="0"/>
    <n v="2"/>
    <s v="Cumple"/>
    <n v="42921"/>
    <m/>
    <m/>
  </r>
  <r>
    <d v="2025-01-29T00:00:00"/>
    <x v="0"/>
    <n v="2425"/>
    <x v="0"/>
    <s v="Manuel eduardo Valdez mantero"/>
    <s v="TECUTB7C"/>
    <s v="Superficie Niebla 170x70 Clasico"/>
    <n v="1"/>
    <x v="2"/>
    <x v="1"/>
    <x v="1"/>
    <x v="0"/>
    <s v="Coordinadora"/>
    <s v="3050615 - 84151118457"/>
    <d v="2025-01-29T00:00:00"/>
    <d v="2025-01-31T00:00:00"/>
    <x v="0"/>
    <n v="0"/>
    <n v="2"/>
    <s v="Cumple"/>
    <n v="24093"/>
    <m/>
    <m/>
  </r>
  <r>
    <d v="2025-01-30T00:00:00"/>
    <x v="0"/>
    <n v="2426"/>
    <x v="0"/>
    <s v="Rodrigo Rivera"/>
    <s v="TECU3FNPRO"/>
    <s v="Electric Standing Desk  PRO Negro"/>
    <n v="1"/>
    <x v="1"/>
    <x v="6"/>
    <x v="17"/>
    <x v="0"/>
    <s v="Coordinadora"/>
    <s v="3052581 - 84151119369"/>
    <d v="2025-01-30T00:00:00"/>
    <d v="2025-02-01T00:00:00"/>
    <x v="0"/>
    <n v="0"/>
    <n v="2"/>
    <s v="Cumple"/>
    <n v="42921"/>
    <m/>
    <m/>
  </r>
  <r>
    <d v="2025-01-30T00:00:00"/>
    <x v="0"/>
    <n v="2426"/>
    <x v="0"/>
    <s v="Rodrigo Rivera"/>
    <s v="TECUTCO8C"/>
    <s v="Superficie  Caramelo 180x70 Clasico"/>
    <n v="1"/>
    <x v="2"/>
    <x v="6"/>
    <x v="17"/>
    <x v="0"/>
    <s v="Coordinadora"/>
    <s v="3052583 - 84151119370"/>
    <d v="2025-01-30T00:00:00"/>
    <d v="2025-02-01T00:00:00"/>
    <x v="0"/>
    <n v="0"/>
    <n v="2"/>
    <s v="Cumple"/>
    <n v="26749"/>
    <m/>
    <m/>
  </r>
  <r>
    <d v="2025-01-30T00:00:00"/>
    <x v="0"/>
    <n v="2427"/>
    <x v="0"/>
    <s v="María Manuela Bueno Tavera"/>
    <s v="TECU3FBRO"/>
    <s v="Electric Standing Desk  PRO Blanco"/>
    <n v="1"/>
    <x v="1"/>
    <x v="1"/>
    <x v="1"/>
    <x v="0"/>
    <s v="Coordinadora"/>
    <s v="3053317 - 84151119704"/>
    <d v="2025-01-30T00:00:00"/>
    <d v="2025-01-31T00:00:00"/>
    <x v="0"/>
    <n v="0"/>
    <n v="1"/>
    <s v="Cumple"/>
    <n v="42921"/>
    <m/>
    <m/>
  </r>
  <r>
    <d v="2025-01-30T00:00:00"/>
    <x v="0"/>
    <n v="2427"/>
    <x v="0"/>
    <s v="María Manuela Bueno Tavera"/>
    <s v="TECUTFE3C"/>
    <s v="Superficie  Fresno Europeo 130x70 Clasico"/>
    <n v="1"/>
    <x v="2"/>
    <x v="1"/>
    <x v="1"/>
    <x v="0"/>
    <s v="Coordinadora"/>
    <s v="3053318 - 84151119705"/>
    <d v="2025-01-30T00:00:00"/>
    <d v="2025-01-31T00:00:00"/>
    <x v="0"/>
    <n v="0"/>
    <n v="1"/>
    <s v="Cumple"/>
    <n v="28741"/>
    <m/>
    <m/>
  </r>
  <r>
    <d v="2025-01-30T00:00:00"/>
    <x v="0"/>
    <n v="2428"/>
    <x v="0"/>
    <s v="Nicolas Enciso Calle"/>
    <s v="TECU2FNG"/>
    <s v="Electric Standing Desk GO Negro"/>
    <n v="1"/>
    <x v="1"/>
    <x v="0"/>
    <x v="8"/>
    <x v="0"/>
    <s v="Coordinadora"/>
    <s v="3053377 - 84151119723"/>
    <d v="2025-01-30T00:00:00"/>
    <d v="2025-01-31T00:00:00"/>
    <x v="0"/>
    <n v="0"/>
    <n v="1"/>
    <s v="Cumple"/>
    <n v="41593"/>
    <m/>
    <m/>
  </r>
  <r>
    <d v="2025-01-30T00:00:00"/>
    <x v="0"/>
    <n v="2428"/>
    <x v="0"/>
    <s v="Nicolas Enciso Calle"/>
    <s v="TECUTRN6C"/>
    <s v="Superficie  Roble Negro 160x70 Clasico"/>
    <n v="1"/>
    <x v="2"/>
    <x v="0"/>
    <x v="8"/>
    <x v="0"/>
    <s v="Coordinadora"/>
    <s v="3053379 - 84151119725"/>
    <d v="2025-01-30T00:00:00"/>
    <d v="2025-01-31T00:00:00"/>
    <x v="0"/>
    <n v="0"/>
    <n v="1"/>
    <s v="Cumple"/>
    <n v="24093"/>
    <m/>
    <m/>
  </r>
  <r>
    <d v="2025-01-31T00:00:00"/>
    <x v="0"/>
    <n v="2429"/>
    <x v="0"/>
    <s v="Geovanny Mendoza Gonzalez"/>
    <s v="TECU3FNPRO"/>
    <s v="Electric Standing Desk  PRO Negro"/>
    <n v="1"/>
    <x v="1"/>
    <x v="2"/>
    <x v="2"/>
    <x v="0"/>
    <s v="Coordinadora"/>
    <s v="3059087 - 84151121970"/>
    <d v="2025-02-03T00:00:00"/>
    <d v="2025-02-05T00:00:00"/>
    <x v="0"/>
    <n v="2"/>
    <n v="4"/>
    <s v="Cumple"/>
    <n v="62467"/>
    <m/>
    <m/>
  </r>
  <r>
    <d v="2025-01-31T00:00:00"/>
    <x v="0"/>
    <n v="2429"/>
    <x v="0"/>
    <s v="Geovanny Mendoza Gonzalez"/>
    <s v="TECUTCO5M"/>
    <s v="Superficie Caramelo 150x70 Moderno"/>
    <n v="1"/>
    <x v="2"/>
    <x v="2"/>
    <x v="2"/>
    <x v="0"/>
    <s v="Coordinadora"/>
    <s v="3059089 - 84151121971"/>
    <d v="2025-02-03T00:00:00"/>
    <d v="2025-02-05T00:00:00"/>
    <x v="0"/>
    <n v="2"/>
    <n v="4"/>
    <s v="Cumple"/>
    <n v="39078"/>
    <m/>
    <m/>
  </r>
  <r>
    <d v="2025-01-31T00:00:00"/>
    <x v="0"/>
    <n v="2430"/>
    <x v="0"/>
    <s v="john ibanez"/>
    <s v="TECU3FNPRO"/>
    <s v="Electric Standing Desk  PRO Negro"/>
    <n v="1"/>
    <x v="1"/>
    <x v="1"/>
    <x v="1"/>
    <x v="0"/>
    <s v="Coordinadora"/>
    <s v="3059099 - 84151121978"/>
    <d v="2025-02-03T00:00:00"/>
    <d v="2025-02-05T00:00:00"/>
    <x v="0"/>
    <n v="2"/>
    <n v="4"/>
    <s v="No cumple"/>
    <n v="42921"/>
    <m/>
    <m/>
  </r>
  <r>
    <d v="2025-01-31T00:00:00"/>
    <x v="0"/>
    <n v="2430"/>
    <x v="0"/>
    <s v="john ibanez"/>
    <s v="TECUTCO8C"/>
    <s v="Superficie  Caramelo 180x70 Clasico"/>
    <n v="1"/>
    <x v="2"/>
    <x v="1"/>
    <x v="1"/>
    <x v="0"/>
    <s v="Coordinadora"/>
    <s v="3059100 - 84151121979"/>
    <d v="2025-02-03T00:00:00"/>
    <d v="2025-02-05T00:00:00"/>
    <x v="0"/>
    <n v="2"/>
    <n v="4"/>
    <s v="No cumple"/>
    <n v="26749"/>
    <m/>
    <m/>
  </r>
  <r>
    <d v="2025-01-31T00:00:00"/>
    <x v="0"/>
    <n v="2430"/>
    <x v="0"/>
    <s v="john ibanez"/>
    <s v="TECUROD"/>
    <s v="Rodachines con freno para Standing desk x 4 UN"/>
    <n v="1"/>
    <x v="7"/>
    <x v="1"/>
    <x v="1"/>
    <x v="0"/>
    <s v="Coordinadora"/>
    <s v="3059107 - 84151121983"/>
    <d v="2025-02-03T00:00:00"/>
    <d v="2025-02-05T00:00:00"/>
    <x v="0"/>
    <n v="2"/>
    <n v="4"/>
    <s v="No cumple"/>
    <n v="23875"/>
    <m/>
    <m/>
  </r>
  <r>
    <d v="2025-02-02T00:00:00"/>
    <x v="1"/>
    <n v="2431"/>
    <x v="0"/>
    <s v="Patricia Luna Pamplona"/>
    <s v="TECU3FBRO"/>
    <s v="Electric Standing Desk  PRO Blanco"/>
    <n v="1"/>
    <x v="1"/>
    <x v="1"/>
    <x v="1"/>
    <x v="0"/>
    <s v="Coordinadora"/>
    <s v="3059121 - 84151121990"/>
    <d v="2025-02-03T00:00:00"/>
    <d v="2025-02-07T00:00:00"/>
    <x v="0"/>
    <n v="0"/>
    <n v="4"/>
    <s v="No cumple"/>
    <n v="42921"/>
    <m/>
    <m/>
  </r>
  <r>
    <d v="2025-02-02T00:00:00"/>
    <x v="1"/>
    <n v="2431"/>
    <x v="0"/>
    <s v="Patricia Luna Pamplona"/>
    <s v="TECUTB5M"/>
    <s v="Superficie Niebla 150x70 Moderno"/>
    <n v="1"/>
    <x v="2"/>
    <x v="1"/>
    <x v="1"/>
    <x v="0"/>
    <s v="Coordinadora"/>
    <s v="3059122 - 84151121991"/>
    <d v="2025-02-03T00:00:00"/>
    <d v="2025-02-05T00:00:00"/>
    <x v="0"/>
    <n v="0"/>
    <n v="2"/>
    <s v="Cumple"/>
    <n v="24093"/>
    <m/>
    <m/>
  </r>
  <r>
    <d v="2025-02-02T00:00:00"/>
    <x v="1"/>
    <n v="2431"/>
    <x v="0"/>
    <s v="Patricia Luna Pamplona"/>
    <s v="TECUBDPM"/>
    <s v="Desk Pad B Negro Café Miel"/>
    <n v="1"/>
    <x v="0"/>
    <x v="1"/>
    <x v="1"/>
    <x v="0"/>
    <s v="Coordinadora"/>
    <s v="3059143 - 84151122002"/>
    <d v="2025-02-03T00:00:00"/>
    <d v="2025-02-05T00:00:00"/>
    <x v="0"/>
    <n v="0"/>
    <n v="2"/>
    <s v="Cumple"/>
    <n v="16617"/>
    <m/>
    <m/>
  </r>
  <r>
    <d v="2025-02-02T00:00:00"/>
    <x v="1"/>
    <n v="2432"/>
    <x v="0"/>
    <s v="Edgar Federico Rodríguez Aranda"/>
    <s v="TECURCC"/>
    <s v="Repisa Miel"/>
    <n v="1"/>
    <x v="6"/>
    <x v="1"/>
    <x v="1"/>
    <x v="0"/>
    <s v="Coordinadora"/>
    <s v="3059168 - 84151122021"/>
    <d v="2025-02-03T00:00:00"/>
    <d v="2025-02-06T00:00:00"/>
    <x v="0"/>
    <n v="0"/>
    <n v="3"/>
    <s v="Cumple"/>
    <n v="23429"/>
    <m/>
    <m/>
  </r>
  <r>
    <d v="2025-02-02T00:00:00"/>
    <x v="1"/>
    <n v="2433"/>
    <x v="0"/>
    <s v="Laura Yepes Aranda"/>
    <s v="TECU3FNPRO"/>
    <s v="Electric Standing Desk  PRO Negro"/>
    <n v="1"/>
    <x v="1"/>
    <x v="0"/>
    <x v="8"/>
    <x v="0"/>
    <s v="Coordinadora"/>
    <s v="3064792 - 84151123684"/>
    <d v="2025-02-04T00:00:00"/>
    <d v="2025-02-05T00:00:00"/>
    <x v="0"/>
    <n v="1"/>
    <n v="2"/>
    <s v="Cumple"/>
    <n v="42921"/>
    <m/>
    <m/>
  </r>
  <r>
    <d v="2025-02-02T00:00:00"/>
    <x v="1"/>
    <n v="2433"/>
    <x v="0"/>
    <s v="Laura Yepes Aranda"/>
    <s v="TECUTFE7M"/>
    <s v="Superficie  Fresno Europeo 170x70 Moderno"/>
    <n v="1"/>
    <x v="2"/>
    <x v="0"/>
    <x v="8"/>
    <x v="0"/>
    <s v="Coordinadora"/>
    <s v="3064793 - 84151123685"/>
    <d v="2025-02-04T00:00:00"/>
    <d v="2025-02-05T00:00:00"/>
    <x v="0"/>
    <n v="1"/>
    <n v="2"/>
    <s v="Cumple"/>
    <n v="24093"/>
    <m/>
    <m/>
  </r>
  <r>
    <d v="2025-02-02T00:00:00"/>
    <x v="1"/>
    <n v="2433"/>
    <x v="0"/>
    <s v="Laura Yepes Aranda"/>
    <s v="TECUAFE"/>
    <s v="Archivador TECU Fresno Europeo"/>
    <n v="1"/>
    <x v="5"/>
    <x v="0"/>
    <x v="8"/>
    <x v="0"/>
    <s v="Envia"/>
    <s v="3067195 - 954101143183"/>
    <d v="2025-02-04T00:00:00"/>
    <d v="2025-02-06T00:00:00"/>
    <x v="0"/>
    <n v="1"/>
    <n v="3"/>
    <s v="Cumple"/>
    <n v="65682"/>
    <m/>
    <m/>
  </r>
  <r>
    <d v="2025-02-02T00:00:00"/>
    <x v="1"/>
    <n v="2433"/>
    <x v="0"/>
    <s v="Laura Yepes Aranda"/>
    <s v="TECUBLS"/>
    <s v="Laptop Stand B"/>
    <n v="1"/>
    <x v="0"/>
    <x v="0"/>
    <x v="8"/>
    <x v="0"/>
    <s v="Coordinadora"/>
    <s v="3064802 -84151123689"/>
    <d v="2025-02-04T00:00:00"/>
    <d v="2025-02-05T00:00:00"/>
    <x v="0"/>
    <n v="1"/>
    <n v="2"/>
    <s v="Cumple"/>
    <n v="24885"/>
    <m/>
    <m/>
  </r>
  <r>
    <d v="2025-02-03T00:00:00"/>
    <x v="1"/>
    <n v="2434"/>
    <x v="0"/>
    <s v="Darwin Saenz"/>
    <s v="TECUACO"/>
    <s v="Archivador TECU  Caramelo"/>
    <n v="1"/>
    <x v="5"/>
    <x v="1"/>
    <x v="1"/>
    <x v="0"/>
    <s v="Envia"/>
    <s v="3067483 - 954101143262"/>
    <d v="2025-02-04T00:00:00"/>
    <d v="2025-02-06T00:00:00"/>
    <x v="0"/>
    <n v="1"/>
    <n v="3"/>
    <s v="Cumple"/>
    <n v="54929"/>
    <m/>
    <m/>
  </r>
  <r>
    <d v="2025-02-03T00:00:00"/>
    <x v="1"/>
    <n v="2435"/>
    <x v="0"/>
    <s v="Andres Adolfo Hernandez Celis"/>
    <s v="TECU3FNPRO"/>
    <s v="Electric Standing Desk  PRO Negro"/>
    <n v="1"/>
    <x v="1"/>
    <x v="1"/>
    <x v="1"/>
    <x v="0"/>
    <s v="Coordinadora"/>
    <s v="3064808 - 84151123691"/>
    <d v="2025-02-04T00:00:00"/>
    <d v="2025-02-06T00:00:00"/>
    <x v="0"/>
    <n v="1"/>
    <n v="3"/>
    <s v="Cumple"/>
    <n v="42921"/>
    <m/>
    <m/>
  </r>
  <r>
    <d v="2025-02-03T00:00:00"/>
    <x v="1"/>
    <n v="2435"/>
    <x v="0"/>
    <s v="Andres Adolfo Hernandez Celis"/>
    <s v="TECUTCO8C"/>
    <s v="Superficie  Caramelo 180x70 Clasico"/>
    <n v="1"/>
    <x v="2"/>
    <x v="1"/>
    <x v="1"/>
    <x v="0"/>
    <s v="Coordinadora"/>
    <s v="3064809 - 84151123692"/>
    <d v="2025-02-04T00:00:00"/>
    <d v="2025-02-06T00:00:00"/>
    <x v="0"/>
    <n v="1"/>
    <n v="3"/>
    <s v="Cumple"/>
    <n v="26749"/>
    <m/>
    <m/>
  </r>
  <r>
    <d v="2025-02-03T00:00:00"/>
    <x v="1"/>
    <n v="2435"/>
    <x v="0"/>
    <s v="Andres Adolfo Hernandez Celis"/>
    <m/>
    <s v="Servicio de instalacion"/>
    <n v="1"/>
    <x v="3"/>
    <x v="1"/>
    <x v="1"/>
    <x v="2"/>
    <s v="Coordinadora"/>
    <m/>
    <m/>
    <m/>
    <x v="1"/>
    <s v="PTE"/>
    <s v="PTE"/>
    <s v="PTE"/>
    <m/>
    <m/>
    <m/>
  </r>
  <r>
    <d v="2025-02-04T00:00:00"/>
    <x v="1"/>
    <n v="2436"/>
    <x v="0"/>
    <s v="Jorge Andrés Martin González"/>
    <s v="TECU3FNPRO"/>
    <s v="Electric Standing Desk  PRO Negro"/>
    <n v="1"/>
    <x v="1"/>
    <x v="1"/>
    <x v="1"/>
    <x v="0"/>
    <s v="Coordinadora"/>
    <s v="3064827 - 84151123703"/>
    <d v="2025-02-04T00:00:00"/>
    <d v="2025-02-06T00:00:00"/>
    <x v="0"/>
    <n v="0"/>
    <n v="2"/>
    <s v="Cumple"/>
    <n v="42921"/>
    <m/>
    <m/>
  </r>
  <r>
    <d v="2025-02-10T00:00:00"/>
    <x v="1"/>
    <n v="2437"/>
    <x v="0"/>
    <s v="Luis Angel Hernandez Barreto"/>
    <s v="TECU3FNPRO"/>
    <s v="Electric Standing Desk  PRO Negro"/>
    <n v="1"/>
    <x v="1"/>
    <x v="1"/>
    <x v="18"/>
    <x v="0"/>
    <s v="Coordinadora"/>
    <s v="3076529 - 84151128765"/>
    <d v="2025-02-10T00:00:00"/>
    <d v="2025-02-12T00:00:00"/>
    <x v="0"/>
    <n v="0"/>
    <n v="2"/>
    <e v="#N/A"/>
    <n v="42921"/>
    <m/>
    <m/>
  </r>
  <r>
    <d v="2025-02-10T00:00:00"/>
    <x v="1"/>
    <n v="2437"/>
    <x v="0"/>
    <s v="Luis Angel Hernandez Barreto"/>
    <s v="TECUTFE4C"/>
    <s v="Superficie  Fresno Europeo 140x70 Clasico"/>
    <n v="1"/>
    <x v="2"/>
    <x v="1"/>
    <x v="18"/>
    <x v="0"/>
    <s v="Coordinadora"/>
    <s v="3076530 - 84151128766"/>
    <d v="2025-02-10T00:00:00"/>
    <d v="2025-02-12T00:00:00"/>
    <x v="0"/>
    <n v="0"/>
    <n v="2"/>
    <e v="#N/A"/>
    <n v="24093"/>
    <m/>
    <m/>
  </r>
  <r>
    <d v="2025-02-10T00:00:00"/>
    <x v="1"/>
    <n v="2438"/>
    <x v="0"/>
    <s v="Alejandro León Marín"/>
    <s v="TECU3FNPRO"/>
    <s v="Electric Standing Desk  PRO Negro"/>
    <n v="1"/>
    <x v="1"/>
    <x v="1"/>
    <x v="1"/>
    <x v="0"/>
    <s v="Coordinadora"/>
    <s v="3076861 - 84151128959"/>
    <d v="2025-02-10T00:00:00"/>
    <d v="2025-02-12T00:00:00"/>
    <x v="0"/>
    <n v="0"/>
    <n v="2"/>
    <s v="Cumple"/>
    <n v="42921"/>
    <m/>
    <m/>
  </r>
  <r>
    <d v="2025-02-10T00:00:00"/>
    <x v="1"/>
    <n v="2438"/>
    <x v="0"/>
    <s v="Alejandro León Marín"/>
    <s v="TECUTCO6C"/>
    <s v="Superficie  Caramelo 160x70 Clasico"/>
    <n v="1"/>
    <x v="2"/>
    <x v="1"/>
    <x v="1"/>
    <x v="0"/>
    <s v="Coordinadora"/>
    <s v="3076862 - 84151128960"/>
    <d v="2025-02-10T00:00:00"/>
    <d v="2025-02-12T00:00:00"/>
    <x v="0"/>
    <n v="0"/>
    <n v="2"/>
    <s v="Cumple"/>
    <n v="24093"/>
    <m/>
    <m/>
  </r>
  <r>
    <d v="2025-02-10T00:00:00"/>
    <x v="1"/>
    <n v="2438"/>
    <x v="0"/>
    <s v="Alejandro León Marín"/>
    <s v="TECUBDPM"/>
    <s v="Desk Pad B Negro Café Miel"/>
    <n v="1"/>
    <x v="0"/>
    <x v="1"/>
    <x v="1"/>
    <x v="0"/>
    <s v="Coordinadora"/>
    <s v="3076871 - 84151128965"/>
    <d v="2025-02-10T00:00:00"/>
    <d v="2025-02-12T00:00:00"/>
    <x v="0"/>
    <n v="0"/>
    <n v="2"/>
    <s v="Cumple"/>
    <n v="16617"/>
    <m/>
    <m/>
  </r>
  <r>
    <d v="2025-02-10T00:00:00"/>
    <x v="1"/>
    <n v="2438"/>
    <x v="0"/>
    <s v="Alejandro León Marín"/>
    <s v="TECUCT"/>
    <s v="Bandeja de cables"/>
    <n v="1"/>
    <x v="0"/>
    <x v="1"/>
    <x v="1"/>
    <x v="0"/>
    <s v="Coordinadora"/>
    <s v="3076866 - 84151128963"/>
    <d v="2025-02-10T00:00:00"/>
    <d v="2025-02-12T00:00:00"/>
    <x v="0"/>
    <n v="0"/>
    <n v="2"/>
    <s v="Cumple"/>
    <n v="24885"/>
    <m/>
    <m/>
  </r>
  <r>
    <d v="2025-02-10T00:00:00"/>
    <x v="1"/>
    <n v="2438"/>
    <x v="0"/>
    <s v="Alejandro León Marín"/>
    <m/>
    <s v="Servicio de instalacion"/>
    <n v="1"/>
    <x v="3"/>
    <x v="1"/>
    <x v="1"/>
    <x v="0"/>
    <s v="Coordinadora"/>
    <s v="NA"/>
    <s v="NA"/>
    <s v="NA"/>
    <x v="0"/>
    <m/>
    <m/>
    <m/>
    <m/>
    <m/>
    <m/>
  </r>
  <r>
    <d v="2025-02-11T00:00:00"/>
    <x v="1"/>
    <n v="2439"/>
    <x v="0"/>
    <s v="SARA GALLON"/>
    <s v="TECU3FNPRO"/>
    <s v="Electric Standing Desk  PRO Negro"/>
    <n v="1"/>
    <x v="1"/>
    <x v="0"/>
    <x v="8"/>
    <x v="0"/>
    <s v="Coordinadora"/>
    <s v="3079084 - 84151129998"/>
    <d v="2025-02-11T00:00:00"/>
    <d v="2025-02-12T00:00:00"/>
    <x v="0"/>
    <n v="0"/>
    <n v="1"/>
    <s v="Cumple"/>
    <n v="42921"/>
    <m/>
    <m/>
  </r>
  <r>
    <d v="2025-02-11T00:00:00"/>
    <x v="1"/>
    <n v="2440"/>
    <x v="0"/>
    <s v="Johanna Rodero"/>
    <s v="TECUAB"/>
    <s v="Archivador TECU  Blanco (Niebla)"/>
    <n v="1"/>
    <x v="5"/>
    <x v="1"/>
    <x v="1"/>
    <x v="0"/>
    <s v="Coordinadora"/>
    <s v="3079174 - 954101147482"/>
    <d v="2025-02-11T00:00:00"/>
    <d v="2025-02-12T00:00:00"/>
    <x v="0"/>
    <n v="0"/>
    <n v="1"/>
    <s v="Cumple"/>
    <n v="54929"/>
    <m/>
    <m/>
  </r>
  <r>
    <d v="2025-02-11T00:00:00"/>
    <x v="1"/>
    <n v="2441"/>
    <x v="0"/>
    <s v="Sebastian Casas"/>
    <s v="TECULFN2"/>
    <s v="Electric Standing Desk  En L Frame Negro 2.0"/>
    <n v="1"/>
    <x v="1"/>
    <x v="1"/>
    <x v="1"/>
    <x v="0"/>
    <s v="Coordinadora"/>
    <s v="3079240 - 84151130081"/>
    <d v="2025-02-11T00:00:00"/>
    <d v="2025-02-12T00:00:00"/>
    <x v="0"/>
    <n v="0"/>
    <n v="1"/>
    <s v="Cumple"/>
    <n v="62530"/>
    <m/>
    <m/>
  </r>
  <r>
    <d v="2025-02-11T00:00:00"/>
    <x v="1"/>
    <n v="2441"/>
    <x v="0"/>
    <s v="Sebastian Casas"/>
    <s v="TECUTLCCS"/>
    <s v="Superficie  en L Caramelo"/>
    <n v="1"/>
    <x v="2"/>
    <x v="1"/>
    <x v="1"/>
    <x v="0"/>
    <s v="Coordinadora"/>
    <s v="3079242 - 84151130082"/>
    <d v="2025-02-11T00:00:00"/>
    <d v="2025-02-12T00:00:00"/>
    <x v="0"/>
    <n v="0"/>
    <n v="1"/>
    <s v="Cumple"/>
    <n v="26749"/>
    <m/>
    <m/>
  </r>
  <r>
    <d v="2025-02-13T00:00:00"/>
    <x v="1"/>
    <n v="2442"/>
    <x v="0"/>
    <s v="Camilo Pimentel Gomez"/>
    <s v="TECU2FNG"/>
    <s v="Electric Standing Desk GO Negro"/>
    <n v="1"/>
    <x v="1"/>
    <x v="1"/>
    <x v="1"/>
    <x v="0"/>
    <s v="Coordinadora"/>
    <s v="3084198 - 84151132452"/>
    <d v="2025-02-13T00:00:00"/>
    <m/>
    <x v="1"/>
    <n v="0"/>
    <s v="PTE"/>
    <s v="PTE"/>
    <n v="41593"/>
    <m/>
    <m/>
  </r>
  <r>
    <d v="2025-02-13T00:00:00"/>
    <x v="1"/>
    <n v="2442"/>
    <x v="0"/>
    <s v="Camilo Pimentel Gomez"/>
    <s v="TECUTCO2C"/>
    <s v="Superficie  Caramelo 120x70 Clasico Small"/>
    <n v="1"/>
    <x v="2"/>
    <x v="1"/>
    <x v="1"/>
    <x v="0"/>
    <s v="Coordinadora"/>
    <s v="3084199 - 84151132453"/>
    <d v="2025-02-13T00:00:00"/>
    <m/>
    <x v="1"/>
    <n v="0"/>
    <s v="PTE"/>
    <s v="PTE"/>
    <n v="24093"/>
    <m/>
    <m/>
  </r>
  <r>
    <d v="2025-02-14T00:00:00"/>
    <x v="1"/>
    <n v="2443"/>
    <x v="0"/>
    <s v="rodrigo rivera alarcon"/>
    <s v="TECU3FNPRO"/>
    <s v="Electric Standing Desk  PRO Negro"/>
    <n v="1"/>
    <x v="1"/>
    <x v="6"/>
    <x v="17"/>
    <x v="2"/>
    <s v="Coordinadora"/>
    <m/>
    <m/>
    <m/>
    <x v="2"/>
    <m/>
    <m/>
    <m/>
    <m/>
    <m/>
    <m/>
  </r>
  <r>
    <d v="2025-02-14T00:00:00"/>
    <x v="1"/>
    <n v="2443"/>
    <x v="0"/>
    <s v="rodrigo rivera alarcon"/>
    <s v="TECUTCO6C"/>
    <s v="Superficie  Caramelo 160x70 Clasico"/>
    <n v="1"/>
    <x v="2"/>
    <x v="6"/>
    <x v="17"/>
    <x v="2"/>
    <s v="Coordinadora"/>
    <m/>
    <m/>
    <m/>
    <x v="2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d v="2025-01-01T00:00:00"/>
    <x v="0"/>
    <n v="2377"/>
    <x v="0"/>
    <s v="Cata Gómez"/>
    <s v="TECUBDPM"/>
    <x v="0"/>
    <n v="1"/>
    <x v="0"/>
    <x v="0"/>
    <x v="0"/>
    <x v="0"/>
    <s v="Coordinadora"/>
    <s v="3002937 -84151097246"/>
    <d v="2025-01-07T00:00:00"/>
    <d v="2025-01-08T00:00:00"/>
    <x v="0"/>
    <n v="0"/>
    <n v="1"/>
    <s v="Cumple"/>
    <n v="16617"/>
    <m/>
    <s v="Vacaciones TECU"/>
  </r>
  <r>
    <d v="2025-01-02T00:00:00"/>
    <x v="0"/>
    <n v="2378"/>
    <x v="0"/>
    <s v="Andres felipe Carreño"/>
    <s v="TECUBDPA"/>
    <x v="1"/>
    <n v="1"/>
    <x v="0"/>
    <x v="1"/>
    <x v="1"/>
    <x v="0"/>
    <s v="Coordinadora"/>
    <s v="3002977 -84151097273"/>
    <d v="2025-01-07T00:00:00"/>
    <d v="2025-01-08T00:00:00"/>
    <x v="0"/>
    <n v="0"/>
    <n v="1"/>
    <s v="Cumple"/>
    <n v="16617"/>
    <m/>
    <s v="Vacaciones TECU"/>
  </r>
  <r>
    <d v="2025-01-06T00:00:00"/>
    <x v="0"/>
    <n v="2379"/>
    <x v="0"/>
    <s v="Juan Guevara"/>
    <s v="TECU2FBGO"/>
    <x v="2"/>
    <n v="1"/>
    <x v="1"/>
    <x v="1"/>
    <x v="1"/>
    <x v="0"/>
    <s v="Coordinadora"/>
    <s v="3006333 -84151099203"/>
    <d v="2025-01-08T00:00:00"/>
    <d v="2025-01-10T00:00:00"/>
    <x v="0"/>
    <n v="1"/>
    <n v="3"/>
    <s v="Cumple"/>
    <n v="41593"/>
    <m/>
    <m/>
  </r>
  <r>
    <d v="2025-01-06T00:00:00"/>
    <x v="0"/>
    <n v="2379"/>
    <x v="0"/>
    <s v="Juan Guevara"/>
    <s v="TECUTFE2C"/>
    <x v="3"/>
    <n v="1"/>
    <x v="2"/>
    <x v="1"/>
    <x v="1"/>
    <x v="0"/>
    <s v="Coordinadora"/>
    <s v="3006334 -84151099205"/>
    <d v="2025-01-08T00:00:00"/>
    <d v="2025-01-10T00:00:00"/>
    <x v="0"/>
    <n v="1"/>
    <n v="3"/>
    <s v="Cumple"/>
    <n v="24093"/>
    <m/>
    <m/>
  </r>
  <r>
    <d v="2025-01-06T00:00:00"/>
    <x v="0"/>
    <n v="2379"/>
    <x v="0"/>
    <s v="Juan Guevara"/>
    <s v="TECUCT"/>
    <x v="4"/>
    <n v="1"/>
    <x v="0"/>
    <x v="1"/>
    <x v="1"/>
    <x v="0"/>
    <s v="Coordinadora"/>
    <s v="3006341 -84151099209"/>
    <d v="2025-01-08T00:00:00"/>
    <d v="2025-01-10T00:00:00"/>
    <x v="0"/>
    <n v="1"/>
    <n v="3"/>
    <s v="Cumple"/>
    <n v="24885"/>
    <m/>
    <m/>
  </r>
  <r>
    <d v="2025-01-06T00:00:00"/>
    <x v="0"/>
    <n v="2380"/>
    <x v="0"/>
    <s v="Juan Carlos Urbano"/>
    <s v="TECU2FNG"/>
    <x v="5"/>
    <n v="1"/>
    <x v="1"/>
    <x v="1"/>
    <x v="1"/>
    <x v="0"/>
    <s v="Coordinadora"/>
    <s v="3003131 -84151097381"/>
    <d v="2025-01-07T00:00:00"/>
    <d v="2025-01-08T00:00:00"/>
    <x v="0"/>
    <n v="0"/>
    <n v="1"/>
    <s v="Cumple"/>
    <n v="41593"/>
    <m/>
    <m/>
  </r>
  <r>
    <d v="2025-01-06T00:00:00"/>
    <x v="0"/>
    <n v="2380"/>
    <x v="0"/>
    <s v="Juan Carlos Urbano"/>
    <s v="TECUTCO4C"/>
    <x v="6"/>
    <n v="1"/>
    <x v="2"/>
    <x v="1"/>
    <x v="1"/>
    <x v="0"/>
    <s v="Coordinadora"/>
    <s v="3003134 -84151097383"/>
    <d v="2025-01-07T00:00:00"/>
    <d v="2025-01-09T00:00:00"/>
    <x v="0"/>
    <n v="0"/>
    <n v="2"/>
    <s v="Cumple"/>
    <n v="24093"/>
    <m/>
    <m/>
  </r>
  <r>
    <d v="2025-01-06T00:00:00"/>
    <x v="0"/>
    <n v="2380"/>
    <x v="0"/>
    <s v="Juan Carlos Urbano"/>
    <s v="TECUCT"/>
    <x v="4"/>
    <n v="1"/>
    <x v="0"/>
    <x v="1"/>
    <x v="1"/>
    <x v="0"/>
    <s v="Coordinadora"/>
    <s v="3003144 -84151097390"/>
    <d v="2025-01-07T00:00:00"/>
    <d v="2025-01-09T00:00:00"/>
    <x v="0"/>
    <n v="0"/>
    <n v="2"/>
    <s v="Cumple"/>
    <n v="24885"/>
    <m/>
    <m/>
  </r>
  <r>
    <d v="2025-01-06T00:00:00"/>
    <x v="0"/>
    <n v="2381"/>
    <x v="0"/>
    <s v="Julian Cujabante Villamil"/>
    <s v="TECULFN2"/>
    <x v="7"/>
    <n v="1"/>
    <x v="1"/>
    <x v="1"/>
    <x v="1"/>
    <x v="0"/>
    <s v="Coordinadora"/>
    <s v="3006368 -84151099224"/>
    <d v="2025-01-08T00:00:00"/>
    <d v="2025-01-10T00:00:00"/>
    <x v="0"/>
    <n v="1"/>
    <n v="3"/>
    <s v="Cumple"/>
    <n v="62530"/>
    <m/>
    <m/>
  </r>
  <r>
    <d v="2025-01-06T00:00:00"/>
    <x v="0"/>
    <n v="2381"/>
    <x v="0"/>
    <s v="Julian Cujabante Villamil"/>
    <s v="TECUTLRNS"/>
    <x v="8"/>
    <n v="1"/>
    <x v="2"/>
    <x v="1"/>
    <x v="1"/>
    <x v="0"/>
    <s v="Coordinadora"/>
    <s v="3006370 -84151099227"/>
    <d v="2025-01-08T00:00:00"/>
    <d v="2025-01-10T00:00:00"/>
    <x v="0"/>
    <n v="1"/>
    <n v="3"/>
    <s v="Cumple"/>
    <n v="26749"/>
    <m/>
    <m/>
  </r>
  <r>
    <d v="2025-01-06T00:00:00"/>
    <x v="0"/>
    <n v="2381"/>
    <x v="0"/>
    <s v="Julian Cujabante Villamil"/>
    <s v="TECUCT"/>
    <x v="4"/>
    <n v="1"/>
    <x v="0"/>
    <x v="1"/>
    <x v="1"/>
    <x v="0"/>
    <s v="Coordinadora"/>
    <s v="3006387 -84151099241"/>
    <d v="2025-01-08T00:00:00"/>
    <d v="2025-01-09T00:00:00"/>
    <x v="0"/>
    <n v="1"/>
    <n v="2"/>
    <s v="Cumple"/>
    <n v="24885"/>
    <m/>
    <m/>
  </r>
  <r>
    <d v="2025-01-06T00:00:00"/>
    <x v="0"/>
    <n v="2381"/>
    <x v="0"/>
    <s v="Julian Cujabante Villamil"/>
    <s v="TECUTBANPI"/>
    <x v="9"/>
    <n v="1"/>
    <x v="0"/>
    <x v="1"/>
    <x v="1"/>
    <x v="0"/>
    <s v="Coordinadora"/>
    <s v="3006380 -84151099237"/>
    <d v="2025-01-08T00:00:00"/>
    <d v="2025-01-10T00:00:00"/>
    <x v="0"/>
    <n v="1"/>
    <n v="3"/>
    <s v="Cumple"/>
    <n v="39225"/>
    <m/>
    <m/>
  </r>
  <r>
    <d v="2025-01-06T00:00:00"/>
    <x v="0"/>
    <n v="2381"/>
    <x v="0"/>
    <s v="Julian Cujabante Villamil"/>
    <m/>
    <x v="10"/>
    <n v="1"/>
    <x v="3"/>
    <x v="1"/>
    <x v="1"/>
    <x v="1"/>
    <s v="Coordinadora"/>
    <s v="NA"/>
    <s v="NA"/>
    <s v="NA"/>
    <x v="0"/>
    <s v="PTE"/>
    <e v="#VALUE!"/>
    <e v="#VALUE!"/>
    <m/>
    <m/>
    <m/>
  </r>
  <r>
    <d v="2025-01-07T00:00:00"/>
    <x v="0"/>
    <n v="2382"/>
    <x v="0"/>
    <s v="Henry De Alba"/>
    <s v="TECU2FNG"/>
    <x v="5"/>
    <n v="1"/>
    <x v="1"/>
    <x v="2"/>
    <x v="2"/>
    <x v="0"/>
    <s v="Coordinadora"/>
    <s v="3008585 -84151100462"/>
    <d v="2025-01-09T00:00:00"/>
    <d v="2025-01-11T00:00:00"/>
    <x v="0"/>
    <n v="2"/>
    <n v="4"/>
    <s v="Cumple"/>
    <n v="59835"/>
    <m/>
    <m/>
  </r>
  <r>
    <d v="2025-01-07T00:00:00"/>
    <x v="0"/>
    <n v="2382"/>
    <x v="0"/>
    <s v="Henry De Alba"/>
    <s v="TECUTRN2C"/>
    <x v="11"/>
    <n v="1"/>
    <x v="2"/>
    <x v="2"/>
    <x v="2"/>
    <x v="0"/>
    <s v="Coordinadora"/>
    <s v="3008587 -84151100464"/>
    <d v="2025-01-09T00:00:00"/>
    <d v="2025-01-11T00:00:00"/>
    <x v="0"/>
    <n v="2"/>
    <n v="4"/>
    <s v="Cumple"/>
    <n v="39078"/>
    <m/>
    <m/>
  </r>
  <r>
    <d v="2025-01-07T00:00:00"/>
    <x v="0"/>
    <n v="2383"/>
    <x v="0"/>
    <s v="Carlos Andres Polanco Triana"/>
    <s v="TECU3FNPRO"/>
    <x v="12"/>
    <n v="1"/>
    <x v="1"/>
    <x v="3"/>
    <x v="3"/>
    <x v="0"/>
    <s v="Coordinadora"/>
    <s v="3008595 -84151100470"/>
    <d v="2025-01-09T00:00:00"/>
    <d v="2025-01-11T00:00:00"/>
    <x v="0"/>
    <n v="2"/>
    <n v="4"/>
    <s v="Cumple"/>
    <n v="62467"/>
    <m/>
    <m/>
  </r>
  <r>
    <d v="2025-01-07T00:00:00"/>
    <x v="0"/>
    <n v="2383"/>
    <x v="0"/>
    <s v="Carlos Andres Polanco Triana"/>
    <s v="TECUTCO4C"/>
    <x v="6"/>
    <n v="1"/>
    <x v="2"/>
    <x v="3"/>
    <x v="3"/>
    <x v="0"/>
    <s v="Coordinadora"/>
    <s v="3008596 -84151100471"/>
    <d v="2025-01-09T00:00:00"/>
    <d v="2025-01-11T00:00:00"/>
    <x v="0"/>
    <n v="2"/>
    <n v="4"/>
    <s v="Cumple"/>
    <n v="39078"/>
    <m/>
    <m/>
  </r>
  <r>
    <d v="2025-01-08T00:00:00"/>
    <x v="0"/>
    <n v="2384"/>
    <x v="0"/>
    <s v="Samuel Antonio Cabezas Tibaquicha"/>
    <s v="TECU3FNPRO"/>
    <x v="12"/>
    <n v="1"/>
    <x v="1"/>
    <x v="1"/>
    <x v="4"/>
    <x v="0"/>
    <s v="Coordinadora"/>
    <s v="3006418 -84151099260"/>
    <d v="2025-01-08T00:00:00"/>
    <d v="2025-01-09T00:00:00"/>
    <x v="0"/>
    <n v="0"/>
    <n v="1"/>
    <s v="Cumple"/>
    <n v="42921"/>
    <m/>
    <m/>
  </r>
  <r>
    <d v="2025-01-08T00:00:00"/>
    <x v="0"/>
    <n v="2384"/>
    <x v="0"/>
    <s v="Samuel Antonio Cabezas Tibaquicha"/>
    <s v="TECUDSN"/>
    <x v="13"/>
    <n v="1"/>
    <x v="4"/>
    <x v="1"/>
    <x v="4"/>
    <x v="0"/>
    <s v="Coordinadora"/>
    <s v="3006424 -84151099263"/>
    <d v="2025-01-08T00:00:00"/>
    <d v="2025-01-09T00:00:00"/>
    <x v="0"/>
    <n v="0"/>
    <n v="1"/>
    <s v="Cumple"/>
    <n v="26609"/>
    <m/>
    <m/>
  </r>
  <r>
    <d v="2025-01-08T00:00:00"/>
    <x v="0"/>
    <n v="2385"/>
    <x v="0"/>
    <s v="Diana Ruiz"/>
    <s v="TECU3FNPRO"/>
    <x v="12"/>
    <n v="1"/>
    <x v="1"/>
    <x v="1"/>
    <x v="1"/>
    <x v="0"/>
    <s v="Coordinadora"/>
    <s v="3009172 -84151100736"/>
    <d v="2025-01-09T00:00:00"/>
    <d v="2025-01-10T00:00:00"/>
    <x v="0"/>
    <n v="1"/>
    <n v="2"/>
    <s v="Cumple"/>
    <n v="42921"/>
    <m/>
    <m/>
  </r>
  <r>
    <d v="2025-01-08T00:00:00"/>
    <x v="0"/>
    <n v="2385"/>
    <x v="0"/>
    <s v="Diana Ruiz"/>
    <s v="TECUTFE4C"/>
    <x v="14"/>
    <n v="1"/>
    <x v="2"/>
    <x v="1"/>
    <x v="1"/>
    <x v="0"/>
    <s v="Coordinadora"/>
    <s v="3009173 -84151100737"/>
    <d v="2025-01-09T00:00:00"/>
    <d v="2025-01-10T00:00:00"/>
    <x v="0"/>
    <n v="1"/>
    <n v="2"/>
    <s v="Cumple"/>
    <n v="24093"/>
    <m/>
    <m/>
  </r>
  <r>
    <d v="2025-01-08T00:00:00"/>
    <x v="0"/>
    <n v="2386"/>
    <x v="0"/>
    <s v="Samuel Vélez Sanín"/>
    <s v="TECU2FNG"/>
    <x v="5"/>
    <n v="1"/>
    <x v="1"/>
    <x v="0"/>
    <x v="5"/>
    <x v="0"/>
    <s v="Coordinadora"/>
    <s v="3008732 -84151100542"/>
    <d v="2025-01-09T00:00:00"/>
    <d v="2025-01-10T00:00:00"/>
    <x v="0"/>
    <n v="1"/>
    <n v="2"/>
    <s v="Cumple"/>
    <n v="41593"/>
    <m/>
    <m/>
  </r>
  <r>
    <d v="2025-01-08T00:00:00"/>
    <x v="0"/>
    <n v="2386"/>
    <x v="0"/>
    <s v="Samuel Vélez Sanín"/>
    <s v="TECUTFE2C"/>
    <x v="3"/>
    <n v="1"/>
    <x v="2"/>
    <x v="0"/>
    <x v="5"/>
    <x v="0"/>
    <s v="Coordinadora"/>
    <s v="3008734 -84151100543"/>
    <d v="2025-01-09T00:00:00"/>
    <d v="2025-01-11T00:00:00"/>
    <x v="0"/>
    <n v="1"/>
    <n v="3"/>
    <s v="Cumple"/>
    <n v="24093"/>
    <m/>
    <m/>
  </r>
  <r>
    <d v="2025-01-08T00:00:00"/>
    <x v="0"/>
    <n v="2387"/>
    <x v="0"/>
    <s v="Miguel Saavedra"/>
    <s v="TECUACO"/>
    <x v="15"/>
    <n v="1"/>
    <x v="5"/>
    <x v="1"/>
    <x v="1"/>
    <x v="0"/>
    <s v="Envia"/>
    <s v="3006909 -954101121278"/>
    <d v="2025-01-08T00:00:00"/>
    <d v="2025-01-09T00:00:00"/>
    <x v="0"/>
    <n v="0"/>
    <n v="1"/>
    <s v="Cumple"/>
    <n v="70717"/>
    <m/>
    <m/>
  </r>
  <r>
    <d v="2025-01-09T00:00:00"/>
    <x v="0"/>
    <n v="2388"/>
    <x v="0"/>
    <s v="CAROLINA RAMIREZ RESTREPO"/>
    <s v="TECU2FNG"/>
    <x v="5"/>
    <n v="1"/>
    <x v="1"/>
    <x v="0"/>
    <x v="6"/>
    <x v="0"/>
    <s v="Coordinadora"/>
    <s v="3008988 -84151100690"/>
    <d v="2025-01-09T00:00:00"/>
    <d v="2025-01-24T00:00:00"/>
    <x v="0"/>
    <n v="0"/>
    <n v="13"/>
    <s v="No cumple"/>
    <n v="112444"/>
    <m/>
    <s v="Novedad - Se envia a oto pueblo por error en Shopify generar guias // se solicita devolucion a la bodega"/>
  </r>
  <r>
    <d v="2025-01-09T00:00:00"/>
    <x v="0"/>
    <n v="2388"/>
    <x v="0"/>
    <s v="CAROLINA RAMIREZ RESTREPO"/>
    <s v="TECUTCO6C"/>
    <x v="16"/>
    <n v="1"/>
    <x v="2"/>
    <x v="0"/>
    <x v="6"/>
    <x v="0"/>
    <s v="Coordinadora"/>
    <s v="3008990 -84151100691"/>
    <d v="2025-01-09T00:00:00"/>
    <d v="2025-01-24T00:00:00"/>
    <x v="0"/>
    <n v="0"/>
    <n v="13"/>
    <s v="No cumple"/>
    <n v="98264"/>
    <m/>
    <s v="Novedad - Se envia a oto pueblo por error en Shopify generar guias // se solicita devolucion a la bodega"/>
  </r>
  <r>
    <d v="2025-01-09T00:00:00"/>
    <x v="0"/>
    <n v="2389"/>
    <x v="0"/>
    <s v="Alexander Gomez Chaparro"/>
    <s v="TECULFN2"/>
    <x v="7"/>
    <n v="1"/>
    <x v="1"/>
    <x v="4"/>
    <x v="7"/>
    <x v="0"/>
    <s v="Coordinadora"/>
    <s v="3011856 -84151101651"/>
    <d v="2025-01-10T00:00:00"/>
    <d v="2025-01-13T00:00:00"/>
    <x v="0"/>
    <n v="1"/>
    <n v="3"/>
    <s v="Cumple"/>
    <n v="96409"/>
    <m/>
    <m/>
  </r>
  <r>
    <d v="2025-01-09T00:00:00"/>
    <x v="0"/>
    <n v="2389"/>
    <x v="0"/>
    <s v="Alexander Gomez Chaparro"/>
    <s v="TECUTLNS"/>
    <x v="17"/>
    <n v="1"/>
    <x v="2"/>
    <x v="4"/>
    <x v="7"/>
    <x v="0"/>
    <s v="Coordinadora"/>
    <s v="3011858 -84151101652"/>
    <d v="2025-01-10T00:00:00"/>
    <d v="2025-01-13T00:00:00"/>
    <x v="0"/>
    <n v="1"/>
    <n v="3"/>
    <s v="Cumple"/>
    <n v="44340"/>
    <m/>
    <m/>
  </r>
  <r>
    <d v="2025-01-09T00:00:00"/>
    <x v="0"/>
    <n v="2390"/>
    <x v="0"/>
    <s v="Alexander Gomez Chaparro"/>
    <s v="TECUCT"/>
    <x v="4"/>
    <n v="1"/>
    <x v="0"/>
    <x v="4"/>
    <x v="7"/>
    <x v="0"/>
    <s v="Coordinadora"/>
    <s v="3011897 -84151101678"/>
    <d v="2025-01-10T00:00:00"/>
    <d v="2025-01-13T00:00:00"/>
    <x v="0"/>
    <n v="1"/>
    <n v="3"/>
    <s v="Cumple"/>
    <m/>
    <m/>
    <m/>
  </r>
  <r>
    <d v="2025-01-09T00:00:00"/>
    <x v="0"/>
    <n v="2390"/>
    <x v="0"/>
    <s v="Alexander Gomez Chaparro"/>
    <s v="TECUBDPA"/>
    <x v="1"/>
    <n v="1"/>
    <x v="0"/>
    <x v="4"/>
    <x v="7"/>
    <x v="0"/>
    <s v="Coordinadora"/>
    <s v="3011889 -84151101671"/>
    <d v="2025-01-10T00:00:00"/>
    <d v="2025-01-13T00:00:00"/>
    <x v="0"/>
    <n v="1"/>
    <n v="3"/>
    <s v="Cumple"/>
    <n v="16617"/>
    <m/>
    <m/>
  </r>
  <r>
    <d v="2025-01-09T00:00:00"/>
    <x v="0"/>
    <n v="2390"/>
    <x v="0"/>
    <s v="Alexander Gomez Chaparro"/>
    <s v="TECUDSN"/>
    <x v="13"/>
    <n v="1"/>
    <x v="4"/>
    <x v="4"/>
    <x v="7"/>
    <x v="0"/>
    <s v="Coordinadora"/>
    <s v="3011879 -84151101661"/>
    <d v="2025-01-10T00:00:00"/>
    <d v="2025-01-13T00:00:00"/>
    <x v="0"/>
    <n v="1"/>
    <n v="3"/>
    <s v="Cumple"/>
    <n v="40942"/>
    <m/>
    <m/>
  </r>
  <r>
    <d v="2025-01-09T00:00:00"/>
    <x v="0"/>
    <n v="2390"/>
    <x v="0"/>
    <s v="Alexander Gomez Chaparro"/>
    <s v="TECURN"/>
    <x v="18"/>
    <n v="1"/>
    <x v="6"/>
    <x v="4"/>
    <x v="7"/>
    <x v="0"/>
    <s v="Coordinadora"/>
    <s v="NA"/>
    <d v="2025-01-10T00:00:00"/>
    <d v="2025-01-13T00:00:00"/>
    <x v="0"/>
    <n v="1"/>
    <n v="3"/>
    <s v="Cumple"/>
    <m/>
    <m/>
    <m/>
  </r>
  <r>
    <d v="2025-01-09T00:00:00"/>
    <x v="0"/>
    <n v="2391"/>
    <x v="0"/>
    <s v="Alexander Gomez Chaparro"/>
    <s v="TECUCT"/>
    <x v="4"/>
    <n v="1"/>
    <x v="0"/>
    <x v="4"/>
    <x v="7"/>
    <x v="0"/>
    <s v="Coordinadora"/>
    <s v="3011897 -84151101678"/>
    <d v="2025-01-10T00:00:00"/>
    <d v="2025-01-13T00:00:00"/>
    <x v="0"/>
    <n v="1"/>
    <n v="3"/>
    <s v="Cumple"/>
    <n v="24885"/>
    <m/>
    <m/>
  </r>
  <r>
    <d v="2025-01-10T00:00:00"/>
    <x v="0"/>
    <n v="2392"/>
    <x v="0"/>
    <s v="David Cadavid"/>
    <s v="TECU3FNPRO"/>
    <x v="12"/>
    <n v="1"/>
    <x v="1"/>
    <x v="0"/>
    <x v="5"/>
    <x v="0"/>
    <s v="Coordinadora"/>
    <s v="3015845 -84151103419"/>
    <d v="2025-01-13T16:47:27"/>
    <d v="2025-01-14T15:27:49"/>
    <x v="0"/>
    <n v="2"/>
    <n v="3"/>
    <s v="Cumple"/>
    <n v="42921"/>
    <m/>
    <m/>
  </r>
  <r>
    <d v="2025-01-10T00:00:00"/>
    <x v="0"/>
    <n v="2392"/>
    <x v="0"/>
    <s v="David Cadavid"/>
    <s v="TECUTCO8C"/>
    <x v="19"/>
    <n v="1"/>
    <x v="2"/>
    <x v="0"/>
    <x v="5"/>
    <x v="0"/>
    <s v="Coordinadora"/>
    <s v="3015847 -84151103420"/>
    <d v="2025-01-13T16:48:27"/>
    <d v="2025-01-14T15:27:49"/>
    <x v="0"/>
    <n v="2"/>
    <n v="3"/>
    <s v="Cumple"/>
    <n v="26749"/>
    <m/>
    <m/>
  </r>
  <r>
    <d v="2025-01-10T00:00:00"/>
    <x v="0"/>
    <n v="2392"/>
    <x v="0"/>
    <s v="David Cadavid"/>
    <s v="TECUCT"/>
    <x v="4"/>
    <n v="1"/>
    <x v="0"/>
    <x v="0"/>
    <x v="5"/>
    <x v="0"/>
    <s v="Coordinadora"/>
    <s v="3015858 -84151103425"/>
    <d v="2025-01-13T16:47:27"/>
    <d v="2025-01-14T15:27:49"/>
    <x v="0"/>
    <n v="2"/>
    <n v="3"/>
    <s v="Cumple"/>
    <n v="24885"/>
    <m/>
    <m/>
  </r>
  <r>
    <d v="2025-01-11T00:00:00"/>
    <x v="0"/>
    <n v="2393"/>
    <x v="0"/>
    <s v="Santiago Garzon Diaz"/>
    <s v="TECU2FNG"/>
    <x v="5"/>
    <n v="1"/>
    <x v="1"/>
    <x v="0"/>
    <x v="8"/>
    <x v="0"/>
    <s v="Coordinadora"/>
    <s v="3015877 -84151103435"/>
    <d v="2025-01-13T16:47:27"/>
    <d v="2025-01-14T09:51:51"/>
    <x v="0"/>
    <n v="1"/>
    <n v="2"/>
    <s v="Cumple"/>
    <n v="41593"/>
    <m/>
    <m/>
  </r>
  <r>
    <d v="2025-01-11T00:00:00"/>
    <x v="0"/>
    <n v="2393"/>
    <x v="0"/>
    <s v="Santiago Garzon Diaz"/>
    <m/>
    <x v="10"/>
    <n v="1"/>
    <x v="3"/>
    <x v="0"/>
    <x v="8"/>
    <x v="1"/>
    <s v="Coordinadora"/>
    <s v="NA"/>
    <s v="NA"/>
    <s v="NA"/>
    <x v="0"/>
    <s v="PTE"/>
    <e v="#VALUE!"/>
    <e v="#VALUE!"/>
    <n v="0"/>
    <m/>
    <m/>
  </r>
  <r>
    <d v="2025-01-12T00:00:00"/>
    <x v="0"/>
    <n v="2394"/>
    <x v="0"/>
    <s v="Julian Cajiao"/>
    <s v="TECU3FNPRO"/>
    <x v="12"/>
    <n v="1"/>
    <x v="1"/>
    <x v="0"/>
    <x v="8"/>
    <x v="0"/>
    <s v="Coordinadora"/>
    <s v="3015893 -84151103439"/>
    <d v="2025-01-13T16:47:27"/>
    <d v="2025-01-14T11:27:21"/>
    <x v="0"/>
    <n v="0"/>
    <n v="1"/>
    <s v="Cumple"/>
    <n v="42921"/>
    <m/>
    <m/>
  </r>
  <r>
    <d v="2025-01-12T00:00:00"/>
    <x v="0"/>
    <n v="2394"/>
    <x v="0"/>
    <s v="Julian Cajiao"/>
    <s v="TECUTRN6C"/>
    <x v="20"/>
    <n v="1"/>
    <x v="2"/>
    <x v="0"/>
    <x v="8"/>
    <x v="0"/>
    <s v="Coordinadora"/>
    <s v="3015895 -84151103441"/>
    <d v="2025-01-13T16:48:27"/>
    <d v="2025-01-14T11:27:21"/>
    <x v="0"/>
    <n v="0"/>
    <n v="1"/>
    <s v="Cumple"/>
    <n v="24093"/>
    <m/>
    <m/>
  </r>
  <r>
    <d v="2025-01-12T00:00:00"/>
    <x v="0"/>
    <n v="2394"/>
    <x v="0"/>
    <s v="Julian Cajiao"/>
    <m/>
    <x v="10"/>
    <n v="1"/>
    <x v="3"/>
    <x v="0"/>
    <x v="8"/>
    <x v="1"/>
    <s v="Coordinadora"/>
    <s v="NA"/>
    <s v="NA"/>
    <s v="NA"/>
    <x v="0"/>
    <s v="PTE"/>
    <e v="#VALUE!"/>
    <e v="#VALUE!"/>
    <n v="0"/>
    <m/>
    <m/>
  </r>
  <r>
    <d v="2025-01-13T00:00:00"/>
    <x v="0"/>
    <n v="2395"/>
    <x v="0"/>
    <s v="Lucas Latorre"/>
    <s v="TECU3FNPRO"/>
    <x v="12"/>
    <n v="1"/>
    <x v="1"/>
    <x v="5"/>
    <x v="9"/>
    <x v="0"/>
    <s v="Coordinadora"/>
    <s v="3017031 -84151104118"/>
    <d v="2025-01-13T16:47:27"/>
    <d v="2025-01-15T17:17:03"/>
    <x v="0"/>
    <n v="0"/>
    <n v="2"/>
    <s v="Cumple"/>
    <n v="56077"/>
    <m/>
    <m/>
  </r>
  <r>
    <d v="2025-01-13T00:00:00"/>
    <x v="0"/>
    <n v="2395"/>
    <x v="0"/>
    <s v="Lucas Latorre"/>
    <s v="TECUTFE8C"/>
    <x v="21"/>
    <n v="1"/>
    <x v="2"/>
    <x v="5"/>
    <x v="9"/>
    <x v="0"/>
    <s v="Coordinadora"/>
    <s v="3017033 -84151104119"/>
    <d v="2025-01-13T16:48:27"/>
    <d v="2025-01-15T17:17:03"/>
    <x v="0"/>
    <n v="0"/>
    <n v="2"/>
    <s v="Cumple"/>
    <n v="38589"/>
    <m/>
    <m/>
  </r>
  <r>
    <d v="2025-01-13T00:00:00"/>
    <x v="0"/>
    <n v="2396"/>
    <x v="0"/>
    <s v="FELIPE CASTAÑO"/>
    <s v="TECU3FNPRO"/>
    <x v="12"/>
    <n v="1"/>
    <x v="1"/>
    <x v="0"/>
    <x v="5"/>
    <x v="0"/>
    <s v="Coordinadora"/>
    <s v="3018831 -84151104925"/>
    <d v="2025-01-14T15:58:05"/>
    <d v="2025-01-15T10:33:56"/>
    <x v="0"/>
    <n v="1"/>
    <n v="2"/>
    <s v="Cumple"/>
    <n v="42921"/>
    <m/>
    <m/>
  </r>
  <r>
    <d v="2025-01-13T00:00:00"/>
    <x v="0"/>
    <n v="2396"/>
    <x v="0"/>
    <s v="FELIPE CASTAÑO"/>
    <s v="TECUTCO6C"/>
    <x v="16"/>
    <n v="1"/>
    <x v="2"/>
    <x v="0"/>
    <x v="5"/>
    <x v="0"/>
    <s v="Coordinadora"/>
    <s v="3018833 -84151104926"/>
    <d v="2025-01-14T15:58:05"/>
    <d v="2025-01-15T10:33:56"/>
    <x v="0"/>
    <n v="1"/>
    <n v="2"/>
    <s v="Cumple"/>
    <n v="24093"/>
    <m/>
    <m/>
  </r>
  <r>
    <d v="2025-01-13T00:00:00"/>
    <x v="0"/>
    <n v="2396"/>
    <x v="0"/>
    <s v="FELIPE CASTAÑO"/>
    <s v="TECUDSN"/>
    <x v="13"/>
    <n v="1"/>
    <x v="4"/>
    <x v="0"/>
    <x v="5"/>
    <x v="0"/>
    <s v="Coordinadora"/>
    <s v="3018855 -84151104940"/>
    <d v="2025-01-14T15:58:05"/>
    <d v="2025-01-15T10:33:56"/>
    <x v="0"/>
    <n v="1"/>
    <n v="2"/>
    <s v="Cumple"/>
    <n v="26609"/>
    <m/>
    <m/>
  </r>
  <r>
    <d v="2025-01-13T00:00:00"/>
    <x v="0"/>
    <n v="2396"/>
    <x v="0"/>
    <s v="FELIPE CASTAÑO"/>
    <m/>
    <x v="10"/>
    <n v="1"/>
    <x v="3"/>
    <x v="0"/>
    <x v="5"/>
    <x v="1"/>
    <s v="Coordinadora"/>
    <s v="NA"/>
    <s v="NA"/>
    <s v="NA"/>
    <x v="0"/>
    <s v="PTE"/>
    <e v="#VALUE!"/>
    <e v="#VALUE!"/>
    <n v="0"/>
    <m/>
    <m/>
  </r>
  <r>
    <d v="2025-01-14T00:00:00"/>
    <x v="0"/>
    <n v="2397"/>
    <x v="0"/>
    <s v="Andres Felipe Parra Rojas"/>
    <s v="TECU2FNG"/>
    <x v="5"/>
    <n v="1"/>
    <x v="1"/>
    <x v="1"/>
    <x v="1"/>
    <x v="0"/>
    <s v="Coordinadora"/>
    <s v="3023657 -84151107102"/>
    <d v="2025-01-16T16:40:11"/>
    <d v="2025-01-17T16:21:03"/>
    <x v="0"/>
    <n v="2"/>
    <n v="3"/>
    <s v="Cumple"/>
    <n v="41593"/>
    <m/>
    <m/>
  </r>
  <r>
    <d v="2025-01-14T00:00:00"/>
    <x v="0"/>
    <n v="2397"/>
    <x v="0"/>
    <s v="Andres Felipe Parra Rojas"/>
    <s v="TECUTRN5C"/>
    <x v="22"/>
    <n v="1"/>
    <x v="2"/>
    <x v="1"/>
    <x v="1"/>
    <x v="0"/>
    <s v="Coordinadora"/>
    <s v="3023658 -84151107103"/>
    <d v="2025-01-16T16:41:19"/>
    <d v="2025-01-18T14:05:19"/>
    <x v="0"/>
    <n v="2"/>
    <n v="4"/>
    <s v="No cumple"/>
    <n v="24093"/>
    <m/>
    <m/>
  </r>
  <r>
    <d v="2025-01-16T00:00:00"/>
    <x v="0"/>
    <n v="2398"/>
    <x v="0"/>
    <s v="Juan David Martínez Gordillo"/>
    <s v="TECU2FNG"/>
    <x v="5"/>
    <n v="1"/>
    <x v="1"/>
    <x v="1"/>
    <x v="1"/>
    <x v="0"/>
    <s v="Coordinadora"/>
    <s v="3023776 -84151107161"/>
    <d v="2025-01-16T16:40:11"/>
    <d v="2025-01-18T13:27:15"/>
    <x v="0"/>
    <n v="0"/>
    <n v="2"/>
    <s v="Cumple"/>
    <n v="41593"/>
    <m/>
    <m/>
  </r>
  <r>
    <d v="2025-01-16T00:00:00"/>
    <x v="0"/>
    <n v="2398"/>
    <x v="0"/>
    <s v="Juan David Martínez Gordillo"/>
    <s v="TECUTCO3C"/>
    <x v="23"/>
    <n v="1"/>
    <x v="2"/>
    <x v="1"/>
    <x v="1"/>
    <x v="0"/>
    <s v="Coordinadora"/>
    <s v="3023777 -84151107162"/>
    <d v="2025-01-16T16:41:19"/>
    <d v="2025-01-20T14:33:10"/>
    <x v="0"/>
    <n v="0"/>
    <n v="3"/>
    <s v="Cumple"/>
    <n v="24093"/>
    <m/>
    <m/>
  </r>
  <r>
    <d v="2025-01-16T00:00:00"/>
    <x v="0"/>
    <n v="2399"/>
    <x v="0"/>
    <s v="Stefan de Brandt"/>
    <s v="TECU3FNPRO"/>
    <x v="12"/>
    <n v="1"/>
    <x v="1"/>
    <x v="0"/>
    <x v="5"/>
    <x v="0"/>
    <s v="Coordinadora"/>
    <s v="3023834 -84151107192"/>
    <d v="2025-01-16T16:40:11"/>
    <d v="2025-01-17T17:50:22"/>
    <x v="0"/>
    <n v="0"/>
    <n v="1"/>
    <s v="Cumple"/>
    <n v="42921"/>
    <m/>
    <m/>
  </r>
  <r>
    <d v="2025-01-16T00:00:00"/>
    <x v="0"/>
    <n v="2399"/>
    <x v="0"/>
    <s v="Stefan de Brandt"/>
    <s v="TECUTCO6M"/>
    <x v="24"/>
    <n v="1"/>
    <x v="2"/>
    <x v="0"/>
    <x v="5"/>
    <x v="0"/>
    <s v="Coordinadora"/>
    <s v="3023835 -84151107193"/>
    <d v="2025-01-16T16:41:19"/>
    <d v="2025-01-17T17:50:22"/>
    <x v="0"/>
    <n v="0"/>
    <n v="1"/>
    <s v="Cumple"/>
    <n v="24093"/>
    <m/>
    <m/>
  </r>
  <r>
    <d v="2025-01-16T00:00:00"/>
    <x v="0"/>
    <n v="2399"/>
    <x v="0"/>
    <s v="Stefan de Brandt"/>
    <m/>
    <x v="10"/>
    <n v="1"/>
    <x v="3"/>
    <x v="0"/>
    <x v="5"/>
    <x v="1"/>
    <s v="Coordinadora"/>
    <s v="NA"/>
    <s v="NA"/>
    <s v="NA"/>
    <x v="0"/>
    <s v="PTE"/>
    <e v="#VALUE!"/>
    <e v="#VALUE!"/>
    <n v="0"/>
    <m/>
    <m/>
  </r>
  <r>
    <d v="2025-01-16T00:00:00"/>
    <x v="0"/>
    <n v="2400"/>
    <x v="0"/>
    <s v="Julian Cujabante Villamil"/>
    <s v="TECUROD6"/>
    <x v="25"/>
    <n v="1"/>
    <x v="7"/>
    <x v="1"/>
    <x v="1"/>
    <x v="0"/>
    <s v="Coordinadora"/>
    <s v="3026040 -84151108154"/>
    <d v="2025-01-17T15:07:22"/>
    <d v="2025-01-20T12:41:03"/>
    <x v="0"/>
    <n v="1"/>
    <n v="3"/>
    <s v="Cumple"/>
    <n v="23875"/>
    <m/>
    <m/>
  </r>
  <r>
    <d v="2025-01-16T00:00:00"/>
    <x v="0"/>
    <n v="2400"/>
    <x v="0"/>
    <s v="Julian Cujabante Villamil"/>
    <s v="TECUBDPA"/>
    <x v="1"/>
    <n v="1"/>
    <x v="0"/>
    <x v="1"/>
    <x v="1"/>
    <x v="0"/>
    <s v="Coordinadora"/>
    <s v="3026035 -84151108151"/>
    <d v="2025-01-17T15:07:22"/>
    <d v="2025-01-20T12:41:03"/>
    <x v="0"/>
    <n v="1"/>
    <n v="3"/>
    <s v="Cumple"/>
    <n v="16617"/>
    <m/>
    <m/>
  </r>
  <r>
    <d v="2025-01-16T00:00:00"/>
    <x v="0"/>
    <n v="2400"/>
    <x v="0"/>
    <s v="Julian Cujabante Villamil"/>
    <s v="TECURN"/>
    <x v="18"/>
    <n v="1"/>
    <x v="6"/>
    <x v="1"/>
    <x v="1"/>
    <x v="0"/>
    <s v="Coordinadora"/>
    <s v="3026126 -84151108195"/>
    <d v="2025-01-17T15:07:22"/>
    <d v="2025-01-20T12:41:03"/>
    <x v="0"/>
    <n v="1"/>
    <n v="3"/>
    <s v="Cumple"/>
    <n v="23429"/>
    <m/>
    <m/>
  </r>
  <r>
    <d v="2025-01-16T00:00:00"/>
    <x v="0"/>
    <n v="2400"/>
    <x v="0"/>
    <s v="Julian Cujabante Villamil"/>
    <m/>
    <x v="10"/>
    <n v="1"/>
    <x v="3"/>
    <x v="1"/>
    <x v="1"/>
    <x v="1"/>
    <s v="Coordinadora"/>
    <s v="NA"/>
    <d v="2025-01-21T00:00:00"/>
    <d v="2025-01-21T00:00:00"/>
    <x v="0"/>
    <s v="PTE"/>
    <n v="4"/>
    <s v="No cumple"/>
    <n v="0"/>
    <m/>
    <m/>
  </r>
  <r>
    <d v="2025-01-16T00:00:00"/>
    <x v="0"/>
    <n v="2401"/>
    <x v="0"/>
    <s v="Julian Cujabante Villamil"/>
    <s v="TECUAN"/>
    <x v="26"/>
    <n v="1"/>
    <x v="5"/>
    <x v="1"/>
    <x v="1"/>
    <x v="0"/>
    <s v="Envia"/>
    <s v="3026752 -954101129148"/>
    <d v="2025-01-17T15:51:00"/>
    <d v="2025-01-18T11:58:00"/>
    <x v="0"/>
    <n v="1"/>
    <n v="2"/>
    <s v="Cumple"/>
    <n v="70717"/>
    <m/>
    <m/>
  </r>
  <r>
    <d v="2025-01-17T00:00:00"/>
    <x v="0"/>
    <n v="2402"/>
    <x v="0"/>
    <s v="Catalina Alvarado"/>
    <s v="TECU2FNG"/>
    <x v="5"/>
    <n v="1"/>
    <x v="1"/>
    <x v="1"/>
    <x v="1"/>
    <x v="0"/>
    <s v="Coordinadora"/>
    <s v="3026634 -84151108514"/>
    <d v="2025-01-17T15:07:22"/>
    <d v="2025-01-20T11:09:20"/>
    <x v="0"/>
    <n v="0"/>
    <n v="2"/>
    <s v="Cumple"/>
    <n v="41593"/>
    <m/>
    <m/>
  </r>
  <r>
    <d v="2025-01-17T00:00:00"/>
    <x v="0"/>
    <n v="2402"/>
    <x v="0"/>
    <s v="Catalina Alvarado"/>
    <s v="TECUTFE2C"/>
    <x v="3"/>
    <n v="1"/>
    <x v="2"/>
    <x v="1"/>
    <x v="1"/>
    <x v="0"/>
    <s v="Coordinadora"/>
    <s v="3026635 -84151108515"/>
    <d v="2025-01-17T15:07:22"/>
    <d v="2025-01-20T11:07:59"/>
    <x v="0"/>
    <n v="0"/>
    <n v="2"/>
    <s v="Cumple"/>
    <n v="24093"/>
    <m/>
    <m/>
  </r>
  <r>
    <d v="2025-01-17T00:00:00"/>
    <x v="0"/>
    <n v="2403"/>
    <x v="0"/>
    <s v="Alexandra Martínez Ruiz"/>
    <s v="TECU3FNPRO"/>
    <x v="12"/>
    <n v="1"/>
    <x v="1"/>
    <x v="1"/>
    <x v="1"/>
    <x v="0"/>
    <s v="Coordinadora"/>
    <s v="3030945 -84151109872"/>
    <d v="2025-01-20T16:52:51"/>
    <d v="2025-01-22T00:00:00"/>
    <x v="0"/>
    <n v="2"/>
    <n v="4"/>
    <s v="No cumple"/>
    <n v="42921"/>
    <m/>
    <m/>
  </r>
  <r>
    <d v="2025-01-17T00:00:00"/>
    <x v="0"/>
    <n v="2403"/>
    <x v="0"/>
    <s v="Alexandra Martínez Ruiz"/>
    <s v="TECUTFE2C"/>
    <x v="3"/>
    <n v="1"/>
    <x v="2"/>
    <x v="1"/>
    <x v="1"/>
    <x v="0"/>
    <s v="Coordinadora"/>
    <s v="3030946 -84151109873"/>
    <d v="2025-01-20T16:52:51"/>
    <d v="2025-01-21T15:36:08"/>
    <x v="0"/>
    <n v="2"/>
    <n v="3"/>
    <s v="Cumple"/>
    <n v="28741"/>
    <m/>
    <m/>
  </r>
  <r>
    <d v="2025-01-17T00:00:00"/>
    <x v="0"/>
    <n v="2403"/>
    <x v="0"/>
    <s v="Alexandra Martínez Ruiz"/>
    <m/>
    <x v="10"/>
    <n v="1"/>
    <x v="3"/>
    <x v="1"/>
    <x v="1"/>
    <x v="1"/>
    <s v="Coordinadora"/>
    <s v="NA"/>
    <d v="2025-01-23T00:00:00"/>
    <s v="NA"/>
    <x v="0"/>
    <s v="PTE"/>
    <e v="#VALUE!"/>
    <e v="#VALUE!"/>
    <n v="0"/>
    <m/>
    <m/>
  </r>
  <r>
    <d v="2025-01-18T00:00:00"/>
    <x v="0"/>
    <n v="2404"/>
    <x v="0"/>
    <s v="Juan Camilo Acosta Escobar"/>
    <s v="TECU3FNPRO"/>
    <x v="12"/>
    <n v="1"/>
    <x v="1"/>
    <x v="0"/>
    <x v="10"/>
    <x v="0"/>
    <s v="Coordinadora"/>
    <s v="3030968 -84151109880"/>
    <d v="2025-01-20T16:52:51"/>
    <d v="2025-01-22T14:11:06"/>
    <x v="0"/>
    <n v="1"/>
    <n v="3"/>
    <s v="Cumple"/>
    <n v="42921"/>
    <m/>
    <m/>
  </r>
  <r>
    <d v="2025-01-18T00:00:00"/>
    <x v="0"/>
    <n v="2404"/>
    <x v="0"/>
    <s v="Juan Camilo Acosta Escobar"/>
    <s v="TECUTRM5C"/>
    <x v="27"/>
    <n v="1"/>
    <x v="2"/>
    <x v="0"/>
    <x v="10"/>
    <x v="0"/>
    <s v="Coordinadora"/>
    <s v="3030970 -84151109882"/>
    <d v="2025-01-20T16:52:51"/>
    <d v="2025-01-22T14:11:06"/>
    <x v="0"/>
    <n v="1"/>
    <n v="3"/>
    <s v="Cumple"/>
    <n v="24593"/>
    <m/>
    <m/>
  </r>
  <r>
    <d v="2025-01-18T00:00:00"/>
    <x v="0"/>
    <n v="2404"/>
    <x v="0"/>
    <s v="Juan Camilo Acosta Escobar"/>
    <s v="TECUCT"/>
    <x v="4"/>
    <n v="1"/>
    <x v="0"/>
    <x v="0"/>
    <x v="10"/>
    <x v="0"/>
    <s v="Coordinadora"/>
    <s v="3031428 -84151110138"/>
    <d v="2025-01-20T16:52:51"/>
    <d v="2025-01-22T14:11:06"/>
    <x v="0"/>
    <n v="1"/>
    <n v="3"/>
    <s v="Cumple"/>
    <n v="24885"/>
    <m/>
    <m/>
  </r>
  <r>
    <d v="2025-01-18T00:00:00"/>
    <x v="0"/>
    <n v="2405"/>
    <x v="0"/>
    <s v="Stefan de Brandt"/>
    <s v="TECUCT"/>
    <x v="4"/>
    <n v="1"/>
    <x v="0"/>
    <x v="0"/>
    <x v="5"/>
    <x v="0"/>
    <s v="Coordinadora"/>
    <s v="3031190 -84151110013"/>
    <d v="2025-01-20T16:52:51"/>
    <d v="2025-01-21T13:04:29"/>
    <x v="0"/>
    <n v="1"/>
    <n v="2"/>
    <s v="Cumple"/>
    <n v="24885"/>
    <m/>
    <m/>
  </r>
  <r>
    <d v="2025-01-20T00:00:00"/>
    <x v="0"/>
    <n v="2406"/>
    <x v="0"/>
    <s v="MARIA RODRIGUEZ"/>
    <s v="TECU2FBGO"/>
    <x v="2"/>
    <n v="1"/>
    <x v="1"/>
    <x v="6"/>
    <x v="11"/>
    <x v="0"/>
    <s v="Coordinadora"/>
    <s v="3034128 -84151111334"/>
    <d v="2025-01-21T17:11:07"/>
    <d v="2025-01-22T00:00:00"/>
    <x v="0"/>
    <n v="1"/>
    <n v="2"/>
    <e v="#N/A"/>
    <n v="41593"/>
    <m/>
    <m/>
  </r>
  <r>
    <d v="2025-01-20T00:00:00"/>
    <x v="0"/>
    <n v="2406"/>
    <x v="0"/>
    <s v="MARIA RODRIGUEZ"/>
    <s v="TECUTFE6C"/>
    <x v="28"/>
    <n v="1"/>
    <x v="2"/>
    <x v="6"/>
    <x v="11"/>
    <x v="0"/>
    <s v="Coordinadora"/>
    <s v="3034129 -84151111335"/>
    <d v="2025-01-21T17:11:07"/>
    <d v="2025-01-22T00:00:00"/>
    <x v="0"/>
    <n v="1"/>
    <n v="2"/>
    <e v="#N/A"/>
    <n v="24093"/>
    <m/>
    <m/>
  </r>
  <r>
    <d v="2025-01-21T00:00:00"/>
    <x v="0"/>
    <n v="2407"/>
    <x v="0"/>
    <s v="Juan Camilo Restrepo"/>
    <s v="TECU2FNG"/>
    <x v="5"/>
    <n v="1"/>
    <x v="1"/>
    <x v="1"/>
    <x v="1"/>
    <x v="0"/>
    <s v="Coordinadora"/>
    <s v="3034103 -84151111318"/>
    <d v="2025-01-21T17:11:07"/>
    <d v="2025-01-22T00:00:00"/>
    <x v="0"/>
    <n v="0"/>
    <n v="1"/>
    <s v="Cumple"/>
    <n v="41593"/>
    <m/>
    <m/>
  </r>
  <r>
    <d v="2025-01-21T00:00:00"/>
    <x v="0"/>
    <n v="2407"/>
    <x v="0"/>
    <s v="Juan Camilo Restrepo"/>
    <s v="TECUTFE5C"/>
    <x v="29"/>
    <n v="1"/>
    <x v="2"/>
    <x v="1"/>
    <x v="1"/>
    <x v="0"/>
    <s v="Coordinadora"/>
    <s v="3034104 -84151111319"/>
    <d v="2025-01-21T17:11:07"/>
    <d v="2025-01-23T00:00:00"/>
    <x v="0"/>
    <n v="0"/>
    <n v="2"/>
    <s v="Cumple"/>
    <n v="24093"/>
    <m/>
    <m/>
  </r>
  <r>
    <d v="2025-01-21T00:00:00"/>
    <x v="0"/>
    <n v="2407"/>
    <x v="0"/>
    <s v="Juan Camilo Restrepo"/>
    <s v="TECUCT"/>
    <x v="4"/>
    <n v="1"/>
    <x v="0"/>
    <x v="1"/>
    <x v="1"/>
    <x v="0"/>
    <s v="Coordinadora"/>
    <s v="3034115 -84151111325"/>
    <d v="2025-01-21T17:11:07"/>
    <d v="2025-01-22T00:00:00"/>
    <x v="0"/>
    <n v="0"/>
    <n v="1"/>
    <s v="Cumple"/>
    <n v="24885"/>
    <m/>
    <m/>
  </r>
  <r>
    <d v="2025-01-21T00:00:00"/>
    <x v="0"/>
    <n v="2408"/>
    <x v="0"/>
    <s v="Andres Mape"/>
    <s v="TECU3FNPRO"/>
    <x v="12"/>
    <n v="1"/>
    <x v="1"/>
    <x v="1"/>
    <x v="1"/>
    <x v="0"/>
    <s v="Coordinadora"/>
    <s v="3034145 -84151111349"/>
    <d v="2025-01-21T17:11:07"/>
    <d v="2025-01-22T00:00:00"/>
    <x v="0"/>
    <n v="0"/>
    <n v="1"/>
    <s v="Cumple"/>
    <n v="42921"/>
    <m/>
    <m/>
  </r>
  <r>
    <d v="2025-01-21T00:00:00"/>
    <x v="0"/>
    <n v="2408"/>
    <x v="0"/>
    <s v="Andres Mape"/>
    <s v="TECUTCO8C"/>
    <x v="19"/>
    <n v="1"/>
    <x v="2"/>
    <x v="1"/>
    <x v="1"/>
    <x v="0"/>
    <s v="Coordinadora"/>
    <s v="3034147 -84151111351"/>
    <d v="2025-01-21T17:11:07"/>
    <d v="2025-01-22T00:00:00"/>
    <x v="0"/>
    <n v="0"/>
    <n v="1"/>
    <s v="Cumple"/>
    <n v="26749"/>
    <m/>
    <m/>
  </r>
  <r>
    <d v="2025-01-21T00:00:00"/>
    <x v="0"/>
    <n v="2408"/>
    <x v="0"/>
    <s v="Andres Mape"/>
    <m/>
    <x v="10"/>
    <n v="1"/>
    <x v="3"/>
    <x v="1"/>
    <x v="1"/>
    <x v="1"/>
    <s v="Coordinadora"/>
    <s v="NA"/>
    <s v="NA"/>
    <s v="NA"/>
    <x v="0"/>
    <s v="PTE"/>
    <e v="#VALUE!"/>
    <e v="#VALUE!"/>
    <n v="0"/>
    <m/>
    <m/>
  </r>
  <r>
    <d v="2025-01-21T00:00:00"/>
    <x v="0"/>
    <n v="2409"/>
    <x v="0"/>
    <s v="Rainer Villarreal"/>
    <s v="TECURCO"/>
    <x v="30"/>
    <n v="1"/>
    <x v="6"/>
    <x v="7"/>
    <x v="12"/>
    <x v="0"/>
    <s v="Coordinadora"/>
    <s v="3034185 -84151111369"/>
    <d v="2025-01-21T17:11:07"/>
    <d v="2025-01-22T00:00:00"/>
    <x v="0"/>
    <n v="0"/>
    <n v="1"/>
    <e v="#N/A"/>
    <n v="47133"/>
    <m/>
    <m/>
  </r>
  <r>
    <d v="2025-01-21T00:00:00"/>
    <x v="0"/>
    <n v="2410"/>
    <x v="0"/>
    <s v="German Uchamocha Euscategui"/>
    <s v="TECU2FNG"/>
    <x v="5"/>
    <n v="1"/>
    <x v="1"/>
    <x v="4"/>
    <x v="13"/>
    <x v="0"/>
    <s v="Coordinadora"/>
    <s v="3034194 -84151111375"/>
    <d v="2025-01-21T17:11:07"/>
    <d v="2025-01-23T00:00:00"/>
    <x v="0"/>
    <n v="0"/>
    <n v="2"/>
    <e v="#N/A"/>
    <n v="59835"/>
    <m/>
    <m/>
  </r>
  <r>
    <d v="2025-01-21T00:00:00"/>
    <x v="0"/>
    <n v="2410"/>
    <x v="0"/>
    <s v="German Uchamocha Euscategui"/>
    <s v="TECUTFE5C"/>
    <x v="29"/>
    <n v="1"/>
    <x v="2"/>
    <x v="4"/>
    <x v="13"/>
    <x v="0"/>
    <s v="Coordinadora"/>
    <s v="3034195 -84151111376"/>
    <d v="2025-01-21T17:11:07"/>
    <d v="2025-01-23T00:00:00"/>
    <x v="0"/>
    <n v="0"/>
    <n v="2"/>
    <e v="#N/A"/>
    <n v="39078"/>
    <m/>
    <m/>
  </r>
  <r>
    <d v="2025-01-21T00:00:00"/>
    <x v="0"/>
    <n v="2411"/>
    <x v="0"/>
    <s v="Juan David Lagos Rodriguez"/>
    <s v="TECU3FNPRO"/>
    <x v="12"/>
    <n v="1"/>
    <x v="1"/>
    <x v="1"/>
    <x v="1"/>
    <x v="0"/>
    <s v="Coordinadora"/>
    <s v="3034920 -84151111800"/>
    <d v="2025-01-21T17:11:07"/>
    <d v="2025-01-22T00:00:00"/>
    <x v="0"/>
    <n v="0"/>
    <n v="1"/>
    <s v="Cumple"/>
    <n v="42921"/>
    <m/>
    <m/>
  </r>
  <r>
    <d v="2025-01-21T00:00:00"/>
    <x v="0"/>
    <n v="2411"/>
    <x v="0"/>
    <s v="Juan David Lagos Rodriguez"/>
    <s v="TECUROD"/>
    <x v="31"/>
    <n v="1"/>
    <x v="7"/>
    <x v="1"/>
    <x v="1"/>
    <x v="0"/>
    <s v="Coordinadora"/>
    <s v="3034923 -84151111801"/>
    <d v="2025-01-21T17:11:07"/>
    <d v="2025-01-22T00:00:00"/>
    <x v="0"/>
    <n v="0"/>
    <n v="1"/>
    <s v="Cumple"/>
    <n v="23875"/>
    <m/>
    <m/>
  </r>
  <r>
    <d v="2025-01-21T00:00:00"/>
    <x v="0"/>
    <n v="2411"/>
    <x v="0"/>
    <s v="Juan David Lagos Rodriguez"/>
    <m/>
    <x v="10"/>
    <n v="1"/>
    <x v="3"/>
    <x v="1"/>
    <x v="1"/>
    <x v="1"/>
    <s v="Coordinadora"/>
    <s v="NA"/>
    <d v="2025-01-23T00:00:00"/>
    <s v="NA"/>
    <x v="0"/>
    <s v="PTE"/>
    <e v="#VALUE!"/>
    <e v="#VALUE!"/>
    <n v="0"/>
    <m/>
    <m/>
  </r>
  <r>
    <d v="2025-01-14T00:00:00"/>
    <x v="0"/>
    <n v="2388"/>
    <x v="1"/>
    <s v="CAROLINA RAMIREZ RESTREPO"/>
    <s v="TECU2FNG"/>
    <x v="5"/>
    <n v="1"/>
    <x v="1"/>
    <x v="0"/>
    <x v="6"/>
    <x v="0"/>
    <s v="Coordinadora"/>
    <s v="3019490 - 84151105323"/>
    <d v="2025-01-14T00:00:00"/>
    <d v="2025-01-16T00:00:00"/>
    <x v="0"/>
    <n v="0"/>
    <n v="2"/>
    <s v="Cumple"/>
    <n v="112444"/>
    <n v="47258"/>
    <m/>
  </r>
  <r>
    <d v="2025-01-14T00:00:00"/>
    <x v="0"/>
    <n v="2388"/>
    <x v="1"/>
    <s v="CAROLINA RAMIREZ RESTREPO"/>
    <s v="TECUTCO6C"/>
    <x v="16"/>
    <n v="1"/>
    <x v="2"/>
    <x v="0"/>
    <x v="6"/>
    <x v="0"/>
    <s v="Coordinadora"/>
    <s v="3019497 - 84151105325"/>
    <d v="2025-01-14T00:00:00"/>
    <d v="2025-01-16T00:00:00"/>
    <x v="0"/>
    <n v="0"/>
    <n v="2"/>
    <s v="Cumple"/>
    <n v="98264"/>
    <n v="29257"/>
    <m/>
  </r>
  <r>
    <d v="2025-01-13T00:00:00"/>
    <x v="0"/>
    <n v="2366"/>
    <x v="1"/>
    <s v="Steven Hoyos"/>
    <s v="TECUBLS"/>
    <x v="32"/>
    <n v="1"/>
    <x v="0"/>
    <x v="8"/>
    <x v="14"/>
    <x v="0"/>
    <s v="Coordinadora"/>
    <s v="3015860 - 84151103434"/>
    <d v="2025-01-13T00:00:00"/>
    <d v="2025-01-14T00:00:00"/>
    <x v="0"/>
    <n v="0"/>
    <n v="1"/>
    <s v="Cumple"/>
    <n v="25385"/>
    <m/>
    <m/>
  </r>
  <r>
    <d v="2025-01-15T00:00:00"/>
    <x v="0"/>
    <n v="2366"/>
    <x v="2"/>
    <s v="Steven Hoyos"/>
    <s v="TECUBDPA"/>
    <x v="1"/>
    <n v="1"/>
    <x v="0"/>
    <x v="8"/>
    <x v="14"/>
    <x v="0"/>
    <s v="Coordinadora"/>
    <s v="3023584 - 84151107068"/>
    <d v="2025-01-16T00:00:00"/>
    <d v="2025-01-18T00:00:00"/>
    <x v="0"/>
    <n v="1"/>
    <n v="3"/>
    <s v="Cumple"/>
    <n v="24855"/>
    <m/>
    <m/>
  </r>
  <r>
    <d v="2025-01-20T00:00:00"/>
    <x v="0"/>
    <n v="2398"/>
    <x v="1"/>
    <s v="Juan David Martínez Gordillo"/>
    <s v="TECUTCO3C"/>
    <x v="23"/>
    <n v="1"/>
    <x v="2"/>
    <x v="1"/>
    <x v="1"/>
    <x v="0"/>
    <s v="Coordinadora"/>
    <s v="3035292 - 84151112021"/>
    <d v="2025-01-21T00:00:00"/>
    <d v="2025-01-23T00:00:00"/>
    <x v="0"/>
    <n v="1"/>
    <n v="3"/>
    <s v="Cumple"/>
    <n v="27929"/>
    <m/>
    <m/>
  </r>
  <r>
    <d v="2025-01-23T00:00:00"/>
    <x v="0"/>
    <n v="2412"/>
    <x v="0"/>
    <s v="Juan David Lagos Rodriguez"/>
    <s v="TECUCT"/>
    <x v="4"/>
    <n v="1"/>
    <x v="0"/>
    <x v="1"/>
    <x v="1"/>
    <x v="0"/>
    <s v="Coordinadora"/>
    <s v="3038877 -84151113422"/>
    <d v="2025-01-23T00:00:00"/>
    <d v="2025-01-24T00:00:00"/>
    <x v="0"/>
    <n v="0"/>
    <n v="1"/>
    <s v="Cumple"/>
    <n v="24885"/>
    <m/>
    <m/>
  </r>
  <r>
    <d v="2025-01-24T00:00:00"/>
    <x v="0"/>
    <n v="2413"/>
    <x v="0"/>
    <s v="Jorge Luis Monroy Herrera"/>
    <s v="TECU3FNPRO"/>
    <x v="12"/>
    <n v="1"/>
    <x v="1"/>
    <x v="2"/>
    <x v="2"/>
    <x v="0"/>
    <s v="Coordinadora"/>
    <s v="3041057 -84151114405"/>
    <d v="2025-01-24T00:00:00"/>
    <d v="2025-01-27T00:00:00"/>
    <x v="0"/>
    <n v="0"/>
    <n v="2"/>
    <s v="Cumple"/>
    <n v="62467"/>
    <m/>
    <m/>
  </r>
  <r>
    <d v="2025-01-24T00:00:00"/>
    <x v="0"/>
    <n v="2413"/>
    <x v="0"/>
    <s v="Jorge Luis Monroy Herrera"/>
    <s v="TECUTFE8M"/>
    <x v="33"/>
    <n v="1"/>
    <x v="2"/>
    <x v="2"/>
    <x v="2"/>
    <x v="0"/>
    <s v="Coordinadora"/>
    <s v="3041058 -84151114407"/>
    <d v="2025-01-24T00:00:00"/>
    <d v="2025-01-27T00:00:00"/>
    <x v="0"/>
    <n v="0"/>
    <n v="2"/>
    <s v="Cumple"/>
    <n v="44340"/>
    <m/>
    <m/>
  </r>
  <r>
    <d v="2025-01-24T00:00:00"/>
    <x v="0"/>
    <n v="2414"/>
    <x v="0"/>
    <s v="Julio Castellanos"/>
    <s v="TECU3FBRO"/>
    <x v="34"/>
    <n v="1"/>
    <x v="1"/>
    <x v="1"/>
    <x v="1"/>
    <x v="0"/>
    <s v="Coordinadora"/>
    <s v="3041064 -84151114410"/>
    <d v="2025-01-24T00:00:00"/>
    <d v="2025-01-25T00:00:00"/>
    <x v="0"/>
    <n v="0"/>
    <n v="1"/>
    <s v="Cumple"/>
    <n v="42921"/>
    <m/>
    <m/>
  </r>
  <r>
    <d v="2025-01-24T00:00:00"/>
    <x v="0"/>
    <n v="2414"/>
    <x v="0"/>
    <s v="Julio Castellanos"/>
    <s v="TECUTFE7M"/>
    <x v="35"/>
    <n v="1"/>
    <x v="2"/>
    <x v="1"/>
    <x v="1"/>
    <x v="0"/>
    <s v="Coordinadora"/>
    <s v="3041066 -84151114411"/>
    <d v="2025-01-24T00:00:00"/>
    <d v="2025-01-27T00:00:00"/>
    <x v="0"/>
    <n v="0"/>
    <n v="2"/>
    <s v="Cumple"/>
    <n v="24093"/>
    <m/>
    <m/>
  </r>
  <r>
    <d v="2025-01-24T00:00:00"/>
    <x v="0"/>
    <n v="2414"/>
    <x v="0"/>
    <s v="Julio Castellanos"/>
    <m/>
    <x v="10"/>
    <n v="1"/>
    <x v="3"/>
    <x v="1"/>
    <x v="1"/>
    <x v="0"/>
    <s v="Coordinadora"/>
    <s v="NA"/>
    <s v="NA"/>
    <s v="NA"/>
    <x v="0"/>
    <e v="#VALUE!"/>
    <e v="#VALUE!"/>
    <e v="#VALUE!"/>
    <m/>
    <m/>
    <m/>
  </r>
  <r>
    <d v="2025-01-24T00:00:00"/>
    <x v="0"/>
    <n v="2415"/>
    <x v="0"/>
    <s v="Julio Castellanos"/>
    <s v="TECUBDPA"/>
    <x v="1"/>
    <n v="1"/>
    <x v="0"/>
    <x v="1"/>
    <x v="1"/>
    <x v="0"/>
    <s v="Coordinadora"/>
    <s v="3041074 -84151114418"/>
    <d v="2025-01-24T00:00:00"/>
    <d v="2025-01-25T00:00:00"/>
    <x v="0"/>
    <n v="0"/>
    <n v="1"/>
    <s v="Cumple"/>
    <n v="16617"/>
    <m/>
    <m/>
  </r>
  <r>
    <d v="2025-01-24T00:00:00"/>
    <x v="0"/>
    <n v="2416"/>
    <x v="0"/>
    <s v="Juan Pablo Romero Bernal"/>
    <s v="TECU2FNG"/>
    <x v="5"/>
    <n v="1"/>
    <x v="1"/>
    <x v="1"/>
    <x v="1"/>
    <x v="0"/>
    <s v="Coordinadora"/>
    <s v="3041082 -84151114424"/>
    <d v="2025-01-24T00:00:00"/>
    <d v="2025-01-28T00:00:00"/>
    <x v="0"/>
    <n v="0"/>
    <n v="3"/>
    <s v="Cumple"/>
    <n v="41593"/>
    <m/>
    <m/>
  </r>
  <r>
    <d v="2025-01-24T00:00:00"/>
    <x v="0"/>
    <n v="2416"/>
    <x v="0"/>
    <s v="Juan Pablo Romero Bernal"/>
    <s v="TECUTFE5C"/>
    <x v="29"/>
    <n v="1"/>
    <x v="2"/>
    <x v="1"/>
    <x v="1"/>
    <x v="0"/>
    <s v="Coordinadora"/>
    <s v="3041083 -84151114425"/>
    <d v="2025-01-24T00:00:00"/>
    <d v="2025-01-28T00:00:00"/>
    <x v="0"/>
    <n v="0"/>
    <n v="3"/>
    <s v="Cumple"/>
    <n v="24093"/>
    <m/>
    <m/>
  </r>
  <r>
    <d v="2025-01-24T00:00:00"/>
    <x v="0"/>
    <n v="2417"/>
    <x v="0"/>
    <s v="Rosemery Carrillo"/>
    <s v="TECU3FNPRO"/>
    <x v="12"/>
    <n v="1"/>
    <x v="1"/>
    <x v="1"/>
    <x v="1"/>
    <x v="0"/>
    <s v="Coordinadora"/>
    <s v="3041165 -84151114467"/>
    <d v="2025-01-24T00:00:00"/>
    <d v="2025-01-27T00:00:00"/>
    <x v="0"/>
    <n v="0"/>
    <n v="2"/>
    <s v="Cumple"/>
    <n v="42921"/>
    <m/>
    <m/>
  </r>
  <r>
    <d v="2025-01-24T00:00:00"/>
    <x v="0"/>
    <n v="2418"/>
    <x v="0"/>
    <s v="Angela Patricia Duque Gutierrez"/>
    <s v="TECU3FNPRO"/>
    <x v="12"/>
    <n v="1"/>
    <x v="1"/>
    <x v="9"/>
    <x v="15"/>
    <x v="0"/>
    <s v="Entrega directa"/>
    <s v="Entrega en la bodega a la cliente"/>
    <d v="2025-01-24T00:00:00"/>
    <d v="2025-01-24T00:00:00"/>
    <x v="0"/>
    <n v="0"/>
    <n v="0"/>
    <e v="#N/A"/>
    <n v="0"/>
    <m/>
    <m/>
  </r>
  <r>
    <d v="2025-01-24T00:00:00"/>
    <x v="0"/>
    <n v="2419"/>
    <x v="0"/>
    <s v="Ricardo Mesa Gallego"/>
    <s v="TECUCT"/>
    <x v="4"/>
    <n v="1"/>
    <x v="0"/>
    <x v="0"/>
    <x v="8"/>
    <x v="0"/>
    <s v="Coordinadora"/>
    <s v="3041884 - 84151114874"/>
    <d v="2025-01-24T00:00:00"/>
    <d v="2025-01-25T00:00:00"/>
    <x v="0"/>
    <n v="0"/>
    <n v="1"/>
    <s v="Cumple"/>
    <n v="24885"/>
    <m/>
    <m/>
  </r>
  <r>
    <d v="2025-01-27T00:00:00"/>
    <x v="0"/>
    <n v="2420"/>
    <x v="0"/>
    <s v="Cristian Laguado"/>
    <s v="TECU3FNPRO"/>
    <x v="12"/>
    <n v="1"/>
    <x v="1"/>
    <x v="1"/>
    <x v="1"/>
    <x v="0"/>
    <s v="Coordinadora"/>
    <s v="3053751 - 84151119935"/>
    <d v="2025-01-30T00:00:00"/>
    <d v="2025-02-01T00:00:00"/>
    <x v="0"/>
    <n v="3"/>
    <n v="5"/>
    <s v="No cumple"/>
    <n v="42921"/>
    <m/>
    <m/>
  </r>
  <r>
    <d v="2025-01-27T00:00:00"/>
    <x v="0"/>
    <n v="2420"/>
    <x v="0"/>
    <s v="Cristian Laguado"/>
    <s v="TECUTRM5C"/>
    <x v="27"/>
    <n v="1"/>
    <x v="2"/>
    <x v="1"/>
    <x v="1"/>
    <x v="0"/>
    <s v="Coordinadora"/>
    <s v="3053752 - 84151119936"/>
    <d v="2025-01-30T00:00:00"/>
    <d v="2025-02-04T00:00:00"/>
    <x v="0"/>
    <n v="3"/>
    <n v="7"/>
    <s v="No cumple"/>
    <n v="24593"/>
    <m/>
    <m/>
  </r>
  <r>
    <d v="2025-01-27T00:00:00"/>
    <x v="0"/>
    <n v="2421"/>
    <x v="0"/>
    <s v="Carlos Salazar"/>
    <s v="TECUROD"/>
    <x v="31"/>
    <n v="1"/>
    <x v="7"/>
    <x v="10"/>
    <x v="16"/>
    <x v="0"/>
    <s v="Coordinadora"/>
    <s v="3048222 - 84151117369"/>
    <d v="2025-01-28T00:00:00"/>
    <d v="2025-01-29T00:00:00"/>
    <x v="0"/>
    <n v="1"/>
    <n v="2"/>
    <s v="Cumple"/>
    <n v="23875"/>
    <m/>
    <m/>
  </r>
  <r>
    <d v="2025-01-27T00:00:00"/>
    <x v="0"/>
    <n v="2422"/>
    <x v="0"/>
    <s v="Juan Angulo"/>
    <s v="TECUCT"/>
    <x v="4"/>
    <n v="1"/>
    <x v="0"/>
    <x v="2"/>
    <x v="2"/>
    <x v="0"/>
    <s v="Coordinadora"/>
    <s v="3048263 - 84151117376"/>
    <d v="2025-01-28T00:00:00"/>
    <d v="2025-01-30T00:00:00"/>
    <x v="0"/>
    <n v="1"/>
    <n v="3"/>
    <s v="Cumple"/>
    <n v="24885"/>
    <m/>
    <m/>
  </r>
  <r>
    <d v="2025-01-28T00:00:00"/>
    <x v="0"/>
    <n v="2423"/>
    <x v="0"/>
    <s v="Octavio De La Hoz Franco"/>
    <s v="TECU3FBRO"/>
    <x v="34"/>
    <n v="1"/>
    <x v="1"/>
    <x v="2"/>
    <x v="2"/>
    <x v="0"/>
    <s v="Coordinadora"/>
    <s v="3049137 - 84151117798"/>
    <d v="2025-01-28T00:00:00"/>
    <d v="2025-02-01T00:00:00"/>
    <x v="0"/>
    <n v="0"/>
    <n v="4"/>
    <s v="Cumple"/>
    <n v="62647"/>
    <m/>
    <m/>
  </r>
  <r>
    <d v="2025-01-28T00:00:00"/>
    <x v="0"/>
    <n v="2423"/>
    <x v="0"/>
    <s v="Octavio De La Hoz Franco"/>
    <s v="TECUTB20C"/>
    <x v="36"/>
    <n v="1"/>
    <x v="2"/>
    <x v="2"/>
    <x v="2"/>
    <x v="0"/>
    <s v="Coordinadora"/>
    <s v="3049139 - 84151117799"/>
    <d v="2025-01-28T00:00:00"/>
    <d v="2025-02-01T00:00:00"/>
    <x v="0"/>
    <n v="0"/>
    <n v="4"/>
    <s v="Cumple"/>
    <n v="44340"/>
    <m/>
    <m/>
  </r>
  <r>
    <d v="2025-01-28T00:00:00"/>
    <x v="0"/>
    <n v="2424"/>
    <x v="0"/>
    <s v="CARLOS ARTURO REYES ESCOBAR"/>
    <s v="TECU3FNPRO"/>
    <x v="12"/>
    <n v="1"/>
    <x v="1"/>
    <x v="6"/>
    <x v="17"/>
    <x v="0"/>
    <s v="Coordinadora"/>
    <s v="3050418 - 84151118335"/>
    <d v="2025-01-29T00:00:00"/>
    <d v="2025-01-31T00:00:00"/>
    <x v="0"/>
    <n v="1"/>
    <n v="3"/>
    <s v="Cumple"/>
    <n v="42921"/>
    <m/>
    <m/>
  </r>
  <r>
    <d v="2025-01-28T00:00:00"/>
    <x v="0"/>
    <n v="2424"/>
    <x v="0"/>
    <s v="CARLOS ARTURO REYES ESCOBAR"/>
    <s v="TECUTCO2C"/>
    <x v="37"/>
    <n v="1"/>
    <x v="2"/>
    <x v="6"/>
    <x v="17"/>
    <x v="0"/>
    <s v="Coordinadora"/>
    <s v="3050419 - 84151118336"/>
    <d v="2025-01-29T00:00:00"/>
    <d v="2025-01-31T00:00:00"/>
    <x v="0"/>
    <n v="1"/>
    <n v="3"/>
    <s v="Cumple"/>
    <n v="28741"/>
    <m/>
    <m/>
  </r>
  <r>
    <d v="2025-01-29T00:00:00"/>
    <x v="0"/>
    <n v="2425"/>
    <x v="0"/>
    <s v="Manuel eduardo Valdez mantero"/>
    <s v="TECU3FBRO"/>
    <x v="34"/>
    <n v="1"/>
    <x v="1"/>
    <x v="1"/>
    <x v="1"/>
    <x v="0"/>
    <s v="Coordinadora"/>
    <s v="3050613 - 84151118456"/>
    <d v="2025-01-29T00:00:00"/>
    <d v="2025-01-31T00:00:00"/>
    <x v="0"/>
    <n v="0"/>
    <n v="2"/>
    <s v="Cumple"/>
    <n v="42921"/>
    <m/>
    <m/>
  </r>
  <r>
    <d v="2025-01-29T00:00:00"/>
    <x v="0"/>
    <n v="2425"/>
    <x v="0"/>
    <s v="Manuel eduardo Valdez mantero"/>
    <s v="TECUTB7C"/>
    <x v="38"/>
    <n v="1"/>
    <x v="2"/>
    <x v="1"/>
    <x v="1"/>
    <x v="0"/>
    <s v="Coordinadora"/>
    <s v="3050615 - 84151118457"/>
    <d v="2025-01-29T00:00:00"/>
    <d v="2025-01-31T00:00:00"/>
    <x v="0"/>
    <n v="0"/>
    <n v="2"/>
    <s v="Cumple"/>
    <n v="24093"/>
    <m/>
    <m/>
  </r>
  <r>
    <d v="2025-01-30T00:00:00"/>
    <x v="0"/>
    <n v="2426"/>
    <x v="0"/>
    <s v="Rodrigo Rivera"/>
    <s v="TECU3FNPRO"/>
    <x v="12"/>
    <n v="1"/>
    <x v="1"/>
    <x v="6"/>
    <x v="17"/>
    <x v="0"/>
    <s v="Coordinadora"/>
    <s v="3052581 - 84151119369"/>
    <d v="2025-01-30T00:00:00"/>
    <d v="2025-02-01T00:00:00"/>
    <x v="0"/>
    <n v="0"/>
    <n v="2"/>
    <s v="Cumple"/>
    <n v="42921"/>
    <m/>
    <m/>
  </r>
  <r>
    <d v="2025-01-30T00:00:00"/>
    <x v="0"/>
    <n v="2426"/>
    <x v="0"/>
    <s v="Rodrigo Rivera"/>
    <s v="TECUTCO8C"/>
    <x v="19"/>
    <n v="1"/>
    <x v="2"/>
    <x v="6"/>
    <x v="17"/>
    <x v="0"/>
    <s v="Coordinadora"/>
    <s v="3052583 - 84151119370"/>
    <d v="2025-01-30T00:00:00"/>
    <d v="2025-02-01T00:00:00"/>
    <x v="0"/>
    <n v="0"/>
    <n v="2"/>
    <s v="Cumple"/>
    <n v="26749"/>
    <m/>
    <m/>
  </r>
  <r>
    <d v="2025-01-30T00:00:00"/>
    <x v="0"/>
    <n v="2427"/>
    <x v="0"/>
    <s v="María Manuela Bueno Tavera"/>
    <s v="TECU3FBRO"/>
    <x v="34"/>
    <n v="1"/>
    <x v="1"/>
    <x v="1"/>
    <x v="1"/>
    <x v="0"/>
    <s v="Coordinadora"/>
    <s v="3053317 - 84151119704"/>
    <d v="2025-01-30T00:00:00"/>
    <d v="2025-01-31T00:00:00"/>
    <x v="0"/>
    <n v="0"/>
    <n v="1"/>
    <s v="Cumple"/>
    <n v="42921"/>
    <m/>
    <m/>
  </r>
  <r>
    <d v="2025-01-30T00:00:00"/>
    <x v="0"/>
    <n v="2427"/>
    <x v="0"/>
    <s v="María Manuela Bueno Tavera"/>
    <s v="TECUTFE3C"/>
    <x v="39"/>
    <n v="1"/>
    <x v="2"/>
    <x v="1"/>
    <x v="1"/>
    <x v="0"/>
    <s v="Coordinadora"/>
    <s v="3053318 - 84151119705"/>
    <d v="2025-01-30T00:00:00"/>
    <d v="2025-01-31T00:00:00"/>
    <x v="0"/>
    <n v="0"/>
    <n v="1"/>
    <s v="Cumple"/>
    <n v="28741"/>
    <m/>
    <m/>
  </r>
  <r>
    <d v="2025-01-30T00:00:00"/>
    <x v="0"/>
    <n v="2428"/>
    <x v="0"/>
    <s v="Nicolas Enciso Calle"/>
    <s v="TECU2FNG"/>
    <x v="5"/>
    <n v="1"/>
    <x v="1"/>
    <x v="0"/>
    <x v="8"/>
    <x v="0"/>
    <s v="Coordinadora"/>
    <s v="3053377 - 84151119723"/>
    <d v="2025-01-30T00:00:00"/>
    <d v="2025-01-31T00:00:00"/>
    <x v="0"/>
    <n v="0"/>
    <n v="1"/>
    <s v="Cumple"/>
    <n v="41593"/>
    <m/>
    <m/>
  </r>
  <r>
    <d v="2025-01-30T00:00:00"/>
    <x v="0"/>
    <n v="2428"/>
    <x v="0"/>
    <s v="Nicolas Enciso Calle"/>
    <s v="TECUTRN6C"/>
    <x v="20"/>
    <n v="1"/>
    <x v="2"/>
    <x v="0"/>
    <x v="8"/>
    <x v="0"/>
    <s v="Coordinadora"/>
    <s v="3053379 - 84151119725"/>
    <d v="2025-01-30T00:00:00"/>
    <d v="2025-01-31T00:00:00"/>
    <x v="0"/>
    <n v="0"/>
    <n v="1"/>
    <s v="Cumple"/>
    <n v="24093"/>
    <m/>
    <m/>
  </r>
  <r>
    <d v="2025-01-31T00:00:00"/>
    <x v="0"/>
    <n v="2429"/>
    <x v="0"/>
    <s v="Geovanny Mendoza Gonzalez"/>
    <s v="TECU3FNPRO"/>
    <x v="12"/>
    <n v="1"/>
    <x v="1"/>
    <x v="2"/>
    <x v="2"/>
    <x v="0"/>
    <s v="Coordinadora"/>
    <s v="3059087 - 84151121970"/>
    <d v="2025-02-03T00:00:00"/>
    <d v="2025-02-05T00:00:00"/>
    <x v="0"/>
    <n v="2"/>
    <n v="4"/>
    <s v="Cumple"/>
    <n v="62467"/>
    <m/>
    <m/>
  </r>
  <r>
    <d v="2025-01-31T00:00:00"/>
    <x v="0"/>
    <n v="2429"/>
    <x v="0"/>
    <s v="Geovanny Mendoza Gonzalez"/>
    <s v="TECUTCO5M"/>
    <x v="40"/>
    <n v="1"/>
    <x v="2"/>
    <x v="2"/>
    <x v="2"/>
    <x v="0"/>
    <s v="Coordinadora"/>
    <s v="3059089 - 84151121971"/>
    <d v="2025-02-03T00:00:00"/>
    <d v="2025-02-05T00:00:00"/>
    <x v="0"/>
    <n v="2"/>
    <n v="4"/>
    <s v="Cumple"/>
    <n v="39078"/>
    <m/>
    <m/>
  </r>
  <r>
    <d v="2025-01-31T00:00:00"/>
    <x v="0"/>
    <n v="2430"/>
    <x v="0"/>
    <s v="john ibanez"/>
    <s v="TECU3FNPRO"/>
    <x v="12"/>
    <n v="1"/>
    <x v="1"/>
    <x v="1"/>
    <x v="1"/>
    <x v="0"/>
    <s v="Coordinadora"/>
    <s v="3059099 - 84151121978"/>
    <d v="2025-02-03T00:00:00"/>
    <d v="2025-02-05T00:00:00"/>
    <x v="0"/>
    <n v="2"/>
    <n v="4"/>
    <s v="No cumple"/>
    <n v="42921"/>
    <m/>
    <m/>
  </r>
  <r>
    <d v="2025-01-31T00:00:00"/>
    <x v="0"/>
    <n v="2430"/>
    <x v="0"/>
    <s v="john ibanez"/>
    <s v="TECUTCO8C"/>
    <x v="19"/>
    <n v="1"/>
    <x v="2"/>
    <x v="1"/>
    <x v="1"/>
    <x v="0"/>
    <s v="Coordinadora"/>
    <s v="3059100 - 84151121979"/>
    <d v="2025-02-03T00:00:00"/>
    <d v="2025-02-05T00:00:00"/>
    <x v="0"/>
    <n v="2"/>
    <n v="4"/>
    <s v="No cumple"/>
    <n v="26749"/>
    <m/>
    <m/>
  </r>
  <r>
    <d v="2025-01-31T00:00:00"/>
    <x v="0"/>
    <n v="2430"/>
    <x v="0"/>
    <s v="john ibanez"/>
    <s v="TECUROD"/>
    <x v="31"/>
    <n v="1"/>
    <x v="7"/>
    <x v="1"/>
    <x v="1"/>
    <x v="0"/>
    <s v="Coordinadora"/>
    <s v="3059107 - 84151121983"/>
    <d v="2025-02-03T00:00:00"/>
    <d v="2025-02-05T00:00:00"/>
    <x v="0"/>
    <n v="2"/>
    <n v="4"/>
    <s v="No cumple"/>
    <n v="23875"/>
    <m/>
    <m/>
  </r>
  <r>
    <d v="2025-02-02T00:00:00"/>
    <x v="1"/>
    <n v="2431"/>
    <x v="0"/>
    <s v="Patricia Luna Pamplona"/>
    <s v="TECU3FBRO"/>
    <x v="34"/>
    <n v="1"/>
    <x v="1"/>
    <x v="1"/>
    <x v="1"/>
    <x v="0"/>
    <s v="Coordinadora"/>
    <s v="3059121 - 84151121990"/>
    <d v="2025-02-03T00:00:00"/>
    <d v="2025-02-07T00:00:00"/>
    <x v="0"/>
    <n v="0"/>
    <n v="4"/>
    <s v="No cumple"/>
    <n v="42921"/>
    <m/>
    <m/>
  </r>
  <r>
    <d v="2025-02-02T00:00:00"/>
    <x v="1"/>
    <n v="2431"/>
    <x v="0"/>
    <s v="Patricia Luna Pamplona"/>
    <s v="TECUTB5M"/>
    <x v="41"/>
    <n v="1"/>
    <x v="2"/>
    <x v="1"/>
    <x v="1"/>
    <x v="0"/>
    <s v="Coordinadora"/>
    <s v="3059122 - 84151121991"/>
    <d v="2025-02-03T00:00:00"/>
    <d v="2025-02-05T00:00:00"/>
    <x v="0"/>
    <n v="0"/>
    <n v="2"/>
    <s v="Cumple"/>
    <n v="24093"/>
    <m/>
    <m/>
  </r>
  <r>
    <d v="2025-02-02T00:00:00"/>
    <x v="1"/>
    <n v="2431"/>
    <x v="0"/>
    <s v="Patricia Luna Pamplona"/>
    <s v="TECUBDPM"/>
    <x v="0"/>
    <n v="1"/>
    <x v="0"/>
    <x v="1"/>
    <x v="1"/>
    <x v="0"/>
    <s v="Coordinadora"/>
    <s v="3059143 - 84151122002"/>
    <d v="2025-02-03T00:00:00"/>
    <d v="2025-02-05T00:00:00"/>
    <x v="0"/>
    <n v="0"/>
    <n v="2"/>
    <s v="Cumple"/>
    <n v="16617"/>
    <m/>
    <m/>
  </r>
  <r>
    <d v="2025-02-02T00:00:00"/>
    <x v="1"/>
    <n v="2432"/>
    <x v="0"/>
    <s v="Edgar Federico Rodríguez Aranda"/>
    <s v="TECURCC"/>
    <x v="42"/>
    <n v="1"/>
    <x v="6"/>
    <x v="1"/>
    <x v="1"/>
    <x v="0"/>
    <s v="Coordinadora"/>
    <s v="3059168 - 84151122021"/>
    <d v="2025-02-03T00:00:00"/>
    <d v="2025-02-06T00:00:00"/>
    <x v="0"/>
    <n v="0"/>
    <n v="3"/>
    <s v="Cumple"/>
    <n v="23429"/>
    <m/>
    <m/>
  </r>
  <r>
    <d v="2025-02-02T00:00:00"/>
    <x v="1"/>
    <n v="2433"/>
    <x v="0"/>
    <s v="Laura Yepes Aranda"/>
    <s v="TECU3FNPRO"/>
    <x v="12"/>
    <n v="1"/>
    <x v="1"/>
    <x v="0"/>
    <x v="8"/>
    <x v="0"/>
    <s v="Coordinadora"/>
    <s v="3064792 - 84151123684"/>
    <d v="2025-02-04T00:00:00"/>
    <d v="2025-02-05T00:00:00"/>
    <x v="0"/>
    <n v="1"/>
    <n v="2"/>
    <s v="Cumple"/>
    <n v="42921"/>
    <m/>
    <m/>
  </r>
  <r>
    <d v="2025-02-02T00:00:00"/>
    <x v="1"/>
    <n v="2433"/>
    <x v="0"/>
    <s v="Laura Yepes Aranda"/>
    <s v="TECUTFE7M"/>
    <x v="35"/>
    <n v="1"/>
    <x v="2"/>
    <x v="0"/>
    <x v="8"/>
    <x v="0"/>
    <s v="Coordinadora"/>
    <s v="3064793 - 84151123685"/>
    <d v="2025-02-04T00:00:00"/>
    <d v="2025-02-05T00:00:00"/>
    <x v="0"/>
    <n v="1"/>
    <n v="2"/>
    <s v="Cumple"/>
    <n v="24093"/>
    <m/>
    <m/>
  </r>
  <r>
    <d v="2025-02-02T00:00:00"/>
    <x v="1"/>
    <n v="2433"/>
    <x v="0"/>
    <s v="Laura Yepes Aranda"/>
    <s v="TECUAFE"/>
    <x v="43"/>
    <n v="1"/>
    <x v="5"/>
    <x v="0"/>
    <x v="8"/>
    <x v="0"/>
    <s v="Envia"/>
    <s v="3067195 - 954101143183"/>
    <d v="2025-02-04T00:00:00"/>
    <d v="2025-02-06T00:00:00"/>
    <x v="0"/>
    <n v="1"/>
    <n v="3"/>
    <s v="Cumple"/>
    <n v="65682"/>
    <m/>
    <m/>
  </r>
  <r>
    <d v="2025-02-02T00:00:00"/>
    <x v="1"/>
    <n v="2433"/>
    <x v="0"/>
    <s v="Laura Yepes Aranda"/>
    <s v="TECUBLS"/>
    <x v="32"/>
    <n v="1"/>
    <x v="0"/>
    <x v="0"/>
    <x v="8"/>
    <x v="0"/>
    <s v="Coordinadora"/>
    <s v="3064802 -84151123689"/>
    <d v="2025-02-04T00:00:00"/>
    <d v="2025-02-05T00:00:00"/>
    <x v="0"/>
    <n v="1"/>
    <n v="2"/>
    <s v="Cumple"/>
    <n v="24885"/>
    <m/>
    <m/>
  </r>
  <r>
    <d v="2025-02-03T00:00:00"/>
    <x v="1"/>
    <n v="2434"/>
    <x v="0"/>
    <s v="Darwin Saenz"/>
    <s v="TECUACO"/>
    <x v="15"/>
    <n v="1"/>
    <x v="5"/>
    <x v="1"/>
    <x v="1"/>
    <x v="0"/>
    <s v="Envia"/>
    <s v="3067483 - 954101143262"/>
    <d v="2025-02-04T00:00:00"/>
    <d v="2025-02-06T00:00:00"/>
    <x v="0"/>
    <n v="1"/>
    <n v="3"/>
    <s v="Cumple"/>
    <n v="54929"/>
    <m/>
    <m/>
  </r>
  <r>
    <d v="2025-02-03T00:00:00"/>
    <x v="1"/>
    <n v="2435"/>
    <x v="0"/>
    <s v="Andres Adolfo Hernandez Celis"/>
    <s v="TECU3FNPRO"/>
    <x v="12"/>
    <n v="1"/>
    <x v="1"/>
    <x v="1"/>
    <x v="1"/>
    <x v="0"/>
    <s v="Coordinadora"/>
    <s v="3064808 - 84151123691"/>
    <d v="2025-02-04T00:00:00"/>
    <d v="2025-02-06T00:00:00"/>
    <x v="0"/>
    <n v="1"/>
    <n v="3"/>
    <s v="Cumple"/>
    <n v="42921"/>
    <m/>
    <m/>
  </r>
  <r>
    <d v="2025-02-03T00:00:00"/>
    <x v="1"/>
    <n v="2435"/>
    <x v="0"/>
    <s v="Andres Adolfo Hernandez Celis"/>
    <s v="TECUTCO8C"/>
    <x v="19"/>
    <n v="1"/>
    <x v="2"/>
    <x v="1"/>
    <x v="1"/>
    <x v="0"/>
    <s v="Coordinadora"/>
    <s v="3064809 - 84151123692"/>
    <d v="2025-02-04T00:00:00"/>
    <d v="2025-02-06T00:00:00"/>
    <x v="0"/>
    <n v="1"/>
    <n v="3"/>
    <s v="Cumple"/>
    <n v="26749"/>
    <m/>
    <m/>
  </r>
  <r>
    <d v="2025-02-03T00:00:00"/>
    <x v="1"/>
    <n v="2435"/>
    <x v="0"/>
    <s v="Andres Adolfo Hernandez Celis"/>
    <m/>
    <x v="44"/>
    <n v="1"/>
    <x v="3"/>
    <x v="1"/>
    <x v="1"/>
    <x v="0"/>
    <s v="Coordinadora"/>
    <s v="NA"/>
    <s v="NA"/>
    <s v="NA"/>
    <x v="0"/>
    <e v="#VALUE!"/>
    <e v="#VALUE!"/>
    <e v="#VALUE!"/>
    <m/>
    <m/>
    <m/>
  </r>
  <r>
    <d v="2025-02-04T00:00:00"/>
    <x v="1"/>
    <n v="2436"/>
    <x v="0"/>
    <s v="Jorge Andrés Martin González"/>
    <s v="TECU3FNPRO"/>
    <x v="12"/>
    <n v="1"/>
    <x v="1"/>
    <x v="1"/>
    <x v="1"/>
    <x v="0"/>
    <s v="Coordinadora"/>
    <s v="3064827 - 84151123703"/>
    <d v="2025-02-04T00:00:00"/>
    <d v="2025-02-06T00:00:00"/>
    <x v="0"/>
    <n v="0"/>
    <n v="2"/>
    <s v="Cumple"/>
    <n v="42921"/>
    <m/>
    <m/>
  </r>
  <r>
    <d v="2025-02-10T00:00:00"/>
    <x v="1"/>
    <n v="2437"/>
    <x v="0"/>
    <s v="Luis Angel Hernandez Barreto"/>
    <s v="TECU3FNPRO"/>
    <x v="12"/>
    <n v="1"/>
    <x v="1"/>
    <x v="1"/>
    <x v="18"/>
    <x v="0"/>
    <s v="Coordinadora"/>
    <s v="3076529 - 84151128765"/>
    <d v="2025-02-10T00:00:00"/>
    <d v="2025-02-12T00:00:00"/>
    <x v="0"/>
    <n v="0"/>
    <n v="2"/>
    <e v="#N/A"/>
    <n v="42921"/>
    <m/>
    <m/>
  </r>
  <r>
    <d v="2025-02-10T00:00:00"/>
    <x v="1"/>
    <n v="2437"/>
    <x v="0"/>
    <s v="Luis Angel Hernandez Barreto"/>
    <s v="TECUTFE4C"/>
    <x v="14"/>
    <n v="1"/>
    <x v="2"/>
    <x v="1"/>
    <x v="18"/>
    <x v="0"/>
    <s v="Coordinadora"/>
    <s v="3076530 - 84151128766"/>
    <d v="2025-02-10T00:00:00"/>
    <d v="2025-02-12T00:00:00"/>
    <x v="0"/>
    <n v="0"/>
    <n v="2"/>
    <e v="#N/A"/>
    <n v="24093"/>
    <m/>
    <m/>
  </r>
  <r>
    <d v="2025-02-10T00:00:00"/>
    <x v="1"/>
    <n v="2438"/>
    <x v="0"/>
    <s v="Alejandro León Marín"/>
    <s v="TECU3FNPRO"/>
    <x v="12"/>
    <n v="1"/>
    <x v="1"/>
    <x v="1"/>
    <x v="1"/>
    <x v="0"/>
    <s v="Coordinadora"/>
    <s v="3076861 - 84151128959"/>
    <d v="2025-02-10T00:00:00"/>
    <d v="2025-02-12T00:00:00"/>
    <x v="0"/>
    <n v="0"/>
    <n v="2"/>
    <s v="Cumple"/>
    <n v="42921"/>
    <m/>
    <m/>
  </r>
  <r>
    <d v="2025-02-10T00:00:00"/>
    <x v="1"/>
    <n v="2438"/>
    <x v="0"/>
    <s v="Alejandro León Marín"/>
    <s v="TECUTCO6C"/>
    <x v="16"/>
    <n v="1"/>
    <x v="2"/>
    <x v="1"/>
    <x v="1"/>
    <x v="0"/>
    <s v="Coordinadora"/>
    <s v="3076862 - 84151128960"/>
    <d v="2025-02-10T00:00:00"/>
    <d v="2025-02-12T00:00:00"/>
    <x v="0"/>
    <n v="0"/>
    <n v="2"/>
    <s v="Cumple"/>
    <n v="24093"/>
    <m/>
    <m/>
  </r>
  <r>
    <d v="2025-02-10T00:00:00"/>
    <x v="1"/>
    <n v="2438"/>
    <x v="0"/>
    <s v="Alejandro León Marín"/>
    <s v="TECUBDPM"/>
    <x v="0"/>
    <n v="1"/>
    <x v="0"/>
    <x v="1"/>
    <x v="1"/>
    <x v="0"/>
    <s v="Coordinadora"/>
    <s v="3076871 - 84151128965"/>
    <d v="2025-02-10T00:00:00"/>
    <d v="2025-02-12T00:00:00"/>
    <x v="0"/>
    <n v="0"/>
    <n v="2"/>
    <s v="Cumple"/>
    <n v="16617"/>
    <m/>
    <m/>
  </r>
  <r>
    <d v="2025-02-10T00:00:00"/>
    <x v="1"/>
    <n v="2438"/>
    <x v="0"/>
    <s v="Alejandro León Marín"/>
    <s v="TECUCT"/>
    <x v="4"/>
    <n v="1"/>
    <x v="0"/>
    <x v="1"/>
    <x v="1"/>
    <x v="0"/>
    <s v="Coordinadora"/>
    <s v="3076866 - 84151128963"/>
    <d v="2025-02-10T00:00:00"/>
    <d v="2025-02-12T00:00:00"/>
    <x v="0"/>
    <n v="0"/>
    <n v="2"/>
    <s v="Cumple"/>
    <n v="24885"/>
    <m/>
    <m/>
  </r>
  <r>
    <d v="2025-02-10T00:00:00"/>
    <x v="1"/>
    <n v="2438"/>
    <x v="0"/>
    <s v="Alejandro León Marín"/>
    <m/>
    <x v="44"/>
    <n v="1"/>
    <x v="3"/>
    <x v="1"/>
    <x v="1"/>
    <x v="0"/>
    <s v="Coordinadora"/>
    <s v="NA"/>
    <s v="NA"/>
    <s v="NA"/>
    <x v="0"/>
    <m/>
    <m/>
    <m/>
    <m/>
    <m/>
    <m/>
  </r>
  <r>
    <d v="2025-02-11T00:00:00"/>
    <x v="1"/>
    <n v="2439"/>
    <x v="0"/>
    <s v="SARA GALLON"/>
    <s v="TECU3FNPRO"/>
    <x v="12"/>
    <n v="1"/>
    <x v="1"/>
    <x v="0"/>
    <x v="8"/>
    <x v="0"/>
    <s v="Coordinadora"/>
    <s v="3079084 - 84151129998"/>
    <d v="2025-02-11T00:00:00"/>
    <d v="2025-02-12T00:00:00"/>
    <x v="0"/>
    <n v="0"/>
    <n v="1"/>
    <s v="Cumple"/>
    <n v="42921"/>
    <m/>
    <m/>
  </r>
  <r>
    <d v="2025-02-11T00:00:00"/>
    <x v="1"/>
    <n v="2440"/>
    <x v="0"/>
    <s v="Johanna Rodero"/>
    <s v="TECUAB"/>
    <x v="45"/>
    <n v="1"/>
    <x v="5"/>
    <x v="1"/>
    <x v="1"/>
    <x v="0"/>
    <s v="Coordinadora"/>
    <s v="3079174 - 954101147482"/>
    <d v="2025-02-11T00:00:00"/>
    <d v="2025-02-12T00:00:00"/>
    <x v="0"/>
    <n v="0"/>
    <n v="1"/>
    <s v="Cumple"/>
    <n v="54929"/>
    <m/>
    <m/>
  </r>
  <r>
    <d v="2025-02-11T00:00:00"/>
    <x v="1"/>
    <n v="2441"/>
    <x v="0"/>
    <s v="Sebastian Casas"/>
    <s v="TECULFN2"/>
    <x v="7"/>
    <n v="1"/>
    <x v="1"/>
    <x v="1"/>
    <x v="1"/>
    <x v="0"/>
    <s v="Coordinadora"/>
    <s v="3079240 - 84151130081"/>
    <d v="2025-02-11T00:00:00"/>
    <d v="2025-02-12T00:00:00"/>
    <x v="0"/>
    <n v="0"/>
    <n v="1"/>
    <s v="Cumple"/>
    <n v="62530"/>
    <m/>
    <m/>
  </r>
  <r>
    <d v="2025-02-11T00:00:00"/>
    <x v="1"/>
    <n v="2441"/>
    <x v="0"/>
    <s v="Sebastian Casas"/>
    <s v="TECUTLCCS"/>
    <x v="46"/>
    <n v="1"/>
    <x v="2"/>
    <x v="1"/>
    <x v="1"/>
    <x v="0"/>
    <s v="Coordinadora"/>
    <s v="3079242 - 84151130082"/>
    <d v="2025-02-11T00:00:00"/>
    <d v="2025-02-12T00:00:00"/>
    <x v="0"/>
    <n v="0"/>
    <n v="1"/>
    <s v="Cumple"/>
    <n v="26749"/>
    <m/>
    <m/>
  </r>
  <r>
    <d v="2025-02-13T00:00:00"/>
    <x v="1"/>
    <n v="2442"/>
    <x v="0"/>
    <s v="Camilo Pimentel Gomez"/>
    <s v="TECU2FNG"/>
    <x v="5"/>
    <n v="1"/>
    <x v="1"/>
    <x v="1"/>
    <x v="1"/>
    <x v="0"/>
    <s v="Coordinadora"/>
    <s v="3084198 - 84151132452"/>
    <d v="2025-02-13T00:00:00"/>
    <d v="2025-02-15T00:00:00"/>
    <x v="0"/>
    <n v="0"/>
    <n v="2"/>
    <s v="Cumple"/>
    <n v="41593"/>
    <m/>
    <m/>
  </r>
  <r>
    <d v="2025-02-13T00:00:00"/>
    <x v="1"/>
    <n v="2442"/>
    <x v="0"/>
    <s v="Camilo Pimentel Gomez"/>
    <s v="TECUTCO2C"/>
    <x v="37"/>
    <n v="1"/>
    <x v="2"/>
    <x v="1"/>
    <x v="1"/>
    <x v="0"/>
    <s v="Coordinadora"/>
    <s v="3084199 - 84151132453"/>
    <d v="2025-02-13T00:00:00"/>
    <d v="2025-02-17T00:00:00"/>
    <x v="0"/>
    <n v="0"/>
    <n v="3"/>
    <s v="Cumple"/>
    <n v="24093"/>
    <m/>
    <m/>
  </r>
  <r>
    <d v="2025-02-14T00:00:00"/>
    <x v="1"/>
    <n v="2443"/>
    <x v="0"/>
    <s v="rodrigo rivera alarcon"/>
    <s v="TECU3FNPRO"/>
    <x v="12"/>
    <n v="1"/>
    <x v="1"/>
    <x v="6"/>
    <x v="17"/>
    <x v="0"/>
    <s v="Coordinadora"/>
    <s v="3085936 - 84151133206"/>
    <d v="2025-02-14T00:00:00"/>
    <d v="2025-02-15T00:00:00"/>
    <x v="0"/>
    <n v="0"/>
    <n v="1"/>
    <s v="Cumple"/>
    <n v="42921"/>
    <m/>
    <m/>
  </r>
  <r>
    <d v="2025-02-14T00:00:00"/>
    <x v="1"/>
    <n v="2443"/>
    <x v="0"/>
    <s v="rodrigo rivera alarcon"/>
    <s v="TECUTCO6C"/>
    <x v="16"/>
    <n v="1"/>
    <x v="2"/>
    <x v="6"/>
    <x v="17"/>
    <x v="0"/>
    <s v="Coordinadora"/>
    <s v="3085937 - 84151133207"/>
    <d v="2025-02-14T00:00:00"/>
    <d v="2025-02-15T00:00:00"/>
    <x v="0"/>
    <n v="0"/>
    <n v="1"/>
    <s v="Cumple"/>
    <n v="24093"/>
    <m/>
    <m/>
  </r>
  <r>
    <d v="2025-02-14T00:00:00"/>
    <x v="1"/>
    <n v="2444"/>
    <x v="0"/>
    <s v="Antonella Ramirez"/>
    <s v="TECU2FBGO"/>
    <x v="2"/>
    <n v="1"/>
    <x v="1"/>
    <x v="11"/>
    <x v="19"/>
    <x v="0"/>
    <s v="Coordinadora"/>
    <s v="3090347 - 84151134931"/>
    <d v="2025-02-17T00:00:00"/>
    <d v="2025-02-18T00:00:00"/>
    <x v="0"/>
    <n v="2"/>
    <n v="3"/>
    <s v="Cumple"/>
    <n v="34156"/>
    <m/>
    <m/>
  </r>
  <r>
    <d v="2025-02-14T00:00:00"/>
    <x v="1"/>
    <n v="2444"/>
    <x v="0"/>
    <s v="Antonella Ramirez"/>
    <s v="TECUTB3C"/>
    <x v="47"/>
    <n v="1"/>
    <x v="2"/>
    <x v="11"/>
    <x v="19"/>
    <x v="0"/>
    <s v="Coordinadora"/>
    <s v="3090348 - 84151134932"/>
    <d v="2025-02-17T00:00:00"/>
    <d v="2025-02-18T00:00:00"/>
    <x v="0"/>
    <n v="2"/>
    <n v="3"/>
    <s v="Cumple"/>
    <n v="15194"/>
    <m/>
    <m/>
  </r>
  <r>
    <d v="2025-02-17T00:00:00"/>
    <x v="1"/>
    <n v="2445"/>
    <x v="0"/>
    <s v="Andres Torres"/>
    <s v="TECUROD"/>
    <x v="31"/>
    <n v="2"/>
    <x v="7"/>
    <x v="1"/>
    <x v="1"/>
    <x v="0"/>
    <s v="Coordinadora"/>
    <s v="3090669 - 84151135081"/>
    <d v="2025-02-17T00:00:00"/>
    <d v="2025-02-18T00:00:00"/>
    <x v="0"/>
    <n v="0"/>
    <n v="1"/>
    <s v="Cumple"/>
    <n v="23875"/>
    <m/>
    <m/>
  </r>
  <r>
    <d v="2025-02-17T00:00:00"/>
    <x v="1"/>
    <n v="2446"/>
    <x v="0"/>
    <s v="Shorelight Education Colombia SAS"/>
    <s v="TECU2FNG"/>
    <x v="5"/>
    <n v="1"/>
    <x v="1"/>
    <x v="1"/>
    <x v="1"/>
    <x v="0"/>
    <s v="Coordinadora"/>
    <s v="3091001 - 84151135253"/>
    <d v="2025-02-17T00:00:00"/>
    <d v="2025-02-18T00:00:00"/>
    <x v="0"/>
    <n v="0"/>
    <n v="1"/>
    <s v="Cumple"/>
    <n v="41593"/>
    <m/>
    <m/>
  </r>
  <r>
    <d v="2025-02-17T00:00:00"/>
    <x v="1"/>
    <n v="2446"/>
    <x v="0"/>
    <s v="Shorelight Education Colombia SAS"/>
    <s v="TECUTCO3C"/>
    <x v="23"/>
    <n v="1"/>
    <x v="2"/>
    <x v="1"/>
    <x v="1"/>
    <x v="0"/>
    <s v="Coordinadora"/>
    <s v="3091002 - 84151135254"/>
    <d v="2025-02-17T00:00:00"/>
    <d v="2025-02-18T00:00:00"/>
    <x v="0"/>
    <n v="0"/>
    <n v="1"/>
    <s v="Cumple"/>
    <n v="24093"/>
    <m/>
    <m/>
  </r>
  <r>
    <d v="2025-02-17T00:00:00"/>
    <x v="1"/>
    <n v="2447"/>
    <x v="0"/>
    <s v="INMOTICA LTDA"/>
    <s v="TECU3FNPRO"/>
    <x v="12"/>
    <n v="1"/>
    <x v="1"/>
    <x v="1"/>
    <x v="1"/>
    <x v="0"/>
    <s v="Coordinadora"/>
    <s v="3093202 - 84151136273"/>
    <d v="2025-02-18T00:00:00"/>
    <d v="2025-02-19T00:00:00"/>
    <x v="0"/>
    <n v="1"/>
    <n v="2"/>
    <s v="Cumple"/>
    <n v="42921"/>
    <m/>
    <m/>
  </r>
  <r>
    <d v="2025-02-17T00:00:00"/>
    <x v="1"/>
    <n v="2447"/>
    <x v="0"/>
    <s v="INMOTICA LTDA"/>
    <s v="TECUTFE6M"/>
    <x v="48"/>
    <n v="1"/>
    <x v="2"/>
    <x v="1"/>
    <x v="1"/>
    <x v="0"/>
    <s v="Coordinadora"/>
    <s v="3093203 - 84151136274"/>
    <d v="2025-02-18T00:00:00"/>
    <d v="2025-02-20T00:00:00"/>
    <x v="0"/>
    <n v="1"/>
    <n v="3"/>
    <s v="Cumple"/>
    <n v="24093"/>
    <m/>
    <m/>
  </r>
  <r>
    <d v="2025-02-18T00:00:00"/>
    <x v="1"/>
    <n v="2448"/>
    <x v="0"/>
    <s v="Maria Bueno"/>
    <s v="TECU2FBGO"/>
    <x v="2"/>
    <n v="1"/>
    <x v="1"/>
    <x v="1"/>
    <x v="1"/>
    <x v="0"/>
    <s v="Coordinadora"/>
    <s v="3093212 - 84151136283"/>
    <d v="2025-02-18T00:00:00"/>
    <d v="2025-02-19T00:00:00"/>
    <x v="0"/>
    <n v="0"/>
    <n v="1"/>
    <s v="Cumple"/>
    <n v="41593"/>
    <m/>
    <m/>
  </r>
  <r>
    <d v="2025-02-18T00:00:00"/>
    <x v="1"/>
    <n v="2448"/>
    <x v="0"/>
    <s v="Maria Bueno"/>
    <s v="TECUTFE4C"/>
    <x v="14"/>
    <n v="1"/>
    <x v="2"/>
    <x v="1"/>
    <x v="1"/>
    <x v="0"/>
    <s v="Coordinadora"/>
    <s v="3093214 - 84151136284"/>
    <d v="2025-02-18T00:00:00"/>
    <d v="2025-02-20T00:00:00"/>
    <x v="0"/>
    <n v="0"/>
    <n v="2"/>
    <s v="Cumple"/>
    <n v="24093"/>
    <m/>
    <m/>
  </r>
  <r>
    <d v="2025-02-18T00:00:00"/>
    <x v="1"/>
    <n v="2448"/>
    <x v="0"/>
    <s v="Maria Bueno"/>
    <s v="TECUAFE"/>
    <x v="43"/>
    <n v="1"/>
    <x v="5"/>
    <x v="1"/>
    <x v="1"/>
    <x v="0"/>
    <s v="Envia"/>
    <s v="3093235 - 954101152921"/>
    <d v="2025-02-18T00:00:00"/>
    <d v="2025-02-19T00:00:00"/>
    <x v="0"/>
    <n v="0"/>
    <n v="1"/>
    <s v="Cumple"/>
    <n v="54929"/>
    <m/>
    <m/>
  </r>
  <r>
    <d v="2025-02-18T00:00:00"/>
    <x v="1"/>
    <n v="2448"/>
    <x v="0"/>
    <s v="Maria Bueno"/>
    <s v="TECUBDPM"/>
    <x v="0"/>
    <n v="1"/>
    <x v="0"/>
    <x v="1"/>
    <x v="1"/>
    <x v="0"/>
    <s v="Coordinadora"/>
    <s v="3093225 - 84151136289"/>
    <d v="2025-02-18T00:00:00"/>
    <d v="2025-02-19T00:00:00"/>
    <x v="0"/>
    <n v="0"/>
    <n v="1"/>
    <s v="Cumple"/>
    <n v="16617"/>
    <m/>
    <m/>
  </r>
  <r>
    <d v="2025-02-19T00:00:00"/>
    <x v="1"/>
    <n v="2449"/>
    <x v="0"/>
    <s v="Esteban de Bedout"/>
    <s v="TECUACO"/>
    <x v="15"/>
    <n v="1"/>
    <x v="5"/>
    <x v="1"/>
    <x v="1"/>
    <x v="0"/>
    <s v="Envia"/>
    <s v="3094269 - 954101153161"/>
    <d v="2025-02-18T00:00:00"/>
    <d v="2025-02-19T00:00:00"/>
    <x v="0"/>
    <n v="-3"/>
    <n v="0"/>
    <s v="Cumple"/>
    <n v="65682"/>
    <m/>
    <m/>
  </r>
  <r>
    <d v="2025-02-19T00:00:00"/>
    <x v="1"/>
    <n v="2450"/>
    <x v="0"/>
    <s v="Antonia Estrada"/>
    <s v="TECU2FNG"/>
    <x v="5"/>
    <n v="1"/>
    <x v="1"/>
    <x v="0"/>
    <x v="5"/>
    <x v="0"/>
    <s v="Coordinadora"/>
    <s v="3096424 - 84151137576"/>
    <d v="2025-02-18T00:00:00"/>
    <d v="2025-02-20T00:00:00"/>
    <x v="0"/>
    <n v="-3"/>
    <n v="1"/>
    <s v="Cumple"/>
    <n v="41593"/>
    <m/>
    <m/>
  </r>
  <r>
    <d v="2025-02-19T00:00:00"/>
    <x v="1"/>
    <n v="2450"/>
    <x v="0"/>
    <s v="Antonia Estrada"/>
    <s v="TECUTRN6C"/>
    <x v="20"/>
    <n v="1"/>
    <x v="2"/>
    <x v="0"/>
    <x v="5"/>
    <x v="0"/>
    <s v="Coordinadora"/>
    <s v="3096425 - 84151137577"/>
    <d v="2025-02-18T00:00:00"/>
    <d v="2025-02-20T00:00:00"/>
    <x v="0"/>
    <n v="-3"/>
    <n v="1"/>
    <s v="Cumple"/>
    <n v="24093"/>
    <m/>
    <m/>
  </r>
  <r>
    <d v="2025-02-19T00:00:00"/>
    <x v="1"/>
    <n v="2451"/>
    <x v="0"/>
    <s v="ZAFERI SAS"/>
    <s v="TECUACC"/>
    <x v="49"/>
    <n v="1"/>
    <x v="5"/>
    <x v="0"/>
    <x v="5"/>
    <x v="0"/>
    <s v="Envia"/>
    <s v="3097652 - 954101154334"/>
    <d v="2025-02-19T00:00:00"/>
    <d v="2025-02-20T00:00:00"/>
    <x v="0"/>
    <n v="0"/>
    <n v="1"/>
    <s v="Cumple"/>
    <n v="65682"/>
    <m/>
    <m/>
  </r>
  <r>
    <d v="2025-02-19T00:00:00"/>
    <x v="1"/>
    <n v="2451"/>
    <x v="0"/>
    <s v="ZAFERI SAS"/>
    <s v="TECUCT"/>
    <x v="4"/>
    <n v="1"/>
    <x v="0"/>
    <x v="0"/>
    <x v="5"/>
    <x v="0"/>
    <s v="Envia"/>
    <s v="3097666 - 954101154347"/>
    <d v="2025-02-19T00:00:00"/>
    <d v="2025-02-20T00:00:00"/>
    <x v="0"/>
    <n v="0"/>
    <n v="1"/>
    <s v="Cumple"/>
    <n v="20376"/>
    <m/>
    <m/>
  </r>
  <r>
    <d v="2025-02-23T00:00:00"/>
    <x v="1"/>
    <n v="2452"/>
    <x v="0"/>
    <s v="Daniel Corrales"/>
    <s v="TECULFN2"/>
    <x v="7"/>
    <n v="1"/>
    <x v="1"/>
    <x v="1"/>
    <x v="1"/>
    <x v="0"/>
    <s v="Coordinadora"/>
    <s v="3105541 - 84151141166"/>
    <d v="2025-02-24T00:00:00"/>
    <d v="2025-02-26T00:00:00"/>
    <x v="1"/>
    <n v="0"/>
    <s v="PTE"/>
    <s v="PTE"/>
    <n v="62530"/>
    <m/>
    <m/>
  </r>
  <r>
    <d v="2025-02-23T00:00:00"/>
    <x v="1"/>
    <n v="2452"/>
    <x v="0"/>
    <s v="Daniel Corrales"/>
    <s v="TECUTLCCS"/>
    <x v="46"/>
    <n v="1"/>
    <x v="2"/>
    <x v="1"/>
    <x v="1"/>
    <x v="0"/>
    <s v="Coordinadora"/>
    <s v="3105542 - 84151141167"/>
    <d v="2025-02-24T00:00:00"/>
    <d v="2025-02-26T00:00:00"/>
    <x v="1"/>
    <n v="0"/>
    <s v="PTE"/>
    <s v="PTE"/>
    <n v="25749"/>
    <m/>
    <m/>
  </r>
  <r>
    <d v="2025-02-05T00:00:00"/>
    <x v="1"/>
    <n v="2430"/>
    <x v="1"/>
    <s v="john ibanez"/>
    <s v="TECUTCO8C"/>
    <x v="19"/>
    <n v="1"/>
    <x v="2"/>
    <x v="1"/>
    <x v="1"/>
    <x v="0"/>
    <s v="Coordinadora"/>
    <s v="3069906 - 954101144256"/>
    <d v="2025-02-06T00:00:00"/>
    <d v="2025-02-07T00:00:00"/>
    <x v="0"/>
    <n v="1"/>
    <n v="2"/>
    <s v="Cumple"/>
    <n v="30834"/>
    <m/>
    <m/>
  </r>
  <r>
    <d v="2025-02-24T00:00:00"/>
    <x v="1"/>
    <n v="2454"/>
    <x v="0"/>
    <s v="Kevin Lopez"/>
    <s v="TECU2FNG"/>
    <x v="5"/>
    <n v="1"/>
    <x v="1"/>
    <x v="1"/>
    <x v="20"/>
    <x v="0"/>
    <s v="Coordinadora"/>
    <s v="3109084 -84151142667"/>
    <d v="2025-02-25T00:00:00"/>
    <d v="2025-02-27T15:00:19"/>
    <x v="0"/>
    <n v="1"/>
    <n v="3"/>
    <s v="Cumple"/>
    <n v="41593"/>
    <m/>
    <m/>
  </r>
  <r>
    <d v="2025-02-24T00:00:00"/>
    <x v="1"/>
    <n v="2454"/>
    <x v="0"/>
    <s v="Kevin Lopez"/>
    <s v="TECUTFE4C"/>
    <x v="14"/>
    <n v="1"/>
    <x v="2"/>
    <x v="1"/>
    <x v="20"/>
    <x v="0"/>
    <s v="Coordinadora"/>
    <s v="3109085 -84151142668"/>
    <d v="2025-02-25T00:00:00"/>
    <d v="2025-02-27T15:05:28"/>
    <x v="0"/>
    <n v="1"/>
    <n v="3"/>
    <s v="Cumple"/>
    <n v="24093"/>
    <m/>
    <m/>
  </r>
  <r>
    <d v="2025-02-25T00:00:00"/>
    <x v="1"/>
    <n v="2455"/>
    <x v="0"/>
    <s v="Kevin Lopez"/>
    <s v="TECU2FBGO"/>
    <x v="2"/>
    <n v="1"/>
    <x v="1"/>
    <x v="1"/>
    <x v="20"/>
    <x v="0"/>
    <s v="Coordinadora"/>
    <s v="3109094 -84151142672"/>
    <d v="2025-02-25T00:00:00"/>
    <d v="2025-02-27T15:05:28"/>
    <x v="0"/>
    <n v="0"/>
    <n v="2"/>
    <s v="Cumple"/>
    <n v="41593"/>
    <m/>
    <m/>
  </r>
  <r>
    <d v="2025-02-25T00:00:00"/>
    <x v="1"/>
    <n v="2455"/>
    <x v="0"/>
    <s v="Kevin Lopez"/>
    <s v="TECUTFE4C"/>
    <x v="14"/>
    <n v="1"/>
    <x v="2"/>
    <x v="1"/>
    <x v="20"/>
    <x v="0"/>
    <s v="Coordinadora"/>
    <s v="3109095 -84151142673"/>
    <d v="2025-02-25T00:00:00"/>
    <d v="2025-02-27T15:00:19"/>
    <x v="0"/>
    <n v="0"/>
    <n v="2"/>
    <s v="Cumple"/>
    <n v="24093"/>
    <m/>
    <m/>
  </r>
  <r>
    <d v="2025-02-25T00:00:00"/>
    <x v="1"/>
    <n v="2456"/>
    <x v="0"/>
    <s v="Juan Daniel Tobar Parada / SERVICIOS ESTRATEGICOS CMH, SAPI DE CV"/>
    <s v="TECU3FNPRO"/>
    <x v="12"/>
    <n v="1"/>
    <x v="1"/>
    <x v="1"/>
    <x v="1"/>
    <x v="0"/>
    <s v="Coordinadora"/>
    <s v="3109970 -84151143085"/>
    <d v="2025-02-26T00:00:00"/>
    <d v="2025-02-27T12:17:44"/>
    <x v="0"/>
    <n v="1"/>
    <n v="2"/>
    <s v="Cumple"/>
    <n v="42921"/>
    <m/>
    <m/>
  </r>
  <r>
    <d v="2025-02-25T00:00:00"/>
    <x v="1"/>
    <n v="2456"/>
    <x v="0"/>
    <s v="Juan Daniel Tobar Parada / SERVICIOS ESTRATEGICOS CMH, SAPI DE CV"/>
    <s v="TECUTRN2C"/>
    <x v="11"/>
    <n v="1"/>
    <x v="2"/>
    <x v="1"/>
    <x v="1"/>
    <x v="0"/>
    <s v="Coordinadora"/>
    <s v="3109971 -84151143086"/>
    <d v="2025-02-26T00:00:00"/>
    <d v="2025-02-27T12:17:44"/>
    <x v="0"/>
    <n v="1"/>
    <n v="2"/>
    <s v="Cumple"/>
    <n v="28741"/>
    <m/>
    <m/>
  </r>
  <r>
    <d v="2025-02-26T00:00:00"/>
    <x v="1"/>
    <n v="2457"/>
    <x v="0"/>
    <s v="Santiago Patiño"/>
    <s v="TECU3FNPRO"/>
    <x v="12"/>
    <n v="1"/>
    <x v="1"/>
    <x v="0"/>
    <x v="8"/>
    <x v="0"/>
    <s v="Coordinadora"/>
    <s v="3112625 -84151144131"/>
    <d v="2025-02-27T00:00:00"/>
    <d v="1906-09-23T00:00:00"/>
    <x v="0"/>
    <n v="1"/>
    <n v="-37076"/>
    <s v="Cumple"/>
    <n v="42921"/>
    <m/>
    <m/>
  </r>
  <r>
    <d v="2025-02-26T00:00:00"/>
    <x v="1"/>
    <n v="2457"/>
    <x v="0"/>
    <s v="Santiago Patiño"/>
    <s v="TECUTCO4C"/>
    <x v="6"/>
    <n v="1"/>
    <x v="2"/>
    <x v="0"/>
    <x v="8"/>
    <x v="0"/>
    <s v="Coordinadora"/>
    <s v="3112627 -84151144132"/>
    <d v="2025-02-27T00:00:00"/>
    <d v="2025-02-27T09:53:23"/>
    <x v="0"/>
    <n v="1"/>
    <n v="1"/>
    <s v="Cumple"/>
    <n v="24093"/>
    <m/>
    <m/>
  </r>
  <r>
    <d v="2025-02-26T00:00:00"/>
    <x v="1"/>
    <n v="2457"/>
    <x v="0"/>
    <s v="Santiago Patiño"/>
    <s v="TECUROD"/>
    <x v="31"/>
    <n v="1"/>
    <x v="7"/>
    <x v="0"/>
    <x v="8"/>
    <x v="0"/>
    <s v="Coordinadora"/>
    <s v="3112637 -84151144139"/>
    <d v="2025-02-27T00:00:00"/>
    <d v="2025-02-27T09:53:23"/>
    <x v="0"/>
    <n v="1"/>
    <n v="1"/>
    <s v="Cumple"/>
    <n v="23875"/>
    <m/>
    <m/>
  </r>
  <r>
    <d v="2025-02-27T00:00:00"/>
    <x v="1"/>
    <n v="2458"/>
    <x v="0"/>
    <s v="Laura Romero"/>
    <s v="TECU2FBGO"/>
    <x v="2"/>
    <n v="1"/>
    <x v="1"/>
    <x v="1"/>
    <x v="21"/>
    <x v="0"/>
    <s v="Coordinadora"/>
    <s v="3117134 -84151145965"/>
    <d v="2025-02-28T00:00:00"/>
    <d v="2025-03-03T14:06:50"/>
    <x v="0"/>
    <n v="1"/>
    <n v="3"/>
    <s v="Cumple"/>
    <n v="41593"/>
    <m/>
    <m/>
  </r>
  <r>
    <d v="2025-02-27T00:00:00"/>
    <x v="1"/>
    <n v="2458"/>
    <x v="0"/>
    <s v="Laura Romero"/>
    <s v="TECUTFE4C"/>
    <x v="14"/>
    <n v="1"/>
    <x v="2"/>
    <x v="1"/>
    <x v="21"/>
    <x v="0"/>
    <s v="Coordinadora"/>
    <s v="3117136 -84151145966"/>
    <d v="2025-02-28T00:00:00"/>
    <d v="2025-03-03T14:06:50"/>
    <x v="0"/>
    <n v="1"/>
    <n v="3"/>
    <s v="Cumple"/>
    <n v="24093"/>
    <m/>
    <m/>
  </r>
  <r>
    <d v="2025-02-27T00:00:00"/>
    <x v="1"/>
    <n v="2458"/>
    <x v="0"/>
    <s v="Laura Romero"/>
    <s v="TECUROD"/>
    <x v="31"/>
    <n v="1"/>
    <x v="7"/>
    <x v="1"/>
    <x v="21"/>
    <x v="0"/>
    <s v="Coordinadora"/>
    <s v="3117170 -84151145983"/>
    <d v="2025-02-28T00:00:00"/>
    <d v="2025-03-03T14:06:50"/>
    <x v="0"/>
    <n v="1"/>
    <n v="3"/>
    <s v="Cumple"/>
    <n v="23875"/>
    <m/>
    <m/>
  </r>
  <r>
    <d v="2025-02-28T00:00:00"/>
    <x v="1"/>
    <n v="2459"/>
    <x v="0"/>
    <s v="Oscar Mauricio Pacheco Saavedra"/>
    <s v="TECUBDPA"/>
    <x v="1"/>
    <n v="1"/>
    <x v="0"/>
    <x v="0"/>
    <x v="5"/>
    <x v="0"/>
    <s v="Coordinadora"/>
    <s v="3117207 -84151145988"/>
    <d v="2025-02-28T00:00:00"/>
    <d v="2025-03-01T13:52:27"/>
    <x v="0"/>
    <n v="0"/>
    <n v="1"/>
    <s v="Cumple"/>
    <n v="16617"/>
    <m/>
    <m/>
  </r>
  <r>
    <d v="2025-02-28T00:00:00"/>
    <x v="1"/>
    <n v="2460"/>
    <x v="0"/>
    <s v="Juan Daniel Tobar Parada / SERVICIOS ESTRATEGICOS CMH, SAPI DE CV"/>
    <s v="TECUCT"/>
    <x v="4"/>
    <n v="1"/>
    <x v="0"/>
    <x v="1"/>
    <x v="1"/>
    <x v="0"/>
    <s v="Coordinadora"/>
    <s v="3117224 -84151145997"/>
    <d v="2025-02-28T00:00:00"/>
    <d v="2025-03-01T17:16:43"/>
    <x v="0"/>
    <n v="0"/>
    <n v="1"/>
    <s v="Cumple"/>
    <n v="24885"/>
    <m/>
    <m/>
  </r>
  <r>
    <d v="2025-02-28T00:00:00"/>
    <x v="1"/>
    <n v="2461"/>
    <x v="0"/>
    <s v="Afranio Cardona Gomez"/>
    <s v="TECU3FNPRO"/>
    <x v="12"/>
    <n v="1"/>
    <x v="1"/>
    <x v="5"/>
    <x v="9"/>
    <x v="2"/>
    <s v="Coordinadora"/>
    <m/>
    <m/>
    <m/>
    <x v="0"/>
    <s v="PTE"/>
    <n v="-39185"/>
    <s v="Cumple"/>
    <m/>
    <m/>
    <m/>
  </r>
  <r>
    <d v="2025-02-28T00:00:00"/>
    <x v="1"/>
    <n v="2461"/>
    <x v="0"/>
    <s v="Afranio Cardona Gomez"/>
    <s v="TECUTRM8C"/>
    <x v="50"/>
    <n v="1"/>
    <x v="2"/>
    <x v="5"/>
    <x v="9"/>
    <x v="2"/>
    <s v="Coordinadora"/>
    <m/>
    <m/>
    <m/>
    <x v="0"/>
    <s v="PTE"/>
    <n v="-39185"/>
    <s v="Cumple"/>
    <m/>
    <m/>
    <m/>
  </r>
  <r>
    <d v="2025-02-28T00:00:00"/>
    <x v="1"/>
    <n v="2461"/>
    <x v="0"/>
    <s v="Afranio Cardona Gomez"/>
    <s v="TECUACO"/>
    <x v="15"/>
    <n v="1"/>
    <x v="5"/>
    <x v="5"/>
    <x v="9"/>
    <x v="2"/>
    <s v="Coordinadora"/>
    <m/>
    <m/>
    <m/>
    <x v="0"/>
    <s v="PTE"/>
    <n v="-39185"/>
    <s v="Cumple"/>
    <m/>
    <m/>
    <m/>
  </r>
  <r>
    <d v="2025-02-28T00:00:00"/>
    <x v="1"/>
    <n v="2461"/>
    <x v="0"/>
    <s v="Afranio Cardona Gomez"/>
    <s v="TECUBDPA"/>
    <x v="1"/>
    <n v="1"/>
    <x v="0"/>
    <x v="5"/>
    <x v="9"/>
    <x v="2"/>
    <s v="Coordinadora"/>
    <m/>
    <m/>
    <m/>
    <x v="0"/>
    <s v="PTE"/>
    <n v="-39185"/>
    <s v="Cumple"/>
    <m/>
    <m/>
    <m/>
  </r>
  <r>
    <d v="2025-03-01T00:00:00"/>
    <x v="2"/>
    <n v="2462"/>
    <x v="0"/>
    <s v="Jhon Anderson Monroy Cardenas"/>
    <s v="TECU3FNPRO"/>
    <x v="12"/>
    <n v="1"/>
    <x v="1"/>
    <x v="0"/>
    <x v="8"/>
    <x v="0"/>
    <s v="Coordinadora"/>
    <s v="3121638 -84151148036"/>
    <d v="2025-03-03T15:51:33"/>
    <d v="2025-03-04T10:03:23"/>
    <x v="0"/>
    <n v="1"/>
    <n v="2"/>
    <s v="Cumple"/>
    <n v="42921"/>
    <m/>
    <m/>
  </r>
  <r>
    <d v="2025-03-01T00:00:00"/>
    <x v="2"/>
    <n v="2462"/>
    <x v="0"/>
    <s v="Jhon Anderson Monroy Cardenas"/>
    <s v="TECUTB8M"/>
    <x v="51"/>
    <n v="1"/>
    <x v="2"/>
    <x v="0"/>
    <x v="8"/>
    <x v="0"/>
    <s v="Coordinadora"/>
    <s v="3121640 -84151148037"/>
    <d v="2025-03-03T15:51:33"/>
    <d v="2025-03-04T10:20:02"/>
    <x v="0"/>
    <n v="1"/>
    <n v="2"/>
    <s v="Cumple"/>
    <n v="26749"/>
    <m/>
    <m/>
  </r>
  <r>
    <d v="2025-03-02T00:00:00"/>
    <x v="2"/>
    <n v="2463"/>
    <x v="0"/>
    <s v="Jorge Delgado"/>
    <s v="TECU2FBGO"/>
    <x v="2"/>
    <n v="1"/>
    <x v="1"/>
    <x v="6"/>
    <x v="17"/>
    <x v="0"/>
    <s v="Coordinadora"/>
    <s v="3121907 -84151148156"/>
    <d v="2025-03-03T15:51:33"/>
    <d v="2025-03-04T11:34:12"/>
    <x v="0"/>
    <n v="0"/>
    <n v="1"/>
    <s v="Cumple"/>
    <n v="41593"/>
    <m/>
    <m/>
  </r>
  <r>
    <d v="2025-03-02T00:00:00"/>
    <x v="2"/>
    <n v="2463"/>
    <x v="0"/>
    <s v="Jorge Delgado"/>
    <s v="TECUTFE3C"/>
    <x v="39"/>
    <n v="1"/>
    <x v="2"/>
    <x v="6"/>
    <x v="17"/>
    <x v="0"/>
    <s v="Coordinadora"/>
    <s v="3121913 -84151148159"/>
    <d v="2025-03-03T15:51:33"/>
    <d v="2025-03-04T11:34:12"/>
    <x v="0"/>
    <n v="0"/>
    <n v="1"/>
    <s v="Cumple"/>
    <n v="24093"/>
    <m/>
    <m/>
  </r>
  <r>
    <d v="2025-03-03T00:00:00"/>
    <x v="2"/>
    <n v="2464"/>
    <x v="0"/>
    <s v="Juan David Herrera Martinez"/>
    <s v="TECU3FBRO"/>
    <x v="34"/>
    <n v="1"/>
    <x v="1"/>
    <x v="0"/>
    <x v="8"/>
    <x v="0"/>
    <s v="Coordinadora"/>
    <s v="3121937 -84151148173"/>
    <d v="2025-03-03T15:51:33"/>
    <d v="2025-03-04T10:07:44"/>
    <x v="0"/>
    <n v="0"/>
    <n v="1"/>
    <s v="Cumple"/>
    <n v="42921"/>
    <m/>
    <m/>
  </r>
  <r>
    <d v="2025-03-03T00:00:00"/>
    <x v="2"/>
    <n v="2464"/>
    <x v="0"/>
    <s v="Juan David Herrera Martinez"/>
    <s v="TECUTFE5C"/>
    <x v="29"/>
    <n v="1"/>
    <x v="2"/>
    <x v="0"/>
    <x v="8"/>
    <x v="0"/>
    <s v="Coordinadora"/>
    <s v="3121938 -84151148174"/>
    <d v="2025-03-03T15:51:33"/>
    <d v="2025-03-04T10:07:44"/>
    <x v="0"/>
    <n v="0"/>
    <n v="1"/>
    <s v="Cumple"/>
    <n v="24093"/>
    <m/>
    <m/>
  </r>
  <r>
    <d v="2025-03-03T00:00:00"/>
    <x v="2"/>
    <n v="2465"/>
    <x v="0"/>
    <s v="Luis Gabriel García Ramírez"/>
    <s v="TECU3FBRO"/>
    <x v="34"/>
    <n v="1"/>
    <x v="1"/>
    <x v="0"/>
    <x v="22"/>
    <x v="0"/>
    <s v="Coordinadora"/>
    <s v="3127560 -84151149937"/>
    <d v="2025-03-04T15:47:29"/>
    <d v="2025-03-05T18:20:04"/>
    <x v="0"/>
    <n v="1"/>
    <n v="2"/>
    <e v="#N/A"/>
    <n v="42921"/>
    <m/>
    <m/>
  </r>
  <r>
    <d v="2025-03-03T00:00:00"/>
    <x v="2"/>
    <n v="2465"/>
    <x v="0"/>
    <s v="Luis Gabriel García Ramírez"/>
    <s v="TECUTFE5C"/>
    <x v="29"/>
    <n v="1"/>
    <x v="2"/>
    <x v="0"/>
    <x v="22"/>
    <x v="0"/>
    <s v="Coordinadora"/>
    <s v="3127562 -84151149938"/>
    <d v="2025-03-04T15:47:29"/>
    <d v="2025-03-05T18:20:04"/>
    <x v="0"/>
    <n v="1"/>
    <n v="2"/>
    <e v="#N/A"/>
    <n v="24093"/>
    <m/>
    <m/>
  </r>
  <r>
    <d v="2025-03-03T00:00:00"/>
    <x v="2"/>
    <n v="2466"/>
    <x v="0"/>
    <s v="Jorge Alberto Eslava Cogollos"/>
    <s v="TECURCO"/>
    <x v="30"/>
    <n v="1"/>
    <x v="6"/>
    <x v="1"/>
    <x v="1"/>
    <x v="0"/>
    <s v="Coordinadora"/>
    <s v="3127712 -84151150031"/>
    <d v="2025-03-04T15:47:29"/>
    <d v="2025-03-06T09:33:29"/>
    <x v="0"/>
    <n v="1"/>
    <n v="3"/>
    <s v="Cumple"/>
    <n v="23429"/>
    <m/>
    <m/>
  </r>
  <r>
    <d v="2025-03-04T00:00:00"/>
    <x v="2"/>
    <n v="2467"/>
    <x v="0"/>
    <s v="Camilo Luna"/>
    <s v="TECU3FNPRO"/>
    <x v="12"/>
    <n v="1"/>
    <x v="1"/>
    <x v="1"/>
    <x v="1"/>
    <x v="2"/>
    <s v="Coordinadora"/>
    <m/>
    <m/>
    <m/>
    <x v="0"/>
    <s v="PTE"/>
    <n v="-39188"/>
    <s v="Cumple"/>
    <m/>
    <m/>
    <m/>
  </r>
  <r>
    <d v="2025-03-04T00:00:00"/>
    <x v="2"/>
    <n v="2467"/>
    <x v="0"/>
    <s v="Camilo Luna"/>
    <s v="TECUTCO8C"/>
    <x v="19"/>
    <n v="1"/>
    <x v="2"/>
    <x v="1"/>
    <x v="1"/>
    <x v="2"/>
    <s v="Coordinadora"/>
    <m/>
    <m/>
    <m/>
    <x v="0"/>
    <s v="PTE"/>
    <n v="-39188"/>
    <s v="Cumple"/>
    <m/>
    <m/>
    <m/>
  </r>
  <r>
    <d v="2025-03-04T00:00:00"/>
    <x v="2"/>
    <n v="2467"/>
    <x v="0"/>
    <s v="Camilo Luna"/>
    <s v="TECUACO"/>
    <x v="15"/>
    <n v="1"/>
    <x v="5"/>
    <x v="1"/>
    <x v="1"/>
    <x v="2"/>
    <s v="Coordinadora"/>
    <m/>
    <m/>
    <m/>
    <x v="0"/>
    <s v="PTE"/>
    <n v="-39188"/>
    <s v="Cumple"/>
    <m/>
    <m/>
    <m/>
  </r>
  <r>
    <d v="2025-03-04T00:00:00"/>
    <x v="2"/>
    <n v="2468"/>
    <x v="0"/>
    <s v="Katherin Hernández"/>
    <s v="TECU3FNPRO"/>
    <x v="12"/>
    <n v="1"/>
    <x v="1"/>
    <x v="0"/>
    <x v="8"/>
    <x v="2"/>
    <s v="Coordinadora"/>
    <m/>
    <m/>
    <m/>
    <x v="0"/>
    <s v="PTE"/>
    <n v="-39188"/>
    <s v="Cumple"/>
    <m/>
    <m/>
    <m/>
  </r>
  <r>
    <d v="2025-03-04T00:00:00"/>
    <x v="2"/>
    <n v="2468"/>
    <x v="0"/>
    <s v="Katherin Hernández"/>
    <s v="TECUTCO5C"/>
    <x v="52"/>
    <n v="1"/>
    <x v="2"/>
    <x v="0"/>
    <x v="8"/>
    <x v="2"/>
    <s v="Coordinadora"/>
    <m/>
    <m/>
    <m/>
    <x v="0"/>
    <s v="PTE"/>
    <n v="-39188"/>
    <s v="Cumple"/>
    <m/>
    <m/>
    <m/>
  </r>
  <r>
    <d v="2025-03-04T00:00:00"/>
    <x v="2"/>
    <n v="2468"/>
    <x v="0"/>
    <s v="Katherin Hernández"/>
    <m/>
    <x v="44"/>
    <n v="1"/>
    <x v="3"/>
    <x v="0"/>
    <x v="8"/>
    <x v="0"/>
    <s v="Coordinadora"/>
    <s v="NA"/>
    <s v="NA"/>
    <s v="NA"/>
    <x v="0"/>
    <e v="#VALUE!"/>
    <e v="#VALUE!"/>
    <e v="#VALUE!"/>
    <m/>
    <m/>
    <m/>
  </r>
  <r>
    <d v="2025-03-04T00:00:00"/>
    <x v="2"/>
    <n v="2469"/>
    <x v="0"/>
    <s v="Mauro Aguilar Bustamante"/>
    <s v="TECU3FNPRO"/>
    <x v="12"/>
    <n v="1"/>
    <x v="1"/>
    <x v="0"/>
    <x v="23"/>
    <x v="2"/>
    <s v="Coordinadora"/>
    <m/>
    <m/>
    <m/>
    <x v="0"/>
    <s v="PTE"/>
    <n v="-39188"/>
    <s v="Cumple"/>
    <m/>
    <m/>
    <m/>
  </r>
  <r>
    <d v="2025-03-04T00:00:00"/>
    <x v="2"/>
    <n v="2469"/>
    <x v="0"/>
    <s v="Mauro Aguilar Bustamante"/>
    <s v="TECUTRN5M"/>
    <x v="53"/>
    <n v="1"/>
    <x v="2"/>
    <x v="0"/>
    <x v="23"/>
    <x v="2"/>
    <s v="Coordinadora"/>
    <m/>
    <m/>
    <m/>
    <x v="0"/>
    <s v="PTE"/>
    <n v="-39188"/>
    <s v="Cumple"/>
    <m/>
    <m/>
    <m/>
  </r>
  <r>
    <d v="2025-03-06T00:00:00"/>
    <x v="2"/>
    <n v="2470"/>
    <x v="0"/>
    <s v="Eric Mitchell"/>
    <s v="TECULFN2"/>
    <x v="7"/>
    <n v="1"/>
    <x v="1"/>
    <x v="0"/>
    <x v="5"/>
    <x v="2"/>
    <s v="Coordinadora"/>
    <m/>
    <m/>
    <m/>
    <x v="0"/>
    <s v="PTE"/>
    <n v="-39190"/>
    <s v="Cumple"/>
    <m/>
    <m/>
    <m/>
  </r>
  <r>
    <d v="2025-03-06T00:00:00"/>
    <x v="2"/>
    <n v="2470"/>
    <x v="0"/>
    <s v="Eric Mitchell"/>
    <s v="TECUTLNS"/>
    <x v="17"/>
    <n v="1"/>
    <x v="2"/>
    <x v="0"/>
    <x v="5"/>
    <x v="2"/>
    <s v="Coordinadora"/>
    <m/>
    <m/>
    <m/>
    <x v="0"/>
    <s v="PTE"/>
    <n v="-39190"/>
    <s v="Cumple"/>
    <m/>
    <m/>
    <m/>
  </r>
  <r>
    <d v="2025-03-06T00:00:00"/>
    <x v="2"/>
    <n v="2470"/>
    <x v="0"/>
    <s v="Eric Mitchell"/>
    <m/>
    <x v="44"/>
    <m/>
    <x v="3"/>
    <x v="0"/>
    <x v="5"/>
    <x v="0"/>
    <s v="Coordinadora"/>
    <s v="NA"/>
    <s v="NA"/>
    <s v="NA"/>
    <x v="0"/>
    <e v="#VALUE!"/>
    <e v="#VALUE!"/>
    <e v="#VALUE!"/>
    <m/>
    <m/>
    <m/>
  </r>
  <r>
    <d v="2025-03-06T00:00:00"/>
    <x v="2"/>
    <n v="2471"/>
    <x v="0"/>
    <s v="Daniel Turriago"/>
    <s v="TECU3FNPRO"/>
    <x v="12"/>
    <n v="1"/>
    <x v="1"/>
    <x v="1"/>
    <x v="1"/>
    <x v="2"/>
    <s v="Coordinadora"/>
    <m/>
    <m/>
    <m/>
    <x v="0"/>
    <s v="PTE"/>
    <n v="-39190"/>
    <s v="Cumple"/>
    <m/>
    <m/>
    <m/>
  </r>
  <r>
    <d v="2025-03-06T00:00:00"/>
    <x v="2"/>
    <n v="2471"/>
    <x v="0"/>
    <s v="Daniel Turriago"/>
    <s v="TECUTCO6C"/>
    <x v="16"/>
    <n v="1"/>
    <x v="2"/>
    <x v="1"/>
    <x v="1"/>
    <x v="2"/>
    <s v="Coordinadora"/>
    <m/>
    <m/>
    <m/>
    <x v="0"/>
    <s v="PTE"/>
    <n v="-39190"/>
    <s v="Cumple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d v="2025-01-01T00:00:00"/>
    <x v="0"/>
    <n v="2377"/>
    <x v="0"/>
    <s v="Cata Gómez"/>
    <s v="TECUBDPM"/>
    <x v="0"/>
    <n v="1"/>
    <x v="0"/>
    <x v="0"/>
    <x v="0"/>
    <x v="0"/>
    <s v="Coordinadora"/>
    <s v="3002937 -84151097246"/>
    <d v="2025-01-07T00:00:00"/>
    <d v="2025-01-08T00:00:00"/>
    <x v="0"/>
    <n v="0"/>
    <n v="1"/>
    <s v="Cumple"/>
    <n v="16617"/>
    <m/>
    <s v="Vacaciones TECU"/>
  </r>
  <r>
    <d v="2025-01-02T00:00:00"/>
    <x v="0"/>
    <n v="2378"/>
    <x v="0"/>
    <s v="Andres felipe Carreño"/>
    <s v="TECUBDPA"/>
    <x v="1"/>
    <n v="1"/>
    <x v="0"/>
    <x v="1"/>
    <x v="1"/>
    <x v="0"/>
    <s v="Coordinadora"/>
    <s v="3002977 -84151097273"/>
    <d v="2025-01-07T00:00:00"/>
    <d v="2025-01-08T00:00:00"/>
    <x v="0"/>
    <n v="0"/>
    <n v="1"/>
    <s v="Cumple"/>
    <n v="16617"/>
    <m/>
    <s v="Vacaciones TECU"/>
  </r>
  <r>
    <d v="2025-01-06T00:00:00"/>
    <x v="0"/>
    <n v="2379"/>
    <x v="0"/>
    <s v="Juan Guevara"/>
    <s v="TECU2FBGO"/>
    <x v="2"/>
    <n v="1"/>
    <x v="1"/>
    <x v="1"/>
    <x v="1"/>
    <x v="0"/>
    <s v="Coordinadora"/>
    <s v="3006333 -84151099203"/>
    <d v="2025-01-08T00:00:00"/>
    <d v="2025-01-10T00:00:00"/>
    <x v="0"/>
    <n v="1"/>
    <n v="3"/>
    <s v="Cumple"/>
    <n v="41593"/>
    <m/>
    <m/>
  </r>
  <r>
    <d v="2025-01-06T00:00:00"/>
    <x v="0"/>
    <n v="2379"/>
    <x v="0"/>
    <s v="Juan Guevara"/>
    <s v="TECUTFE2C"/>
    <x v="3"/>
    <n v="1"/>
    <x v="2"/>
    <x v="1"/>
    <x v="1"/>
    <x v="0"/>
    <s v="Coordinadora"/>
    <s v="3006334 -84151099205"/>
    <d v="2025-01-08T00:00:00"/>
    <d v="2025-01-10T00:00:00"/>
    <x v="0"/>
    <n v="1"/>
    <n v="3"/>
    <s v="Cumple"/>
    <n v="24093"/>
    <m/>
    <m/>
  </r>
  <r>
    <d v="2025-01-06T00:00:00"/>
    <x v="0"/>
    <n v="2379"/>
    <x v="0"/>
    <s v="Juan Guevara"/>
    <s v="TECUCT"/>
    <x v="4"/>
    <n v="1"/>
    <x v="0"/>
    <x v="1"/>
    <x v="1"/>
    <x v="0"/>
    <s v="Coordinadora"/>
    <s v="3006341 -84151099209"/>
    <d v="2025-01-08T00:00:00"/>
    <d v="2025-01-10T00:00:00"/>
    <x v="0"/>
    <n v="1"/>
    <n v="3"/>
    <s v="Cumple"/>
    <n v="24885"/>
    <m/>
    <m/>
  </r>
  <r>
    <d v="2025-01-06T00:00:00"/>
    <x v="0"/>
    <n v="2380"/>
    <x v="0"/>
    <s v="Juan Carlos Urbano"/>
    <s v="TECU2FNG"/>
    <x v="5"/>
    <n v="1"/>
    <x v="1"/>
    <x v="1"/>
    <x v="1"/>
    <x v="0"/>
    <s v="Coordinadora"/>
    <s v="3003131 -84151097381"/>
    <d v="2025-01-07T00:00:00"/>
    <d v="2025-01-08T00:00:00"/>
    <x v="0"/>
    <n v="0"/>
    <n v="1"/>
    <s v="Cumple"/>
    <n v="41593"/>
    <m/>
    <m/>
  </r>
  <r>
    <d v="2025-01-06T00:00:00"/>
    <x v="0"/>
    <n v="2380"/>
    <x v="0"/>
    <s v="Juan Carlos Urbano"/>
    <s v="TECUTCO4C"/>
    <x v="6"/>
    <n v="1"/>
    <x v="2"/>
    <x v="1"/>
    <x v="1"/>
    <x v="0"/>
    <s v="Coordinadora"/>
    <s v="3003134 -84151097383"/>
    <d v="2025-01-07T00:00:00"/>
    <d v="2025-01-09T00:00:00"/>
    <x v="0"/>
    <n v="0"/>
    <n v="2"/>
    <s v="Cumple"/>
    <n v="24093"/>
    <m/>
    <m/>
  </r>
  <r>
    <d v="2025-01-06T00:00:00"/>
    <x v="0"/>
    <n v="2380"/>
    <x v="0"/>
    <s v="Juan Carlos Urbano"/>
    <s v="TECUCT"/>
    <x v="4"/>
    <n v="1"/>
    <x v="0"/>
    <x v="1"/>
    <x v="1"/>
    <x v="0"/>
    <s v="Coordinadora"/>
    <s v="3003144 -84151097390"/>
    <d v="2025-01-07T00:00:00"/>
    <d v="2025-01-09T00:00:00"/>
    <x v="0"/>
    <n v="0"/>
    <n v="2"/>
    <s v="Cumple"/>
    <n v="24885"/>
    <m/>
    <m/>
  </r>
  <r>
    <d v="2025-01-06T00:00:00"/>
    <x v="0"/>
    <n v="2381"/>
    <x v="0"/>
    <s v="Julian Cujabante Villamil"/>
    <s v="TECULFN2"/>
    <x v="7"/>
    <n v="1"/>
    <x v="1"/>
    <x v="1"/>
    <x v="1"/>
    <x v="0"/>
    <s v="Coordinadora"/>
    <s v="3006368 -84151099224"/>
    <d v="2025-01-08T00:00:00"/>
    <d v="2025-01-10T00:00:00"/>
    <x v="0"/>
    <n v="1"/>
    <n v="3"/>
    <s v="Cumple"/>
    <n v="62530"/>
    <m/>
    <m/>
  </r>
  <r>
    <d v="2025-01-06T00:00:00"/>
    <x v="0"/>
    <n v="2381"/>
    <x v="0"/>
    <s v="Julian Cujabante Villamil"/>
    <s v="TECUTLRNS"/>
    <x v="8"/>
    <n v="1"/>
    <x v="2"/>
    <x v="1"/>
    <x v="1"/>
    <x v="0"/>
    <s v="Coordinadora"/>
    <s v="3006370 -84151099227"/>
    <d v="2025-01-08T00:00:00"/>
    <d v="2025-01-10T00:00:00"/>
    <x v="0"/>
    <n v="1"/>
    <n v="3"/>
    <s v="Cumple"/>
    <n v="26749"/>
    <m/>
    <m/>
  </r>
  <r>
    <d v="2025-01-06T00:00:00"/>
    <x v="0"/>
    <n v="2381"/>
    <x v="0"/>
    <s v="Julian Cujabante Villamil"/>
    <s v="TECUCT"/>
    <x v="4"/>
    <n v="1"/>
    <x v="0"/>
    <x v="1"/>
    <x v="1"/>
    <x v="0"/>
    <s v="Coordinadora"/>
    <s v="3006387 -84151099241"/>
    <d v="2025-01-08T00:00:00"/>
    <d v="2025-01-09T00:00:00"/>
    <x v="0"/>
    <n v="1"/>
    <n v="2"/>
    <s v="Cumple"/>
    <n v="24885"/>
    <m/>
    <m/>
  </r>
  <r>
    <d v="2025-01-06T00:00:00"/>
    <x v="0"/>
    <n v="2381"/>
    <x v="0"/>
    <s v="Julian Cujabante Villamil"/>
    <s v="TECUTBANPI"/>
    <x v="9"/>
    <n v="1"/>
    <x v="0"/>
    <x v="1"/>
    <x v="1"/>
    <x v="0"/>
    <s v="Coordinadora"/>
    <s v="3006380 -84151099237"/>
    <d v="2025-01-08T00:00:00"/>
    <d v="2025-01-10T00:00:00"/>
    <x v="0"/>
    <n v="1"/>
    <n v="3"/>
    <s v="Cumple"/>
    <n v="39225"/>
    <m/>
    <m/>
  </r>
  <r>
    <d v="2025-01-06T00:00:00"/>
    <x v="0"/>
    <n v="2381"/>
    <x v="0"/>
    <s v="Julian Cujabante Villamil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1-07T00:00:00"/>
    <x v="0"/>
    <n v="2382"/>
    <x v="0"/>
    <s v="Henry De Alba"/>
    <s v="TECU2FNG"/>
    <x v="5"/>
    <n v="1"/>
    <x v="1"/>
    <x v="2"/>
    <x v="2"/>
    <x v="0"/>
    <s v="Coordinadora"/>
    <s v="3008585 -84151100462"/>
    <d v="2025-01-09T00:00:00"/>
    <d v="2025-01-11T00:00:00"/>
    <x v="0"/>
    <n v="2"/>
    <n v="4"/>
    <s v="Cumple"/>
    <n v="59835"/>
    <m/>
    <m/>
  </r>
  <r>
    <d v="2025-01-07T00:00:00"/>
    <x v="0"/>
    <n v="2382"/>
    <x v="0"/>
    <s v="Henry De Alba"/>
    <s v="TECUTRN2C"/>
    <x v="11"/>
    <n v="1"/>
    <x v="2"/>
    <x v="2"/>
    <x v="2"/>
    <x v="0"/>
    <s v="Coordinadora"/>
    <s v="3008587 -84151100464"/>
    <d v="2025-01-09T00:00:00"/>
    <d v="2025-01-11T00:00:00"/>
    <x v="0"/>
    <n v="2"/>
    <n v="4"/>
    <s v="Cumple"/>
    <n v="39078"/>
    <m/>
    <m/>
  </r>
  <r>
    <d v="2025-01-07T00:00:00"/>
    <x v="0"/>
    <n v="2383"/>
    <x v="0"/>
    <s v="Carlos Andres Polanco Triana"/>
    <s v="TECU3FNPRO"/>
    <x v="12"/>
    <n v="1"/>
    <x v="1"/>
    <x v="3"/>
    <x v="3"/>
    <x v="0"/>
    <s v="Coordinadora"/>
    <s v="3008595 -84151100470"/>
    <d v="2025-01-09T00:00:00"/>
    <d v="2025-01-11T00:00:00"/>
    <x v="0"/>
    <n v="2"/>
    <n v="4"/>
    <s v="Cumple"/>
    <n v="62467"/>
    <m/>
    <m/>
  </r>
  <r>
    <d v="2025-01-07T00:00:00"/>
    <x v="0"/>
    <n v="2383"/>
    <x v="0"/>
    <s v="Carlos Andres Polanco Triana"/>
    <s v="TECUTCO4C"/>
    <x v="6"/>
    <n v="1"/>
    <x v="2"/>
    <x v="3"/>
    <x v="3"/>
    <x v="0"/>
    <s v="Coordinadora"/>
    <s v="3008596 -84151100471"/>
    <d v="2025-01-09T00:00:00"/>
    <d v="2025-01-11T00:00:00"/>
    <x v="0"/>
    <n v="2"/>
    <n v="4"/>
    <s v="Cumple"/>
    <n v="39078"/>
    <m/>
    <m/>
  </r>
  <r>
    <d v="2025-01-08T00:00:00"/>
    <x v="0"/>
    <n v="2384"/>
    <x v="0"/>
    <s v="Samuel Antonio Cabezas Tibaquicha"/>
    <s v="TECU3FNPRO"/>
    <x v="12"/>
    <n v="1"/>
    <x v="1"/>
    <x v="1"/>
    <x v="4"/>
    <x v="0"/>
    <s v="Coordinadora"/>
    <s v="3006418 -84151099260"/>
    <d v="2025-01-08T00:00:00"/>
    <d v="2025-01-09T00:00:00"/>
    <x v="0"/>
    <n v="0"/>
    <n v="1"/>
    <s v="Cumple"/>
    <n v="42921"/>
    <m/>
    <m/>
  </r>
  <r>
    <d v="2025-01-08T00:00:00"/>
    <x v="0"/>
    <n v="2384"/>
    <x v="0"/>
    <s v="Samuel Antonio Cabezas Tibaquicha"/>
    <s v="TECUDSN"/>
    <x v="13"/>
    <n v="1"/>
    <x v="4"/>
    <x v="1"/>
    <x v="4"/>
    <x v="0"/>
    <s v="Coordinadora"/>
    <s v="3006424 -84151099263"/>
    <d v="2025-01-08T00:00:00"/>
    <d v="2025-01-09T00:00:00"/>
    <x v="0"/>
    <n v="0"/>
    <n v="1"/>
    <s v="Cumple"/>
    <n v="26609"/>
    <m/>
    <m/>
  </r>
  <r>
    <d v="2025-01-08T00:00:00"/>
    <x v="0"/>
    <n v="2385"/>
    <x v="0"/>
    <s v="Diana Ruiz"/>
    <s v="TECU3FNPRO"/>
    <x v="12"/>
    <n v="1"/>
    <x v="1"/>
    <x v="1"/>
    <x v="1"/>
    <x v="0"/>
    <s v="Coordinadora"/>
    <s v="3009172 -84151100736"/>
    <d v="2025-01-09T00:00:00"/>
    <d v="2025-01-10T00:00:00"/>
    <x v="0"/>
    <n v="1"/>
    <n v="2"/>
    <s v="Cumple"/>
    <n v="42921"/>
    <m/>
    <m/>
  </r>
  <r>
    <d v="2025-01-08T00:00:00"/>
    <x v="0"/>
    <n v="2385"/>
    <x v="0"/>
    <s v="Diana Ruiz"/>
    <s v="TECUTFE4C"/>
    <x v="14"/>
    <n v="1"/>
    <x v="2"/>
    <x v="1"/>
    <x v="1"/>
    <x v="0"/>
    <s v="Coordinadora"/>
    <s v="3009173 -84151100737"/>
    <d v="2025-01-09T00:00:00"/>
    <d v="2025-01-10T00:00:00"/>
    <x v="0"/>
    <n v="1"/>
    <n v="2"/>
    <s v="Cumple"/>
    <n v="24093"/>
    <m/>
    <m/>
  </r>
  <r>
    <d v="2025-01-08T00:00:00"/>
    <x v="0"/>
    <n v="2386"/>
    <x v="0"/>
    <s v="Samuel Vélez Sanín"/>
    <s v="TECU2FNG"/>
    <x v="5"/>
    <n v="1"/>
    <x v="1"/>
    <x v="0"/>
    <x v="5"/>
    <x v="0"/>
    <s v="Coordinadora"/>
    <s v="3008732 -84151100542"/>
    <d v="2025-01-09T00:00:00"/>
    <d v="2025-01-10T00:00:00"/>
    <x v="0"/>
    <n v="1"/>
    <n v="2"/>
    <s v="Cumple"/>
    <n v="41593"/>
    <m/>
    <m/>
  </r>
  <r>
    <d v="2025-01-08T00:00:00"/>
    <x v="0"/>
    <n v="2386"/>
    <x v="0"/>
    <s v="Samuel Vélez Sanín"/>
    <s v="TECUTFE2C"/>
    <x v="3"/>
    <n v="1"/>
    <x v="2"/>
    <x v="0"/>
    <x v="5"/>
    <x v="0"/>
    <s v="Coordinadora"/>
    <s v="3008734 -84151100543"/>
    <d v="2025-01-09T00:00:00"/>
    <d v="2025-01-11T00:00:00"/>
    <x v="0"/>
    <n v="1"/>
    <n v="3"/>
    <s v="Cumple"/>
    <n v="24093"/>
    <m/>
    <m/>
  </r>
  <r>
    <d v="2025-01-08T00:00:00"/>
    <x v="0"/>
    <n v="2387"/>
    <x v="0"/>
    <s v="Miguel Saavedra"/>
    <s v="TECUACO"/>
    <x v="15"/>
    <n v="1"/>
    <x v="5"/>
    <x v="1"/>
    <x v="1"/>
    <x v="0"/>
    <s v="Envia"/>
    <s v="3006909 -954101121278"/>
    <d v="2025-01-08T00:00:00"/>
    <d v="2025-01-09T00:00:00"/>
    <x v="0"/>
    <n v="0"/>
    <n v="1"/>
    <s v="Cumple"/>
    <n v="70717"/>
    <m/>
    <m/>
  </r>
  <r>
    <d v="2025-01-09T00:00:00"/>
    <x v="0"/>
    <n v="2388"/>
    <x v="0"/>
    <s v="CAROLINA RAMIREZ RESTREPO"/>
    <s v="TECU2FNG"/>
    <x v="5"/>
    <n v="1"/>
    <x v="1"/>
    <x v="0"/>
    <x v="6"/>
    <x v="0"/>
    <s v="Coordinadora"/>
    <s v="3008988 -84151100690"/>
    <d v="2025-01-09T00:00:00"/>
    <d v="2025-01-24T00:00:00"/>
    <x v="0"/>
    <n v="0"/>
    <n v="13"/>
    <s v="No cumple"/>
    <n v="112444"/>
    <m/>
    <s v="Novedad - Se envia a oto pueblo por error en Shopify generar guias // se solicita devolucion a la bodega"/>
  </r>
  <r>
    <d v="2025-01-09T00:00:00"/>
    <x v="0"/>
    <n v="2388"/>
    <x v="0"/>
    <s v="CAROLINA RAMIREZ RESTREPO"/>
    <s v="TECUTCO6C"/>
    <x v="16"/>
    <n v="1"/>
    <x v="2"/>
    <x v="0"/>
    <x v="6"/>
    <x v="0"/>
    <s v="Coordinadora"/>
    <s v="3008990 -84151100691"/>
    <d v="2025-01-09T00:00:00"/>
    <d v="2025-01-24T00:00:00"/>
    <x v="0"/>
    <n v="0"/>
    <n v="13"/>
    <s v="No cumple"/>
    <n v="98264"/>
    <m/>
    <s v="Novedad - Se envia a oto pueblo por error en Shopify generar guias // se solicita devolucion a la bodega"/>
  </r>
  <r>
    <d v="2025-01-09T00:00:00"/>
    <x v="0"/>
    <n v="2389"/>
    <x v="0"/>
    <s v="Alexander Gomez Chaparro"/>
    <s v="TECULFN2"/>
    <x v="7"/>
    <n v="1"/>
    <x v="1"/>
    <x v="4"/>
    <x v="7"/>
    <x v="0"/>
    <s v="Coordinadora"/>
    <s v="3011856 -84151101651"/>
    <d v="2025-01-10T00:00:00"/>
    <d v="2025-01-13T00:00:00"/>
    <x v="0"/>
    <n v="1"/>
    <n v="3"/>
    <s v="Cumple"/>
    <n v="96409"/>
    <m/>
    <m/>
  </r>
  <r>
    <d v="2025-01-09T00:00:00"/>
    <x v="0"/>
    <n v="2389"/>
    <x v="0"/>
    <s v="Alexander Gomez Chaparro"/>
    <s v="TECUTLNS"/>
    <x v="17"/>
    <n v="1"/>
    <x v="2"/>
    <x v="4"/>
    <x v="7"/>
    <x v="0"/>
    <s v="Coordinadora"/>
    <s v="3011858 -84151101652"/>
    <d v="2025-01-10T00:00:00"/>
    <d v="2025-01-13T00:00:00"/>
    <x v="0"/>
    <n v="1"/>
    <n v="3"/>
    <s v="Cumple"/>
    <n v="44340"/>
    <m/>
    <m/>
  </r>
  <r>
    <d v="2025-01-09T00:00:00"/>
    <x v="0"/>
    <n v="2390"/>
    <x v="0"/>
    <s v="Alexander Gomez Chaparro"/>
    <s v="TECUCT"/>
    <x v="4"/>
    <n v="1"/>
    <x v="0"/>
    <x v="4"/>
    <x v="7"/>
    <x v="0"/>
    <s v="Coordinadora"/>
    <s v="3011897 -84151101678"/>
    <d v="2025-01-10T00:00:00"/>
    <d v="2025-01-13T00:00:00"/>
    <x v="0"/>
    <n v="1"/>
    <n v="3"/>
    <s v="Cumple"/>
    <m/>
    <m/>
    <m/>
  </r>
  <r>
    <d v="2025-01-09T00:00:00"/>
    <x v="0"/>
    <n v="2390"/>
    <x v="0"/>
    <s v="Alexander Gomez Chaparro"/>
    <s v="TECUBDPA"/>
    <x v="1"/>
    <n v="1"/>
    <x v="0"/>
    <x v="4"/>
    <x v="7"/>
    <x v="0"/>
    <s v="Coordinadora"/>
    <s v="3011889 -84151101671"/>
    <d v="2025-01-10T00:00:00"/>
    <d v="2025-01-13T00:00:00"/>
    <x v="0"/>
    <n v="1"/>
    <n v="3"/>
    <s v="Cumple"/>
    <n v="16617"/>
    <m/>
    <m/>
  </r>
  <r>
    <d v="2025-01-09T00:00:00"/>
    <x v="0"/>
    <n v="2390"/>
    <x v="0"/>
    <s v="Alexander Gomez Chaparro"/>
    <s v="TECUDSN"/>
    <x v="13"/>
    <n v="1"/>
    <x v="4"/>
    <x v="4"/>
    <x v="7"/>
    <x v="0"/>
    <s v="Coordinadora"/>
    <s v="3011879 -84151101661"/>
    <d v="2025-01-10T00:00:00"/>
    <d v="2025-01-13T00:00:00"/>
    <x v="0"/>
    <n v="1"/>
    <n v="3"/>
    <s v="Cumple"/>
    <n v="40942"/>
    <m/>
    <m/>
  </r>
  <r>
    <d v="2025-01-09T00:00:00"/>
    <x v="0"/>
    <n v="2390"/>
    <x v="0"/>
    <s v="Alexander Gomez Chaparro"/>
    <s v="TECURN"/>
    <x v="18"/>
    <n v="1"/>
    <x v="6"/>
    <x v="4"/>
    <x v="7"/>
    <x v="0"/>
    <s v="Coordinadora"/>
    <s v="NA"/>
    <d v="2025-01-10T00:00:00"/>
    <d v="2025-01-13T00:00:00"/>
    <x v="0"/>
    <n v="1"/>
    <n v="3"/>
    <s v="Cumple"/>
    <m/>
    <m/>
    <m/>
  </r>
  <r>
    <d v="2025-01-09T00:00:00"/>
    <x v="0"/>
    <n v="2391"/>
    <x v="0"/>
    <s v="Alexander Gomez Chaparro"/>
    <s v="TECUCT"/>
    <x v="4"/>
    <n v="1"/>
    <x v="0"/>
    <x v="4"/>
    <x v="7"/>
    <x v="0"/>
    <s v="Coordinadora"/>
    <s v="3011897 -84151101678"/>
    <d v="2025-01-10T00:00:00"/>
    <d v="2025-01-13T00:00:00"/>
    <x v="0"/>
    <n v="1"/>
    <n v="3"/>
    <s v="Cumple"/>
    <n v="24885"/>
    <m/>
    <m/>
  </r>
  <r>
    <d v="2025-01-10T00:00:00"/>
    <x v="0"/>
    <n v="2392"/>
    <x v="0"/>
    <s v="David Cadavid"/>
    <s v="TECU3FNPRO"/>
    <x v="12"/>
    <n v="1"/>
    <x v="1"/>
    <x v="0"/>
    <x v="5"/>
    <x v="0"/>
    <s v="Coordinadora"/>
    <s v="3015845 -84151103419"/>
    <d v="2025-01-13T16:47:27"/>
    <d v="2025-01-14T15:27:49"/>
    <x v="0"/>
    <n v="2"/>
    <n v="3"/>
    <s v="Cumple"/>
    <n v="42921"/>
    <m/>
    <m/>
  </r>
  <r>
    <d v="2025-01-10T00:00:00"/>
    <x v="0"/>
    <n v="2392"/>
    <x v="0"/>
    <s v="David Cadavid"/>
    <s v="TECUTCO8C"/>
    <x v="19"/>
    <n v="1"/>
    <x v="2"/>
    <x v="0"/>
    <x v="5"/>
    <x v="0"/>
    <s v="Coordinadora"/>
    <s v="3015847 -84151103420"/>
    <d v="2025-01-13T16:48:27"/>
    <d v="2025-01-14T15:27:49"/>
    <x v="0"/>
    <n v="2"/>
    <n v="3"/>
    <s v="Cumple"/>
    <n v="26749"/>
    <m/>
    <m/>
  </r>
  <r>
    <d v="2025-01-10T00:00:00"/>
    <x v="0"/>
    <n v="2392"/>
    <x v="0"/>
    <s v="David Cadavid"/>
    <s v="TECUCT"/>
    <x v="4"/>
    <n v="1"/>
    <x v="0"/>
    <x v="0"/>
    <x v="5"/>
    <x v="0"/>
    <s v="Coordinadora"/>
    <s v="3015858 -84151103425"/>
    <d v="2025-01-13T16:47:27"/>
    <d v="2025-01-14T15:27:49"/>
    <x v="0"/>
    <n v="2"/>
    <n v="3"/>
    <s v="Cumple"/>
    <n v="24885"/>
    <m/>
    <m/>
  </r>
  <r>
    <d v="2025-01-11T00:00:00"/>
    <x v="0"/>
    <n v="2393"/>
    <x v="0"/>
    <s v="Santiago Garzon Diaz"/>
    <s v="TECU2FNG"/>
    <x v="5"/>
    <n v="1"/>
    <x v="1"/>
    <x v="0"/>
    <x v="8"/>
    <x v="0"/>
    <s v="Coordinadora"/>
    <s v="3015877 -84151103435"/>
    <d v="2025-01-13T16:47:27"/>
    <d v="2025-01-14T09:51:51"/>
    <x v="0"/>
    <n v="1"/>
    <n v="2"/>
    <s v="Cumple"/>
    <n v="41593"/>
    <m/>
    <m/>
  </r>
  <r>
    <d v="2025-01-11T00:00:00"/>
    <x v="0"/>
    <n v="2393"/>
    <x v="0"/>
    <s v="Santiago Garzon Diaz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1-12T00:00:00"/>
    <x v="0"/>
    <n v="2394"/>
    <x v="0"/>
    <s v="Julian Cajiao"/>
    <s v="TECU3FNPRO"/>
    <x v="12"/>
    <n v="1"/>
    <x v="1"/>
    <x v="0"/>
    <x v="8"/>
    <x v="0"/>
    <s v="Coordinadora"/>
    <s v="3015893 -84151103439"/>
    <d v="2025-01-13T16:47:27"/>
    <d v="2025-01-14T11:27:21"/>
    <x v="0"/>
    <n v="0"/>
    <n v="1"/>
    <s v="Cumple"/>
    <n v="42921"/>
    <m/>
    <m/>
  </r>
  <r>
    <d v="2025-01-12T00:00:00"/>
    <x v="0"/>
    <n v="2394"/>
    <x v="0"/>
    <s v="Julian Cajiao"/>
    <s v="TECUTRN6C"/>
    <x v="20"/>
    <n v="1"/>
    <x v="2"/>
    <x v="0"/>
    <x v="8"/>
    <x v="0"/>
    <s v="Coordinadora"/>
    <s v="3015895 -84151103441"/>
    <d v="2025-01-13T16:48:27"/>
    <d v="2025-01-14T11:27:21"/>
    <x v="0"/>
    <n v="0"/>
    <n v="1"/>
    <s v="Cumple"/>
    <n v="24093"/>
    <m/>
    <m/>
  </r>
  <r>
    <d v="2025-01-12T00:00:00"/>
    <x v="0"/>
    <n v="2394"/>
    <x v="0"/>
    <s v="Julian Cajiao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1-13T00:00:00"/>
    <x v="0"/>
    <n v="2395"/>
    <x v="0"/>
    <s v="Lucas Latorre"/>
    <s v="TECU3FNPRO"/>
    <x v="12"/>
    <n v="1"/>
    <x v="1"/>
    <x v="5"/>
    <x v="9"/>
    <x v="0"/>
    <s v="Coordinadora"/>
    <s v="3017031 -84151104118"/>
    <d v="2025-01-13T16:47:27"/>
    <d v="2025-01-15T17:17:03"/>
    <x v="0"/>
    <n v="0"/>
    <n v="2"/>
    <s v="Cumple"/>
    <n v="56077"/>
    <m/>
    <m/>
  </r>
  <r>
    <d v="2025-01-13T00:00:00"/>
    <x v="0"/>
    <n v="2395"/>
    <x v="0"/>
    <s v="Lucas Latorre"/>
    <s v="TECUTFE8C"/>
    <x v="21"/>
    <n v="1"/>
    <x v="2"/>
    <x v="5"/>
    <x v="9"/>
    <x v="0"/>
    <s v="Coordinadora"/>
    <s v="3017033 -84151104119"/>
    <d v="2025-01-13T16:48:27"/>
    <d v="2025-01-15T17:17:03"/>
    <x v="0"/>
    <n v="0"/>
    <n v="2"/>
    <s v="Cumple"/>
    <n v="38589"/>
    <m/>
    <m/>
  </r>
  <r>
    <d v="2025-01-13T00:00:00"/>
    <x v="0"/>
    <n v="2396"/>
    <x v="0"/>
    <s v="FELIPE CASTAÑO"/>
    <s v="TECU3FNPRO"/>
    <x v="12"/>
    <n v="1"/>
    <x v="1"/>
    <x v="0"/>
    <x v="5"/>
    <x v="0"/>
    <s v="Coordinadora"/>
    <s v="3018831 -84151104925"/>
    <d v="2025-01-14T15:58:05"/>
    <d v="2025-01-15T10:33:56"/>
    <x v="0"/>
    <n v="1"/>
    <n v="2"/>
    <s v="Cumple"/>
    <n v="42921"/>
    <m/>
    <m/>
  </r>
  <r>
    <d v="2025-01-13T00:00:00"/>
    <x v="0"/>
    <n v="2396"/>
    <x v="0"/>
    <s v="FELIPE CASTAÑO"/>
    <s v="TECUTCO6C"/>
    <x v="16"/>
    <n v="1"/>
    <x v="2"/>
    <x v="0"/>
    <x v="5"/>
    <x v="0"/>
    <s v="Coordinadora"/>
    <s v="3018833 -84151104926"/>
    <d v="2025-01-14T15:58:05"/>
    <d v="2025-01-15T10:33:56"/>
    <x v="0"/>
    <n v="1"/>
    <n v="2"/>
    <s v="Cumple"/>
    <n v="24093"/>
    <m/>
    <m/>
  </r>
  <r>
    <d v="2025-01-13T00:00:00"/>
    <x v="0"/>
    <n v="2396"/>
    <x v="0"/>
    <s v="FELIPE CASTAÑO"/>
    <s v="TECUDSN"/>
    <x v="13"/>
    <n v="1"/>
    <x v="4"/>
    <x v="0"/>
    <x v="5"/>
    <x v="0"/>
    <s v="Coordinadora"/>
    <s v="3018855 -84151104940"/>
    <d v="2025-01-14T15:58:05"/>
    <d v="2025-01-15T10:33:56"/>
    <x v="0"/>
    <n v="1"/>
    <n v="2"/>
    <s v="Cumple"/>
    <n v="26609"/>
    <m/>
    <m/>
  </r>
  <r>
    <d v="2025-01-13T00:00:00"/>
    <x v="0"/>
    <n v="2396"/>
    <x v="0"/>
    <s v="FELIPE CASTAÑO"/>
    <m/>
    <x v="10"/>
    <n v="1"/>
    <x v="3"/>
    <x v="0"/>
    <x v="5"/>
    <x v="1"/>
    <s v="NA"/>
    <s v="NA"/>
    <s v="NA"/>
    <s v="NA"/>
    <x v="0"/>
    <s v="PTE"/>
    <e v="#VALUE!"/>
    <e v="#VALUE!"/>
    <n v="0"/>
    <m/>
    <m/>
  </r>
  <r>
    <d v="2025-01-14T00:00:00"/>
    <x v="0"/>
    <n v="2397"/>
    <x v="0"/>
    <s v="Andres Felipe Parra Rojas"/>
    <s v="TECU2FNG"/>
    <x v="5"/>
    <n v="1"/>
    <x v="1"/>
    <x v="1"/>
    <x v="1"/>
    <x v="0"/>
    <s v="Coordinadora"/>
    <s v="3023657 -84151107102"/>
    <d v="2025-01-16T16:40:11"/>
    <d v="2025-01-17T16:21:03"/>
    <x v="0"/>
    <n v="2"/>
    <n v="3"/>
    <s v="Cumple"/>
    <n v="41593"/>
    <m/>
    <m/>
  </r>
  <r>
    <d v="2025-01-14T00:00:00"/>
    <x v="0"/>
    <n v="2397"/>
    <x v="0"/>
    <s v="Andres Felipe Parra Rojas"/>
    <s v="TECUTRN5C"/>
    <x v="22"/>
    <n v="1"/>
    <x v="2"/>
    <x v="1"/>
    <x v="1"/>
    <x v="0"/>
    <s v="Coordinadora"/>
    <s v="3023658 -84151107103"/>
    <d v="2025-01-16T16:41:19"/>
    <d v="2025-01-18T14:05:19"/>
    <x v="0"/>
    <n v="2"/>
    <n v="4"/>
    <s v="No cumple"/>
    <n v="24093"/>
    <m/>
    <m/>
  </r>
  <r>
    <d v="2025-01-16T00:00:00"/>
    <x v="0"/>
    <n v="2398"/>
    <x v="0"/>
    <s v="Juan David Martínez Gordillo"/>
    <s v="TECU2FNG"/>
    <x v="5"/>
    <n v="1"/>
    <x v="1"/>
    <x v="1"/>
    <x v="1"/>
    <x v="0"/>
    <s v="Coordinadora"/>
    <s v="3023776 -84151107161"/>
    <d v="2025-01-16T16:40:11"/>
    <d v="2025-01-18T13:27:15"/>
    <x v="0"/>
    <n v="0"/>
    <n v="2"/>
    <s v="Cumple"/>
    <n v="41593"/>
    <m/>
    <m/>
  </r>
  <r>
    <d v="2025-01-16T00:00:00"/>
    <x v="0"/>
    <n v="2398"/>
    <x v="0"/>
    <s v="Juan David Martínez Gordillo"/>
    <s v="TECUTCO3C"/>
    <x v="23"/>
    <n v="1"/>
    <x v="2"/>
    <x v="1"/>
    <x v="1"/>
    <x v="0"/>
    <s v="Coordinadora"/>
    <s v="3023777 -84151107162"/>
    <d v="2025-01-16T16:41:19"/>
    <d v="2025-01-20T14:33:10"/>
    <x v="0"/>
    <n v="0"/>
    <n v="3"/>
    <s v="Cumple"/>
    <n v="24093"/>
    <m/>
    <m/>
  </r>
  <r>
    <d v="2025-01-16T00:00:00"/>
    <x v="0"/>
    <n v="2399"/>
    <x v="0"/>
    <s v="Stefan de Brandt"/>
    <s v="TECU3FNPRO"/>
    <x v="12"/>
    <n v="1"/>
    <x v="1"/>
    <x v="0"/>
    <x v="5"/>
    <x v="0"/>
    <s v="Coordinadora"/>
    <s v="3023834 -84151107192"/>
    <d v="2025-01-16T16:40:11"/>
    <d v="2025-01-17T17:50:22"/>
    <x v="0"/>
    <n v="0"/>
    <n v="1"/>
    <s v="Cumple"/>
    <n v="42921"/>
    <m/>
    <m/>
  </r>
  <r>
    <d v="2025-01-16T00:00:00"/>
    <x v="0"/>
    <n v="2399"/>
    <x v="0"/>
    <s v="Stefan de Brandt"/>
    <s v="TECUTCO6M"/>
    <x v="24"/>
    <n v="1"/>
    <x v="2"/>
    <x v="0"/>
    <x v="5"/>
    <x v="0"/>
    <s v="Coordinadora"/>
    <s v="3023835 -84151107193"/>
    <d v="2025-01-16T16:41:19"/>
    <d v="2025-01-17T17:50:22"/>
    <x v="0"/>
    <n v="0"/>
    <n v="1"/>
    <s v="Cumple"/>
    <n v="24093"/>
    <m/>
    <m/>
  </r>
  <r>
    <d v="2025-01-16T00:00:00"/>
    <x v="0"/>
    <n v="2399"/>
    <x v="0"/>
    <s v="Stefan de Brandt"/>
    <m/>
    <x v="10"/>
    <n v="1"/>
    <x v="3"/>
    <x v="0"/>
    <x v="5"/>
    <x v="1"/>
    <s v="NA"/>
    <s v="NA"/>
    <s v="NA"/>
    <s v="NA"/>
    <x v="0"/>
    <s v="PTE"/>
    <e v="#VALUE!"/>
    <e v="#VALUE!"/>
    <n v="0"/>
    <m/>
    <m/>
  </r>
  <r>
    <d v="2025-01-16T00:00:00"/>
    <x v="0"/>
    <n v="2400"/>
    <x v="0"/>
    <s v="Julian Cujabante Villamil"/>
    <s v="TECUROD6"/>
    <x v="25"/>
    <n v="1"/>
    <x v="7"/>
    <x v="1"/>
    <x v="1"/>
    <x v="0"/>
    <s v="Coordinadora"/>
    <s v="3026040 -84151108154"/>
    <d v="2025-01-17T15:07:22"/>
    <d v="2025-01-20T12:41:03"/>
    <x v="0"/>
    <n v="1"/>
    <n v="3"/>
    <s v="Cumple"/>
    <n v="23875"/>
    <m/>
    <m/>
  </r>
  <r>
    <d v="2025-01-16T00:00:00"/>
    <x v="0"/>
    <n v="2400"/>
    <x v="0"/>
    <s v="Julian Cujabante Villamil"/>
    <s v="TECUBDPA"/>
    <x v="1"/>
    <n v="1"/>
    <x v="0"/>
    <x v="1"/>
    <x v="1"/>
    <x v="0"/>
    <s v="Coordinadora"/>
    <s v="3026035 -84151108151"/>
    <d v="2025-01-17T15:07:22"/>
    <d v="2025-01-20T12:41:03"/>
    <x v="0"/>
    <n v="1"/>
    <n v="3"/>
    <s v="Cumple"/>
    <n v="16617"/>
    <m/>
    <m/>
  </r>
  <r>
    <d v="2025-01-16T00:00:00"/>
    <x v="0"/>
    <n v="2400"/>
    <x v="0"/>
    <s v="Julian Cujabante Villamil"/>
    <s v="TECURN"/>
    <x v="18"/>
    <n v="1"/>
    <x v="6"/>
    <x v="1"/>
    <x v="1"/>
    <x v="0"/>
    <s v="Coordinadora"/>
    <s v="3026126 -84151108195"/>
    <d v="2025-01-17T15:07:22"/>
    <d v="2025-01-20T12:41:03"/>
    <x v="0"/>
    <n v="1"/>
    <n v="3"/>
    <s v="Cumple"/>
    <n v="23429"/>
    <m/>
    <m/>
  </r>
  <r>
    <d v="2025-01-16T00:00:00"/>
    <x v="0"/>
    <n v="2400"/>
    <x v="0"/>
    <s v="Julian Cujabante Villamil"/>
    <m/>
    <x v="10"/>
    <n v="1"/>
    <x v="3"/>
    <x v="1"/>
    <x v="1"/>
    <x v="1"/>
    <s v="NA"/>
    <s v="NA"/>
    <d v="2025-01-21T00:00:00"/>
    <d v="2025-01-21T00:00:00"/>
    <x v="0"/>
    <s v="PTE"/>
    <n v="4"/>
    <s v="No cumple"/>
    <n v="0"/>
    <m/>
    <m/>
  </r>
  <r>
    <d v="2025-01-16T00:00:00"/>
    <x v="0"/>
    <n v="2401"/>
    <x v="0"/>
    <s v="Julian Cujabante Villamil"/>
    <s v="TECUAN"/>
    <x v="26"/>
    <n v="1"/>
    <x v="5"/>
    <x v="1"/>
    <x v="1"/>
    <x v="0"/>
    <s v="Envia"/>
    <s v="3026752 -954101129148"/>
    <d v="2025-01-17T15:51:00"/>
    <d v="2025-01-18T11:58:00"/>
    <x v="0"/>
    <n v="1"/>
    <n v="2"/>
    <s v="Cumple"/>
    <n v="70717"/>
    <m/>
    <m/>
  </r>
  <r>
    <d v="2025-01-17T00:00:00"/>
    <x v="0"/>
    <n v="2402"/>
    <x v="0"/>
    <s v="Catalina Alvarado"/>
    <s v="TECU2FNG"/>
    <x v="5"/>
    <n v="1"/>
    <x v="1"/>
    <x v="1"/>
    <x v="1"/>
    <x v="0"/>
    <s v="Coordinadora"/>
    <s v="3026634 -84151108514"/>
    <d v="2025-01-17T15:07:22"/>
    <d v="2025-01-20T11:09:20"/>
    <x v="0"/>
    <n v="0"/>
    <n v="2"/>
    <s v="Cumple"/>
    <n v="41593"/>
    <m/>
    <m/>
  </r>
  <r>
    <d v="2025-01-17T00:00:00"/>
    <x v="0"/>
    <n v="2402"/>
    <x v="0"/>
    <s v="Catalina Alvarado"/>
    <s v="TECUTFE2C"/>
    <x v="3"/>
    <n v="1"/>
    <x v="2"/>
    <x v="1"/>
    <x v="1"/>
    <x v="0"/>
    <s v="Coordinadora"/>
    <s v="3026635 -84151108515"/>
    <d v="2025-01-17T15:07:22"/>
    <d v="2025-01-20T11:07:59"/>
    <x v="0"/>
    <n v="0"/>
    <n v="2"/>
    <s v="Cumple"/>
    <n v="24093"/>
    <m/>
    <m/>
  </r>
  <r>
    <d v="2025-01-17T00:00:00"/>
    <x v="0"/>
    <n v="2403"/>
    <x v="0"/>
    <s v="Alexandra Martínez Ruiz"/>
    <s v="TECU3FNPRO"/>
    <x v="12"/>
    <n v="1"/>
    <x v="1"/>
    <x v="1"/>
    <x v="1"/>
    <x v="0"/>
    <s v="Coordinadora"/>
    <s v="3030945 -84151109872"/>
    <d v="2025-01-20T16:52:51"/>
    <d v="2025-01-22T00:00:00"/>
    <x v="0"/>
    <n v="2"/>
    <n v="4"/>
    <s v="No cumple"/>
    <n v="42921"/>
    <m/>
    <m/>
  </r>
  <r>
    <d v="2025-01-17T00:00:00"/>
    <x v="0"/>
    <n v="2403"/>
    <x v="0"/>
    <s v="Alexandra Martínez Ruiz"/>
    <s v="TECUTFE2C"/>
    <x v="3"/>
    <n v="1"/>
    <x v="2"/>
    <x v="1"/>
    <x v="1"/>
    <x v="0"/>
    <s v="Coordinadora"/>
    <s v="3030946 -84151109873"/>
    <d v="2025-01-20T16:52:51"/>
    <d v="2025-01-21T15:36:08"/>
    <x v="0"/>
    <n v="2"/>
    <n v="3"/>
    <s v="Cumple"/>
    <n v="28741"/>
    <m/>
    <m/>
  </r>
  <r>
    <d v="2025-01-17T00:00:00"/>
    <x v="0"/>
    <n v="2403"/>
    <x v="0"/>
    <s v="Alexandra Martínez Ruiz"/>
    <m/>
    <x v="10"/>
    <n v="1"/>
    <x v="3"/>
    <x v="1"/>
    <x v="1"/>
    <x v="1"/>
    <s v="NA"/>
    <s v="NA"/>
    <d v="2025-01-23T00:00:00"/>
    <s v="NA"/>
    <x v="0"/>
    <s v="PTE"/>
    <e v="#VALUE!"/>
    <e v="#VALUE!"/>
    <n v="0"/>
    <m/>
    <m/>
  </r>
  <r>
    <d v="2025-01-18T00:00:00"/>
    <x v="0"/>
    <n v="2404"/>
    <x v="0"/>
    <s v="Juan Camilo Acosta Escobar"/>
    <s v="TECU3FNPRO"/>
    <x v="12"/>
    <n v="1"/>
    <x v="1"/>
    <x v="0"/>
    <x v="10"/>
    <x v="0"/>
    <s v="Coordinadora"/>
    <s v="3030968 -84151109880"/>
    <d v="2025-01-20T16:52:51"/>
    <d v="2025-01-22T14:11:06"/>
    <x v="0"/>
    <n v="1"/>
    <n v="3"/>
    <s v="Cumple"/>
    <n v="42921"/>
    <m/>
    <m/>
  </r>
  <r>
    <d v="2025-01-18T00:00:00"/>
    <x v="0"/>
    <n v="2404"/>
    <x v="0"/>
    <s v="Juan Camilo Acosta Escobar"/>
    <s v="TECUTRM5C"/>
    <x v="27"/>
    <n v="1"/>
    <x v="2"/>
    <x v="0"/>
    <x v="10"/>
    <x v="0"/>
    <s v="Coordinadora"/>
    <s v="3030970 -84151109882"/>
    <d v="2025-01-20T16:52:51"/>
    <d v="2025-01-22T14:11:06"/>
    <x v="0"/>
    <n v="1"/>
    <n v="3"/>
    <s v="Cumple"/>
    <n v="24593"/>
    <m/>
    <m/>
  </r>
  <r>
    <d v="2025-01-18T00:00:00"/>
    <x v="0"/>
    <n v="2404"/>
    <x v="0"/>
    <s v="Juan Camilo Acosta Escobar"/>
    <s v="TECUCT"/>
    <x v="4"/>
    <n v="1"/>
    <x v="0"/>
    <x v="0"/>
    <x v="10"/>
    <x v="0"/>
    <s v="Coordinadora"/>
    <s v="3031428 -84151110138"/>
    <d v="2025-01-20T16:52:51"/>
    <d v="2025-01-22T14:11:06"/>
    <x v="0"/>
    <n v="1"/>
    <n v="3"/>
    <s v="Cumple"/>
    <n v="24885"/>
    <m/>
    <m/>
  </r>
  <r>
    <d v="2025-01-18T00:00:00"/>
    <x v="0"/>
    <n v="2405"/>
    <x v="0"/>
    <s v="Stefan de Brandt"/>
    <s v="TECUCT"/>
    <x v="4"/>
    <n v="1"/>
    <x v="0"/>
    <x v="0"/>
    <x v="5"/>
    <x v="0"/>
    <s v="Coordinadora"/>
    <s v="3031190 -84151110013"/>
    <d v="2025-01-20T16:52:51"/>
    <d v="2025-01-21T13:04:29"/>
    <x v="0"/>
    <n v="1"/>
    <n v="2"/>
    <s v="Cumple"/>
    <n v="24885"/>
    <m/>
    <m/>
  </r>
  <r>
    <d v="2025-01-20T00:00:00"/>
    <x v="0"/>
    <n v="2406"/>
    <x v="0"/>
    <s v="MARIA RODRIGUEZ"/>
    <s v="TECU2FBGO"/>
    <x v="2"/>
    <n v="1"/>
    <x v="1"/>
    <x v="6"/>
    <x v="11"/>
    <x v="0"/>
    <s v="Coordinadora"/>
    <s v="3034128 -84151111334"/>
    <d v="2025-01-21T17:11:07"/>
    <d v="2025-01-22T00:00:00"/>
    <x v="0"/>
    <n v="1"/>
    <n v="2"/>
    <e v="#N/A"/>
    <n v="41593"/>
    <m/>
    <m/>
  </r>
  <r>
    <d v="2025-01-20T00:00:00"/>
    <x v="0"/>
    <n v="2406"/>
    <x v="0"/>
    <s v="MARIA RODRIGUEZ"/>
    <s v="TECUTFE6C"/>
    <x v="28"/>
    <n v="1"/>
    <x v="2"/>
    <x v="6"/>
    <x v="11"/>
    <x v="0"/>
    <s v="Coordinadora"/>
    <s v="3034129 -84151111335"/>
    <d v="2025-01-21T17:11:07"/>
    <d v="2025-01-22T00:00:00"/>
    <x v="0"/>
    <n v="1"/>
    <n v="2"/>
    <e v="#N/A"/>
    <n v="24093"/>
    <m/>
    <m/>
  </r>
  <r>
    <d v="2025-01-21T00:00:00"/>
    <x v="0"/>
    <n v="2407"/>
    <x v="0"/>
    <s v="Juan Camilo Restrepo"/>
    <s v="TECU2FNG"/>
    <x v="5"/>
    <n v="1"/>
    <x v="1"/>
    <x v="1"/>
    <x v="1"/>
    <x v="0"/>
    <s v="Coordinadora"/>
    <s v="3034103 -84151111318"/>
    <d v="2025-01-21T17:11:07"/>
    <d v="2025-01-22T00:00:00"/>
    <x v="0"/>
    <n v="0"/>
    <n v="1"/>
    <s v="Cumple"/>
    <n v="41593"/>
    <m/>
    <m/>
  </r>
  <r>
    <d v="2025-01-21T00:00:00"/>
    <x v="0"/>
    <n v="2407"/>
    <x v="0"/>
    <s v="Juan Camilo Restrepo"/>
    <s v="TECUTFE5C"/>
    <x v="29"/>
    <n v="1"/>
    <x v="2"/>
    <x v="1"/>
    <x v="1"/>
    <x v="0"/>
    <s v="Coordinadora"/>
    <s v="3034104 -84151111319"/>
    <d v="2025-01-21T17:11:07"/>
    <d v="2025-01-23T00:00:00"/>
    <x v="0"/>
    <n v="0"/>
    <n v="2"/>
    <s v="Cumple"/>
    <n v="24093"/>
    <m/>
    <m/>
  </r>
  <r>
    <d v="2025-01-21T00:00:00"/>
    <x v="0"/>
    <n v="2407"/>
    <x v="0"/>
    <s v="Juan Camilo Restrepo"/>
    <s v="TECUCT"/>
    <x v="4"/>
    <n v="1"/>
    <x v="0"/>
    <x v="1"/>
    <x v="1"/>
    <x v="0"/>
    <s v="Coordinadora"/>
    <s v="3034115 -84151111325"/>
    <d v="2025-01-21T17:11:07"/>
    <d v="2025-01-22T00:00:00"/>
    <x v="0"/>
    <n v="0"/>
    <n v="1"/>
    <s v="Cumple"/>
    <n v="24885"/>
    <m/>
    <m/>
  </r>
  <r>
    <d v="2025-01-21T00:00:00"/>
    <x v="0"/>
    <n v="2408"/>
    <x v="0"/>
    <s v="Andres Mape"/>
    <s v="TECU3FNPRO"/>
    <x v="12"/>
    <n v="1"/>
    <x v="1"/>
    <x v="1"/>
    <x v="1"/>
    <x v="0"/>
    <s v="Coordinadora"/>
    <s v="3034145 -84151111349"/>
    <d v="2025-01-21T17:11:07"/>
    <d v="2025-01-22T00:00:00"/>
    <x v="0"/>
    <n v="0"/>
    <n v="1"/>
    <s v="Cumple"/>
    <n v="42921"/>
    <m/>
    <m/>
  </r>
  <r>
    <d v="2025-01-21T00:00:00"/>
    <x v="0"/>
    <n v="2408"/>
    <x v="0"/>
    <s v="Andres Mape"/>
    <s v="TECUTCO8C"/>
    <x v="19"/>
    <n v="1"/>
    <x v="2"/>
    <x v="1"/>
    <x v="1"/>
    <x v="0"/>
    <s v="Coordinadora"/>
    <s v="3034147 -84151111351"/>
    <d v="2025-01-21T17:11:07"/>
    <d v="2025-01-22T00:00:00"/>
    <x v="0"/>
    <n v="0"/>
    <n v="1"/>
    <s v="Cumple"/>
    <n v="26749"/>
    <m/>
    <m/>
  </r>
  <r>
    <d v="2025-01-21T00:00:00"/>
    <x v="0"/>
    <n v="2408"/>
    <x v="0"/>
    <s v="Andres Mape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1-21T00:00:00"/>
    <x v="0"/>
    <n v="2409"/>
    <x v="0"/>
    <s v="Rainer Villarreal"/>
    <s v="TECURCO"/>
    <x v="30"/>
    <n v="1"/>
    <x v="6"/>
    <x v="7"/>
    <x v="12"/>
    <x v="0"/>
    <s v="Coordinadora"/>
    <s v="3034185 -84151111369"/>
    <d v="2025-01-21T17:11:07"/>
    <d v="2025-01-22T00:00:00"/>
    <x v="0"/>
    <n v="0"/>
    <n v="1"/>
    <e v="#N/A"/>
    <n v="47133"/>
    <m/>
    <m/>
  </r>
  <r>
    <d v="2025-01-21T00:00:00"/>
    <x v="0"/>
    <n v="2410"/>
    <x v="0"/>
    <s v="German Uchamocha Euscategui"/>
    <s v="TECU2FNG"/>
    <x v="5"/>
    <n v="1"/>
    <x v="1"/>
    <x v="4"/>
    <x v="13"/>
    <x v="0"/>
    <s v="Coordinadora"/>
    <s v="3034194 -84151111375"/>
    <d v="2025-01-21T17:11:07"/>
    <d v="2025-01-23T00:00:00"/>
    <x v="0"/>
    <n v="0"/>
    <n v="2"/>
    <e v="#N/A"/>
    <n v="59835"/>
    <m/>
    <m/>
  </r>
  <r>
    <d v="2025-01-21T00:00:00"/>
    <x v="0"/>
    <n v="2410"/>
    <x v="0"/>
    <s v="German Uchamocha Euscategui"/>
    <s v="TECUTFE5C"/>
    <x v="29"/>
    <n v="1"/>
    <x v="2"/>
    <x v="4"/>
    <x v="13"/>
    <x v="0"/>
    <s v="Coordinadora"/>
    <s v="3034195 -84151111376"/>
    <d v="2025-01-21T17:11:07"/>
    <d v="2025-01-23T00:00:00"/>
    <x v="0"/>
    <n v="0"/>
    <n v="2"/>
    <e v="#N/A"/>
    <n v="39078"/>
    <m/>
    <m/>
  </r>
  <r>
    <d v="2025-01-21T00:00:00"/>
    <x v="0"/>
    <n v="2411"/>
    <x v="0"/>
    <s v="Juan David Lagos Rodriguez"/>
    <s v="TECU3FNPRO"/>
    <x v="12"/>
    <n v="1"/>
    <x v="1"/>
    <x v="1"/>
    <x v="1"/>
    <x v="0"/>
    <s v="Coordinadora"/>
    <s v="3034920 -84151111800"/>
    <d v="2025-01-21T17:11:07"/>
    <d v="2025-01-22T00:00:00"/>
    <x v="0"/>
    <n v="0"/>
    <n v="1"/>
    <s v="Cumple"/>
    <n v="42921"/>
    <m/>
    <m/>
  </r>
  <r>
    <d v="2025-01-21T00:00:00"/>
    <x v="0"/>
    <n v="2411"/>
    <x v="0"/>
    <s v="Juan David Lagos Rodriguez"/>
    <s v="TECUROD"/>
    <x v="31"/>
    <n v="1"/>
    <x v="7"/>
    <x v="1"/>
    <x v="1"/>
    <x v="0"/>
    <s v="Coordinadora"/>
    <s v="3034923 -84151111801"/>
    <d v="2025-01-21T17:11:07"/>
    <d v="2025-01-22T00:00:00"/>
    <x v="0"/>
    <n v="0"/>
    <n v="1"/>
    <s v="Cumple"/>
    <n v="23875"/>
    <m/>
    <m/>
  </r>
  <r>
    <d v="2025-01-21T00:00:00"/>
    <x v="0"/>
    <n v="2411"/>
    <x v="0"/>
    <s v="Juan David Lagos Rodriguez"/>
    <m/>
    <x v="10"/>
    <n v="1"/>
    <x v="3"/>
    <x v="1"/>
    <x v="1"/>
    <x v="1"/>
    <s v="NA"/>
    <s v="NA"/>
    <d v="2025-01-23T00:00:00"/>
    <s v="NA"/>
    <x v="0"/>
    <s v="PTE"/>
    <e v="#VALUE!"/>
    <e v="#VALUE!"/>
    <n v="0"/>
    <m/>
    <m/>
  </r>
  <r>
    <d v="2025-01-14T00:00:00"/>
    <x v="0"/>
    <n v="2388"/>
    <x v="1"/>
    <s v="CAROLINA RAMIREZ RESTREPO"/>
    <s v="TECU2FNG"/>
    <x v="5"/>
    <n v="1"/>
    <x v="1"/>
    <x v="0"/>
    <x v="6"/>
    <x v="0"/>
    <s v="Coordinadora"/>
    <s v="3019490 - 84151105323"/>
    <d v="2025-01-14T00:00:00"/>
    <d v="2025-01-16T00:00:00"/>
    <x v="0"/>
    <n v="0"/>
    <n v="2"/>
    <s v="Cumple"/>
    <n v="112444"/>
    <n v="47258"/>
    <m/>
  </r>
  <r>
    <d v="2025-01-14T00:00:00"/>
    <x v="0"/>
    <n v="2388"/>
    <x v="1"/>
    <s v="CAROLINA RAMIREZ RESTREPO"/>
    <s v="TECUTCO6C"/>
    <x v="16"/>
    <n v="1"/>
    <x v="2"/>
    <x v="0"/>
    <x v="6"/>
    <x v="0"/>
    <s v="Coordinadora"/>
    <s v="3019497 - 84151105325"/>
    <d v="2025-01-14T00:00:00"/>
    <d v="2025-01-16T00:00:00"/>
    <x v="0"/>
    <n v="0"/>
    <n v="2"/>
    <s v="Cumple"/>
    <n v="98264"/>
    <n v="29257"/>
    <m/>
  </r>
  <r>
    <d v="2025-01-13T00:00:00"/>
    <x v="0"/>
    <n v="2366"/>
    <x v="1"/>
    <s v="Steven Hoyos"/>
    <s v="TECUBLS"/>
    <x v="32"/>
    <n v="1"/>
    <x v="0"/>
    <x v="8"/>
    <x v="14"/>
    <x v="0"/>
    <s v="Coordinadora"/>
    <s v="3015860 - 84151103434"/>
    <d v="2025-01-13T00:00:00"/>
    <d v="2025-01-14T00:00:00"/>
    <x v="0"/>
    <n v="0"/>
    <n v="1"/>
    <s v="Cumple"/>
    <n v="25385"/>
    <m/>
    <m/>
  </r>
  <r>
    <d v="2025-01-15T00:00:00"/>
    <x v="0"/>
    <n v="2366"/>
    <x v="2"/>
    <s v="Steven Hoyos"/>
    <s v="TECUBDPA"/>
    <x v="1"/>
    <n v="1"/>
    <x v="0"/>
    <x v="8"/>
    <x v="14"/>
    <x v="0"/>
    <s v="Coordinadora"/>
    <s v="3023584 - 84151107068"/>
    <d v="2025-01-16T00:00:00"/>
    <d v="2025-01-18T00:00:00"/>
    <x v="0"/>
    <n v="1"/>
    <n v="3"/>
    <s v="Cumple"/>
    <n v="24855"/>
    <m/>
    <m/>
  </r>
  <r>
    <d v="2025-01-20T00:00:00"/>
    <x v="0"/>
    <n v="2398"/>
    <x v="1"/>
    <s v="Juan David Martínez Gordillo"/>
    <s v="TECUTCO3C"/>
    <x v="23"/>
    <n v="1"/>
    <x v="2"/>
    <x v="1"/>
    <x v="1"/>
    <x v="0"/>
    <s v="Coordinadora"/>
    <s v="3035292 - 84151112021"/>
    <d v="2025-01-21T00:00:00"/>
    <d v="2025-01-23T00:00:00"/>
    <x v="0"/>
    <n v="1"/>
    <n v="3"/>
    <s v="Cumple"/>
    <n v="27929"/>
    <m/>
    <m/>
  </r>
  <r>
    <d v="2025-01-23T00:00:00"/>
    <x v="0"/>
    <n v="2412"/>
    <x v="0"/>
    <s v="Juan David Lagos Rodriguez"/>
    <s v="TECUCT"/>
    <x v="4"/>
    <n v="1"/>
    <x v="0"/>
    <x v="1"/>
    <x v="1"/>
    <x v="0"/>
    <s v="Coordinadora"/>
    <s v="3038877 -84151113422"/>
    <d v="2025-01-23T00:00:00"/>
    <d v="2025-01-24T00:00:00"/>
    <x v="0"/>
    <n v="0"/>
    <n v="1"/>
    <s v="Cumple"/>
    <n v="24885"/>
    <m/>
    <m/>
  </r>
  <r>
    <d v="2025-01-24T00:00:00"/>
    <x v="0"/>
    <n v="2413"/>
    <x v="0"/>
    <s v="Jorge Luis Monroy Herrera"/>
    <s v="TECU3FNPRO"/>
    <x v="12"/>
    <n v="1"/>
    <x v="1"/>
    <x v="2"/>
    <x v="2"/>
    <x v="0"/>
    <s v="Coordinadora"/>
    <s v="3041057 -84151114405"/>
    <d v="2025-01-24T00:00:00"/>
    <d v="2025-01-27T00:00:00"/>
    <x v="0"/>
    <n v="0"/>
    <n v="2"/>
    <s v="Cumple"/>
    <n v="62467"/>
    <m/>
    <m/>
  </r>
  <r>
    <d v="2025-01-24T00:00:00"/>
    <x v="0"/>
    <n v="2413"/>
    <x v="0"/>
    <s v="Jorge Luis Monroy Herrera"/>
    <s v="TECUTFE8M"/>
    <x v="33"/>
    <n v="1"/>
    <x v="2"/>
    <x v="2"/>
    <x v="2"/>
    <x v="0"/>
    <s v="Coordinadora"/>
    <s v="3041058 -84151114407"/>
    <d v="2025-01-24T00:00:00"/>
    <d v="2025-01-27T00:00:00"/>
    <x v="0"/>
    <n v="0"/>
    <n v="2"/>
    <s v="Cumple"/>
    <n v="44340"/>
    <m/>
    <m/>
  </r>
  <r>
    <d v="2025-01-24T00:00:00"/>
    <x v="0"/>
    <n v="2414"/>
    <x v="0"/>
    <s v="Julio Castellanos"/>
    <s v="TECU3FBRO"/>
    <x v="34"/>
    <n v="1"/>
    <x v="1"/>
    <x v="1"/>
    <x v="1"/>
    <x v="0"/>
    <s v="Coordinadora"/>
    <s v="3041064 -84151114410"/>
    <d v="2025-01-24T00:00:00"/>
    <d v="2025-01-25T00:00:00"/>
    <x v="0"/>
    <n v="0"/>
    <n v="1"/>
    <s v="Cumple"/>
    <n v="42921"/>
    <m/>
    <m/>
  </r>
  <r>
    <d v="2025-01-24T00:00:00"/>
    <x v="0"/>
    <n v="2414"/>
    <x v="0"/>
    <s v="Julio Castellanos"/>
    <s v="TECUTFE7M"/>
    <x v="35"/>
    <n v="1"/>
    <x v="2"/>
    <x v="1"/>
    <x v="1"/>
    <x v="0"/>
    <s v="Coordinadora"/>
    <s v="3041066 -84151114411"/>
    <d v="2025-01-24T00:00:00"/>
    <d v="2025-01-27T00:00:00"/>
    <x v="0"/>
    <n v="0"/>
    <n v="2"/>
    <s v="Cumple"/>
    <n v="24093"/>
    <m/>
    <m/>
  </r>
  <r>
    <d v="2025-01-24T00:00:00"/>
    <x v="0"/>
    <n v="2414"/>
    <x v="0"/>
    <s v="Julio Castellanos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1-24T00:00:00"/>
    <x v="0"/>
    <n v="2415"/>
    <x v="0"/>
    <s v="Julio Castellanos"/>
    <s v="TECUBDPA"/>
    <x v="1"/>
    <n v="1"/>
    <x v="0"/>
    <x v="1"/>
    <x v="1"/>
    <x v="0"/>
    <s v="Coordinadora"/>
    <s v="3041074 -84151114418"/>
    <d v="2025-01-24T00:00:00"/>
    <d v="2025-01-25T00:00:00"/>
    <x v="0"/>
    <n v="0"/>
    <n v="1"/>
    <s v="Cumple"/>
    <n v="16617"/>
    <m/>
    <m/>
  </r>
  <r>
    <d v="2025-01-24T00:00:00"/>
    <x v="0"/>
    <n v="2416"/>
    <x v="0"/>
    <s v="Juan Pablo Romero Bernal"/>
    <s v="TECU2FNG"/>
    <x v="5"/>
    <n v="1"/>
    <x v="1"/>
    <x v="1"/>
    <x v="1"/>
    <x v="0"/>
    <s v="Coordinadora"/>
    <s v="3041082 -84151114424"/>
    <d v="2025-01-24T00:00:00"/>
    <d v="2025-01-28T00:00:00"/>
    <x v="0"/>
    <n v="0"/>
    <n v="3"/>
    <s v="Cumple"/>
    <n v="41593"/>
    <m/>
    <m/>
  </r>
  <r>
    <d v="2025-01-24T00:00:00"/>
    <x v="0"/>
    <n v="2416"/>
    <x v="0"/>
    <s v="Juan Pablo Romero Bernal"/>
    <s v="TECUTFE5C"/>
    <x v="29"/>
    <n v="1"/>
    <x v="2"/>
    <x v="1"/>
    <x v="1"/>
    <x v="0"/>
    <s v="Coordinadora"/>
    <s v="3041083 -84151114425"/>
    <d v="2025-01-24T00:00:00"/>
    <d v="2025-01-28T00:00:00"/>
    <x v="0"/>
    <n v="0"/>
    <n v="3"/>
    <s v="Cumple"/>
    <n v="24093"/>
    <m/>
    <m/>
  </r>
  <r>
    <d v="2025-01-24T00:00:00"/>
    <x v="0"/>
    <n v="2417"/>
    <x v="0"/>
    <s v="Rosemery Carrillo"/>
    <s v="TECU3FNPRO"/>
    <x v="12"/>
    <n v="1"/>
    <x v="1"/>
    <x v="1"/>
    <x v="1"/>
    <x v="0"/>
    <s v="Coordinadora"/>
    <s v="3041165 -84151114467"/>
    <d v="2025-01-24T00:00:00"/>
    <d v="2025-01-27T00:00:00"/>
    <x v="0"/>
    <n v="0"/>
    <n v="2"/>
    <s v="Cumple"/>
    <n v="42921"/>
    <m/>
    <m/>
  </r>
  <r>
    <d v="2025-01-24T00:00:00"/>
    <x v="0"/>
    <n v="2418"/>
    <x v="0"/>
    <s v="Angela Patricia Duque Gutierrez"/>
    <s v="TECU3FNPRO"/>
    <x v="12"/>
    <n v="1"/>
    <x v="1"/>
    <x v="9"/>
    <x v="15"/>
    <x v="0"/>
    <s v="Entrega directa"/>
    <s v="Entrega en la bodega a la cliente"/>
    <d v="2025-01-24T00:00:00"/>
    <d v="2025-01-24T00:00:00"/>
    <x v="0"/>
    <n v="0"/>
    <n v="0"/>
    <e v="#N/A"/>
    <n v="0"/>
    <m/>
    <m/>
  </r>
  <r>
    <d v="2025-01-24T00:00:00"/>
    <x v="0"/>
    <n v="2419"/>
    <x v="0"/>
    <s v="Ricardo Mesa Gallego"/>
    <s v="TECUCT"/>
    <x v="4"/>
    <n v="1"/>
    <x v="0"/>
    <x v="0"/>
    <x v="8"/>
    <x v="0"/>
    <s v="Coordinadora"/>
    <s v="3041884 - 84151114874"/>
    <d v="2025-01-24T00:00:00"/>
    <d v="2025-01-25T00:00:00"/>
    <x v="0"/>
    <n v="0"/>
    <n v="1"/>
    <s v="Cumple"/>
    <n v="24885"/>
    <m/>
    <m/>
  </r>
  <r>
    <d v="2025-01-27T00:00:00"/>
    <x v="0"/>
    <n v="2420"/>
    <x v="0"/>
    <s v="Cristian Laguado"/>
    <s v="TECU3FNPRO"/>
    <x v="12"/>
    <n v="1"/>
    <x v="1"/>
    <x v="1"/>
    <x v="1"/>
    <x v="0"/>
    <s v="Coordinadora"/>
    <s v="3053751 - 84151119935"/>
    <d v="2025-01-30T00:00:00"/>
    <d v="2025-02-01T00:00:00"/>
    <x v="0"/>
    <n v="3"/>
    <n v="5"/>
    <s v="No cumple"/>
    <n v="42921"/>
    <m/>
    <m/>
  </r>
  <r>
    <d v="2025-01-27T00:00:00"/>
    <x v="0"/>
    <n v="2420"/>
    <x v="0"/>
    <s v="Cristian Laguado"/>
    <s v="TECUTRM5C"/>
    <x v="27"/>
    <n v="1"/>
    <x v="2"/>
    <x v="1"/>
    <x v="1"/>
    <x v="0"/>
    <s v="Coordinadora"/>
    <s v="3053752 - 84151119936"/>
    <d v="2025-01-30T00:00:00"/>
    <d v="2025-02-04T00:00:00"/>
    <x v="0"/>
    <n v="3"/>
    <n v="7"/>
    <s v="No cumple"/>
    <n v="24593"/>
    <m/>
    <m/>
  </r>
  <r>
    <d v="2025-01-27T00:00:00"/>
    <x v="0"/>
    <n v="2421"/>
    <x v="0"/>
    <s v="Carlos Salazar"/>
    <s v="TECUROD"/>
    <x v="31"/>
    <n v="1"/>
    <x v="7"/>
    <x v="10"/>
    <x v="16"/>
    <x v="0"/>
    <s v="Coordinadora"/>
    <s v="3048222 - 84151117369"/>
    <d v="2025-01-28T00:00:00"/>
    <d v="2025-01-29T00:00:00"/>
    <x v="0"/>
    <n v="1"/>
    <n v="2"/>
    <s v="Cumple"/>
    <n v="23875"/>
    <m/>
    <m/>
  </r>
  <r>
    <d v="2025-01-27T00:00:00"/>
    <x v="0"/>
    <n v="2422"/>
    <x v="0"/>
    <s v="Juan Angulo"/>
    <s v="TECUCT"/>
    <x v="4"/>
    <n v="1"/>
    <x v="0"/>
    <x v="2"/>
    <x v="2"/>
    <x v="0"/>
    <s v="Coordinadora"/>
    <s v="3048263 - 84151117376"/>
    <d v="2025-01-28T00:00:00"/>
    <d v="2025-01-30T00:00:00"/>
    <x v="0"/>
    <n v="1"/>
    <n v="3"/>
    <s v="Cumple"/>
    <n v="24885"/>
    <m/>
    <m/>
  </r>
  <r>
    <d v="2025-01-28T00:00:00"/>
    <x v="0"/>
    <n v="2423"/>
    <x v="0"/>
    <s v="Octavio De La Hoz Franco"/>
    <s v="TECU3FBRO"/>
    <x v="34"/>
    <n v="1"/>
    <x v="1"/>
    <x v="2"/>
    <x v="2"/>
    <x v="0"/>
    <s v="Coordinadora"/>
    <s v="3049137 - 84151117798"/>
    <d v="2025-01-28T00:00:00"/>
    <d v="2025-02-01T00:00:00"/>
    <x v="0"/>
    <n v="0"/>
    <n v="4"/>
    <s v="Cumple"/>
    <n v="62647"/>
    <m/>
    <m/>
  </r>
  <r>
    <d v="2025-01-28T00:00:00"/>
    <x v="0"/>
    <n v="2423"/>
    <x v="0"/>
    <s v="Octavio De La Hoz Franco"/>
    <s v="TECUTB20C"/>
    <x v="36"/>
    <n v="1"/>
    <x v="2"/>
    <x v="2"/>
    <x v="2"/>
    <x v="0"/>
    <s v="Coordinadora"/>
    <s v="3049139 - 84151117799"/>
    <d v="2025-01-28T00:00:00"/>
    <d v="2025-02-01T00:00:00"/>
    <x v="0"/>
    <n v="0"/>
    <n v="4"/>
    <s v="Cumple"/>
    <n v="44340"/>
    <m/>
    <m/>
  </r>
  <r>
    <d v="2025-01-28T00:00:00"/>
    <x v="0"/>
    <n v="2424"/>
    <x v="0"/>
    <s v="CARLOS ARTURO REYES ESCOBAR"/>
    <s v="TECU3FNPRO"/>
    <x v="12"/>
    <n v="1"/>
    <x v="1"/>
    <x v="6"/>
    <x v="17"/>
    <x v="0"/>
    <s v="Coordinadora"/>
    <s v="3050418 - 84151118335"/>
    <d v="2025-01-29T00:00:00"/>
    <d v="2025-01-31T00:00:00"/>
    <x v="0"/>
    <n v="1"/>
    <n v="3"/>
    <s v="Cumple"/>
    <n v="42921"/>
    <m/>
    <m/>
  </r>
  <r>
    <d v="2025-01-28T00:00:00"/>
    <x v="0"/>
    <n v="2424"/>
    <x v="0"/>
    <s v="CARLOS ARTURO REYES ESCOBAR"/>
    <s v="TECUTCO2C"/>
    <x v="37"/>
    <n v="1"/>
    <x v="2"/>
    <x v="6"/>
    <x v="17"/>
    <x v="0"/>
    <s v="Coordinadora"/>
    <s v="3050419 - 84151118336"/>
    <d v="2025-01-29T00:00:00"/>
    <d v="2025-01-31T00:00:00"/>
    <x v="0"/>
    <n v="1"/>
    <n v="3"/>
    <s v="Cumple"/>
    <n v="28741"/>
    <m/>
    <m/>
  </r>
  <r>
    <d v="2025-01-29T00:00:00"/>
    <x v="0"/>
    <n v="2425"/>
    <x v="0"/>
    <s v="Manuel eduardo Valdez mantero"/>
    <s v="TECU3FBRO"/>
    <x v="34"/>
    <n v="1"/>
    <x v="1"/>
    <x v="1"/>
    <x v="1"/>
    <x v="0"/>
    <s v="Coordinadora"/>
    <s v="3050613 - 84151118456"/>
    <d v="2025-01-29T00:00:00"/>
    <d v="2025-01-31T00:00:00"/>
    <x v="0"/>
    <n v="0"/>
    <n v="2"/>
    <s v="Cumple"/>
    <n v="42921"/>
    <m/>
    <m/>
  </r>
  <r>
    <d v="2025-01-29T00:00:00"/>
    <x v="0"/>
    <n v="2425"/>
    <x v="0"/>
    <s v="Manuel eduardo Valdez mantero"/>
    <s v="TECUTB7C"/>
    <x v="38"/>
    <n v="1"/>
    <x v="2"/>
    <x v="1"/>
    <x v="1"/>
    <x v="0"/>
    <s v="Coordinadora"/>
    <s v="3050615 - 84151118457"/>
    <d v="2025-01-29T00:00:00"/>
    <d v="2025-01-31T00:00:00"/>
    <x v="0"/>
    <n v="0"/>
    <n v="2"/>
    <s v="Cumple"/>
    <n v="24093"/>
    <m/>
    <m/>
  </r>
  <r>
    <d v="2025-01-30T00:00:00"/>
    <x v="0"/>
    <n v="2426"/>
    <x v="0"/>
    <s v="Rodrigo Rivera"/>
    <s v="TECU3FNPRO"/>
    <x v="12"/>
    <n v="1"/>
    <x v="1"/>
    <x v="6"/>
    <x v="17"/>
    <x v="0"/>
    <s v="Coordinadora"/>
    <s v="3052581 - 84151119369"/>
    <d v="2025-01-30T00:00:00"/>
    <d v="2025-02-01T00:00:00"/>
    <x v="0"/>
    <n v="0"/>
    <n v="2"/>
    <s v="Cumple"/>
    <n v="42921"/>
    <m/>
    <m/>
  </r>
  <r>
    <d v="2025-01-30T00:00:00"/>
    <x v="0"/>
    <n v="2426"/>
    <x v="0"/>
    <s v="Rodrigo Rivera"/>
    <s v="TECUTCO8C"/>
    <x v="19"/>
    <n v="1"/>
    <x v="2"/>
    <x v="6"/>
    <x v="17"/>
    <x v="0"/>
    <s v="Coordinadora"/>
    <s v="3052583 - 84151119370"/>
    <d v="2025-01-30T00:00:00"/>
    <d v="2025-02-01T00:00:00"/>
    <x v="0"/>
    <n v="0"/>
    <n v="2"/>
    <s v="Cumple"/>
    <n v="26749"/>
    <m/>
    <m/>
  </r>
  <r>
    <d v="2025-01-30T00:00:00"/>
    <x v="0"/>
    <n v="2427"/>
    <x v="0"/>
    <s v="María Manuela Bueno Tavera"/>
    <s v="TECU3FBRO"/>
    <x v="34"/>
    <n v="1"/>
    <x v="1"/>
    <x v="1"/>
    <x v="1"/>
    <x v="0"/>
    <s v="Coordinadora"/>
    <s v="3053317 - 84151119704"/>
    <d v="2025-01-30T00:00:00"/>
    <d v="2025-01-31T00:00:00"/>
    <x v="0"/>
    <n v="0"/>
    <n v="1"/>
    <s v="Cumple"/>
    <n v="42921"/>
    <m/>
    <m/>
  </r>
  <r>
    <d v="2025-01-30T00:00:00"/>
    <x v="0"/>
    <n v="2427"/>
    <x v="0"/>
    <s v="María Manuela Bueno Tavera"/>
    <s v="TECUTFE3C"/>
    <x v="39"/>
    <n v="1"/>
    <x v="2"/>
    <x v="1"/>
    <x v="1"/>
    <x v="0"/>
    <s v="Coordinadora"/>
    <s v="3053318 - 84151119705"/>
    <d v="2025-01-30T00:00:00"/>
    <d v="2025-01-31T00:00:00"/>
    <x v="0"/>
    <n v="0"/>
    <n v="1"/>
    <s v="Cumple"/>
    <n v="28741"/>
    <m/>
    <m/>
  </r>
  <r>
    <d v="2025-01-30T00:00:00"/>
    <x v="0"/>
    <n v="2428"/>
    <x v="0"/>
    <s v="Nicolas Enciso Calle"/>
    <s v="TECU2FNG"/>
    <x v="5"/>
    <n v="1"/>
    <x v="1"/>
    <x v="0"/>
    <x v="8"/>
    <x v="0"/>
    <s v="Coordinadora"/>
    <s v="3053377 - 84151119723"/>
    <d v="2025-01-30T00:00:00"/>
    <d v="2025-01-31T00:00:00"/>
    <x v="0"/>
    <n v="0"/>
    <n v="1"/>
    <s v="Cumple"/>
    <n v="41593"/>
    <m/>
    <m/>
  </r>
  <r>
    <d v="2025-01-30T00:00:00"/>
    <x v="0"/>
    <n v="2428"/>
    <x v="0"/>
    <s v="Nicolas Enciso Calle"/>
    <s v="TECUTRN6C"/>
    <x v="20"/>
    <n v="1"/>
    <x v="2"/>
    <x v="0"/>
    <x v="8"/>
    <x v="0"/>
    <s v="Coordinadora"/>
    <s v="3053379 - 84151119725"/>
    <d v="2025-01-30T00:00:00"/>
    <d v="2025-01-31T00:00:00"/>
    <x v="0"/>
    <n v="0"/>
    <n v="1"/>
    <s v="Cumple"/>
    <n v="24093"/>
    <m/>
    <m/>
  </r>
  <r>
    <d v="2025-01-31T00:00:00"/>
    <x v="0"/>
    <n v="2429"/>
    <x v="0"/>
    <s v="Geovanny Mendoza Gonzalez"/>
    <s v="TECU3FNPRO"/>
    <x v="12"/>
    <n v="1"/>
    <x v="1"/>
    <x v="2"/>
    <x v="2"/>
    <x v="0"/>
    <s v="Coordinadora"/>
    <s v="3059087 - 84151121970"/>
    <d v="2025-02-03T00:00:00"/>
    <d v="2025-02-05T00:00:00"/>
    <x v="0"/>
    <n v="2"/>
    <n v="4"/>
    <s v="Cumple"/>
    <n v="62467"/>
    <m/>
    <m/>
  </r>
  <r>
    <d v="2025-01-31T00:00:00"/>
    <x v="0"/>
    <n v="2429"/>
    <x v="0"/>
    <s v="Geovanny Mendoza Gonzalez"/>
    <s v="TECUTCO5M"/>
    <x v="40"/>
    <n v="1"/>
    <x v="2"/>
    <x v="2"/>
    <x v="2"/>
    <x v="0"/>
    <s v="Coordinadora"/>
    <s v="3059089 - 84151121971"/>
    <d v="2025-02-03T00:00:00"/>
    <d v="2025-02-05T00:00:00"/>
    <x v="0"/>
    <n v="2"/>
    <n v="4"/>
    <s v="Cumple"/>
    <n v="39078"/>
    <m/>
    <m/>
  </r>
  <r>
    <d v="2025-01-31T00:00:00"/>
    <x v="0"/>
    <n v="2430"/>
    <x v="0"/>
    <s v="john ibanez"/>
    <s v="TECU3FNPRO"/>
    <x v="12"/>
    <n v="1"/>
    <x v="1"/>
    <x v="1"/>
    <x v="1"/>
    <x v="0"/>
    <s v="Coordinadora"/>
    <s v="3059099 - 84151121978"/>
    <d v="2025-02-03T00:00:00"/>
    <d v="2025-02-05T00:00:00"/>
    <x v="0"/>
    <n v="2"/>
    <n v="4"/>
    <s v="No cumple"/>
    <n v="42921"/>
    <m/>
    <m/>
  </r>
  <r>
    <d v="2025-01-31T00:00:00"/>
    <x v="0"/>
    <n v="2430"/>
    <x v="0"/>
    <s v="john ibanez"/>
    <s v="TECUTCO8C"/>
    <x v="19"/>
    <n v="1"/>
    <x v="2"/>
    <x v="1"/>
    <x v="1"/>
    <x v="0"/>
    <s v="Coordinadora"/>
    <s v="3059100 - 84151121979"/>
    <d v="2025-02-03T00:00:00"/>
    <d v="2025-02-05T00:00:00"/>
    <x v="0"/>
    <n v="2"/>
    <n v="4"/>
    <s v="No cumple"/>
    <n v="26749"/>
    <m/>
    <m/>
  </r>
  <r>
    <d v="2025-01-31T00:00:00"/>
    <x v="0"/>
    <n v="2430"/>
    <x v="0"/>
    <s v="john ibanez"/>
    <s v="TECUROD"/>
    <x v="31"/>
    <n v="1"/>
    <x v="7"/>
    <x v="1"/>
    <x v="1"/>
    <x v="0"/>
    <s v="Coordinadora"/>
    <s v="3059107 - 84151121983"/>
    <d v="2025-02-03T00:00:00"/>
    <d v="2025-02-05T00:00:00"/>
    <x v="0"/>
    <n v="2"/>
    <n v="4"/>
    <s v="No cumple"/>
    <n v="23875"/>
    <m/>
    <m/>
  </r>
  <r>
    <d v="2025-02-02T00:00:00"/>
    <x v="1"/>
    <n v="2431"/>
    <x v="0"/>
    <s v="Patricia Luna Pamplona"/>
    <s v="TECU3FBRO"/>
    <x v="34"/>
    <n v="1"/>
    <x v="1"/>
    <x v="1"/>
    <x v="1"/>
    <x v="0"/>
    <s v="Coordinadora"/>
    <s v="3059121 - 84151121990"/>
    <d v="2025-02-03T00:00:00"/>
    <d v="2025-02-07T00:00:00"/>
    <x v="0"/>
    <n v="0"/>
    <n v="4"/>
    <s v="No cumple"/>
    <n v="42921"/>
    <m/>
    <m/>
  </r>
  <r>
    <d v="2025-02-02T00:00:00"/>
    <x v="1"/>
    <n v="2431"/>
    <x v="0"/>
    <s v="Patricia Luna Pamplona"/>
    <s v="TECUTB5M"/>
    <x v="41"/>
    <n v="1"/>
    <x v="2"/>
    <x v="1"/>
    <x v="1"/>
    <x v="0"/>
    <s v="Coordinadora"/>
    <s v="3059122 - 84151121991"/>
    <d v="2025-02-03T00:00:00"/>
    <d v="2025-02-05T00:00:00"/>
    <x v="0"/>
    <n v="0"/>
    <n v="2"/>
    <s v="Cumple"/>
    <n v="24093"/>
    <m/>
    <m/>
  </r>
  <r>
    <d v="2025-02-02T00:00:00"/>
    <x v="1"/>
    <n v="2431"/>
    <x v="0"/>
    <s v="Patricia Luna Pamplona"/>
    <s v="TECUBDPM"/>
    <x v="0"/>
    <n v="1"/>
    <x v="0"/>
    <x v="1"/>
    <x v="1"/>
    <x v="0"/>
    <s v="Coordinadora"/>
    <s v="3059143 - 84151122002"/>
    <d v="2025-02-03T00:00:00"/>
    <d v="2025-02-05T00:00:00"/>
    <x v="0"/>
    <n v="0"/>
    <n v="2"/>
    <s v="Cumple"/>
    <n v="16617"/>
    <m/>
    <m/>
  </r>
  <r>
    <d v="2025-02-02T00:00:00"/>
    <x v="1"/>
    <n v="2432"/>
    <x v="0"/>
    <s v="Edgar Federico Rodríguez Aranda"/>
    <s v="TECURCC"/>
    <x v="42"/>
    <n v="1"/>
    <x v="6"/>
    <x v="1"/>
    <x v="1"/>
    <x v="0"/>
    <s v="Coordinadora"/>
    <s v="3059168 - 84151122021"/>
    <d v="2025-02-03T00:00:00"/>
    <d v="2025-02-06T00:00:00"/>
    <x v="0"/>
    <n v="0"/>
    <n v="3"/>
    <s v="Cumple"/>
    <n v="23429"/>
    <m/>
    <m/>
  </r>
  <r>
    <d v="2025-02-02T00:00:00"/>
    <x v="1"/>
    <n v="2433"/>
    <x v="0"/>
    <s v="Laura Yepes Aranda"/>
    <s v="TECU3FNPRO"/>
    <x v="12"/>
    <n v="1"/>
    <x v="1"/>
    <x v="0"/>
    <x v="8"/>
    <x v="0"/>
    <s v="Coordinadora"/>
    <s v="3064792 - 84151123684"/>
    <d v="2025-02-04T00:00:00"/>
    <d v="2025-02-05T00:00:00"/>
    <x v="0"/>
    <n v="1"/>
    <n v="2"/>
    <s v="Cumple"/>
    <n v="42921"/>
    <m/>
    <m/>
  </r>
  <r>
    <d v="2025-02-02T00:00:00"/>
    <x v="1"/>
    <n v="2433"/>
    <x v="0"/>
    <s v="Laura Yepes Aranda"/>
    <s v="TECUTFE7M"/>
    <x v="35"/>
    <n v="1"/>
    <x v="2"/>
    <x v="0"/>
    <x v="8"/>
    <x v="0"/>
    <s v="Coordinadora"/>
    <s v="3064793 - 84151123685"/>
    <d v="2025-02-04T00:00:00"/>
    <d v="2025-02-05T00:00:00"/>
    <x v="0"/>
    <n v="1"/>
    <n v="2"/>
    <s v="Cumple"/>
    <n v="24093"/>
    <m/>
    <m/>
  </r>
  <r>
    <d v="2025-02-02T00:00:00"/>
    <x v="1"/>
    <n v="2433"/>
    <x v="0"/>
    <s v="Laura Yepes Aranda"/>
    <s v="TECUAFE"/>
    <x v="43"/>
    <n v="1"/>
    <x v="5"/>
    <x v="0"/>
    <x v="8"/>
    <x v="0"/>
    <s v="Envia"/>
    <s v="3067195 - 954101143183"/>
    <d v="2025-02-04T00:00:00"/>
    <d v="2025-02-06T00:00:00"/>
    <x v="0"/>
    <n v="1"/>
    <n v="3"/>
    <s v="Cumple"/>
    <n v="65682"/>
    <m/>
    <m/>
  </r>
  <r>
    <d v="2025-02-02T00:00:00"/>
    <x v="1"/>
    <n v="2433"/>
    <x v="0"/>
    <s v="Laura Yepes Aranda"/>
    <s v="TECUBLS"/>
    <x v="32"/>
    <n v="1"/>
    <x v="0"/>
    <x v="0"/>
    <x v="8"/>
    <x v="0"/>
    <s v="Coordinadora"/>
    <s v="3064802 -84151123689"/>
    <d v="2025-02-04T00:00:00"/>
    <d v="2025-02-05T00:00:00"/>
    <x v="0"/>
    <n v="1"/>
    <n v="2"/>
    <s v="Cumple"/>
    <n v="24885"/>
    <m/>
    <m/>
  </r>
  <r>
    <d v="2025-02-03T00:00:00"/>
    <x v="1"/>
    <n v="2434"/>
    <x v="0"/>
    <s v="Darwin Saenz"/>
    <s v="TECUACO"/>
    <x v="15"/>
    <n v="1"/>
    <x v="5"/>
    <x v="1"/>
    <x v="1"/>
    <x v="0"/>
    <s v="Envia"/>
    <s v="3067483 - 954101143262"/>
    <d v="2025-02-04T00:00:00"/>
    <d v="2025-02-06T00:00:00"/>
    <x v="0"/>
    <n v="1"/>
    <n v="3"/>
    <s v="Cumple"/>
    <n v="54929"/>
    <m/>
    <m/>
  </r>
  <r>
    <d v="2025-02-03T00:00:00"/>
    <x v="1"/>
    <n v="2435"/>
    <x v="0"/>
    <s v="Andres Adolfo Hernandez Celis"/>
    <s v="TECU3FNPRO"/>
    <x v="12"/>
    <n v="1"/>
    <x v="1"/>
    <x v="1"/>
    <x v="1"/>
    <x v="0"/>
    <s v="Coordinadora"/>
    <s v="3064808 - 84151123691"/>
    <d v="2025-02-04T00:00:00"/>
    <d v="2025-02-06T00:00:00"/>
    <x v="0"/>
    <n v="1"/>
    <n v="3"/>
    <s v="Cumple"/>
    <n v="42921"/>
    <m/>
    <m/>
  </r>
  <r>
    <d v="2025-02-03T00:00:00"/>
    <x v="1"/>
    <n v="2435"/>
    <x v="0"/>
    <s v="Andres Adolfo Hernandez Celis"/>
    <s v="TECUTCO8C"/>
    <x v="19"/>
    <n v="1"/>
    <x v="2"/>
    <x v="1"/>
    <x v="1"/>
    <x v="0"/>
    <s v="Coordinadora"/>
    <s v="3064809 - 84151123692"/>
    <d v="2025-02-04T00:00:00"/>
    <d v="2025-02-06T00:00:00"/>
    <x v="0"/>
    <n v="1"/>
    <n v="3"/>
    <s v="Cumple"/>
    <n v="26749"/>
    <m/>
    <m/>
  </r>
  <r>
    <d v="2025-02-03T00:00:00"/>
    <x v="1"/>
    <n v="2435"/>
    <x v="0"/>
    <s v="Andres Adolfo Hernandez Celis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2-04T00:00:00"/>
    <x v="1"/>
    <n v="2436"/>
    <x v="0"/>
    <s v="Jorge Andrés Martin González"/>
    <s v="TECU3FNPRO"/>
    <x v="12"/>
    <n v="1"/>
    <x v="1"/>
    <x v="1"/>
    <x v="1"/>
    <x v="0"/>
    <s v="Coordinadora"/>
    <s v="3064827 - 84151123703"/>
    <d v="2025-02-04T00:00:00"/>
    <d v="2025-02-06T00:00:00"/>
    <x v="0"/>
    <n v="0"/>
    <n v="2"/>
    <s v="Cumple"/>
    <n v="42921"/>
    <m/>
    <m/>
  </r>
  <r>
    <d v="2025-02-10T00:00:00"/>
    <x v="1"/>
    <n v="2437"/>
    <x v="0"/>
    <s v="Luis Angel Hernandez Barreto"/>
    <s v="TECU3FNPRO"/>
    <x v="12"/>
    <n v="1"/>
    <x v="1"/>
    <x v="1"/>
    <x v="18"/>
    <x v="0"/>
    <s v="Coordinadora"/>
    <s v="3076529 - 84151128765"/>
    <d v="2025-02-10T00:00:00"/>
    <d v="2025-02-12T00:00:00"/>
    <x v="0"/>
    <n v="0"/>
    <n v="2"/>
    <e v="#N/A"/>
    <n v="42921"/>
    <m/>
    <m/>
  </r>
  <r>
    <d v="2025-02-10T00:00:00"/>
    <x v="1"/>
    <n v="2437"/>
    <x v="0"/>
    <s v="Luis Angel Hernandez Barreto"/>
    <s v="TECUTFE4C"/>
    <x v="14"/>
    <n v="1"/>
    <x v="2"/>
    <x v="1"/>
    <x v="18"/>
    <x v="0"/>
    <s v="Coordinadora"/>
    <s v="3076530 - 84151128766"/>
    <d v="2025-02-10T00:00:00"/>
    <d v="2025-02-12T00:00:00"/>
    <x v="0"/>
    <n v="0"/>
    <n v="2"/>
    <e v="#N/A"/>
    <n v="24093"/>
    <m/>
    <m/>
  </r>
  <r>
    <d v="2025-02-10T00:00:00"/>
    <x v="1"/>
    <n v="2438"/>
    <x v="0"/>
    <s v="Alejandro León Marín"/>
    <s v="TECU3FNPRO"/>
    <x v="12"/>
    <n v="1"/>
    <x v="1"/>
    <x v="1"/>
    <x v="1"/>
    <x v="0"/>
    <s v="Coordinadora"/>
    <s v="3076861 - 84151128959"/>
    <d v="2025-02-10T00:00:00"/>
    <d v="2025-02-12T00:00:00"/>
    <x v="0"/>
    <n v="0"/>
    <n v="2"/>
    <s v="Cumple"/>
    <n v="42921"/>
    <m/>
    <m/>
  </r>
  <r>
    <d v="2025-02-10T00:00:00"/>
    <x v="1"/>
    <n v="2438"/>
    <x v="0"/>
    <s v="Alejandro León Marín"/>
    <s v="TECUTCO6C"/>
    <x v="16"/>
    <n v="1"/>
    <x v="2"/>
    <x v="1"/>
    <x v="1"/>
    <x v="0"/>
    <s v="Coordinadora"/>
    <s v="3076862 - 84151128960"/>
    <d v="2025-02-10T00:00:00"/>
    <d v="2025-02-12T00:00:00"/>
    <x v="0"/>
    <n v="0"/>
    <n v="2"/>
    <s v="Cumple"/>
    <n v="24093"/>
    <m/>
    <m/>
  </r>
  <r>
    <d v="2025-02-10T00:00:00"/>
    <x v="1"/>
    <n v="2438"/>
    <x v="0"/>
    <s v="Alejandro León Marín"/>
    <s v="TECUBDPM"/>
    <x v="0"/>
    <n v="1"/>
    <x v="0"/>
    <x v="1"/>
    <x v="1"/>
    <x v="0"/>
    <s v="Coordinadora"/>
    <s v="3076871 - 84151128965"/>
    <d v="2025-02-10T00:00:00"/>
    <d v="2025-02-12T00:00:00"/>
    <x v="0"/>
    <n v="0"/>
    <n v="2"/>
    <s v="Cumple"/>
    <n v="16617"/>
    <m/>
    <m/>
  </r>
  <r>
    <d v="2025-02-10T00:00:00"/>
    <x v="1"/>
    <n v="2438"/>
    <x v="0"/>
    <s v="Alejandro León Marín"/>
    <s v="TECUCT"/>
    <x v="4"/>
    <n v="1"/>
    <x v="0"/>
    <x v="1"/>
    <x v="1"/>
    <x v="0"/>
    <s v="Coordinadora"/>
    <s v="3076866 - 84151128963"/>
    <d v="2025-02-10T00:00:00"/>
    <d v="2025-02-12T00:00:00"/>
    <x v="0"/>
    <n v="0"/>
    <n v="2"/>
    <s v="Cumple"/>
    <n v="24885"/>
    <m/>
    <m/>
  </r>
  <r>
    <d v="2025-02-10T00:00:00"/>
    <x v="1"/>
    <n v="2438"/>
    <x v="0"/>
    <s v="Alejandro León Marín"/>
    <m/>
    <x v="10"/>
    <n v="1"/>
    <x v="3"/>
    <x v="1"/>
    <x v="1"/>
    <x v="1"/>
    <s v="NA"/>
    <s v="NA"/>
    <s v="NA"/>
    <s v="NA"/>
    <x v="0"/>
    <m/>
    <m/>
    <m/>
    <n v="0"/>
    <m/>
    <m/>
  </r>
  <r>
    <d v="2025-02-11T00:00:00"/>
    <x v="1"/>
    <n v="2439"/>
    <x v="0"/>
    <s v="SARA GALLON"/>
    <s v="TECU3FNPRO"/>
    <x v="12"/>
    <n v="1"/>
    <x v="1"/>
    <x v="0"/>
    <x v="8"/>
    <x v="0"/>
    <s v="Coordinadora"/>
    <s v="3079084 - 84151129998"/>
    <d v="2025-02-11T00:00:00"/>
    <d v="2025-02-12T00:00:00"/>
    <x v="0"/>
    <n v="0"/>
    <n v="1"/>
    <s v="Cumple"/>
    <n v="42921"/>
    <m/>
    <m/>
  </r>
  <r>
    <d v="2025-02-11T00:00:00"/>
    <x v="1"/>
    <n v="2440"/>
    <x v="0"/>
    <s v="Johanna Rodero"/>
    <s v="TECUAB"/>
    <x v="44"/>
    <n v="1"/>
    <x v="5"/>
    <x v="1"/>
    <x v="1"/>
    <x v="0"/>
    <s v="Coordinadora"/>
    <s v="3079174 - 954101147482"/>
    <d v="2025-02-11T00:00:00"/>
    <d v="2025-02-12T00:00:00"/>
    <x v="0"/>
    <n v="0"/>
    <n v="1"/>
    <s v="Cumple"/>
    <n v="54929"/>
    <m/>
    <m/>
  </r>
  <r>
    <d v="2025-02-11T00:00:00"/>
    <x v="1"/>
    <n v="2441"/>
    <x v="0"/>
    <s v="Sebastian Casas"/>
    <s v="TECULFN2"/>
    <x v="7"/>
    <n v="1"/>
    <x v="1"/>
    <x v="1"/>
    <x v="1"/>
    <x v="0"/>
    <s v="Coordinadora"/>
    <s v="3079240 - 84151130081"/>
    <d v="2025-02-11T00:00:00"/>
    <d v="2025-02-12T00:00:00"/>
    <x v="0"/>
    <n v="0"/>
    <n v="1"/>
    <s v="Cumple"/>
    <n v="62530"/>
    <m/>
    <m/>
  </r>
  <r>
    <d v="2025-02-11T00:00:00"/>
    <x v="1"/>
    <n v="2441"/>
    <x v="0"/>
    <s v="Sebastian Casas"/>
    <s v="TECUTLCCS"/>
    <x v="45"/>
    <n v="1"/>
    <x v="2"/>
    <x v="1"/>
    <x v="1"/>
    <x v="0"/>
    <s v="Coordinadora"/>
    <s v="3079242 - 84151130082"/>
    <d v="2025-02-11T00:00:00"/>
    <d v="2025-02-12T00:00:00"/>
    <x v="0"/>
    <n v="0"/>
    <n v="1"/>
    <s v="Cumple"/>
    <n v="26749"/>
    <m/>
    <m/>
  </r>
  <r>
    <d v="2025-02-13T00:00:00"/>
    <x v="1"/>
    <n v="2442"/>
    <x v="0"/>
    <s v="Camilo Pimentel Gomez"/>
    <s v="TECU2FNG"/>
    <x v="5"/>
    <n v="1"/>
    <x v="1"/>
    <x v="1"/>
    <x v="1"/>
    <x v="0"/>
    <s v="Coordinadora"/>
    <s v="3084198 - 84151132452"/>
    <d v="2025-02-13T00:00:00"/>
    <d v="2025-02-15T00:00:00"/>
    <x v="0"/>
    <n v="0"/>
    <n v="2"/>
    <s v="Cumple"/>
    <n v="41593"/>
    <m/>
    <m/>
  </r>
  <r>
    <d v="2025-02-13T00:00:00"/>
    <x v="1"/>
    <n v="2442"/>
    <x v="0"/>
    <s v="Camilo Pimentel Gomez"/>
    <s v="TECUTCO2C"/>
    <x v="37"/>
    <n v="1"/>
    <x v="2"/>
    <x v="1"/>
    <x v="1"/>
    <x v="0"/>
    <s v="Coordinadora"/>
    <s v="3084199 - 84151132453"/>
    <d v="2025-02-13T00:00:00"/>
    <d v="2025-02-17T00:00:00"/>
    <x v="0"/>
    <n v="0"/>
    <n v="3"/>
    <s v="Cumple"/>
    <n v="24093"/>
    <m/>
    <m/>
  </r>
  <r>
    <d v="2025-02-14T00:00:00"/>
    <x v="1"/>
    <n v="2443"/>
    <x v="0"/>
    <s v="rodrigo rivera alarcon"/>
    <s v="TECU3FNPRO"/>
    <x v="12"/>
    <n v="1"/>
    <x v="1"/>
    <x v="6"/>
    <x v="17"/>
    <x v="0"/>
    <s v="Coordinadora"/>
    <s v="3085936 - 84151133206"/>
    <d v="2025-02-14T00:00:00"/>
    <d v="2025-02-15T00:00:00"/>
    <x v="0"/>
    <n v="0"/>
    <n v="1"/>
    <s v="Cumple"/>
    <n v="42921"/>
    <m/>
    <m/>
  </r>
  <r>
    <d v="2025-02-14T00:00:00"/>
    <x v="1"/>
    <n v="2443"/>
    <x v="0"/>
    <s v="rodrigo rivera alarcon"/>
    <s v="TECUTCO6C"/>
    <x v="16"/>
    <n v="1"/>
    <x v="2"/>
    <x v="6"/>
    <x v="17"/>
    <x v="0"/>
    <s v="Coordinadora"/>
    <s v="3085937 - 84151133207"/>
    <d v="2025-02-14T00:00:00"/>
    <d v="2025-02-15T00:00:00"/>
    <x v="0"/>
    <n v="0"/>
    <n v="1"/>
    <s v="Cumple"/>
    <n v="24093"/>
    <m/>
    <m/>
  </r>
  <r>
    <d v="2025-02-14T00:00:00"/>
    <x v="1"/>
    <n v="2444"/>
    <x v="0"/>
    <s v="Antonella Ramirez"/>
    <s v="TECU2FBGO"/>
    <x v="2"/>
    <n v="1"/>
    <x v="1"/>
    <x v="11"/>
    <x v="19"/>
    <x v="0"/>
    <s v="Coordinadora"/>
    <s v="3090347 - 84151134931"/>
    <d v="2025-02-17T00:00:00"/>
    <d v="2025-02-18T00:00:00"/>
    <x v="0"/>
    <n v="2"/>
    <n v="3"/>
    <s v="Cumple"/>
    <n v="34156"/>
    <m/>
    <m/>
  </r>
  <r>
    <d v="2025-02-14T00:00:00"/>
    <x v="1"/>
    <n v="2444"/>
    <x v="0"/>
    <s v="Antonella Ramirez"/>
    <s v="TECUTB3C"/>
    <x v="46"/>
    <n v="1"/>
    <x v="2"/>
    <x v="11"/>
    <x v="19"/>
    <x v="0"/>
    <s v="Coordinadora"/>
    <s v="3090348 - 84151134932"/>
    <d v="2025-02-17T00:00:00"/>
    <d v="2025-02-18T00:00:00"/>
    <x v="0"/>
    <n v="2"/>
    <n v="3"/>
    <s v="Cumple"/>
    <n v="15194"/>
    <m/>
    <m/>
  </r>
  <r>
    <d v="2025-02-17T00:00:00"/>
    <x v="1"/>
    <n v="2445"/>
    <x v="0"/>
    <s v="Andres Torres"/>
    <s v="TECUROD"/>
    <x v="31"/>
    <n v="2"/>
    <x v="7"/>
    <x v="1"/>
    <x v="1"/>
    <x v="0"/>
    <s v="Coordinadora"/>
    <s v="3090669 - 84151135081"/>
    <d v="2025-02-17T00:00:00"/>
    <d v="2025-02-18T00:00:00"/>
    <x v="0"/>
    <n v="0"/>
    <n v="1"/>
    <s v="Cumple"/>
    <n v="23875"/>
    <m/>
    <m/>
  </r>
  <r>
    <d v="2025-02-17T00:00:00"/>
    <x v="1"/>
    <n v="2446"/>
    <x v="0"/>
    <s v="Shorelight Education Colombia SAS"/>
    <s v="TECU2FNG"/>
    <x v="5"/>
    <n v="1"/>
    <x v="1"/>
    <x v="1"/>
    <x v="1"/>
    <x v="0"/>
    <s v="Coordinadora"/>
    <s v="3091001 - 84151135253"/>
    <d v="2025-02-17T00:00:00"/>
    <d v="2025-02-18T00:00:00"/>
    <x v="0"/>
    <n v="0"/>
    <n v="1"/>
    <s v="Cumple"/>
    <n v="41593"/>
    <m/>
    <m/>
  </r>
  <r>
    <d v="2025-02-17T00:00:00"/>
    <x v="1"/>
    <n v="2446"/>
    <x v="0"/>
    <s v="Shorelight Education Colombia SAS"/>
    <s v="TECUTCO3C"/>
    <x v="23"/>
    <n v="1"/>
    <x v="2"/>
    <x v="1"/>
    <x v="1"/>
    <x v="0"/>
    <s v="Coordinadora"/>
    <s v="3091002 - 84151135254"/>
    <d v="2025-02-17T00:00:00"/>
    <d v="2025-02-18T00:00:00"/>
    <x v="0"/>
    <n v="0"/>
    <n v="1"/>
    <s v="Cumple"/>
    <n v="24093"/>
    <m/>
    <m/>
  </r>
  <r>
    <d v="2025-02-17T00:00:00"/>
    <x v="1"/>
    <n v="2447"/>
    <x v="0"/>
    <s v="INMOTICA LTDA"/>
    <s v="TECU3FNPRO"/>
    <x v="12"/>
    <n v="1"/>
    <x v="1"/>
    <x v="1"/>
    <x v="1"/>
    <x v="0"/>
    <s v="Coordinadora"/>
    <s v="3093202 - 84151136273"/>
    <d v="2025-02-18T00:00:00"/>
    <d v="2025-02-19T00:00:00"/>
    <x v="0"/>
    <n v="1"/>
    <n v="2"/>
    <s v="Cumple"/>
    <n v="42921"/>
    <m/>
    <m/>
  </r>
  <r>
    <d v="2025-02-17T00:00:00"/>
    <x v="1"/>
    <n v="2447"/>
    <x v="0"/>
    <s v="INMOTICA LTDA"/>
    <s v="TECUTFE6M"/>
    <x v="47"/>
    <n v="1"/>
    <x v="2"/>
    <x v="1"/>
    <x v="1"/>
    <x v="0"/>
    <s v="Coordinadora"/>
    <s v="3093203 - 84151136274"/>
    <d v="2025-02-18T00:00:00"/>
    <d v="2025-02-20T00:00:00"/>
    <x v="0"/>
    <n v="1"/>
    <n v="3"/>
    <s v="Cumple"/>
    <n v="24093"/>
    <m/>
    <m/>
  </r>
  <r>
    <d v="2025-02-18T00:00:00"/>
    <x v="1"/>
    <n v="2448"/>
    <x v="0"/>
    <s v="Maria Bueno"/>
    <s v="TECU2FBGO"/>
    <x v="2"/>
    <n v="1"/>
    <x v="1"/>
    <x v="1"/>
    <x v="1"/>
    <x v="0"/>
    <s v="Coordinadora"/>
    <s v="3093212 - 84151136283"/>
    <d v="2025-02-18T00:00:00"/>
    <d v="2025-02-19T00:00:00"/>
    <x v="0"/>
    <n v="0"/>
    <n v="1"/>
    <s v="Cumple"/>
    <n v="41593"/>
    <m/>
    <m/>
  </r>
  <r>
    <d v="2025-02-18T00:00:00"/>
    <x v="1"/>
    <n v="2448"/>
    <x v="0"/>
    <s v="Maria Bueno"/>
    <s v="TECUTFE4C"/>
    <x v="14"/>
    <n v="1"/>
    <x v="2"/>
    <x v="1"/>
    <x v="1"/>
    <x v="0"/>
    <s v="Coordinadora"/>
    <s v="3093214 - 84151136284"/>
    <d v="2025-02-18T00:00:00"/>
    <d v="2025-02-20T00:00:00"/>
    <x v="0"/>
    <n v="0"/>
    <n v="2"/>
    <s v="Cumple"/>
    <n v="24093"/>
    <m/>
    <m/>
  </r>
  <r>
    <d v="2025-02-18T00:00:00"/>
    <x v="1"/>
    <n v="2448"/>
    <x v="0"/>
    <s v="Maria Bueno"/>
    <s v="TECUAFE"/>
    <x v="43"/>
    <n v="1"/>
    <x v="5"/>
    <x v="1"/>
    <x v="1"/>
    <x v="0"/>
    <s v="Envia"/>
    <s v="3093235 - 954101152921"/>
    <d v="2025-02-18T00:00:00"/>
    <d v="2025-02-19T00:00:00"/>
    <x v="0"/>
    <n v="0"/>
    <n v="1"/>
    <s v="Cumple"/>
    <n v="54929"/>
    <m/>
    <m/>
  </r>
  <r>
    <d v="2025-02-18T00:00:00"/>
    <x v="1"/>
    <n v="2448"/>
    <x v="0"/>
    <s v="Maria Bueno"/>
    <s v="TECUBDPM"/>
    <x v="0"/>
    <n v="1"/>
    <x v="0"/>
    <x v="1"/>
    <x v="1"/>
    <x v="0"/>
    <s v="Coordinadora"/>
    <s v="3093225 - 84151136289"/>
    <d v="2025-02-18T00:00:00"/>
    <d v="2025-02-19T00:00:00"/>
    <x v="0"/>
    <n v="0"/>
    <n v="1"/>
    <s v="Cumple"/>
    <n v="16617"/>
    <m/>
    <m/>
  </r>
  <r>
    <d v="2025-02-19T00:00:00"/>
    <x v="1"/>
    <n v="2449"/>
    <x v="0"/>
    <s v="Esteban de Bedout"/>
    <s v="TECUACO"/>
    <x v="15"/>
    <n v="1"/>
    <x v="5"/>
    <x v="1"/>
    <x v="1"/>
    <x v="0"/>
    <s v="Envia"/>
    <s v="3094269 - 954101153161"/>
    <d v="2025-02-18T00:00:00"/>
    <d v="2025-02-19T00:00:00"/>
    <x v="0"/>
    <n v="-3"/>
    <n v="0"/>
    <s v="Cumple"/>
    <n v="65682"/>
    <m/>
    <m/>
  </r>
  <r>
    <d v="2025-02-19T00:00:00"/>
    <x v="1"/>
    <n v="2450"/>
    <x v="0"/>
    <s v="Antonia Estrada"/>
    <s v="TECU2FNG"/>
    <x v="5"/>
    <n v="1"/>
    <x v="1"/>
    <x v="0"/>
    <x v="5"/>
    <x v="0"/>
    <s v="Coordinadora"/>
    <s v="3096424 - 84151137576"/>
    <d v="2025-02-18T00:00:00"/>
    <d v="2025-02-20T00:00:00"/>
    <x v="0"/>
    <n v="-3"/>
    <n v="1"/>
    <s v="Cumple"/>
    <n v="41593"/>
    <m/>
    <m/>
  </r>
  <r>
    <d v="2025-02-19T00:00:00"/>
    <x v="1"/>
    <n v="2450"/>
    <x v="0"/>
    <s v="Antonia Estrada"/>
    <s v="TECUTRN6C"/>
    <x v="20"/>
    <n v="1"/>
    <x v="2"/>
    <x v="0"/>
    <x v="5"/>
    <x v="0"/>
    <s v="Coordinadora"/>
    <s v="3096425 - 84151137577"/>
    <d v="2025-02-18T00:00:00"/>
    <d v="2025-02-20T00:00:00"/>
    <x v="0"/>
    <n v="-3"/>
    <n v="1"/>
    <s v="Cumple"/>
    <n v="24093"/>
    <m/>
    <m/>
  </r>
  <r>
    <d v="2025-02-19T00:00:00"/>
    <x v="1"/>
    <n v="2451"/>
    <x v="0"/>
    <s v="ZAFERI SAS"/>
    <s v="TECUACC"/>
    <x v="48"/>
    <n v="1"/>
    <x v="5"/>
    <x v="0"/>
    <x v="5"/>
    <x v="0"/>
    <s v="Envia"/>
    <s v="3097652 - 954101154334"/>
    <d v="2025-02-19T00:00:00"/>
    <d v="2025-02-20T00:00:00"/>
    <x v="0"/>
    <n v="0"/>
    <n v="1"/>
    <s v="Cumple"/>
    <n v="65682"/>
    <m/>
    <m/>
  </r>
  <r>
    <d v="2025-02-19T00:00:00"/>
    <x v="1"/>
    <n v="2451"/>
    <x v="0"/>
    <s v="ZAFERI SAS"/>
    <s v="TECUCT"/>
    <x v="4"/>
    <n v="1"/>
    <x v="0"/>
    <x v="0"/>
    <x v="5"/>
    <x v="0"/>
    <s v="Envia"/>
    <s v="3097666 - 954101154347"/>
    <d v="2025-02-19T00:00:00"/>
    <d v="2025-02-20T00:00:00"/>
    <x v="0"/>
    <n v="0"/>
    <n v="1"/>
    <s v="Cumple"/>
    <n v="20376"/>
    <m/>
    <m/>
  </r>
  <r>
    <d v="2025-02-23T00:00:00"/>
    <x v="1"/>
    <n v="2452"/>
    <x v="0"/>
    <s v="Daniel Corrales"/>
    <s v="TECULFN2"/>
    <x v="7"/>
    <n v="1"/>
    <x v="1"/>
    <x v="1"/>
    <x v="1"/>
    <x v="0"/>
    <s v="Coordinadora"/>
    <s v="3105541 - 84151141166"/>
    <d v="2025-02-24T00:00:00"/>
    <d v="2025-02-26T00:00:00"/>
    <x v="1"/>
    <n v="0"/>
    <s v="PTE"/>
    <s v="PTE"/>
    <n v="62530"/>
    <m/>
    <m/>
  </r>
  <r>
    <d v="2025-02-23T00:00:00"/>
    <x v="1"/>
    <n v="2452"/>
    <x v="0"/>
    <s v="Daniel Corrales"/>
    <s v="TECUTLCCS"/>
    <x v="45"/>
    <n v="1"/>
    <x v="2"/>
    <x v="1"/>
    <x v="1"/>
    <x v="0"/>
    <s v="Coordinadora"/>
    <s v="3105542 - 84151141167"/>
    <d v="2025-02-24T00:00:00"/>
    <d v="2025-02-26T00:00:00"/>
    <x v="1"/>
    <n v="0"/>
    <s v="PTE"/>
    <s v="PTE"/>
    <n v="25749"/>
    <m/>
    <m/>
  </r>
  <r>
    <d v="2025-02-05T00:00:00"/>
    <x v="1"/>
    <n v="2430"/>
    <x v="1"/>
    <s v="john ibanez"/>
    <s v="TECUTCO8C"/>
    <x v="19"/>
    <n v="1"/>
    <x v="2"/>
    <x v="1"/>
    <x v="1"/>
    <x v="0"/>
    <s v="Coordinadora"/>
    <s v="3069906 - 954101144256"/>
    <d v="2025-02-06T00:00:00"/>
    <d v="2025-02-07T00:00:00"/>
    <x v="0"/>
    <n v="1"/>
    <n v="2"/>
    <s v="Cumple"/>
    <n v="30834"/>
    <m/>
    <m/>
  </r>
  <r>
    <d v="2025-02-24T00:00:00"/>
    <x v="1"/>
    <n v="2454"/>
    <x v="0"/>
    <s v="Kevin Lopez"/>
    <s v="TECU2FNG"/>
    <x v="5"/>
    <n v="1"/>
    <x v="1"/>
    <x v="1"/>
    <x v="20"/>
    <x v="0"/>
    <s v="Coordinadora"/>
    <s v="3109084 -84151142667"/>
    <d v="2025-02-25T00:00:00"/>
    <d v="2025-02-27T15:00:19"/>
    <x v="0"/>
    <n v="1"/>
    <n v="3"/>
    <s v="Cumple"/>
    <n v="41593"/>
    <m/>
    <m/>
  </r>
  <r>
    <d v="2025-02-24T00:00:00"/>
    <x v="1"/>
    <n v="2454"/>
    <x v="0"/>
    <s v="Kevin Lopez"/>
    <s v="TECUTFE4C"/>
    <x v="14"/>
    <n v="1"/>
    <x v="2"/>
    <x v="1"/>
    <x v="20"/>
    <x v="0"/>
    <s v="Coordinadora"/>
    <s v="3109085 -84151142668"/>
    <d v="2025-02-25T00:00:00"/>
    <d v="2025-02-27T15:05:28"/>
    <x v="0"/>
    <n v="1"/>
    <n v="3"/>
    <s v="Cumple"/>
    <n v="24093"/>
    <m/>
    <m/>
  </r>
  <r>
    <d v="2025-02-25T00:00:00"/>
    <x v="1"/>
    <n v="2455"/>
    <x v="0"/>
    <s v="Kevin Lopez"/>
    <s v="TECU2FBGO"/>
    <x v="2"/>
    <n v="1"/>
    <x v="1"/>
    <x v="1"/>
    <x v="20"/>
    <x v="0"/>
    <s v="Coordinadora"/>
    <s v="3109094 -84151142672"/>
    <d v="2025-02-25T00:00:00"/>
    <d v="2025-02-27T15:05:28"/>
    <x v="0"/>
    <n v="0"/>
    <n v="2"/>
    <s v="Cumple"/>
    <n v="41593"/>
    <m/>
    <m/>
  </r>
  <r>
    <d v="2025-02-25T00:00:00"/>
    <x v="1"/>
    <n v="2455"/>
    <x v="0"/>
    <s v="Kevin Lopez"/>
    <s v="TECUTFE4C"/>
    <x v="14"/>
    <n v="1"/>
    <x v="2"/>
    <x v="1"/>
    <x v="20"/>
    <x v="0"/>
    <s v="Coordinadora"/>
    <s v="3109095 -84151142673"/>
    <d v="2025-02-25T00:00:00"/>
    <d v="2025-02-27T15:00:19"/>
    <x v="0"/>
    <n v="0"/>
    <n v="2"/>
    <s v="Cumple"/>
    <n v="24093"/>
    <m/>
    <m/>
  </r>
  <r>
    <d v="2025-02-25T00:00:00"/>
    <x v="1"/>
    <n v="2456"/>
    <x v="0"/>
    <s v="Juan Daniel Tobar Parada / SERVICIOS ESTRATEGICOS CMH, SAPI DE CV"/>
    <s v="TECU3FNPRO"/>
    <x v="12"/>
    <n v="1"/>
    <x v="1"/>
    <x v="1"/>
    <x v="1"/>
    <x v="0"/>
    <s v="Coordinadora"/>
    <s v="3109970 -84151143085"/>
    <d v="2025-02-26T00:00:00"/>
    <d v="2025-02-27T12:17:44"/>
    <x v="0"/>
    <n v="1"/>
    <n v="2"/>
    <s v="Cumple"/>
    <n v="42921"/>
    <m/>
    <m/>
  </r>
  <r>
    <d v="2025-02-25T00:00:00"/>
    <x v="1"/>
    <n v="2456"/>
    <x v="0"/>
    <s v="Juan Daniel Tobar Parada / SERVICIOS ESTRATEGICOS CMH, SAPI DE CV"/>
    <s v="TECUTRN2C"/>
    <x v="11"/>
    <n v="1"/>
    <x v="2"/>
    <x v="1"/>
    <x v="1"/>
    <x v="0"/>
    <s v="Coordinadora"/>
    <s v="3109971 -84151143086"/>
    <d v="2025-02-26T00:00:00"/>
    <d v="2025-02-27T12:17:44"/>
    <x v="0"/>
    <n v="1"/>
    <n v="2"/>
    <s v="Cumple"/>
    <n v="28741"/>
    <m/>
    <m/>
  </r>
  <r>
    <d v="2025-02-26T00:00:00"/>
    <x v="1"/>
    <n v="2457"/>
    <x v="0"/>
    <s v="Santiago Patiño"/>
    <s v="TECU3FNPRO"/>
    <x v="12"/>
    <n v="1"/>
    <x v="1"/>
    <x v="0"/>
    <x v="8"/>
    <x v="0"/>
    <s v="Coordinadora"/>
    <s v="3112625 -84151144131"/>
    <d v="2025-02-27T00:00:00"/>
    <d v="2025-02-28T00:00:00"/>
    <x v="0"/>
    <n v="1"/>
    <n v="2"/>
    <s v="Cumple"/>
    <n v="42921"/>
    <m/>
    <m/>
  </r>
  <r>
    <d v="2025-02-26T00:00:00"/>
    <x v="1"/>
    <n v="2457"/>
    <x v="0"/>
    <s v="Santiago Patiño"/>
    <s v="TECUTCO4C"/>
    <x v="6"/>
    <n v="1"/>
    <x v="2"/>
    <x v="0"/>
    <x v="8"/>
    <x v="0"/>
    <s v="Coordinadora"/>
    <s v="3112627 -84151144132"/>
    <d v="2025-02-27T00:00:00"/>
    <d v="2025-02-27T09:53:23"/>
    <x v="0"/>
    <n v="1"/>
    <n v="1"/>
    <s v="Cumple"/>
    <n v="24093"/>
    <m/>
    <m/>
  </r>
  <r>
    <d v="2025-02-26T00:00:00"/>
    <x v="1"/>
    <n v="2457"/>
    <x v="0"/>
    <s v="Santiago Patiño"/>
    <s v="TECUROD"/>
    <x v="31"/>
    <n v="1"/>
    <x v="7"/>
    <x v="0"/>
    <x v="8"/>
    <x v="0"/>
    <s v="Coordinadora"/>
    <s v="3112637 -84151144139"/>
    <d v="2025-02-27T00:00:00"/>
    <d v="2025-02-27T09:53:23"/>
    <x v="0"/>
    <n v="1"/>
    <n v="1"/>
    <s v="Cumple"/>
    <n v="23875"/>
    <m/>
    <m/>
  </r>
  <r>
    <d v="2025-02-27T00:00:00"/>
    <x v="1"/>
    <n v="2458"/>
    <x v="0"/>
    <s v="Laura Romero"/>
    <s v="TECU2FBGO"/>
    <x v="2"/>
    <n v="1"/>
    <x v="1"/>
    <x v="1"/>
    <x v="21"/>
    <x v="0"/>
    <s v="Coordinadora"/>
    <s v="3117134 -84151145965"/>
    <d v="2025-02-28T00:00:00"/>
    <d v="2025-03-03T14:06:50"/>
    <x v="0"/>
    <n v="1"/>
    <n v="3"/>
    <s v="Cumple"/>
    <n v="41593"/>
    <m/>
    <m/>
  </r>
  <r>
    <d v="2025-02-27T00:00:00"/>
    <x v="1"/>
    <n v="2458"/>
    <x v="0"/>
    <s v="Laura Romero"/>
    <s v="TECUTFE4C"/>
    <x v="14"/>
    <n v="1"/>
    <x v="2"/>
    <x v="1"/>
    <x v="21"/>
    <x v="0"/>
    <s v="Coordinadora"/>
    <s v="3117136 -84151145966"/>
    <d v="2025-02-28T00:00:00"/>
    <d v="2025-03-03T14:06:50"/>
    <x v="0"/>
    <n v="1"/>
    <n v="3"/>
    <s v="Cumple"/>
    <n v="24093"/>
    <m/>
    <m/>
  </r>
  <r>
    <d v="2025-02-27T00:00:00"/>
    <x v="1"/>
    <n v="2458"/>
    <x v="0"/>
    <s v="Laura Romero"/>
    <s v="TECUROD"/>
    <x v="31"/>
    <n v="1"/>
    <x v="7"/>
    <x v="1"/>
    <x v="21"/>
    <x v="0"/>
    <s v="Coordinadora"/>
    <s v="3117170 -84151145983"/>
    <d v="2025-02-28T00:00:00"/>
    <d v="2025-03-03T14:06:50"/>
    <x v="0"/>
    <n v="1"/>
    <n v="3"/>
    <s v="Cumple"/>
    <n v="23875"/>
    <m/>
    <m/>
  </r>
  <r>
    <d v="2025-02-28T00:00:00"/>
    <x v="1"/>
    <n v="2459"/>
    <x v="0"/>
    <s v="Oscar Mauricio Pacheco Saavedra"/>
    <s v="TECUBDPA"/>
    <x v="1"/>
    <n v="1"/>
    <x v="0"/>
    <x v="0"/>
    <x v="5"/>
    <x v="0"/>
    <s v="Coordinadora"/>
    <s v="3117207 -84151145988"/>
    <d v="2025-02-28T00:00:00"/>
    <d v="2025-03-01T13:52:27"/>
    <x v="0"/>
    <n v="0"/>
    <n v="1"/>
    <s v="Cumple"/>
    <n v="16617"/>
    <m/>
    <m/>
  </r>
  <r>
    <d v="2025-02-28T00:00:00"/>
    <x v="1"/>
    <n v="2460"/>
    <x v="0"/>
    <s v="Juan Daniel Tobar Parada / SERVICIOS ESTRATEGICOS CMH, SAPI DE CV"/>
    <s v="TECUCT"/>
    <x v="4"/>
    <n v="1"/>
    <x v="0"/>
    <x v="1"/>
    <x v="1"/>
    <x v="0"/>
    <s v="Coordinadora"/>
    <s v="3117224 -84151145997"/>
    <d v="2025-02-28T00:00:00"/>
    <d v="2025-03-01T17:16:43"/>
    <x v="0"/>
    <n v="0"/>
    <n v="1"/>
    <s v="Cumple"/>
    <n v="24885"/>
    <m/>
    <m/>
  </r>
  <r>
    <d v="2025-02-28T00:00:00"/>
    <x v="1"/>
    <n v="2461"/>
    <x v="0"/>
    <s v="Afranio Cardona Gomez"/>
    <s v="TECU3FNPRO"/>
    <x v="12"/>
    <n v="1"/>
    <x v="1"/>
    <x v="5"/>
    <x v="9"/>
    <x v="0"/>
    <s v="Coordinadora"/>
    <s v="3144602 - 84151157538"/>
    <d v="2025-03-10T00:00:00"/>
    <d v="2025-03-11T00:00:00"/>
    <x v="0"/>
    <n v="8"/>
    <n v="9"/>
    <s v="No cumple"/>
    <n v="56077"/>
    <m/>
    <m/>
  </r>
  <r>
    <d v="2025-02-28T00:00:00"/>
    <x v="1"/>
    <n v="2461"/>
    <x v="0"/>
    <s v="Afranio Cardona Gomez"/>
    <s v="TECUTRM8C"/>
    <x v="49"/>
    <n v="1"/>
    <x v="2"/>
    <x v="5"/>
    <x v="9"/>
    <x v="0"/>
    <s v="Coordinadora"/>
    <s v="3144603 - 84151157539"/>
    <d v="2025-03-10T00:00:00"/>
    <d v="2025-03-11T00:00:00"/>
    <x v="0"/>
    <n v="8"/>
    <n v="9"/>
    <s v="No cumple"/>
    <n v="39089"/>
    <m/>
    <m/>
  </r>
  <r>
    <d v="2025-02-28T00:00:00"/>
    <x v="1"/>
    <n v="2461"/>
    <x v="0"/>
    <s v="Afranio Cardona Gomez"/>
    <s v="TECUACO"/>
    <x v="15"/>
    <n v="1"/>
    <x v="5"/>
    <x v="5"/>
    <x v="9"/>
    <x v="0"/>
    <s v="Envia"/>
    <s v="3138978 - 954101168244"/>
    <d v="2025-03-07T00:00:00"/>
    <d v="2025-03-10T00:00:00"/>
    <x v="0"/>
    <n v="6"/>
    <n v="8"/>
    <s v="No cumple"/>
    <n v="112490"/>
    <m/>
    <m/>
  </r>
  <r>
    <d v="2025-02-28T00:00:00"/>
    <x v="1"/>
    <n v="2461"/>
    <x v="0"/>
    <s v="Afranio Cardona Gomez"/>
    <s v="TECUBDPA"/>
    <x v="1"/>
    <n v="1"/>
    <x v="0"/>
    <x v="5"/>
    <x v="9"/>
    <x v="0"/>
    <s v="Coordinadora"/>
    <s v="3144699 - 84151157571"/>
    <d v="2025-03-10T00:00:00"/>
    <d v="2025-03-11T00:00:00"/>
    <x v="0"/>
    <n v="8"/>
    <n v="9"/>
    <s v="No cumple"/>
    <n v="16617"/>
    <m/>
    <m/>
  </r>
  <r>
    <d v="2025-02-28T00:00:00"/>
    <x v="1"/>
    <n v="2461"/>
    <x v="0"/>
    <s v="Afranio Cardona Gomez"/>
    <s v="TECUCT"/>
    <x v="4"/>
    <n v="1"/>
    <x v="0"/>
    <x v="5"/>
    <x v="9"/>
    <x v="0"/>
    <s v="Coordinadora"/>
    <s v="3144610 - 84151157543"/>
    <d v="2025-03-10T00:00:00"/>
    <d v="2025-03-11T00:00:00"/>
    <x v="0"/>
    <n v="8"/>
    <n v="9"/>
    <s v="No cumple"/>
    <n v="24885"/>
    <m/>
    <m/>
  </r>
  <r>
    <d v="2025-03-01T00:00:00"/>
    <x v="2"/>
    <n v="2462"/>
    <x v="0"/>
    <s v="Jhon Anderson Monroy Cardenas"/>
    <s v="TECU3FNPRO"/>
    <x v="12"/>
    <n v="1"/>
    <x v="1"/>
    <x v="0"/>
    <x v="8"/>
    <x v="0"/>
    <s v="Coordinadora"/>
    <s v="3121638 -84151148036"/>
    <d v="2025-03-03T15:51:33"/>
    <d v="2025-03-04T10:03:23"/>
    <x v="0"/>
    <n v="1"/>
    <n v="2"/>
    <s v="Cumple"/>
    <n v="42921"/>
    <m/>
    <m/>
  </r>
  <r>
    <d v="2025-03-01T00:00:00"/>
    <x v="2"/>
    <n v="2462"/>
    <x v="0"/>
    <s v="Jhon Anderson Monroy Cardenas"/>
    <s v="TECUTB8M"/>
    <x v="50"/>
    <n v="1"/>
    <x v="2"/>
    <x v="0"/>
    <x v="8"/>
    <x v="0"/>
    <s v="Coordinadora"/>
    <s v="3121640 -84151148037"/>
    <d v="2025-03-03T15:51:33"/>
    <d v="2025-03-04T10:20:02"/>
    <x v="0"/>
    <n v="1"/>
    <n v="2"/>
    <s v="Cumple"/>
    <n v="26749"/>
    <m/>
    <m/>
  </r>
  <r>
    <d v="2025-03-02T00:00:00"/>
    <x v="2"/>
    <n v="2463"/>
    <x v="0"/>
    <s v="Jorge Delgado"/>
    <s v="TECU2FBGO"/>
    <x v="2"/>
    <n v="1"/>
    <x v="1"/>
    <x v="6"/>
    <x v="17"/>
    <x v="0"/>
    <s v="Coordinadora"/>
    <s v="3121907 -84151148156"/>
    <d v="2025-03-03T15:51:33"/>
    <d v="2025-03-04T11:34:12"/>
    <x v="0"/>
    <n v="0"/>
    <n v="1"/>
    <s v="Cumple"/>
    <n v="41593"/>
    <m/>
    <m/>
  </r>
  <r>
    <d v="2025-03-02T00:00:00"/>
    <x v="2"/>
    <n v="2463"/>
    <x v="0"/>
    <s v="Jorge Delgado"/>
    <s v="TECUTFE3C"/>
    <x v="39"/>
    <n v="1"/>
    <x v="2"/>
    <x v="6"/>
    <x v="17"/>
    <x v="0"/>
    <s v="Coordinadora"/>
    <s v="3121913 -84151148159"/>
    <d v="2025-03-03T15:51:33"/>
    <d v="2025-03-04T11:34:12"/>
    <x v="0"/>
    <n v="0"/>
    <n v="1"/>
    <s v="Cumple"/>
    <n v="24093"/>
    <m/>
    <m/>
  </r>
  <r>
    <d v="2025-03-03T00:00:00"/>
    <x v="2"/>
    <n v="2464"/>
    <x v="0"/>
    <s v="Juan David Herrera Martinez"/>
    <s v="TECU3FBRO"/>
    <x v="34"/>
    <n v="1"/>
    <x v="1"/>
    <x v="0"/>
    <x v="8"/>
    <x v="0"/>
    <s v="Coordinadora"/>
    <s v="3121937 -84151148173"/>
    <d v="2025-03-03T15:51:33"/>
    <d v="2025-03-04T10:07:44"/>
    <x v="0"/>
    <n v="0"/>
    <n v="1"/>
    <s v="Cumple"/>
    <n v="42921"/>
    <m/>
    <m/>
  </r>
  <r>
    <d v="2025-03-03T00:00:00"/>
    <x v="2"/>
    <n v="2464"/>
    <x v="0"/>
    <s v="Juan David Herrera Martinez"/>
    <s v="TECUTFE5C"/>
    <x v="29"/>
    <n v="1"/>
    <x v="2"/>
    <x v="0"/>
    <x v="8"/>
    <x v="0"/>
    <s v="Coordinadora"/>
    <s v="3121938 -84151148174"/>
    <d v="2025-03-03T15:51:33"/>
    <d v="2025-03-04T10:07:44"/>
    <x v="0"/>
    <n v="0"/>
    <n v="1"/>
    <s v="Cumple"/>
    <n v="24093"/>
    <m/>
    <m/>
  </r>
  <r>
    <d v="2025-03-03T00:00:00"/>
    <x v="2"/>
    <n v="2465"/>
    <x v="0"/>
    <s v="Luis Gabriel García Ramírez"/>
    <s v="TECU3FBRO"/>
    <x v="34"/>
    <n v="1"/>
    <x v="1"/>
    <x v="0"/>
    <x v="22"/>
    <x v="0"/>
    <s v="Coordinadora"/>
    <s v="3127560 -84151149937"/>
    <d v="2025-03-04T15:47:29"/>
    <d v="2025-03-05T18:20:04"/>
    <x v="0"/>
    <n v="1"/>
    <n v="2"/>
    <s v="Cumple"/>
    <n v="42921"/>
    <m/>
    <m/>
  </r>
  <r>
    <d v="2025-03-03T00:00:00"/>
    <x v="2"/>
    <n v="2465"/>
    <x v="0"/>
    <s v="Luis Gabriel García Ramírez"/>
    <s v="TECUTFE5C"/>
    <x v="29"/>
    <n v="1"/>
    <x v="2"/>
    <x v="0"/>
    <x v="22"/>
    <x v="0"/>
    <s v="Coordinadora"/>
    <s v="3127562 -84151149938"/>
    <d v="2025-03-04T15:47:29"/>
    <d v="2025-03-05T18:20:04"/>
    <x v="0"/>
    <n v="1"/>
    <n v="2"/>
    <s v="Cumple"/>
    <n v="24093"/>
    <m/>
    <m/>
  </r>
  <r>
    <d v="2025-03-03T00:00:00"/>
    <x v="2"/>
    <n v="2466"/>
    <x v="0"/>
    <s v="Jorge Alberto Eslava Cogollos"/>
    <s v="TECURCO"/>
    <x v="30"/>
    <n v="1"/>
    <x v="6"/>
    <x v="1"/>
    <x v="1"/>
    <x v="0"/>
    <s v="Coordinadora"/>
    <s v="3127712 -84151150031"/>
    <d v="2025-03-04T15:47:29"/>
    <d v="2025-03-06T09:33:29"/>
    <x v="0"/>
    <n v="1"/>
    <n v="3"/>
    <s v="Cumple"/>
    <n v="23429"/>
    <m/>
    <m/>
  </r>
  <r>
    <d v="2025-03-04T00:00:00"/>
    <x v="2"/>
    <n v="2467"/>
    <x v="0"/>
    <s v="Camilo Luna"/>
    <s v="TECU3FNPRO"/>
    <x v="12"/>
    <n v="1"/>
    <x v="1"/>
    <x v="1"/>
    <x v="1"/>
    <x v="0"/>
    <s v="Coordinadora"/>
    <s v="3127532 - 84151149926"/>
    <d v="2025-03-04T00:00:00"/>
    <d v="2025-03-05T00:00:00"/>
    <x v="0"/>
    <n v="0"/>
    <n v="1"/>
    <s v="Cumple"/>
    <n v="42921"/>
    <m/>
    <m/>
  </r>
  <r>
    <d v="2025-03-04T00:00:00"/>
    <x v="2"/>
    <n v="2467"/>
    <x v="0"/>
    <s v="Camilo Luna"/>
    <s v="TECUTCO8C"/>
    <x v="19"/>
    <n v="1"/>
    <x v="2"/>
    <x v="1"/>
    <x v="1"/>
    <x v="0"/>
    <s v="Coordinadora"/>
    <s v="3127533 - 84151149927"/>
    <d v="2025-03-04T00:00:00"/>
    <d v="2025-03-06T00:00:00"/>
    <x v="0"/>
    <n v="0"/>
    <n v="2"/>
    <s v="Cumple"/>
    <n v="26749"/>
    <m/>
    <m/>
  </r>
  <r>
    <d v="2025-03-04T00:00:00"/>
    <x v="2"/>
    <n v="2467"/>
    <x v="0"/>
    <s v="Camilo Luna"/>
    <s v="TECUACO"/>
    <x v="15"/>
    <n v="1"/>
    <x v="5"/>
    <x v="1"/>
    <x v="1"/>
    <x v="0"/>
    <s v="Envia"/>
    <s v="3135236 - 954101167164"/>
    <d v="2025-03-04T00:00:00"/>
    <d v="2025-03-07T00:00:00"/>
    <x v="0"/>
    <n v="0"/>
    <n v="3"/>
    <s v="Cumple"/>
    <n v="54929"/>
    <m/>
    <m/>
  </r>
  <r>
    <d v="2025-03-04T00:00:00"/>
    <x v="2"/>
    <n v="2468"/>
    <x v="0"/>
    <s v="Katherin Hernández"/>
    <s v="TECU3FNPRO"/>
    <x v="12"/>
    <n v="1"/>
    <x v="1"/>
    <x v="0"/>
    <x v="8"/>
    <x v="0"/>
    <s v="Coordinadora"/>
    <s v="3127792 - 84151150086"/>
    <d v="2025-03-04T00:00:00"/>
    <d v="2025-03-07T00:00:00"/>
    <x v="0"/>
    <n v="0"/>
    <n v="3"/>
    <s v="Cumple"/>
    <n v="42921"/>
    <m/>
    <m/>
  </r>
  <r>
    <d v="2025-03-04T00:00:00"/>
    <x v="2"/>
    <n v="2468"/>
    <x v="0"/>
    <s v="Katherin Hernández"/>
    <s v="TECUTCO5C"/>
    <x v="51"/>
    <n v="1"/>
    <x v="2"/>
    <x v="0"/>
    <x v="8"/>
    <x v="0"/>
    <s v="Coordinadora"/>
    <s v="3127888 - 84151150087"/>
    <d v="2025-03-04T00:00:00"/>
    <d v="2025-03-07T00:00:00"/>
    <x v="0"/>
    <n v="0"/>
    <n v="3"/>
    <s v="Cumple"/>
    <n v="24093"/>
    <m/>
    <m/>
  </r>
  <r>
    <d v="2025-03-04T00:00:00"/>
    <x v="2"/>
    <n v="2468"/>
    <x v="0"/>
    <s v="Katherin Hernández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3-04T00:00:00"/>
    <x v="2"/>
    <n v="2469"/>
    <x v="0"/>
    <s v="Mauro Aguilar Bustamante"/>
    <s v="TECU3FNPRO"/>
    <x v="12"/>
    <n v="1"/>
    <x v="1"/>
    <x v="0"/>
    <x v="23"/>
    <x v="0"/>
    <s v="Coordinadora"/>
    <s v="3131151 - 84151151422"/>
    <d v="2025-03-04T00:00:00"/>
    <d v="2025-03-06T00:00:00"/>
    <x v="0"/>
    <n v="0"/>
    <n v="2"/>
    <s v="Cumple"/>
    <n v="42921"/>
    <m/>
    <m/>
  </r>
  <r>
    <d v="2025-03-04T00:00:00"/>
    <x v="2"/>
    <n v="2469"/>
    <x v="0"/>
    <s v="Mauro Aguilar Bustamante"/>
    <s v="TECUTRN5M"/>
    <x v="52"/>
    <n v="1"/>
    <x v="2"/>
    <x v="0"/>
    <x v="23"/>
    <x v="0"/>
    <s v="Coordinadora"/>
    <s v="3131152 - 84151151424"/>
    <d v="2025-03-04T00:00:00"/>
    <d v="2025-03-06T00:00:00"/>
    <x v="0"/>
    <n v="0"/>
    <n v="2"/>
    <s v="Cumple"/>
    <n v="24093"/>
    <m/>
    <m/>
  </r>
  <r>
    <d v="2025-03-06T00:00:00"/>
    <x v="2"/>
    <n v="2470"/>
    <x v="0"/>
    <s v="Eric Mitchell"/>
    <s v="TECULFN2"/>
    <x v="7"/>
    <n v="1"/>
    <x v="1"/>
    <x v="0"/>
    <x v="5"/>
    <x v="0"/>
    <s v="Coordinadora"/>
    <s v="3134270 - 84151152886"/>
    <d v="2025-03-06T00:00:00"/>
    <d v="2025-03-07T00:00:00"/>
    <x v="0"/>
    <n v="0"/>
    <n v="1"/>
    <s v="Cumple"/>
    <n v="62530"/>
    <m/>
    <m/>
  </r>
  <r>
    <d v="2025-03-06T00:00:00"/>
    <x v="2"/>
    <n v="2470"/>
    <x v="0"/>
    <s v="Eric Mitchell"/>
    <s v="TECUTLNS"/>
    <x v="17"/>
    <n v="1"/>
    <x v="2"/>
    <x v="0"/>
    <x v="5"/>
    <x v="0"/>
    <s v="Coordinadora"/>
    <s v="3134273 - 84151152887"/>
    <d v="2025-03-06T00:00:00"/>
    <d v="2025-03-07T00:00:00"/>
    <x v="0"/>
    <n v="0"/>
    <n v="1"/>
    <s v="Cumple"/>
    <n v="26749"/>
    <m/>
    <m/>
  </r>
  <r>
    <d v="2025-03-06T00:00:00"/>
    <x v="2"/>
    <n v="2470"/>
    <x v="0"/>
    <s v="Eric Mitchell"/>
    <m/>
    <x v="10"/>
    <n v="1"/>
    <x v="3"/>
    <x v="0"/>
    <x v="5"/>
    <x v="1"/>
    <s v="NA"/>
    <s v="NA"/>
    <s v="NA"/>
    <s v="NA"/>
    <x v="0"/>
    <s v="PTE"/>
    <e v="#VALUE!"/>
    <e v="#VALUE!"/>
    <n v="0"/>
    <m/>
    <m/>
  </r>
  <r>
    <d v="2025-03-06T00:00:00"/>
    <x v="2"/>
    <n v="2471"/>
    <x v="0"/>
    <s v="Daniel Turriago"/>
    <s v="TECU3FNPRO"/>
    <x v="12"/>
    <n v="1"/>
    <x v="1"/>
    <x v="1"/>
    <x v="1"/>
    <x v="0"/>
    <s v="Coordinadora"/>
    <s v="3134290 - 84151152892"/>
    <d v="2025-03-06T00:00:00"/>
    <d v="2025-03-07T00:00:00"/>
    <x v="0"/>
    <n v="0"/>
    <n v="1"/>
    <s v="Cumple"/>
    <n v="42921"/>
    <m/>
    <m/>
  </r>
  <r>
    <d v="2025-03-06T00:00:00"/>
    <x v="2"/>
    <n v="2471"/>
    <x v="0"/>
    <s v="Daniel Turriago"/>
    <s v="TECUTCO6C"/>
    <x v="16"/>
    <n v="1"/>
    <x v="2"/>
    <x v="1"/>
    <x v="1"/>
    <x v="0"/>
    <s v="Coordinadora"/>
    <s v="3134293 - 84151152894"/>
    <d v="2025-03-06T00:00:00"/>
    <d v="2025-03-07T00:00:00"/>
    <x v="0"/>
    <n v="0"/>
    <n v="1"/>
    <s v="Cumple"/>
    <n v="24093"/>
    <m/>
    <m/>
  </r>
  <r>
    <d v="2025-03-06T00:00:00"/>
    <x v="2"/>
    <n v="2472"/>
    <x v="0"/>
    <s v="Julian Vanegas Medina"/>
    <s v="TECURN"/>
    <x v="18"/>
    <n v="1"/>
    <x v="6"/>
    <x v="1"/>
    <x v="1"/>
    <x v="0"/>
    <s v="Coordinadora"/>
    <s v="3135222 - 84151153334"/>
    <d v="2025-03-06T00:00:00"/>
    <d v="2025-03-07T00:00:00"/>
    <x v="0"/>
    <n v="0"/>
    <n v="1"/>
    <s v="Cumple"/>
    <n v="23429"/>
    <m/>
    <m/>
  </r>
  <r>
    <d v="2025-03-07T00:00:00"/>
    <x v="2"/>
    <n v="2473"/>
    <x v="0"/>
    <s v="Nubia Sabogal"/>
    <s v="TECU3FNPRO"/>
    <x v="12"/>
    <n v="1"/>
    <x v="1"/>
    <x v="1"/>
    <x v="1"/>
    <x v="0"/>
    <s v="Coordinadora"/>
    <s v="3137243 - 84151154226"/>
    <d v="2025-03-07T00:00:00"/>
    <d v="2025-03-08T00:00:00"/>
    <x v="0"/>
    <n v="0"/>
    <n v="1"/>
    <s v="Cumple"/>
    <n v="42921"/>
    <m/>
    <m/>
  </r>
  <r>
    <d v="2025-03-07T00:00:00"/>
    <x v="2"/>
    <n v="2473"/>
    <x v="0"/>
    <s v="Nubia Sabogal"/>
    <s v="TECUTFE7C"/>
    <x v="53"/>
    <n v="1"/>
    <x v="2"/>
    <x v="1"/>
    <x v="1"/>
    <x v="0"/>
    <s v="Coordinadora"/>
    <s v="3137245 - 84151154228"/>
    <d v="2025-03-07T00:00:00"/>
    <d v="2025-03-08T00:00:00"/>
    <x v="0"/>
    <n v="0"/>
    <n v="1"/>
    <s v="Cumple"/>
    <n v="24093"/>
    <m/>
    <m/>
  </r>
  <r>
    <d v="2025-03-07T00:00:00"/>
    <x v="2"/>
    <n v="2474"/>
    <x v="0"/>
    <s v="Juan Pablo Castaño Tabares"/>
    <s v="TECU3FNPRO"/>
    <x v="12"/>
    <n v="1"/>
    <x v="1"/>
    <x v="1"/>
    <x v="1"/>
    <x v="0"/>
    <s v="Coordinadora"/>
    <s v="3137375 - 84151154253"/>
    <d v="2025-03-07T00:00:00"/>
    <d v="2025-03-10T00:00:00"/>
    <x v="0"/>
    <n v="0"/>
    <n v="2"/>
    <s v="Cumple"/>
    <n v="42921"/>
    <m/>
    <m/>
  </r>
  <r>
    <d v="2025-03-07T00:00:00"/>
    <x v="2"/>
    <n v="2474"/>
    <x v="0"/>
    <s v="Juan Pablo Castaño Tabares"/>
    <s v="TECUTCO8C"/>
    <x v="19"/>
    <n v="1"/>
    <x v="2"/>
    <x v="1"/>
    <x v="1"/>
    <x v="0"/>
    <s v="Coordinadora"/>
    <s v="3137376 - 84151154254"/>
    <d v="2025-03-07T00:00:00"/>
    <d v="2025-03-10T00:00:00"/>
    <x v="0"/>
    <n v="0"/>
    <n v="2"/>
    <s v="Cumple"/>
    <n v="26749"/>
    <m/>
    <m/>
  </r>
  <r>
    <d v="2025-03-10T00:00:00"/>
    <x v="2"/>
    <n v="2475"/>
    <x v="0"/>
    <s v="Johan Javier Morales Parrado"/>
    <s v="TECUACC"/>
    <x v="48"/>
    <n v="1"/>
    <x v="5"/>
    <x v="1"/>
    <x v="1"/>
    <x v="0"/>
    <s v="Envia"/>
    <s v="3143030 - 954101169505"/>
    <d v="2025-03-10T00:00:00"/>
    <d v="2025-03-11T00:00:00"/>
    <x v="0"/>
    <n v="0"/>
    <n v="1"/>
    <s v="Cumple"/>
    <n v="54929"/>
    <m/>
    <m/>
  </r>
  <r>
    <d v="2025-03-10T00:00:00"/>
    <x v="2"/>
    <n v="2476"/>
    <x v="0"/>
    <s v="Hernando Alvernia Navarro"/>
    <s v="TECU2FNG"/>
    <x v="5"/>
    <n v="1"/>
    <x v="1"/>
    <x v="12"/>
    <x v="24"/>
    <x v="0"/>
    <s v="Coordinadora"/>
    <s v="3144424  - 84151157437"/>
    <d v="2025-03-10T00:00:00"/>
    <d v="2025-03-13T00:00:00"/>
    <x v="0"/>
    <n v="0"/>
    <n v="3"/>
    <e v="#N/A"/>
    <n v="59835"/>
    <m/>
    <m/>
  </r>
  <r>
    <d v="2025-03-10T00:00:00"/>
    <x v="2"/>
    <n v="2476"/>
    <x v="0"/>
    <s v="Hernando Alvernia Navarro"/>
    <s v="TECUTCO6C"/>
    <x v="16"/>
    <n v="1"/>
    <x v="2"/>
    <x v="12"/>
    <x v="24"/>
    <x v="0"/>
    <s v="Coordinadora"/>
    <s v="3144479 - 84151157466"/>
    <d v="2025-03-10T00:00:00"/>
    <d v="2025-03-13T00:00:00"/>
    <x v="0"/>
    <n v="0"/>
    <n v="3"/>
    <e v="#N/A"/>
    <n v="39078"/>
    <m/>
    <m/>
  </r>
  <r>
    <d v="2025-03-10T00:00:00"/>
    <x v="2"/>
    <n v="2477"/>
    <x v="0"/>
    <s v="Hernando Alvernia Navarro"/>
    <s v="TECUBDPA"/>
    <x v="1"/>
    <n v="1"/>
    <x v="0"/>
    <x v="12"/>
    <x v="24"/>
    <x v="0"/>
    <s v="Coordinadora"/>
    <s v="3144499 - 84151157484"/>
    <d v="2025-03-10T00:00:00"/>
    <d v="2025-03-13T00:00:00"/>
    <x v="0"/>
    <n v="0"/>
    <n v="3"/>
    <e v="#N/A"/>
    <n v="16617"/>
    <m/>
    <m/>
  </r>
  <r>
    <d v="2025-03-10T00:00:00"/>
    <x v="2"/>
    <n v="2478"/>
    <x v="0"/>
    <s v="Juan Sebastian Sanchez Samudio"/>
    <s v="TECUROD"/>
    <x v="31"/>
    <n v="1"/>
    <x v="7"/>
    <x v="1"/>
    <x v="1"/>
    <x v="0"/>
    <s v="Coordinadora"/>
    <s v="3143050 - 84151156582"/>
    <d v="2025-03-10T00:00:00"/>
    <d v="2025-03-11T00:00:00"/>
    <x v="0"/>
    <n v="0"/>
    <n v="1"/>
    <s v="Cumple"/>
    <n v="23875"/>
    <m/>
    <m/>
  </r>
  <r>
    <d v="2025-03-10T00:00:00"/>
    <x v="2"/>
    <n v="2479"/>
    <x v="0"/>
    <s v="Miguel Montañez"/>
    <s v="TECU3FNPRO"/>
    <x v="12"/>
    <n v="1"/>
    <x v="1"/>
    <x v="1"/>
    <x v="1"/>
    <x v="0"/>
    <s v="Coordinadora"/>
    <s v="3143067 - 84151156591"/>
    <d v="2025-03-10T00:00:00"/>
    <d v="2025-03-12T00:00:00"/>
    <x v="0"/>
    <n v="0"/>
    <n v="2"/>
    <s v="Cumple"/>
    <n v="42921"/>
    <m/>
    <m/>
  </r>
  <r>
    <d v="2025-03-10T00:00:00"/>
    <x v="2"/>
    <n v="2479"/>
    <x v="0"/>
    <s v="Miguel Montañez"/>
    <s v="TECUTFE4C"/>
    <x v="14"/>
    <n v="1"/>
    <x v="2"/>
    <x v="1"/>
    <x v="1"/>
    <x v="0"/>
    <s v="Coordinadora"/>
    <s v="3143069 - 84151156592"/>
    <d v="2025-03-10T00:00:00"/>
    <d v="2025-03-12T00:00:00"/>
    <x v="0"/>
    <n v="0"/>
    <n v="2"/>
    <s v="Cumple"/>
    <n v="24093"/>
    <m/>
    <m/>
  </r>
  <r>
    <d v="2025-03-10T00:00:00"/>
    <x v="2"/>
    <n v="2480"/>
    <x v="0"/>
    <s v="Henry Stivent Montaño Ramirez"/>
    <s v="TECU2FNG"/>
    <x v="5"/>
    <n v="1"/>
    <x v="1"/>
    <x v="0"/>
    <x v="8"/>
    <x v="0"/>
    <s v="Coordinadora"/>
    <s v="3147501 - 84151158507"/>
    <d v="2025-03-11T00:00:00"/>
    <d v="2025-03-12T00:00:00"/>
    <x v="0"/>
    <n v="1"/>
    <n v="2"/>
    <s v="Cumple"/>
    <n v="24093"/>
    <m/>
    <m/>
  </r>
  <r>
    <d v="2025-03-10T00:00:00"/>
    <x v="2"/>
    <n v="2480"/>
    <x v="0"/>
    <s v="Henry Stivent Montaño Ramirez"/>
    <s v="TECUTCO5C"/>
    <x v="51"/>
    <n v="1"/>
    <x v="2"/>
    <x v="0"/>
    <x v="8"/>
    <x v="0"/>
    <s v="Coordinadora"/>
    <s v="3147502 - 84151158511"/>
    <d v="2025-03-11T00:00:00"/>
    <d v="2025-03-12T00:00:00"/>
    <x v="0"/>
    <n v="1"/>
    <n v="2"/>
    <s v="Cumple"/>
    <n v="41593"/>
    <m/>
    <m/>
  </r>
  <r>
    <d v="2025-03-10T00:00:00"/>
    <x v="2"/>
    <n v="2481"/>
    <x v="0"/>
    <s v="edwar camilo ortiz quintero"/>
    <s v="TECU3FNPRO"/>
    <x v="12"/>
    <n v="1"/>
    <x v="1"/>
    <x v="12"/>
    <x v="25"/>
    <x v="0"/>
    <s v="Coordinadora"/>
    <s v="3148825 - 84151159185"/>
    <d v="2025-03-11T00:00:00"/>
    <d v="2025-03-13T00:00:00"/>
    <x v="0"/>
    <n v="1"/>
    <n v="3"/>
    <e v="#N/A"/>
    <n v="67467"/>
    <m/>
    <m/>
  </r>
  <r>
    <d v="2025-03-10T00:00:00"/>
    <x v="2"/>
    <n v="2481"/>
    <x v="0"/>
    <s v="edwar camilo ortiz quintero"/>
    <s v="TECUTFE8C"/>
    <x v="21"/>
    <n v="1"/>
    <x v="2"/>
    <x v="12"/>
    <x v="25"/>
    <x v="0"/>
    <s v="Coordinadora"/>
    <s v="3148806 - 84151159175"/>
    <d v="2025-03-11T00:00:00"/>
    <d v="2025-03-13T00:00:00"/>
    <x v="0"/>
    <n v="1"/>
    <n v="3"/>
    <e v="#N/A"/>
    <n v="48840"/>
    <m/>
    <m/>
  </r>
  <r>
    <d v="2025-03-10T00:00:00"/>
    <x v="2"/>
    <n v="2481"/>
    <x v="0"/>
    <s v="edwar camilo ortiz quintero"/>
    <s v="TECUCT"/>
    <x v="4"/>
    <n v="1"/>
    <x v="0"/>
    <x v="12"/>
    <x v="25"/>
    <x v="0"/>
    <s v="Coordinadora"/>
    <s v="3148859 - 84151159199"/>
    <d v="2025-03-11T00:00:00"/>
    <d v="2025-03-13T00:00:00"/>
    <x v="0"/>
    <n v="1"/>
    <n v="3"/>
    <e v="#N/A"/>
    <n v="39762"/>
    <m/>
    <m/>
  </r>
  <r>
    <d v="2025-03-12T00:00:00"/>
    <x v="2"/>
    <n v="2482"/>
    <x v="0"/>
    <s v="HECTOR JAVIER LOPEZ DIAZ  - INMOTICA LTDA"/>
    <s v="TECUACC"/>
    <x v="48"/>
    <n v="1"/>
    <x v="5"/>
    <x v="1"/>
    <x v="1"/>
    <x v="0"/>
    <s v="Envia"/>
    <s v="3148896 - 954101171161"/>
    <d v="2025-03-11T00:00:00"/>
    <d v="2025-03-12T00:00:00"/>
    <x v="0"/>
    <n v="-3"/>
    <n v="0"/>
    <s v="Cumple"/>
    <n v="54929"/>
    <m/>
    <m/>
  </r>
  <r>
    <d v="2025-03-12T00:00:00"/>
    <x v="2"/>
    <n v="2483"/>
    <x v="0"/>
    <s v="Santiago Zapata"/>
    <s v="TECU2FNG"/>
    <x v="5"/>
    <n v="1"/>
    <x v="1"/>
    <x v="0"/>
    <x v="8"/>
    <x v="0"/>
    <s v="Coordinadora"/>
    <s v="3151177 - 84151159943"/>
    <d v="2025-03-12T00:00:00"/>
    <d v="2025-03-13T00:00:00"/>
    <x v="0"/>
    <n v="0"/>
    <n v="1"/>
    <s v="Cumple"/>
    <n v="41593"/>
    <m/>
    <m/>
  </r>
  <r>
    <d v="2025-03-12T00:00:00"/>
    <x v="2"/>
    <n v="2483"/>
    <x v="0"/>
    <s v="Santiago Zapata"/>
    <s v="TECUTRN6C"/>
    <x v="20"/>
    <n v="1"/>
    <x v="2"/>
    <x v="0"/>
    <x v="8"/>
    <x v="0"/>
    <s v="Coordinadora"/>
    <s v="3151178 - 84151159946"/>
    <d v="2025-03-12T00:00:00"/>
    <d v="2025-03-13T00:00:00"/>
    <x v="0"/>
    <n v="0"/>
    <n v="1"/>
    <s v="Cumple"/>
    <n v="24093"/>
    <m/>
    <m/>
  </r>
  <r>
    <d v="2025-03-12T00:00:00"/>
    <x v="2"/>
    <n v="2484"/>
    <x v="0"/>
    <s v="David Cadavid"/>
    <s v="TECUROD"/>
    <x v="31"/>
    <n v="1"/>
    <x v="7"/>
    <x v="0"/>
    <x v="5"/>
    <x v="0"/>
    <s v="Coordinadora"/>
    <s v="3152104 - 84151160248"/>
    <d v="2025-03-12T00:00:00"/>
    <d v="2025-03-13T00:00:00"/>
    <x v="0"/>
    <n v="0"/>
    <n v="1"/>
    <s v="Cumple"/>
    <n v="23875"/>
    <m/>
    <m/>
  </r>
  <r>
    <d v="2025-03-12T00:00:00"/>
    <x v="2"/>
    <n v="2484"/>
    <x v="0"/>
    <s v="David Cadavid"/>
    <s v="TECUTBANTE"/>
    <x v="54"/>
    <n v="1"/>
    <x v="0"/>
    <x v="0"/>
    <x v="5"/>
    <x v="0"/>
    <s v="Coordinadora"/>
    <s v="3152087 - 84151160236"/>
    <d v="2025-03-12T00:00:00"/>
    <d v="2025-03-14T00:00:00"/>
    <x v="0"/>
    <n v="0"/>
    <n v="2"/>
    <s v="Cumple"/>
    <n v="39225"/>
    <m/>
    <m/>
  </r>
  <r>
    <d v="2025-03-17T00:00:00"/>
    <x v="2"/>
    <n v="2485"/>
    <x v="0"/>
    <s v="Andres Dario Sanchez Lugo"/>
    <s v="TECU3FNPRO"/>
    <x v="12"/>
    <n v="1"/>
    <x v="1"/>
    <x v="1"/>
    <x v="1"/>
    <x v="0"/>
    <s v="Coordinadora"/>
    <s v="3178028 - 84151171291"/>
    <d v="2025-03-21T00:00:00"/>
    <d v="2025-03-26T00:00:00"/>
    <x v="0"/>
    <n v="4"/>
    <n v="7"/>
    <s v="No cumple"/>
    <n v="42921"/>
    <m/>
    <m/>
  </r>
  <r>
    <d v="2025-03-17T00:00:00"/>
    <x v="2"/>
    <n v="2485"/>
    <x v="0"/>
    <s v="Andres Dario Sanchez Lugo"/>
    <s v="TECUTRM5C"/>
    <x v="27"/>
    <n v="1"/>
    <x v="2"/>
    <x v="1"/>
    <x v="1"/>
    <x v="0"/>
    <s v="Coordinadora"/>
    <s v="3178029 - 84151171292"/>
    <d v="2025-03-21T00:00:00"/>
    <d v="2025-03-26T00:00:00"/>
    <x v="0"/>
    <n v="4"/>
    <n v="7"/>
    <s v="No cumple"/>
    <n v="24593"/>
    <m/>
    <m/>
  </r>
  <r>
    <d v="2025-03-17T00:00:00"/>
    <x v="2"/>
    <n v="2485"/>
    <x v="0"/>
    <s v="Andres Dario Sanchez Lugo"/>
    <s v="TECUCT"/>
    <x v="4"/>
    <n v="1"/>
    <x v="0"/>
    <x v="1"/>
    <x v="1"/>
    <x v="0"/>
    <s v="Coordinadora"/>
    <s v="3178034 - 84151171299"/>
    <d v="2025-03-21T00:00:00"/>
    <d v="2025-03-26T00:00:00"/>
    <x v="0"/>
    <n v="4"/>
    <n v="7"/>
    <s v="No cumple"/>
    <n v="24885"/>
    <m/>
    <m/>
  </r>
  <r>
    <d v="2025-03-17T00:00:00"/>
    <x v="2"/>
    <n v="2485"/>
    <x v="0"/>
    <s v="Andres Dario Sanchez Lugo"/>
    <s v="TECU3FNPRO"/>
    <x v="12"/>
    <n v="1"/>
    <x v="1"/>
    <x v="1"/>
    <x v="1"/>
    <x v="0"/>
    <s v="Coordinadora"/>
    <s v="3178037 - 84151171301"/>
    <d v="2025-03-21T00:00:00"/>
    <d v="2025-03-26T00:00:00"/>
    <x v="0"/>
    <n v="4"/>
    <n v="7"/>
    <s v="No cumple"/>
    <n v="42921"/>
    <m/>
    <m/>
  </r>
  <r>
    <d v="2025-03-17T00:00:00"/>
    <x v="2"/>
    <n v="2485"/>
    <x v="0"/>
    <s v="Andres Dario Sanchez Lugo"/>
    <s v="TECUTRM5C"/>
    <x v="27"/>
    <n v="1"/>
    <x v="2"/>
    <x v="1"/>
    <x v="1"/>
    <x v="0"/>
    <s v="Coordinadora"/>
    <s v="3178038 - 84151171302"/>
    <d v="2025-03-21T00:00:00"/>
    <d v="2025-03-26T00:00:00"/>
    <x v="0"/>
    <n v="4"/>
    <n v="7"/>
    <s v="No cumple"/>
    <n v="24593"/>
    <m/>
    <m/>
  </r>
  <r>
    <d v="2025-03-17T00:00:00"/>
    <x v="2"/>
    <n v="2485"/>
    <x v="0"/>
    <s v="Andres Dario Sanchez Lugo"/>
    <s v="TECUCT"/>
    <x v="4"/>
    <n v="1"/>
    <x v="0"/>
    <x v="1"/>
    <x v="1"/>
    <x v="0"/>
    <s v="Coordinadora"/>
    <s v="3178043 - 84151171304"/>
    <d v="2025-03-21T00:00:00"/>
    <d v="2025-03-26T00:00:00"/>
    <x v="0"/>
    <n v="4"/>
    <n v="7"/>
    <s v="No cumple"/>
    <n v="24885"/>
    <m/>
    <m/>
  </r>
  <r>
    <d v="2025-03-17T00:00:00"/>
    <x v="2"/>
    <n v="2485"/>
    <x v="0"/>
    <s v="Andres Dario Sanchez Lugo"/>
    <m/>
    <x v="10"/>
    <n v="2"/>
    <x v="3"/>
    <x v="1"/>
    <x v="1"/>
    <x v="1"/>
    <s v="NA"/>
    <s v="NA"/>
    <s v="NA"/>
    <s v="NA"/>
    <x v="0"/>
    <s v="PTE"/>
    <e v="#VALUE!"/>
    <e v="#VALUE!"/>
    <n v="0"/>
    <m/>
    <m/>
  </r>
  <r>
    <d v="2025-03-17T00:00:00"/>
    <x v="2"/>
    <n v="2486"/>
    <x v="0"/>
    <s v="Alejandro Marín Buriticá"/>
    <s v="TECU3FNCRO"/>
    <x v="55"/>
    <n v="1"/>
    <x v="1"/>
    <x v="0"/>
    <x v="8"/>
    <x v="0"/>
    <s v="Coordinadora"/>
    <s v="3163676 - 84151165337"/>
    <d v="2025-03-17T00:00:00"/>
    <d v="2025-03-18T00:00:00"/>
    <x v="0"/>
    <n v="0"/>
    <n v="1"/>
    <s v="Cumple"/>
    <n v="42921"/>
    <m/>
    <m/>
  </r>
  <r>
    <d v="2025-03-17T00:00:00"/>
    <x v="2"/>
    <n v="2486"/>
    <x v="0"/>
    <s v="Alejandro Marín Buriticá"/>
    <s v="TECUTB5C"/>
    <x v="56"/>
    <n v="1"/>
    <x v="2"/>
    <x v="0"/>
    <x v="8"/>
    <x v="0"/>
    <s v="Coordinadora"/>
    <s v="3163678 - 84151165339"/>
    <d v="2025-03-17T00:00:00"/>
    <d v="2025-03-18T00:00:00"/>
    <x v="0"/>
    <n v="0"/>
    <n v="1"/>
    <s v="Cumple"/>
    <n v="24093"/>
    <m/>
    <m/>
  </r>
  <r>
    <d v="2025-03-19T00:00:00"/>
    <x v="2"/>
    <n v="2487"/>
    <x v="0"/>
    <s v="Pablo Velasquez Caro"/>
    <s v="TECU3FNPRO"/>
    <x v="12"/>
    <n v="1"/>
    <x v="1"/>
    <x v="0"/>
    <x v="8"/>
    <x v="0"/>
    <s v="Coordinadora"/>
    <s v="3174414 - 84151169570"/>
    <d v="2025-03-20T00:00:00"/>
    <d v="2025-03-21T00:00:00"/>
    <x v="0"/>
    <n v="1"/>
    <n v="2"/>
    <s v="Cumple"/>
    <n v="42921"/>
    <m/>
    <m/>
  </r>
  <r>
    <d v="2025-03-19T00:00:00"/>
    <x v="2"/>
    <n v="2487"/>
    <x v="0"/>
    <s v="Pablo Velasquez Caro"/>
    <s v="TECUTRN2C"/>
    <x v="11"/>
    <n v="1"/>
    <x v="2"/>
    <x v="0"/>
    <x v="8"/>
    <x v="0"/>
    <s v="Coordinadora"/>
    <s v="3174422 - 84151169571"/>
    <d v="2025-03-20T00:00:00"/>
    <d v="2025-03-21T00:00:00"/>
    <x v="0"/>
    <n v="1"/>
    <n v="2"/>
    <s v="Cumple"/>
    <n v="28741"/>
    <m/>
    <m/>
  </r>
  <r>
    <d v="2025-03-20T00:00:00"/>
    <x v="2"/>
    <n v="2488"/>
    <x v="0"/>
    <s v="David Molano"/>
    <s v="TECU3FNPRO"/>
    <x v="12"/>
    <n v="1"/>
    <x v="1"/>
    <x v="11"/>
    <x v="26"/>
    <x v="0"/>
    <s v="Coordinadora"/>
    <s v="3191386 - 84151178126"/>
    <d v="2025-03-28T00:00:00"/>
    <d v="2025-03-29T00:00:00"/>
    <x v="0"/>
    <n v="6"/>
    <n v="7"/>
    <e v="#N/A"/>
    <n v="34953"/>
    <m/>
    <m/>
  </r>
  <r>
    <d v="2025-03-20T00:00:00"/>
    <x v="2"/>
    <n v="2488"/>
    <x v="0"/>
    <s v="David Molano"/>
    <s v="TECUTRM8C"/>
    <x v="49"/>
    <n v="1"/>
    <x v="2"/>
    <x v="11"/>
    <x v="26"/>
    <x v="0"/>
    <s v="Coordinadora"/>
    <s v="3191387 - 84151178127"/>
    <d v="2025-03-28T00:00:00"/>
    <d v="2025-03-29T00:00:00"/>
    <x v="0"/>
    <n v="6"/>
    <n v="7"/>
    <e v="#N/A"/>
    <n v="17288"/>
    <m/>
    <m/>
  </r>
  <r>
    <d v="2025-03-20T00:00:00"/>
    <x v="2"/>
    <n v="2488"/>
    <x v="0"/>
    <s v="David Molano"/>
    <s v="TECUCT"/>
    <x v="4"/>
    <n v="1"/>
    <x v="0"/>
    <x v="11"/>
    <x v="26"/>
    <x v="0"/>
    <s v="Coordinadora"/>
    <s v="3191393 - 84151178133"/>
    <d v="2025-03-28T00:00:00"/>
    <d v="2025-03-29T00:00:00"/>
    <x v="0"/>
    <n v="6"/>
    <n v="7"/>
    <e v="#N/A"/>
    <n v="15447"/>
    <m/>
    <m/>
  </r>
  <r>
    <d v="2025-03-21T00:00:00"/>
    <x v="2"/>
    <n v="2489"/>
    <x v="0"/>
    <s v="Benhur Hernández"/>
    <s v="TECU3FNPRO"/>
    <x v="12"/>
    <n v="1"/>
    <x v="1"/>
    <x v="1"/>
    <x v="1"/>
    <x v="0"/>
    <s v="Coordinadora"/>
    <s v="3195778 - 84151180056"/>
    <d v="2025-03-31T00:00:00"/>
    <d v="2025-04-01T00:00:00"/>
    <x v="0"/>
    <n v="7"/>
    <n v="8"/>
    <s v="No cumple"/>
    <n v="42921"/>
    <m/>
    <m/>
  </r>
  <r>
    <d v="2025-03-21T00:00:00"/>
    <x v="2"/>
    <n v="2489"/>
    <x v="0"/>
    <s v="Benhur Hernández"/>
    <s v="TECUTCO5M"/>
    <x v="40"/>
    <n v="1"/>
    <x v="2"/>
    <x v="1"/>
    <x v="1"/>
    <x v="0"/>
    <s v="Coordinadora"/>
    <s v="3195780 - 84151180057"/>
    <d v="2025-03-31T00:00:00"/>
    <d v="2025-04-01T00:00:00"/>
    <x v="0"/>
    <n v="7"/>
    <n v="8"/>
    <s v="No cumple"/>
    <n v="24093"/>
    <m/>
    <m/>
  </r>
  <r>
    <d v="2025-03-22T00:00:00"/>
    <x v="2"/>
    <n v="2490"/>
    <x v="0"/>
    <s v="Johan Sebastián Hernández Carvajal"/>
    <s v="TECU3FNPRO"/>
    <x v="12"/>
    <n v="1"/>
    <x v="1"/>
    <x v="0"/>
    <x v="27"/>
    <x v="0"/>
    <s v="Coordinadora"/>
    <s v="3182578 - 84151173203"/>
    <d v="2025-03-25T00:00:00"/>
    <d v="2025-03-26T00:00:00"/>
    <x v="0"/>
    <n v="1"/>
    <n v="2"/>
    <e v="#N/A"/>
    <n v="42921"/>
    <m/>
    <m/>
  </r>
  <r>
    <d v="2025-03-22T00:00:00"/>
    <x v="2"/>
    <n v="2490"/>
    <x v="0"/>
    <s v="Johan Sebastián Hernández Carvajal"/>
    <s v="TECUTRN4C"/>
    <x v="57"/>
    <n v="1"/>
    <x v="2"/>
    <x v="0"/>
    <x v="27"/>
    <x v="0"/>
    <s v="Coordinadora"/>
    <s v="3182579 - 84151173204"/>
    <d v="2025-03-25T00:00:00"/>
    <d v="2025-03-26T00:00:00"/>
    <x v="0"/>
    <n v="1"/>
    <n v="2"/>
    <e v="#N/A"/>
    <n v="24093"/>
    <m/>
    <m/>
  </r>
  <r>
    <d v="2025-03-23T00:00:00"/>
    <x v="2"/>
    <n v="2491"/>
    <x v="0"/>
    <s v="Luis Modesto Pacheco Pérez"/>
    <s v="TECU3FNPRO"/>
    <x v="12"/>
    <n v="1"/>
    <x v="1"/>
    <x v="1"/>
    <x v="1"/>
    <x v="0"/>
    <s v="Coordinadora"/>
    <s v="3185566 - 84151174823"/>
    <d v="2025-03-26T00:00:00"/>
    <d v="2025-03-28T00:00:00"/>
    <x v="0"/>
    <n v="1"/>
    <n v="3"/>
    <s v="Cumple"/>
    <n v="42921"/>
    <m/>
    <m/>
  </r>
  <r>
    <d v="2025-03-23T00:00:00"/>
    <x v="2"/>
    <n v="2491"/>
    <x v="0"/>
    <s v="Luis Modesto Pacheco Pérez"/>
    <s v="TECUTRN8C"/>
    <x v="58"/>
    <n v="1"/>
    <x v="2"/>
    <x v="1"/>
    <x v="1"/>
    <x v="0"/>
    <s v="Coordinadora"/>
    <s v="3185568 - 84151174824"/>
    <d v="2025-03-26T00:00:00"/>
    <d v="2025-03-28T00:00:00"/>
    <x v="0"/>
    <n v="1"/>
    <n v="3"/>
    <s v="Cumple"/>
    <n v="26749"/>
    <m/>
    <m/>
  </r>
  <r>
    <d v="2025-03-23T00:00:00"/>
    <x v="2"/>
    <n v="2492"/>
    <x v="0"/>
    <s v="Carlos Andres Urrea Lopez - Yumey A Orozco C"/>
    <s v="TECU3FNPRO"/>
    <x v="12"/>
    <n v="1"/>
    <x v="1"/>
    <x v="0"/>
    <x v="5"/>
    <x v="0"/>
    <s v="Coordinadora"/>
    <s v="3182510 - 84151173153"/>
    <d v="2025-03-25T00:00:00"/>
    <d v="2025-03-26T00:00:00"/>
    <x v="0"/>
    <n v="0"/>
    <n v="1"/>
    <s v="Cumple"/>
    <n v="42921"/>
    <m/>
    <m/>
  </r>
  <r>
    <d v="2025-03-23T00:00:00"/>
    <x v="2"/>
    <n v="2492"/>
    <x v="0"/>
    <s v="Carlos Andres Urrea Lopez - Yumey A Orozco C"/>
    <s v="TECUTFE2C"/>
    <x v="3"/>
    <n v="1"/>
    <x v="2"/>
    <x v="0"/>
    <x v="5"/>
    <x v="0"/>
    <s v="Coordinadora"/>
    <s v="3182512 - 84151173155"/>
    <d v="2025-03-25T00:00:00"/>
    <d v="2025-03-26T00:00:00"/>
    <x v="0"/>
    <n v="0"/>
    <n v="1"/>
    <s v="Cumple"/>
    <n v="28741"/>
    <m/>
    <m/>
  </r>
  <r>
    <d v="2025-03-23T00:00:00"/>
    <x v="2"/>
    <n v="2492"/>
    <x v="0"/>
    <s v="Carlos Andres Urrea Lopez - Yumey A Orozco C"/>
    <m/>
    <x v="10"/>
    <n v="1"/>
    <x v="3"/>
    <x v="0"/>
    <x v="5"/>
    <x v="1"/>
    <s v="NA"/>
    <s v="NA"/>
    <s v="NA"/>
    <s v="NA"/>
    <x v="0"/>
    <s v="PTE"/>
    <e v="#VALUE!"/>
    <e v="#VALUE!"/>
    <n v="0"/>
    <m/>
    <m/>
  </r>
  <r>
    <d v="2025-03-24T00:00:00"/>
    <x v="2"/>
    <n v="2493"/>
    <x v="0"/>
    <s v="Maria Garzon"/>
    <s v="TECU2FNG"/>
    <x v="5"/>
    <n v="1"/>
    <x v="1"/>
    <x v="1"/>
    <x v="1"/>
    <x v="0"/>
    <s v="Coordinadora"/>
    <s v="3185493 - 84151174778"/>
    <d v="2025-03-26T00:00:00"/>
    <d v="2025-03-28T00:00:00"/>
    <x v="0"/>
    <n v="1"/>
    <n v="3"/>
    <s v="Cumple"/>
    <n v="41593"/>
    <m/>
    <m/>
  </r>
  <r>
    <d v="2025-03-24T00:00:00"/>
    <x v="2"/>
    <n v="2493"/>
    <x v="0"/>
    <s v="Maria Garzon"/>
    <s v="TECUTFE3C"/>
    <x v="39"/>
    <n v="1"/>
    <x v="2"/>
    <x v="1"/>
    <x v="1"/>
    <x v="0"/>
    <s v="Coordinadora"/>
    <s v="3185494 - 84151174779"/>
    <d v="2025-03-26T00:00:00"/>
    <d v="2025-03-28T00:00:00"/>
    <x v="0"/>
    <n v="1"/>
    <n v="3"/>
    <s v="Cumple"/>
    <n v="24093"/>
    <m/>
    <m/>
  </r>
  <r>
    <d v="2025-03-25T00:00:00"/>
    <x v="2"/>
    <n v="2494"/>
    <x v="0"/>
    <s v="jhonnatan gonzalez"/>
    <s v="TECU2FNG"/>
    <x v="5"/>
    <n v="1"/>
    <x v="1"/>
    <x v="1"/>
    <x v="1"/>
    <x v="0"/>
    <s v="Coordinadora"/>
    <s v="3183196 - 84151173593"/>
    <d v="2025-03-25T00:00:00"/>
    <d v="2025-03-27T00:00:00"/>
    <x v="0"/>
    <n v="0"/>
    <n v="2"/>
    <s v="Cumple"/>
    <n v="41593"/>
    <m/>
    <m/>
  </r>
  <r>
    <d v="2025-03-25T00:00:00"/>
    <x v="2"/>
    <n v="2494"/>
    <x v="0"/>
    <s v="jhonnatan gonzalez"/>
    <s v="TECUTFE4C"/>
    <x v="14"/>
    <n v="1"/>
    <x v="2"/>
    <x v="1"/>
    <x v="1"/>
    <x v="0"/>
    <s v="Coordinadora"/>
    <s v="3183197 - 84151173594"/>
    <d v="2025-03-25T00:00:00"/>
    <d v="2025-03-27T00:00:00"/>
    <x v="0"/>
    <n v="0"/>
    <n v="2"/>
    <s v="Cumple"/>
    <n v="24093"/>
    <m/>
    <m/>
  </r>
  <r>
    <d v="2025-03-25T00:00:00"/>
    <x v="2"/>
    <n v="2494"/>
    <x v="0"/>
    <s v="jhonnatan gonzalez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3-26T00:00:00"/>
    <x v="2"/>
    <n v="2495"/>
    <x v="0"/>
    <s v="Jorge Madrid"/>
    <s v="TECU3FNCRO"/>
    <x v="55"/>
    <n v="1"/>
    <x v="1"/>
    <x v="0"/>
    <x v="5"/>
    <x v="0"/>
    <s v="Coordinadora"/>
    <s v="3188537 - 84151176378"/>
    <d v="2025-03-27T00:00:00"/>
    <d v="2025-03-28T00:00:00"/>
    <x v="0"/>
    <n v="1"/>
    <n v="2"/>
    <s v="Cumple"/>
    <n v="42921"/>
    <m/>
    <m/>
  </r>
  <r>
    <d v="2025-03-26T00:00:00"/>
    <x v="2"/>
    <n v="2495"/>
    <x v="0"/>
    <s v="Jorge Madrid"/>
    <s v="TECU-BMUSC"/>
    <x v="59"/>
    <n v="1"/>
    <x v="2"/>
    <x v="0"/>
    <x v="5"/>
    <x v="0"/>
    <s v="Coordinadora"/>
    <s v="3188538 - 84151176379"/>
    <d v="2025-03-27T00:00:00"/>
    <d v="2025-03-28T00:00:00"/>
    <x v="0"/>
    <n v="1"/>
    <n v="2"/>
    <s v="Cumple"/>
    <n v="24093"/>
    <m/>
    <m/>
  </r>
  <r>
    <d v="2025-03-26T00:00:00"/>
    <x v="2"/>
    <n v="2496"/>
    <x v="0"/>
    <s v="Victor Mesa"/>
    <s v="TECU2FNG"/>
    <x v="5"/>
    <n v="1"/>
    <x v="1"/>
    <x v="0"/>
    <x v="23"/>
    <x v="0"/>
    <s v="Coordinadora"/>
    <s v="3195822 - 84151180092"/>
    <d v="2025-03-31T00:00:00"/>
    <d v="2025-04-01T00:00:00"/>
    <x v="0"/>
    <n v="4"/>
    <n v="5"/>
    <s v="No cumple"/>
    <n v="41593"/>
    <m/>
    <m/>
  </r>
  <r>
    <d v="2025-03-26T00:00:00"/>
    <x v="2"/>
    <n v="2496"/>
    <x v="0"/>
    <s v="Victor Mesa"/>
    <s v="TECUTFE4C"/>
    <x v="14"/>
    <n v="1"/>
    <x v="2"/>
    <x v="0"/>
    <x v="23"/>
    <x v="0"/>
    <s v="Coordinadora"/>
    <s v="3195823 - 84151180093"/>
    <d v="2025-03-31T00:00:00"/>
    <d v="2025-04-01T00:00:00"/>
    <x v="0"/>
    <n v="4"/>
    <n v="5"/>
    <s v="No cumple"/>
    <n v="24093"/>
    <m/>
    <m/>
  </r>
  <r>
    <d v="2025-03-26T00:00:00"/>
    <x v="2"/>
    <n v="2496"/>
    <x v="0"/>
    <s v="Victor Mesa"/>
    <s v="TECUROD"/>
    <x v="31"/>
    <n v="1"/>
    <x v="7"/>
    <x v="0"/>
    <x v="23"/>
    <x v="0"/>
    <s v="Coordinadora"/>
    <s v="3195838 - 84151180106"/>
    <d v="2025-03-31T00:00:00"/>
    <d v="2025-04-01T00:00:00"/>
    <x v="0"/>
    <n v="4"/>
    <n v="5"/>
    <s v="No cumple"/>
    <n v="23875"/>
    <m/>
    <m/>
  </r>
  <r>
    <d v="2025-03-26T00:00:00"/>
    <x v="2"/>
    <n v="2496"/>
    <x v="0"/>
    <s v="Victor Mesa"/>
    <m/>
    <x v="10"/>
    <n v="1"/>
    <x v="3"/>
    <x v="0"/>
    <x v="23"/>
    <x v="1"/>
    <s v="NA"/>
    <s v="NA"/>
    <s v="NA"/>
    <s v="NA"/>
    <x v="2"/>
    <m/>
    <m/>
    <m/>
    <n v="0"/>
    <m/>
    <m/>
  </r>
  <r>
    <d v="2025-03-27T00:00:00"/>
    <x v="2"/>
    <n v="2497"/>
    <x v="0"/>
    <s v="Jorge Madrid"/>
    <s v="TECUCT"/>
    <x v="4"/>
    <n v="1"/>
    <x v="0"/>
    <x v="0"/>
    <x v="5"/>
    <x v="0"/>
    <s v="Coordinadora"/>
    <s v="3188548 - 84151176389"/>
    <d v="2025-03-27T00:00:00"/>
    <d v="2025-03-28T00:00:00"/>
    <x v="0"/>
    <n v="0"/>
    <n v="1"/>
    <s v="Cumple"/>
    <n v="24885"/>
    <m/>
    <m/>
  </r>
  <r>
    <d v="2025-03-27T00:00:00"/>
    <x v="2"/>
    <n v="2498"/>
    <x v="0"/>
    <s v="Gabriel Hernández Torres"/>
    <s v="TECU3FNPRO"/>
    <x v="12"/>
    <n v="1"/>
    <x v="1"/>
    <x v="13"/>
    <x v="28"/>
    <x v="0"/>
    <s v="Coordinadora"/>
    <s v="3190334 - 84151177324"/>
    <d v="2025-03-28T00:00:00"/>
    <d v="2025-03-29T00:00:00"/>
    <x v="0"/>
    <n v="1"/>
    <n v="2"/>
    <s v="Cumple"/>
    <n v="34953"/>
    <m/>
    <m/>
  </r>
  <r>
    <d v="2025-03-27T00:00:00"/>
    <x v="2"/>
    <n v="2498"/>
    <x v="0"/>
    <s v="Gabriel Hernández Torres"/>
    <s v="TECUTCO6C"/>
    <x v="16"/>
    <n v="1"/>
    <x v="2"/>
    <x v="13"/>
    <x v="28"/>
    <x v="0"/>
    <s v="Coordinadora"/>
    <s v="3190335 - 84151177325"/>
    <d v="2025-03-28T00:00:00"/>
    <d v="2025-03-29T00:00:00"/>
    <x v="0"/>
    <n v="1"/>
    <n v="2"/>
    <s v="Cumple"/>
    <n v="15194"/>
    <m/>
    <m/>
  </r>
  <r>
    <d v="2025-03-27T00:00:00"/>
    <x v="2"/>
    <n v="2498"/>
    <x v="0"/>
    <s v="Gabriel Hernández Torres"/>
    <s v="TECU3FBRO"/>
    <x v="34"/>
    <n v="1"/>
    <x v="1"/>
    <x v="13"/>
    <x v="28"/>
    <x v="0"/>
    <s v="Coordinadora"/>
    <s v="3190344 - 84151177331"/>
    <d v="2025-03-28T00:00:00"/>
    <d v="2025-03-29T00:00:00"/>
    <x v="0"/>
    <n v="1"/>
    <n v="2"/>
    <s v="Cumple"/>
    <n v="34953"/>
    <m/>
    <m/>
  </r>
  <r>
    <d v="2025-03-27T00:00:00"/>
    <x v="2"/>
    <n v="2498"/>
    <x v="0"/>
    <s v="Gabriel Hernández Torres"/>
    <s v="TECUTRN7C"/>
    <x v="60"/>
    <n v="1"/>
    <x v="2"/>
    <x v="13"/>
    <x v="28"/>
    <x v="0"/>
    <s v="Coordinadora"/>
    <s v="3190345 - 84151177333"/>
    <d v="2025-03-28T00:00:00"/>
    <d v="2025-03-29T00:00:00"/>
    <x v="0"/>
    <n v="1"/>
    <n v="2"/>
    <s v="Cumple"/>
    <n v="15194"/>
    <m/>
    <m/>
  </r>
  <r>
    <d v="2025-03-27T00:00:00"/>
    <x v="2"/>
    <n v="2499"/>
    <x v="0"/>
    <s v="Enrique Sabalza"/>
    <s v="TECUTB7C"/>
    <x v="38"/>
    <n v="1"/>
    <x v="2"/>
    <x v="2"/>
    <x v="2"/>
    <x v="0"/>
    <s v="Coordinadora"/>
    <s v="3190460 - 84151177408"/>
    <d v="2025-03-28T00:00:00"/>
    <d v="2025-03-31T00:00:00"/>
    <x v="0"/>
    <n v="1"/>
    <n v="3"/>
    <s v="Cumple"/>
    <n v="39078"/>
    <m/>
    <m/>
  </r>
  <r>
    <d v="2025-03-28T00:00:00"/>
    <x v="2"/>
    <n v="2500"/>
    <x v="3"/>
    <s v="Laura Camila Barrera Hernandéz"/>
    <s v="TECULFN2"/>
    <x v="7"/>
    <n v="1"/>
    <x v="1"/>
    <x v="1"/>
    <x v="29"/>
    <x v="0"/>
    <s v="Coordinadora"/>
    <s v="3190605 - 84151177475"/>
    <d v="2025-03-29T00:00:00"/>
    <d v="2025-04-08T00:00:00"/>
    <x v="0"/>
    <n v="1"/>
    <n v="9"/>
    <e v="#N/A"/>
    <m/>
    <s v="Se crean las guias por error a otr destino"/>
    <s v="Novedad error destino"/>
  </r>
  <r>
    <d v="2025-03-28T00:00:00"/>
    <x v="2"/>
    <n v="2500"/>
    <x v="3"/>
    <s v="Laura Camila Barrera Hernandéz"/>
    <s v="TECUTLBS"/>
    <x v="61"/>
    <n v="1"/>
    <x v="2"/>
    <x v="1"/>
    <x v="29"/>
    <x v="0"/>
    <s v="Coordinadora"/>
    <s v="3190606 - 84151177480"/>
    <d v="2025-03-29T00:00:00"/>
    <d v="2025-04-08T00:00:00"/>
    <x v="0"/>
    <n v="1"/>
    <n v="9"/>
    <e v="#N/A"/>
    <m/>
    <s v="Se crean las guias por error a otr destino"/>
    <s v="Novedad error destino"/>
  </r>
  <r>
    <d v="2025-03-28T00:00:00"/>
    <x v="2"/>
    <n v="2500"/>
    <x v="0"/>
    <s v="Laura Camila Barrera Hernandéz"/>
    <s v="TECULFN2"/>
    <x v="7"/>
    <n v="1"/>
    <x v="1"/>
    <x v="1"/>
    <x v="29"/>
    <x v="0"/>
    <s v="Coordinadora"/>
    <s v="3204501 - 84151183822"/>
    <d v="2025-04-02T00:00:00"/>
    <d v="2025-04-03T00:00:00"/>
    <x v="0"/>
    <n v="4"/>
    <n v="5"/>
    <e v="#N/A"/>
    <n v="54562"/>
    <m/>
    <m/>
  </r>
  <r>
    <d v="2025-03-28T00:00:00"/>
    <x v="2"/>
    <n v="2500"/>
    <x v="0"/>
    <s v="Laura Camila Barrera Hernandéz"/>
    <s v="TECUTLBS"/>
    <x v="61"/>
    <n v="1"/>
    <x v="2"/>
    <x v="1"/>
    <x v="29"/>
    <x v="0"/>
    <s v="Coordinadora"/>
    <s v="3204514 - 84151183826"/>
    <d v="2025-04-02T00:00:00"/>
    <d v="2025-04-03T00:00:00"/>
    <x v="0"/>
    <n v="4"/>
    <n v="5"/>
    <e v="#N/A"/>
    <n v="33241"/>
    <m/>
    <m/>
  </r>
  <r>
    <d v="2025-03-28T00:00:00"/>
    <x v="2"/>
    <n v="2501"/>
    <x v="0"/>
    <s v="Luis Hernando Puerto Rojas"/>
    <s v="TECU3FNPRO"/>
    <x v="12"/>
    <n v="1"/>
    <x v="1"/>
    <x v="0"/>
    <x v="8"/>
    <x v="0"/>
    <s v="Coordinadora"/>
    <s v="3195887 - 84151180134"/>
    <d v="2025-03-31T00:00:00"/>
    <d v="2025-04-01T00:00:00"/>
    <x v="0"/>
    <n v="2"/>
    <n v="3"/>
    <s v="Cumple"/>
    <n v="42921"/>
    <m/>
    <m/>
  </r>
  <r>
    <d v="2025-03-28T00:00:00"/>
    <x v="2"/>
    <n v="2501"/>
    <x v="0"/>
    <s v="Luis Hernando Puerto Rojas"/>
    <s v="TECUTCO20C"/>
    <x v="62"/>
    <n v="1"/>
    <x v="2"/>
    <x v="0"/>
    <x v="8"/>
    <x v="0"/>
    <s v="Coordinadora"/>
    <s v="3195888 - 84151180135"/>
    <d v="2025-03-31T00:00:00"/>
    <d v="2025-04-01T00:00:00"/>
    <x v="0"/>
    <n v="2"/>
    <n v="3"/>
    <s v="Cumple"/>
    <n v="26749"/>
    <m/>
    <m/>
  </r>
  <r>
    <d v="2025-03-28T00:00:00"/>
    <x v="2"/>
    <n v="2502"/>
    <x v="0"/>
    <s v="Fredy Marin"/>
    <s v="TECULFN2"/>
    <x v="7"/>
    <n v="1"/>
    <x v="1"/>
    <x v="1"/>
    <x v="1"/>
    <x v="0"/>
    <s v="Coordinadora"/>
    <s v="3195857 - 84151180115"/>
    <d v="2025-03-31T00:00:00"/>
    <d v="2025-04-03T00:00:00"/>
    <x v="0"/>
    <n v="2"/>
    <n v="5"/>
    <s v="No cumple"/>
    <n v="62530"/>
    <m/>
    <m/>
  </r>
  <r>
    <d v="2025-03-28T00:00:00"/>
    <x v="2"/>
    <n v="2502"/>
    <x v="0"/>
    <s v="Fredy Marin"/>
    <s v="TECUTLFES"/>
    <x v="63"/>
    <n v="1"/>
    <x v="2"/>
    <x v="1"/>
    <x v="1"/>
    <x v="0"/>
    <s v="Coordinadora"/>
    <s v="3195858 - 84151180118"/>
    <d v="2025-03-31T00:00:00"/>
    <d v="2025-04-02T00:00:00"/>
    <x v="0"/>
    <n v="2"/>
    <n v="4"/>
    <s v="No cumple"/>
    <n v="26749"/>
    <m/>
    <m/>
  </r>
  <r>
    <d v="2025-03-28T00:00:00"/>
    <x v="2"/>
    <n v="2503"/>
    <x v="0"/>
    <s v="Victor Arias"/>
    <s v="TECURCO"/>
    <x v="30"/>
    <n v="1"/>
    <x v="6"/>
    <x v="0"/>
    <x v="30"/>
    <x v="0"/>
    <s v="Coordinadora"/>
    <s v="3196090  - 84151180280"/>
    <d v="2025-03-31T00:00:00"/>
    <d v="2025-04-01T00:00:00"/>
    <x v="0"/>
    <n v="2"/>
    <n v="3"/>
    <s v="Cumple"/>
    <n v="23429"/>
    <m/>
    <m/>
  </r>
  <r>
    <d v="2025-03-30T00:00:00"/>
    <x v="2"/>
    <n v="2504"/>
    <x v="0"/>
    <s v="Camilo Andres Talero Neita"/>
    <s v="TECURCC"/>
    <x v="42"/>
    <n v="1"/>
    <x v="6"/>
    <x v="4"/>
    <x v="31"/>
    <x v="0"/>
    <s v="Coordinadora"/>
    <s v="3196095 - 84151180284"/>
    <d v="2025-03-31T00:00:00"/>
    <d v="2025-04-02T00:00:00"/>
    <x v="0"/>
    <n v="0"/>
    <n v="2"/>
    <s v="Cumple"/>
    <n v="37762"/>
    <m/>
    <m/>
  </r>
  <r>
    <d v="2025-03-31T00:00:00"/>
    <x v="2"/>
    <n v="2505"/>
    <x v="0"/>
    <s v="Estefania Granados"/>
    <s v="TECU2FBGO"/>
    <x v="2"/>
    <n v="1"/>
    <x v="1"/>
    <x v="1"/>
    <x v="1"/>
    <x v="0"/>
    <s v="Coordinadora"/>
    <s v="3199745 - 84151181524"/>
    <d v="2025-04-01T00:00:00"/>
    <d v="2025-04-02T00:00:00"/>
    <x v="0"/>
    <n v="1"/>
    <n v="2"/>
    <s v="Cumple"/>
    <n v="41593"/>
    <m/>
    <m/>
  </r>
  <r>
    <d v="2025-03-31T00:00:00"/>
    <x v="2"/>
    <n v="2505"/>
    <x v="0"/>
    <s v="Estefania Granados"/>
    <s v="TECUTFE6C"/>
    <x v="28"/>
    <n v="1"/>
    <x v="2"/>
    <x v="1"/>
    <x v="1"/>
    <x v="0"/>
    <s v="Coordinadora"/>
    <s v="3199746 - 84151181525"/>
    <d v="2025-04-01T00:00:00"/>
    <d v="2025-04-02T00:00:00"/>
    <x v="0"/>
    <n v="1"/>
    <n v="2"/>
    <s v="Cumple"/>
    <n v="24093"/>
    <m/>
    <m/>
  </r>
  <r>
    <d v="2025-03-13T00:00:00"/>
    <x v="2"/>
    <n v="2461"/>
    <x v="1"/>
    <s v="Afranio Cardona Gomez"/>
    <s v="TECUTRM8C"/>
    <x v="49"/>
    <n v="1"/>
    <x v="2"/>
    <x v="5"/>
    <x v="9"/>
    <x v="0"/>
    <s v="Coordinadora"/>
    <s v="3179505 - 84151171915"/>
    <d v="2025-03-22T00:00:00"/>
    <d v="2025-03-25T00:00:00"/>
    <x v="0"/>
    <n v="8"/>
    <n v="9"/>
    <s v="No cumple"/>
    <n v="43089"/>
    <m/>
    <m/>
  </r>
  <r>
    <d v="2025-04-01T00:00:00"/>
    <x v="3"/>
    <n v="2506"/>
    <x v="0"/>
    <s v="Angie Marcela Vargas Pardo"/>
    <s v="TECU2FNG"/>
    <x v="5"/>
    <n v="1"/>
    <x v="1"/>
    <x v="0"/>
    <x v="8"/>
    <x v="0"/>
    <s v="Coordinadora"/>
    <s v="3199774 - 84151181537"/>
    <d v="2025-04-01T00:00:00"/>
    <d v="2025-04-02T00:00:00"/>
    <x v="0"/>
    <n v="0"/>
    <n v="1"/>
    <s v="Cumple"/>
    <n v="41593"/>
    <m/>
    <m/>
  </r>
  <r>
    <d v="2025-04-01T00:00:00"/>
    <x v="3"/>
    <n v="2506"/>
    <x v="0"/>
    <s v="Angie Marcela Vargas Pardo"/>
    <s v="TECUTCO6C"/>
    <x v="16"/>
    <n v="1"/>
    <x v="2"/>
    <x v="0"/>
    <x v="8"/>
    <x v="0"/>
    <s v="Coordinadora"/>
    <s v="3199776 - 84151181538"/>
    <d v="2025-04-01T00:00:00"/>
    <d v="2025-04-02T00:00:00"/>
    <x v="0"/>
    <n v="0"/>
    <n v="1"/>
    <s v="Cumple"/>
    <n v="24093"/>
    <m/>
    <m/>
  </r>
  <r>
    <d v="2025-04-01T00:00:00"/>
    <x v="3"/>
    <n v="2506"/>
    <x v="0"/>
    <s v="Angie Marcela Vargas Pardo"/>
    <s v="TECUACO"/>
    <x v="15"/>
    <n v="1"/>
    <x v="5"/>
    <x v="0"/>
    <x v="8"/>
    <x v="0"/>
    <s v="Envia"/>
    <s v="3205716 - 954101187697"/>
    <d v="2025-04-01T00:00:00"/>
    <d v="2025-04-04T00:00:00"/>
    <x v="0"/>
    <n v="0"/>
    <n v="3"/>
    <s v="Cumple"/>
    <n v="65582"/>
    <m/>
    <m/>
  </r>
  <r>
    <d v="2025-04-01T00:00:00"/>
    <x v="3"/>
    <n v="2506"/>
    <x v="0"/>
    <s v="Angie Marcela Vargas Pardo"/>
    <s v="TECUCT"/>
    <x v="4"/>
    <n v="1"/>
    <x v="0"/>
    <x v="0"/>
    <x v="8"/>
    <x v="0"/>
    <s v="Coordinadora"/>
    <s v="3199793 - 84151181545"/>
    <d v="2025-04-01T00:00:00"/>
    <d v="2025-04-02T00:00:00"/>
    <x v="0"/>
    <n v="0"/>
    <n v="1"/>
    <s v="Cumple"/>
    <n v="24885"/>
    <m/>
    <m/>
  </r>
  <r>
    <d v="2025-04-02T00:00:00"/>
    <x v="3"/>
    <n v="2507"/>
    <x v="0"/>
    <s v="Juan Diego Cruz"/>
    <s v="TECUDSG"/>
    <x v="64"/>
    <n v="1"/>
    <x v="4"/>
    <x v="1"/>
    <x v="1"/>
    <x v="0"/>
    <s v="Coordinadora"/>
    <s v="3202877 - 84151183025"/>
    <d v="2025-04-02T00:00:00"/>
    <d v="2025-04-03T00:00:00"/>
    <x v="0"/>
    <n v="0"/>
    <n v="1"/>
    <s v="Cumple"/>
    <n v="26609"/>
    <m/>
    <m/>
  </r>
  <r>
    <d v="2025-04-04T00:00:00"/>
    <x v="3"/>
    <n v="2508"/>
    <x v="0"/>
    <s v="Esteban Salazar Zapata"/>
    <s v="TECU3FNPRO"/>
    <x v="12"/>
    <n v="1"/>
    <x v="1"/>
    <x v="0"/>
    <x v="22"/>
    <x v="0"/>
    <s v="Coordinadora"/>
    <s v="3213937 - 84151185713"/>
    <d v="2025-04-04T00:00:00"/>
    <d v="2025-04-07T00:00:00"/>
    <x v="0"/>
    <n v="0"/>
    <n v="2"/>
    <s v="Cumple"/>
    <n v="42921"/>
    <m/>
    <m/>
  </r>
  <r>
    <d v="2025-04-04T00:00:00"/>
    <x v="3"/>
    <n v="2508"/>
    <x v="0"/>
    <s v="Esteban Salazar Zapata"/>
    <s v="TECUTFE8C"/>
    <x v="21"/>
    <n v="1"/>
    <x v="2"/>
    <x v="0"/>
    <x v="22"/>
    <x v="0"/>
    <s v="Coordinadora"/>
    <s v="3213938 - 84151185714"/>
    <d v="2025-04-04T00:00:00"/>
    <d v="2025-04-06T00:00:00"/>
    <x v="0"/>
    <n v="0"/>
    <n v="1"/>
    <s v="Cumple"/>
    <n v="26749"/>
    <m/>
    <m/>
  </r>
  <r>
    <d v="2025-04-04T00:00:00"/>
    <x v="3"/>
    <n v="2509"/>
    <x v="0"/>
    <s v="Mario Alejandro Martinez Perdomo"/>
    <s v="TECU2FNG"/>
    <x v="5"/>
    <n v="1"/>
    <x v="1"/>
    <x v="1"/>
    <x v="1"/>
    <x v="0"/>
    <s v="Coordinadora"/>
    <s v="3213994 - 84151185740"/>
    <d v="2025-04-04T00:00:00"/>
    <d v="2025-04-07T00:00:00"/>
    <x v="0"/>
    <n v="0"/>
    <n v="2"/>
    <s v="Cumple"/>
    <n v="41593"/>
    <m/>
    <m/>
  </r>
  <r>
    <d v="2025-04-04T00:00:00"/>
    <x v="3"/>
    <n v="2509"/>
    <x v="0"/>
    <s v="Mario Alejandro Martinez Perdomo"/>
    <s v="TECUTFE5C"/>
    <x v="29"/>
    <n v="1"/>
    <x v="2"/>
    <x v="1"/>
    <x v="1"/>
    <x v="0"/>
    <s v="Coordinadora"/>
    <s v="3213995 - 84151185741"/>
    <d v="2025-04-04T00:00:00"/>
    <d v="2025-04-07T00:00:00"/>
    <x v="0"/>
    <n v="0"/>
    <n v="2"/>
    <s v="Cumple"/>
    <n v="24093"/>
    <m/>
    <m/>
  </r>
  <r>
    <d v="2025-04-04T00:00:00"/>
    <x v="3"/>
    <n v="2510"/>
    <x v="0"/>
    <s v="Rafael del castillo &amp; cia sa"/>
    <s v="TECU3FNPRO"/>
    <x v="12"/>
    <n v="1"/>
    <x v="1"/>
    <x v="14"/>
    <x v="32"/>
    <x v="0"/>
    <s v="Coordinadora"/>
    <s v="3230437-84151191223"/>
    <d v="2025-04-09T15:17:17"/>
    <d v="2025-04-11T14:36:39"/>
    <x v="0"/>
    <n v="4"/>
    <n v="6"/>
    <s v="No cumple"/>
    <n v="47787"/>
    <m/>
    <m/>
  </r>
  <r>
    <d v="2025-04-04T00:00:00"/>
    <x v="3"/>
    <n v="2510"/>
    <x v="0"/>
    <s v="Rafael del castillo &amp; cia sa"/>
    <s v="TECUTRM5C"/>
    <x v="27"/>
    <n v="1"/>
    <x v="2"/>
    <x v="14"/>
    <x v="32"/>
    <x v="0"/>
    <s v="Coordinadora"/>
    <s v="3230439-84151191225"/>
    <d v="2025-04-09T15:17:17"/>
    <d v="2025-04-11T14:36:39"/>
    <x v="0"/>
    <n v="4"/>
    <n v="6"/>
    <s v="No cumple"/>
    <n v="38578"/>
    <m/>
    <m/>
  </r>
  <r>
    <d v="2025-04-04T00:00:00"/>
    <x v="3"/>
    <n v="2510"/>
    <x v="0"/>
    <s v="Rafael del castillo &amp; cia sa"/>
    <s v="TECUCT"/>
    <x v="4"/>
    <n v="1"/>
    <x v="0"/>
    <x v="14"/>
    <x v="32"/>
    <x v="0"/>
    <s v="Coordinadora"/>
    <s v="3230442-84151191228"/>
    <d v="2025-04-09T15:17:17"/>
    <d v="2025-04-11T14:36:39"/>
    <x v="0"/>
    <n v="4"/>
    <n v="6"/>
    <s v="No cumple"/>
    <n v="22920"/>
    <m/>
    <m/>
  </r>
  <r>
    <d v="2025-04-05T00:00:00"/>
    <x v="3"/>
    <n v="2511"/>
    <x v="0"/>
    <s v="Julian David Montero Gonzalez"/>
    <s v="TECU3FNPRO"/>
    <x v="12"/>
    <n v="1"/>
    <x v="1"/>
    <x v="3"/>
    <x v="3"/>
    <x v="0"/>
    <s v="Coordinadora"/>
    <s v="3223029-84151187944"/>
    <d v="2025-04-07T16:17:07"/>
    <d v="2025-04-09T17:25:22"/>
    <x v="0"/>
    <n v="1"/>
    <n v="3"/>
    <s v="Cumple"/>
    <n v="47787"/>
    <m/>
    <m/>
  </r>
  <r>
    <d v="2025-04-05T00:00:00"/>
    <x v="3"/>
    <n v="2511"/>
    <x v="0"/>
    <s v="Julian David Montero Gonzalez"/>
    <s v="TECUTFE6M"/>
    <x v="47"/>
    <n v="1"/>
    <x v="2"/>
    <x v="3"/>
    <x v="3"/>
    <x v="0"/>
    <s v="Coordinadora"/>
    <s v="3223030-84151187946"/>
    <d v="2025-04-07T16:15:15"/>
    <d v="2025-04-09T17:57:23"/>
    <x v="0"/>
    <n v="1"/>
    <n v="3"/>
    <s v="Cumple"/>
    <n v="38578"/>
    <m/>
    <m/>
  </r>
  <r>
    <d v="2025-04-05T00:00:00"/>
    <x v="3"/>
    <n v="2512"/>
    <x v="0"/>
    <s v="Juan David ballesteros"/>
    <s v="TECU3FBRO"/>
    <x v="34"/>
    <n v="1"/>
    <x v="1"/>
    <x v="1"/>
    <x v="1"/>
    <x v="0"/>
    <s v="Coordinadora"/>
    <s v="3222672-84151187728"/>
    <d v="2025-04-07T16:17:07"/>
    <d v="2025-04-09T15:36:23"/>
    <x v="0"/>
    <n v="1"/>
    <n v="3"/>
    <s v="Cumple"/>
    <n v="28241"/>
    <m/>
    <m/>
  </r>
  <r>
    <d v="2025-04-05T00:00:00"/>
    <x v="3"/>
    <n v="2512"/>
    <x v="0"/>
    <s v="Juan David ballesteros"/>
    <s v="TECUTRN6C"/>
    <x v="20"/>
    <n v="1"/>
    <x v="2"/>
    <x v="1"/>
    <x v="1"/>
    <x v="0"/>
    <s v="Coordinadora"/>
    <s v="3222674-84151187730"/>
    <d v="2025-04-07T16:15:15"/>
    <d v="2025-04-09T15:36:23"/>
    <x v="0"/>
    <n v="1"/>
    <n v="3"/>
    <s v="Cumple"/>
    <n v="23593"/>
    <m/>
    <m/>
  </r>
  <r>
    <d v="2025-04-07T00:00:00"/>
    <x v="3"/>
    <n v="2513"/>
    <x v="0"/>
    <s v="Andrea Beltran Salazar"/>
    <s v="TECU2FBGO"/>
    <x v="2"/>
    <n v="1"/>
    <x v="1"/>
    <x v="1"/>
    <x v="33"/>
    <x v="0"/>
    <s v="Coordinadora"/>
    <s v="3222689-84151187740"/>
    <d v="2025-04-07T16:17:07"/>
    <d v="2025-04-09T19:17:03"/>
    <x v="0"/>
    <n v="0"/>
    <n v="2"/>
    <s v="Cumple"/>
    <n v="39191"/>
    <m/>
    <m/>
  </r>
  <r>
    <d v="2025-04-07T00:00:00"/>
    <x v="3"/>
    <n v="2513"/>
    <x v="0"/>
    <s v="Andrea Beltran Salazar"/>
    <s v="TECUTFE2C"/>
    <x v="3"/>
    <n v="1"/>
    <x v="2"/>
    <x v="1"/>
    <x v="33"/>
    <x v="0"/>
    <s v="Coordinadora"/>
    <s v="3222691-84151187741"/>
    <d v="2025-04-07T16:15:15"/>
    <d v="2025-04-09T19:17:03"/>
    <x v="0"/>
    <n v="0"/>
    <n v="2"/>
    <s v="Cumple"/>
    <n v="33679"/>
    <m/>
    <m/>
  </r>
  <r>
    <d v="2025-04-07T00:00:00"/>
    <x v="3"/>
    <n v="2514"/>
    <x v="0"/>
    <s v="José Miguel Dueñas Torres"/>
    <s v="TECU2FNG"/>
    <x v="5"/>
    <n v="1"/>
    <x v="1"/>
    <x v="1"/>
    <x v="1"/>
    <x v="0"/>
    <s v="Coordinadora"/>
    <s v="3223053-84151187965"/>
    <d v="2025-04-07T16:17:07"/>
    <d v="2025-04-10T11:20:58"/>
    <x v="0"/>
    <n v="0"/>
    <n v="3"/>
    <s v="Cumple"/>
    <n v="26913"/>
    <m/>
    <m/>
  </r>
  <r>
    <d v="2025-04-07T00:00:00"/>
    <x v="3"/>
    <n v="2514"/>
    <x v="0"/>
    <s v="José Miguel Dueñas Torres"/>
    <s v="TECUTCO2C"/>
    <x v="37"/>
    <n v="1"/>
    <x v="2"/>
    <x v="1"/>
    <x v="1"/>
    <x v="0"/>
    <s v="Coordinadora"/>
    <s v="3223055-84151187967"/>
    <d v="2025-04-07T16:15:15"/>
    <d v="2025-04-10T11:20:57"/>
    <x v="0"/>
    <n v="0"/>
    <n v="3"/>
    <s v="Cumple"/>
    <n v="23593"/>
    <m/>
    <m/>
  </r>
  <r>
    <d v="2025-04-07T00:00:00"/>
    <x v="3"/>
    <n v="2514"/>
    <x v="0"/>
    <s v="José Miguel Dueñas Torres"/>
    <s v="TECUACO"/>
    <x v="15"/>
    <n v="1"/>
    <x v="5"/>
    <x v="1"/>
    <x v="1"/>
    <x v="0"/>
    <s v="Envia"/>
    <s v="3226991-954101191266"/>
    <d v="2025-04-08T17:18:00"/>
    <d v="2025-04-09T16:32:00"/>
    <x v="0"/>
    <n v="1"/>
    <n v="2"/>
    <s v="Cumple"/>
    <n v="54929"/>
    <m/>
    <m/>
  </r>
  <r>
    <d v="2025-04-07T00:00:00"/>
    <x v="3"/>
    <n v="2514"/>
    <x v="0"/>
    <s v="José Miguel Dueñas Torres"/>
    <s v="TECURCO"/>
    <x v="30"/>
    <n v="1"/>
    <x v="6"/>
    <x v="1"/>
    <x v="1"/>
    <x v="0"/>
    <s v="Coordinadora"/>
    <s v="3222769-84151187791"/>
    <d v="2025-04-07T16:17:07"/>
    <d v="2025-04-09T10:54:43"/>
    <x v="0"/>
    <n v="0"/>
    <n v="2"/>
    <s v="Cumple"/>
    <n v="22929"/>
    <m/>
    <m/>
  </r>
  <r>
    <d v="2025-04-07T00:00:00"/>
    <x v="3"/>
    <n v="2514"/>
    <x v="0"/>
    <s v="José Miguel Dueñas Torres"/>
    <s v="TECUCT"/>
    <x v="4"/>
    <n v="1"/>
    <x v="0"/>
    <x v="1"/>
    <x v="1"/>
    <x v="0"/>
    <s v="Coordinadora"/>
    <s v="3222754-84151187780"/>
    <d v="2025-04-07T16:17:07"/>
    <d v="2025-04-09T10:54:43"/>
    <x v="0"/>
    <n v="0"/>
    <n v="2"/>
    <s v="Cumple"/>
    <n v="22920"/>
    <m/>
    <m/>
  </r>
  <r>
    <d v="2025-04-08T00:00:00"/>
    <x v="3"/>
    <n v="2515"/>
    <x v="0"/>
    <s v="Luis Landkoer"/>
    <s v="TECU3FNCRO"/>
    <x v="55"/>
    <n v="1"/>
    <x v="1"/>
    <x v="1"/>
    <x v="1"/>
    <x v="0"/>
    <s v="Coordinadora"/>
    <s v="3227044-84151189694"/>
    <d v="2025-04-08T17:14:08"/>
    <d v="2025-04-10T10:56:50"/>
    <x v="0"/>
    <n v="0"/>
    <n v="2"/>
    <s v="Cumple"/>
    <n v="28241"/>
    <m/>
    <m/>
  </r>
  <r>
    <d v="2025-04-08T00:00:00"/>
    <x v="3"/>
    <n v="2515"/>
    <x v="0"/>
    <s v="Luis Landkoer"/>
    <s v="TECUTFE6C"/>
    <x v="28"/>
    <n v="1"/>
    <x v="2"/>
    <x v="1"/>
    <x v="1"/>
    <x v="0"/>
    <s v="Coordinadora"/>
    <s v="3227045-84151189695"/>
    <d v="2025-04-08T17:14:08"/>
    <d v="2025-04-11T10:40:20"/>
    <x v="0"/>
    <n v="0"/>
    <n v="3"/>
    <s v="Cumple"/>
    <n v="23593"/>
    <m/>
    <m/>
  </r>
  <r>
    <d v="2025-04-08T00:00:00"/>
    <x v="3"/>
    <n v="2515"/>
    <x v="0"/>
    <s v="Luis Landkoer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4-08T00:00:00"/>
    <x v="3"/>
    <n v="2516"/>
    <x v="0"/>
    <s v="Rigoberto Castelblanco / HUSKY IMS COLOMBIA LTD"/>
    <s v="TECU3FNPRO"/>
    <x v="12"/>
    <n v="1"/>
    <x v="1"/>
    <x v="1"/>
    <x v="1"/>
    <x v="0"/>
    <s v="Coordinadora"/>
    <s v="3278750- 84151210701"/>
    <d v="2025-05-02T00:00:00"/>
    <d v="2025-05-05T00:00:00"/>
    <x v="0"/>
    <n v="18"/>
    <n v="20"/>
    <s v="No cumple"/>
    <n v="42921"/>
    <n v="42921"/>
    <m/>
  </r>
  <r>
    <d v="2025-04-08T00:00:00"/>
    <x v="3"/>
    <n v="2516"/>
    <x v="0"/>
    <s v="Rigoberto Castelblanco / HUSKY IMS COLOMBIA LTD"/>
    <s v="TECU3FNPRO"/>
    <x v="12"/>
    <n v="1"/>
    <x v="1"/>
    <x v="1"/>
    <x v="1"/>
    <x v="0"/>
    <s v="Coordinadora"/>
    <s v="3278759 - 84151210707"/>
    <d v="2025-05-02T00:00:00"/>
    <d v="2025-05-05T00:00:00"/>
    <x v="0"/>
    <n v="18"/>
    <n v="20"/>
    <s v="No cumple"/>
    <n v="42921"/>
    <n v="42921"/>
    <m/>
  </r>
  <r>
    <d v="2025-04-08T00:00:00"/>
    <x v="3"/>
    <n v="2516"/>
    <x v="0"/>
    <s v="Rigoberto Castelblanco / HUSKY IMS COLOMBIA LTD"/>
    <s v="TECUTCO5C"/>
    <x v="51"/>
    <n v="1"/>
    <x v="2"/>
    <x v="1"/>
    <x v="1"/>
    <x v="0"/>
    <s v="Coordinadora"/>
    <s v="3278751- 84151210702"/>
    <d v="2025-05-02T00:00:00"/>
    <d v="2025-05-05T00:00:00"/>
    <x v="0"/>
    <n v="18"/>
    <n v="20"/>
    <s v="No cumple"/>
    <n v="24093"/>
    <n v="24093"/>
    <m/>
  </r>
  <r>
    <d v="2025-04-08T00:00:00"/>
    <x v="3"/>
    <n v="2516"/>
    <x v="0"/>
    <s v="Rigoberto Castelblanco / HUSKY IMS COLOMBIA LTD"/>
    <s v="TECUTCO2C"/>
    <x v="37"/>
    <n v="1"/>
    <x v="2"/>
    <x v="1"/>
    <x v="1"/>
    <x v="0"/>
    <s v="Coordinadora"/>
    <s v="3278760- 84151210708"/>
    <d v="2025-05-02T00:00:00"/>
    <d v="2025-05-05T00:00:00"/>
    <x v="0"/>
    <n v="18"/>
    <n v="20"/>
    <s v="No cumple"/>
    <n v="54929"/>
    <n v="54929"/>
    <m/>
  </r>
  <r>
    <d v="2025-04-08T00:00:00"/>
    <x v="3"/>
    <n v="2516"/>
    <x v="0"/>
    <s v="Rigoberto Castelblanco / HUSKY IMS COLOMBIA LTD"/>
    <s v="TECUACO"/>
    <x v="15"/>
    <n v="1"/>
    <x v="5"/>
    <x v="1"/>
    <x v="1"/>
    <x v="0"/>
    <s v="Envia"/>
    <s v="3269598 - 954101203551"/>
    <d v="2025-04-28T00:00:00"/>
    <d v="2025-04-29T00:00:00"/>
    <x v="0"/>
    <n v="15"/>
    <n v="16"/>
    <s v="No cumple"/>
    <n v="54929"/>
    <n v="54929"/>
    <m/>
  </r>
  <r>
    <d v="2025-04-11T00:00:00"/>
    <x v="3"/>
    <n v="2517"/>
    <x v="0"/>
    <s v="Willington Soto Vivescas"/>
    <s v="TECU3FNCRO"/>
    <x v="55"/>
    <n v="1"/>
    <x v="1"/>
    <x v="5"/>
    <x v="9"/>
    <x v="0"/>
    <s v="Coordinadora"/>
    <s v="3242140-84151195687"/>
    <d v="2025-04-14T15:58:27"/>
    <d v="2025-04-19T15:05:54"/>
    <x v="0"/>
    <n v="2"/>
    <n v="5"/>
    <s v="No cumple"/>
    <n v="41397"/>
    <m/>
    <m/>
  </r>
  <r>
    <d v="2025-04-11T00:00:00"/>
    <x v="3"/>
    <n v="2517"/>
    <x v="0"/>
    <s v="Willington Soto Vivescas"/>
    <s v="TECUTCO8C"/>
    <x v="19"/>
    <n v="1"/>
    <x v="2"/>
    <x v="5"/>
    <x v="9"/>
    <x v="0"/>
    <s v="Coordinadora"/>
    <s v="3242141-84151195688"/>
    <d v="2025-04-14T15:58:27"/>
    <d v="2025-04-19T15:05:53"/>
    <x v="0"/>
    <n v="2"/>
    <n v="5"/>
    <s v="No cumple"/>
    <n v="38089"/>
    <m/>
    <m/>
  </r>
  <r>
    <d v="2025-04-11T00:00:00"/>
    <x v="3"/>
    <n v="2517"/>
    <x v="0"/>
    <s v="Willington Soto Vivescas"/>
    <s v="TECUBDPM"/>
    <x v="0"/>
    <n v="1"/>
    <x v="0"/>
    <x v="5"/>
    <x v="9"/>
    <x v="0"/>
    <s v="Coordinadora"/>
    <s v="3242151-84151195696"/>
    <d v="2025-04-14T15:58:27"/>
    <d v="2025-04-19T15:05:53"/>
    <x v="0"/>
    <n v="2"/>
    <n v="5"/>
    <s v="No cumple"/>
    <n v="15152"/>
    <m/>
    <m/>
  </r>
  <r>
    <d v="2025-04-11T00:00:00"/>
    <x v="3"/>
    <n v="2517"/>
    <x v="0"/>
    <s v="Willington Soto Vivescas"/>
    <s v="TECUCT"/>
    <x v="4"/>
    <n v="1"/>
    <x v="0"/>
    <x v="5"/>
    <x v="9"/>
    <x v="0"/>
    <s v="Coordinadora"/>
    <s v="3242162-84151195701"/>
    <d v="2025-04-14T15:58:27"/>
    <d v="2025-04-19T15:05:54"/>
    <x v="0"/>
    <n v="2"/>
    <n v="5"/>
    <s v="No cumple"/>
    <n v="22920"/>
    <m/>
    <m/>
  </r>
  <r>
    <d v="2025-04-12T00:00:00"/>
    <x v="3"/>
    <n v="2518"/>
    <x v="0"/>
    <s v="Ronald Rengifo"/>
    <s v="TECU3FNPRO"/>
    <x v="12"/>
    <n v="1"/>
    <x v="1"/>
    <x v="0"/>
    <x v="8"/>
    <x v="0"/>
    <s v="Coordinadora"/>
    <s v="3243367-84151196160"/>
    <d v="2025-04-15T16:02:10"/>
    <d v="2025-04-19T09:31:47"/>
    <x v="0"/>
    <n v="2"/>
    <n v="4"/>
    <s v="No cumple"/>
    <n v="28241"/>
    <m/>
    <m/>
  </r>
  <r>
    <d v="2025-04-12T00:00:00"/>
    <x v="3"/>
    <n v="2518"/>
    <x v="0"/>
    <s v="Ronald Rengifo"/>
    <s v="TECUTRN20C"/>
    <x v="65"/>
    <n v="1"/>
    <x v="2"/>
    <x v="0"/>
    <x v="8"/>
    <x v="0"/>
    <s v="Coordinadora"/>
    <s v="3243368-84151196161"/>
    <d v="2025-04-15T16:02:10"/>
    <d v="2025-04-19T09:31:47"/>
    <x v="0"/>
    <n v="2"/>
    <n v="4"/>
    <s v="No cumple"/>
    <n v="26249"/>
    <m/>
    <m/>
  </r>
  <r>
    <d v="2025-04-12T00:00:00"/>
    <x v="3"/>
    <n v="2519"/>
    <x v="0"/>
    <s v="Adrian Moya"/>
    <s v="TECU2FBGO"/>
    <x v="2"/>
    <n v="1"/>
    <x v="1"/>
    <x v="0"/>
    <x v="8"/>
    <x v="0"/>
    <s v="Coordinadora"/>
    <s v="3240492-84151194821"/>
    <d v="2025-04-14T15:58:27"/>
    <d v="2025-04-15T07:36:03"/>
    <x v="0"/>
    <n v="1"/>
    <n v="2"/>
    <s v="Cumple"/>
    <n v="26913"/>
    <m/>
    <m/>
  </r>
  <r>
    <d v="2025-04-12T00:00:00"/>
    <x v="3"/>
    <n v="2519"/>
    <x v="0"/>
    <s v="Adrian Moya"/>
    <s v="TECUTFE5C"/>
    <x v="29"/>
    <n v="1"/>
    <x v="2"/>
    <x v="0"/>
    <x v="8"/>
    <x v="0"/>
    <s v="Coordinadora"/>
    <s v="3240493-84151194822"/>
    <d v="2025-04-14T15:58:27"/>
    <d v="2025-04-15T07:36:03"/>
    <x v="0"/>
    <n v="1"/>
    <n v="2"/>
    <s v="Cumple"/>
    <n v="23593"/>
    <m/>
    <m/>
  </r>
  <r>
    <d v="2025-04-12T00:00:00"/>
    <x v="3"/>
    <n v="2519"/>
    <x v="0"/>
    <s v="Adrian Moya"/>
    <s v="TECUROD"/>
    <x v="31"/>
    <n v="1"/>
    <x v="7"/>
    <x v="0"/>
    <x v="8"/>
    <x v="0"/>
    <s v="Coordinadora"/>
    <s v="3240532-84151194845"/>
    <d v="2025-04-14T15:58:27"/>
    <d v="2025-04-15T07:36:03"/>
    <x v="0"/>
    <n v="1"/>
    <n v="2"/>
    <s v="Cumple"/>
    <n v="22920"/>
    <m/>
    <m/>
  </r>
  <r>
    <d v="2025-04-12T00:00:00"/>
    <x v="3"/>
    <n v="2519"/>
    <x v="0"/>
    <s v="Adrian Moya"/>
    <s v="TECUCT"/>
    <x v="4"/>
    <n v="1"/>
    <x v="0"/>
    <x v="0"/>
    <x v="8"/>
    <x v="0"/>
    <s v="Coordinadora"/>
    <s v="3241373-84151195322"/>
    <d v="2025-04-14T15:58:27"/>
    <d v="2025-04-15T07:36:03"/>
    <x v="0"/>
    <n v="1"/>
    <n v="2"/>
    <s v="Cumple"/>
    <n v="22920"/>
    <m/>
    <m/>
  </r>
  <r>
    <d v="2025-04-12T00:00:00"/>
    <x v="3"/>
    <n v="2519"/>
    <x v="0"/>
    <s v="Adrian Moya"/>
    <s v="TECUDSG"/>
    <x v="64"/>
    <n v="1"/>
    <x v="4"/>
    <x v="0"/>
    <x v="8"/>
    <x v="0"/>
    <s v="Coordinadora"/>
    <s v="3240547-84151194859"/>
    <d v="2025-04-14T15:58:27"/>
    <d v="2025-04-15T07:36:03"/>
    <x v="0"/>
    <n v="1"/>
    <n v="2"/>
    <s v="Cumple"/>
    <n v="22929"/>
    <m/>
    <m/>
  </r>
  <r>
    <d v="2025-04-12T00:00:00"/>
    <x v="3"/>
    <n v="2519"/>
    <x v="0"/>
    <s v="Adrian Moya"/>
    <s v="TECURCC"/>
    <x v="42"/>
    <n v="1"/>
    <x v="6"/>
    <x v="0"/>
    <x v="8"/>
    <x v="0"/>
    <s v="Coordinadora"/>
    <s v="NA"/>
    <d v="2025-04-14T15:58:27"/>
    <d v="2025-04-15T07:36:03"/>
    <x v="0"/>
    <n v="1"/>
    <n v="2"/>
    <s v="Cumple"/>
    <n v="0"/>
    <m/>
    <m/>
  </r>
  <r>
    <d v="2025-04-12T00:00:00"/>
    <x v="3"/>
    <n v="2519"/>
    <x v="0"/>
    <s v="Adrian Moya"/>
    <s v="TECUBDPM"/>
    <x v="0"/>
    <n v="1"/>
    <x v="0"/>
    <x v="0"/>
    <x v="8"/>
    <x v="0"/>
    <s v="Coordinadora"/>
    <s v="3240516-84151194831"/>
    <d v="2025-04-14T15:58:27"/>
    <d v="2025-04-15T07:36:03"/>
    <x v="0"/>
    <n v="1"/>
    <n v="2"/>
    <s v="Cumple"/>
    <n v="15152"/>
    <m/>
    <m/>
  </r>
  <r>
    <d v="2025-04-12T00:00:00"/>
    <x v="3"/>
    <n v="2520"/>
    <x v="0"/>
    <s v="Jose David Ludian Cohen"/>
    <s v="TECU3FNPRO"/>
    <x v="12"/>
    <n v="1"/>
    <x v="1"/>
    <x v="0"/>
    <x v="34"/>
    <x v="0"/>
    <s v="Coordinadora"/>
    <s v="3240730-84151194968"/>
    <d v="2025-04-14T15:58:27"/>
    <d v="2025-04-15T16:26:35"/>
    <x v="0"/>
    <n v="1"/>
    <n v="2"/>
    <s v="Cumple"/>
    <n v="28241"/>
    <m/>
    <m/>
  </r>
  <r>
    <d v="2025-04-12T00:00:00"/>
    <x v="3"/>
    <n v="2520"/>
    <x v="0"/>
    <s v="Jose David Ludian Cohen"/>
    <s v="TECUTCO8C"/>
    <x v="19"/>
    <n v="1"/>
    <x v="2"/>
    <x v="0"/>
    <x v="34"/>
    <x v="0"/>
    <s v="Coordinadora"/>
    <s v="3240731-84151194969"/>
    <d v="2025-04-14T15:58:27"/>
    <d v="2025-04-15T16:26:35"/>
    <x v="0"/>
    <n v="1"/>
    <n v="2"/>
    <s v="Cumple"/>
    <n v="26249"/>
    <m/>
    <m/>
  </r>
  <r>
    <d v="2025-04-12T00:00:00"/>
    <x v="3"/>
    <n v="2520"/>
    <x v="0"/>
    <s v="Jose David Ludian Cohen"/>
    <m/>
    <x v="10"/>
    <n v="1"/>
    <x v="3"/>
    <x v="0"/>
    <x v="34"/>
    <x v="1"/>
    <s v="NA"/>
    <s v="NA"/>
    <s v="NA"/>
    <s v="NA"/>
    <x v="0"/>
    <s v="PTE"/>
    <e v="#VALUE!"/>
    <e v="#VALUE!"/>
    <n v="0"/>
    <m/>
    <m/>
  </r>
  <r>
    <d v="2025-04-14T00:00:00"/>
    <x v="3"/>
    <n v="2521"/>
    <x v="0"/>
    <s v="Jose David Ludian Cohen"/>
    <s v="TECURCO"/>
    <x v="30"/>
    <n v="1"/>
    <x v="6"/>
    <x v="0"/>
    <x v="34"/>
    <x v="0"/>
    <s v="Coordinadora"/>
    <s v="NA"/>
    <d v="2025-04-14T15:58:27"/>
    <d v="2025-04-15T16:26:35"/>
    <x v="0"/>
    <n v="0"/>
    <n v="1"/>
    <s v="Cumple"/>
    <n v="0"/>
    <m/>
    <m/>
  </r>
  <r>
    <d v="2025-04-14T00:00:00"/>
    <x v="3"/>
    <n v="2522"/>
    <x v="0"/>
    <s v="Carlos Contreras"/>
    <s v="TECU3FNPRO"/>
    <x v="12"/>
    <n v="1"/>
    <x v="1"/>
    <x v="1"/>
    <x v="1"/>
    <x v="0"/>
    <s v="Coordinadora"/>
    <s v="3243391-84151196175"/>
    <d v="2025-04-15T16:02:10"/>
    <d v="2025-04-19T11:04:27"/>
    <x v="0"/>
    <n v="1"/>
    <n v="3"/>
    <s v="Cumple"/>
    <n v="28241"/>
    <m/>
    <m/>
  </r>
  <r>
    <d v="2025-04-14T00:00:00"/>
    <x v="3"/>
    <n v="2522"/>
    <x v="0"/>
    <s v="Carlos Contreras"/>
    <s v="TECUTFE8M"/>
    <x v="33"/>
    <n v="1"/>
    <x v="2"/>
    <x v="1"/>
    <x v="1"/>
    <x v="0"/>
    <s v="Coordinadora"/>
    <s v="3243392-84151196176"/>
    <d v="2025-04-15T16:02:10"/>
    <d v="2025-04-19T11:04:27"/>
    <x v="0"/>
    <n v="1"/>
    <n v="3"/>
    <s v="Cumple"/>
    <n v="26249"/>
    <m/>
    <m/>
  </r>
  <r>
    <d v="2025-04-14T00:00:00"/>
    <x v="3"/>
    <n v="2522"/>
    <x v="0"/>
    <s v="Carlos Contreras"/>
    <s v="TECUCT"/>
    <x v="4"/>
    <n v="1"/>
    <x v="0"/>
    <x v="1"/>
    <x v="1"/>
    <x v="0"/>
    <s v="Coordinadora"/>
    <s v="3243396-84151196178"/>
    <d v="2025-04-15T16:02:10"/>
    <d v="2025-04-19T11:04:27"/>
    <x v="0"/>
    <n v="1"/>
    <n v="3"/>
    <s v="Cumple"/>
    <n v="22920"/>
    <m/>
    <m/>
  </r>
  <r>
    <d v="2025-04-14T00:00:00"/>
    <x v="3"/>
    <n v="2522"/>
    <x v="0"/>
    <s v="Carlos Contreras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4-14T00:00:00"/>
    <x v="3"/>
    <n v="2522"/>
    <x v="1"/>
    <s v="Carlos Contreras"/>
    <s v="TECUTFE8M"/>
    <x v="33"/>
    <n v="1"/>
    <x v="2"/>
    <x v="1"/>
    <x v="1"/>
    <x v="0"/>
    <s v="Coordinadora"/>
    <s v="3253757-84151200430"/>
    <d v="2025-04-21T15:57:44"/>
    <d v="2025-04-22T16:40:34"/>
    <x v="0"/>
    <n v="4"/>
    <n v="5"/>
    <s v="No cumple"/>
    <n v="26249"/>
    <m/>
    <m/>
  </r>
  <r>
    <d v="2025-04-14T00:00:00"/>
    <x v="3"/>
    <n v="2522"/>
    <x v="1"/>
    <s v="Carlos Contreras"/>
    <s v="TECU3FNPRO"/>
    <x v="12"/>
    <n v="1"/>
    <x v="1"/>
    <x v="1"/>
    <x v="1"/>
    <x v="0"/>
    <s v="Coordinadora"/>
    <s v="3270225-84151207153"/>
    <d v="2025-04-28T15:17:25"/>
    <d v="2025-04-29T00:00:00"/>
    <x v="0"/>
    <n v="10"/>
    <n v="11"/>
    <s v="No cumple"/>
    <n v="28241"/>
    <m/>
    <m/>
  </r>
  <r>
    <d v="2025-04-15T00:00:00"/>
    <x v="3"/>
    <n v="2523"/>
    <x v="0"/>
    <s v="Jonathan Acero"/>
    <s v="TECUROD"/>
    <x v="31"/>
    <n v="1"/>
    <x v="7"/>
    <x v="1"/>
    <x v="35"/>
    <x v="0"/>
    <s v="Coordinadora"/>
    <s v="3243414-84151196181"/>
    <d v="2025-04-15T16:02:10"/>
    <d v="2025-04-19T11:28:43"/>
    <x v="0"/>
    <n v="0"/>
    <n v="2"/>
    <e v="#N/A"/>
    <n v="22920"/>
    <m/>
    <m/>
  </r>
  <r>
    <d v="2025-04-15T00:00:00"/>
    <x v="3"/>
    <n v="2524"/>
    <x v="0"/>
    <s v="Adrian Cardona"/>
    <s v="TECU2FNG"/>
    <x v="5"/>
    <n v="1"/>
    <x v="1"/>
    <x v="0"/>
    <x v="8"/>
    <x v="0"/>
    <s v="Coordinadora"/>
    <s v="3243462-84151196208"/>
    <d v="2025-04-15T16:02:10"/>
    <d v="2025-04-16T08:12:14"/>
    <x v="0"/>
    <n v="0"/>
    <n v="1"/>
    <s v="Cumple"/>
    <n v="26913"/>
    <m/>
    <m/>
  </r>
  <r>
    <d v="2025-04-15T00:00:00"/>
    <x v="3"/>
    <n v="2524"/>
    <x v="0"/>
    <s v="Adrian Cardona"/>
    <s v="TECUTCO6C"/>
    <x v="16"/>
    <n v="1"/>
    <x v="2"/>
    <x v="0"/>
    <x v="8"/>
    <x v="0"/>
    <s v="Coordinadora"/>
    <s v="3243463-84151196210"/>
    <d v="2025-04-15T16:02:10"/>
    <d v="2025-04-16T08:12:14"/>
    <x v="0"/>
    <n v="0"/>
    <n v="1"/>
    <s v="Cumple"/>
    <n v="23593"/>
    <m/>
    <m/>
  </r>
  <r>
    <d v="2025-04-15T00:00:00"/>
    <x v="3"/>
    <n v="2525"/>
    <x v="0"/>
    <s v="Doris Rodríguez"/>
    <s v="TECU2FBGO"/>
    <x v="2"/>
    <n v="1"/>
    <x v="1"/>
    <x v="1"/>
    <x v="1"/>
    <x v="0"/>
    <s v="Coordinadora"/>
    <s v="3243753-84151196341"/>
    <d v="2025-04-15T16:02:10"/>
    <d v="2025-04-22T15:21:02"/>
    <x v="0"/>
    <n v="0"/>
    <n v="4"/>
    <s v="No cumple"/>
    <n v="26913"/>
    <m/>
    <m/>
  </r>
  <r>
    <d v="2025-04-15T00:00:00"/>
    <x v="3"/>
    <n v="2525"/>
    <x v="0"/>
    <s v="Doris Rodríguez"/>
    <s v="TECUTFE2C"/>
    <x v="3"/>
    <n v="1"/>
    <x v="2"/>
    <x v="1"/>
    <x v="1"/>
    <x v="0"/>
    <s v="Coordinadora"/>
    <s v="3243756-84151196342"/>
    <d v="2025-04-15T16:02:10"/>
    <d v="2025-04-22T15:21:02"/>
    <x v="0"/>
    <n v="0"/>
    <n v="4"/>
    <s v="No cumple"/>
    <n v="23593"/>
    <m/>
    <m/>
  </r>
  <r>
    <d v="2025-04-15T00:00:00"/>
    <x v="3"/>
    <n v="2526"/>
    <x v="0"/>
    <s v="Arturo Diuza Cuero"/>
    <s v="TECU3FNPRO"/>
    <x v="12"/>
    <n v="1"/>
    <x v="1"/>
    <x v="6"/>
    <x v="17"/>
    <x v="0"/>
    <s v="Coordinadora"/>
    <s v="3243788-84151196357"/>
    <d v="2025-04-15T16:02:10"/>
    <d v="2025-04-21T15:29:41"/>
    <x v="0"/>
    <n v="0"/>
    <n v="3"/>
    <s v="Cumple"/>
    <n v="28241"/>
    <m/>
    <m/>
  </r>
  <r>
    <d v="2025-04-15T00:00:00"/>
    <x v="3"/>
    <n v="2527"/>
    <x v="0"/>
    <s v="Christiana Bowen"/>
    <s v="TECU2FNG"/>
    <x v="5"/>
    <n v="1"/>
    <x v="1"/>
    <x v="0"/>
    <x v="8"/>
    <x v="0"/>
    <s v="Coordinadora"/>
    <s v="3256028-84151201365"/>
    <d v="2025-04-22T15:50:56"/>
    <d v="2025-04-24T13:04:25"/>
    <x v="0"/>
    <n v="4"/>
    <n v="6"/>
    <s v="No cumple"/>
    <n v="26913"/>
    <m/>
    <m/>
  </r>
  <r>
    <d v="2025-04-15T00:00:00"/>
    <x v="3"/>
    <n v="2527"/>
    <x v="0"/>
    <s v="Christiana Bowen"/>
    <s v="TECUTRN6C"/>
    <x v="20"/>
    <n v="1"/>
    <x v="2"/>
    <x v="0"/>
    <x v="8"/>
    <x v="0"/>
    <s v="Coordinadora"/>
    <s v="3256029-84151201366"/>
    <d v="2025-04-22T15:50:56"/>
    <d v="2025-04-23T12:56:59"/>
    <x v="0"/>
    <n v="4"/>
    <n v="5"/>
    <s v="No cumple"/>
    <n v="23593"/>
    <m/>
    <m/>
  </r>
  <r>
    <d v="2025-04-15T00:00:00"/>
    <x v="3"/>
    <n v="2527"/>
    <x v="0"/>
    <s v="Christiana Bowen"/>
    <s v="TECUDSN"/>
    <x v="13"/>
    <n v="1"/>
    <x v="4"/>
    <x v="0"/>
    <x v="8"/>
    <x v="0"/>
    <s v="Coordinadora"/>
    <s v="3256066-84151201384"/>
    <d v="2025-04-22T15:50:56"/>
    <d v="2025-04-23T12:51:05"/>
    <x v="0"/>
    <n v="4"/>
    <n v="5"/>
    <s v="No cumple"/>
    <n v="22929"/>
    <m/>
    <m/>
  </r>
  <r>
    <d v="2025-04-15T00:00:00"/>
    <x v="3"/>
    <n v="2527"/>
    <x v="0"/>
    <s v="Christiana Bowen"/>
    <s v="TECU2FNG"/>
    <x v="5"/>
    <n v="1"/>
    <x v="1"/>
    <x v="0"/>
    <x v="8"/>
    <x v="0"/>
    <s v="Coordinadora"/>
    <s v="3256053-84151201375"/>
    <d v="2025-04-22T15:50:56"/>
    <d v="2025-04-23T12:51:05"/>
    <x v="0"/>
    <n v="4"/>
    <n v="5"/>
    <s v="No cumple"/>
    <n v="26913"/>
    <m/>
    <m/>
  </r>
  <r>
    <d v="2025-04-15T00:00:00"/>
    <x v="3"/>
    <n v="2527"/>
    <x v="0"/>
    <s v="Christiana Bowen"/>
    <s v="TECUTRN6C"/>
    <x v="20"/>
    <n v="1"/>
    <x v="2"/>
    <x v="0"/>
    <x v="8"/>
    <x v="0"/>
    <s v="Coordinadora"/>
    <s v="3256054-84151201376"/>
    <d v="2025-04-22T15:50:56"/>
    <d v="2025-04-23T12:56:59"/>
    <x v="0"/>
    <n v="4"/>
    <n v="5"/>
    <s v="No cumple"/>
    <n v="23593"/>
    <m/>
    <m/>
  </r>
  <r>
    <d v="2025-04-15T00:00:00"/>
    <x v="3"/>
    <n v="2527"/>
    <x v="0"/>
    <s v="Christiana Bowen"/>
    <s v="TECUDSN"/>
    <x v="13"/>
    <n v="1"/>
    <x v="4"/>
    <x v="0"/>
    <x v="8"/>
    <x v="0"/>
    <s v="Coordinadora"/>
    <s v="3256077-84151201389"/>
    <d v="2025-04-22T15:50:56"/>
    <d v="2025-04-23T12:51:05"/>
    <x v="0"/>
    <n v="4"/>
    <n v="5"/>
    <s v="No cumple"/>
    <n v="22929"/>
    <m/>
    <m/>
  </r>
  <r>
    <d v="2025-04-15T00:00:00"/>
    <x v="3"/>
    <n v="2527"/>
    <x v="0"/>
    <s v="Christiana Bowen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4-16T00:00:00"/>
    <x v="3"/>
    <n v="2528"/>
    <x v="0"/>
    <s v="Natalia Villegas"/>
    <s v="TECU3FNPRO"/>
    <x v="12"/>
    <n v="1"/>
    <x v="1"/>
    <x v="1"/>
    <x v="1"/>
    <x v="0"/>
    <s v="Coordinadora"/>
    <s v="3264476-84151205271"/>
    <d v="2025-04-25T14:59:11"/>
    <d v="2025-04-26T15:44:54"/>
    <x v="0"/>
    <n v="6"/>
    <n v="7"/>
    <s v="No cumple"/>
    <n v="28241"/>
    <m/>
    <m/>
  </r>
  <r>
    <d v="2025-04-16T00:00:00"/>
    <x v="3"/>
    <n v="2528"/>
    <x v="0"/>
    <s v="Natalia Villegas"/>
    <s v="TECUTRM5C"/>
    <x v="27"/>
    <n v="1"/>
    <x v="2"/>
    <x v="1"/>
    <x v="1"/>
    <x v="0"/>
    <s v="Coordinadora"/>
    <s v="3264477-84151205272"/>
    <d v="2025-04-25T14:59:11"/>
    <d v="2025-04-26T15:44:54"/>
    <x v="0"/>
    <n v="6"/>
    <n v="7"/>
    <s v="No cumple"/>
    <n v="23593"/>
    <m/>
    <m/>
  </r>
  <r>
    <d v="2025-04-16T00:00:00"/>
    <x v="3"/>
    <n v="2528"/>
    <x v="0"/>
    <s v="Natalia Villegas"/>
    <s v="TECUCT"/>
    <x v="4"/>
    <n v="1"/>
    <x v="0"/>
    <x v="1"/>
    <x v="1"/>
    <x v="0"/>
    <s v="Coordinadora"/>
    <s v="3264481-84151205274"/>
    <d v="2025-04-25T14:59:11"/>
    <d v="2025-04-26T15:44:54"/>
    <x v="0"/>
    <n v="6"/>
    <n v="7"/>
    <s v="No cumple"/>
    <n v="22920"/>
    <m/>
    <m/>
  </r>
  <r>
    <d v="2025-04-16T00:00:00"/>
    <x v="3"/>
    <n v="2528"/>
    <x v="0"/>
    <s v="Natalia Villegas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4-19T00:00:00"/>
    <x v="3"/>
    <n v="2529"/>
    <x v="0"/>
    <s v="Angie Barbosa Maldonado"/>
    <s v="TECU3FBCRO"/>
    <x v="66"/>
    <n v="1"/>
    <x v="1"/>
    <x v="1"/>
    <x v="1"/>
    <x v="0"/>
    <s v="Coordinadora"/>
    <s v="3251862-84151199277"/>
    <d v="2025-04-21T15:57:44"/>
    <d v="2025-04-22T16:12:01"/>
    <x v="0"/>
    <n v="1"/>
    <n v="2"/>
    <s v="Cumple"/>
    <n v="28241"/>
    <m/>
    <m/>
  </r>
  <r>
    <d v="2025-04-19T00:00:00"/>
    <x v="3"/>
    <n v="2529"/>
    <x v="0"/>
    <s v="Angie Barbosa Maldonado"/>
    <s v="TECUTFE5C"/>
    <x v="29"/>
    <n v="1"/>
    <x v="2"/>
    <x v="1"/>
    <x v="1"/>
    <x v="0"/>
    <s v="Coordinadora"/>
    <s v="3251865-84151199278"/>
    <d v="2025-04-21T15:57:44"/>
    <d v="2025-04-22T16:12:01"/>
    <x v="0"/>
    <n v="1"/>
    <n v="2"/>
    <s v="Cumple"/>
    <n v="23593"/>
    <m/>
    <m/>
  </r>
  <r>
    <d v="2025-04-19T00:00:00"/>
    <x v="3"/>
    <n v="2529"/>
    <x v="0"/>
    <s v="Angie Barbosa Maldonado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4-21T00:00:00"/>
    <x v="3"/>
    <n v="2530"/>
    <x v="0"/>
    <s v="Carlos Angel"/>
    <s v="TECUDSN"/>
    <x v="13"/>
    <n v="1"/>
    <x v="4"/>
    <x v="0"/>
    <x v="34"/>
    <x v="0"/>
    <s v="Coordinadora"/>
    <s v="3252191-84151199490"/>
    <d v="2025-04-21T15:57:44"/>
    <d v="2025-04-22T11:29:05"/>
    <x v="0"/>
    <n v="0"/>
    <n v="1"/>
    <s v="Cumple"/>
    <n v="22929"/>
    <m/>
    <m/>
  </r>
  <r>
    <d v="2025-04-21T00:00:00"/>
    <x v="3"/>
    <n v="2531"/>
    <x v="0"/>
    <s v="Luis Pimiento"/>
    <s v="TECU2FNG"/>
    <x v="5"/>
    <n v="1"/>
    <x v="1"/>
    <x v="5"/>
    <x v="36"/>
    <x v="0"/>
    <s v="Coordinadora"/>
    <s v="3252409-84151199626"/>
    <d v="2025-04-21T15:57:44"/>
    <d v="2025-04-22T18:10:01"/>
    <x v="0"/>
    <n v="0"/>
    <n v="1"/>
    <s v="Cumple"/>
    <n v="39191"/>
    <m/>
    <m/>
  </r>
  <r>
    <d v="2025-04-21T00:00:00"/>
    <x v="3"/>
    <n v="2531"/>
    <x v="0"/>
    <s v="Luis Pimiento"/>
    <s v="TECUTRN3C"/>
    <x v="67"/>
    <n v="1"/>
    <x v="2"/>
    <x v="5"/>
    <x v="36"/>
    <x v="0"/>
    <s v="Coordinadora"/>
    <s v="3252412-84151199628"/>
    <d v="2025-04-21T15:57:44"/>
    <d v="2025-04-22T18:10:01"/>
    <x v="0"/>
    <n v="0"/>
    <n v="1"/>
    <s v="Cumple"/>
    <n v="33679"/>
    <m/>
    <m/>
  </r>
  <r>
    <d v="2025-04-22T00:00:00"/>
    <x v="3"/>
    <n v="2532"/>
    <x v="0"/>
    <s v="David Felipe Bayona Heredia"/>
    <s v="TECU3FNPRO"/>
    <x v="12"/>
    <n v="1"/>
    <x v="1"/>
    <x v="1"/>
    <x v="1"/>
    <x v="0"/>
    <s v="Coordinadora"/>
    <s v="3256310-84151201489"/>
    <d v="2025-04-22T15:50:56"/>
    <d v="2025-04-23T15:50:21"/>
    <x v="0"/>
    <n v="0"/>
    <n v="1"/>
    <s v="Cumple"/>
    <n v="28241"/>
    <m/>
    <m/>
  </r>
  <r>
    <d v="2025-04-22T00:00:00"/>
    <x v="3"/>
    <n v="2532"/>
    <x v="0"/>
    <s v="David Felipe Bayona Heredia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4-23T00:00:00"/>
    <x v="3"/>
    <n v="2533"/>
    <x v="0"/>
    <s v="Diego Alejandro Forero Walteros"/>
    <s v="TECU3FBCRO"/>
    <x v="66"/>
    <n v="1"/>
    <x v="1"/>
    <x v="1"/>
    <x v="1"/>
    <x v="0"/>
    <s v="Coordinadora"/>
    <s v="3259082-84151202778"/>
    <d v="2025-04-23T15:29:13"/>
    <d v="2025-04-25T15:27:54"/>
    <x v="0"/>
    <n v="0"/>
    <n v="2"/>
    <s v="Cumple"/>
    <n v="28241"/>
    <m/>
    <m/>
  </r>
  <r>
    <d v="2025-04-23T00:00:00"/>
    <x v="3"/>
    <n v="2533"/>
    <x v="0"/>
    <s v="Diego Alejandro Forero Walteros"/>
    <s v="TECUTFE2C"/>
    <x v="3"/>
    <n v="1"/>
    <x v="2"/>
    <x v="1"/>
    <x v="1"/>
    <x v="0"/>
    <s v="Coordinadora"/>
    <s v="3259084-84151202780"/>
    <d v="2025-04-23T15:29:13"/>
    <d v="2025-04-25T15:27:54"/>
    <x v="0"/>
    <n v="0"/>
    <n v="2"/>
    <s v="Cumple"/>
    <n v="28241"/>
    <m/>
    <m/>
  </r>
  <r>
    <d v="2025-04-24T00:00:00"/>
    <x v="3"/>
    <n v="2534"/>
    <x v="0"/>
    <s v="Fabian Andres Mojica / COLIBRI IT SAS"/>
    <s v="TECU3FBCRO"/>
    <x v="66"/>
    <n v="1"/>
    <x v="1"/>
    <x v="1"/>
    <x v="1"/>
    <x v="0"/>
    <s v="Coordinadora"/>
    <s v="3261909-84151204046"/>
    <d v="2025-04-24T16:50:53"/>
    <d v="2025-04-26T11:08:31"/>
    <x v="0"/>
    <n v="0"/>
    <n v="2"/>
    <s v="Cumple"/>
    <n v="28241"/>
    <m/>
    <m/>
  </r>
  <r>
    <d v="2025-04-24T00:00:00"/>
    <x v="3"/>
    <n v="2534"/>
    <x v="0"/>
    <s v="Fabian Andres Mojica / COLIBRI IT SAS"/>
    <s v="TECUTB2C"/>
    <x v="68"/>
    <n v="1"/>
    <x v="2"/>
    <x v="1"/>
    <x v="1"/>
    <x v="0"/>
    <s v="Coordinadora"/>
    <s v="3261911-84151204048"/>
    <d v="2025-04-24T16:49:55"/>
    <d v="2025-04-26T11:29:14"/>
    <x v="0"/>
    <n v="0"/>
    <n v="2"/>
    <s v="Cumple"/>
    <n v="28241"/>
    <m/>
    <m/>
  </r>
  <r>
    <d v="2025-04-24T00:00:00"/>
    <x v="3"/>
    <n v="2534"/>
    <x v="0"/>
    <s v="Fabian Andres Mojica / COLIBRI IT SAS"/>
    <s v="TECUCT"/>
    <x v="4"/>
    <n v="1"/>
    <x v="0"/>
    <x v="1"/>
    <x v="1"/>
    <x v="0"/>
    <s v="Coordinadora"/>
    <s v="3261976-84151204073"/>
    <d v="2025-04-24T16:50:53"/>
    <d v="2025-04-25T18:00:49"/>
    <x v="0"/>
    <n v="0"/>
    <n v="1"/>
    <s v="Cumple"/>
    <n v="22920"/>
    <m/>
    <m/>
  </r>
  <r>
    <d v="2025-04-24T00:00:00"/>
    <x v="3"/>
    <n v="2534"/>
    <x v="0"/>
    <s v="Fabian Andres Mojica / COLIBRI IT SAS"/>
    <s v="TECU3FBCRO"/>
    <x v="66"/>
    <n v="1"/>
    <x v="1"/>
    <x v="1"/>
    <x v="1"/>
    <x v="0"/>
    <s v="Coordinadora"/>
    <s v="3261957-84151204068"/>
    <d v="2025-04-24T16:50:53"/>
    <d v="2025-04-26T11:31:07"/>
    <x v="0"/>
    <n v="0"/>
    <n v="2"/>
    <s v="Cumple"/>
    <n v="28241"/>
    <m/>
    <m/>
  </r>
  <r>
    <d v="2025-04-24T00:00:00"/>
    <x v="3"/>
    <n v="2534"/>
    <x v="0"/>
    <s v="Fabian Andres Mojica / COLIBRI IT SAS"/>
    <s v="TECUTB2C"/>
    <x v="68"/>
    <n v="1"/>
    <x v="2"/>
    <x v="1"/>
    <x v="1"/>
    <x v="0"/>
    <s v="Coordinadora"/>
    <s v="3261958-84151204069"/>
    <d v="2025-04-24T16:49:55"/>
    <d v="2025-04-26T11:08:31"/>
    <x v="0"/>
    <n v="0"/>
    <n v="2"/>
    <s v="Cumple"/>
    <n v="28241"/>
    <m/>
    <m/>
  </r>
  <r>
    <d v="2025-04-24T00:00:00"/>
    <x v="3"/>
    <n v="2534"/>
    <x v="0"/>
    <s v="Fabian Andres Mojica / COLIBRI IT SAS"/>
    <s v="TECUCT"/>
    <x v="4"/>
    <n v="1"/>
    <x v="0"/>
    <x v="1"/>
    <x v="1"/>
    <x v="0"/>
    <s v="Coordinadora"/>
    <s v="3261985-84151204075"/>
    <d v="2025-04-24T16:50:53"/>
    <d v="2025-04-25T17:58:36"/>
    <x v="0"/>
    <n v="0"/>
    <n v="1"/>
    <s v="Cumple"/>
    <n v="22920"/>
    <m/>
    <m/>
  </r>
  <r>
    <d v="2025-04-24T00:00:00"/>
    <x v="3"/>
    <n v="2535"/>
    <x v="0"/>
    <s v="Carlos Eduardo Ramírez F  / COLIBRI IT SAS"/>
    <s v="TECU3FBCRO"/>
    <x v="66"/>
    <n v="1"/>
    <x v="1"/>
    <x v="1"/>
    <x v="1"/>
    <x v="0"/>
    <s v="Coordinadora"/>
    <s v="3262209-84151204206"/>
    <d v="2025-04-24T16:50:53"/>
    <d v="2025-04-26T12:14:09"/>
    <x v="0"/>
    <n v="0"/>
    <n v="2"/>
    <s v="Cumple"/>
    <n v="28241"/>
    <m/>
    <m/>
  </r>
  <r>
    <d v="2025-04-24T00:00:00"/>
    <x v="3"/>
    <n v="2535"/>
    <x v="0"/>
    <s v="Carlos Eduardo Ramírez F  / COLIBRI IT SAS"/>
    <s v="TECUTB2C"/>
    <x v="68"/>
    <n v="1"/>
    <x v="2"/>
    <x v="1"/>
    <x v="1"/>
    <x v="0"/>
    <s v="Coordinadora"/>
    <s v="3262210-84151204211"/>
    <d v="2025-04-24T16:49:55"/>
    <d v="2025-04-26T13:02:36"/>
    <x v="0"/>
    <n v="0"/>
    <n v="2"/>
    <s v="Cumple"/>
    <n v="23593"/>
    <m/>
    <m/>
  </r>
  <r>
    <d v="2025-04-24T00:00:00"/>
    <x v="3"/>
    <n v="2535"/>
    <x v="0"/>
    <s v="Carlos Eduardo Ramírez F  / COLIBRI IT SAS"/>
    <s v="TECUCT"/>
    <x v="4"/>
    <n v="1"/>
    <x v="0"/>
    <x v="1"/>
    <x v="1"/>
    <x v="0"/>
    <s v="Coordinadora"/>
    <s v="3262218-84151204217"/>
    <d v="2025-04-24T16:50:53"/>
    <d v="2025-04-25T13:33:07"/>
    <x v="0"/>
    <n v="0"/>
    <n v="1"/>
    <s v="Cumple"/>
    <n v="22920"/>
    <m/>
    <m/>
  </r>
  <r>
    <d v="2025-04-26T00:00:00"/>
    <x v="3"/>
    <n v="2536"/>
    <x v="0"/>
    <s v="Juan David Cubillos Calvachi"/>
    <s v="TECU3FBRO"/>
    <x v="34"/>
    <n v="1"/>
    <x v="1"/>
    <x v="1"/>
    <x v="1"/>
    <x v="0"/>
    <s v="Coordinadora"/>
    <s v="3268967-84151206707"/>
    <d v="2025-04-28T15:17:25"/>
    <d v="2025-04-29T00:00:00"/>
    <x v="0"/>
    <n v="1"/>
    <n v="2"/>
    <s v="Cumple"/>
    <n v="28241"/>
    <m/>
    <m/>
  </r>
  <r>
    <d v="2025-04-26T00:00:00"/>
    <x v="3"/>
    <n v="2536"/>
    <x v="0"/>
    <s v="Juan David Cubillos Calvachi"/>
    <s v="TECUTFE7C"/>
    <x v="53"/>
    <n v="1"/>
    <x v="2"/>
    <x v="1"/>
    <x v="1"/>
    <x v="0"/>
    <s v="Coordinadora"/>
    <s v="3268968-84151206708"/>
    <d v="2025-04-28T15:17:25"/>
    <d v="2025-04-30T00:00:00"/>
    <x v="0"/>
    <n v="1"/>
    <n v="3"/>
    <s v="Cumple"/>
    <n v="23593"/>
    <m/>
    <m/>
  </r>
  <r>
    <d v="2025-04-26T00:00:00"/>
    <x v="3"/>
    <n v="2537"/>
    <x v="0"/>
    <s v="Sergio Prada"/>
    <s v="TECU2FNG"/>
    <x v="5"/>
    <n v="1"/>
    <x v="1"/>
    <x v="1"/>
    <x v="1"/>
    <x v="0"/>
    <s v="Coordinadora"/>
    <s v="3269004-84151206724"/>
    <d v="2025-04-28T15:17:25"/>
    <d v="2025-04-29T00:00:00"/>
    <x v="0"/>
    <n v="1"/>
    <n v="2"/>
    <s v="Cumple"/>
    <n v="26913"/>
    <m/>
    <m/>
  </r>
  <r>
    <d v="2025-04-26T00:00:00"/>
    <x v="3"/>
    <n v="2537"/>
    <x v="0"/>
    <s v="Sergio Prada"/>
    <s v="TECUTCO5C"/>
    <x v="51"/>
    <n v="1"/>
    <x v="2"/>
    <x v="1"/>
    <x v="1"/>
    <x v="0"/>
    <s v="Coordinadora"/>
    <s v="3269006-84151206725"/>
    <d v="2025-04-28T15:17:25"/>
    <d v="2025-04-29T00:00:00"/>
    <x v="0"/>
    <n v="1"/>
    <n v="2"/>
    <s v="Cumple"/>
    <n v="23593"/>
    <m/>
    <m/>
  </r>
  <r>
    <d v="2025-04-28T00:00:00"/>
    <x v="3"/>
    <n v="2538"/>
    <x v="0"/>
    <s v="Lizeth Manchego"/>
    <s v="TECU2FNG"/>
    <x v="5"/>
    <n v="1"/>
    <x v="1"/>
    <x v="5"/>
    <x v="37"/>
    <x v="0"/>
    <s v="Coordinadora"/>
    <s v="3270269-84151207172"/>
    <d v="2025-04-28T15:17:25"/>
    <d v="2025-04-30T00:00:00"/>
    <x v="0"/>
    <n v="0"/>
    <n v="2"/>
    <s v="Cumple"/>
    <n v="39191"/>
    <m/>
    <m/>
  </r>
  <r>
    <d v="2025-04-28T00:00:00"/>
    <x v="3"/>
    <n v="2538"/>
    <x v="0"/>
    <s v="Lizeth Manchego"/>
    <s v="TECUTFE4C"/>
    <x v="14"/>
    <n v="1"/>
    <x v="2"/>
    <x v="5"/>
    <x v="37"/>
    <x v="0"/>
    <s v="Coordinadora"/>
    <s v="3270271-84151207173"/>
    <d v="2025-04-28T15:17:25"/>
    <d v="2025-04-30T00:00:00"/>
    <x v="0"/>
    <n v="0"/>
    <n v="2"/>
    <s v="Cumple"/>
    <n v="33679"/>
    <m/>
    <m/>
  </r>
  <r>
    <d v="2025-04-28T00:00:00"/>
    <x v="3"/>
    <n v="2538"/>
    <x v="0"/>
    <s v="Lizeth Manchego"/>
    <s v="TECUCT"/>
    <x v="4"/>
    <n v="1"/>
    <x v="0"/>
    <x v="5"/>
    <x v="37"/>
    <x v="0"/>
    <s v="Coordinadora"/>
    <s v="3270272-84151207175"/>
    <d v="2025-04-28T15:17:25"/>
    <d v="2025-04-30T00:00:00"/>
    <x v="0"/>
    <n v="0"/>
    <n v="2"/>
    <s v="Cumple"/>
    <n v="22920"/>
    <m/>
    <m/>
  </r>
  <r>
    <d v="2025-04-29T00:00:00"/>
    <x v="3"/>
    <n v="2539"/>
    <x v="0"/>
    <s v="SEAQ HOLDINGS SAS / Andres Mujica"/>
    <s v="TECULFN2"/>
    <x v="7"/>
    <n v="1"/>
    <x v="1"/>
    <x v="1"/>
    <x v="1"/>
    <x v="0"/>
    <s v="Coordinadora"/>
    <s v="3272935 - 84151208399"/>
    <d v="2025-04-29T00:00:00"/>
    <d v="2025-04-30T00:00:00"/>
    <x v="0"/>
    <n v="0"/>
    <n v="1"/>
    <s v="Cumple"/>
    <n v="62530"/>
    <m/>
    <m/>
  </r>
  <r>
    <d v="2025-04-29T00:00:00"/>
    <x v="3"/>
    <n v="2539"/>
    <x v="0"/>
    <s v="SEAQ HOLDINGS SAS / Andres Mujica"/>
    <s v="TECUTLBS"/>
    <x v="61"/>
    <n v="1"/>
    <x v="2"/>
    <x v="1"/>
    <x v="1"/>
    <x v="0"/>
    <s v="Coordinadora"/>
    <s v="3272936 - 84151208400"/>
    <d v="2025-04-29T00:00:00"/>
    <d v="2025-04-30T00:00:00"/>
    <x v="0"/>
    <n v="0"/>
    <n v="1"/>
    <s v="Cumple"/>
    <n v="26749"/>
    <m/>
    <m/>
  </r>
  <r>
    <d v="2025-04-29T00:00:00"/>
    <x v="3"/>
    <n v="2539"/>
    <x v="0"/>
    <s v="SEAQ HOLDINGS SAS / Andres Mujica"/>
    <s v="TECUCT"/>
    <x v="4"/>
    <n v="1"/>
    <x v="0"/>
    <x v="1"/>
    <x v="1"/>
    <x v="0"/>
    <s v="Coordinadora"/>
    <s v="3272944 - 84151208407"/>
    <d v="2025-04-29T00:00:00"/>
    <d v="2025-04-30T00:00:00"/>
    <x v="0"/>
    <n v="0"/>
    <n v="1"/>
    <s v="Cumple"/>
    <n v="24885"/>
    <m/>
    <m/>
  </r>
  <r>
    <d v="2025-04-29T00:00:00"/>
    <x v="3"/>
    <n v="2539"/>
    <x v="0"/>
    <s v="SEAQ HOLDINGS SAS / Andres Mujica"/>
    <s v="TECUROD6"/>
    <x v="25"/>
    <n v="1"/>
    <x v="7"/>
    <x v="1"/>
    <x v="1"/>
    <x v="0"/>
    <s v="Coordinadora"/>
    <s v="3272954 - 84151208412"/>
    <d v="2025-04-29T00:00:00"/>
    <d v="2025-04-30T00:00:00"/>
    <x v="0"/>
    <n v="0"/>
    <n v="1"/>
    <s v="Cumple"/>
    <n v="23875"/>
    <m/>
    <m/>
  </r>
  <r>
    <d v="2025-04-29T00:00:00"/>
    <x v="3"/>
    <n v="2539"/>
    <x v="0"/>
    <s v="SEAQ HOLDINGS SAS / Andres Mujica"/>
    <s v="TECUTBANTE"/>
    <x v="54"/>
    <n v="1"/>
    <x v="0"/>
    <x v="1"/>
    <x v="1"/>
    <x v="0"/>
    <s v="Coordinadora"/>
    <s v="3273378 - 84151208645"/>
    <d v="2025-04-29T00:00:00"/>
    <d v="2025-04-30T00:00:00"/>
    <x v="0"/>
    <n v="0"/>
    <n v="1"/>
    <s v="Cumple"/>
    <n v="27929"/>
    <m/>
    <m/>
  </r>
  <r>
    <d v="2025-04-30T00:00:00"/>
    <x v="3"/>
    <n v="2540"/>
    <x v="0"/>
    <s v="Maria Paula Bonilla Gonzalez"/>
    <s v="TECU2FNG"/>
    <x v="5"/>
    <n v="1"/>
    <x v="1"/>
    <x v="1"/>
    <x v="1"/>
    <x v="0"/>
    <s v="Coordinadora"/>
    <s v="3275213 - 84151209472"/>
    <d v="2025-04-30T00:00:00"/>
    <d v="2025-05-02T00:00:00"/>
    <x v="0"/>
    <n v="0"/>
    <n v="1"/>
    <s v="Cumple"/>
    <n v="41593"/>
    <m/>
    <m/>
  </r>
  <r>
    <d v="2025-04-30T00:00:00"/>
    <x v="3"/>
    <n v="2540"/>
    <x v="0"/>
    <s v="Maria Paula Bonilla Gonzalez"/>
    <s v="TECUTCO2C"/>
    <x v="37"/>
    <n v="1"/>
    <x v="2"/>
    <x v="1"/>
    <x v="1"/>
    <x v="0"/>
    <s v="Coordinadora"/>
    <s v="3275215 - 84151209473"/>
    <d v="2025-04-30T00:00:00"/>
    <d v="2025-05-02T00:00:00"/>
    <x v="0"/>
    <n v="0"/>
    <n v="1"/>
    <s v="Cumple"/>
    <n v="24093"/>
    <m/>
    <m/>
  </r>
  <r>
    <d v="2025-04-30T00:00:00"/>
    <x v="3"/>
    <n v="2540"/>
    <x v="0"/>
    <s v="Maria Paula Bonilla Gonzalez"/>
    <s v="TECU2FNG"/>
    <x v="5"/>
    <n v="1"/>
    <x v="1"/>
    <x v="1"/>
    <x v="1"/>
    <x v="0"/>
    <s v="Coordinadora"/>
    <s v="3275222 - 84151209476"/>
    <d v="2025-04-30T00:00:00"/>
    <d v="2025-05-02T00:00:00"/>
    <x v="0"/>
    <n v="0"/>
    <n v="1"/>
    <s v="Cumple"/>
    <n v="41593"/>
    <m/>
    <m/>
  </r>
  <r>
    <d v="2025-04-30T00:00:00"/>
    <x v="3"/>
    <n v="2540"/>
    <x v="0"/>
    <s v="Maria Paula Bonilla Gonzalez"/>
    <s v="TECUTCO5C"/>
    <x v="51"/>
    <n v="1"/>
    <x v="2"/>
    <x v="1"/>
    <x v="1"/>
    <x v="0"/>
    <s v="Coordinadora"/>
    <s v="3275224 - 84151209477"/>
    <d v="2025-04-30T00:00:00"/>
    <d v="2025-05-02T00:00:00"/>
    <x v="0"/>
    <n v="0"/>
    <n v="1"/>
    <s v="Cumple"/>
    <n v="24093"/>
    <m/>
    <m/>
  </r>
  <r>
    <d v="2025-04-30T00:00:00"/>
    <x v="3"/>
    <n v="2540"/>
    <x v="0"/>
    <s v="Maria Paula Bonilla Gonzalez"/>
    <s v="TECUCT"/>
    <x v="4"/>
    <n v="1"/>
    <x v="0"/>
    <x v="1"/>
    <x v="1"/>
    <x v="0"/>
    <s v="Coordinadora"/>
    <s v="3275233 - 84151209479"/>
    <d v="2025-04-30T00:00:00"/>
    <d v="2025-05-02T00:00:00"/>
    <x v="0"/>
    <n v="0"/>
    <n v="1"/>
    <s v="Cumple"/>
    <n v="24885"/>
    <m/>
    <m/>
  </r>
  <r>
    <d v="2025-05-02T00:00:00"/>
    <x v="4"/>
    <n v="2541"/>
    <x v="0"/>
    <s v="Fernando Andres Cifuentes Calderon"/>
    <s v="TECU3FNCRO"/>
    <x v="55"/>
    <n v="1"/>
    <x v="1"/>
    <x v="6"/>
    <x v="17"/>
    <x v="0"/>
    <s v="Coordinadora"/>
    <s v="3280100 - 84151211327"/>
    <d v="2025-05-02T00:00:00"/>
    <d v="2025-05-03T00:00:00"/>
    <x v="0"/>
    <n v="0"/>
    <n v="1"/>
    <s v="Cumple"/>
    <n v="42921"/>
    <m/>
    <m/>
  </r>
  <r>
    <d v="2025-05-02T00:00:00"/>
    <x v="4"/>
    <n v="2541"/>
    <x v="0"/>
    <s v="Fernando Andres Cifuentes Calderon"/>
    <s v="TECUTCO4C"/>
    <x v="6"/>
    <n v="1"/>
    <x v="2"/>
    <x v="6"/>
    <x v="17"/>
    <x v="0"/>
    <s v="Coordinadora"/>
    <s v="3280101 - 84151211328"/>
    <d v="2025-05-02T00:00:00"/>
    <d v="2025-05-03T00:00:00"/>
    <x v="0"/>
    <n v="0"/>
    <n v="1"/>
    <s v="Cumple"/>
    <n v="24093"/>
    <m/>
    <m/>
  </r>
  <r>
    <d v="2025-04-30T00:00:00"/>
    <x v="3"/>
    <n v="2522"/>
    <x v="4"/>
    <s v="Carlos Contreras"/>
    <s v="TECUBDPA"/>
    <x v="1"/>
    <n v="1"/>
    <x v="0"/>
    <x v="1"/>
    <x v="1"/>
    <x v="0"/>
    <s v="Velotax"/>
    <s v="Envio terminal a terminal"/>
    <d v="2025-04-30T00:00:00"/>
    <d v="2025-05-01T00:00:00"/>
    <x v="0"/>
    <n v="0"/>
    <n v="0"/>
    <s v="Cumple"/>
    <n v="28241"/>
    <m/>
    <m/>
  </r>
  <r>
    <d v="2025-05-03T00:00:00"/>
    <x v="4"/>
    <n v="2542"/>
    <x v="0"/>
    <s v="Andrés Palma Meriño / Abbott Laboratories de Colombia S.A.S"/>
    <s v="TECU3FNPRO"/>
    <x v="12"/>
    <n v="1"/>
    <x v="1"/>
    <x v="1"/>
    <x v="1"/>
    <x v="0"/>
    <s v="Coordinadora"/>
    <s v="3285771- 84151213469"/>
    <d v="2025-05-05T00:00:00"/>
    <d v="2025-05-06T00:00:00"/>
    <x v="0"/>
    <n v="1"/>
    <n v="2"/>
    <s v="Cumple"/>
    <n v="42921"/>
    <m/>
    <m/>
  </r>
  <r>
    <d v="2025-05-05T00:00:00"/>
    <x v="4"/>
    <n v="2543"/>
    <x v="0"/>
    <s v="Maria Laura Rojas"/>
    <s v="TECU3FNPRO"/>
    <x v="12"/>
    <n v="1"/>
    <x v="1"/>
    <x v="1"/>
    <x v="1"/>
    <x v="0"/>
    <s v="Coordinadora"/>
    <s v="3289518- 84151215417"/>
    <d v="2025-05-06T00:00:00"/>
    <d v="2025-05-07T00:00:00"/>
    <x v="0"/>
    <n v="1"/>
    <n v="2"/>
    <s v="Cumple"/>
    <n v="42921"/>
    <m/>
    <m/>
  </r>
  <r>
    <d v="2025-05-05T00:00:00"/>
    <x v="4"/>
    <n v="2543"/>
    <x v="0"/>
    <s v="Maria Laura Rojas"/>
    <s v="TECUTFE4C"/>
    <x v="14"/>
    <n v="1"/>
    <x v="2"/>
    <x v="1"/>
    <x v="1"/>
    <x v="0"/>
    <s v="Coordinadora"/>
    <s v="3289520- 84151215419"/>
    <d v="2025-05-06T00:00:00"/>
    <d v="2025-05-08T00:00:00"/>
    <x v="0"/>
    <n v="1"/>
    <n v="3"/>
    <s v="Cumple"/>
    <n v="24093"/>
    <m/>
    <m/>
  </r>
  <r>
    <d v="2025-05-05T00:00:00"/>
    <x v="4"/>
    <n v="2543"/>
    <x v="0"/>
    <s v="Maria Laura Rojas"/>
    <s v="TECUBDPM"/>
    <x v="0"/>
    <n v="1"/>
    <x v="0"/>
    <x v="1"/>
    <x v="1"/>
    <x v="0"/>
    <s v="Coordinadora"/>
    <s v="3289506- 84151215414"/>
    <d v="2025-05-06T00:00:00"/>
    <d v="2025-05-07T00:00:00"/>
    <x v="0"/>
    <n v="1"/>
    <n v="2"/>
    <s v="Cumple"/>
    <n v="16617"/>
    <m/>
    <m/>
  </r>
  <r>
    <d v="2025-05-05T00:00:00"/>
    <x v="4"/>
    <n v="2543"/>
    <x v="0"/>
    <s v="Maria Laura Rojas"/>
    <s v="TECUAFE"/>
    <x v="43"/>
    <n v="1"/>
    <x v="5"/>
    <x v="1"/>
    <x v="1"/>
    <x v="0"/>
    <s v="Envia"/>
    <s v="3289257- 954101209673"/>
    <d v="2025-05-06T00:00:00"/>
    <d v="2025-05-08T00:00:00"/>
    <x v="0"/>
    <n v="1"/>
    <n v="3"/>
    <s v="Cumple"/>
    <n v="54929"/>
    <m/>
    <m/>
  </r>
  <r>
    <d v="2025-05-05T00:00:00"/>
    <x v="4"/>
    <n v="2543"/>
    <x v="0"/>
    <s v="Maria Laura Rojas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5-06T00:00:00"/>
    <x v="4"/>
    <n v="2544"/>
    <x v="0"/>
    <s v="EDDY BENEDICTA PEÑA MORENO"/>
    <s v="TECU3FBRO"/>
    <x v="34"/>
    <n v="1"/>
    <x v="1"/>
    <x v="0"/>
    <x v="8"/>
    <x v="0"/>
    <s v="Coordinadora"/>
    <s v="3289550- 84151215430"/>
    <d v="2025-05-06T00:00:00"/>
    <d v="2025-05-07T00:00:00"/>
    <x v="0"/>
    <n v="0"/>
    <n v="1"/>
    <s v="Cumple"/>
    <n v="42921"/>
    <m/>
    <m/>
  </r>
  <r>
    <d v="2025-05-06T00:00:00"/>
    <x v="4"/>
    <n v="2544"/>
    <x v="0"/>
    <s v="EDDY BENEDICTA PEÑA MORENO"/>
    <s v="TECUTFE8C"/>
    <x v="21"/>
    <n v="1"/>
    <x v="2"/>
    <x v="0"/>
    <x v="8"/>
    <x v="0"/>
    <s v="Coordinadora"/>
    <s v="3289551- 84151215431"/>
    <d v="2025-05-06T00:00:00"/>
    <d v="2025-05-07T00:00:00"/>
    <x v="0"/>
    <n v="0"/>
    <n v="1"/>
    <s v="Cumple"/>
    <n v="26749"/>
    <m/>
    <m/>
  </r>
  <r>
    <d v="2025-05-06T00:00:00"/>
    <x v="4"/>
    <n v="2544"/>
    <x v="0"/>
    <s v="EDDY BENEDICTA PEÑA MORENO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5-06T00:00:00"/>
    <x v="4"/>
    <n v="2545"/>
    <x v="0"/>
    <s v="Santiago Espitia Giron"/>
    <s v="TECU3FNPRO"/>
    <x v="12"/>
    <n v="1"/>
    <x v="1"/>
    <x v="1"/>
    <x v="1"/>
    <x v="0"/>
    <s v="Coordinadora"/>
    <s v="3289628- 84151215449"/>
    <d v="2025-05-06T00:00:00"/>
    <d v="2025-05-07T00:00:00"/>
    <x v="0"/>
    <n v="0"/>
    <n v="1"/>
    <s v="Cumple"/>
    <n v="42921"/>
    <m/>
    <m/>
  </r>
  <r>
    <d v="2025-05-06T00:00:00"/>
    <x v="4"/>
    <n v="2545"/>
    <x v="0"/>
    <s v="Santiago Espitia Giron"/>
    <s v="TECUTCO4C"/>
    <x v="6"/>
    <n v="1"/>
    <x v="2"/>
    <x v="1"/>
    <x v="1"/>
    <x v="0"/>
    <s v="Coordinadora"/>
    <s v="3289629- 84151215450"/>
    <d v="2025-05-06T00:00:00"/>
    <d v="2025-05-07T00:00:00"/>
    <x v="0"/>
    <n v="0"/>
    <n v="1"/>
    <s v="Cumple"/>
    <n v="26749"/>
    <m/>
    <m/>
  </r>
  <r>
    <d v="2025-05-06T00:00:00"/>
    <x v="4"/>
    <n v="2545"/>
    <x v="0"/>
    <s v="Santiago Espitia Giron"/>
    <s v="TECUROD"/>
    <x v="31"/>
    <n v="1"/>
    <x v="7"/>
    <x v="1"/>
    <x v="1"/>
    <x v="0"/>
    <s v="Coordinadora"/>
    <s v="3289643- 84151215458"/>
    <d v="2025-05-06T00:00:00"/>
    <d v="2025-05-07T00:00:00"/>
    <x v="0"/>
    <n v="0"/>
    <n v="1"/>
    <s v="Cumple"/>
    <n v="23875"/>
    <m/>
    <m/>
  </r>
  <r>
    <d v="2025-05-06T00:00:00"/>
    <x v="4"/>
    <n v="2546"/>
    <x v="0"/>
    <s v="Jesús David Traslaviña Fuentes"/>
    <s v="TECU3FBRO"/>
    <x v="34"/>
    <n v="1"/>
    <x v="1"/>
    <x v="1"/>
    <x v="1"/>
    <x v="0"/>
    <s v="Coordinadora"/>
    <s v="3289726 -84151215497"/>
    <d v="2025-05-06T00:00:00"/>
    <d v="2025-05-07T00:00:00"/>
    <x v="0"/>
    <n v="0"/>
    <n v="1"/>
    <s v="Cumple"/>
    <n v="42921"/>
    <m/>
    <m/>
  </r>
  <r>
    <d v="2025-05-06T00:00:00"/>
    <x v="4"/>
    <n v="2546"/>
    <x v="0"/>
    <s v="Jesús David Traslaviña Fuentes"/>
    <s v="TECUTB2C"/>
    <x v="68"/>
    <n v="1"/>
    <x v="2"/>
    <x v="1"/>
    <x v="1"/>
    <x v="0"/>
    <s v="Coordinadora"/>
    <s v="3289727 -84151215498"/>
    <d v="2025-05-06T00:00:00"/>
    <d v="2025-05-07T00:00:00"/>
    <x v="0"/>
    <n v="0"/>
    <n v="1"/>
    <s v="Cumple"/>
    <n v="28741"/>
    <m/>
    <m/>
  </r>
  <r>
    <d v="2025-05-06T00:00:00"/>
    <x v="4"/>
    <n v="2547"/>
    <x v="0"/>
    <s v="Cristhian Camilo Castro Melo"/>
    <s v="TECULFN2"/>
    <x v="7"/>
    <n v="1"/>
    <x v="1"/>
    <x v="1"/>
    <x v="38"/>
    <x v="0"/>
    <s v="Coordinadora"/>
    <s v="3293085 -84151216809"/>
    <d v="2025-05-07T00:00:00"/>
    <d v="2025-05-10T00:00:00"/>
    <x v="0"/>
    <n v="1"/>
    <n v="4"/>
    <s v="Cumple"/>
    <n v="62530"/>
    <m/>
    <m/>
  </r>
  <r>
    <d v="2025-05-06T00:00:00"/>
    <x v="4"/>
    <n v="2547"/>
    <x v="0"/>
    <s v="Cristhian Camilo Castro Melo"/>
    <s v="TECUTLCCS"/>
    <x v="45"/>
    <n v="1"/>
    <x v="2"/>
    <x v="1"/>
    <x v="38"/>
    <x v="0"/>
    <s v="Coordinadora"/>
    <s v="3293087 -84151216810"/>
    <d v="2025-05-07T00:00:00"/>
    <d v="2025-05-09T00:00:00"/>
    <x v="0"/>
    <n v="1"/>
    <n v="3"/>
    <s v="Cumple"/>
    <n v="26749"/>
    <m/>
    <m/>
  </r>
  <r>
    <d v="2025-05-07T00:00:00"/>
    <x v="4"/>
    <n v="2548"/>
    <x v="0"/>
    <s v="Pedro Vallejo Seade"/>
    <s v="TECU2FNG"/>
    <x v="5"/>
    <n v="1"/>
    <x v="1"/>
    <x v="1"/>
    <x v="1"/>
    <x v="0"/>
    <s v="Coordinadora"/>
    <s v="3293346 -84151216936"/>
    <d v="2025-05-07T00:00:00"/>
    <d v="2025-05-08T00:00:00"/>
    <x v="0"/>
    <n v="0"/>
    <n v="1"/>
    <s v="Cumple"/>
    <n v="41593"/>
    <m/>
    <m/>
  </r>
  <r>
    <d v="2025-05-07T00:00:00"/>
    <x v="4"/>
    <n v="2548"/>
    <x v="0"/>
    <s v="Pedro Vallejo Seade"/>
    <s v="TECUTCO2C"/>
    <x v="37"/>
    <n v="1"/>
    <x v="2"/>
    <x v="1"/>
    <x v="1"/>
    <x v="0"/>
    <s v="Coordinadora"/>
    <s v="3293348 -84151216938"/>
    <d v="2025-05-07T00:00:00"/>
    <d v="2025-05-10T00:00:00"/>
    <x v="0"/>
    <n v="0"/>
    <n v="3"/>
    <s v="Cumple"/>
    <n v="24093"/>
    <m/>
    <m/>
  </r>
  <r>
    <d v="2025-05-07T00:00:00"/>
    <x v="4"/>
    <n v="2548"/>
    <x v="0"/>
    <s v="Pedro Vallejo Seade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5-07T00:00:00"/>
    <x v="4"/>
    <n v="2549"/>
    <x v="0"/>
    <s v="Juan Angulo"/>
    <s v="TECUDSN"/>
    <x v="13"/>
    <n v="1"/>
    <x v="4"/>
    <x v="2"/>
    <x v="2"/>
    <x v="0"/>
    <s v="Coordinadora"/>
    <s v="3293276 -84151216896"/>
    <d v="2025-05-07T00:00:00"/>
    <d v="2025-05-09T00:00:00"/>
    <x v="0"/>
    <n v="0"/>
    <n v="2"/>
    <s v="Cumple"/>
    <n v="40942"/>
    <m/>
    <m/>
  </r>
  <r>
    <d v="2025-05-07T00:00:00"/>
    <x v="4"/>
    <n v="2549"/>
    <x v="0"/>
    <s v="Juan Angulo"/>
    <s v="TECUDSG"/>
    <x v="64"/>
    <n v="1"/>
    <x v="4"/>
    <x v="2"/>
    <x v="2"/>
    <x v="0"/>
    <s v="Coordinadora"/>
    <s v="3293285 -84151216902"/>
    <d v="2025-05-07T00:00:00"/>
    <d v="2025-05-09T00:00:00"/>
    <x v="0"/>
    <n v="0"/>
    <n v="2"/>
    <s v="Cumple"/>
    <n v="40942"/>
    <m/>
    <m/>
  </r>
  <r>
    <d v="2025-05-07T00:00:00"/>
    <x v="4"/>
    <n v="2549"/>
    <x v="0"/>
    <s v="Juan Angulo"/>
    <s v="TECUCT"/>
    <x v="4"/>
    <n v="1"/>
    <x v="0"/>
    <x v="2"/>
    <x v="2"/>
    <x v="0"/>
    <s v="Coordinadora"/>
    <s v="3293294 -84151216907"/>
    <d v="2025-05-07T00:00:00"/>
    <d v="2025-05-09T00:00:00"/>
    <x v="0"/>
    <n v="0"/>
    <n v="2"/>
    <s v="Cumple"/>
    <n v="24885"/>
    <m/>
    <m/>
  </r>
  <r>
    <d v="2025-05-07T00:00:00"/>
    <x v="4"/>
    <n v="2550"/>
    <x v="0"/>
    <s v="Benjamin Norman Baron"/>
    <s v="TECU3FNPRO"/>
    <x v="12"/>
    <n v="1"/>
    <x v="1"/>
    <x v="0"/>
    <x v="39"/>
    <x v="0"/>
    <s v="Coordinadora"/>
    <s v="3299173 -84151219490"/>
    <d v="2025-05-09T00:00:00"/>
    <d v="2025-05-10T00:00:00"/>
    <x v="0"/>
    <n v="2"/>
    <n v="3"/>
    <s v="Cumple"/>
    <n v="42921"/>
    <m/>
    <m/>
  </r>
  <r>
    <d v="2025-05-07T00:00:00"/>
    <x v="4"/>
    <n v="2550"/>
    <x v="0"/>
    <s v="Benjamin Norman Baron"/>
    <s v="TECU-BMUSRN"/>
    <x v="69"/>
    <n v="1"/>
    <x v="2"/>
    <x v="0"/>
    <x v="39"/>
    <x v="0"/>
    <s v="Coordinadora"/>
    <s v="3299174 -84151219491"/>
    <d v="2025-05-09T00:00:00"/>
    <d v="2025-05-10T00:00:00"/>
    <x v="0"/>
    <n v="2"/>
    <n v="3"/>
    <s v="Cumple"/>
    <n v="26749"/>
    <m/>
    <m/>
  </r>
  <r>
    <d v="2025-05-08T00:00:00"/>
    <x v="4"/>
    <n v="2551"/>
    <x v="0"/>
    <s v="EDDY BENEDICTA PEÑA MORENO"/>
    <s v="TECUCT"/>
    <x v="4"/>
    <n v="1"/>
    <x v="0"/>
    <x v="0"/>
    <x v="8"/>
    <x v="0"/>
    <s v="Coordinadora"/>
    <s v="3299184 -84151219494"/>
    <d v="2025-05-09T00:00:00"/>
    <d v="2025-05-10T00:00:00"/>
    <x v="0"/>
    <n v="1"/>
    <n v="2"/>
    <s v="Cumple"/>
    <n v="27929"/>
    <m/>
    <m/>
  </r>
  <r>
    <d v="2025-05-09T00:00:00"/>
    <x v="4"/>
    <n v="2552"/>
    <x v="0"/>
    <s v="Christian Rodríguez Caicedo"/>
    <s v="TECU3FNPRO"/>
    <x v="12"/>
    <n v="1"/>
    <x v="1"/>
    <x v="1"/>
    <x v="1"/>
    <x v="0"/>
    <s v="Coordinadora"/>
    <s v="3299911 -84151219835"/>
    <d v="2025-05-09T00:00:00"/>
    <d v="2025-05-10T00:00:00"/>
    <x v="0"/>
    <n v="0"/>
    <n v="1"/>
    <s v="Cumple"/>
    <n v="42921"/>
    <m/>
    <m/>
  </r>
  <r>
    <d v="2025-05-09T00:00:00"/>
    <x v="4"/>
    <n v="2552"/>
    <x v="0"/>
    <s v="Christian Rodríguez Caicedo"/>
    <s v="TECUTFE6C"/>
    <x v="28"/>
    <n v="1"/>
    <x v="2"/>
    <x v="1"/>
    <x v="1"/>
    <x v="0"/>
    <s v="Coordinadora"/>
    <s v="3299912 -84151219837"/>
    <d v="2025-05-09T00:00:00"/>
    <d v="2025-05-12T00:00:00"/>
    <x v="0"/>
    <n v="0"/>
    <n v="2"/>
    <s v="Cumple"/>
    <n v="24093"/>
    <m/>
    <m/>
  </r>
  <r>
    <d v="2025-05-09T00:00:00"/>
    <x v="4"/>
    <n v="2552"/>
    <x v="0"/>
    <s v="Christian Rodríguez Caicedo"/>
    <s v="TECUAFE"/>
    <x v="43"/>
    <n v="1"/>
    <x v="5"/>
    <x v="1"/>
    <x v="1"/>
    <x v="0"/>
    <s v="Envia"/>
    <s v="3312736 -954101215391"/>
    <d v="2025-05-14T00:00:00"/>
    <d v="2025-05-15T00:00:00"/>
    <x v="0"/>
    <n v="4"/>
    <n v="5"/>
    <s v="No cumple"/>
    <n v="54929"/>
    <m/>
    <m/>
  </r>
  <r>
    <d v="2025-05-09T00:00:00"/>
    <x v="4"/>
    <n v="2552"/>
    <x v="0"/>
    <s v="Christian Rodríguez Caicedo"/>
    <s v="TECUCT"/>
    <x v="4"/>
    <n v="1"/>
    <x v="0"/>
    <x v="1"/>
    <x v="1"/>
    <x v="0"/>
    <s v="Coordinadora"/>
    <s v="3299916 -84151219838"/>
    <d v="2025-05-09T00:00:00"/>
    <d v="2025-05-10T00:00:00"/>
    <x v="0"/>
    <n v="0"/>
    <n v="1"/>
    <s v="Cumple"/>
    <n v="24885"/>
    <m/>
    <m/>
  </r>
  <r>
    <d v="2025-05-10T00:00:00"/>
    <x v="4"/>
    <n v="2553"/>
    <x v="0"/>
    <s v="Sergio Vladimir Garcia Galvis"/>
    <s v="TECU3FNPRO"/>
    <x v="12"/>
    <n v="1"/>
    <x v="1"/>
    <x v="1"/>
    <x v="1"/>
    <x v="0"/>
    <s v="Coordinadora"/>
    <s v="3304708 -84151222141"/>
    <d v="2025-05-12T00:00:00"/>
    <d v="2025-05-13T00:00:00"/>
    <x v="0"/>
    <n v="1"/>
    <n v="2"/>
    <s v="Cumple"/>
    <n v="42921"/>
    <m/>
    <m/>
  </r>
  <r>
    <d v="2025-05-10T00:00:00"/>
    <x v="4"/>
    <n v="2553"/>
    <x v="0"/>
    <s v="Sergio Vladimir Garcia Galvis"/>
    <s v="TECUTCO7C"/>
    <x v="70"/>
    <n v="1"/>
    <x v="2"/>
    <x v="1"/>
    <x v="1"/>
    <x v="0"/>
    <s v="Coordinadora"/>
    <s v="3304710 -84151222143"/>
    <d v="2025-05-12T00:00:00"/>
    <d v="2025-05-13T00:00:00"/>
    <x v="0"/>
    <n v="1"/>
    <n v="2"/>
    <s v="Cumple"/>
    <n v="24093"/>
    <m/>
    <m/>
  </r>
  <r>
    <d v="2025-05-10T00:00:00"/>
    <x v="4"/>
    <n v="2554"/>
    <x v="0"/>
    <s v="Jessica Riano"/>
    <s v="TECU2FNG"/>
    <x v="5"/>
    <n v="1"/>
    <x v="1"/>
    <x v="1"/>
    <x v="1"/>
    <x v="0"/>
    <s v="Coordinadora"/>
    <s v="3304674 -84151222130"/>
    <d v="2025-05-12T00:00:00"/>
    <d v="2025-05-13T00:00:00"/>
    <x v="0"/>
    <n v="1"/>
    <n v="2"/>
    <s v="Cumple"/>
    <n v="41593"/>
    <m/>
    <m/>
  </r>
  <r>
    <d v="2025-05-10T00:00:00"/>
    <x v="4"/>
    <n v="2554"/>
    <x v="0"/>
    <s v="Jessica Riano"/>
    <s v="TECUTCO2C"/>
    <x v="37"/>
    <n v="1"/>
    <x v="2"/>
    <x v="1"/>
    <x v="1"/>
    <x v="0"/>
    <s v="Coordinadora"/>
    <s v="3304677 -84151222133"/>
    <d v="2025-05-12T00:00:00"/>
    <d v="2025-05-14T00:00:00"/>
    <x v="0"/>
    <n v="1"/>
    <n v="3"/>
    <s v="Cumple"/>
    <n v="24093"/>
    <m/>
    <m/>
  </r>
  <r>
    <d v="2025-05-11T00:00:00"/>
    <x v="4"/>
    <n v="2555"/>
    <x v="0"/>
    <s v="Anwar Chehade"/>
    <s v="TECU2FBGO"/>
    <x v="2"/>
    <n v="1"/>
    <x v="1"/>
    <x v="1"/>
    <x v="1"/>
    <x v="0"/>
    <s v="Coordinadora"/>
    <s v="3305441 -84151222584"/>
    <d v="2025-05-12T00:00:00"/>
    <d v="2025-05-13T00:00:00"/>
    <x v="0"/>
    <n v="0"/>
    <n v="1"/>
    <s v="Cumple"/>
    <n v="41593"/>
    <m/>
    <m/>
  </r>
  <r>
    <d v="2025-05-11T00:00:00"/>
    <x v="4"/>
    <n v="2555"/>
    <x v="0"/>
    <s v="Anwar Chehade"/>
    <s v="TECUTB2C"/>
    <x v="68"/>
    <n v="1"/>
    <x v="2"/>
    <x v="1"/>
    <x v="1"/>
    <x v="0"/>
    <s v="Coordinadora"/>
    <s v="3305443 -84151222586"/>
    <d v="2025-05-12T00:00:00"/>
    <d v="2025-05-14T00:00:00"/>
    <x v="0"/>
    <n v="0"/>
    <n v="2"/>
    <s v="Cumple"/>
    <n v="24093"/>
    <m/>
    <m/>
  </r>
  <r>
    <d v="2025-05-11T00:00:00"/>
    <x v="4"/>
    <n v="2555"/>
    <x v="0"/>
    <s v="Anwar Chehade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5-12T00:00:00"/>
    <x v="4"/>
    <n v="2556"/>
    <x v="0"/>
    <s v="Felipe Gomez Castano"/>
    <s v="TECU3FBRO"/>
    <x v="34"/>
    <n v="1"/>
    <x v="1"/>
    <x v="0"/>
    <x v="6"/>
    <x v="0"/>
    <s v="Coordinadora"/>
    <s v="3306649 -84151223326"/>
    <d v="2025-05-12T00:00:00"/>
    <d v="2025-05-13T00:00:00"/>
    <x v="0"/>
    <n v="0"/>
    <n v="1"/>
    <s v="Cumple"/>
    <n v="47921"/>
    <m/>
    <m/>
  </r>
  <r>
    <d v="2025-05-12T00:00:00"/>
    <x v="4"/>
    <n v="2556"/>
    <x v="0"/>
    <s v="Felipe Gomez Castano"/>
    <s v="TECUTFE3C"/>
    <x v="39"/>
    <n v="1"/>
    <x v="2"/>
    <x v="0"/>
    <x v="6"/>
    <x v="0"/>
    <s v="Coordinadora"/>
    <s v="3306728 -84151223369"/>
    <d v="2025-05-12T00:00:00"/>
    <d v="2025-05-13T00:00:00"/>
    <x v="0"/>
    <n v="0"/>
    <n v="1"/>
    <s v="Cumple"/>
    <n v="27929"/>
    <m/>
    <m/>
  </r>
  <r>
    <d v="2025-05-12T00:00:00"/>
    <x v="4"/>
    <n v="2557"/>
    <x v="0"/>
    <s v="Jerson Mendoza"/>
    <s v="TECU3FBRO"/>
    <x v="34"/>
    <n v="1"/>
    <x v="1"/>
    <x v="0"/>
    <x v="8"/>
    <x v="0"/>
    <s v="Coordinadora"/>
    <s v="3305206 -84151222430"/>
    <d v="2025-05-12T00:00:00"/>
    <d v="2025-05-13T00:00:00"/>
    <x v="0"/>
    <n v="0"/>
    <n v="1"/>
    <s v="Cumple"/>
    <n v="42921"/>
    <m/>
    <m/>
  </r>
  <r>
    <d v="2025-05-12T00:00:00"/>
    <x v="4"/>
    <n v="2557"/>
    <x v="0"/>
    <s v="Jerson Mendoza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5-12T00:00:00"/>
    <x v="4"/>
    <n v="2558"/>
    <x v="0"/>
    <s v="Carlos Eduardo Cortes Gomez"/>
    <s v="TECU3FNCRO"/>
    <x v="55"/>
    <n v="1"/>
    <x v="1"/>
    <x v="1"/>
    <x v="1"/>
    <x v="0"/>
    <s v="Coordinadora"/>
    <s v="3312804 -84151226481"/>
    <d v="2025-05-14T00:00:00"/>
    <d v="2025-05-16T00:00:00"/>
    <x v="0"/>
    <n v="2"/>
    <n v="4"/>
    <s v="No cumple"/>
    <n v="42921"/>
    <m/>
    <m/>
  </r>
  <r>
    <d v="2025-05-12T00:00:00"/>
    <x v="4"/>
    <n v="2558"/>
    <x v="0"/>
    <s v="Carlos Eduardo Cortes Gomez"/>
    <s v="TECUTCO5C"/>
    <x v="51"/>
    <n v="1"/>
    <x v="2"/>
    <x v="1"/>
    <x v="1"/>
    <x v="0"/>
    <s v="Coordinadora"/>
    <s v="3312805 -84151226482"/>
    <d v="2025-05-14T00:00:00"/>
    <d v="2025-05-16T00:00:00"/>
    <x v="0"/>
    <n v="2"/>
    <n v="4"/>
    <s v="No cumple"/>
    <n v="24093"/>
    <m/>
    <m/>
  </r>
  <r>
    <d v="2025-05-12T00:00:00"/>
    <x v="4"/>
    <n v="2558"/>
    <x v="0"/>
    <s v="Carlos Eduardo Cortes Gomez"/>
    <s v="TECUBLS"/>
    <x v="32"/>
    <n v="1"/>
    <x v="0"/>
    <x v="1"/>
    <x v="1"/>
    <x v="0"/>
    <s v="Coordinadora"/>
    <s v="3312815 -84151226486"/>
    <d v="2025-05-14T00:00:00"/>
    <d v="2025-05-15T00:00:00"/>
    <x v="0"/>
    <n v="2"/>
    <n v="3"/>
    <s v="Cumple"/>
    <n v="24885"/>
    <m/>
    <m/>
  </r>
  <r>
    <d v="2025-05-12T00:00:00"/>
    <x v="4"/>
    <n v="2558"/>
    <x v="0"/>
    <s v="Carlos Eduardo Cortes Gomez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5-13T00:00:00"/>
    <x v="4"/>
    <n v="2559"/>
    <x v="0"/>
    <s v="LIONTECH S.A.S"/>
    <s v="TECU3FNCRO"/>
    <x v="55"/>
    <n v="1"/>
    <x v="1"/>
    <x v="1"/>
    <x v="1"/>
    <x v="0"/>
    <s v="Coordinadora"/>
    <s v="3314209 -84151227311"/>
    <d v="2025-05-14T00:00:00"/>
    <d v="2025-05-15T00:00:00"/>
    <x v="0"/>
    <n v="1"/>
    <n v="2"/>
    <s v="Cumple"/>
    <n v="42921"/>
    <m/>
    <m/>
  </r>
  <r>
    <d v="2025-05-13T00:00:00"/>
    <x v="4"/>
    <n v="2559"/>
    <x v="0"/>
    <s v="LIONTECH S.A.S"/>
    <s v="TECUTCO8C"/>
    <x v="19"/>
    <n v="1"/>
    <x v="2"/>
    <x v="1"/>
    <x v="1"/>
    <x v="0"/>
    <s v="Coordinadora"/>
    <s v="3314210 -84151227312"/>
    <d v="2025-05-14T00:00:00"/>
    <d v="2025-05-16T00:00:00"/>
    <x v="0"/>
    <n v="1"/>
    <n v="3"/>
    <s v="Cumple"/>
    <n v="26749"/>
    <m/>
    <m/>
  </r>
  <r>
    <d v="2025-05-13T00:00:00"/>
    <x v="4"/>
    <n v="2559"/>
    <x v="0"/>
    <s v="LIONTECH S.A.S"/>
    <s v="TECUCT"/>
    <x v="4"/>
    <n v="1"/>
    <x v="0"/>
    <x v="1"/>
    <x v="1"/>
    <x v="0"/>
    <s v="Coordinadora"/>
    <s v="3314227 -84151227322"/>
    <d v="2025-05-14T00:00:00"/>
    <d v="2025-05-15T00:00:00"/>
    <x v="0"/>
    <n v="1"/>
    <n v="2"/>
    <s v="Cumple"/>
    <n v="24885"/>
    <m/>
    <m/>
  </r>
  <r>
    <d v="2025-05-13T00:00:00"/>
    <x v="4"/>
    <n v="2560"/>
    <x v="0"/>
    <s v="Margarita Reyes &amp; HUSKY IMS COLOMBIA LTD."/>
    <s v="TECU3FNPRO"/>
    <x v="12"/>
    <n v="0"/>
    <x v="1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TRM8C"/>
    <x v="49"/>
    <n v="1"/>
    <x v="2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CT"/>
    <x v="4"/>
    <n v="1"/>
    <x v="0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ROD"/>
    <x v="31"/>
    <n v="1"/>
    <x v="7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BDPA"/>
    <x v="1"/>
    <n v="1"/>
    <x v="0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BLS"/>
    <x v="32"/>
    <n v="1"/>
    <x v="0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AN"/>
    <x v="26"/>
    <n v="1"/>
    <x v="5"/>
    <x v="1"/>
    <x v="1"/>
    <x v="2"/>
    <s v="Envia"/>
    <m/>
    <m/>
    <m/>
    <x v="0"/>
    <s v="PTE"/>
    <m/>
    <s v="Cumple"/>
    <m/>
    <m/>
    <m/>
  </r>
  <r>
    <d v="2025-05-14T00:00:00"/>
    <x v="4"/>
    <n v="2561"/>
    <x v="0"/>
    <s v="Sergio Vladimir Garcia Galvis"/>
    <s v="TECUDSN"/>
    <x v="13"/>
    <n v="1"/>
    <x v="4"/>
    <x v="1"/>
    <x v="1"/>
    <x v="0"/>
    <s v="Coordinadora"/>
    <s v="3314531 -84151227501"/>
    <d v="2025-05-14T00:00:00"/>
    <d v="2025-05-15T00:00:00"/>
    <x v="0"/>
    <n v="0"/>
    <n v="1"/>
    <s v="Cumple"/>
    <n v="26609"/>
    <m/>
    <m/>
  </r>
  <r>
    <d v="2025-05-14T00:00:00"/>
    <x v="4"/>
    <n v="2562"/>
    <x v="0"/>
    <s v="Luis Michel Trujillo"/>
    <s v="TECU3FNPRO"/>
    <x v="12"/>
    <n v="1"/>
    <x v="1"/>
    <x v="13"/>
    <x v="28"/>
    <x v="0"/>
    <s v="Coordinadora"/>
    <s v="3316912 -84151228610"/>
    <d v="2025-05-15T00:00:00"/>
    <d v="2025-05-26T00:00:00"/>
    <x v="0"/>
    <n v="1"/>
    <n v="10"/>
    <s v="No cumple"/>
    <n v="34953"/>
    <m/>
    <m/>
  </r>
  <r>
    <d v="2025-05-14T00:00:00"/>
    <x v="4"/>
    <n v="2562"/>
    <x v="0"/>
    <s v="Luis Michel Trujillo"/>
    <s v="TECUTFE5C"/>
    <x v="29"/>
    <n v="1"/>
    <x v="2"/>
    <x v="13"/>
    <x v="28"/>
    <x v="0"/>
    <s v="Coordinadora"/>
    <s v="3316913 -84151228611"/>
    <d v="2025-05-15T00:00:00"/>
    <d v="2025-05-27T00:00:00"/>
    <x v="0"/>
    <n v="1"/>
    <n v="11"/>
    <s v="No cumple"/>
    <n v="15194"/>
    <m/>
    <m/>
  </r>
  <r>
    <d v="2025-05-15T00:00:00"/>
    <x v="4"/>
    <n v="2563"/>
    <x v="0"/>
    <s v="Diego Bellon"/>
    <s v="TECUBDPA"/>
    <x v="1"/>
    <n v="1"/>
    <x v="0"/>
    <x v="1"/>
    <x v="21"/>
    <x v="0"/>
    <s v="Coordinadora"/>
    <s v="3318734 -84151229697"/>
    <d v="2025-05-15T00:00:00"/>
    <d v="2025-05-17T00:00:00"/>
    <x v="0"/>
    <n v="0"/>
    <n v="2"/>
    <s v="Cumple"/>
    <n v="16617"/>
    <m/>
    <m/>
  </r>
  <r>
    <d v="2025-05-15T00:00:00"/>
    <x v="4"/>
    <n v="2563"/>
    <x v="0"/>
    <s v="Diego Bellon"/>
    <s v="TECURFE"/>
    <x v="71"/>
    <n v="1"/>
    <x v="6"/>
    <x v="1"/>
    <x v="21"/>
    <x v="0"/>
    <s v="Coordinadora"/>
    <s v="3318738 -84151229700"/>
    <d v="2025-05-15T00:00:00"/>
    <d v="2025-05-17T00:00:00"/>
    <x v="0"/>
    <n v="0"/>
    <n v="2"/>
    <s v="Cumple"/>
    <n v="23429"/>
    <m/>
    <m/>
  </r>
  <r>
    <d v="2025-05-18T00:00:00"/>
    <x v="4"/>
    <n v="2564"/>
    <x v="0"/>
    <s v="Angelica Obregon"/>
    <s v="TECU3FBRO"/>
    <x v="34"/>
    <n v="1"/>
    <x v="1"/>
    <x v="6"/>
    <x v="17"/>
    <x v="0"/>
    <s v="Coordinadora"/>
    <s v="3329190 -84151234549"/>
    <d v="2025-05-19T00:00:00"/>
    <d v="2025-05-20T00:00:00"/>
    <x v="0"/>
    <n v="0"/>
    <n v="1"/>
    <s v="Cumple"/>
    <n v="42921"/>
    <m/>
    <m/>
  </r>
  <r>
    <d v="2025-05-18T00:00:00"/>
    <x v="4"/>
    <n v="2564"/>
    <x v="0"/>
    <s v="Angelica Obregon"/>
    <s v="TECUTB6C"/>
    <x v="72"/>
    <n v="1"/>
    <x v="2"/>
    <x v="6"/>
    <x v="17"/>
    <x v="0"/>
    <s v="Coordinadora"/>
    <s v="3329191 -84151234550"/>
    <d v="2025-05-19T00:00:00"/>
    <d v="2025-05-20T00:00:00"/>
    <x v="0"/>
    <n v="0"/>
    <n v="1"/>
    <s v="Cumple"/>
    <n v="24093"/>
    <m/>
    <m/>
  </r>
  <r>
    <d v="2025-05-19T00:00:00"/>
    <x v="4"/>
    <n v="2565"/>
    <x v="0"/>
    <s v="Jason Cubides"/>
    <s v="TECU3FNCRO"/>
    <x v="55"/>
    <n v="1"/>
    <x v="1"/>
    <x v="1"/>
    <x v="1"/>
    <x v="0"/>
    <s v="Coordinadora"/>
    <s v="3329210 -84151234561"/>
    <d v="2025-05-19T00:00:00"/>
    <d v="2025-05-20T00:00:00"/>
    <x v="0"/>
    <n v="0"/>
    <n v="1"/>
    <s v="Cumple"/>
    <n v="42921"/>
    <m/>
    <m/>
  </r>
  <r>
    <d v="2025-05-19T00:00:00"/>
    <x v="4"/>
    <n v="2565"/>
    <x v="0"/>
    <s v="Jason Cubides"/>
    <s v="TECUTRN6C"/>
    <x v="20"/>
    <n v="1"/>
    <x v="2"/>
    <x v="1"/>
    <x v="1"/>
    <x v="0"/>
    <s v="Coordinadora"/>
    <s v="3329211 -84151234562"/>
    <d v="2025-05-19T00:00:00"/>
    <d v="2025-05-21T00:00:00"/>
    <x v="0"/>
    <n v="0"/>
    <n v="2"/>
    <s v="Cumple"/>
    <n v="24093"/>
    <m/>
    <m/>
  </r>
  <r>
    <d v="2025-05-21T00:00:00"/>
    <x v="4"/>
    <n v="2566"/>
    <x v="0"/>
    <s v="Juan Sebastian Quijano Rodriguez"/>
    <s v="TECU3FNCRO"/>
    <x v="55"/>
    <n v="1"/>
    <x v="1"/>
    <x v="1"/>
    <x v="1"/>
    <x v="0"/>
    <s v="Coordinadora"/>
    <s v="3336854 -84151238405"/>
    <d v="2025-05-21T00:00:00"/>
    <d v="2025-05-22T00:00:00"/>
    <x v="0"/>
    <n v="0"/>
    <n v="1"/>
    <s v="Cumple"/>
    <n v="42921"/>
    <m/>
    <m/>
  </r>
  <r>
    <d v="2025-05-21T00:00:00"/>
    <x v="4"/>
    <n v="2566"/>
    <x v="0"/>
    <s v="Juan Sebastian Quijano Rodriguez"/>
    <s v="TECUTCO3C"/>
    <x v="23"/>
    <n v="1"/>
    <x v="2"/>
    <x v="1"/>
    <x v="1"/>
    <x v="0"/>
    <s v="Coordinadora"/>
    <s v="3336855 -84151238406"/>
    <d v="2025-05-21T00:00:00"/>
    <d v="2025-05-22T00:00:00"/>
    <x v="0"/>
    <n v="0"/>
    <n v="1"/>
    <s v="Cumple"/>
    <n v="28741"/>
    <m/>
    <m/>
  </r>
  <r>
    <d v="2025-05-21T00:00:00"/>
    <x v="4"/>
    <n v="2566"/>
    <x v="0"/>
    <s v="Juan Sebastian Quijano Rodriguez"/>
    <s v="TECUDSN"/>
    <x v="13"/>
    <n v="1"/>
    <x v="4"/>
    <x v="1"/>
    <x v="1"/>
    <x v="0"/>
    <s v="Coordinadora"/>
    <s v="3336868 -84151238412"/>
    <d v="2025-05-21T00:00:00"/>
    <d v="2025-05-22T00:00:00"/>
    <x v="0"/>
    <n v="0"/>
    <n v="1"/>
    <s v="Cumple"/>
    <n v="26609"/>
    <m/>
    <m/>
  </r>
  <r>
    <d v="2025-05-21T00:00:00"/>
    <x v="4"/>
    <n v="2567"/>
    <x v="0"/>
    <s v="Jason Cubides"/>
    <s v="TECUCT"/>
    <x v="4"/>
    <n v="1"/>
    <x v="0"/>
    <x v="1"/>
    <x v="1"/>
    <x v="0"/>
    <s v="Coordinadora"/>
    <s v="3339519 -84151239641"/>
    <d v="2025-05-22T00:00:00"/>
    <d v="2025-05-24T00:00:00"/>
    <x v="0"/>
    <n v="1"/>
    <n v="3"/>
    <s v="Cumple"/>
    <n v="24885"/>
    <m/>
    <m/>
  </r>
  <r>
    <d v="2025-03-05T00:00:00"/>
    <x v="2"/>
    <n v="2120"/>
    <x v="1"/>
    <s v="Ivo Leonardo Ochoa Galeano"/>
    <s v="TECUROD"/>
    <x v="31"/>
    <n v="1"/>
    <x v="7"/>
    <x v="1"/>
    <x v="1"/>
    <x v="2"/>
    <s v="Envia"/>
    <s v="3132159 - 954101166134"/>
    <m/>
    <m/>
    <x v="2"/>
    <m/>
    <m/>
    <m/>
    <m/>
    <m/>
    <m/>
  </r>
  <r>
    <d v="2025-05-23T00:00:00"/>
    <x v="4"/>
    <n v="2568"/>
    <x v="0"/>
    <s v="Alain Bismark"/>
    <s v="TECUROD6"/>
    <x v="25"/>
    <n v="2"/>
    <x v="7"/>
    <x v="0"/>
    <x v="5"/>
    <x v="0"/>
    <s v="Coordinadora"/>
    <s v="3342080 -84151240722"/>
    <d v="2025-05-23T00:00:00"/>
    <d v="2025-05-24T00:00:00"/>
    <x v="0"/>
    <n v="0"/>
    <n v="1"/>
    <s v="Cumple"/>
    <n v="23875"/>
    <m/>
    <m/>
  </r>
  <r>
    <d v="2025-05-23T00:00:00"/>
    <x v="4"/>
    <n v="2569"/>
    <x v="0"/>
    <s v="Maria José Pineda Murillo"/>
    <s v="TECU2FNG"/>
    <x v="5"/>
    <n v="1"/>
    <x v="1"/>
    <x v="5"/>
    <x v="9"/>
    <x v="0"/>
    <s v="Coordinadora"/>
    <s v="3342141 -84151240759"/>
    <d v="2025-05-23T00:00:00"/>
    <d v="2025-05-26T00:00:00"/>
    <x v="0"/>
    <n v="0"/>
    <n v="2"/>
    <s v="Cumple"/>
    <n v="56077"/>
    <m/>
    <m/>
  </r>
  <r>
    <d v="2025-05-23T00:00:00"/>
    <x v="4"/>
    <n v="2569"/>
    <x v="0"/>
    <s v="Maria José Pineda Murillo"/>
    <s v="TECUTRN2C"/>
    <x v="11"/>
    <n v="1"/>
    <x v="2"/>
    <x v="5"/>
    <x v="9"/>
    <x v="0"/>
    <s v="Coordinadora"/>
    <s v="3342142 -84151240760"/>
    <d v="2025-05-23T00:00:00"/>
    <d v="2025-05-26T00:00:00"/>
    <x v="0"/>
    <n v="0"/>
    <n v="2"/>
    <s v="Cumple"/>
    <n v="41897"/>
    <m/>
    <m/>
  </r>
  <r>
    <d v="2025-05-23T00:00:00"/>
    <x v="4"/>
    <n v="2570"/>
    <x v="0"/>
    <s v="HENRY STIVENS ADARME MUÑOZ"/>
    <s v="TECU3FBCRO"/>
    <x v="66"/>
    <n v="1"/>
    <x v="1"/>
    <x v="6"/>
    <x v="40"/>
    <x v="0"/>
    <s v="Coordinadora"/>
    <s v="3342475 -84151240946"/>
    <d v="2025-05-23T00:00:00"/>
    <d v="2025-05-24T00:00:00"/>
    <x v="0"/>
    <n v="0"/>
    <n v="1"/>
    <s v="Cumple"/>
    <n v="42921"/>
    <m/>
    <m/>
  </r>
  <r>
    <d v="2025-05-23T00:00:00"/>
    <x v="4"/>
    <n v="2570"/>
    <x v="0"/>
    <s v="HENRY STIVENS ADARME MUÑOZ"/>
    <s v="TECUTFE2C"/>
    <x v="3"/>
    <n v="1"/>
    <x v="2"/>
    <x v="6"/>
    <x v="40"/>
    <x v="0"/>
    <s v="Coordinadora"/>
    <s v="3342476 -84151240947"/>
    <d v="2025-05-23T00:00:00"/>
    <d v="2025-05-24T00:00:00"/>
    <x v="0"/>
    <n v="0"/>
    <n v="1"/>
    <s v="Cumple"/>
    <n v="28741"/>
    <m/>
    <m/>
  </r>
  <r>
    <d v="2025-05-26T00:00:00"/>
    <x v="4"/>
    <n v="2571"/>
    <x v="0"/>
    <s v="Damian Duarte"/>
    <s v="TECULFN2"/>
    <x v="7"/>
    <n v="1"/>
    <x v="1"/>
    <x v="1"/>
    <x v="41"/>
    <x v="0"/>
    <s v="Coordinadora"/>
    <s v="3347321 -84151243010"/>
    <d v="2025-05-26T00:00:00"/>
    <d v="2025-05-29T00:00:00"/>
    <x v="0"/>
    <n v="0"/>
    <n v="3"/>
    <s v="Cumple"/>
    <n v="62530"/>
    <m/>
    <m/>
  </r>
  <r>
    <d v="2025-05-26T00:00:00"/>
    <x v="4"/>
    <n v="2571"/>
    <x v="0"/>
    <s v="Damian Duarte"/>
    <s v="TECUTLFES"/>
    <x v="63"/>
    <n v="1"/>
    <x v="2"/>
    <x v="1"/>
    <x v="41"/>
    <x v="0"/>
    <s v="Coordinadora"/>
    <s v="3347323 -84151243012"/>
    <d v="2025-05-26T00:00:00"/>
    <d v="2025-05-29T00:00:00"/>
    <x v="0"/>
    <n v="0"/>
    <n v="3"/>
    <s v="Cumple"/>
    <n v="26749"/>
    <m/>
    <m/>
  </r>
  <r>
    <d v="2025-05-30T00:00:00"/>
    <x v="4"/>
    <n v="2572"/>
    <x v="0"/>
    <s v="Katherine Rivera"/>
    <s v="TECULFN2"/>
    <x v="7"/>
    <n v="1"/>
    <x v="1"/>
    <x v="1"/>
    <x v="42"/>
    <x v="0"/>
    <s v="Coordinadora"/>
    <s v="3364457 -84151250134"/>
    <d v="2025-06-03T00:00:00"/>
    <d v="2025-06-05T00:00:00"/>
    <x v="0"/>
    <n v="2"/>
    <n v="4"/>
    <s v="Cumple"/>
    <n v="62530"/>
    <m/>
    <m/>
  </r>
  <r>
    <d v="2025-05-30T00:00:00"/>
    <x v="4"/>
    <n v="2572"/>
    <x v="0"/>
    <s v="Katherine Rivera"/>
    <s v="TECUTLBS"/>
    <x v="61"/>
    <n v="1"/>
    <x v="2"/>
    <x v="1"/>
    <x v="42"/>
    <x v="0"/>
    <s v="Coordinadora"/>
    <s v="3364460 -84151250136"/>
    <d v="2025-06-03T00:00:00"/>
    <d v="2025-06-06T00:00:00"/>
    <x v="0"/>
    <n v="2"/>
    <n v="5"/>
    <s v="Cumple"/>
    <n v="26749"/>
    <m/>
    <m/>
  </r>
  <r>
    <d v="2025-05-30T00:00:00"/>
    <x v="4"/>
    <n v="2572"/>
    <x v="0"/>
    <s v="Katherine Rivera"/>
    <s v="TECUAB"/>
    <x v="44"/>
    <n v="1"/>
    <x v="5"/>
    <x v="1"/>
    <x v="42"/>
    <x v="0"/>
    <s v="Envia"/>
    <s v="3369690 -954101229262"/>
    <d v="2025-06-04T00:00:00"/>
    <d v="2025-06-05T00:00:00"/>
    <x v="0"/>
    <n v="3"/>
    <n v="4"/>
    <s v="Cumple"/>
    <n v="65682"/>
    <m/>
    <m/>
  </r>
  <r>
    <d v="2025-05-30T00:00:00"/>
    <x v="4"/>
    <n v="2572"/>
    <x v="0"/>
    <s v="Katherine Rivera"/>
    <s v="TECUCT"/>
    <x v="4"/>
    <n v="1"/>
    <x v="0"/>
    <x v="1"/>
    <x v="42"/>
    <x v="0"/>
    <s v="Coordinadora"/>
    <s v="3364484 -84151250150"/>
    <d v="2025-06-03T00:00:00"/>
    <d v="2025-06-05T00:00:00"/>
    <x v="0"/>
    <n v="2"/>
    <n v="4"/>
    <s v="Cumple"/>
    <n v="24885"/>
    <m/>
    <m/>
  </r>
  <r>
    <d v="2025-06-01T00:00:00"/>
    <x v="5"/>
    <n v="2573"/>
    <x v="0"/>
    <s v="ANDRES MAURICIO MANTILLA"/>
    <s v="TECURCO"/>
    <x v="30"/>
    <n v="1"/>
    <x v="6"/>
    <x v="5"/>
    <x v="9"/>
    <x v="0"/>
    <s v="Coordinadora"/>
    <s v="3365198 -84151250496"/>
    <d v="2025-06-03T00:00:00"/>
    <d v="2025-06-05T00:00:00"/>
    <x v="0"/>
    <n v="0"/>
    <n v="2"/>
    <s v="Cumple"/>
    <n v="16617"/>
    <m/>
    <m/>
  </r>
  <r>
    <d v="2025-06-01T00:00:00"/>
    <x v="5"/>
    <n v="2573"/>
    <x v="0"/>
    <s v="ANDRES MAURICIO MANTILLA"/>
    <s v="TECUBDPA"/>
    <x v="1"/>
    <n v="1"/>
    <x v="0"/>
    <x v="5"/>
    <x v="9"/>
    <x v="0"/>
    <s v="Coordinadora"/>
    <s v="3365213 -84151250509"/>
    <d v="2025-06-03T00:00:00"/>
    <d v="2025-06-05T00:00:00"/>
    <x v="0"/>
    <n v="0"/>
    <n v="2"/>
    <s v="Cumple"/>
    <n v="33077"/>
    <m/>
    <m/>
  </r>
  <r>
    <d v="2025-06-02T00:00:00"/>
    <x v="5"/>
    <n v="2574"/>
    <x v="0"/>
    <s v="Maria del Mar Cuadros Collazos"/>
    <s v="TECU2FNG"/>
    <x v="5"/>
    <n v="1"/>
    <x v="1"/>
    <x v="6"/>
    <x v="11"/>
    <x v="0"/>
    <s v="Coordinadora"/>
    <s v="3364626 -84151250223"/>
    <d v="2025-06-03T00:00:00"/>
    <d v="2025-06-04T00:00:00"/>
    <x v="0"/>
    <n v="0"/>
    <n v="1"/>
    <e v="#N/A"/>
    <n v="41593"/>
    <m/>
    <m/>
  </r>
  <r>
    <d v="2025-06-02T00:00:00"/>
    <x v="5"/>
    <n v="2574"/>
    <x v="0"/>
    <s v="Maria del Mar Cuadros Collazos"/>
    <s v="TECUTFE3C"/>
    <x v="39"/>
    <n v="1"/>
    <x v="2"/>
    <x v="6"/>
    <x v="11"/>
    <x v="0"/>
    <s v="Coordinadora"/>
    <s v="3364629 -84151250225"/>
    <d v="2025-06-03T00:00:00"/>
    <d v="2025-06-04T00:00:00"/>
    <x v="0"/>
    <n v="0"/>
    <n v="1"/>
    <e v="#N/A"/>
    <n v="24093"/>
    <m/>
    <m/>
  </r>
  <r>
    <d v="2025-06-02T00:00:00"/>
    <x v="5"/>
    <n v="2574"/>
    <x v="0"/>
    <s v="Maria del Mar Cuadros Collazos"/>
    <s v="TECURFE"/>
    <x v="71"/>
    <n v="1"/>
    <x v="6"/>
    <x v="6"/>
    <x v="11"/>
    <x v="0"/>
    <s v="Coordinadora"/>
    <s v="NA"/>
    <s v="NA"/>
    <s v="NA"/>
    <x v="0"/>
    <e v="#VALUE!"/>
    <e v="#VALUE!"/>
    <e v="#VALUE!"/>
    <m/>
    <m/>
    <m/>
  </r>
  <r>
    <d v="2025-06-03T00:00:00"/>
    <x v="5"/>
    <n v="2575"/>
    <x v="0"/>
    <s v="Katherine Rivera"/>
    <s v="TECUCT"/>
    <x v="4"/>
    <n v="1"/>
    <x v="0"/>
    <x v="1"/>
    <x v="42"/>
    <x v="0"/>
    <s v="Coordinadora"/>
    <s v="3366052 -84151250990"/>
    <d v="2025-06-03T00:00:00"/>
    <d v="2025-06-05T00:00:00"/>
    <x v="0"/>
    <n v="0"/>
    <n v="2"/>
    <s v="Cumple"/>
    <n v="24885"/>
    <m/>
    <m/>
  </r>
  <r>
    <d v="2025-06-03T00:00:00"/>
    <x v="5"/>
    <n v="2576"/>
    <x v="0"/>
    <s v="Alejandro HERNANDEZ"/>
    <s v="TECU2FNG"/>
    <x v="5"/>
    <n v="1"/>
    <x v="1"/>
    <x v="0"/>
    <x v="8"/>
    <x v="0"/>
    <s v="Coordinadora"/>
    <s v="3370951 -84151252868"/>
    <d v="2025-06-04T00:00:00"/>
    <d v="2025-06-05T00:00:00"/>
    <x v="0"/>
    <n v="1"/>
    <n v="2"/>
    <s v="Cumple"/>
    <n v="41593"/>
    <m/>
    <m/>
  </r>
  <r>
    <d v="2025-06-03T00:00:00"/>
    <x v="5"/>
    <n v="2576"/>
    <x v="0"/>
    <s v="Alejandro HERNANDEZ"/>
    <s v="TECUTRN6C"/>
    <x v="20"/>
    <n v="1"/>
    <x v="2"/>
    <x v="0"/>
    <x v="8"/>
    <x v="0"/>
    <s v="Coordinadora"/>
    <s v="3370952 -84151252869"/>
    <d v="2025-06-04T00:00:00"/>
    <d v="2025-06-05T00:00:00"/>
    <x v="0"/>
    <n v="1"/>
    <n v="2"/>
    <s v="Cumple"/>
    <n v="24093"/>
    <m/>
    <m/>
  </r>
  <r>
    <d v="2025-06-03T00:00:00"/>
    <x v="5"/>
    <n v="2576"/>
    <x v="0"/>
    <s v="Alejandro HERNANDEZ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6-03T00:00:00"/>
    <x v="5"/>
    <n v="2577"/>
    <x v="0"/>
    <s v="Daniel Bernal"/>
    <s v="TECU3FNPRO"/>
    <x v="12"/>
    <n v="1"/>
    <x v="1"/>
    <x v="1"/>
    <x v="1"/>
    <x v="0"/>
    <s v="Coordinadora"/>
    <s v="3370320 -84151252652"/>
    <d v="2025-06-04T00:00:00"/>
    <d v="2025-06-06T00:00:00"/>
    <x v="0"/>
    <n v="1"/>
    <n v="3"/>
    <s v="Cumple"/>
    <n v="42921"/>
    <m/>
    <m/>
  </r>
  <r>
    <d v="2025-06-03T00:00:00"/>
    <x v="5"/>
    <n v="2577"/>
    <x v="0"/>
    <s v="Daniel Bernal"/>
    <s v="TECUTFE5C"/>
    <x v="29"/>
    <n v="1"/>
    <x v="2"/>
    <x v="1"/>
    <x v="1"/>
    <x v="0"/>
    <s v="Coordinadora"/>
    <s v="3370321 -84151252654"/>
    <d v="2025-06-04T00:00:00"/>
    <d v="2025-06-06T00:00:00"/>
    <x v="0"/>
    <n v="1"/>
    <n v="3"/>
    <s v="Cumple"/>
    <n v="24093"/>
    <m/>
    <m/>
  </r>
  <r>
    <d v="2025-06-03T00:00:00"/>
    <x v="5"/>
    <n v="2577"/>
    <x v="0"/>
    <s v="Daniel Bernal"/>
    <s v="TECUCT"/>
    <x v="4"/>
    <n v="1"/>
    <x v="0"/>
    <x v="1"/>
    <x v="1"/>
    <x v="0"/>
    <s v="Coordinadora"/>
    <s v="3370334 -84151252662"/>
    <d v="2025-06-04T00:00:00"/>
    <d v="2025-06-06T00:00:00"/>
    <x v="0"/>
    <n v="1"/>
    <n v="3"/>
    <s v="Cumple"/>
    <n v="24885"/>
    <m/>
    <m/>
  </r>
  <r>
    <d v="2025-06-04T00:00:00"/>
    <x v="5"/>
    <n v="2578"/>
    <x v="0"/>
    <s v="Gabriel Herrera Zarate"/>
    <s v="TECULFN2"/>
    <x v="7"/>
    <n v="1"/>
    <x v="1"/>
    <x v="5"/>
    <x v="43"/>
    <x v="0"/>
    <s v="Coordinadora"/>
    <s v="3373416 -84151253901"/>
    <d v="2025-06-06T00:00:00"/>
    <d v="2025-06-09T00:00:00"/>
    <x v="0"/>
    <n v="2"/>
    <n v="4"/>
    <e v="#N/A"/>
    <n v="153778"/>
    <m/>
    <m/>
  </r>
  <r>
    <d v="2025-06-04T00:00:00"/>
    <x v="5"/>
    <n v="2578"/>
    <x v="0"/>
    <s v="Gabriel Herrera Zarate"/>
    <s v="TECUTLRNS"/>
    <x v="8"/>
    <n v="1"/>
    <x v="2"/>
    <x v="5"/>
    <x v="43"/>
    <x v="0"/>
    <s v="Coordinadora"/>
    <s v="3373418 -84151253903"/>
    <d v="2025-06-06T00:00:00"/>
    <d v="2025-06-09T00:00:00"/>
    <x v="0"/>
    <n v="2"/>
    <n v="4"/>
    <e v="#N/A"/>
    <n v="81384"/>
    <m/>
    <m/>
  </r>
  <r>
    <d v="2025-06-04T00:00:00"/>
    <x v="5"/>
    <n v="2578"/>
    <x v="0"/>
    <s v="Gabriel Herrera Zarate"/>
    <s v="TECUCT"/>
    <x v="4"/>
    <n v="1"/>
    <x v="0"/>
    <x v="5"/>
    <x v="43"/>
    <x v="0"/>
    <s v="Coordinadora"/>
    <s v="3373425 -84151253905"/>
    <d v="2025-06-06T00:00:00"/>
    <d v="2025-06-09T00:00:00"/>
    <x v="0"/>
    <n v="2"/>
    <n v="4"/>
    <e v="#N/A"/>
    <n v="34407"/>
    <m/>
    <m/>
  </r>
  <r>
    <d v="2025-06-04T00:00:00"/>
    <x v="5"/>
    <n v="2579"/>
    <x v="0"/>
    <s v="Christian Hurtado Ospina"/>
    <s v="TECURCO"/>
    <x v="30"/>
    <n v="1"/>
    <x v="6"/>
    <x v="6"/>
    <x v="44"/>
    <x v="0"/>
    <s v="Coordinadora"/>
    <s v="3373436 -84151253913"/>
    <d v="2025-06-06T00:00:00"/>
    <d v="2025-06-07T00:00:00"/>
    <x v="0"/>
    <n v="2"/>
    <n v="3"/>
    <e v="#N/A"/>
    <n v="23429"/>
    <m/>
    <m/>
  </r>
  <r>
    <d v="2025-06-06T00:00:00"/>
    <x v="5"/>
    <n v="2580"/>
    <x v="0"/>
    <s v="LEONARDO FONSECA"/>
    <s v="TECU3FNPRO"/>
    <x v="12"/>
    <n v="1"/>
    <x v="1"/>
    <x v="1"/>
    <x v="1"/>
    <x v="0"/>
    <s v="Coordinadora"/>
    <s v="3383394 -84151258353"/>
    <d v="2025-06-09T00:00:00"/>
    <m/>
    <x v="0"/>
    <n v="2"/>
    <n v="-39264"/>
    <s v="Cumple"/>
    <n v="42921"/>
    <m/>
    <m/>
  </r>
  <r>
    <d v="2025-06-06T00:00:00"/>
    <x v="5"/>
    <n v="2580"/>
    <x v="0"/>
    <s v="LEONARDO FONSECA"/>
    <s v="TECUTRM5C"/>
    <x v="27"/>
    <n v="1"/>
    <x v="2"/>
    <x v="1"/>
    <x v="1"/>
    <x v="0"/>
    <s v="Coordinadora"/>
    <s v="3383395 -84151258354"/>
    <d v="2025-06-09T00:00:00"/>
    <m/>
    <x v="0"/>
    <n v="2"/>
    <n v="-39264"/>
    <s v="Cumple"/>
    <n v="24593"/>
    <m/>
    <m/>
  </r>
  <r>
    <d v="2025-06-06T00:00:00"/>
    <x v="5"/>
    <n v="2580"/>
    <x v="0"/>
    <s v="LEONARDO FONSECA"/>
    <s v="TECUCT"/>
    <x v="4"/>
    <n v="1"/>
    <x v="0"/>
    <x v="1"/>
    <x v="1"/>
    <x v="0"/>
    <s v="Coordinadora"/>
    <s v="3383786 -84151258597"/>
    <d v="2025-06-09T00:00:00"/>
    <m/>
    <x v="0"/>
    <n v="2"/>
    <n v="-39264"/>
    <s v="Cumple"/>
    <n v="24885"/>
    <m/>
    <m/>
  </r>
  <r>
    <d v="2025-06-06T00:00:00"/>
    <x v="5"/>
    <n v="2580"/>
    <x v="0"/>
    <s v="LEONARDO FONSECA"/>
    <s v="TECUACO"/>
    <x v="15"/>
    <n v="1"/>
    <x v="5"/>
    <x v="1"/>
    <x v="1"/>
    <x v="0"/>
    <s v="Envia"/>
    <s v="3386668 -954101233039"/>
    <d v="2025-06-10T00:00:00"/>
    <m/>
    <x v="0"/>
    <n v="3"/>
    <n v="-39264"/>
    <s v="Cumple"/>
    <n v="54929"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4">
  <r>
    <d v="2025-01-01T00:00:00"/>
    <x v="0"/>
    <n v="2377"/>
    <x v="0"/>
    <s v="Cata Gómez"/>
    <s v="TECUBDPM"/>
    <x v="0"/>
    <n v="1"/>
    <x v="0"/>
    <s v="Antioquia"/>
    <s v="La estrella"/>
    <s v="Despachado"/>
    <s v="Coordinadora"/>
    <s v="3002937 -84151097246"/>
    <d v="2025-01-07T00:00:00"/>
    <d v="2025-01-08T00:00:00"/>
    <s v="Entregado"/>
    <n v="0"/>
    <n v="1"/>
    <s v="Cumple"/>
    <n v="16617"/>
    <m/>
    <s v="Vacaciones TECU"/>
  </r>
  <r>
    <d v="2025-01-02T00:00:00"/>
    <x v="0"/>
    <n v="2378"/>
    <x v="0"/>
    <s v="Andres felipe Carreño"/>
    <s v="TECUBDPA"/>
    <x v="1"/>
    <n v="1"/>
    <x v="0"/>
    <s v="Bogotá y alrededores"/>
    <s v="Bogota"/>
    <s v="Despachado"/>
    <s v="Coordinadora"/>
    <s v="3002977 -84151097273"/>
    <d v="2025-01-07T00:00:00"/>
    <d v="2025-01-08T00:00:00"/>
    <s v="Entregado"/>
    <n v="0"/>
    <n v="1"/>
    <s v="Cumple"/>
    <n v="16617"/>
    <m/>
    <s v="Vacaciones TECU"/>
  </r>
  <r>
    <d v="2025-01-06T00:00:00"/>
    <x v="0"/>
    <n v="2379"/>
    <x v="0"/>
    <s v="Juan Guevara"/>
    <s v="TECU2FBGO"/>
    <x v="2"/>
    <n v="1"/>
    <x v="1"/>
    <s v="Bogotá y alrededores"/>
    <s v="Bogota"/>
    <s v="Despachado"/>
    <s v="Coordinadora"/>
    <s v="3006333 -84151099203"/>
    <d v="2025-01-08T00:00:00"/>
    <d v="2025-01-10T00:00:00"/>
    <s v="Entregado"/>
    <n v="1"/>
    <n v="3"/>
    <s v="Cumple"/>
    <n v="41593"/>
    <m/>
    <m/>
  </r>
  <r>
    <d v="2025-01-06T00:00:00"/>
    <x v="0"/>
    <n v="2379"/>
    <x v="0"/>
    <s v="Juan Guevara"/>
    <s v="TECUTFE2C"/>
    <x v="3"/>
    <n v="1"/>
    <x v="2"/>
    <s v="Bogotá y alrededores"/>
    <s v="Bogota"/>
    <s v="Despachado"/>
    <s v="Coordinadora"/>
    <s v="3006334 -84151099205"/>
    <d v="2025-01-08T00:00:00"/>
    <d v="2025-01-10T00:00:00"/>
    <s v="Entregado"/>
    <n v="1"/>
    <n v="3"/>
    <s v="Cumple"/>
    <n v="24093"/>
    <m/>
    <m/>
  </r>
  <r>
    <d v="2025-01-06T00:00:00"/>
    <x v="0"/>
    <n v="2379"/>
    <x v="0"/>
    <s v="Juan Guevara"/>
    <s v="TECUCT"/>
    <x v="4"/>
    <n v="1"/>
    <x v="0"/>
    <s v="Bogotá y alrededores"/>
    <s v="Bogota"/>
    <s v="Despachado"/>
    <s v="Coordinadora"/>
    <s v="3006341 -84151099209"/>
    <d v="2025-01-08T00:00:00"/>
    <d v="2025-01-10T00:00:00"/>
    <s v="Entregado"/>
    <n v="1"/>
    <n v="3"/>
    <s v="Cumple"/>
    <n v="24885"/>
    <m/>
    <m/>
  </r>
  <r>
    <d v="2025-01-06T00:00:00"/>
    <x v="0"/>
    <n v="2380"/>
    <x v="0"/>
    <s v="Juan Carlos Urbano"/>
    <s v="TECU2FNG"/>
    <x v="5"/>
    <n v="1"/>
    <x v="1"/>
    <s v="Bogotá y alrededores"/>
    <s v="Bogota"/>
    <s v="Despachado"/>
    <s v="Coordinadora"/>
    <s v="3003131 -84151097381"/>
    <d v="2025-01-07T00:00:00"/>
    <d v="2025-01-08T00:00:00"/>
    <s v="Entregado"/>
    <n v="0"/>
    <n v="1"/>
    <s v="Cumple"/>
    <n v="41593"/>
    <m/>
    <m/>
  </r>
  <r>
    <d v="2025-01-06T00:00:00"/>
    <x v="0"/>
    <n v="2380"/>
    <x v="0"/>
    <s v="Juan Carlos Urbano"/>
    <s v="TECUTCO4C"/>
    <x v="6"/>
    <n v="1"/>
    <x v="2"/>
    <s v="Bogotá y alrededores"/>
    <s v="Bogota"/>
    <s v="Despachado"/>
    <s v="Coordinadora"/>
    <s v="3003134 -84151097383"/>
    <d v="2025-01-07T00:00:00"/>
    <d v="2025-01-09T00:00:00"/>
    <s v="Entregado"/>
    <n v="0"/>
    <n v="2"/>
    <s v="Cumple"/>
    <n v="24093"/>
    <m/>
    <m/>
  </r>
  <r>
    <d v="2025-01-06T00:00:00"/>
    <x v="0"/>
    <n v="2380"/>
    <x v="0"/>
    <s v="Juan Carlos Urbano"/>
    <s v="TECUCT"/>
    <x v="4"/>
    <n v="1"/>
    <x v="0"/>
    <s v="Bogotá y alrededores"/>
    <s v="Bogota"/>
    <s v="Despachado"/>
    <s v="Coordinadora"/>
    <s v="3003144 -84151097390"/>
    <d v="2025-01-07T00:00:00"/>
    <d v="2025-01-09T00:00:00"/>
    <s v="Entregado"/>
    <n v="0"/>
    <n v="2"/>
    <s v="Cumple"/>
    <n v="24885"/>
    <m/>
    <m/>
  </r>
  <r>
    <d v="2025-01-06T00:00:00"/>
    <x v="0"/>
    <n v="2381"/>
    <x v="0"/>
    <s v="Julian Cujabante Villamil"/>
    <s v="TECULFN2"/>
    <x v="7"/>
    <n v="1"/>
    <x v="1"/>
    <s v="Bogotá y alrededores"/>
    <s v="Bogota"/>
    <s v="Despachado"/>
    <s v="Coordinadora"/>
    <s v="3006368 -84151099224"/>
    <d v="2025-01-08T00:00:00"/>
    <d v="2025-01-10T00:00:00"/>
    <s v="Entregado"/>
    <n v="1"/>
    <n v="3"/>
    <s v="Cumple"/>
    <n v="62530"/>
    <m/>
    <m/>
  </r>
  <r>
    <d v="2025-01-06T00:00:00"/>
    <x v="0"/>
    <n v="2381"/>
    <x v="0"/>
    <s v="Julian Cujabante Villamil"/>
    <s v="TECUTLRNS"/>
    <x v="8"/>
    <n v="1"/>
    <x v="2"/>
    <s v="Bogotá y alrededores"/>
    <s v="Bogota"/>
    <s v="Despachado"/>
    <s v="Coordinadora"/>
    <s v="3006370 -84151099227"/>
    <d v="2025-01-08T00:00:00"/>
    <d v="2025-01-10T00:00:00"/>
    <s v="Entregado"/>
    <n v="1"/>
    <n v="3"/>
    <s v="Cumple"/>
    <n v="26749"/>
    <m/>
    <m/>
  </r>
  <r>
    <d v="2025-01-06T00:00:00"/>
    <x v="0"/>
    <n v="2381"/>
    <x v="0"/>
    <s v="Julian Cujabante Villamil"/>
    <s v="TECUCT"/>
    <x v="4"/>
    <n v="1"/>
    <x v="0"/>
    <s v="Bogotá y alrededores"/>
    <s v="Bogota"/>
    <s v="Despachado"/>
    <s v="Coordinadora"/>
    <s v="3006387 -84151099241"/>
    <d v="2025-01-08T00:00:00"/>
    <d v="2025-01-09T00:00:00"/>
    <s v="Entregado"/>
    <n v="1"/>
    <n v="2"/>
    <s v="Cumple"/>
    <n v="24885"/>
    <m/>
    <m/>
  </r>
  <r>
    <d v="2025-01-06T00:00:00"/>
    <x v="0"/>
    <n v="2381"/>
    <x v="0"/>
    <s v="Julian Cujabante Villamil"/>
    <s v="TECUTBANPI"/>
    <x v="9"/>
    <n v="1"/>
    <x v="0"/>
    <s v="Bogotá y alrededores"/>
    <s v="Bogota"/>
    <s v="Despachado"/>
    <s v="Coordinadora"/>
    <s v="3006380 -84151099237"/>
    <d v="2025-01-08T00:00:00"/>
    <d v="2025-01-10T00:00:00"/>
    <s v="Entregado"/>
    <n v="1"/>
    <n v="3"/>
    <s v="Cumple"/>
    <n v="39225"/>
    <m/>
    <m/>
  </r>
  <r>
    <d v="2025-01-06T00:00:00"/>
    <x v="0"/>
    <n v="2381"/>
    <x v="0"/>
    <s v="Julian Cujabante Villamil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1-07T00:00:00"/>
    <x v="0"/>
    <n v="2382"/>
    <x v="0"/>
    <s v="Henry De Alba"/>
    <s v="TECU2FNG"/>
    <x v="5"/>
    <n v="1"/>
    <x v="1"/>
    <s v="Atlantico"/>
    <s v="Barranquilla"/>
    <s v="Despachado"/>
    <s v="Coordinadora"/>
    <s v="3008585 -84151100462"/>
    <d v="2025-01-09T00:00:00"/>
    <d v="2025-01-11T00:00:00"/>
    <s v="Entregado"/>
    <n v="2"/>
    <n v="4"/>
    <s v="Cumple"/>
    <n v="59835"/>
    <m/>
    <m/>
  </r>
  <r>
    <d v="2025-01-07T00:00:00"/>
    <x v="0"/>
    <n v="2382"/>
    <x v="0"/>
    <s v="Henry De Alba"/>
    <s v="TECUTRN2C"/>
    <x v="11"/>
    <n v="1"/>
    <x v="2"/>
    <s v="Atlantico"/>
    <s v="Barranquilla"/>
    <s v="Despachado"/>
    <s v="Coordinadora"/>
    <s v="3008587 -84151100464"/>
    <d v="2025-01-09T00:00:00"/>
    <d v="2025-01-11T00:00:00"/>
    <s v="Entregado"/>
    <n v="2"/>
    <n v="4"/>
    <s v="Cumple"/>
    <n v="39078"/>
    <m/>
    <m/>
  </r>
  <r>
    <d v="2025-01-07T00:00:00"/>
    <x v="0"/>
    <n v="2383"/>
    <x v="0"/>
    <s v="Carlos Andres Polanco Triana"/>
    <s v="TECU3FNPRO"/>
    <x v="12"/>
    <n v="1"/>
    <x v="1"/>
    <s v="Huila"/>
    <s v="Neiva"/>
    <s v="Despachado"/>
    <s v="Coordinadora"/>
    <s v="3008595 -84151100470"/>
    <d v="2025-01-09T00:00:00"/>
    <d v="2025-01-11T00:00:00"/>
    <s v="Entregado"/>
    <n v="2"/>
    <n v="4"/>
    <s v="Cumple"/>
    <n v="62467"/>
    <m/>
    <m/>
  </r>
  <r>
    <d v="2025-01-07T00:00:00"/>
    <x v="0"/>
    <n v="2383"/>
    <x v="0"/>
    <s v="Carlos Andres Polanco Triana"/>
    <s v="TECUTCO4C"/>
    <x v="6"/>
    <n v="1"/>
    <x v="2"/>
    <s v="Huila"/>
    <s v="Neiva"/>
    <s v="Despachado"/>
    <s v="Coordinadora"/>
    <s v="3008596 -84151100471"/>
    <d v="2025-01-09T00:00:00"/>
    <d v="2025-01-11T00:00:00"/>
    <s v="Entregado"/>
    <n v="2"/>
    <n v="4"/>
    <s v="Cumple"/>
    <n v="39078"/>
    <m/>
    <m/>
  </r>
  <r>
    <d v="2025-01-08T00:00:00"/>
    <x v="0"/>
    <n v="2384"/>
    <x v="0"/>
    <s v="Samuel Antonio Cabezas Tibaquicha"/>
    <s v="TECU3FNPRO"/>
    <x v="12"/>
    <n v="1"/>
    <x v="1"/>
    <s v="Bogotá y alrededores"/>
    <s v="Cota"/>
    <s v="Despachado"/>
    <s v="Coordinadora"/>
    <s v="3006418 -84151099260"/>
    <d v="2025-01-08T00:00:00"/>
    <d v="2025-01-09T00:00:00"/>
    <s v="Entregado"/>
    <n v="0"/>
    <n v="1"/>
    <s v="Cumple"/>
    <n v="42921"/>
    <m/>
    <m/>
  </r>
  <r>
    <d v="2025-01-08T00:00:00"/>
    <x v="0"/>
    <n v="2384"/>
    <x v="0"/>
    <s v="Samuel Antonio Cabezas Tibaquicha"/>
    <s v="TECUDSN"/>
    <x v="13"/>
    <n v="1"/>
    <x v="4"/>
    <s v="Bogotá y alrededores"/>
    <s v="Cota"/>
    <s v="Despachado"/>
    <s v="Coordinadora"/>
    <s v="3006424 -84151099263"/>
    <d v="2025-01-08T00:00:00"/>
    <d v="2025-01-09T00:00:00"/>
    <s v="Entregado"/>
    <n v="0"/>
    <n v="1"/>
    <s v="Cumple"/>
    <n v="26609"/>
    <m/>
    <m/>
  </r>
  <r>
    <d v="2025-01-08T00:00:00"/>
    <x v="0"/>
    <n v="2385"/>
    <x v="0"/>
    <s v="Diana Ruiz"/>
    <s v="TECU3FNPRO"/>
    <x v="12"/>
    <n v="1"/>
    <x v="1"/>
    <s v="Bogotá y alrededores"/>
    <s v="Bogota"/>
    <s v="Despachado"/>
    <s v="Coordinadora"/>
    <s v="3009172 -84151100736"/>
    <d v="2025-01-09T00:00:00"/>
    <d v="2025-01-10T00:00:00"/>
    <s v="Entregado"/>
    <n v="1"/>
    <n v="2"/>
    <s v="Cumple"/>
    <n v="42921"/>
    <m/>
    <m/>
  </r>
  <r>
    <d v="2025-01-08T00:00:00"/>
    <x v="0"/>
    <n v="2385"/>
    <x v="0"/>
    <s v="Diana Ruiz"/>
    <s v="TECUTFE4C"/>
    <x v="14"/>
    <n v="1"/>
    <x v="2"/>
    <s v="Bogotá y alrededores"/>
    <s v="Bogota"/>
    <s v="Despachado"/>
    <s v="Coordinadora"/>
    <s v="3009173 -84151100737"/>
    <d v="2025-01-09T00:00:00"/>
    <d v="2025-01-10T00:00:00"/>
    <s v="Entregado"/>
    <n v="1"/>
    <n v="2"/>
    <s v="Cumple"/>
    <n v="24093"/>
    <m/>
    <m/>
  </r>
  <r>
    <d v="2025-01-08T00:00:00"/>
    <x v="0"/>
    <n v="2386"/>
    <x v="0"/>
    <s v="Samuel Vélez Sanín"/>
    <s v="TECU2FNG"/>
    <x v="5"/>
    <n v="1"/>
    <x v="1"/>
    <s v="Antioquia"/>
    <s v="Envigado"/>
    <s v="Despachado"/>
    <s v="Coordinadora"/>
    <s v="3008732 -84151100542"/>
    <d v="2025-01-09T00:00:00"/>
    <d v="2025-01-10T00:00:00"/>
    <s v="Entregado"/>
    <n v="1"/>
    <n v="2"/>
    <s v="Cumple"/>
    <n v="41593"/>
    <m/>
    <m/>
  </r>
  <r>
    <d v="2025-01-08T00:00:00"/>
    <x v="0"/>
    <n v="2386"/>
    <x v="0"/>
    <s v="Samuel Vélez Sanín"/>
    <s v="TECUTFE2C"/>
    <x v="3"/>
    <n v="1"/>
    <x v="2"/>
    <s v="Antioquia"/>
    <s v="Envigado"/>
    <s v="Despachado"/>
    <s v="Coordinadora"/>
    <s v="3008734 -84151100543"/>
    <d v="2025-01-09T00:00:00"/>
    <d v="2025-01-11T00:00:00"/>
    <s v="Entregado"/>
    <n v="1"/>
    <n v="3"/>
    <s v="Cumple"/>
    <n v="24093"/>
    <m/>
    <m/>
  </r>
  <r>
    <d v="2025-01-08T00:00:00"/>
    <x v="0"/>
    <n v="2387"/>
    <x v="0"/>
    <s v="Miguel Saavedra"/>
    <s v="TECUACO"/>
    <x v="15"/>
    <n v="1"/>
    <x v="5"/>
    <s v="Bogotá y alrededores"/>
    <s v="Bogota"/>
    <s v="Despachado"/>
    <s v="Envia"/>
    <s v="3006909 -954101121278"/>
    <d v="2025-01-08T00:00:00"/>
    <d v="2025-01-09T00:00:00"/>
    <s v="Entregado"/>
    <n v="0"/>
    <n v="1"/>
    <s v="Cumple"/>
    <n v="70717"/>
    <m/>
    <m/>
  </r>
  <r>
    <d v="2025-01-09T00:00:00"/>
    <x v="0"/>
    <n v="2388"/>
    <x v="0"/>
    <s v="CAROLINA RAMIREZ RESTREPO"/>
    <s v="TECU2FNG"/>
    <x v="5"/>
    <n v="1"/>
    <x v="1"/>
    <s v="Antioquia"/>
    <s v="Carmen de Viboral"/>
    <s v="Despachado"/>
    <s v="Coordinadora"/>
    <s v="3008988 -84151100690"/>
    <d v="2025-01-09T00:00:00"/>
    <d v="2025-01-24T00:00:00"/>
    <s v="Entregado"/>
    <n v="0"/>
    <n v="13"/>
    <s v="No cumple"/>
    <n v="112444"/>
    <m/>
    <s v="Novedad - Se envia a oto pueblo por error en Shopify generar guias // se solicita devolucion a la bodega"/>
  </r>
  <r>
    <d v="2025-01-09T00:00:00"/>
    <x v="0"/>
    <n v="2388"/>
    <x v="0"/>
    <s v="CAROLINA RAMIREZ RESTREPO"/>
    <s v="TECUTCO6C"/>
    <x v="16"/>
    <n v="1"/>
    <x v="2"/>
    <s v="Antioquia"/>
    <s v="Carmen de Viboral"/>
    <s v="Despachado"/>
    <s v="Coordinadora"/>
    <s v="3008990 -84151100691"/>
    <d v="2025-01-09T00:00:00"/>
    <d v="2025-01-24T00:00:00"/>
    <s v="Entregado"/>
    <n v="0"/>
    <n v="13"/>
    <s v="No cumple"/>
    <n v="98264"/>
    <m/>
    <s v="Novedad - Se envia a oto pueblo por error en Shopify generar guias // se solicita devolucion a la bodega"/>
  </r>
  <r>
    <d v="2025-01-09T00:00:00"/>
    <x v="0"/>
    <n v="2389"/>
    <x v="0"/>
    <s v="Alexander Gomez Chaparro"/>
    <s v="TECULFN2"/>
    <x v="7"/>
    <n v="1"/>
    <x v="1"/>
    <s v="Boyaca"/>
    <s v="Tunja"/>
    <s v="Despachado"/>
    <s v="Coordinadora"/>
    <s v="3011856 -84151101651"/>
    <d v="2025-01-10T00:00:00"/>
    <d v="2025-01-13T00:00:00"/>
    <s v="Entregado"/>
    <n v="1"/>
    <n v="3"/>
    <s v="Cumple"/>
    <n v="96409"/>
    <m/>
    <m/>
  </r>
  <r>
    <d v="2025-01-09T00:00:00"/>
    <x v="0"/>
    <n v="2389"/>
    <x v="0"/>
    <s v="Alexander Gomez Chaparro"/>
    <s v="TECUTLNS"/>
    <x v="17"/>
    <n v="1"/>
    <x v="2"/>
    <s v="Boyaca"/>
    <s v="Tunja"/>
    <s v="Despachado"/>
    <s v="Coordinadora"/>
    <s v="3011858 -84151101652"/>
    <d v="2025-01-10T00:00:00"/>
    <d v="2025-01-13T00:00:00"/>
    <s v="Entregado"/>
    <n v="1"/>
    <n v="3"/>
    <s v="Cumple"/>
    <n v="44340"/>
    <m/>
    <m/>
  </r>
  <r>
    <d v="2025-01-09T00:00:00"/>
    <x v="0"/>
    <n v="2390"/>
    <x v="0"/>
    <s v="Alexander Gomez Chaparro"/>
    <s v="TECUCT"/>
    <x v="4"/>
    <n v="1"/>
    <x v="0"/>
    <s v="Boyaca"/>
    <s v="Tunja"/>
    <s v="Despachado"/>
    <s v="Coordinadora"/>
    <s v="3011897 -84151101678"/>
    <d v="2025-01-10T00:00:00"/>
    <d v="2025-01-13T00:00:00"/>
    <s v="Entregado"/>
    <n v="1"/>
    <n v="3"/>
    <s v="Cumple"/>
    <m/>
    <m/>
    <m/>
  </r>
  <r>
    <d v="2025-01-09T00:00:00"/>
    <x v="0"/>
    <n v="2390"/>
    <x v="0"/>
    <s v="Alexander Gomez Chaparro"/>
    <s v="TECUBDPA"/>
    <x v="1"/>
    <n v="1"/>
    <x v="0"/>
    <s v="Boyaca"/>
    <s v="Tunja"/>
    <s v="Despachado"/>
    <s v="Coordinadora"/>
    <s v="3011889 -84151101671"/>
    <d v="2025-01-10T00:00:00"/>
    <d v="2025-01-13T00:00:00"/>
    <s v="Entregado"/>
    <n v="1"/>
    <n v="3"/>
    <s v="Cumple"/>
    <n v="16617"/>
    <m/>
    <m/>
  </r>
  <r>
    <d v="2025-01-09T00:00:00"/>
    <x v="0"/>
    <n v="2390"/>
    <x v="0"/>
    <s v="Alexander Gomez Chaparro"/>
    <s v="TECUDSN"/>
    <x v="13"/>
    <n v="1"/>
    <x v="4"/>
    <s v="Boyaca"/>
    <s v="Tunja"/>
    <s v="Despachado"/>
    <s v="Coordinadora"/>
    <s v="3011879 -84151101661"/>
    <d v="2025-01-10T00:00:00"/>
    <d v="2025-01-13T00:00:00"/>
    <s v="Entregado"/>
    <n v="1"/>
    <n v="3"/>
    <s v="Cumple"/>
    <n v="40942"/>
    <m/>
    <m/>
  </r>
  <r>
    <d v="2025-01-09T00:00:00"/>
    <x v="0"/>
    <n v="2390"/>
    <x v="0"/>
    <s v="Alexander Gomez Chaparro"/>
    <s v="TECURN"/>
    <x v="18"/>
    <n v="1"/>
    <x v="6"/>
    <s v="Boyaca"/>
    <s v="Tunja"/>
    <s v="Despachado"/>
    <s v="Coordinadora"/>
    <s v="NA"/>
    <d v="2025-01-10T00:00:00"/>
    <d v="2025-01-13T00:00:00"/>
    <s v="Entregado"/>
    <n v="1"/>
    <n v="3"/>
    <s v="Cumple"/>
    <m/>
    <m/>
    <m/>
  </r>
  <r>
    <d v="2025-01-09T00:00:00"/>
    <x v="0"/>
    <n v="2391"/>
    <x v="0"/>
    <s v="Alexander Gomez Chaparro"/>
    <s v="TECUCT"/>
    <x v="4"/>
    <n v="1"/>
    <x v="0"/>
    <s v="Boyaca"/>
    <s v="Tunja"/>
    <s v="Despachado"/>
    <s v="Coordinadora"/>
    <s v="3011897 -84151101678"/>
    <d v="2025-01-10T00:00:00"/>
    <d v="2025-01-13T00:00:00"/>
    <s v="Entregado"/>
    <n v="1"/>
    <n v="3"/>
    <s v="Cumple"/>
    <n v="24885"/>
    <m/>
    <m/>
  </r>
  <r>
    <d v="2025-01-10T00:00:00"/>
    <x v="0"/>
    <n v="2392"/>
    <x v="0"/>
    <s v="David Cadavid"/>
    <s v="TECU3FNPRO"/>
    <x v="12"/>
    <n v="1"/>
    <x v="1"/>
    <s v="Antioquia"/>
    <s v="Envigado"/>
    <s v="Despachado"/>
    <s v="Coordinadora"/>
    <s v="3015845 -84151103419"/>
    <d v="2025-01-13T16:47:27"/>
    <d v="2025-01-14T15:27:49"/>
    <s v="Entregado"/>
    <n v="2"/>
    <n v="3"/>
    <s v="Cumple"/>
    <n v="42921"/>
    <m/>
    <m/>
  </r>
  <r>
    <d v="2025-01-10T00:00:00"/>
    <x v="0"/>
    <n v="2392"/>
    <x v="0"/>
    <s v="David Cadavid"/>
    <s v="TECUTCO8C"/>
    <x v="19"/>
    <n v="1"/>
    <x v="2"/>
    <s v="Antioquia"/>
    <s v="Envigado"/>
    <s v="Despachado"/>
    <s v="Coordinadora"/>
    <s v="3015847 -84151103420"/>
    <d v="2025-01-13T16:48:27"/>
    <d v="2025-01-14T15:27:49"/>
    <s v="Entregado"/>
    <n v="2"/>
    <n v="3"/>
    <s v="Cumple"/>
    <n v="26749"/>
    <m/>
    <m/>
  </r>
  <r>
    <d v="2025-01-10T00:00:00"/>
    <x v="0"/>
    <n v="2392"/>
    <x v="0"/>
    <s v="David Cadavid"/>
    <s v="TECUCT"/>
    <x v="4"/>
    <n v="1"/>
    <x v="0"/>
    <s v="Antioquia"/>
    <s v="Envigado"/>
    <s v="Despachado"/>
    <s v="Coordinadora"/>
    <s v="3015858 -84151103425"/>
    <d v="2025-01-13T16:47:27"/>
    <d v="2025-01-14T15:27:49"/>
    <s v="Entregado"/>
    <n v="2"/>
    <n v="3"/>
    <s v="Cumple"/>
    <n v="24885"/>
    <m/>
    <m/>
  </r>
  <r>
    <d v="2025-01-11T00:00:00"/>
    <x v="0"/>
    <n v="2393"/>
    <x v="0"/>
    <s v="Santiago Garzon Diaz"/>
    <s v="TECU2FNG"/>
    <x v="5"/>
    <n v="1"/>
    <x v="1"/>
    <s v="Antioquia"/>
    <s v="Medellin"/>
    <s v="Despachado"/>
    <s v="Coordinadora"/>
    <s v="3015877 -84151103435"/>
    <d v="2025-01-13T16:47:27"/>
    <d v="2025-01-14T09:51:51"/>
    <s v="Entregado"/>
    <n v="1"/>
    <n v="2"/>
    <s v="Cumple"/>
    <n v="41593"/>
    <m/>
    <m/>
  </r>
  <r>
    <d v="2025-01-11T00:00:00"/>
    <x v="0"/>
    <n v="2393"/>
    <x v="0"/>
    <s v="Santiago Garzon Diaz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1-12T00:00:00"/>
    <x v="0"/>
    <n v="2394"/>
    <x v="0"/>
    <s v="Julian Cajiao"/>
    <s v="TECU3FNPRO"/>
    <x v="12"/>
    <n v="1"/>
    <x v="1"/>
    <s v="Antioquia"/>
    <s v="Medellin"/>
    <s v="Despachado"/>
    <s v="Coordinadora"/>
    <s v="3015893 -84151103439"/>
    <d v="2025-01-13T16:47:27"/>
    <d v="2025-01-14T11:27:21"/>
    <s v="Entregado"/>
    <n v="0"/>
    <n v="1"/>
    <s v="Cumple"/>
    <n v="42921"/>
    <m/>
    <m/>
  </r>
  <r>
    <d v="2025-01-12T00:00:00"/>
    <x v="0"/>
    <n v="2394"/>
    <x v="0"/>
    <s v="Julian Cajiao"/>
    <s v="TECUTRN6C"/>
    <x v="20"/>
    <n v="1"/>
    <x v="2"/>
    <s v="Antioquia"/>
    <s v="Medellin"/>
    <s v="Despachado"/>
    <s v="Coordinadora"/>
    <s v="3015895 -84151103441"/>
    <d v="2025-01-13T16:48:27"/>
    <d v="2025-01-14T11:27:21"/>
    <s v="Entregado"/>
    <n v="0"/>
    <n v="1"/>
    <s v="Cumple"/>
    <n v="24093"/>
    <m/>
    <m/>
  </r>
  <r>
    <d v="2025-01-12T00:00:00"/>
    <x v="0"/>
    <n v="2394"/>
    <x v="0"/>
    <s v="Julian Cajiao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1-13T00:00:00"/>
    <x v="0"/>
    <n v="2395"/>
    <x v="0"/>
    <s v="Lucas Latorre"/>
    <s v="TECU3FNPRO"/>
    <x v="12"/>
    <n v="1"/>
    <x v="1"/>
    <s v="Santander"/>
    <s v="Bucaramanga"/>
    <s v="Despachado"/>
    <s v="Coordinadora"/>
    <s v="3017031 -84151104118"/>
    <d v="2025-01-13T16:47:27"/>
    <d v="2025-01-15T17:17:03"/>
    <s v="Entregado"/>
    <n v="0"/>
    <n v="2"/>
    <s v="Cumple"/>
    <n v="56077"/>
    <m/>
    <m/>
  </r>
  <r>
    <d v="2025-01-13T00:00:00"/>
    <x v="0"/>
    <n v="2395"/>
    <x v="0"/>
    <s v="Lucas Latorre"/>
    <s v="TECUTFE8C"/>
    <x v="21"/>
    <n v="1"/>
    <x v="2"/>
    <s v="Santander"/>
    <s v="Bucaramanga"/>
    <s v="Despachado"/>
    <s v="Coordinadora"/>
    <s v="3017033 -84151104119"/>
    <d v="2025-01-13T16:48:27"/>
    <d v="2025-01-15T17:17:03"/>
    <s v="Entregado"/>
    <n v="0"/>
    <n v="2"/>
    <s v="Cumple"/>
    <n v="38589"/>
    <m/>
    <m/>
  </r>
  <r>
    <d v="2025-01-13T00:00:00"/>
    <x v="0"/>
    <n v="2396"/>
    <x v="0"/>
    <s v="FELIPE CASTAÑO"/>
    <s v="TECU3FNPRO"/>
    <x v="12"/>
    <n v="1"/>
    <x v="1"/>
    <s v="Antioquia"/>
    <s v="Envigado"/>
    <s v="Despachado"/>
    <s v="Coordinadora"/>
    <s v="3018831 -84151104925"/>
    <d v="2025-01-14T15:58:05"/>
    <d v="2025-01-15T10:33:56"/>
    <s v="Entregado"/>
    <n v="1"/>
    <n v="2"/>
    <s v="Cumple"/>
    <n v="42921"/>
    <m/>
    <m/>
  </r>
  <r>
    <d v="2025-01-13T00:00:00"/>
    <x v="0"/>
    <n v="2396"/>
    <x v="0"/>
    <s v="FELIPE CASTAÑO"/>
    <s v="TECUTCO6C"/>
    <x v="16"/>
    <n v="1"/>
    <x v="2"/>
    <s v="Antioquia"/>
    <s v="Envigado"/>
    <s v="Despachado"/>
    <s v="Coordinadora"/>
    <s v="3018833 -84151104926"/>
    <d v="2025-01-14T15:58:05"/>
    <d v="2025-01-15T10:33:56"/>
    <s v="Entregado"/>
    <n v="1"/>
    <n v="2"/>
    <s v="Cumple"/>
    <n v="24093"/>
    <m/>
    <m/>
  </r>
  <r>
    <d v="2025-01-13T00:00:00"/>
    <x v="0"/>
    <n v="2396"/>
    <x v="0"/>
    <s v="FELIPE CASTAÑO"/>
    <s v="TECUDSN"/>
    <x v="13"/>
    <n v="1"/>
    <x v="4"/>
    <s v="Antioquia"/>
    <s v="Envigado"/>
    <s v="Despachado"/>
    <s v="Coordinadora"/>
    <s v="3018855 -84151104940"/>
    <d v="2025-01-14T15:58:05"/>
    <d v="2025-01-15T10:33:56"/>
    <s v="Entregado"/>
    <n v="1"/>
    <n v="2"/>
    <s v="Cumple"/>
    <n v="26609"/>
    <m/>
    <m/>
  </r>
  <r>
    <d v="2025-01-13T00:00:00"/>
    <x v="0"/>
    <n v="2396"/>
    <x v="0"/>
    <s v="FELIPE CASTAÑO"/>
    <m/>
    <x v="10"/>
    <n v="1"/>
    <x v="3"/>
    <s v="Antioquia"/>
    <s v="Envigado"/>
    <s v="Instalacion"/>
    <s v="NA"/>
    <s v="NA"/>
    <s v="NA"/>
    <s v="NA"/>
    <s v="Entregado"/>
    <s v="PTE"/>
    <e v="#VALUE!"/>
    <e v="#VALUE!"/>
    <n v="0"/>
    <m/>
    <m/>
  </r>
  <r>
    <d v="2025-01-14T00:00:00"/>
    <x v="0"/>
    <n v="2397"/>
    <x v="0"/>
    <s v="Andres Felipe Parra Rojas"/>
    <s v="TECU2FNG"/>
    <x v="5"/>
    <n v="1"/>
    <x v="1"/>
    <s v="Bogotá y alrededores"/>
    <s v="Bogota"/>
    <s v="Despachado"/>
    <s v="Coordinadora"/>
    <s v="3023657 -84151107102"/>
    <d v="2025-01-16T16:40:11"/>
    <d v="2025-01-17T16:21:03"/>
    <s v="Entregado"/>
    <n v="2"/>
    <n v="3"/>
    <s v="Cumple"/>
    <n v="41593"/>
    <m/>
    <m/>
  </r>
  <r>
    <d v="2025-01-14T00:00:00"/>
    <x v="0"/>
    <n v="2397"/>
    <x v="0"/>
    <s v="Andres Felipe Parra Rojas"/>
    <s v="TECUTRN5C"/>
    <x v="22"/>
    <n v="1"/>
    <x v="2"/>
    <s v="Bogotá y alrededores"/>
    <s v="Bogota"/>
    <s v="Despachado"/>
    <s v="Coordinadora"/>
    <s v="3023658 -84151107103"/>
    <d v="2025-01-16T16:41:19"/>
    <d v="2025-01-18T14:05:19"/>
    <s v="Entregado"/>
    <n v="2"/>
    <n v="4"/>
    <s v="No cumple"/>
    <n v="24093"/>
    <m/>
    <m/>
  </r>
  <r>
    <d v="2025-01-16T00:00:00"/>
    <x v="0"/>
    <n v="2398"/>
    <x v="0"/>
    <s v="Juan David Martínez Gordillo"/>
    <s v="TECU2FNG"/>
    <x v="5"/>
    <n v="1"/>
    <x v="1"/>
    <s v="Bogotá y alrededores"/>
    <s v="Bogota"/>
    <s v="Despachado"/>
    <s v="Coordinadora"/>
    <s v="3023776 -84151107161"/>
    <d v="2025-01-16T16:40:11"/>
    <d v="2025-01-18T13:27:15"/>
    <s v="Entregado"/>
    <n v="0"/>
    <n v="2"/>
    <s v="Cumple"/>
    <n v="41593"/>
    <m/>
    <m/>
  </r>
  <r>
    <d v="2025-01-16T00:00:00"/>
    <x v="0"/>
    <n v="2398"/>
    <x v="0"/>
    <s v="Juan David Martínez Gordillo"/>
    <s v="TECUTCO3C"/>
    <x v="23"/>
    <n v="1"/>
    <x v="2"/>
    <s v="Bogotá y alrededores"/>
    <s v="Bogota"/>
    <s v="Despachado"/>
    <s v="Coordinadora"/>
    <s v="3023777 -84151107162"/>
    <d v="2025-01-16T16:41:19"/>
    <d v="2025-01-20T14:33:10"/>
    <s v="Entregado"/>
    <n v="0"/>
    <n v="3"/>
    <s v="Cumple"/>
    <n v="24093"/>
    <m/>
    <m/>
  </r>
  <r>
    <d v="2025-01-16T00:00:00"/>
    <x v="0"/>
    <n v="2399"/>
    <x v="0"/>
    <s v="Stefan de Brandt"/>
    <s v="TECU3FNPRO"/>
    <x v="12"/>
    <n v="1"/>
    <x v="1"/>
    <s v="Antioquia"/>
    <s v="Envigado"/>
    <s v="Despachado"/>
    <s v="Coordinadora"/>
    <s v="3023834 -84151107192"/>
    <d v="2025-01-16T16:40:11"/>
    <d v="2025-01-17T17:50:22"/>
    <s v="Entregado"/>
    <n v="0"/>
    <n v="1"/>
    <s v="Cumple"/>
    <n v="42921"/>
    <m/>
    <m/>
  </r>
  <r>
    <d v="2025-01-16T00:00:00"/>
    <x v="0"/>
    <n v="2399"/>
    <x v="0"/>
    <s v="Stefan de Brandt"/>
    <s v="TECUTCO6M"/>
    <x v="24"/>
    <n v="1"/>
    <x v="2"/>
    <s v="Antioquia"/>
    <s v="Envigado"/>
    <s v="Despachado"/>
    <s v="Coordinadora"/>
    <s v="3023835 -84151107193"/>
    <d v="2025-01-16T16:41:19"/>
    <d v="2025-01-17T17:50:22"/>
    <s v="Entregado"/>
    <n v="0"/>
    <n v="1"/>
    <s v="Cumple"/>
    <n v="24093"/>
    <m/>
    <m/>
  </r>
  <r>
    <d v="2025-01-16T00:00:00"/>
    <x v="0"/>
    <n v="2399"/>
    <x v="0"/>
    <s v="Stefan de Brandt"/>
    <m/>
    <x v="10"/>
    <n v="1"/>
    <x v="3"/>
    <s v="Antioquia"/>
    <s v="Envigado"/>
    <s v="Instalacion"/>
    <s v="NA"/>
    <s v="NA"/>
    <s v="NA"/>
    <s v="NA"/>
    <s v="Entregado"/>
    <s v="PTE"/>
    <e v="#VALUE!"/>
    <e v="#VALUE!"/>
    <n v="0"/>
    <m/>
    <m/>
  </r>
  <r>
    <d v="2025-01-16T00:00:00"/>
    <x v="0"/>
    <n v="2400"/>
    <x v="0"/>
    <s v="Julian Cujabante Villamil"/>
    <s v="TECUROD6"/>
    <x v="25"/>
    <n v="1"/>
    <x v="7"/>
    <s v="Bogotá y alrededores"/>
    <s v="Bogota"/>
    <s v="Despachado"/>
    <s v="Coordinadora"/>
    <s v="3026040 -84151108154"/>
    <d v="2025-01-17T15:07:22"/>
    <d v="2025-01-20T12:41:03"/>
    <s v="Entregado"/>
    <n v="1"/>
    <n v="3"/>
    <s v="Cumple"/>
    <n v="23875"/>
    <m/>
    <m/>
  </r>
  <r>
    <d v="2025-01-16T00:00:00"/>
    <x v="0"/>
    <n v="2400"/>
    <x v="0"/>
    <s v="Julian Cujabante Villamil"/>
    <s v="TECUBDPA"/>
    <x v="1"/>
    <n v="1"/>
    <x v="0"/>
    <s v="Bogotá y alrededores"/>
    <s v="Bogota"/>
    <s v="Despachado"/>
    <s v="Coordinadora"/>
    <s v="3026035 -84151108151"/>
    <d v="2025-01-17T15:07:22"/>
    <d v="2025-01-20T12:41:03"/>
    <s v="Entregado"/>
    <n v="1"/>
    <n v="3"/>
    <s v="Cumple"/>
    <n v="16617"/>
    <m/>
    <m/>
  </r>
  <r>
    <d v="2025-01-16T00:00:00"/>
    <x v="0"/>
    <n v="2400"/>
    <x v="0"/>
    <s v="Julian Cujabante Villamil"/>
    <s v="TECURN"/>
    <x v="18"/>
    <n v="1"/>
    <x v="6"/>
    <s v="Bogotá y alrededores"/>
    <s v="Bogota"/>
    <s v="Despachado"/>
    <s v="Coordinadora"/>
    <s v="3026126 -84151108195"/>
    <d v="2025-01-17T15:07:22"/>
    <d v="2025-01-20T12:41:03"/>
    <s v="Entregado"/>
    <n v="1"/>
    <n v="3"/>
    <s v="Cumple"/>
    <n v="23429"/>
    <m/>
    <m/>
  </r>
  <r>
    <d v="2025-01-16T00:00:00"/>
    <x v="0"/>
    <n v="2400"/>
    <x v="0"/>
    <s v="Julian Cujabante Villamil"/>
    <m/>
    <x v="10"/>
    <n v="1"/>
    <x v="3"/>
    <s v="Bogotá y alrededores"/>
    <s v="Bogota"/>
    <s v="Instalacion"/>
    <s v="NA"/>
    <s v="NA"/>
    <d v="2025-01-21T00:00:00"/>
    <d v="2025-01-21T00:00:00"/>
    <s v="Entregado"/>
    <s v="PTE"/>
    <n v="4"/>
    <s v="No cumple"/>
    <n v="0"/>
    <m/>
    <m/>
  </r>
  <r>
    <d v="2025-01-16T00:00:00"/>
    <x v="0"/>
    <n v="2401"/>
    <x v="0"/>
    <s v="Julian Cujabante Villamil"/>
    <s v="TECUAN"/>
    <x v="26"/>
    <n v="1"/>
    <x v="5"/>
    <s v="Bogotá y alrededores"/>
    <s v="Bogota"/>
    <s v="Despachado"/>
    <s v="Envia"/>
    <s v="3026752 -954101129148"/>
    <d v="2025-01-17T15:51:00"/>
    <d v="2025-01-18T11:58:00"/>
    <s v="Entregado"/>
    <n v="1"/>
    <n v="2"/>
    <s v="Cumple"/>
    <n v="70717"/>
    <m/>
    <m/>
  </r>
  <r>
    <d v="2025-01-17T00:00:00"/>
    <x v="0"/>
    <n v="2402"/>
    <x v="0"/>
    <s v="Catalina Alvarado"/>
    <s v="TECU2FNG"/>
    <x v="5"/>
    <n v="1"/>
    <x v="1"/>
    <s v="Bogotá y alrededores"/>
    <s v="Bogota"/>
    <s v="Despachado"/>
    <s v="Coordinadora"/>
    <s v="3026634 -84151108514"/>
    <d v="2025-01-17T15:07:22"/>
    <d v="2025-01-20T11:09:20"/>
    <s v="Entregado"/>
    <n v="0"/>
    <n v="2"/>
    <s v="Cumple"/>
    <n v="41593"/>
    <m/>
    <m/>
  </r>
  <r>
    <d v="2025-01-17T00:00:00"/>
    <x v="0"/>
    <n v="2402"/>
    <x v="0"/>
    <s v="Catalina Alvarado"/>
    <s v="TECUTFE2C"/>
    <x v="3"/>
    <n v="1"/>
    <x v="2"/>
    <s v="Bogotá y alrededores"/>
    <s v="Bogota"/>
    <s v="Despachado"/>
    <s v="Coordinadora"/>
    <s v="3026635 -84151108515"/>
    <d v="2025-01-17T15:07:22"/>
    <d v="2025-01-20T11:07:59"/>
    <s v="Entregado"/>
    <n v="0"/>
    <n v="2"/>
    <s v="Cumple"/>
    <n v="24093"/>
    <m/>
    <m/>
  </r>
  <r>
    <d v="2025-01-17T00:00:00"/>
    <x v="0"/>
    <n v="2403"/>
    <x v="0"/>
    <s v="Alexandra Martínez Ruiz"/>
    <s v="TECU3FNPRO"/>
    <x v="12"/>
    <n v="1"/>
    <x v="1"/>
    <s v="Bogotá y alrededores"/>
    <s v="Bogota"/>
    <s v="Despachado"/>
    <s v="Coordinadora"/>
    <s v="3030945 -84151109872"/>
    <d v="2025-01-20T16:52:51"/>
    <d v="2025-01-22T00:00:00"/>
    <s v="Entregado"/>
    <n v="2"/>
    <n v="4"/>
    <s v="No cumple"/>
    <n v="42921"/>
    <m/>
    <m/>
  </r>
  <r>
    <d v="2025-01-17T00:00:00"/>
    <x v="0"/>
    <n v="2403"/>
    <x v="0"/>
    <s v="Alexandra Martínez Ruiz"/>
    <s v="TECUTFE2C"/>
    <x v="3"/>
    <n v="1"/>
    <x v="2"/>
    <s v="Bogotá y alrededores"/>
    <s v="Bogota"/>
    <s v="Despachado"/>
    <s v="Coordinadora"/>
    <s v="3030946 -84151109873"/>
    <d v="2025-01-20T16:52:51"/>
    <d v="2025-01-21T15:36:08"/>
    <s v="Entregado"/>
    <n v="2"/>
    <n v="3"/>
    <s v="Cumple"/>
    <n v="28741"/>
    <m/>
    <m/>
  </r>
  <r>
    <d v="2025-01-17T00:00:00"/>
    <x v="0"/>
    <n v="2403"/>
    <x v="0"/>
    <s v="Alexandra Martínez Ruiz"/>
    <m/>
    <x v="10"/>
    <n v="1"/>
    <x v="3"/>
    <s v="Bogotá y alrededores"/>
    <s v="Bogota"/>
    <s v="Instalacion"/>
    <s v="NA"/>
    <s v="NA"/>
    <d v="2025-01-23T00:00:00"/>
    <s v="NA"/>
    <s v="Entregado"/>
    <s v="PTE"/>
    <e v="#VALUE!"/>
    <e v="#VALUE!"/>
    <n v="0"/>
    <m/>
    <m/>
  </r>
  <r>
    <d v="2025-01-18T00:00:00"/>
    <x v="0"/>
    <n v="2404"/>
    <x v="0"/>
    <s v="Juan Camilo Acosta Escobar"/>
    <s v="TECU3FNPRO"/>
    <x v="12"/>
    <n v="1"/>
    <x v="1"/>
    <s v="Antioquia"/>
    <s v="El Retiro"/>
    <s v="Despachado"/>
    <s v="Coordinadora"/>
    <s v="3030968 -84151109880"/>
    <d v="2025-01-20T16:52:51"/>
    <d v="2025-01-22T14:11:06"/>
    <s v="Entregado"/>
    <n v="1"/>
    <n v="3"/>
    <s v="Cumple"/>
    <n v="42921"/>
    <m/>
    <m/>
  </r>
  <r>
    <d v="2025-01-18T00:00:00"/>
    <x v="0"/>
    <n v="2404"/>
    <x v="0"/>
    <s v="Juan Camilo Acosta Escobar"/>
    <s v="TECUTRM5C"/>
    <x v="27"/>
    <n v="1"/>
    <x v="2"/>
    <s v="Antioquia"/>
    <s v="El Retiro"/>
    <s v="Despachado"/>
    <s v="Coordinadora"/>
    <s v="3030970 -84151109882"/>
    <d v="2025-01-20T16:52:51"/>
    <d v="2025-01-22T14:11:06"/>
    <s v="Entregado"/>
    <n v="1"/>
    <n v="3"/>
    <s v="Cumple"/>
    <n v="24593"/>
    <m/>
    <m/>
  </r>
  <r>
    <d v="2025-01-18T00:00:00"/>
    <x v="0"/>
    <n v="2404"/>
    <x v="0"/>
    <s v="Juan Camilo Acosta Escobar"/>
    <s v="TECUCT"/>
    <x v="4"/>
    <n v="1"/>
    <x v="0"/>
    <s v="Antioquia"/>
    <s v="El Retiro"/>
    <s v="Despachado"/>
    <s v="Coordinadora"/>
    <s v="3031428 -84151110138"/>
    <d v="2025-01-20T16:52:51"/>
    <d v="2025-01-22T14:11:06"/>
    <s v="Entregado"/>
    <n v="1"/>
    <n v="3"/>
    <s v="Cumple"/>
    <n v="24885"/>
    <m/>
    <m/>
  </r>
  <r>
    <d v="2025-01-18T00:00:00"/>
    <x v="0"/>
    <n v="2405"/>
    <x v="0"/>
    <s v="Stefan de Brandt"/>
    <s v="TECUCT"/>
    <x v="4"/>
    <n v="1"/>
    <x v="0"/>
    <s v="Antioquia"/>
    <s v="Envigado"/>
    <s v="Despachado"/>
    <s v="Coordinadora"/>
    <s v="3031190 -84151110013"/>
    <d v="2025-01-20T16:52:51"/>
    <d v="2025-01-21T13:04:29"/>
    <s v="Entregado"/>
    <n v="1"/>
    <n v="2"/>
    <s v="Cumple"/>
    <n v="24885"/>
    <m/>
    <m/>
  </r>
  <r>
    <d v="2025-01-20T00:00:00"/>
    <x v="0"/>
    <n v="2406"/>
    <x v="0"/>
    <s v="MARIA RODRIGUEZ"/>
    <s v="TECU2FBGO"/>
    <x v="2"/>
    <n v="1"/>
    <x v="1"/>
    <s v="Valle del Cauca"/>
    <s v="Jamundi"/>
    <s v="Despachado"/>
    <s v="Coordinadora"/>
    <s v="3034128 -84151111334"/>
    <d v="2025-01-21T17:11:07"/>
    <d v="2025-01-22T00:00:00"/>
    <s v="Entregado"/>
    <n v="1"/>
    <n v="2"/>
    <e v="#N/A"/>
    <n v="41593"/>
    <m/>
    <m/>
  </r>
  <r>
    <d v="2025-01-20T00:00:00"/>
    <x v="0"/>
    <n v="2406"/>
    <x v="0"/>
    <s v="MARIA RODRIGUEZ"/>
    <s v="TECUTFE6C"/>
    <x v="28"/>
    <n v="1"/>
    <x v="2"/>
    <s v="Valle del Cauca"/>
    <s v="Jamundi"/>
    <s v="Despachado"/>
    <s v="Coordinadora"/>
    <s v="3034129 -84151111335"/>
    <d v="2025-01-21T17:11:07"/>
    <d v="2025-01-22T00:00:00"/>
    <s v="Entregado"/>
    <n v="1"/>
    <n v="2"/>
    <e v="#N/A"/>
    <n v="24093"/>
    <m/>
    <m/>
  </r>
  <r>
    <d v="2025-01-21T00:00:00"/>
    <x v="0"/>
    <n v="2407"/>
    <x v="0"/>
    <s v="Juan Camilo Restrepo"/>
    <s v="TECU2FNG"/>
    <x v="5"/>
    <n v="1"/>
    <x v="1"/>
    <s v="Bogotá y alrededores"/>
    <s v="Bogota"/>
    <s v="Despachado"/>
    <s v="Coordinadora"/>
    <s v="3034103 -84151111318"/>
    <d v="2025-01-21T17:11:07"/>
    <d v="2025-01-22T00:00:00"/>
    <s v="Entregado"/>
    <n v="0"/>
    <n v="1"/>
    <s v="Cumple"/>
    <n v="41593"/>
    <m/>
    <m/>
  </r>
  <r>
    <d v="2025-01-21T00:00:00"/>
    <x v="0"/>
    <n v="2407"/>
    <x v="0"/>
    <s v="Juan Camilo Restrepo"/>
    <s v="TECUTFE5C"/>
    <x v="29"/>
    <n v="1"/>
    <x v="2"/>
    <s v="Bogotá y alrededores"/>
    <s v="Bogota"/>
    <s v="Despachado"/>
    <s v="Coordinadora"/>
    <s v="3034104 -84151111319"/>
    <d v="2025-01-21T17:11:07"/>
    <d v="2025-01-23T00:00:00"/>
    <s v="Entregado"/>
    <n v="0"/>
    <n v="2"/>
    <s v="Cumple"/>
    <n v="24093"/>
    <m/>
    <m/>
  </r>
  <r>
    <d v="2025-01-21T00:00:00"/>
    <x v="0"/>
    <n v="2407"/>
    <x v="0"/>
    <s v="Juan Camilo Restrepo"/>
    <s v="TECUCT"/>
    <x v="4"/>
    <n v="1"/>
    <x v="0"/>
    <s v="Bogotá y alrededores"/>
    <s v="Bogota"/>
    <s v="Despachado"/>
    <s v="Coordinadora"/>
    <s v="3034115 -84151111325"/>
    <d v="2025-01-21T17:11:07"/>
    <d v="2025-01-22T00:00:00"/>
    <s v="Entregado"/>
    <n v="0"/>
    <n v="1"/>
    <s v="Cumple"/>
    <n v="24885"/>
    <m/>
    <m/>
  </r>
  <r>
    <d v="2025-01-21T00:00:00"/>
    <x v="0"/>
    <n v="2408"/>
    <x v="0"/>
    <s v="Andres Mape"/>
    <s v="TECU3FNPRO"/>
    <x v="12"/>
    <n v="1"/>
    <x v="1"/>
    <s v="Bogotá y alrededores"/>
    <s v="Bogota"/>
    <s v="Despachado"/>
    <s v="Coordinadora"/>
    <s v="3034145 -84151111349"/>
    <d v="2025-01-21T17:11:07"/>
    <d v="2025-01-22T00:00:00"/>
    <s v="Entregado"/>
    <n v="0"/>
    <n v="1"/>
    <s v="Cumple"/>
    <n v="42921"/>
    <m/>
    <m/>
  </r>
  <r>
    <d v="2025-01-21T00:00:00"/>
    <x v="0"/>
    <n v="2408"/>
    <x v="0"/>
    <s v="Andres Mape"/>
    <s v="TECUTCO8C"/>
    <x v="19"/>
    <n v="1"/>
    <x v="2"/>
    <s v="Bogotá y alrededores"/>
    <s v="Bogota"/>
    <s v="Despachado"/>
    <s v="Coordinadora"/>
    <s v="3034147 -84151111351"/>
    <d v="2025-01-21T17:11:07"/>
    <d v="2025-01-22T00:00:00"/>
    <s v="Entregado"/>
    <n v="0"/>
    <n v="1"/>
    <s v="Cumple"/>
    <n v="26749"/>
    <m/>
    <m/>
  </r>
  <r>
    <d v="2025-01-21T00:00:00"/>
    <x v="0"/>
    <n v="2408"/>
    <x v="0"/>
    <s v="Andres Mape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1-21T00:00:00"/>
    <x v="0"/>
    <n v="2409"/>
    <x v="0"/>
    <s v="Rainer Villarreal"/>
    <s v="TECURCO"/>
    <x v="30"/>
    <n v="1"/>
    <x v="6"/>
    <s v="Monteria"/>
    <s v="Cordoba"/>
    <s v="Despachado"/>
    <s v="Coordinadora"/>
    <s v="3034185 -84151111369"/>
    <d v="2025-01-21T17:11:07"/>
    <d v="2025-01-22T00:00:00"/>
    <s v="Entregado"/>
    <n v="0"/>
    <n v="1"/>
    <e v="#N/A"/>
    <n v="47133"/>
    <m/>
    <m/>
  </r>
  <r>
    <d v="2025-01-21T00:00:00"/>
    <x v="0"/>
    <n v="2410"/>
    <x v="0"/>
    <s v="German Uchamocha Euscategui"/>
    <s v="TECU2FNG"/>
    <x v="5"/>
    <n v="1"/>
    <x v="1"/>
    <s v="Boyaca"/>
    <s v="Duitama"/>
    <s v="Despachado"/>
    <s v="Coordinadora"/>
    <s v="3034194 -84151111375"/>
    <d v="2025-01-21T17:11:07"/>
    <d v="2025-01-23T00:00:00"/>
    <s v="Entregado"/>
    <n v="0"/>
    <n v="2"/>
    <e v="#N/A"/>
    <n v="59835"/>
    <m/>
    <m/>
  </r>
  <r>
    <d v="2025-01-21T00:00:00"/>
    <x v="0"/>
    <n v="2410"/>
    <x v="0"/>
    <s v="German Uchamocha Euscategui"/>
    <s v="TECUTFE5C"/>
    <x v="29"/>
    <n v="1"/>
    <x v="2"/>
    <s v="Boyaca"/>
    <s v="Duitama"/>
    <s v="Despachado"/>
    <s v="Coordinadora"/>
    <s v="3034195 -84151111376"/>
    <d v="2025-01-21T17:11:07"/>
    <d v="2025-01-23T00:00:00"/>
    <s v="Entregado"/>
    <n v="0"/>
    <n v="2"/>
    <e v="#N/A"/>
    <n v="39078"/>
    <m/>
    <m/>
  </r>
  <r>
    <d v="2025-01-21T00:00:00"/>
    <x v="0"/>
    <n v="2411"/>
    <x v="0"/>
    <s v="Juan David Lagos Rodriguez"/>
    <s v="TECU3FNPRO"/>
    <x v="12"/>
    <n v="1"/>
    <x v="1"/>
    <s v="Bogotá y alrededores"/>
    <s v="Bogota"/>
    <s v="Despachado"/>
    <s v="Coordinadora"/>
    <s v="3034920 -84151111800"/>
    <d v="2025-01-21T17:11:07"/>
    <d v="2025-01-22T00:00:00"/>
    <s v="Entregado"/>
    <n v="0"/>
    <n v="1"/>
    <s v="Cumple"/>
    <n v="42921"/>
    <m/>
    <m/>
  </r>
  <r>
    <d v="2025-01-21T00:00:00"/>
    <x v="0"/>
    <n v="2411"/>
    <x v="0"/>
    <s v="Juan David Lagos Rodriguez"/>
    <s v="TECUROD"/>
    <x v="31"/>
    <n v="1"/>
    <x v="7"/>
    <s v="Bogotá y alrededores"/>
    <s v="Bogota"/>
    <s v="Despachado"/>
    <s v="Coordinadora"/>
    <s v="3034923 -84151111801"/>
    <d v="2025-01-21T17:11:07"/>
    <d v="2025-01-22T00:00:00"/>
    <s v="Entregado"/>
    <n v="0"/>
    <n v="1"/>
    <s v="Cumple"/>
    <n v="23875"/>
    <m/>
    <m/>
  </r>
  <r>
    <d v="2025-01-21T00:00:00"/>
    <x v="0"/>
    <n v="2411"/>
    <x v="0"/>
    <s v="Juan David Lagos Rodriguez"/>
    <m/>
    <x v="10"/>
    <n v="1"/>
    <x v="3"/>
    <s v="Bogotá y alrededores"/>
    <s v="Bogota"/>
    <s v="Instalacion"/>
    <s v="NA"/>
    <s v="NA"/>
    <d v="2025-01-23T00:00:00"/>
    <s v="NA"/>
    <s v="Entregado"/>
    <s v="PTE"/>
    <e v="#VALUE!"/>
    <e v="#VALUE!"/>
    <n v="0"/>
    <m/>
    <m/>
  </r>
  <r>
    <d v="2025-01-14T00:00:00"/>
    <x v="0"/>
    <n v="2388"/>
    <x v="1"/>
    <s v="CAROLINA RAMIREZ RESTREPO"/>
    <s v="TECU2FNG"/>
    <x v="5"/>
    <n v="1"/>
    <x v="1"/>
    <s v="Antioquia"/>
    <s v="Carmen de Viboral"/>
    <s v="Despachado"/>
    <s v="Coordinadora"/>
    <s v="3019490 - 84151105323"/>
    <d v="2025-01-14T00:00:00"/>
    <d v="2025-01-16T00:00:00"/>
    <s v="Entregado"/>
    <n v="0"/>
    <n v="2"/>
    <s v="Cumple"/>
    <n v="112444"/>
    <n v="47258"/>
    <m/>
  </r>
  <r>
    <d v="2025-01-14T00:00:00"/>
    <x v="0"/>
    <n v="2388"/>
    <x v="1"/>
    <s v="CAROLINA RAMIREZ RESTREPO"/>
    <s v="TECUTCO6C"/>
    <x v="16"/>
    <n v="1"/>
    <x v="2"/>
    <s v="Antioquia"/>
    <s v="Carmen de Viboral"/>
    <s v="Despachado"/>
    <s v="Coordinadora"/>
    <s v="3019497 - 84151105325"/>
    <d v="2025-01-14T00:00:00"/>
    <d v="2025-01-16T00:00:00"/>
    <s v="Entregado"/>
    <n v="0"/>
    <n v="2"/>
    <s v="Cumple"/>
    <n v="98264"/>
    <n v="29257"/>
    <m/>
  </r>
  <r>
    <d v="2025-01-13T00:00:00"/>
    <x v="0"/>
    <n v="2366"/>
    <x v="1"/>
    <s v="Steven Hoyos"/>
    <s v="TECUBLS"/>
    <x v="32"/>
    <n v="1"/>
    <x v="0"/>
    <s v="Cauca"/>
    <s v="Popayan"/>
    <s v="Despachado"/>
    <s v="Coordinadora"/>
    <s v="3015860 - 84151103434"/>
    <d v="2025-01-13T00:00:00"/>
    <d v="2025-01-14T00:00:00"/>
    <s v="Entregado"/>
    <n v="0"/>
    <n v="1"/>
    <s v="Cumple"/>
    <n v="25385"/>
    <m/>
    <m/>
  </r>
  <r>
    <d v="2025-01-15T00:00:00"/>
    <x v="0"/>
    <n v="2366"/>
    <x v="2"/>
    <s v="Steven Hoyos"/>
    <s v="TECUBDPA"/>
    <x v="1"/>
    <n v="1"/>
    <x v="0"/>
    <s v="Cauca"/>
    <s v="Popayan"/>
    <s v="Despachado"/>
    <s v="Coordinadora"/>
    <s v="3023584 - 84151107068"/>
    <d v="2025-01-16T00:00:00"/>
    <d v="2025-01-18T00:00:00"/>
    <s v="Entregado"/>
    <n v="1"/>
    <n v="3"/>
    <s v="Cumple"/>
    <n v="24855"/>
    <m/>
    <m/>
  </r>
  <r>
    <d v="2025-01-20T00:00:00"/>
    <x v="0"/>
    <n v="2398"/>
    <x v="1"/>
    <s v="Juan David Martínez Gordillo"/>
    <s v="TECUTCO3C"/>
    <x v="23"/>
    <n v="1"/>
    <x v="2"/>
    <s v="Bogotá y alrededores"/>
    <s v="Bogota"/>
    <s v="Despachado"/>
    <s v="Coordinadora"/>
    <s v="3035292 - 84151112021"/>
    <d v="2025-01-21T00:00:00"/>
    <d v="2025-01-23T00:00:00"/>
    <s v="Entregado"/>
    <n v="1"/>
    <n v="3"/>
    <s v="Cumple"/>
    <n v="27929"/>
    <m/>
    <m/>
  </r>
  <r>
    <d v="2025-01-23T00:00:00"/>
    <x v="0"/>
    <n v="2412"/>
    <x v="0"/>
    <s v="Juan David Lagos Rodriguez"/>
    <s v="TECUCT"/>
    <x v="4"/>
    <n v="1"/>
    <x v="0"/>
    <s v="Bogotá y alrededores"/>
    <s v="Bogota"/>
    <s v="Despachado"/>
    <s v="Coordinadora"/>
    <s v="3038877 -84151113422"/>
    <d v="2025-01-23T00:00:00"/>
    <d v="2025-01-24T00:00:00"/>
    <s v="Entregado"/>
    <n v="0"/>
    <n v="1"/>
    <s v="Cumple"/>
    <n v="24885"/>
    <m/>
    <m/>
  </r>
  <r>
    <d v="2025-01-24T00:00:00"/>
    <x v="0"/>
    <n v="2413"/>
    <x v="0"/>
    <s v="Jorge Luis Monroy Herrera"/>
    <s v="TECU3FNPRO"/>
    <x v="12"/>
    <n v="1"/>
    <x v="1"/>
    <s v="Atlantico"/>
    <s v="Barranquilla"/>
    <s v="Despachado"/>
    <s v="Coordinadora"/>
    <s v="3041057 -84151114405"/>
    <d v="2025-01-24T00:00:00"/>
    <d v="2025-01-27T00:00:00"/>
    <s v="Entregado"/>
    <n v="0"/>
    <n v="2"/>
    <s v="Cumple"/>
    <n v="62467"/>
    <m/>
    <m/>
  </r>
  <r>
    <d v="2025-01-24T00:00:00"/>
    <x v="0"/>
    <n v="2413"/>
    <x v="0"/>
    <s v="Jorge Luis Monroy Herrera"/>
    <s v="TECUTFE8M"/>
    <x v="33"/>
    <n v="1"/>
    <x v="2"/>
    <s v="Atlantico"/>
    <s v="Barranquilla"/>
    <s v="Despachado"/>
    <s v="Coordinadora"/>
    <s v="3041058 -84151114407"/>
    <d v="2025-01-24T00:00:00"/>
    <d v="2025-01-27T00:00:00"/>
    <s v="Entregado"/>
    <n v="0"/>
    <n v="2"/>
    <s v="Cumple"/>
    <n v="44340"/>
    <m/>
    <m/>
  </r>
  <r>
    <d v="2025-01-24T00:00:00"/>
    <x v="0"/>
    <n v="2414"/>
    <x v="0"/>
    <s v="Julio Castellanos"/>
    <s v="TECU3FBRO"/>
    <x v="34"/>
    <n v="1"/>
    <x v="1"/>
    <s v="Bogotá y alrededores"/>
    <s v="Bogota"/>
    <s v="Despachado"/>
    <s v="Coordinadora"/>
    <s v="3041064 -84151114410"/>
    <d v="2025-01-24T00:00:00"/>
    <d v="2025-01-25T00:00:00"/>
    <s v="Entregado"/>
    <n v="0"/>
    <n v="1"/>
    <s v="Cumple"/>
    <n v="42921"/>
    <m/>
    <m/>
  </r>
  <r>
    <d v="2025-01-24T00:00:00"/>
    <x v="0"/>
    <n v="2414"/>
    <x v="0"/>
    <s v="Julio Castellanos"/>
    <s v="TECUTFE7M"/>
    <x v="35"/>
    <n v="1"/>
    <x v="2"/>
    <s v="Bogotá y alrededores"/>
    <s v="Bogota"/>
    <s v="Despachado"/>
    <s v="Coordinadora"/>
    <s v="3041066 -84151114411"/>
    <d v="2025-01-24T00:00:00"/>
    <d v="2025-01-27T00:00:00"/>
    <s v="Entregado"/>
    <n v="0"/>
    <n v="2"/>
    <s v="Cumple"/>
    <n v="24093"/>
    <m/>
    <m/>
  </r>
  <r>
    <d v="2025-01-24T00:00:00"/>
    <x v="0"/>
    <n v="2414"/>
    <x v="0"/>
    <s v="Julio Castellanos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1-24T00:00:00"/>
    <x v="0"/>
    <n v="2415"/>
    <x v="0"/>
    <s v="Julio Castellanos"/>
    <s v="TECUBDPA"/>
    <x v="1"/>
    <n v="1"/>
    <x v="0"/>
    <s v="Bogotá y alrededores"/>
    <s v="Bogota"/>
    <s v="Despachado"/>
    <s v="Coordinadora"/>
    <s v="3041074 -84151114418"/>
    <d v="2025-01-24T00:00:00"/>
    <d v="2025-01-25T00:00:00"/>
    <s v="Entregado"/>
    <n v="0"/>
    <n v="1"/>
    <s v="Cumple"/>
    <n v="16617"/>
    <m/>
    <m/>
  </r>
  <r>
    <d v="2025-01-24T00:00:00"/>
    <x v="0"/>
    <n v="2416"/>
    <x v="0"/>
    <s v="Juan Pablo Romero Bernal"/>
    <s v="TECU2FNG"/>
    <x v="5"/>
    <n v="1"/>
    <x v="1"/>
    <s v="Bogotá y alrededores"/>
    <s v="Bogota"/>
    <s v="Despachado"/>
    <s v="Coordinadora"/>
    <s v="3041082 -84151114424"/>
    <d v="2025-01-24T00:00:00"/>
    <d v="2025-01-28T00:00:00"/>
    <s v="Entregado"/>
    <n v="0"/>
    <n v="3"/>
    <s v="Cumple"/>
    <n v="41593"/>
    <m/>
    <m/>
  </r>
  <r>
    <d v="2025-01-24T00:00:00"/>
    <x v="0"/>
    <n v="2416"/>
    <x v="0"/>
    <s v="Juan Pablo Romero Bernal"/>
    <s v="TECUTFE5C"/>
    <x v="29"/>
    <n v="1"/>
    <x v="2"/>
    <s v="Bogotá y alrededores"/>
    <s v="Bogota"/>
    <s v="Despachado"/>
    <s v="Coordinadora"/>
    <s v="3041083 -84151114425"/>
    <d v="2025-01-24T00:00:00"/>
    <d v="2025-01-28T00:00:00"/>
    <s v="Entregado"/>
    <n v="0"/>
    <n v="3"/>
    <s v="Cumple"/>
    <n v="24093"/>
    <m/>
    <m/>
  </r>
  <r>
    <d v="2025-01-24T00:00:00"/>
    <x v="0"/>
    <n v="2417"/>
    <x v="0"/>
    <s v="Rosemery Carrillo"/>
    <s v="TECU3FNPRO"/>
    <x v="12"/>
    <n v="1"/>
    <x v="1"/>
    <s v="Bogotá y alrededores"/>
    <s v="Bogota"/>
    <s v="Despachado"/>
    <s v="Coordinadora"/>
    <s v="3041165 -84151114467"/>
    <d v="2025-01-24T00:00:00"/>
    <d v="2025-01-27T00:00:00"/>
    <s v="Entregado"/>
    <n v="0"/>
    <n v="2"/>
    <s v="Cumple"/>
    <n v="42921"/>
    <m/>
    <m/>
  </r>
  <r>
    <d v="2025-01-24T00:00:00"/>
    <x v="0"/>
    <n v="2418"/>
    <x v="0"/>
    <s v="Angela Patricia Duque Gutierrez"/>
    <s v="TECU3FNPRO"/>
    <x v="12"/>
    <n v="1"/>
    <x v="1"/>
    <s v="Quindio"/>
    <s v="La tebaida"/>
    <s v="Despachado"/>
    <s v="Entrega directa"/>
    <s v="Entrega en la bodega a la cliente"/>
    <d v="2025-01-24T00:00:00"/>
    <d v="2025-01-24T00:00:00"/>
    <s v="Entregado"/>
    <n v="0"/>
    <n v="0"/>
    <e v="#N/A"/>
    <n v="0"/>
    <m/>
    <m/>
  </r>
  <r>
    <d v="2025-01-24T00:00:00"/>
    <x v="0"/>
    <n v="2419"/>
    <x v="0"/>
    <s v="Ricardo Mesa Gallego"/>
    <s v="TECUCT"/>
    <x v="4"/>
    <n v="1"/>
    <x v="0"/>
    <s v="Antioquia"/>
    <s v="Medellin"/>
    <s v="Despachado"/>
    <s v="Coordinadora"/>
    <s v="3041884 - 84151114874"/>
    <d v="2025-01-24T00:00:00"/>
    <d v="2025-01-25T00:00:00"/>
    <s v="Entregado"/>
    <n v="0"/>
    <n v="1"/>
    <s v="Cumple"/>
    <n v="24885"/>
    <m/>
    <m/>
  </r>
  <r>
    <d v="2025-01-27T00:00:00"/>
    <x v="0"/>
    <n v="2420"/>
    <x v="0"/>
    <s v="Cristian Laguado"/>
    <s v="TECU3FNPRO"/>
    <x v="12"/>
    <n v="1"/>
    <x v="1"/>
    <s v="Bogotá y alrededores"/>
    <s v="Bogota"/>
    <s v="Despachado"/>
    <s v="Coordinadora"/>
    <s v="3053751 - 84151119935"/>
    <d v="2025-01-30T00:00:00"/>
    <d v="2025-02-01T00:00:00"/>
    <s v="Entregado"/>
    <n v="3"/>
    <n v="5"/>
    <s v="No cumple"/>
    <n v="42921"/>
    <m/>
    <m/>
  </r>
  <r>
    <d v="2025-01-27T00:00:00"/>
    <x v="0"/>
    <n v="2420"/>
    <x v="0"/>
    <s v="Cristian Laguado"/>
    <s v="TECUTRM5C"/>
    <x v="27"/>
    <n v="1"/>
    <x v="2"/>
    <s v="Bogotá y alrededores"/>
    <s v="Bogota"/>
    <s v="Despachado"/>
    <s v="Coordinadora"/>
    <s v="3053752 - 84151119936"/>
    <d v="2025-01-30T00:00:00"/>
    <d v="2025-02-04T00:00:00"/>
    <s v="Entregado"/>
    <n v="3"/>
    <n v="7"/>
    <s v="No cumple"/>
    <n v="24593"/>
    <m/>
    <m/>
  </r>
  <r>
    <d v="2025-01-27T00:00:00"/>
    <x v="0"/>
    <n v="2421"/>
    <x v="0"/>
    <s v="Carlos Salazar"/>
    <s v="TECUROD"/>
    <x v="31"/>
    <n v="1"/>
    <x v="7"/>
    <s v="Tolima"/>
    <s v="Ibague"/>
    <s v="Despachado"/>
    <s v="Coordinadora"/>
    <s v="3048222 - 84151117369"/>
    <d v="2025-01-28T00:00:00"/>
    <d v="2025-01-29T00:00:00"/>
    <s v="Entregado"/>
    <n v="1"/>
    <n v="2"/>
    <s v="Cumple"/>
    <n v="23875"/>
    <m/>
    <m/>
  </r>
  <r>
    <d v="2025-01-27T00:00:00"/>
    <x v="0"/>
    <n v="2422"/>
    <x v="0"/>
    <s v="Juan Angulo"/>
    <s v="TECUCT"/>
    <x v="4"/>
    <n v="1"/>
    <x v="0"/>
    <s v="Atlantico"/>
    <s v="Barranquilla"/>
    <s v="Despachado"/>
    <s v="Coordinadora"/>
    <s v="3048263 - 84151117376"/>
    <d v="2025-01-28T00:00:00"/>
    <d v="2025-01-30T00:00:00"/>
    <s v="Entregado"/>
    <n v="1"/>
    <n v="3"/>
    <s v="Cumple"/>
    <n v="24885"/>
    <m/>
    <m/>
  </r>
  <r>
    <d v="2025-01-28T00:00:00"/>
    <x v="0"/>
    <n v="2423"/>
    <x v="0"/>
    <s v="Octavio De La Hoz Franco"/>
    <s v="TECU3FBRO"/>
    <x v="34"/>
    <n v="1"/>
    <x v="1"/>
    <s v="Atlantico"/>
    <s v="Barranquilla"/>
    <s v="Despachado"/>
    <s v="Coordinadora"/>
    <s v="3049137 - 84151117798"/>
    <d v="2025-01-28T00:00:00"/>
    <d v="2025-02-01T00:00:00"/>
    <s v="Entregado"/>
    <n v="0"/>
    <n v="4"/>
    <s v="Cumple"/>
    <n v="62647"/>
    <m/>
    <m/>
  </r>
  <r>
    <d v="2025-01-28T00:00:00"/>
    <x v="0"/>
    <n v="2423"/>
    <x v="0"/>
    <s v="Octavio De La Hoz Franco"/>
    <s v="TECUTB20C"/>
    <x v="36"/>
    <n v="1"/>
    <x v="2"/>
    <s v="Atlantico"/>
    <s v="Barranquilla"/>
    <s v="Despachado"/>
    <s v="Coordinadora"/>
    <s v="3049139 - 84151117799"/>
    <d v="2025-01-28T00:00:00"/>
    <d v="2025-02-01T00:00:00"/>
    <s v="Entregado"/>
    <n v="0"/>
    <n v="4"/>
    <s v="Cumple"/>
    <n v="44340"/>
    <m/>
    <m/>
  </r>
  <r>
    <d v="2025-01-28T00:00:00"/>
    <x v="0"/>
    <n v="2424"/>
    <x v="0"/>
    <s v="CARLOS ARTURO REYES ESCOBAR"/>
    <s v="TECU3FNPRO"/>
    <x v="12"/>
    <n v="1"/>
    <x v="1"/>
    <s v="Valle del Cauca"/>
    <s v="Cali"/>
    <s v="Despachado"/>
    <s v="Coordinadora"/>
    <s v="3050418 - 84151118335"/>
    <d v="2025-01-29T00:00:00"/>
    <d v="2025-01-31T00:00:00"/>
    <s v="Entregado"/>
    <n v="1"/>
    <n v="3"/>
    <s v="Cumple"/>
    <n v="42921"/>
    <m/>
    <m/>
  </r>
  <r>
    <d v="2025-01-28T00:00:00"/>
    <x v="0"/>
    <n v="2424"/>
    <x v="0"/>
    <s v="CARLOS ARTURO REYES ESCOBAR"/>
    <s v="TECUTCO2C"/>
    <x v="37"/>
    <n v="1"/>
    <x v="2"/>
    <s v="Valle del Cauca"/>
    <s v="Cali"/>
    <s v="Despachado"/>
    <s v="Coordinadora"/>
    <s v="3050419 - 84151118336"/>
    <d v="2025-01-29T00:00:00"/>
    <d v="2025-01-31T00:00:00"/>
    <s v="Entregado"/>
    <n v="1"/>
    <n v="3"/>
    <s v="Cumple"/>
    <n v="28741"/>
    <m/>
    <m/>
  </r>
  <r>
    <d v="2025-01-29T00:00:00"/>
    <x v="0"/>
    <n v="2425"/>
    <x v="0"/>
    <s v="Manuel eduardo Valdez mantero"/>
    <s v="TECU3FBRO"/>
    <x v="34"/>
    <n v="1"/>
    <x v="1"/>
    <s v="Bogotá y alrededores"/>
    <s v="Bogota"/>
    <s v="Despachado"/>
    <s v="Coordinadora"/>
    <s v="3050613 - 84151118456"/>
    <d v="2025-01-29T00:00:00"/>
    <d v="2025-01-31T00:00:00"/>
    <s v="Entregado"/>
    <n v="0"/>
    <n v="2"/>
    <s v="Cumple"/>
    <n v="42921"/>
    <m/>
    <m/>
  </r>
  <r>
    <d v="2025-01-29T00:00:00"/>
    <x v="0"/>
    <n v="2425"/>
    <x v="0"/>
    <s v="Manuel eduardo Valdez mantero"/>
    <s v="TECUTB7C"/>
    <x v="38"/>
    <n v="1"/>
    <x v="2"/>
    <s v="Bogotá y alrededores"/>
    <s v="Bogota"/>
    <s v="Despachado"/>
    <s v="Coordinadora"/>
    <s v="3050615 - 84151118457"/>
    <d v="2025-01-29T00:00:00"/>
    <d v="2025-01-31T00:00:00"/>
    <s v="Entregado"/>
    <n v="0"/>
    <n v="2"/>
    <s v="Cumple"/>
    <n v="24093"/>
    <m/>
    <m/>
  </r>
  <r>
    <d v="2025-01-30T00:00:00"/>
    <x v="0"/>
    <n v="2426"/>
    <x v="0"/>
    <s v="Rodrigo Rivera"/>
    <s v="TECU3FNPRO"/>
    <x v="12"/>
    <n v="1"/>
    <x v="1"/>
    <s v="Valle del Cauca"/>
    <s v="Cali"/>
    <s v="Despachado"/>
    <s v="Coordinadora"/>
    <s v="3052581 - 84151119369"/>
    <d v="2025-01-30T00:00:00"/>
    <d v="2025-02-01T00:00:00"/>
    <s v="Entregado"/>
    <n v="0"/>
    <n v="2"/>
    <s v="Cumple"/>
    <n v="42921"/>
    <m/>
    <m/>
  </r>
  <r>
    <d v="2025-01-30T00:00:00"/>
    <x v="0"/>
    <n v="2426"/>
    <x v="0"/>
    <s v="Rodrigo Rivera"/>
    <s v="TECUTCO8C"/>
    <x v="19"/>
    <n v="1"/>
    <x v="2"/>
    <s v="Valle del Cauca"/>
    <s v="Cali"/>
    <s v="Despachado"/>
    <s v="Coordinadora"/>
    <s v="3052583 - 84151119370"/>
    <d v="2025-01-30T00:00:00"/>
    <d v="2025-02-01T00:00:00"/>
    <s v="Entregado"/>
    <n v="0"/>
    <n v="2"/>
    <s v="Cumple"/>
    <n v="26749"/>
    <m/>
    <m/>
  </r>
  <r>
    <d v="2025-01-30T00:00:00"/>
    <x v="0"/>
    <n v="2427"/>
    <x v="0"/>
    <s v="María Manuela Bueno Tavera"/>
    <s v="TECU3FBRO"/>
    <x v="34"/>
    <n v="1"/>
    <x v="1"/>
    <s v="Bogotá y alrededores"/>
    <s v="Bogota"/>
    <s v="Despachado"/>
    <s v="Coordinadora"/>
    <s v="3053317 - 84151119704"/>
    <d v="2025-01-30T00:00:00"/>
    <d v="2025-01-31T00:00:00"/>
    <s v="Entregado"/>
    <n v="0"/>
    <n v="1"/>
    <s v="Cumple"/>
    <n v="42921"/>
    <m/>
    <m/>
  </r>
  <r>
    <d v="2025-01-30T00:00:00"/>
    <x v="0"/>
    <n v="2427"/>
    <x v="0"/>
    <s v="María Manuela Bueno Tavera"/>
    <s v="TECUTFE3C"/>
    <x v="39"/>
    <n v="1"/>
    <x v="2"/>
    <s v="Bogotá y alrededores"/>
    <s v="Bogota"/>
    <s v="Despachado"/>
    <s v="Coordinadora"/>
    <s v="3053318 - 84151119705"/>
    <d v="2025-01-30T00:00:00"/>
    <d v="2025-01-31T00:00:00"/>
    <s v="Entregado"/>
    <n v="0"/>
    <n v="1"/>
    <s v="Cumple"/>
    <n v="28741"/>
    <m/>
    <m/>
  </r>
  <r>
    <d v="2025-01-30T00:00:00"/>
    <x v="0"/>
    <n v="2428"/>
    <x v="0"/>
    <s v="Nicolas Enciso Calle"/>
    <s v="TECU2FNG"/>
    <x v="5"/>
    <n v="1"/>
    <x v="1"/>
    <s v="Antioquia"/>
    <s v="Medellin"/>
    <s v="Despachado"/>
    <s v="Coordinadora"/>
    <s v="3053377 - 84151119723"/>
    <d v="2025-01-30T00:00:00"/>
    <d v="2025-01-31T00:00:00"/>
    <s v="Entregado"/>
    <n v="0"/>
    <n v="1"/>
    <s v="Cumple"/>
    <n v="41593"/>
    <m/>
    <m/>
  </r>
  <r>
    <d v="2025-01-30T00:00:00"/>
    <x v="0"/>
    <n v="2428"/>
    <x v="0"/>
    <s v="Nicolas Enciso Calle"/>
    <s v="TECUTRN6C"/>
    <x v="20"/>
    <n v="1"/>
    <x v="2"/>
    <s v="Antioquia"/>
    <s v="Medellin"/>
    <s v="Despachado"/>
    <s v="Coordinadora"/>
    <s v="3053379 - 84151119725"/>
    <d v="2025-01-30T00:00:00"/>
    <d v="2025-01-31T00:00:00"/>
    <s v="Entregado"/>
    <n v="0"/>
    <n v="1"/>
    <s v="Cumple"/>
    <n v="24093"/>
    <m/>
    <m/>
  </r>
  <r>
    <d v="2025-01-31T00:00:00"/>
    <x v="0"/>
    <n v="2429"/>
    <x v="0"/>
    <s v="Geovanny Mendoza Gonzalez"/>
    <s v="TECU3FNPRO"/>
    <x v="12"/>
    <n v="1"/>
    <x v="1"/>
    <s v="Atlantico"/>
    <s v="Barranquilla"/>
    <s v="Despachado"/>
    <s v="Coordinadora"/>
    <s v="3059087 - 84151121970"/>
    <d v="2025-02-03T00:00:00"/>
    <d v="2025-02-05T00:00:00"/>
    <s v="Entregado"/>
    <n v="2"/>
    <n v="4"/>
    <s v="Cumple"/>
    <n v="62467"/>
    <m/>
    <m/>
  </r>
  <r>
    <d v="2025-01-31T00:00:00"/>
    <x v="0"/>
    <n v="2429"/>
    <x v="0"/>
    <s v="Geovanny Mendoza Gonzalez"/>
    <s v="TECUTCO5M"/>
    <x v="40"/>
    <n v="1"/>
    <x v="2"/>
    <s v="Atlantico"/>
    <s v="Barranquilla"/>
    <s v="Despachado"/>
    <s v="Coordinadora"/>
    <s v="3059089 - 84151121971"/>
    <d v="2025-02-03T00:00:00"/>
    <d v="2025-02-05T00:00:00"/>
    <s v="Entregado"/>
    <n v="2"/>
    <n v="4"/>
    <s v="Cumple"/>
    <n v="39078"/>
    <m/>
    <m/>
  </r>
  <r>
    <d v="2025-01-31T00:00:00"/>
    <x v="0"/>
    <n v="2430"/>
    <x v="0"/>
    <s v="john ibanez"/>
    <s v="TECU3FNPRO"/>
    <x v="12"/>
    <n v="1"/>
    <x v="1"/>
    <s v="Bogotá y alrededores"/>
    <s v="Bogota"/>
    <s v="Despachado"/>
    <s v="Coordinadora"/>
    <s v="3059099 - 84151121978"/>
    <d v="2025-02-03T00:00:00"/>
    <d v="2025-02-05T00:00:00"/>
    <s v="Entregado"/>
    <n v="2"/>
    <n v="4"/>
    <s v="No cumple"/>
    <n v="42921"/>
    <m/>
    <m/>
  </r>
  <r>
    <d v="2025-01-31T00:00:00"/>
    <x v="0"/>
    <n v="2430"/>
    <x v="0"/>
    <s v="john ibanez"/>
    <s v="TECUTCO8C"/>
    <x v="19"/>
    <n v="1"/>
    <x v="2"/>
    <s v="Bogotá y alrededores"/>
    <s v="Bogota"/>
    <s v="Despachado"/>
    <s v="Coordinadora"/>
    <s v="3059100 - 84151121979"/>
    <d v="2025-02-03T00:00:00"/>
    <d v="2025-02-05T00:00:00"/>
    <s v="Entregado"/>
    <n v="2"/>
    <n v="4"/>
    <s v="No cumple"/>
    <n v="26749"/>
    <m/>
    <m/>
  </r>
  <r>
    <d v="2025-01-31T00:00:00"/>
    <x v="0"/>
    <n v="2430"/>
    <x v="0"/>
    <s v="john ibanez"/>
    <s v="TECUROD"/>
    <x v="31"/>
    <n v="1"/>
    <x v="7"/>
    <s v="Bogotá y alrededores"/>
    <s v="Bogota"/>
    <s v="Despachado"/>
    <s v="Coordinadora"/>
    <s v="3059107 - 84151121983"/>
    <d v="2025-02-03T00:00:00"/>
    <d v="2025-02-05T00:00:00"/>
    <s v="Entregado"/>
    <n v="2"/>
    <n v="4"/>
    <s v="No cumple"/>
    <n v="23875"/>
    <m/>
    <m/>
  </r>
  <r>
    <d v="2025-02-02T00:00:00"/>
    <x v="1"/>
    <n v="2431"/>
    <x v="0"/>
    <s v="Patricia Luna Pamplona"/>
    <s v="TECU3FBRO"/>
    <x v="34"/>
    <n v="1"/>
    <x v="1"/>
    <s v="Bogotá y alrededores"/>
    <s v="Bogota"/>
    <s v="Despachado"/>
    <s v="Coordinadora"/>
    <s v="3059121 - 84151121990"/>
    <d v="2025-02-03T00:00:00"/>
    <d v="2025-02-07T00:00:00"/>
    <s v="Entregado"/>
    <n v="0"/>
    <n v="4"/>
    <s v="No cumple"/>
    <n v="42921"/>
    <m/>
    <m/>
  </r>
  <r>
    <d v="2025-02-02T00:00:00"/>
    <x v="1"/>
    <n v="2431"/>
    <x v="0"/>
    <s v="Patricia Luna Pamplona"/>
    <s v="TECUTB5M"/>
    <x v="41"/>
    <n v="1"/>
    <x v="2"/>
    <s v="Bogotá y alrededores"/>
    <s v="Bogota"/>
    <s v="Despachado"/>
    <s v="Coordinadora"/>
    <s v="3059122 - 84151121991"/>
    <d v="2025-02-03T00:00:00"/>
    <d v="2025-02-05T00:00:00"/>
    <s v="Entregado"/>
    <n v="0"/>
    <n v="2"/>
    <s v="Cumple"/>
    <n v="24093"/>
    <m/>
    <m/>
  </r>
  <r>
    <d v="2025-02-02T00:00:00"/>
    <x v="1"/>
    <n v="2431"/>
    <x v="0"/>
    <s v="Patricia Luna Pamplona"/>
    <s v="TECUBDPM"/>
    <x v="0"/>
    <n v="1"/>
    <x v="0"/>
    <s v="Bogotá y alrededores"/>
    <s v="Bogota"/>
    <s v="Despachado"/>
    <s v="Coordinadora"/>
    <s v="3059143 - 84151122002"/>
    <d v="2025-02-03T00:00:00"/>
    <d v="2025-02-05T00:00:00"/>
    <s v="Entregado"/>
    <n v="0"/>
    <n v="2"/>
    <s v="Cumple"/>
    <n v="16617"/>
    <m/>
    <m/>
  </r>
  <r>
    <d v="2025-02-02T00:00:00"/>
    <x v="1"/>
    <n v="2432"/>
    <x v="0"/>
    <s v="Edgar Federico Rodríguez Aranda"/>
    <s v="TECURCC"/>
    <x v="42"/>
    <n v="1"/>
    <x v="6"/>
    <s v="Bogotá y alrededores"/>
    <s v="Bogota"/>
    <s v="Despachado"/>
    <s v="Coordinadora"/>
    <s v="3059168 - 84151122021"/>
    <d v="2025-02-03T00:00:00"/>
    <d v="2025-02-06T00:00:00"/>
    <s v="Entregado"/>
    <n v="0"/>
    <n v="3"/>
    <s v="Cumple"/>
    <n v="23429"/>
    <m/>
    <m/>
  </r>
  <r>
    <d v="2025-02-02T00:00:00"/>
    <x v="1"/>
    <n v="2433"/>
    <x v="0"/>
    <s v="Laura Yepes Aranda"/>
    <s v="TECU3FNPRO"/>
    <x v="12"/>
    <n v="1"/>
    <x v="1"/>
    <s v="Antioquia"/>
    <s v="Medellin"/>
    <s v="Despachado"/>
    <s v="Coordinadora"/>
    <s v="3064792 - 84151123684"/>
    <d v="2025-02-04T00:00:00"/>
    <d v="2025-02-05T00:00:00"/>
    <s v="Entregado"/>
    <n v="1"/>
    <n v="2"/>
    <s v="Cumple"/>
    <n v="42921"/>
    <m/>
    <m/>
  </r>
  <r>
    <d v="2025-02-02T00:00:00"/>
    <x v="1"/>
    <n v="2433"/>
    <x v="0"/>
    <s v="Laura Yepes Aranda"/>
    <s v="TECUTFE7M"/>
    <x v="35"/>
    <n v="1"/>
    <x v="2"/>
    <s v="Antioquia"/>
    <s v="Medellin"/>
    <s v="Despachado"/>
    <s v="Coordinadora"/>
    <s v="3064793 - 84151123685"/>
    <d v="2025-02-04T00:00:00"/>
    <d v="2025-02-05T00:00:00"/>
    <s v="Entregado"/>
    <n v="1"/>
    <n v="2"/>
    <s v="Cumple"/>
    <n v="24093"/>
    <m/>
    <m/>
  </r>
  <r>
    <d v="2025-02-02T00:00:00"/>
    <x v="1"/>
    <n v="2433"/>
    <x v="0"/>
    <s v="Laura Yepes Aranda"/>
    <s v="TECUAFE"/>
    <x v="43"/>
    <n v="1"/>
    <x v="5"/>
    <s v="Antioquia"/>
    <s v="Medellin"/>
    <s v="Despachado"/>
    <s v="Envia"/>
    <s v="3067195 - 954101143183"/>
    <d v="2025-02-04T00:00:00"/>
    <d v="2025-02-06T00:00:00"/>
    <s v="Entregado"/>
    <n v="1"/>
    <n v="3"/>
    <s v="Cumple"/>
    <n v="65682"/>
    <m/>
    <m/>
  </r>
  <r>
    <d v="2025-02-02T00:00:00"/>
    <x v="1"/>
    <n v="2433"/>
    <x v="0"/>
    <s v="Laura Yepes Aranda"/>
    <s v="TECUBLS"/>
    <x v="32"/>
    <n v="1"/>
    <x v="0"/>
    <s v="Antioquia"/>
    <s v="Medellin"/>
    <s v="Despachado"/>
    <s v="Coordinadora"/>
    <s v="3064802 -84151123689"/>
    <d v="2025-02-04T00:00:00"/>
    <d v="2025-02-05T00:00:00"/>
    <s v="Entregado"/>
    <n v="1"/>
    <n v="2"/>
    <s v="Cumple"/>
    <n v="24885"/>
    <m/>
    <m/>
  </r>
  <r>
    <d v="2025-02-03T00:00:00"/>
    <x v="1"/>
    <n v="2434"/>
    <x v="0"/>
    <s v="Darwin Saenz"/>
    <s v="TECUACO"/>
    <x v="15"/>
    <n v="1"/>
    <x v="5"/>
    <s v="Bogotá y alrededores"/>
    <s v="Bogota"/>
    <s v="Despachado"/>
    <s v="Envia"/>
    <s v="3067483 - 954101143262"/>
    <d v="2025-02-04T00:00:00"/>
    <d v="2025-02-06T00:00:00"/>
    <s v="Entregado"/>
    <n v="1"/>
    <n v="3"/>
    <s v="Cumple"/>
    <n v="54929"/>
    <m/>
    <m/>
  </r>
  <r>
    <d v="2025-02-03T00:00:00"/>
    <x v="1"/>
    <n v="2435"/>
    <x v="0"/>
    <s v="Andres Adolfo Hernandez Celis"/>
    <s v="TECU3FNPRO"/>
    <x v="12"/>
    <n v="1"/>
    <x v="1"/>
    <s v="Bogotá y alrededores"/>
    <s v="Bogota"/>
    <s v="Despachado"/>
    <s v="Coordinadora"/>
    <s v="3064808 - 84151123691"/>
    <d v="2025-02-04T00:00:00"/>
    <d v="2025-02-06T00:00:00"/>
    <s v="Entregado"/>
    <n v="1"/>
    <n v="3"/>
    <s v="Cumple"/>
    <n v="42921"/>
    <m/>
    <m/>
  </r>
  <r>
    <d v="2025-02-03T00:00:00"/>
    <x v="1"/>
    <n v="2435"/>
    <x v="0"/>
    <s v="Andres Adolfo Hernandez Celis"/>
    <s v="TECUTCO8C"/>
    <x v="19"/>
    <n v="1"/>
    <x v="2"/>
    <s v="Bogotá y alrededores"/>
    <s v="Bogota"/>
    <s v="Despachado"/>
    <s v="Coordinadora"/>
    <s v="3064809 - 84151123692"/>
    <d v="2025-02-04T00:00:00"/>
    <d v="2025-02-06T00:00:00"/>
    <s v="Entregado"/>
    <n v="1"/>
    <n v="3"/>
    <s v="Cumple"/>
    <n v="26749"/>
    <m/>
    <m/>
  </r>
  <r>
    <d v="2025-02-03T00:00:00"/>
    <x v="1"/>
    <n v="2435"/>
    <x v="0"/>
    <s v="Andres Adolfo Hernandez Celis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2-04T00:00:00"/>
    <x v="1"/>
    <n v="2436"/>
    <x v="0"/>
    <s v="Jorge Andrés Martin González"/>
    <s v="TECU3FNPRO"/>
    <x v="12"/>
    <n v="1"/>
    <x v="1"/>
    <s v="Bogotá y alrededores"/>
    <s v="Bogota"/>
    <s v="Despachado"/>
    <s v="Coordinadora"/>
    <s v="3064827 - 84151123703"/>
    <d v="2025-02-04T00:00:00"/>
    <d v="2025-02-06T00:00:00"/>
    <s v="Entregado"/>
    <n v="0"/>
    <n v="2"/>
    <s v="Cumple"/>
    <n v="42921"/>
    <m/>
    <m/>
  </r>
  <r>
    <d v="2025-02-10T00:00:00"/>
    <x v="1"/>
    <n v="2437"/>
    <x v="0"/>
    <s v="Luis Angel Hernandez Barreto"/>
    <s v="TECU3FNPRO"/>
    <x v="12"/>
    <n v="1"/>
    <x v="1"/>
    <s v="Bogotá y alrededores"/>
    <s v="Madrid"/>
    <s v="Despachado"/>
    <s v="Coordinadora"/>
    <s v="3076529 - 84151128765"/>
    <d v="2025-02-10T00:00:00"/>
    <d v="2025-02-12T00:00:00"/>
    <s v="Entregado"/>
    <n v="0"/>
    <n v="2"/>
    <e v="#N/A"/>
    <n v="42921"/>
    <m/>
    <m/>
  </r>
  <r>
    <d v="2025-02-10T00:00:00"/>
    <x v="1"/>
    <n v="2437"/>
    <x v="0"/>
    <s v="Luis Angel Hernandez Barreto"/>
    <s v="TECUTFE4C"/>
    <x v="14"/>
    <n v="1"/>
    <x v="2"/>
    <s v="Bogotá y alrededores"/>
    <s v="Madrid"/>
    <s v="Despachado"/>
    <s v="Coordinadora"/>
    <s v="3076530 - 84151128766"/>
    <d v="2025-02-10T00:00:00"/>
    <d v="2025-02-12T00:00:00"/>
    <s v="Entregado"/>
    <n v="0"/>
    <n v="2"/>
    <e v="#N/A"/>
    <n v="24093"/>
    <m/>
    <m/>
  </r>
  <r>
    <d v="2025-02-10T00:00:00"/>
    <x v="1"/>
    <n v="2438"/>
    <x v="0"/>
    <s v="Alejandro León Marín"/>
    <s v="TECU3FNPRO"/>
    <x v="12"/>
    <n v="1"/>
    <x v="1"/>
    <s v="Bogotá y alrededores"/>
    <s v="Bogota"/>
    <s v="Despachado"/>
    <s v="Coordinadora"/>
    <s v="3076861 - 84151128959"/>
    <d v="2025-02-10T00:00:00"/>
    <d v="2025-02-12T00:00:00"/>
    <s v="Entregado"/>
    <n v="0"/>
    <n v="2"/>
    <s v="Cumple"/>
    <n v="42921"/>
    <m/>
    <m/>
  </r>
  <r>
    <d v="2025-02-10T00:00:00"/>
    <x v="1"/>
    <n v="2438"/>
    <x v="0"/>
    <s v="Alejandro León Marín"/>
    <s v="TECUTCO6C"/>
    <x v="16"/>
    <n v="1"/>
    <x v="2"/>
    <s v="Bogotá y alrededores"/>
    <s v="Bogota"/>
    <s v="Despachado"/>
    <s v="Coordinadora"/>
    <s v="3076862 - 84151128960"/>
    <d v="2025-02-10T00:00:00"/>
    <d v="2025-02-12T00:00:00"/>
    <s v="Entregado"/>
    <n v="0"/>
    <n v="2"/>
    <s v="Cumple"/>
    <n v="24093"/>
    <m/>
    <m/>
  </r>
  <r>
    <d v="2025-02-10T00:00:00"/>
    <x v="1"/>
    <n v="2438"/>
    <x v="0"/>
    <s v="Alejandro León Marín"/>
    <s v="TECUBDPM"/>
    <x v="0"/>
    <n v="1"/>
    <x v="0"/>
    <s v="Bogotá y alrededores"/>
    <s v="Bogota"/>
    <s v="Despachado"/>
    <s v="Coordinadora"/>
    <s v="3076871 - 84151128965"/>
    <d v="2025-02-10T00:00:00"/>
    <d v="2025-02-12T00:00:00"/>
    <s v="Entregado"/>
    <n v="0"/>
    <n v="2"/>
    <s v="Cumple"/>
    <n v="16617"/>
    <m/>
    <m/>
  </r>
  <r>
    <d v="2025-02-10T00:00:00"/>
    <x v="1"/>
    <n v="2438"/>
    <x v="0"/>
    <s v="Alejandro León Marín"/>
    <s v="TECUCT"/>
    <x v="4"/>
    <n v="1"/>
    <x v="0"/>
    <s v="Bogotá y alrededores"/>
    <s v="Bogota"/>
    <s v="Despachado"/>
    <s v="Coordinadora"/>
    <s v="3076866 - 84151128963"/>
    <d v="2025-02-10T00:00:00"/>
    <d v="2025-02-12T00:00:00"/>
    <s v="Entregado"/>
    <n v="0"/>
    <n v="2"/>
    <s v="Cumple"/>
    <n v="24885"/>
    <m/>
    <m/>
  </r>
  <r>
    <d v="2025-02-10T00:00:00"/>
    <x v="1"/>
    <n v="2438"/>
    <x v="0"/>
    <s v="Alejandro León Marín"/>
    <m/>
    <x v="10"/>
    <n v="1"/>
    <x v="3"/>
    <s v="Bogotá y alrededores"/>
    <s v="Bogota"/>
    <s v="Instalacion"/>
    <s v="NA"/>
    <s v="NA"/>
    <s v="NA"/>
    <s v="NA"/>
    <s v="Entregado"/>
    <m/>
    <m/>
    <m/>
    <n v="0"/>
    <m/>
    <m/>
  </r>
  <r>
    <d v="2025-02-11T00:00:00"/>
    <x v="1"/>
    <n v="2439"/>
    <x v="0"/>
    <s v="SARA GALLON"/>
    <s v="TECU3FNPRO"/>
    <x v="12"/>
    <n v="1"/>
    <x v="1"/>
    <s v="Antioquia"/>
    <s v="Medellin"/>
    <s v="Despachado"/>
    <s v="Coordinadora"/>
    <s v="3079084 - 84151129998"/>
    <d v="2025-02-11T00:00:00"/>
    <d v="2025-02-12T00:00:00"/>
    <s v="Entregado"/>
    <n v="0"/>
    <n v="1"/>
    <s v="Cumple"/>
    <n v="42921"/>
    <m/>
    <m/>
  </r>
  <r>
    <d v="2025-02-11T00:00:00"/>
    <x v="1"/>
    <n v="2440"/>
    <x v="0"/>
    <s v="Johanna Rodero"/>
    <s v="TECUAB"/>
    <x v="44"/>
    <n v="1"/>
    <x v="5"/>
    <s v="Bogotá y alrededores"/>
    <s v="Bogota"/>
    <s v="Despachado"/>
    <s v="Coordinadora"/>
    <s v="3079174 - 954101147482"/>
    <d v="2025-02-11T00:00:00"/>
    <d v="2025-02-12T00:00:00"/>
    <s v="Entregado"/>
    <n v="0"/>
    <n v="1"/>
    <s v="Cumple"/>
    <n v="54929"/>
    <m/>
    <m/>
  </r>
  <r>
    <d v="2025-02-11T00:00:00"/>
    <x v="1"/>
    <n v="2441"/>
    <x v="0"/>
    <s v="Sebastian Casas"/>
    <s v="TECULFN2"/>
    <x v="7"/>
    <n v="1"/>
    <x v="1"/>
    <s v="Bogotá y alrededores"/>
    <s v="Bogota"/>
    <s v="Despachado"/>
    <s v="Coordinadora"/>
    <s v="3079240 - 84151130081"/>
    <d v="2025-02-11T00:00:00"/>
    <d v="2025-02-12T00:00:00"/>
    <s v="Entregado"/>
    <n v="0"/>
    <n v="1"/>
    <s v="Cumple"/>
    <n v="62530"/>
    <m/>
    <m/>
  </r>
  <r>
    <d v="2025-02-11T00:00:00"/>
    <x v="1"/>
    <n v="2441"/>
    <x v="0"/>
    <s v="Sebastian Casas"/>
    <s v="TECUTLCCS"/>
    <x v="45"/>
    <n v="1"/>
    <x v="2"/>
    <s v="Bogotá y alrededores"/>
    <s v="Bogota"/>
    <s v="Despachado"/>
    <s v="Coordinadora"/>
    <s v="3079242 - 84151130082"/>
    <d v="2025-02-11T00:00:00"/>
    <d v="2025-02-12T00:00:00"/>
    <s v="Entregado"/>
    <n v="0"/>
    <n v="1"/>
    <s v="Cumple"/>
    <n v="26749"/>
    <m/>
    <m/>
  </r>
  <r>
    <d v="2025-02-13T00:00:00"/>
    <x v="1"/>
    <n v="2442"/>
    <x v="0"/>
    <s v="Camilo Pimentel Gomez"/>
    <s v="TECU2FNG"/>
    <x v="5"/>
    <n v="1"/>
    <x v="1"/>
    <s v="Bogotá y alrededores"/>
    <s v="Bogota"/>
    <s v="Despachado"/>
    <s v="Coordinadora"/>
    <s v="3084198 - 84151132452"/>
    <d v="2025-02-13T00:00:00"/>
    <d v="2025-02-15T00:00:00"/>
    <s v="Entregado"/>
    <n v="0"/>
    <n v="2"/>
    <s v="Cumple"/>
    <n v="41593"/>
    <m/>
    <m/>
  </r>
  <r>
    <d v="2025-02-13T00:00:00"/>
    <x v="1"/>
    <n v="2442"/>
    <x v="0"/>
    <s v="Camilo Pimentel Gomez"/>
    <s v="TECUTCO2C"/>
    <x v="37"/>
    <n v="1"/>
    <x v="2"/>
    <s v="Bogotá y alrededores"/>
    <s v="Bogota"/>
    <s v="Despachado"/>
    <s v="Coordinadora"/>
    <s v="3084199 - 84151132453"/>
    <d v="2025-02-13T00:00:00"/>
    <d v="2025-02-17T00:00:00"/>
    <s v="Entregado"/>
    <n v="0"/>
    <n v="3"/>
    <s v="Cumple"/>
    <n v="24093"/>
    <m/>
    <m/>
  </r>
  <r>
    <d v="2025-02-14T00:00:00"/>
    <x v="1"/>
    <n v="2443"/>
    <x v="0"/>
    <s v="rodrigo rivera alarcon"/>
    <s v="TECU3FNPRO"/>
    <x v="12"/>
    <n v="1"/>
    <x v="1"/>
    <s v="Valle del Cauca"/>
    <s v="Cali"/>
    <s v="Despachado"/>
    <s v="Coordinadora"/>
    <s v="3085936 - 84151133206"/>
    <d v="2025-02-14T00:00:00"/>
    <d v="2025-02-15T00:00:00"/>
    <s v="Entregado"/>
    <n v="0"/>
    <n v="1"/>
    <s v="Cumple"/>
    <n v="42921"/>
    <m/>
    <m/>
  </r>
  <r>
    <d v="2025-02-14T00:00:00"/>
    <x v="1"/>
    <n v="2443"/>
    <x v="0"/>
    <s v="rodrigo rivera alarcon"/>
    <s v="TECUTCO6C"/>
    <x v="16"/>
    <n v="1"/>
    <x v="2"/>
    <s v="Valle del Cauca"/>
    <s v="Cali"/>
    <s v="Despachado"/>
    <s v="Coordinadora"/>
    <s v="3085937 - 84151133207"/>
    <d v="2025-02-14T00:00:00"/>
    <d v="2025-02-15T00:00:00"/>
    <s v="Entregado"/>
    <n v="0"/>
    <n v="1"/>
    <s v="Cumple"/>
    <n v="24093"/>
    <m/>
    <m/>
  </r>
  <r>
    <d v="2025-02-14T00:00:00"/>
    <x v="1"/>
    <n v="2444"/>
    <x v="0"/>
    <s v="Antonella Ramirez"/>
    <s v="TECU2FBGO"/>
    <x v="2"/>
    <n v="1"/>
    <x v="1"/>
    <s v="Risaralda"/>
    <s v="Pereira"/>
    <s v="Despachado"/>
    <s v="Coordinadora"/>
    <s v="3090347 - 84151134931"/>
    <d v="2025-02-17T00:00:00"/>
    <d v="2025-02-18T00:00:00"/>
    <s v="Entregado"/>
    <n v="2"/>
    <n v="3"/>
    <s v="Cumple"/>
    <n v="34156"/>
    <m/>
    <m/>
  </r>
  <r>
    <d v="2025-02-14T00:00:00"/>
    <x v="1"/>
    <n v="2444"/>
    <x v="0"/>
    <s v="Antonella Ramirez"/>
    <s v="TECUTB3C"/>
    <x v="46"/>
    <n v="1"/>
    <x v="2"/>
    <s v="Risaralda"/>
    <s v="Pereira"/>
    <s v="Despachado"/>
    <s v="Coordinadora"/>
    <s v="3090348 - 84151134932"/>
    <d v="2025-02-17T00:00:00"/>
    <d v="2025-02-18T00:00:00"/>
    <s v="Entregado"/>
    <n v="2"/>
    <n v="3"/>
    <s v="Cumple"/>
    <n v="15194"/>
    <m/>
    <m/>
  </r>
  <r>
    <d v="2025-02-17T00:00:00"/>
    <x v="1"/>
    <n v="2445"/>
    <x v="0"/>
    <s v="Andres Torres"/>
    <s v="TECUROD"/>
    <x v="31"/>
    <n v="2"/>
    <x v="7"/>
    <s v="Bogotá y alrededores"/>
    <s v="Bogota"/>
    <s v="Despachado"/>
    <s v="Coordinadora"/>
    <s v="3090669 - 84151135081"/>
    <d v="2025-02-17T00:00:00"/>
    <d v="2025-02-18T00:00:00"/>
    <s v="Entregado"/>
    <n v="0"/>
    <n v="1"/>
    <s v="Cumple"/>
    <n v="23875"/>
    <m/>
    <m/>
  </r>
  <r>
    <d v="2025-02-17T00:00:00"/>
    <x v="1"/>
    <n v="2446"/>
    <x v="0"/>
    <s v="Shorelight Education Colombia SAS"/>
    <s v="TECU2FNG"/>
    <x v="5"/>
    <n v="1"/>
    <x v="1"/>
    <s v="Bogotá y alrededores"/>
    <s v="Bogota"/>
    <s v="Despachado"/>
    <s v="Coordinadora"/>
    <s v="3091001 - 84151135253"/>
    <d v="2025-02-17T00:00:00"/>
    <d v="2025-02-18T00:00:00"/>
    <s v="Entregado"/>
    <n v="0"/>
    <n v="1"/>
    <s v="Cumple"/>
    <n v="41593"/>
    <m/>
    <m/>
  </r>
  <r>
    <d v="2025-02-17T00:00:00"/>
    <x v="1"/>
    <n v="2446"/>
    <x v="0"/>
    <s v="Shorelight Education Colombia SAS"/>
    <s v="TECUTCO3C"/>
    <x v="23"/>
    <n v="1"/>
    <x v="2"/>
    <s v="Bogotá y alrededores"/>
    <s v="Bogota"/>
    <s v="Despachado"/>
    <s v="Coordinadora"/>
    <s v="3091002 - 84151135254"/>
    <d v="2025-02-17T00:00:00"/>
    <d v="2025-02-18T00:00:00"/>
    <s v="Entregado"/>
    <n v="0"/>
    <n v="1"/>
    <s v="Cumple"/>
    <n v="24093"/>
    <m/>
    <m/>
  </r>
  <r>
    <d v="2025-02-17T00:00:00"/>
    <x v="1"/>
    <n v="2447"/>
    <x v="0"/>
    <s v="INMOTICA LTDA"/>
    <s v="TECU3FNPRO"/>
    <x v="12"/>
    <n v="1"/>
    <x v="1"/>
    <s v="Bogotá y alrededores"/>
    <s v="Bogota"/>
    <s v="Despachado"/>
    <s v="Coordinadora"/>
    <s v="3093202 - 84151136273"/>
    <d v="2025-02-18T00:00:00"/>
    <d v="2025-02-19T00:00:00"/>
    <s v="Entregado"/>
    <n v="1"/>
    <n v="2"/>
    <s v="Cumple"/>
    <n v="42921"/>
    <m/>
    <m/>
  </r>
  <r>
    <d v="2025-02-17T00:00:00"/>
    <x v="1"/>
    <n v="2447"/>
    <x v="0"/>
    <s v="INMOTICA LTDA"/>
    <s v="TECUTFE6M"/>
    <x v="47"/>
    <n v="1"/>
    <x v="2"/>
    <s v="Bogotá y alrededores"/>
    <s v="Bogota"/>
    <s v="Despachado"/>
    <s v="Coordinadora"/>
    <s v="3093203 - 84151136274"/>
    <d v="2025-02-18T00:00:00"/>
    <d v="2025-02-20T00:00:00"/>
    <s v="Entregado"/>
    <n v="1"/>
    <n v="3"/>
    <s v="Cumple"/>
    <n v="24093"/>
    <m/>
    <m/>
  </r>
  <r>
    <d v="2025-02-18T00:00:00"/>
    <x v="1"/>
    <n v="2448"/>
    <x v="0"/>
    <s v="Maria Bueno"/>
    <s v="TECU2FBGO"/>
    <x v="2"/>
    <n v="1"/>
    <x v="1"/>
    <s v="Bogotá y alrededores"/>
    <s v="Bogota"/>
    <s v="Despachado"/>
    <s v="Coordinadora"/>
    <s v="3093212 - 84151136283"/>
    <d v="2025-02-18T00:00:00"/>
    <d v="2025-02-19T00:00:00"/>
    <s v="Entregado"/>
    <n v="0"/>
    <n v="1"/>
    <s v="Cumple"/>
    <n v="41593"/>
    <m/>
    <m/>
  </r>
  <r>
    <d v="2025-02-18T00:00:00"/>
    <x v="1"/>
    <n v="2448"/>
    <x v="0"/>
    <s v="Maria Bueno"/>
    <s v="TECUTFE4C"/>
    <x v="14"/>
    <n v="1"/>
    <x v="2"/>
    <s v="Bogotá y alrededores"/>
    <s v="Bogota"/>
    <s v="Despachado"/>
    <s v="Coordinadora"/>
    <s v="3093214 - 84151136284"/>
    <d v="2025-02-18T00:00:00"/>
    <d v="2025-02-20T00:00:00"/>
    <s v="Entregado"/>
    <n v="0"/>
    <n v="2"/>
    <s v="Cumple"/>
    <n v="24093"/>
    <m/>
    <m/>
  </r>
  <r>
    <d v="2025-02-18T00:00:00"/>
    <x v="1"/>
    <n v="2448"/>
    <x v="0"/>
    <s v="Maria Bueno"/>
    <s v="TECUAFE"/>
    <x v="43"/>
    <n v="1"/>
    <x v="5"/>
    <s v="Bogotá y alrededores"/>
    <s v="Bogota"/>
    <s v="Despachado"/>
    <s v="Envia"/>
    <s v="3093235 - 954101152921"/>
    <d v="2025-02-18T00:00:00"/>
    <d v="2025-02-19T00:00:00"/>
    <s v="Entregado"/>
    <n v="0"/>
    <n v="1"/>
    <s v="Cumple"/>
    <n v="54929"/>
    <m/>
    <m/>
  </r>
  <r>
    <d v="2025-02-18T00:00:00"/>
    <x v="1"/>
    <n v="2448"/>
    <x v="0"/>
    <s v="Maria Bueno"/>
    <s v="TECUBDPM"/>
    <x v="0"/>
    <n v="1"/>
    <x v="0"/>
    <s v="Bogotá y alrededores"/>
    <s v="Bogota"/>
    <s v="Despachado"/>
    <s v="Coordinadora"/>
    <s v="3093225 - 84151136289"/>
    <d v="2025-02-18T00:00:00"/>
    <d v="2025-02-19T00:00:00"/>
    <s v="Entregado"/>
    <n v="0"/>
    <n v="1"/>
    <s v="Cumple"/>
    <n v="16617"/>
    <m/>
    <m/>
  </r>
  <r>
    <d v="2025-02-19T00:00:00"/>
    <x v="1"/>
    <n v="2449"/>
    <x v="0"/>
    <s v="Esteban de Bedout"/>
    <s v="TECUACO"/>
    <x v="15"/>
    <n v="1"/>
    <x v="5"/>
    <s v="Bogotá y alrededores"/>
    <s v="Bogota"/>
    <s v="Despachado"/>
    <s v="Envia"/>
    <s v="3094269 - 954101153161"/>
    <d v="2025-02-18T00:00:00"/>
    <d v="2025-02-19T00:00:00"/>
    <s v="Entregado"/>
    <n v="-3"/>
    <n v="0"/>
    <s v="Cumple"/>
    <n v="65682"/>
    <m/>
    <m/>
  </r>
  <r>
    <d v="2025-02-19T00:00:00"/>
    <x v="1"/>
    <n v="2450"/>
    <x v="0"/>
    <s v="Antonia Estrada"/>
    <s v="TECU2FNG"/>
    <x v="5"/>
    <n v="1"/>
    <x v="1"/>
    <s v="Antioquia"/>
    <s v="Envigado"/>
    <s v="Despachado"/>
    <s v="Coordinadora"/>
    <s v="3096424 - 84151137576"/>
    <d v="2025-02-18T00:00:00"/>
    <d v="2025-02-20T00:00:00"/>
    <s v="Entregado"/>
    <n v="-3"/>
    <n v="1"/>
    <s v="Cumple"/>
    <n v="41593"/>
    <m/>
    <m/>
  </r>
  <r>
    <d v="2025-02-19T00:00:00"/>
    <x v="1"/>
    <n v="2450"/>
    <x v="0"/>
    <s v="Antonia Estrada"/>
    <s v="TECUTRN6C"/>
    <x v="20"/>
    <n v="1"/>
    <x v="2"/>
    <s v="Antioquia"/>
    <s v="Envigado"/>
    <s v="Despachado"/>
    <s v="Coordinadora"/>
    <s v="3096425 - 84151137577"/>
    <d v="2025-02-18T00:00:00"/>
    <d v="2025-02-20T00:00:00"/>
    <s v="Entregado"/>
    <n v="-3"/>
    <n v="1"/>
    <s v="Cumple"/>
    <n v="24093"/>
    <m/>
    <m/>
  </r>
  <r>
    <d v="2025-02-19T00:00:00"/>
    <x v="1"/>
    <n v="2451"/>
    <x v="0"/>
    <s v="ZAFERI SAS"/>
    <s v="TECUACC"/>
    <x v="48"/>
    <n v="1"/>
    <x v="5"/>
    <s v="Antioquia"/>
    <s v="Envigado"/>
    <s v="Despachado"/>
    <s v="Envia"/>
    <s v="3097652 - 954101154334"/>
    <d v="2025-02-19T00:00:00"/>
    <d v="2025-02-20T00:00:00"/>
    <s v="Entregado"/>
    <n v="0"/>
    <n v="1"/>
    <s v="Cumple"/>
    <n v="65682"/>
    <m/>
    <m/>
  </r>
  <r>
    <d v="2025-02-19T00:00:00"/>
    <x v="1"/>
    <n v="2451"/>
    <x v="0"/>
    <s v="ZAFERI SAS"/>
    <s v="TECUCT"/>
    <x v="4"/>
    <n v="1"/>
    <x v="0"/>
    <s v="Antioquia"/>
    <s v="Envigado"/>
    <s v="Despachado"/>
    <s v="Envia"/>
    <s v="3097666 - 954101154347"/>
    <d v="2025-02-19T00:00:00"/>
    <d v="2025-02-20T00:00:00"/>
    <s v="Entregado"/>
    <n v="0"/>
    <n v="1"/>
    <s v="Cumple"/>
    <n v="20376"/>
    <m/>
    <m/>
  </r>
  <r>
    <d v="2025-02-23T00:00:00"/>
    <x v="1"/>
    <n v="2452"/>
    <x v="0"/>
    <s v="Daniel Corrales"/>
    <s v="TECULFN2"/>
    <x v="7"/>
    <n v="1"/>
    <x v="1"/>
    <s v="Bogotá y alrededores"/>
    <s v="Bogota"/>
    <s v="Despachado"/>
    <s v="Coordinadora"/>
    <s v="3105541 - 84151141166"/>
    <d v="2025-02-24T00:00:00"/>
    <d v="2025-02-26T00:00:00"/>
    <s v="Entregado"/>
    <n v="0"/>
    <n v="2"/>
    <s v="Cumple"/>
    <n v="62530"/>
    <m/>
    <m/>
  </r>
  <r>
    <d v="2025-02-23T00:00:00"/>
    <x v="1"/>
    <n v="2452"/>
    <x v="0"/>
    <s v="Daniel Corrales"/>
    <s v="TECUTLCCS"/>
    <x v="45"/>
    <n v="1"/>
    <x v="2"/>
    <s v="Bogotá y alrededores"/>
    <s v="Bogota"/>
    <s v="Despachado"/>
    <s v="Coordinadora"/>
    <s v="3105542 - 84151141167"/>
    <d v="2025-02-24T00:00:00"/>
    <d v="2025-02-26T00:00:00"/>
    <s v="Entregado"/>
    <n v="0"/>
    <n v="2"/>
    <s v="Cumple"/>
    <n v="25749"/>
    <m/>
    <m/>
  </r>
  <r>
    <d v="2025-02-05T00:00:00"/>
    <x v="1"/>
    <n v="2430"/>
    <x v="1"/>
    <s v="john ibanez"/>
    <s v="TECUTCO8C"/>
    <x v="19"/>
    <n v="1"/>
    <x v="2"/>
    <s v="Bogotá y alrededores"/>
    <s v="Bogota"/>
    <s v="Despachado"/>
    <s v="Coordinadora"/>
    <s v="3069906 - 954101144256"/>
    <d v="2025-02-06T00:00:00"/>
    <d v="2025-02-07T00:00:00"/>
    <s v="Entregado"/>
    <n v="1"/>
    <n v="2"/>
    <s v="Cumple"/>
    <n v="30834"/>
    <m/>
    <m/>
  </r>
  <r>
    <d v="2025-02-24T00:00:00"/>
    <x v="1"/>
    <n v="2454"/>
    <x v="0"/>
    <s v="Kevin Lopez"/>
    <s v="TECU2FNG"/>
    <x v="5"/>
    <n v="1"/>
    <x v="1"/>
    <s v="Bogotá y alrededores"/>
    <s v="Mosquera"/>
    <s v="Despachado"/>
    <s v="Coordinadora"/>
    <s v="3109084 -84151142667"/>
    <d v="2025-02-25T00:00:00"/>
    <d v="2025-02-27T15:00:19"/>
    <s v="Entregado"/>
    <n v="1"/>
    <n v="3"/>
    <s v="Cumple"/>
    <n v="41593"/>
    <m/>
    <m/>
  </r>
  <r>
    <d v="2025-02-24T00:00:00"/>
    <x v="1"/>
    <n v="2454"/>
    <x v="0"/>
    <s v="Kevin Lopez"/>
    <s v="TECUTFE4C"/>
    <x v="14"/>
    <n v="1"/>
    <x v="2"/>
    <s v="Bogotá y alrededores"/>
    <s v="Mosquera"/>
    <s v="Despachado"/>
    <s v="Coordinadora"/>
    <s v="3109085 -84151142668"/>
    <d v="2025-02-25T00:00:00"/>
    <d v="2025-02-27T15:05:28"/>
    <s v="Entregado"/>
    <n v="1"/>
    <n v="3"/>
    <s v="Cumple"/>
    <n v="24093"/>
    <m/>
    <m/>
  </r>
  <r>
    <d v="2025-02-25T00:00:00"/>
    <x v="1"/>
    <n v="2455"/>
    <x v="0"/>
    <s v="Kevin Lopez"/>
    <s v="TECU2FBGO"/>
    <x v="2"/>
    <n v="1"/>
    <x v="1"/>
    <s v="Bogotá y alrededores"/>
    <s v="Mosquera"/>
    <s v="Despachado"/>
    <s v="Coordinadora"/>
    <s v="3109094 -84151142672"/>
    <d v="2025-02-25T00:00:00"/>
    <d v="2025-02-27T15:05:28"/>
    <s v="Entregado"/>
    <n v="0"/>
    <n v="2"/>
    <s v="Cumple"/>
    <n v="41593"/>
    <m/>
    <m/>
  </r>
  <r>
    <d v="2025-02-25T00:00:00"/>
    <x v="1"/>
    <n v="2455"/>
    <x v="0"/>
    <s v="Kevin Lopez"/>
    <s v="TECUTFE4C"/>
    <x v="14"/>
    <n v="1"/>
    <x v="2"/>
    <s v="Bogotá y alrededores"/>
    <s v="Mosquera"/>
    <s v="Despachado"/>
    <s v="Coordinadora"/>
    <s v="3109095 -84151142673"/>
    <d v="2025-02-25T00:00:00"/>
    <d v="2025-02-27T15:00:19"/>
    <s v="Entregado"/>
    <n v="0"/>
    <n v="2"/>
    <s v="Cumple"/>
    <n v="24093"/>
    <m/>
    <m/>
  </r>
  <r>
    <d v="2025-02-25T00:00:00"/>
    <x v="1"/>
    <n v="2456"/>
    <x v="0"/>
    <s v="Juan Daniel Tobar Parada / SERVICIOS ESTRATEGICOS CMH, SAPI DE CV"/>
    <s v="TECU3FNPRO"/>
    <x v="12"/>
    <n v="1"/>
    <x v="1"/>
    <s v="Bogotá y alrededores"/>
    <s v="Bogota"/>
    <s v="Despachado"/>
    <s v="Coordinadora"/>
    <s v="3109970 -84151143085"/>
    <d v="2025-02-26T00:00:00"/>
    <d v="2025-02-27T12:17:44"/>
    <s v="Entregado"/>
    <n v="1"/>
    <n v="2"/>
    <s v="Cumple"/>
    <n v="42921"/>
    <m/>
    <m/>
  </r>
  <r>
    <d v="2025-02-25T00:00:00"/>
    <x v="1"/>
    <n v="2456"/>
    <x v="0"/>
    <s v="Juan Daniel Tobar Parada / SERVICIOS ESTRATEGICOS CMH, SAPI DE CV"/>
    <s v="TECUTRN2C"/>
    <x v="11"/>
    <n v="1"/>
    <x v="2"/>
    <s v="Bogotá y alrededores"/>
    <s v="Bogota"/>
    <s v="Despachado"/>
    <s v="Coordinadora"/>
    <s v="3109971 -84151143086"/>
    <d v="2025-02-26T00:00:00"/>
    <d v="2025-02-27T12:17:44"/>
    <s v="Entregado"/>
    <n v="1"/>
    <n v="2"/>
    <s v="Cumple"/>
    <n v="28741"/>
    <m/>
    <m/>
  </r>
  <r>
    <d v="2025-02-26T00:00:00"/>
    <x v="1"/>
    <n v="2457"/>
    <x v="0"/>
    <s v="Santiago Patiño"/>
    <s v="TECU3FNPRO"/>
    <x v="12"/>
    <n v="1"/>
    <x v="1"/>
    <s v="Antioquia"/>
    <s v="Medellin"/>
    <s v="Despachado"/>
    <s v="Coordinadora"/>
    <s v="3112625 -84151144131"/>
    <d v="2025-02-27T00:00:00"/>
    <d v="2025-02-28T00:00:00"/>
    <s v="Entregado"/>
    <n v="1"/>
    <n v="2"/>
    <s v="Cumple"/>
    <n v="42921"/>
    <m/>
    <m/>
  </r>
  <r>
    <d v="2025-02-26T00:00:00"/>
    <x v="1"/>
    <n v="2457"/>
    <x v="0"/>
    <s v="Santiago Patiño"/>
    <s v="TECUTCO4C"/>
    <x v="6"/>
    <n v="1"/>
    <x v="2"/>
    <s v="Antioquia"/>
    <s v="Medellin"/>
    <s v="Despachado"/>
    <s v="Coordinadora"/>
    <s v="3112627 -84151144132"/>
    <d v="2025-02-27T00:00:00"/>
    <d v="2025-02-27T09:53:23"/>
    <s v="Entregado"/>
    <n v="1"/>
    <n v="1"/>
    <s v="Cumple"/>
    <n v="24093"/>
    <m/>
    <m/>
  </r>
  <r>
    <d v="2025-02-26T00:00:00"/>
    <x v="1"/>
    <n v="2457"/>
    <x v="0"/>
    <s v="Santiago Patiño"/>
    <s v="TECUROD"/>
    <x v="31"/>
    <n v="1"/>
    <x v="7"/>
    <s v="Antioquia"/>
    <s v="Medellin"/>
    <s v="Despachado"/>
    <s v="Coordinadora"/>
    <s v="3112637 -84151144139"/>
    <d v="2025-02-27T00:00:00"/>
    <d v="2025-02-27T09:53:23"/>
    <s v="Entregado"/>
    <n v="1"/>
    <n v="1"/>
    <s v="Cumple"/>
    <n v="23875"/>
    <m/>
    <m/>
  </r>
  <r>
    <d v="2025-02-27T00:00:00"/>
    <x v="1"/>
    <n v="2458"/>
    <x v="0"/>
    <s v="Laura Romero"/>
    <s v="TECU2FBGO"/>
    <x v="2"/>
    <n v="1"/>
    <x v="1"/>
    <s v="Bogotá y alrededores"/>
    <s v="Cajica"/>
    <s v="Despachado"/>
    <s v="Coordinadora"/>
    <s v="3117134 -84151145965"/>
    <d v="2025-02-28T00:00:00"/>
    <d v="2025-03-03T14:06:50"/>
    <s v="Entregado"/>
    <n v="1"/>
    <n v="3"/>
    <s v="Cumple"/>
    <n v="41593"/>
    <m/>
    <m/>
  </r>
  <r>
    <d v="2025-02-27T00:00:00"/>
    <x v="1"/>
    <n v="2458"/>
    <x v="0"/>
    <s v="Laura Romero"/>
    <s v="TECUTFE4C"/>
    <x v="14"/>
    <n v="1"/>
    <x v="2"/>
    <s v="Bogotá y alrededores"/>
    <s v="Cajica"/>
    <s v="Despachado"/>
    <s v="Coordinadora"/>
    <s v="3117136 -84151145966"/>
    <d v="2025-02-28T00:00:00"/>
    <d v="2025-03-03T14:06:50"/>
    <s v="Entregado"/>
    <n v="1"/>
    <n v="3"/>
    <s v="Cumple"/>
    <n v="24093"/>
    <m/>
    <m/>
  </r>
  <r>
    <d v="2025-02-27T00:00:00"/>
    <x v="1"/>
    <n v="2458"/>
    <x v="0"/>
    <s v="Laura Romero"/>
    <s v="TECUROD"/>
    <x v="31"/>
    <n v="1"/>
    <x v="7"/>
    <s v="Bogotá y alrededores"/>
    <s v="Cajica"/>
    <s v="Despachado"/>
    <s v="Coordinadora"/>
    <s v="3117170 -84151145983"/>
    <d v="2025-02-28T00:00:00"/>
    <d v="2025-03-03T14:06:50"/>
    <s v="Entregado"/>
    <n v="1"/>
    <n v="3"/>
    <s v="Cumple"/>
    <n v="23875"/>
    <m/>
    <m/>
  </r>
  <r>
    <d v="2025-02-28T00:00:00"/>
    <x v="1"/>
    <n v="2459"/>
    <x v="0"/>
    <s v="Oscar Mauricio Pacheco Saavedra"/>
    <s v="TECUBDPA"/>
    <x v="1"/>
    <n v="1"/>
    <x v="0"/>
    <s v="Antioquia"/>
    <s v="Envigado"/>
    <s v="Despachado"/>
    <s v="Coordinadora"/>
    <s v="3117207 -84151145988"/>
    <d v="2025-02-28T00:00:00"/>
    <d v="2025-03-01T13:52:27"/>
    <s v="Entregado"/>
    <n v="0"/>
    <n v="1"/>
    <s v="Cumple"/>
    <n v="16617"/>
    <m/>
    <m/>
  </r>
  <r>
    <d v="2025-02-28T00:00:00"/>
    <x v="1"/>
    <n v="2460"/>
    <x v="0"/>
    <s v="Juan Daniel Tobar Parada / SERVICIOS ESTRATEGICOS CMH, SAPI DE CV"/>
    <s v="TECUCT"/>
    <x v="4"/>
    <n v="1"/>
    <x v="0"/>
    <s v="Bogotá y alrededores"/>
    <s v="Bogota"/>
    <s v="Despachado"/>
    <s v="Coordinadora"/>
    <s v="3117224 -84151145997"/>
    <d v="2025-02-28T00:00:00"/>
    <d v="2025-03-01T17:16:43"/>
    <s v="Entregado"/>
    <n v="0"/>
    <n v="1"/>
    <s v="Cumple"/>
    <n v="24885"/>
    <m/>
    <m/>
  </r>
  <r>
    <d v="2025-02-28T00:00:00"/>
    <x v="1"/>
    <n v="2461"/>
    <x v="0"/>
    <s v="Afranio Cardona Gomez"/>
    <s v="TECU3FNPRO"/>
    <x v="12"/>
    <n v="1"/>
    <x v="1"/>
    <s v="Santander"/>
    <s v="Bucaramanga"/>
    <s v="Despachado"/>
    <s v="Coordinadora"/>
    <s v="3144602 - 84151157538"/>
    <d v="2025-03-10T00:00:00"/>
    <d v="2025-03-11T00:00:00"/>
    <s v="Entregado"/>
    <n v="8"/>
    <n v="9"/>
    <s v="No cumple"/>
    <n v="56077"/>
    <m/>
    <m/>
  </r>
  <r>
    <d v="2025-02-28T00:00:00"/>
    <x v="1"/>
    <n v="2461"/>
    <x v="0"/>
    <s v="Afranio Cardona Gomez"/>
    <s v="TECUTRM8C"/>
    <x v="49"/>
    <n v="1"/>
    <x v="2"/>
    <s v="Santander"/>
    <s v="Bucaramanga"/>
    <s v="Despachado"/>
    <s v="Coordinadora"/>
    <s v="3144603 - 84151157539"/>
    <d v="2025-03-10T00:00:00"/>
    <d v="2025-03-11T00:00:00"/>
    <s v="Entregado"/>
    <n v="8"/>
    <n v="9"/>
    <s v="No cumple"/>
    <n v="39089"/>
    <m/>
    <m/>
  </r>
  <r>
    <d v="2025-02-28T00:00:00"/>
    <x v="1"/>
    <n v="2461"/>
    <x v="0"/>
    <s v="Afranio Cardona Gomez"/>
    <s v="TECUACO"/>
    <x v="15"/>
    <n v="1"/>
    <x v="5"/>
    <s v="Santander"/>
    <s v="Bucaramanga"/>
    <s v="Despachado"/>
    <s v="Envia"/>
    <s v="3138978 - 954101168244"/>
    <d v="2025-03-07T00:00:00"/>
    <d v="2025-03-10T00:00:00"/>
    <s v="Entregado"/>
    <n v="6"/>
    <n v="8"/>
    <s v="No cumple"/>
    <n v="112490"/>
    <m/>
    <m/>
  </r>
  <r>
    <d v="2025-02-28T00:00:00"/>
    <x v="1"/>
    <n v="2461"/>
    <x v="0"/>
    <s v="Afranio Cardona Gomez"/>
    <s v="TECUBDPA"/>
    <x v="1"/>
    <n v="1"/>
    <x v="0"/>
    <s v="Santander"/>
    <s v="Bucaramanga"/>
    <s v="Despachado"/>
    <s v="Coordinadora"/>
    <s v="3144699 - 84151157571"/>
    <d v="2025-03-10T00:00:00"/>
    <d v="2025-03-11T00:00:00"/>
    <s v="Entregado"/>
    <n v="8"/>
    <n v="9"/>
    <s v="No cumple"/>
    <n v="16617"/>
    <m/>
    <m/>
  </r>
  <r>
    <d v="2025-02-28T00:00:00"/>
    <x v="1"/>
    <n v="2461"/>
    <x v="0"/>
    <s v="Afranio Cardona Gomez"/>
    <s v="TECUCT"/>
    <x v="4"/>
    <n v="1"/>
    <x v="0"/>
    <s v="Santander"/>
    <s v="Bucaramanga"/>
    <s v="Despachado"/>
    <s v="Coordinadora"/>
    <s v="3144610 - 84151157543"/>
    <d v="2025-03-10T00:00:00"/>
    <d v="2025-03-11T00:00:00"/>
    <s v="Entregado"/>
    <n v="8"/>
    <n v="9"/>
    <s v="No cumple"/>
    <n v="24885"/>
    <m/>
    <m/>
  </r>
  <r>
    <d v="2025-03-01T00:00:00"/>
    <x v="2"/>
    <n v="2462"/>
    <x v="0"/>
    <s v="Jhon Anderson Monroy Cardenas"/>
    <s v="TECU3FNPRO"/>
    <x v="12"/>
    <n v="1"/>
    <x v="1"/>
    <s v="Antioquia"/>
    <s v="Medellin"/>
    <s v="Despachado"/>
    <s v="Coordinadora"/>
    <s v="3121638 -84151148036"/>
    <d v="2025-03-03T15:51:33"/>
    <d v="2025-03-04T10:03:23"/>
    <s v="Entregado"/>
    <n v="1"/>
    <n v="2"/>
    <s v="Cumple"/>
    <n v="42921"/>
    <m/>
    <m/>
  </r>
  <r>
    <d v="2025-03-01T00:00:00"/>
    <x v="2"/>
    <n v="2462"/>
    <x v="0"/>
    <s v="Jhon Anderson Monroy Cardenas"/>
    <s v="TECUTB8M"/>
    <x v="50"/>
    <n v="1"/>
    <x v="2"/>
    <s v="Antioquia"/>
    <s v="Medellin"/>
    <s v="Despachado"/>
    <s v="Coordinadora"/>
    <s v="3121640 -84151148037"/>
    <d v="2025-03-03T15:51:33"/>
    <d v="2025-03-04T10:20:02"/>
    <s v="Entregado"/>
    <n v="1"/>
    <n v="2"/>
    <s v="Cumple"/>
    <n v="26749"/>
    <m/>
    <m/>
  </r>
  <r>
    <d v="2025-03-02T00:00:00"/>
    <x v="2"/>
    <n v="2463"/>
    <x v="0"/>
    <s v="Jorge Delgado"/>
    <s v="TECU2FBGO"/>
    <x v="2"/>
    <n v="1"/>
    <x v="1"/>
    <s v="Valle del Cauca"/>
    <s v="Cali"/>
    <s v="Despachado"/>
    <s v="Coordinadora"/>
    <s v="3121907 -84151148156"/>
    <d v="2025-03-03T15:51:33"/>
    <d v="2025-03-04T11:34:12"/>
    <s v="Entregado"/>
    <n v="0"/>
    <n v="1"/>
    <s v="Cumple"/>
    <n v="41593"/>
    <m/>
    <m/>
  </r>
  <r>
    <d v="2025-03-02T00:00:00"/>
    <x v="2"/>
    <n v="2463"/>
    <x v="0"/>
    <s v="Jorge Delgado"/>
    <s v="TECUTFE3C"/>
    <x v="39"/>
    <n v="1"/>
    <x v="2"/>
    <s v="Valle del Cauca"/>
    <s v="Cali"/>
    <s v="Despachado"/>
    <s v="Coordinadora"/>
    <s v="3121913 -84151148159"/>
    <d v="2025-03-03T15:51:33"/>
    <d v="2025-03-04T11:34:12"/>
    <s v="Entregado"/>
    <n v="0"/>
    <n v="1"/>
    <s v="Cumple"/>
    <n v="24093"/>
    <m/>
    <m/>
  </r>
  <r>
    <d v="2025-03-03T00:00:00"/>
    <x v="2"/>
    <n v="2464"/>
    <x v="0"/>
    <s v="Juan David Herrera Martinez"/>
    <s v="TECU3FBRO"/>
    <x v="34"/>
    <n v="1"/>
    <x v="1"/>
    <s v="Antioquia"/>
    <s v="Medellin"/>
    <s v="Despachado"/>
    <s v="Coordinadora"/>
    <s v="3121937 -84151148173"/>
    <d v="2025-03-03T15:51:33"/>
    <d v="2025-03-04T10:07:44"/>
    <s v="Entregado"/>
    <n v="0"/>
    <n v="1"/>
    <s v="Cumple"/>
    <n v="42921"/>
    <m/>
    <m/>
  </r>
  <r>
    <d v="2025-03-03T00:00:00"/>
    <x v="2"/>
    <n v="2464"/>
    <x v="0"/>
    <s v="Juan David Herrera Martinez"/>
    <s v="TECUTFE5C"/>
    <x v="29"/>
    <n v="1"/>
    <x v="2"/>
    <s v="Antioquia"/>
    <s v="Medellin"/>
    <s v="Despachado"/>
    <s v="Coordinadora"/>
    <s v="3121938 -84151148174"/>
    <d v="2025-03-03T15:51:33"/>
    <d v="2025-03-04T10:07:44"/>
    <s v="Entregado"/>
    <n v="0"/>
    <n v="1"/>
    <s v="Cumple"/>
    <n v="24093"/>
    <m/>
    <m/>
  </r>
  <r>
    <d v="2025-03-03T00:00:00"/>
    <x v="2"/>
    <n v="2465"/>
    <x v="0"/>
    <s v="Luis Gabriel García Ramírez"/>
    <s v="TECU3FBRO"/>
    <x v="34"/>
    <n v="1"/>
    <x v="1"/>
    <s v="Antioquia"/>
    <s v="Marinilla"/>
    <s v="Despachado"/>
    <s v="Coordinadora"/>
    <s v="3127560 -84151149937"/>
    <d v="2025-03-04T15:47:29"/>
    <d v="2025-03-05T18:20:04"/>
    <s v="Entregado"/>
    <n v="1"/>
    <n v="2"/>
    <s v="Cumple"/>
    <n v="42921"/>
    <m/>
    <m/>
  </r>
  <r>
    <d v="2025-03-03T00:00:00"/>
    <x v="2"/>
    <n v="2465"/>
    <x v="0"/>
    <s v="Luis Gabriel García Ramírez"/>
    <s v="TECUTFE5C"/>
    <x v="29"/>
    <n v="1"/>
    <x v="2"/>
    <s v="Antioquia"/>
    <s v="Marinilla"/>
    <s v="Despachado"/>
    <s v="Coordinadora"/>
    <s v="3127562 -84151149938"/>
    <d v="2025-03-04T15:47:29"/>
    <d v="2025-03-05T18:20:04"/>
    <s v="Entregado"/>
    <n v="1"/>
    <n v="2"/>
    <s v="Cumple"/>
    <n v="24093"/>
    <m/>
    <m/>
  </r>
  <r>
    <d v="2025-03-03T00:00:00"/>
    <x v="2"/>
    <n v="2466"/>
    <x v="0"/>
    <s v="Jorge Alberto Eslava Cogollos"/>
    <s v="TECURCO"/>
    <x v="30"/>
    <n v="1"/>
    <x v="6"/>
    <s v="Bogotá y alrededores"/>
    <s v="Bogota"/>
    <s v="Despachado"/>
    <s v="Coordinadora"/>
    <s v="3127712 -84151150031"/>
    <d v="2025-03-04T15:47:29"/>
    <d v="2025-03-06T09:33:29"/>
    <s v="Entregado"/>
    <n v="1"/>
    <n v="3"/>
    <s v="Cumple"/>
    <n v="23429"/>
    <m/>
    <m/>
  </r>
  <r>
    <d v="2025-03-04T00:00:00"/>
    <x v="2"/>
    <n v="2467"/>
    <x v="0"/>
    <s v="Camilo Luna"/>
    <s v="TECU3FNPRO"/>
    <x v="12"/>
    <n v="1"/>
    <x v="1"/>
    <s v="Bogotá y alrededores"/>
    <s v="Bogota"/>
    <s v="Despachado"/>
    <s v="Coordinadora"/>
    <s v="3127532 - 84151149926"/>
    <d v="2025-03-04T00:00:00"/>
    <d v="2025-03-05T00:00:00"/>
    <s v="Entregado"/>
    <n v="0"/>
    <n v="1"/>
    <s v="Cumple"/>
    <n v="42921"/>
    <m/>
    <m/>
  </r>
  <r>
    <d v="2025-03-04T00:00:00"/>
    <x v="2"/>
    <n v="2467"/>
    <x v="0"/>
    <s v="Camilo Luna"/>
    <s v="TECUTCO8C"/>
    <x v="19"/>
    <n v="1"/>
    <x v="2"/>
    <s v="Bogotá y alrededores"/>
    <s v="Bogota"/>
    <s v="Despachado"/>
    <s v="Coordinadora"/>
    <s v="3127533 - 84151149927"/>
    <d v="2025-03-04T00:00:00"/>
    <d v="2025-03-06T00:00:00"/>
    <s v="Entregado"/>
    <n v="0"/>
    <n v="2"/>
    <s v="Cumple"/>
    <n v="26749"/>
    <m/>
    <m/>
  </r>
  <r>
    <d v="2025-03-04T00:00:00"/>
    <x v="2"/>
    <n v="2467"/>
    <x v="0"/>
    <s v="Camilo Luna"/>
    <s v="TECUACO"/>
    <x v="15"/>
    <n v="1"/>
    <x v="5"/>
    <s v="Bogotá y alrededores"/>
    <s v="Bogota"/>
    <s v="Despachado"/>
    <s v="Envia"/>
    <s v="3135236 - 954101167164"/>
    <d v="2025-03-04T00:00:00"/>
    <d v="2025-03-07T00:00:00"/>
    <s v="Entregado"/>
    <n v="0"/>
    <n v="3"/>
    <s v="Cumple"/>
    <n v="54929"/>
    <m/>
    <m/>
  </r>
  <r>
    <d v="2025-03-04T00:00:00"/>
    <x v="2"/>
    <n v="2468"/>
    <x v="0"/>
    <s v="Katherin Hernández"/>
    <s v="TECU3FNPRO"/>
    <x v="12"/>
    <n v="1"/>
    <x v="1"/>
    <s v="Antioquia"/>
    <s v="Medellin"/>
    <s v="Despachado"/>
    <s v="Coordinadora"/>
    <s v="3127792 - 84151150086"/>
    <d v="2025-03-04T00:00:00"/>
    <d v="2025-03-07T00:00:00"/>
    <s v="Entregado"/>
    <n v="0"/>
    <n v="3"/>
    <s v="Cumple"/>
    <n v="42921"/>
    <m/>
    <m/>
  </r>
  <r>
    <d v="2025-03-04T00:00:00"/>
    <x v="2"/>
    <n v="2468"/>
    <x v="0"/>
    <s v="Katherin Hernández"/>
    <s v="TECUTCO5C"/>
    <x v="51"/>
    <n v="1"/>
    <x v="2"/>
    <s v="Antioquia"/>
    <s v="Medellin"/>
    <s v="Despachado"/>
    <s v="Coordinadora"/>
    <s v="3127888 - 84151150087"/>
    <d v="2025-03-04T00:00:00"/>
    <d v="2025-03-07T00:00:00"/>
    <s v="Entregado"/>
    <n v="0"/>
    <n v="3"/>
    <s v="Cumple"/>
    <n v="24093"/>
    <m/>
    <m/>
  </r>
  <r>
    <d v="2025-03-04T00:00:00"/>
    <x v="2"/>
    <n v="2468"/>
    <x v="0"/>
    <s v="Katherin Hernández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3-04T00:00:00"/>
    <x v="2"/>
    <n v="2469"/>
    <x v="0"/>
    <s v="Mauro Aguilar Bustamante"/>
    <s v="TECU3FNPRO"/>
    <x v="12"/>
    <n v="1"/>
    <x v="1"/>
    <s v="Antioquia"/>
    <s v="Bello"/>
    <s v="Despachado"/>
    <s v="Coordinadora"/>
    <s v="3131151 - 84151151422"/>
    <d v="2025-03-04T00:00:00"/>
    <d v="2025-03-06T00:00:00"/>
    <s v="Entregado"/>
    <n v="0"/>
    <n v="2"/>
    <s v="Cumple"/>
    <n v="42921"/>
    <m/>
    <m/>
  </r>
  <r>
    <d v="2025-03-04T00:00:00"/>
    <x v="2"/>
    <n v="2469"/>
    <x v="0"/>
    <s v="Mauro Aguilar Bustamante"/>
    <s v="TECUTRN5M"/>
    <x v="52"/>
    <n v="1"/>
    <x v="2"/>
    <s v="Antioquia"/>
    <s v="Bello"/>
    <s v="Despachado"/>
    <s v="Coordinadora"/>
    <s v="3131152 - 84151151424"/>
    <d v="2025-03-04T00:00:00"/>
    <d v="2025-03-06T00:00:00"/>
    <s v="Entregado"/>
    <n v="0"/>
    <n v="2"/>
    <s v="Cumple"/>
    <n v="24093"/>
    <m/>
    <m/>
  </r>
  <r>
    <d v="2025-03-06T00:00:00"/>
    <x v="2"/>
    <n v="2470"/>
    <x v="0"/>
    <s v="Eric Mitchell"/>
    <s v="TECULFN2"/>
    <x v="7"/>
    <n v="1"/>
    <x v="1"/>
    <s v="Antioquia"/>
    <s v="Envigado"/>
    <s v="Despachado"/>
    <s v="Coordinadora"/>
    <s v="3134270 - 84151152886"/>
    <d v="2025-03-06T00:00:00"/>
    <d v="2025-03-07T00:00:00"/>
    <s v="Entregado"/>
    <n v="0"/>
    <n v="1"/>
    <s v="Cumple"/>
    <n v="62530"/>
    <m/>
    <m/>
  </r>
  <r>
    <d v="2025-03-06T00:00:00"/>
    <x v="2"/>
    <n v="2470"/>
    <x v="0"/>
    <s v="Eric Mitchell"/>
    <s v="TECUTLNS"/>
    <x v="17"/>
    <n v="1"/>
    <x v="2"/>
    <s v="Antioquia"/>
    <s v="Envigado"/>
    <s v="Despachado"/>
    <s v="Coordinadora"/>
    <s v="3134273 - 84151152887"/>
    <d v="2025-03-06T00:00:00"/>
    <d v="2025-03-07T00:00:00"/>
    <s v="Entregado"/>
    <n v="0"/>
    <n v="1"/>
    <s v="Cumple"/>
    <n v="26749"/>
    <m/>
    <m/>
  </r>
  <r>
    <d v="2025-03-06T00:00:00"/>
    <x v="2"/>
    <n v="2470"/>
    <x v="0"/>
    <s v="Eric Mitchell"/>
    <m/>
    <x v="10"/>
    <n v="1"/>
    <x v="3"/>
    <s v="Antioquia"/>
    <s v="Envigado"/>
    <s v="Instalacion"/>
    <s v="NA"/>
    <s v="NA"/>
    <s v="NA"/>
    <s v="NA"/>
    <s v="Entregado"/>
    <s v="PTE"/>
    <e v="#VALUE!"/>
    <e v="#VALUE!"/>
    <n v="0"/>
    <m/>
    <m/>
  </r>
  <r>
    <d v="2025-03-06T00:00:00"/>
    <x v="2"/>
    <n v="2471"/>
    <x v="0"/>
    <s v="Daniel Turriago"/>
    <s v="TECU3FNPRO"/>
    <x v="12"/>
    <n v="1"/>
    <x v="1"/>
    <s v="Bogotá y alrededores"/>
    <s v="Bogota"/>
    <s v="Despachado"/>
    <s v="Coordinadora"/>
    <s v="3134290 - 84151152892"/>
    <d v="2025-03-06T00:00:00"/>
    <d v="2025-03-07T00:00:00"/>
    <s v="Entregado"/>
    <n v="0"/>
    <n v="1"/>
    <s v="Cumple"/>
    <n v="42921"/>
    <m/>
    <m/>
  </r>
  <r>
    <d v="2025-03-06T00:00:00"/>
    <x v="2"/>
    <n v="2471"/>
    <x v="0"/>
    <s v="Daniel Turriago"/>
    <s v="TECUTCO6C"/>
    <x v="16"/>
    <n v="1"/>
    <x v="2"/>
    <s v="Bogotá y alrededores"/>
    <s v="Bogota"/>
    <s v="Despachado"/>
    <s v="Coordinadora"/>
    <s v="3134293 - 84151152894"/>
    <d v="2025-03-06T00:00:00"/>
    <d v="2025-03-07T00:00:00"/>
    <s v="Entregado"/>
    <n v="0"/>
    <n v="1"/>
    <s v="Cumple"/>
    <n v="24093"/>
    <m/>
    <m/>
  </r>
  <r>
    <d v="2025-03-06T00:00:00"/>
    <x v="2"/>
    <n v="2472"/>
    <x v="0"/>
    <s v="Julian Vanegas Medina"/>
    <s v="TECURN"/>
    <x v="18"/>
    <n v="1"/>
    <x v="6"/>
    <s v="Bogotá y alrededores"/>
    <s v="Bogota"/>
    <s v="Despachado"/>
    <s v="Coordinadora"/>
    <s v="3135222 - 84151153334"/>
    <d v="2025-03-06T00:00:00"/>
    <d v="2025-03-07T00:00:00"/>
    <s v="Entregado"/>
    <n v="0"/>
    <n v="1"/>
    <s v="Cumple"/>
    <n v="23429"/>
    <m/>
    <m/>
  </r>
  <r>
    <d v="2025-03-07T00:00:00"/>
    <x v="2"/>
    <n v="2473"/>
    <x v="0"/>
    <s v="Nubia Sabogal"/>
    <s v="TECU3FNPRO"/>
    <x v="12"/>
    <n v="1"/>
    <x v="1"/>
    <s v="Bogotá y alrededores"/>
    <s v="Bogota"/>
    <s v="Despachado"/>
    <s v="Coordinadora"/>
    <s v="3137243 - 84151154226"/>
    <d v="2025-03-07T00:00:00"/>
    <d v="2025-03-08T00:00:00"/>
    <s v="Entregado"/>
    <n v="0"/>
    <n v="1"/>
    <s v="Cumple"/>
    <n v="42921"/>
    <m/>
    <m/>
  </r>
  <r>
    <d v="2025-03-07T00:00:00"/>
    <x v="2"/>
    <n v="2473"/>
    <x v="0"/>
    <s v="Nubia Sabogal"/>
    <s v="TECUTFE7C"/>
    <x v="53"/>
    <n v="1"/>
    <x v="2"/>
    <s v="Bogotá y alrededores"/>
    <s v="Bogota"/>
    <s v="Despachado"/>
    <s v="Coordinadora"/>
    <s v="3137245 - 84151154228"/>
    <d v="2025-03-07T00:00:00"/>
    <d v="2025-03-08T00:00:00"/>
    <s v="Entregado"/>
    <n v="0"/>
    <n v="1"/>
    <s v="Cumple"/>
    <n v="24093"/>
    <m/>
    <m/>
  </r>
  <r>
    <d v="2025-03-07T00:00:00"/>
    <x v="2"/>
    <n v="2474"/>
    <x v="0"/>
    <s v="Juan Pablo Castaño Tabares"/>
    <s v="TECU3FNPRO"/>
    <x v="12"/>
    <n v="1"/>
    <x v="1"/>
    <s v="Bogotá y alrededores"/>
    <s v="Bogota"/>
    <s v="Despachado"/>
    <s v="Coordinadora"/>
    <s v="3137375 - 84151154253"/>
    <d v="2025-03-07T00:00:00"/>
    <d v="2025-03-10T00:00:00"/>
    <s v="Entregado"/>
    <n v="0"/>
    <n v="2"/>
    <s v="Cumple"/>
    <n v="42921"/>
    <m/>
    <m/>
  </r>
  <r>
    <d v="2025-03-07T00:00:00"/>
    <x v="2"/>
    <n v="2474"/>
    <x v="0"/>
    <s v="Juan Pablo Castaño Tabares"/>
    <s v="TECUTCO8C"/>
    <x v="19"/>
    <n v="1"/>
    <x v="2"/>
    <s v="Bogotá y alrededores"/>
    <s v="Bogota"/>
    <s v="Despachado"/>
    <s v="Coordinadora"/>
    <s v="3137376 - 84151154254"/>
    <d v="2025-03-07T00:00:00"/>
    <d v="2025-03-10T00:00:00"/>
    <s v="Entregado"/>
    <n v="0"/>
    <n v="2"/>
    <s v="Cumple"/>
    <n v="26749"/>
    <m/>
    <m/>
  </r>
  <r>
    <d v="2025-03-10T00:00:00"/>
    <x v="2"/>
    <n v="2475"/>
    <x v="0"/>
    <s v="Johan Javier Morales Parrado"/>
    <s v="TECUACC"/>
    <x v="48"/>
    <n v="1"/>
    <x v="5"/>
    <s v="Bogotá y alrededores"/>
    <s v="Bogota"/>
    <s v="Despachado"/>
    <s v="Envia"/>
    <s v="3143030 - 954101169505"/>
    <d v="2025-03-10T00:00:00"/>
    <d v="2025-03-11T00:00:00"/>
    <s v="Entregado"/>
    <n v="0"/>
    <n v="1"/>
    <s v="Cumple"/>
    <n v="54929"/>
    <m/>
    <m/>
  </r>
  <r>
    <d v="2025-03-10T00:00:00"/>
    <x v="2"/>
    <n v="2476"/>
    <x v="0"/>
    <s v="Hernando Alvernia Navarro"/>
    <s v="TECU2FNG"/>
    <x v="5"/>
    <n v="1"/>
    <x v="1"/>
    <s v="Norte de Santander"/>
    <s v="Los patios"/>
    <s v="Despachado"/>
    <s v="Coordinadora"/>
    <s v="3144424  - 84151157437"/>
    <d v="2025-03-10T00:00:00"/>
    <d v="2025-03-13T00:00:00"/>
    <s v="Entregado"/>
    <n v="0"/>
    <n v="3"/>
    <e v="#N/A"/>
    <n v="59835"/>
    <m/>
    <m/>
  </r>
  <r>
    <d v="2025-03-10T00:00:00"/>
    <x v="2"/>
    <n v="2476"/>
    <x v="0"/>
    <s v="Hernando Alvernia Navarro"/>
    <s v="TECUTCO6C"/>
    <x v="16"/>
    <n v="1"/>
    <x v="2"/>
    <s v="Norte de Santander"/>
    <s v="Los patios"/>
    <s v="Despachado"/>
    <s v="Coordinadora"/>
    <s v="3144479 - 84151157466"/>
    <d v="2025-03-10T00:00:00"/>
    <d v="2025-03-13T00:00:00"/>
    <s v="Entregado"/>
    <n v="0"/>
    <n v="3"/>
    <e v="#N/A"/>
    <n v="39078"/>
    <m/>
    <m/>
  </r>
  <r>
    <d v="2025-03-10T00:00:00"/>
    <x v="2"/>
    <n v="2477"/>
    <x v="0"/>
    <s v="Hernando Alvernia Navarro"/>
    <s v="TECUBDPA"/>
    <x v="1"/>
    <n v="1"/>
    <x v="0"/>
    <s v="Norte de Santander"/>
    <s v="Los patios"/>
    <s v="Despachado"/>
    <s v="Coordinadora"/>
    <s v="3144499 - 84151157484"/>
    <d v="2025-03-10T00:00:00"/>
    <d v="2025-03-13T00:00:00"/>
    <s v="Entregado"/>
    <n v="0"/>
    <n v="3"/>
    <e v="#N/A"/>
    <n v="16617"/>
    <m/>
    <m/>
  </r>
  <r>
    <d v="2025-03-10T00:00:00"/>
    <x v="2"/>
    <n v="2478"/>
    <x v="0"/>
    <s v="Juan Sebastian Sanchez Samudio"/>
    <s v="TECUROD"/>
    <x v="31"/>
    <n v="1"/>
    <x v="7"/>
    <s v="Bogotá y alrededores"/>
    <s v="Bogota"/>
    <s v="Despachado"/>
    <s v="Coordinadora"/>
    <s v="3143050 - 84151156582"/>
    <d v="2025-03-10T00:00:00"/>
    <d v="2025-03-11T00:00:00"/>
    <s v="Entregado"/>
    <n v="0"/>
    <n v="1"/>
    <s v="Cumple"/>
    <n v="23875"/>
    <m/>
    <m/>
  </r>
  <r>
    <d v="2025-03-10T00:00:00"/>
    <x v="2"/>
    <n v="2479"/>
    <x v="0"/>
    <s v="Miguel Montañez"/>
    <s v="TECU3FNPRO"/>
    <x v="12"/>
    <n v="1"/>
    <x v="1"/>
    <s v="Bogotá y alrededores"/>
    <s v="Bogota"/>
    <s v="Despachado"/>
    <s v="Coordinadora"/>
    <s v="3143067 - 84151156591"/>
    <d v="2025-03-10T00:00:00"/>
    <d v="2025-03-12T00:00:00"/>
    <s v="Entregado"/>
    <n v="0"/>
    <n v="2"/>
    <s v="Cumple"/>
    <n v="42921"/>
    <m/>
    <m/>
  </r>
  <r>
    <d v="2025-03-10T00:00:00"/>
    <x v="2"/>
    <n v="2479"/>
    <x v="0"/>
    <s v="Miguel Montañez"/>
    <s v="TECUTFE4C"/>
    <x v="14"/>
    <n v="1"/>
    <x v="2"/>
    <s v="Bogotá y alrededores"/>
    <s v="Bogota"/>
    <s v="Despachado"/>
    <s v="Coordinadora"/>
    <s v="3143069 - 84151156592"/>
    <d v="2025-03-10T00:00:00"/>
    <d v="2025-03-12T00:00:00"/>
    <s v="Entregado"/>
    <n v="0"/>
    <n v="2"/>
    <s v="Cumple"/>
    <n v="24093"/>
    <m/>
    <m/>
  </r>
  <r>
    <d v="2025-03-10T00:00:00"/>
    <x v="2"/>
    <n v="2480"/>
    <x v="0"/>
    <s v="Henry Stivent Montaño Ramirez"/>
    <s v="TECU2FNG"/>
    <x v="5"/>
    <n v="1"/>
    <x v="1"/>
    <s v="Antioquia"/>
    <s v="Medellin"/>
    <s v="Despachado"/>
    <s v="Coordinadora"/>
    <s v="3147501 - 84151158507"/>
    <d v="2025-03-11T00:00:00"/>
    <d v="2025-03-12T00:00:00"/>
    <s v="Entregado"/>
    <n v="1"/>
    <n v="2"/>
    <s v="Cumple"/>
    <n v="24093"/>
    <m/>
    <m/>
  </r>
  <r>
    <d v="2025-03-10T00:00:00"/>
    <x v="2"/>
    <n v="2480"/>
    <x v="0"/>
    <s v="Henry Stivent Montaño Ramirez"/>
    <s v="TECUTCO5C"/>
    <x v="51"/>
    <n v="1"/>
    <x v="2"/>
    <s v="Antioquia"/>
    <s v="Medellin"/>
    <s v="Despachado"/>
    <s v="Coordinadora"/>
    <s v="3147502 - 84151158511"/>
    <d v="2025-03-11T00:00:00"/>
    <d v="2025-03-12T00:00:00"/>
    <s v="Entregado"/>
    <n v="1"/>
    <n v="2"/>
    <s v="Cumple"/>
    <n v="41593"/>
    <m/>
    <m/>
  </r>
  <r>
    <d v="2025-03-10T00:00:00"/>
    <x v="2"/>
    <n v="2481"/>
    <x v="0"/>
    <s v="edwar camilo ortiz quintero"/>
    <s v="TECU3FNPRO"/>
    <x v="12"/>
    <n v="1"/>
    <x v="1"/>
    <s v="Norte de Santander"/>
    <s v="Villa del rosario"/>
    <s v="Despachado"/>
    <s v="Coordinadora"/>
    <s v="3148825 - 84151159185"/>
    <d v="2025-03-11T00:00:00"/>
    <d v="2025-03-13T00:00:00"/>
    <s v="Entregado"/>
    <n v="1"/>
    <n v="3"/>
    <e v="#N/A"/>
    <n v="67467"/>
    <m/>
    <m/>
  </r>
  <r>
    <d v="2025-03-10T00:00:00"/>
    <x v="2"/>
    <n v="2481"/>
    <x v="0"/>
    <s v="edwar camilo ortiz quintero"/>
    <s v="TECUTFE8C"/>
    <x v="21"/>
    <n v="1"/>
    <x v="2"/>
    <s v="Norte de Santander"/>
    <s v="Villa del rosario"/>
    <s v="Despachado"/>
    <s v="Coordinadora"/>
    <s v="3148806 - 84151159175"/>
    <d v="2025-03-11T00:00:00"/>
    <d v="2025-03-13T00:00:00"/>
    <s v="Entregado"/>
    <n v="1"/>
    <n v="3"/>
    <e v="#N/A"/>
    <n v="48840"/>
    <m/>
    <m/>
  </r>
  <r>
    <d v="2025-03-10T00:00:00"/>
    <x v="2"/>
    <n v="2481"/>
    <x v="0"/>
    <s v="edwar camilo ortiz quintero"/>
    <s v="TECUCT"/>
    <x v="4"/>
    <n v="1"/>
    <x v="0"/>
    <s v="Norte de Santander"/>
    <s v="Villa del rosario"/>
    <s v="Despachado"/>
    <s v="Coordinadora"/>
    <s v="3148859 - 84151159199"/>
    <d v="2025-03-11T00:00:00"/>
    <d v="2025-03-13T00:00:00"/>
    <s v="Entregado"/>
    <n v="1"/>
    <n v="3"/>
    <e v="#N/A"/>
    <n v="39762"/>
    <m/>
    <m/>
  </r>
  <r>
    <d v="2025-03-12T00:00:00"/>
    <x v="2"/>
    <n v="2482"/>
    <x v="0"/>
    <s v="HECTOR JAVIER LOPEZ DIAZ  - INMOTICA LTDA"/>
    <s v="TECUACC"/>
    <x v="48"/>
    <n v="1"/>
    <x v="5"/>
    <s v="Bogotá y alrededores"/>
    <s v="Bogota"/>
    <s v="Despachado"/>
    <s v="Envia"/>
    <s v="3148896 - 954101171161"/>
    <d v="2025-03-11T00:00:00"/>
    <d v="2025-03-12T00:00:00"/>
    <s v="Entregado"/>
    <n v="-3"/>
    <n v="0"/>
    <s v="Cumple"/>
    <n v="54929"/>
    <m/>
    <m/>
  </r>
  <r>
    <d v="2025-03-12T00:00:00"/>
    <x v="2"/>
    <n v="2483"/>
    <x v="0"/>
    <s v="Santiago Zapata"/>
    <s v="TECU2FNG"/>
    <x v="5"/>
    <n v="1"/>
    <x v="1"/>
    <s v="Antioquia"/>
    <s v="Medellin"/>
    <s v="Despachado"/>
    <s v="Coordinadora"/>
    <s v="3151177 - 84151159943"/>
    <d v="2025-03-12T00:00:00"/>
    <d v="2025-03-13T00:00:00"/>
    <s v="Entregado"/>
    <n v="0"/>
    <n v="1"/>
    <s v="Cumple"/>
    <n v="41593"/>
    <m/>
    <m/>
  </r>
  <r>
    <d v="2025-03-12T00:00:00"/>
    <x v="2"/>
    <n v="2483"/>
    <x v="0"/>
    <s v="Santiago Zapata"/>
    <s v="TECUTRN6C"/>
    <x v="20"/>
    <n v="1"/>
    <x v="2"/>
    <s v="Antioquia"/>
    <s v="Medellin"/>
    <s v="Despachado"/>
    <s v="Coordinadora"/>
    <s v="3151178 - 84151159946"/>
    <d v="2025-03-12T00:00:00"/>
    <d v="2025-03-13T00:00:00"/>
    <s v="Entregado"/>
    <n v="0"/>
    <n v="1"/>
    <s v="Cumple"/>
    <n v="24093"/>
    <m/>
    <m/>
  </r>
  <r>
    <d v="2025-03-12T00:00:00"/>
    <x v="2"/>
    <n v="2484"/>
    <x v="0"/>
    <s v="David Cadavid"/>
    <s v="TECUROD"/>
    <x v="31"/>
    <n v="1"/>
    <x v="7"/>
    <s v="Antioquia"/>
    <s v="Envigado"/>
    <s v="Despachado"/>
    <s v="Coordinadora"/>
    <s v="3152104 - 84151160248"/>
    <d v="2025-03-12T00:00:00"/>
    <d v="2025-03-13T00:00:00"/>
    <s v="Entregado"/>
    <n v="0"/>
    <n v="1"/>
    <s v="Cumple"/>
    <n v="23875"/>
    <m/>
    <m/>
  </r>
  <r>
    <d v="2025-03-12T00:00:00"/>
    <x v="2"/>
    <n v="2484"/>
    <x v="0"/>
    <s v="David Cadavid"/>
    <s v="TECUTBANTE"/>
    <x v="54"/>
    <n v="1"/>
    <x v="0"/>
    <s v="Antioquia"/>
    <s v="Envigado"/>
    <s v="Despachado"/>
    <s v="Coordinadora"/>
    <s v="3152087 - 84151160236"/>
    <d v="2025-03-12T00:00:00"/>
    <d v="2025-03-14T00:00:00"/>
    <s v="Entregado"/>
    <n v="0"/>
    <n v="2"/>
    <s v="Cumple"/>
    <n v="39225"/>
    <m/>
    <m/>
  </r>
  <r>
    <d v="2025-03-17T00:00:00"/>
    <x v="2"/>
    <n v="2485"/>
    <x v="0"/>
    <s v="Andres Dario Sanchez Lugo"/>
    <s v="TECU3FNPRO"/>
    <x v="12"/>
    <n v="1"/>
    <x v="1"/>
    <s v="Bogotá y alrededores"/>
    <s v="Bogota"/>
    <s v="Despachado"/>
    <s v="Coordinadora"/>
    <s v="3178028 - 84151171291"/>
    <d v="2025-03-21T00:00:00"/>
    <d v="2025-03-26T00:00:00"/>
    <s v="Entregado"/>
    <n v="4"/>
    <n v="7"/>
    <s v="No cumple"/>
    <n v="42921"/>
    <m/>
    <m/>
  </r>
  <r>
    <d v="2025-03-17T00:00:00"/>
    <x v="2"/>
    <n v="2485"/>
    <x v="0"/>
    <s v="Andres Dario Sanchez Lugo"/>
    <s v="TECUTRM5C"/>
    <x v="27"/>
    <n v="1"/>
    <x v="2"/>
    <s v="Bogotá y alrededores"/>
    <s v="Bogota"/>
    <s v="Despachado"/>
    <s v="Coordinadora"/>
    <s v="3178029 - 84151171292"/>
    <d v="2025-03-21T00:00:00"/>
    <d v="2025-03-26T00:00:00"/>
    <s v="Entregado"/>
    <n v="4"/>
    <n v="7"/>
    <s v="No cumple"/>
    <n v="24593"/>
    <m/>
    <m/>
  </r>
  <r>
    <d v="2025-03-17T00:00:00"/>
    <x v="2"/>
    <n v="2485"/>
    <x v="0"/>
    <s v="Andres Dario Sanchez Lugo"/>
    <s v="TECUCT"/>
    <x v="4"/>
    <n v="1"/>
    <x v="0"/>
    <s v="Bogotá y alrededores"/>
    <s v="Bogota"/>
    <s v="Despachado"/>
    <s v="Coordinadora"/>
    <s v="3178034 - 84151171299"/>
    <d v="2025-03-21T00:00:00"/>
    <d v="2025-03-26T00:00:00"/>
    <s v="Entregado"/>
    <n v="4"/>
    <n v="7"/>
    <s v="No cumple"/>
    <n v="24885"/>
    <m/>
    <m/>
  </r>
  <r>
    <d v="2025-03-17T00:00:00"/>
    <x v="2"/>
    <n v="2485"/>
    <x v="0"/>
    <s v="Andres Dario Sanchez Lugo"/>
    <s v="TECU3FNPRO"/>
    <x v="12"/>
    <n v="1"/>
    <x v="1"/>
    <s v="Bogotá y alrededores"/>
    <s v="Bogota"/>
    <s v="Despachado"/>
    <s v="Coordinadora"/>
    <s v="3178037 - 84151171301"/>
    <d v="2025-03-21T00:00:00"/>
    <d v="2025-03-26T00:00:00"/>
    <s v="Entregado"/>
    <n v="4"/>
    <n v="7"/>
    <s v="No cumple"/>
    <n v="42921"/>
    <m/>
    <m/>
  </r>
  <r>
    <d v="2025-03-17T00:00:00"/>
    <x v="2"/>
    <n v="2485"/>
    <x v="0"/>
    <s v="Andres Dario Sanchez Lugo"/>
    <s v="TECUTRM5C"/>
    <x v="27"/>
    <n v="1"/>
    <x v="2"/>
    <s v="Bogotá y alrededores"/>
    <s v="Bogota"/>
    <s v="Despachado"/>
    <s v="Coordinadora"/>
    <s v="3178038 - 84151171302"/>
    <d v="2025-03-21T00:00:00"/>
    <d v="2025-03-26T00:00:00"/>
    <s v="Entregado"/>
    <n v="4"/>
    <n v="7"/>
    <s v="No cumple"/>
    <n v="24593"/>
    <m/>
    <m/>
  </r>
  <r>
    <d v="2025-03-17T00:00:00"/>
    <x v="2"/>
    <n v="2485"/>
    <x v="0"/>
    <s v="Andres Dario Sanchez Lugo"/>
    <s v="TECUCT"/>
    <x v="4"/>
    <n v="1"/>
    <x v="0"/>
    <s v="Bogotá y alrededores"/>
    <s v="Bogota"/>
    <s v="Despachado"/>
    <s v="Coordinadora"/>
    <s v="3178043 - 84151171304"/>
    <d v="2025-03-21T00:00:00"/>
    <d v="2025-03-26T00:00:00"/>
    <s v="Entregado"/>
    <n v="4"/>
    <n v="7"/>
    <s v="No cumple"/>
    <n v="24885"/>
    <m/>
    <m/>
  </r>
  <r>
    <d v="2025-03-17T00:00:00"/>
    <x v="2"/>
    <n v="2485"/>
    <x v="0"/>
    <s v="Andres Dario Sanchez Lugo"/>
    <m/>
    <x v="10"/>
    <n v="2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3-17T00:00:00"/>
    <x v="2"/>
    <n v="2486"/>
    <x v="0"/>
    <s v="Alejandro Marín Buriticá"/>
    <s v="TECU3FNCRO"/>
    <x v="55"/>
    <n v="1"/>
    <x v="1"/>
    <s v="Antioquia"/>
    <s v="Medellin"/>
    <s v="Despachado"/>
    <s v="Coordinadora"/>
    <s v="3163676 - 84151165337"/>
    <d v="2025-03-17T00:00:00"/>
    <d v="2025-03-18T00:00:00"/>
    <s v="Entregado"/>
    <n v="0"/>
    <n v="1"/>
    <s v="Cumple"/>
    <n v="42921"/>
    <m/>
    <m/>
  </r>
  <r>
    <d v="2025-03-17T00:00:00"/>
    <x v="2"/>
    <n v="2486"/>
    <x v="0"/>
    <s v="Alejandro Marín Buriticá"/>
    <s v="TECUTB5C"/>
    <x v="56"/>
    <n v="1"/>
    <x v="2"/>
    <s v="Antioquia"/>
    <s v="Medellin"/>
    <s v="Despachado"/>
    <s v="Coordinadora"/>
    <s v="3163678 - 84151165339"/>
    <d v="2025-03-17T00:00:00"/>
    <d v="2025-03-18T00:00:00"/>
    <s v="Entregado"/>
    <n v="0"/>
    <n v="1"/>
    <s v="Cumple"/>
    <n v="24093"/>
    <m/>
    <m/>
  </r>
  <r>
    <d v="2025-03-19T00:00:00"/>
    <x v="2"/>
    <n v="2487"/>
    <x v="0"/>
    <s v="Pablo Velasquez Caro"/>
    <s v="TECU3FNPRO"/>
    <x v="12"/>
    <n v="1"/>
    <x v="1"/>
    <s v="Antioquia"/>
    <s v="Medellin"/>
    <s v="Despachado"/>
    <s v="Coordinadora"/>
    <s v="3174414 - 84151169570"/>
    <d v="2025-03-20T00:00:00"/>
    <d v="2025-03-21T00:00:00"/>
    <s v="Entregado"/>
    <n v="1"/>
    <n v="2"/>
    <s v="Cumple"/>
    <n v="42921"/>
    <m/>
    <m/>
  </r>
  <r>
    <d v="2025-03-19T00:00:00"/>
    <x v="2"/>
    <n v="2487"/>
    <x v="0"/>
    <s v="Pablo Velasquez Caro"/>
    <s v="TECUTRN2C"/>
    <x v="11"/>
    <n v="1"/>
    <x v="2"/>
    <s v="Antioquia"/>
    <s v="Medellin"/>
    <s v="Despachado"/>
    <s v="Coordinadora"/>
    <s v="3174422 - 84151169571"/>
    <d v="2025-03-20T00:00:00"/>
    <d v="2025-03-21T00:00:00"/>
    <s v="Entregado"/>
    <n v="1"/>
    <n v="2"/>
    <s v="Cumple"/>
    <n v="28741"/>
    <m/>
    <m/>
  </r>
  <r>
    <d v="2025-03-20T00:00:00"/>
    <x v="2"/>
    <n v="2488"/>
    <x v="0"/>
    <s v="David Molano"/>
    <s v="TECU3FNPRO"/>
    <x v="12"/>
    <n v="1"/>
    <x v="1"/>
    <s v="Risaralda"/>
    <s v="Santa Rosa de Cabal"/>
    <s v="Despachado"/>
    <s v="Coordinadora"/>
    <s v="3191386 - 84151178126"/>
    <d v="2025-03-28T00:00:00"/>
    <d v="2025-03-29T00:00:00"/>
    <s v="Entregado"/>
    <n v="6"/>
    <n v="7"/>
    <e v="#N/A"/>
    <n v="34953"/>
    <m/>
    <m/>
  </r>
  <r>
    <d v="2025-03-20T00:00:00"/>
    <x v="2"/>
    <n v="2488"/>
    <x v="0"/>
    <s v="David Molano"/>
    <s v="TECUTRM8C"/>
    <x v="49"/>
    <n v="1"/>
    <x v="2"/>
    <s v="Risaralda"/>
    <s v="Santa Rosa de Cabal"/>
    <s v="Despachado"/>
    <s v="Coordinadora"/>
    <s v="3191387 - 84151178127"/>
    <d v="2025-03-28T00:00:00"/>
    <d v="2025-03-29T00:00:00"/>
    <s v="Entregado"/>
    <n v="6"/>
    <n v="7"/>
    <e v="#N/A"/>
    <n v="17288"/>
    <m/>
    <m/>
  </r>
  <r>
    <d v="2025-03-20T00:00:00"/>
    <x v="2"/>
    <n v="2488"/>
    <x v="0"/>
    <s v="David Molano"/>
    <s v="TECUCT"/>
    <x v="4"/>
    <n v="1"/>
    <x v="0"/>
    <s v="Risaralda"/>
    <s v="Santa Rosa de Cabal"/>
    <s v="Despachado"/>
    <s v="Coordinadora"/>
    <s v="3191393 - 84151178133"/>
    <d v="2025-03-28T00:00:00"/>
    <d v="2025-03-29T00:00:00"/>
    <s v="Entregado"/>
    <n v="6"/>
    <n v="7"/>
    <e v="#N/A"/>
    <n v="15447"/>
    <m/>
    <m/>
  </r>
  <r>
    <d v="2025-03-21T00:00:00"/>
    <x v="2"/>
    <n v="2489"/>
    <x v="0"/>
    <s v="Benhur Hernández"/>
    <s v="TECU3FNPRO"/>
    <x v="12"/>
    <n v="1"/>
    <x v="1"/>
    <s v="Bogotá y alrededores"/>
    <s v="Bogota"/>
    <s v="Despachado"/>
    <s v="Coordinadora"/>
    <s v="3195778 - 84151180056"/>
    <d v="2025-03-31T00:00:00"/>
    <d v="2025-04-01T00:00:00"/>
    <s v="Entregado"/>
    <n v="7"/>
    <n v="8"/>
    <s v="No cumple"/>
    <n v="42921"/>
    <m/>
    <m/>
  </r>
  <r>
    <d v="2025-03-21T00:00:00"/>
    <x v="2"/>
    <n v="2489"/>
    <x v="0"/>
    <s v="Benhur Hernández"/>
    <s v="TECUTCO5M"/>
    <x v="40"/>
    <n v="1"/>
    <x v="2"/>
    <s v="Bogotá y alrededores"/>
    <s v="Bogota"/>
    <s v="Despachado"/>
    <s v="Coordinadora"/>
    <s v="3195780 - 84151180057"/>
    <d v="2025-03-31T00:00:00"/>
    <d v="2025-04-01T00:00:00"/>
    <s v="Entregado"/>
    <n v="7"/>
    <n v="8"/>
    <s v="No cumple"/>
    <n v="24093"/>
    <m/>
    <m/>
  </r>
  <r>
    <d v="2025-03-22T00:00:00"/>
    <x v="2"/>
    <n v="2490"/>
    <x v="0"/>
    <s v="Johan Sebastián Hernández Carvajal"/>
    <s v="TECU3FNPRO"/>
    <x v="12"/>
    <n v="1"/>
    <x v="1"/>
    <s v="Antioquia"/>
    <s v="Copcabana"/>
    <s v="Despachado"/>
    <s v="Coordinadora"/>
    <s v="3182578 - 84151173203"/>
    <d v="2025-03-25T00:00:00"/>
    <d v="2025-03-26T00:00:00"/>
    <s v="Entregado"/>
    <n v="1"/>
    <n v="2"/>
    <e v="#N/A"/>
    <n v="42921"/>
    <m/>
    <m/>
  </r>
  <r>
    <d v="2025-03-22T00:00:00"/>
    <x v="2"/>
    <n v="2490"/>
    <x v="0"/>
    <s v="Johan Sebastián Hernández Carvajal"/>
    <s v="TECUTRN4C"/>
    <x v="57"/>
    <n v="1"/>
    <x v="2"/>
    <s v="Antioquia"/>
    <s v="Copcabana"/>
    <s v="Despachado"/>
    <s v="Coordinadora"/>
    <s v="3182579 - 84151173204"/>
    <d v="2025-03-25T00:00:00"/>
    <d v="2025-03-26T00:00:00"/>
    <s v="Entregado"/>
    <n v="1"/>
    <n v="2"/>
    <e v="#N/A"/>
    <n v="24093"/>
    <m/>
    <m/>
  </r>
  <r>
    <d v="2025-03-23T00:00:00"/>
    <x v="2"/>
    <n v="2491"/>
    <x v="0"/>
    <s v="Luis Modesto Pacheco Pérez"/>
    <s v="TECU3FNPRO"/>
    <x v="12"/>
    <n v="1"/>
    <x v="1"/>
    <s v="Bogotá y alrededores"/>
    <s v="Bogota"/>
    <s v="Despachado"/>
    <s v="Coordinadora"/>
    <s v="3185566 - 84151174823"/>
    <d v="2025-03-26T00:00:00"/>
    <d v="2025-03-28T00:00:00"/>
    <s v="Entregado"/>
    <n v="1"/>
    <n v="3"/>
    <s v="Cumple"/>
    <n v="42921"/>
    <m/>
    <m/>
  </r>
  <r>
    <d v="2025-03-23T00:00:00"/>
    <x v="2"/>
    <n v="2491"/>
    <x v="0"/>
    <s v="Luis Modesto Pacheco Pérez"/>
    <s v="TECUTRN8C"/>
    <x v="58"/>
    <n v="1"/>
    <x v="2"/>
    <s v="Bogotá y alrededores"/>
    <s v="Bogota"/>
    <s v="Despachado"/>
    <s v="Coordinadora"/>
    <s v="3185568 - 84151174824"/>
    <d v="2025-03-26T00:00:00"/>
    <d v="2025-03-28T00:00:00"/>
    <s v="Entregado"/>
    <n v="1"/>
    <n v="3"/>
    <s v="Cumple"/>
    <n v="26749"/>
    <m/>
    <m/>
  </r>
  <r>
    <d v="2025-03-23T00:00:00"/>
    <x v="2"/>
    <n v="2492"/>
    <x v="0"/>
    <s v="Carlos Andres Urrea Lopez - Yumey A Orozco C"/>
    <s v="TECU3FNPRO"/>
    <x v="12"/>
    <n v="1"/>
    <x v="1"/>
    <s v="Antioquia"/>
    <s v="Envigado"/>
    <s v="Despachado"/>
    <s v="Coordinadora"/>
    <s v="3182510 - 84151173153"/>
    <d v="2025-03-25T00:00:00"/>
    <d v="2025-03-26T00:00:00"/>
    <s v="Entregado"/>
    <n v="0"/>
    <n v="1"/>
    <s v="Cumple"/>
    <n v="42921"/>
    <m/>
    <m/>
  </r>
  <r>
    <d v="2025-03-23T00:00:00"/>
    <x v="2"/>
    <n v="2492"/>
    <x v="0"/>
    <s v="Carlos Andres Urrea Lopez - Yumey A Orozco C"/>
    <s v="TECUTFE2C"/>
    <x v="3"/>
    <n v="1"/>
    <x v="2"/>
    <s v="Antioquia"/>
    <s v="Envigado"/>
    <s v="Despachado"/>
    <s v="Coordinadora"/>
    <s v="3182512 - 84151173155"/>
    <d v="2025-03-25T00:00:00"/>
    <d v="2025-03-26T00:00:00"/>
    <s v="Entregado"/>
    <n v="0"/>
    <n v="1"/>
    <s v="Cumple"/>
    <n v="28741"/>
    <m/>
    <m/>
  </r>
  <r>
    <d v="2025-03-23T00:00:00"/>
    <x v="2"/>
    <n v="2492"/>
    <x v="0"/>
    <s v="Carlos Andres Urrea Lopez - Yumey A Orozco C"/>
    <m/>
    <x v="10"/>
    <n v="1"/>
    <x v="3"/>
    <s v="Antioquia"/>
    <s v="Envigado"/>
    <s v="Instalacion"/>
    <s v="NA"/>
    <s v="NA"/>
    <s v="NA"/>
    <s v="NA"/>
    <s v="Entregado"/>
    <s v="PTE"/>
    <e v="#VALUE!"/>
    <e v="#VALUE!"/>
    <n v="0"/>
    <m/>
    <m/>
  </r>
  <r>
    <d v="2025-03-24T00:00:00"/>
    <x v="2"/>
    <n v="2493"/>
    <x v="0"/>
    <s v="Maria Garzon"/>
    <s v="TECU2FNG"/>
    <x v="5"/>
    <n v="1"/>
    <x v="1"/>
    <s v="Bogotá y alrededores"/>
    <s v="Bogota"/>
    <s v="Despachado"/>
    <s v="Coordinadora"/>
    <s v="3185493 - 84151174778"/>
    <d v="2025-03-26T00:00:00"/>
    <d v="2025-03-28T00:00:00"/>
    <s v="Entregado"/>
    <n v="1"/>
    <n v="3"/>
    <s v="Cumple"/>
    <n v="41593"/>
    <m/>
    <m/>
  </r>
  <r>
    <d v="2025-03-24T00:00:00"/>
    <x v="2"/>
    <n v="2493"/>
    <x v="0"/>
    <s v="Maria Garzon"/>
    <s v="TECUTFE3C"/>
    <x v="39"/>
    <n v="1"/>
    <x v="2"/>
    <s v="Bogotá y alrededores"/>
    <s v="Bogota"/>
    <s v="Despachado"/>
    <s v="Coordinadora"/>
    <s v="3185494 - 84151174779"/>
    <d v="2025-03-26T00:00:00"/>
    <d v="2025-03-28T00:00:00"/>
    <s v="Entregado"/>
    <n v="1"/>
    <n v="3"/>
    <s v="Cumple"/>
    <n v="24093"/>
    <m/>
    <m/>
  </r>
  <r>
    <d v="2025-03-25T00:00:00"/>
    <x v="2"/>
    <n v="2494"/>
    <x v="0"/>
    <s v="jhonnatan gonzalez"/>
    <s v="TECU2FNG"/>
    <x v="5"/>
    <n v="1"/>
    <x v="1"/>
    <s v="Bogotá y alrededores"/>
    <s v="Bogota"/>
    <s v="Despachado"/>
    <s v="Coordinadora"/>
    <s v="3183196 - 84151173593"/>
    <d v="2025-03-25T00:00:00"/>
    <d v="2025-03-27T00:00:00"/>
    <s v="Entregado"/>
    <n v="0"/>
    <n v="2"/>
    <s v="Cumple"/>
    <n v="41593"/>
    <m/>
    <m/>
  </r>
  <r>
    <d v="2025-03-25T00:00:00"/>
    <x v="2"/>
    <n v="2494"/>
    <x v="0"/>
    <s v="jhonnatan gonzalez"/>
    <s v="TECUTFE4C"/>
    <x v="14"/>
    <n v="1"/>
    <x v="2"/>
    <s v="Bogotá y alrededores"/>
    <s v="Bogota"/>
    <s v="Despachado"/>
    <s v="Coordinadora"/>
    <s v="3183197 - 84151173594"/>
    <d v="2025-03-25T00:00:00"/>
    <d v="2025-03-27T00:00:00"/>
    <s v="Entregado"/>
    <n v="0"/>
    <n v="2"/>
    <s v="Cumple"/>
    <n v="24093"/>
    <m/>
    <m/>
  </r>
  <r>
    <d v="2025-03-25T00:00:00"/>
    <x v="2"/>
    <n v="2494"/>
    <x v="0"/>
    <s v="jhonnatan gonzalez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3-26T00:00:00"/>
    <x v="2"/>
    <n v="2495"/>
    <x v="0"/>
    <s v="Jorge Madrid"/>
    <s v="TECU3FNCRO"/>
    <x v="55"/>
    <n v="1"/>
    <x v="1"/>
    <s v="Antioquia"/>
    <s v="Envigado"/>
    <s v="Despachado"/>
    <s v="Coordinadora"/>
    <s v="3188537 - 84151176378"/>
    <d v="2025-03-27T00:00:00"/>
    <d v="2025-03-28T00:00:00"/>
    <s v="Entregado"/>
    <n v="1"/>
    <n v="2"/>
    <s v="Cumple"/>
    <n v="42921"/>
    <m/>
    <m/>
  </r>
  <r>
    <d v="2025-03-26T00:00:00"/>
    <x v="2"/>
    <n v="2495"/>
    <x v="0"/>
    <s v="Jorge Madrid"/>
    <s v="TECU-BMUSC"/>
    <x v="59"/>
    <n v="1"/>
    <x v="2"/>
    <s v="Antioquia"/>
    <s v="Envigado"/>
    <s v="Despachado"/>
    <s v="Coordinadora"/>
    <s v="3188538 - 84151176379"/>
    <d v="2025-03-27T00:00:00"/>
    <d v="2025-03-28T00:00:00"/>
    <s v="Entregado"/>
    <n v="1"/>
    <n v="2"/>
    <s v="Cumple"/>
    <n v="24093"/>
    <m/>
    <m/>
  </r>
  <r>
    <d v="2025-03-26T00:00:00"/>
    <x v="2"/>
    <n v="2496"/>
    <x v="0"/>
    <s v="Victor Mesa"/>
    <s v="TECU2FNG"/>
    <x v="5"/>
    <n v="1"/>
    <x v="1"/>
    <s v="Antioquia"/>
    <s v="Bello"/>
    <s v="Despachado"/>
    <s v="Coordinadora"/>
    <s v="3195822 - 84151180092"/>
    <d v="2025-03-31T00:00:00"/>
    <d v="2025-04-01T00:00:00"/>
    <s v="Entregado"/>
    <n v="4"/>
    <n v="5"/>
    <s v="No cumple"/>
    <n v="41593"/>
    <m/>
    <m/>
  </r>
  <r>
    <d v="2025-03-26T00:00:00"/>
    <x v="2"/>
    <n v="2496"/>
    <x v="0"/>
    <s v="Victor Mesa"/>
    <s v="TECUTFE4C"/>
    <x v="14"/>
    <n v="1"/>
    <x v="2"/>
    <s v="Antioquia"/>
    <s v="Bello"/>
    <s v="Despachado"/>
    <s v="Coordinadora"/>
    <s v="3195823 - 84151180093"/>
    <d v="2025-03-31T00:00:00"/>
    <d v="2025-04-01T00:00:00"/>
    <s v="Entregado"/>
    <n v="4"/>
    <n v="5"/>
    <s v="No cumple"/>
    <n v="24093"/>
    <m/>
    <m/>
  </r>
  <r>
    <d v="2025-03-26T00:00:00"/>
    <x v="2"/>
    <n v="2496"/>
    <x v="0"/>
    <s v="Victor Mesa"/>
    <s v="TECUROD"/>
    <x v="31"/>
    <n v="1"/>
    <x v="7"/>
    <s v="Antioquia"/>
    <s v="Bello"/>
    <s v="Despachado"/>
    <s v="Coordinadora"/>
    <s v="3195838 - 84151180106"/>
    <d v="2025-03-31T00:00:00"/>
    <d v="2025-04-01T00:00:00"/>
    <s v="Entregado"/>
    <n v="4"/>
    <n v="5"/>
    <s v="No cumple"/>
    <n v="23875"/>
    <m/>
    <m/>
  </r>
  <r>
    <d v="2025-03-26T00:00:00"/>
    <x v="2"/>
    <n v="2496"/>
    <x v="0"/>
    <s v="Victor Mesa"/>
    <m/>
    <x v="10"/>
    <n v="1"/>
    <x v="3"/>
    <s v="Antioquia"/>
    <s v="Bello"/>
    <s v="Instalacion"/>
    <s v="NA"/>
    <s v="NA"/>
    <s v="NA"/>
    <s v="NA"/>
    <m/>
    <m/>
    <m/>
    <m/>
    <n v="0"/>
    <m/>
    <m/>
  </r>
  <r>
    <d v="2025-03-27T00:00:00"/>
    <x v="2"/>
    <n v="2497"/>
    <x v="0"/>
    <s v="Jorge Madrid"/>
    <s v="TECUCT"/>
    <x v="4"/>
    <n v="1"/>
    <x v="0"/>
    <s v="Antioquia"/>
    <s v="Envigado"/>
    <s v="Despachado"/>
    <s v="Coordinadora"/>
    <s v="3188548 - 84151176389"/>
    <d v="2025-03-27T00:00:00"/>
    <d v="2025-03-28T00:00:00"/>
    <s v="Entregado"/>
    <n v="0"/>
    <n v="1"/>
    <s v="Cumple"/>
    <n v="24885"/>
    <m/>
    <m/>
  </r>
  <r>
    <d v="2025-03-27T00:00:00"/>
    <x v="2"/>
    <n v="2498"/>
    <x v="0"/>
    <s v="Gabriel Hernández Torres"/>
    <s v="TECU3FNPRO"/>
    <x v="12"/>
    <n v="1"/>
    <x v="1"/>
    <s v="Caldas"/>
    <s v="Manizales"/>
    <s v="Despachado"/>
    <s v="Coordinadora"/>
    <s v="3190334 - 84151177324"/>
    <d v="2025-03-28T00:00:00"/>
    <d v="2025-03-29T00:00:00"/>
    <s v="Entregado"/>
    <n v="1"/>
    <n v="2"/>
    <s v="Cumple"/>
    <n v="34953"/>
    <m/>
    <m/>
  </r>
  <r>
    <d v="2025-03-27T00:00:00"/>
    <x v="2"/>
    <n v="2498"/>
    <x v="0"/>
    <s v="Gabriel Hernández Torres"/>
    <s v="TECUTCO6C"/>
    <x v="16"/>
    <n v="1"/>
    <x v="2"/>
    <s v="Caldas"/>
    <s v="Manizales"/>
    <s v="Despachado"/>
    <s v="Coordinadora"/>
    <s v="3190335 - 84151177325"/>
    <d v="2025-03-28T00:00:00"/>
    <d v="2025-03-29T00:00:00"/>
    <s v="Entregado"/>
    <n v="1"/>
    <n v="2"/>
    <s v="Cumple"/>
    <n v="15194"/>
    <m/>
    <m/>
  </r>
  <r>
    <d v="2025-03-27T00:00:00"/>
    <x v="2"/>
    <n v="2498"/>
    <x v="0"/>
    <s v="Gabriel Hernández Torres"/>
    <s v="TECU3FBRO"/>
    <x v="34"/>
    <n v="1"/>
    <x v="1"/>
    <s v="Caldas"/>
    <s v="Manizales"/>
    <s v="Despachado"/>
    <s v="Coordinadora"/>
    <s v="3190344 - 84151177331"/>
    <d v="2025-03-28T00:00:00"/>
    <d v="2025-03-29T00:00:00"/>
    <s v="Entregado"/>
    <n v="1"/>
    <n v="2"/>
    <s v="Cumple"/>
    <n v="34953"/>
    <m/>
    <m/>
  </r>
  <r>
    <d v="2025-03-27T00:00:00"/>
    <x v="2"/>
    <n v="2498"/>
    <x v="0"/>
    <s v="Gabriel Hernández Torres"/>
    <s v="TECUTRN7C"/>
    <x v="60"/>
    <n v="1"/>
    <x v="2"/>
    <s v="Caldas"/>
    <s v="Manizales"/>
    <s v="Despachado"/>
    <s v="Coordinadora"/>
    <s v="3190345 - 84151177333"/>
    <d v="2025-03-28T00:00:00"/>
    <d v="2025-03-29T00:00:00"/>
    <s v="Entregado"/>
    <n v="1"/>
    <n v="2"/>
    <s v="Cumple"/>
    <n v="15194"/>
    <m/>
    <m/>
  </r>
  <r>
    <d v="2025-03-27T00:00:00"/>
    <x v="2"/>
    <n v="2499"/>
    <x v="0"/>
    <s v="Enrique Sabalza"/>
    <s v="TECUTB7C"/>
    <x v="38"/>
    <n v="1"/>
    <x v="2"/>
    <s v="Atlantico"/>
    <s v="Barranquilla"/>
    <s v="Despachado"/>
    <s v="Coordinadora"/>
    <s v="3190460 - 84151177408"/>
    <d v="2025-03-28T00:00:00"/>
    <d v="2025-03-31T00:00:00"/>
    <s v="Entregado"/>
    <n v="1"/>
    <n v="3"/>
    <s v="Cumple"/>
    <n v="39078"/>
    <m/>
    <m/>
  </r>
  <r>
    <d v="2025-03-28T00:00:00"/>
    <x v="2"/>
    <n v="2500"/>
    <x v="3"/>
    <s v="Laura Camila Barrera Hernandéz"/>
    <s v="TECULFN2"/>
    <x v="7"/>
    <n v="1"/>
    <x v="1"/>
    <s v="Bogotá y alrededores"/>
    <s v="Siberia"/>
    <s v="Despachado"/>
    <s v="Coordinadora"/>
    <s v="3190605 - 84151177475"/>
    <d v="2025-03-29T00:00:00"/>
    <d v="2025-04-08T00:00:00"/>
    <s v="Entregado"/>
    <n v="1"/>
    <n v="9"/>
    <e v="#N/A"/>
    <m/>
    <s v="Se crean las guias por error a otr destino"/>
    <s v="Novedad error destino"/>
  </r>
  <r>
    <d v="2025-03-28T00:00:00"/>
    <x v="2"/>
    <n v="2500"/>
    <x v="3"/>
    <s v="Laura Camila Barrera Hernandéz"/>
    <s v="TECUTLBS"/>
    <x v="61"/>
    <n v="1"/>
    <x v="2"/>
    <s v="Bogotá y alrededores"/>
    <s v="Siberia"/>
    <s v="Despachado"/>
    <s v="Coordinadora"/>
    <s v="3190606 - 84151177480"/>
    <d v="2025-03-29T00:00:00"/>
    <d v="2025-04-08T00:00:00"/>
    <s v="Entregado"/>
    <n v="1"/>
    <n v="9"/>
    <e v="#N/A"/>
    <m/>
    <s v="Se crean las guias por error a otr destino"/>
    <s v="Novedad error destino"/>
  </r>
  <r>
    <d v="2025-03-28T00:00:00"/>
    <x v="2"/>
    <n v="2500"/>
    <x v="0"/>
    <s v="Laura Camila Barrera Hernandéz"/>
    <s v="TECULFN2"/>
    <x v="7"/>
    <n v="1"/>
    <x v="1"/>
    <s v="Bogotá y alrededores"/>
    <s v="Siberia"/>
    <s v="Despachado"/>
    <s v="Coordinadora"/>
    <s v="3204501 - 84151183822"/>
    <d v="2025-04-02T00:00:00"/>
    <d v="2025-04-03T00:00:00"/>
    <s v="Entregado"/>
    <n v="4"/>
    <n v="5"/>
    <e v="#N/A"/>
    <n v="54562"/>
    <m/>
    <m/>
  </r>
  <r>
    <d v="2025-03-28T00:00:00"/>
    <x v="2"/>
    <n v="2500"/>
    <x v="0"/>
    <s v="Laura Camila Barrera Hernandéz"/>
    <s v="TECUTLBS"/>
    <x v="61"/>
    <n v="1"/>
    <x v="2"/>
    <s v="Bogotá y alrededores"/>
    <s v="Siberia"/>
    <s v="Despachado"/>
    <s v="Coordinadora"/>
    <s v="3204514 - 84151183826"/>
    <d v="2025-04-02T00:00:00"/>
    <d v="2025-04-03T00:00:00"/>
    <s v="Entregado"/>
    <n v="4"/>
    <n v="5"/>
    <e v="#N/A"/>
    <n v="33241"/>
    <m/>
    <m/>
  </r>
  <r>
    <d v="2025-03-28T00:00:00"/>
    <x v="2"/>
    <n v="2501"/>
    <x v="0"/>
    <s v="Luis Hernando Puerto Rojas"/>
    <s v="TECU3FNPRO"/>
    <x v="12"/>
    <n v="1"/>
    <x v="1"/>
    <s v="Antioquia"/>
    <s v="Medellin"/>
    <s v="Despachado"/>
    <s v="Coordinadora"/>
    <s v="3195887 - 84151180134"/>
    <d v="2025-03-31T00:00:00"/>
    <d v="2025-04-01T00:00:00"/>
    <s v="Entregado"/>
    <n v="2"/>
    <n v="3"/>
    <s v="Cumple"/>
    <n v="42921"/>
    <m/>
    <m/>
  </r>
  <r>
    <d v="2025-03-28T00:00:00"/>
    <x v="2"/>
    <n v="2501"/>
    <x v="0"/>
    <s v="Luis Hernando Puerto Rojas"/>
    <s v="TECUTCO20C"/>
    <x v="62"/>
    <n v="1"/>
    <x v="2"/>
    <s v="Antioquia"/>
    <s v="Medellin"/>
    <s v="Despachado"/>
    <s v="Coordinadora"/>
    <s v="3195888 - 84151180135"/>
    <d v="2025-03-31T00:00:00"/>
    <d v="2025-04-01T00:00:00"/>
    <s v="Entregado"/>
    <n v="2"/>
    <n v="3"/>
    <s v="Cumple"/>
    <n v="26749"/>
    <m/>
    <m/>
  </r>
  <r>
    <d v="2025-03-28T00:00:00"/>
    <x v="2"/>
    <n v="2502"/>
    <x v="0"/>
    <s v="Fredy Marin"/>
    <s v="TECULFN2"/>
    <x v="7"/>
    <n v="1"/>
    <x v="1"/>
    <s v="Bogotá y alrededores"/>
    <s v="Bogota"/>
    <s v="Despachado"/>
    <s v="Coordinadora"/>
    <s v="3195857 - 84151180115"/>
    <d v="2025-03-31T00:00:00"/>
    <d v="2025-04-03T00:00:00"/>
    <s v="Entregado"/>
    <n v="2"/>
    <n v="5"/>
    <s v="No cumple"/>
    <n v="62530"/>
    <m/>
    <m/>
  </r>
  <r>
    <d v="2025-03-28T00:00:00"/>
    <x v="2"/>
    <n v="2502"/>
    <x v="0"/>
    <s v="Fredy Marin"/>
    <s v="TECUTLFES"/>
    <x v="63"/>
    <n v="1"/>
    <x v="2"/>
    <s v="Bogotá y alrededores"/>
    <s v="Bogota"/>
    <s v="Despachado"/>
    <s v="Coordinadora"/>
    <s v="3195858 - 84151180118"/>
    <d v="2025-03-31T00:00:00"/>
    <d v="2025-04-02T00:00:00"/>
    <s v="Entregado"/>
    <n v="2"/>
    <n v="4"/>
    <s v="No cumple"/>
    <n v="26749"/>
    <m/>
    <m/>
  </r>
  <r>
    <d v="2025-03-28T00:00:00"/>
    <x v="2"/>
    <n v="2503"/>
    <x v="0"/>
    <s v="Victor Arias"/>
    <s v="TECURCO"/>
    <x v="30"/>
    <n v="1"/>
    <x v="6"/>
    <s v="Antioquia"/>
    <s v="Itagui"/>
    <s v="Despachado"/>
    <s v="Coordinadora"/>
    <s v="3196090  - 84151180280"/>
    <d v="2025-03-31T00:00:00"/>
    <d v="2025-04-01T00:00:00"/>
    <s v="Entregado"/>
    <n v="2"/>
    <n v="3"/>
    <s v="Cumple"/>
    <n v="23429"/>
    <m/>
    <m/>
  </r>
  <r>
    <d v="2025-03-30T00:00:00"/>
    <x v="2"/>
    <n v="2504"/>
    <x v="0"/>
    <s v="Camilo Andres Talero Neita"/>
    <s v="TECURCC"/>
    <x v="42"/>
    <n v="1"/>
    <x v="6"/>
    <s v="Boyaca"/>
    <s v="Sogamoso"/>
    <s v="Despachado"/>
    <s v="Coordinadora"/>
    <s v="3196095 - 84151180284"/>
    <d v="2025-03-31T00:00:00"/>
    <d v="2025-04-02T00:00:00"/>
    <s v="Entregado"/>
    <n v="0"/>
    <n v="2"/>
    <s v="Cumple"/>
    <n v="37762"/>
    <m/>
    <m/>
  </r>
  <r>
    <d v="2025-03-31T00:00:00"/>
    <x v="2"/>
    <n v="2505"/>
    <x v="0"/>
    <s v="Estefania Granados"/>
    <s v="TECU2FBGO"/>
    <x v="2"/>
    <n v="1"/>
    <x v="1"/>
    <s v="Bogotá y alrededores"/>
    <s v="Bogota"/>
    <s v="Despachado"/>
    <s v="Coordinadora"/>
    <s v="3199745 - 84151181524"/>
    <d v="2025-04-01T00:00:00"/>
    <d v="2025-04-02T00:00:00"/>
    <s v="Entregado"/>
    <n v="1"/>
    <n v="2"/>
    <s v="Cumple"/>
    <n v="41593"/>
    <m/>
    <m/>
  </r>
  <r>
    <d v="2025-03-31T00:00:00"/>
    <x v="2"/>
    <n v="2505"/>
    <x v="0"/>
    <s v="Estefania Granados"/>
    <s v="TECUTFE6C"/>
    <x v="28"/>
    <n v="1"/>
    <x v="2"/>
    <s v="Bogotá y alrededores"/>
    <s v="Bogota"/>
    <s v="Despachado"/>
    <s v="Coordinadora"/>
    <s v="3199746 - 84151181525"/>
    <d v="2025-04-01T00:00:00"/>
    <d v="2025-04-02T00:00:00"/>
    <s v="Entregado"/>
    <n v="1"/>
    <n v="2"/>
    <s v="Cumple"/>
    <n v="24093"/>
    <m/>
    <m/>
  </r>
  <r>
    <d v="2025-03-13T00:00:00"/>
    <x v="2"/>
    <n v="2461"/>
    <x v="1"/>
    <s v="Afranio Cardona Gomez"/>
    <s v="TECUTRM8C"/>
    <x v="49"/>
    <n v="1"/>
    <x v="2"/>
    <s v="Santander"/>
    <s v="Bucaramanga"/>
    <s v="Despachado"/>
    <s v="Coordinadora"/>
    <s v="3179505 - 84151171915"/>
    <d v="2025-03-22T00:00:00"/>
    <d v="2025-03-25T00:00:00"/>
    <s v="Entregado"/>
    <n v="8"/>
    <n v="9"/>
    <s v="No cumple"/>
    <n v="43089"/>
    <m/>
    <m/>
  </r>
  <r>
    <d v="2025-04-01T00:00:00"/>
    <x v="3"/>
    <n v="2506"/>
    <x v="0"/>
    <s v="Angie Marcela Vargas Pardo"/>
    <s v="TECU2FNG"/>
    <x v="5"/>
    <n v="1"/>
    <x v="1"/>
    <s v="Antioquia"/>
    <s v="Medellin"/>
    <s v="Despachado"/>
    <s v="Coordinadora"/>
    <s v="3199774 - 84151181537"/>
    <d v="2025-04-01T00:00:00"/>
    <d v="2025-04-02T00:00:00"/>
    <s v="Entregado"/>
    <n v="0"/>
    <n v="1"/>
    <s v="Cumple"/>
    <n v="41593"/>
    <m/>
    <m/>
  </r>
  <r>
    <d v="2025-04-01T00:00:00"/>
    <x v="3"/>
    <n v="2506"/>
    <x v="0"/>
    <s v="Angie Marcela Vargas Pardo"/>
    <s v="TECUTCO6C"/>
    <x v="16"/>
    <n v="1"/>
    <x v="2"/>
    <s v="Antioquia"/>
    <s v="Medellin"/>
    <s v="Despachado"/>
    <s v="Coordinadora"/>
    <s v="3199776 - 84151181538"/>
    <d v="2025-04-01T00:00:00"/>
    <d v="2025-04-02T00:00:00"/>
    <s v="Entregado"/>
    <n v="0"/>
    <n v="1"/>
    <s v="Cumple"/>
    <n v="24093"/>
    <m/>
    <m/>
  </r>
  <r>
    <d v="2025-04-01T00:00:00"/>
    <x v="3"/>
    <n v="2506"/>
    <x v="0"/>
    <s v="Angie Marcela Vargas Pardo"/>
    <s v="TECUACO"/>
    <x v="15"/>
    <n v="1"/>
    <x v="5"/>
    <s v="Antioquia"/>
    <s v="Medellin"/>
    <s v="Despachado"/>
    <s v="Envia"/>
    <s v="3205716 - 954101187697"/>
    <d v="2025-04-01T00:00:00"/>
    <d v="2025-04-04T00:00:00"/>
    <s v="Entregado"/>
    <n v="0"/>
    <n v="3"/>
    <s v="Cumple"/>
    <n v="65582"/>
    <m/>
    <m/>
  </r>
  <r>
    <d v="2025-04-01T00:00:00"/>
    <x v="3"/>
    <n v="2506"/>
    <x v="0"/>
    <s v="Angie Marcela Vargas Pardo"/>
    <s v="TECUCT"/>
    <x v="4"/>
    <n v="1"/>
    <x v="0"/>
    <s v="Antioquia"/>
    <s v="Medellin"/>
    <s v="Despachado"/>
    <s v="Coordinadora"/>
    <s v="3199793 - 84151181545"/>
    <d v="2025-04-01T00:00:00"/>
    <d v="2025-04-02T00:00:00"/>
    <s v="Entregado"/>
    <n v="0"/>
    <n v="1"/>
    <s v="Cumple"/>
    <n v="24885"/>
    <m/>
    <m/>
  </r>
  <r>
    <d v="2025-04-02T00:00:00"/>
    <x v="3"/>
    <n v="2507"/>
    <x v="0"/>
    <s v="Juan Diego Cruz"/>
    <s v="TECUDSG"/>
    <x v="64"/>
    <n v="1"/>
    <x v="4"/>
    <s v="Bogotá y alrededores"/>
    <s v="Bogota"/>
    <s v="Despachado"/>
    <s v="Coordinadora"/>
    <s v="3202877 - 84151183025"/>
    <d v="2025-04-02T00:00:00"/>
    <d v="2025-04-03T00:00:00"/>
    <s v="Entregado"/>
    <n v="0"/>
    <n v="1"/>
    <s v="Cumple"/>
    <n v="26609"/>
    <m/>
    <m/>
  </r>
  <r>
    <d v="2025-04-04T00:00:00"/>
    <x v="3"/>
    <n v="2508"/>
    <x v="0"/>
    <s v="Esteban Salazar Zapata"/>
    <s v="TECU3FNPRO"/>
    <x v="12"/>
    <n v="1"/>
    <x v="1"/>
    <s v="Antioquia"/>
    <s v="Marinilla"/>
    <s v="Despachado"/>
    <s v="Coordinadora"/>
    <s v="3213937 - 84151185713"/>
    <d v="2025-04-04T00:00:00"/>
    <d v="2025-04-07T00:00:00"/>
    <s v="Entregado"/>
    <n v="0"/>
    <n v="2"/>
    <s v="Cumple"/>
    <n v="42921"/>
    <m/>
    <m/>
  </r>
  <r>
    <d v="2025-04-04T00:00:00"/>
    <x v="3"/>
    <n v="2508"/>
    <x v="0"/>
    <s v="Esteban Salazar Zapata"/>
    <s v="TECUTFE8C"/>
    <x v="21"/>
    <n v="1"/>
    <x v="2"/>
    <s v="Antioquia"/>
    <s v="Marinilla"/>
    <s v="Despachado"/>
    <s v="Coordinadora"/>
    <s v="3213938 - 84151185714"/>
    <d v="2025-04-04T00:00:00"/>
    <d v="2025-04-06T00:00:00"/>
    <s v="Entregado"/>
    <n v="0"/>
    <n v="1"/>
    <s v="Cumple"/>
    <n v="26749"/>
    <m/>
    <m/>
  </r>
  <r>
    <d v="2025-04-04T00:00:00"/>
    <x v="3"/>
    <n v="2509"/>
    <x v="0"/>
    <s v="Mario Alejandro Martinez Perdomo"/>
    <s v="TECU2FNG"/>
    <x v="5"/>
    <n v="1"/>
    <x v="1"/>
    <s v="Bogotá y alrededores"/>
    <s v="Bogota"/>
    <s v="Despachado"/>
    <s v="Coordinadora"/>
    <s v="3213994 - 84151185740"/>
    <d v="2025-04-04T00:00:00"/>
    <d v="2025-04-07T00:00:00"/>
    <s v="Entregado"/>
    <n v="0"/>
    <n v="2"/>
    <s v="Cumple"/>
    <n v="41593"/>
    <m/>
    <m/>
  </r>
  <r>
    <d v="2025-04-04T00:00:00"/>
    <x v="3"/>
    <n v="2509"/>
    <x v="0"/>
    <s v="Mario Alejandro Martinez Perdomo"/>
    <s v="TECUTFE5C"/>
    <x v="29"/>
    <n v="1"/>
    <x v="2"/>
    <s v="Bogotá y alrededores"/>
    <s v="Bogota"/>
    <s v="Despachado"/>
    <s v="Coordinadora"/>
    <s v="3213995 - 84151185741"/>
    <d v="2025-04-04T00:00:00"/>
    <d v="2025-04-07T00:00:00"/>
    <s v="Entregado"/>
    <n v="0"/>
    <n v="2"/>
    <s v="Cumple"/>
    <n v="24093"/>
    <m/>
    <m/>
  </r>
  <r>
    <d v="2025-04-04T00:00:00"/>
    <x v="3"/>
    <n v="2510"/>
    <x v="0"/>
    <s v="Rafael del castillo &amp; cia sa"/>
    <s v="TECU3FNPRO"/>
    <x v="12"/>
    <n v="1"/>
    <x v="1"/>
    <s v="Cartagena"/>
    <s v="Cartagena"/>
    <s v="Despachado"/>
    <s v="Coordinadora"/>
    <s v="3230437-84151191223"/>
    <d v="2025-04-09T15:17:17"/>
    <d v="2025-04-11T14:36:39"/>
    <s v="Entregado"/>
    <n v="4"/>
    <n v="6"/>
    <s v="No cumple"/>
    <n v="47787"/>
    <m/>
    <m/>
  </r>
  <r>
    <d v="2025-04-04T00:00:00"/>
    <x v="3"/>
    <n v="2510"/>
    <x v="0"/>
    <s v="Rafael del castillo &amp; cia sa"/>
    <s v="TECUTRM5C"/>
    <x v="27"/>
    <n v="1"/>
    <x v="2"/>
    <s v="Cartagena"/>
    <s v="Cartagena"/>
    <s v="Despachado"/>
    <s v="Coordinadora"/>
    <s v="3230439-84151191225"/>
    <d v="2025-04-09T15:17:17"/>
    <d v="2025-04-11T14:36:39"/>
    <s v="Entregado"/>
    <n v="4"/>
    <n v="6"/>
    <s v="No cumple"/>
    <n v="38578"/>
    <m/>
    <m/>
  </r>
  <r>
    <d v="2025-04-04T00:00:00"/>
    <x v="3"/>
    <n v="2510"/>
    <x v="0"/>
    <s v="Rafael del castillo &amp; cia sa"/>
    <s v="TECUCT"/>
    <x v="4"/>
    <n v="1"/>
    <x v="0"/>
    <s v="Cartagena"/>
    <s v="Cartagena"/>
    <s v="Despachado"/>
    <s v="Coordinadora"/>
    <s v="3230442-84151191228"/>
    <d v="2025-04-09T15:17:17"/>
    <d v="2025-04-11T14:36:39"/>
    <s v="Entregado"/>
    <n v="4"/>
    <n v="6"/>
    <s v="No cumple"/>
    <n v="22920"/>
    <m/>
    <m/>
  </r>
  <r>
    <d v="2025-04-05T00:00:00"/>
    <x v="3"/>
    <n v="2511"/>
    <x v="0"/>
    <s v="Julian David Montero Gonzalez"/>
    <s v="TECU3FNPRO"/>
    <x v="12"/>
    <n v="1"/>
    <x v="1"/>
    <s v="Huila"/>
    <s v="Neiva"/>
    <s v="Despachado"/>
    <s v="Coordinadora"/>
    <s v="3223029-84151187944"/>
    <d v="2025-04-07T16:17:07"/>
    <d v="2025-04-09T17:25:22"/>
    <s v="Entregado"/>
    <n v="1"/>
    <n v="3"/>
    <s v="Cumple"/>
    <n v="47787"/>
    <m/>
    <m/>
  </r>
  <r>
    <d v="2025-04-05T00:00:00"/>
    <x v="3"/>
    <n v="2511"/>
    <x v="0"/>
    <s v="Julian David Montero Gonzalez"/>
    <s v="TECUTFE6M"/>
    <x v="47"/>
    <n v="1"/>
    <x v="2"/>
    <s v="Huila"/>
    <s v="Neiva"/>
    <s v="Despachado"/>
    <s v="Coordinadora"/>
    <s v="3223030-84151187946"/>
    <d v="2025-04-07T16:15:15"/>
    <d v="2025-04-09T17:57:23"/>
    <s v="Entregado"/>
    <n v="1"/>
    <n v="3"/>
    <s v="Cumple"/>
    <n v="38578"/>
    <m/>
    <m/>
  </r>
  <r>
    <d v="2025-04-05T00:00:00"/>
    <x v="3"/>
    <n v="2512"/>
    <x v="0"/>
    <s v="Juan David ballesteros"/>
    <s v="TECU3FBRO"/>
    <x v="34"/>
    <n v="1"/>
    <x v="1"/>
    <s v="Bogotá y alrededores"/>
    <s v="Bogota"/>
    <s v="Despachado"/>
    <s v="Coordinadora"/>
    <s v="3222672-84151187728"/>
    <d v="2025-04-07T16:17:07"/>
    <d v="2025-04-09T15:36:23"/>
    <s v="Entregado"/>
    <n v="1"/>
    <n v="3"/>
    <s v="Cumple"/>
    <n v="28241"/>
    <m/>
    <m/>
  </r>
  <r>
    <d v="2025-04-05T00:00:00"/>
    <x v="3"/>
    <n v="2512"/>
    <x v="0"/>
    <s v="Juan David ballesteros"/>
    <s v="TECUTRN6C"/>
    <x v="20"/>
    <n v="1"/>
    <x v="2"/>
    <s v="Bogotá y alrededores"/>
    <s v="Bogota"/>
    <s v="Despachado"/>
    <s v="Coordinadora"/>
    <s v="3222674-84151187730"/>
    <d v="2025-04-07T16:15:15"/>
    <d v="2025-04-09T15:36:23"/>
    <s v="Entregado"/>
    <n v="1"/>
    <n v="3"/>
    <s v="Cumple"/>
    <n v="23593"/>
    <m/>
    <m/>
  </r>
  <r>
    <d v="2025-04-07T00:00:00"/>
    <x v="3"/>
    <n v="2513"/>
    <x v="0"/>
    <s v="Andrea Beltran Salazar"/>
    <s v="TECU2FBGO"/>
    <x v="2"/>
    <n v="1"/>
    <x v="1"/>
    <s v="Bogotá y alrededores"/>
    <s v="Zipaquira"/>
    <s v="Despachado"/>
    <s v="Coordinadora"/>
    <s v="3222689-84151187740"/>
    <d v="2025-04-07T16:17:07"/>
    <d v="2025-04-09T19:17:03"/>
    <s v="Entregado"/>
    <n v="0"/>
    <n v="2"/>
    <s v="Cumple"/>
    <n v="39191"/>
    <m/>
    <m/>
  </r>
  <r>
    <d v="2025-04-07T00:00:00"/>
    <x v="3"/>
    <n v="2513"/>
    <x v="0"/>
    <s v="Andrea Beltran Salazar"/>
    <s v="TECUTFE2C"/>
    <x v="3"/>
    <n v="1"/>
    <x v="2"/>
    <s v="Bogotá y alrededores"/>
    <s v="Zipaquira"/>
    <s v="Despachado"/>
    <s v="Coordinadora"/>
    <s v="3222691-84151187741"/>
    <d v="2025-04-07T16:15:15"/>
    <d v="2025-04-09T19:17:03"/>
    <s v="Entregado"/>
    <n v="0"/>
    <n v="2"/>
    <s v="Cumple"/>
    <n v="33679"/>
    <m/>
    <m/>
  </r>
  <r>
    <d v="2025-04-07T00:00:00"/>
    <x v="3"/>
    <n v="2514"/>
    <x v="0"/>
    <s v="José Miguel Dueñas Torres"/>
    <s v="TECU2FNG"/>
    <x v="5"/>
    <n v="1"/>
    <x v="1"/>
    <s v="Bogotá y alrededores"/>
    <s v="Bogota"/>
    <s v="Despachado"/>
    <s v="Coordinadora"/>
    <s v="3223053-84151187965"/>
    <d v="2025-04-07T16:17:07"/>
    <d v="2025-04-10T11:20:58"/>
    <s v="Entregado"/>
    <n v="0"/>
    <n v="3"/>
    <s v="Cumple"/>
    <n v="26913"/>
    <m/>
    <m/>
  </r>
  <r>
    <d v="2025-04-07T00:00:00"/>
    <x v="3"/>
    <n v="2514"/>
    <x v="0"/>
    <s v="José Miguel Dueñas Torres"/>
    <s v="TECUTCO2C"/>
    <x v="37"/>
    <n v="1"/>
    <x v="2"/>
    <s v="Bogotá y alrededores"/>
    <s v="Bogota"/>
    <s v="Despachado"/>
    <s v="Coordinadora"/>
    <s v="3223055-84151187967"/>
    <d v="2025-04-07T16:15:15"/>
    <d v="2025-04-10T11:20:57"/>
    <s v="Entregado"/>
    <n v="0"/>
    <n v="3"/>
    <s v="Cumple"/>
    <n v="23593"/>
    <m/>
    <m/>
  </r>
  <r>
    <d v="2025-04-07T00:00:00"/>
    <x v="3"/>
    <n v="2514"/>
    <x v="0"/>
    <s v="José Miguel Dueñas Torres"/>
    <s v="TECUACO"/>
    <x v="15"/>
    <n v="1"/>
    <x v="5"/>
    <s v="Bogotá y alrededores"/>
    <s v="Bogota"/>
    <s v="Despachado"/>
    <s v="Envia"/>
    <s v="3226991-954101191266"/>
    <d v="2025-04-08T17:18:00"/>
    <d v="2025-04-09T16:32:00"/>
    <s v="Entregado"/>
    <n v="1"/>
    <n v="2"/>
    <s v="Cumple"/>
    <n v="54929"/>
    <m/>
    <m/>
  </r>
  <r>
    <d v="2025-04-07T00:00:00"/>
    <x v="3"/>
    <n v="2514"/>
    <x v="0"/>
    <s v="José Miguel Dueñas Torres"/>
    <s v="TECURCO"/>
    <x v="30"/>
    <n v="1"/>
    <x v="6"/>
    <s v="Bogotá y alrededores"/>
    <s v="Bogota"/>
    <s v="Despachado"/>
    <s v="Coordinadora"/>
    <s v="3222769-84151187791"/>
    <d v="2025-04-07T16:17:07"/>
    <d v="2025-04-09T10:54:43"/>
    <s v="Entregado"/>
    <n v="0"/>
    <n v="2"/>
    <s v="Cumple"/>
    <n v="22929"/>
    <m/>
    <m/>
  </r>
  <r>
    <d v="2025-04-07T00:00:00"/>
    <x v="3"/>
    <n v="2514"/>
    <x v="0"/>
    <s v="José Miguel Dueñas Torres"/>
    <s v="TECUCT"/>
    <x v="4"/>
    <n v="1"/>
    <x v="0"/>
    <s v="Bogotá y alrededores"/>
    <s v="Bogota"/>
    <s v="Despachado"/>
    <s v="Coordinadora"/>
    <s v="3222754-84151187780"/>
    <d v="2025-04-07T16:17:07"/>
    <d v="2025-04-09T10:54:43"/>
    <s v="Entregado"/>
    <n v="0"/>
    <n v="2"/>
    <s v="Cumple"/>
    <n v="22920"/>
    <m/>
    <m/>
  </r>
  <r>
    <d v="2025-04-08T00:00:00"/>
    <x v="3"/>
    <n v="2515"/>
    <x v="0"/>
    <s v="Luis Landkoer"/>
    <s v="TECU3FNCRO"/>
    <x v="55"/>
    <n v="1"/>
    <x v="1"/>
    <s v="Bogotá y alrededores"/>
    <s v="Bogota"/>
    <s v="Despachado"/>
    <s v="Coordinadora"/>
    <s v="3227044-84151189694"/>
    <d v="2025-04-08T17:14:08"/>
    <d v="2025-04-10T10:56:50"/>
    <s v="Entregado"/>
    <n v="0"/>
    <n v="2"/>
    <s v="Cumple"/>
    <n v="28241"/>
    <m/>
    <m/>
  </r>
  <r>
    <d v="2025-04-08T00:00:00"/>
    <x v="3"/>
    <n v="2515"/>
    <x v="0"/>
    <s v="Luis Landkoer"/>
    <s v="TECUTFE6C"/>
    <x v="28"/>
    <n v="1"/>
    <x v="2"/>
    <s v="Bogotá y alrededores"/>
    <s v="Bogota"/>
    <s v="Despachado"/>
    <s v="Coordinadora"/>
    <s v="3227045-84151189695"/>
    <d v="2025-04-08T17:14:08"/>
    <d v="2025-04-11T10:40:20"/>
    <s v="Entregado"/>
    <n v="0"/>
    <n v="3"/>
    <s v="Cumple"/>
    <n v="23593"/>
    <m/>
    <m/>
  </r>
  <r>
    <d v="2025-04-08T00:00:00"/>
    <x v="3"/>
    <n v="2515"/>
    <x v="0"/>
    <s v="Luis Landkoer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4-08T00:00:00"/>
    <x v="3"/>
    <n v="2516"/>
    <x v="0"/>
    <s v="Rigoberto Castelblanco / HUSKY IMS COLOMBIA LTD"/>
    <s v="TECU3FNPRO"/>
    <x v="12"/>
    <n v="1"/>
    <x v="1"/>
    <s v="Bogotá y alrededores"/>
    <s v="Bogota"/>
    <s v="Despachado"/>
    <s v="Coordinadora"/>
    <s v="3278750- 84151210701"/>
    <d v="2025-05-02T00:00:00"/>
    <d v="2025-05-05T00:00:00"/>
    <s v="Entregado"/>
    <n v="18"/>
    <n v="20"/>
    <s v="No cumple"/>
    <n v="42921"/>
    <n v="42921"/>
    <m/>
  </r>
  <r>
    <d v="2025-04-08T00:00:00"/>
    <x v="3"/>
    <n v="2516"/>
    <x v="0"/>
    <s v="Rigoberto Castelblanco / HUSKY IMS COLOMBIA LTD"/>
    <s v="TECU3FNPRO"/>
    <x v="12"/>
    <n v="1"/>
    <x v="1"/>
    <s v="Bogotá y alrededores"/>
    <s v="Bogota"/>
    <s v="Despachado"/>
    <s v="Coordinadora"/>
    <s v="3278759 - 84151210707"/>
    <d v="2025-05-02T00:00:00"/>
    <d v="2025-05-05T00:00:00"/>
    <s v="Entregado"/>
    <n v="18"/>
    <n v="20"/>
    <s v="No cumple"/>
    <n v="42921"/>
    <n v="42921"/>
    <m/>
  </r>
  <r>
    <d v="2025-04-08T00:00:00"/>
    <x v="3"/>
    <n v="2516"/>
    <x v="0"/>
    <s v="Rigoberto Castelblanco / HUSKY IMS COLOMBIA LTD"/>
    <s v="TECUTCO5C"/>
    <x v="51"/>
    <n v="1"/>
    <x v="2"/>
    <s v="Bogotá y alrededores"/>
    <s v="Bogota"/>
    <s v="Despachado"/>
    <s v="Coordinadora"/>
    <s v="3278751- 84151210702"/>
    <d v="2025-05-02T00:00:00"/>
    <d v="2025-05-05T00:00:00"/>
    <s v="Entregado"/>
    <n v="18"/>
    <n v="20"/>
    <s v="No cumple"/>
    <n v="24093"/>
    <n v="24093"/>
    <m/>
  </r>
  <r>
    <d v="2025-04-08T00:00:00"/>
    <x v="3"/>
    <n v="2516"/>
    <x v="0"/>
    <s v="Rigoberto Castelblanco / HUSKY IMS COLOMBIA LTD"/>
    <s v="TECUTCO2C"/>
    <x v="37"/>
    <n v="1"/>
    <x v="2"/>
    <s v="Bogotá y alrededores"/>
    <s v="Bogota"/>
    <s v="Despachado"/>
    <s v="Coordinadora"/>
    <s v="3278760- 84151210708"/>
    <d v="2025-05-02T00:00:00"/>
    <d v="2025-05-05T00:00:00"/>
    <s v="Entregado"/>
    <n v="18"/>
    <n v="20"/>
    <s v="No cumple"/>
    <n v="54929"/>
    <n v="54929"/>
    <m/>
  </r>
  <r>
    <d v="2025-04-08T00:00:00"/>
    <x v="3"/>
    <n v="2516"/>
    <x v="0"/>
    <s v="Rigoberto Castelblanco / HUSKY IMS COLOMBIA LTD"/>
    <s v="TECUACO"/>
    <x v="15"/>
    <n v="1"/>
    <x v="5"/>
    <s v="Bogotá y alrededores"/>
    <s v="Bogota"/>
    <s v="Despachado"/>
    <s v="Envia"/>
    <s v="3269598 - 954101203551"/>
    <d v="2025-04-28T00:00:00"/>
    <d v="2025-04-29T00:00:00"/>
    <s v="Entregado"/>
    <n v="15"/>
    <n v="16"/>
    <s v="No cumple"/>
    <n v="54929"/>
    <n v="54929"/>
    <m/>
  </r>
  <r>
    <d v="2025-04-11T00:00:00"/>
    <x v="3"/>
    <n v="2517"/>
    <x v="0"/>
    <s v="Willington Soto Vivescas"/>
    <s v="TECU3FNCRO"/>
    <x v="55"/>
    <n v="1"/>
    <x v="1"/>
    <s v="Santander"/>
    <s v="Bucaramanga"/>
    <s v="Despachado"/>
    <s v="Coordinadora"/>
    <s v="3242140-84151195687"/>
    <d v="2025-04-14T15:58:27"/>
    <d v="2025-04-19T15:05:54"/>
    <s v="Entregado"/>
    <n v="2"/>
    <n v="5"/>
    <s v="No cumple"/>
    <n v="41397"/>
    <m/>
    <m/>
  </r>
  <r>
    <d v="2025-04-11T00:00:00"/>
    <x v="3"/>
    <n v="2517"/>
    <x v="0"/>
    <s v="Willington Soto Vivescas"/>
    <s v="TECUTCO8C"/>
    <x v="19"/>
    <n v="1"/>
    <x v="2"/>
    <s v="Santander"/>
    <s v="Bucaramanga"/>
    <s v="Despachado"/>
    <s v="Coordinadora"/>
    <s v="3242141-84151195688"/>
    <d v="2025-04-14T15:58:27"/>
    <d v="2025-04-19T15:05:53"/>
    <s v="Entregado"/>
    <n v="2"/>
    <n v="5"/>
    <s v="No cumple"/>
    <n v="38089"/>
    <m/>
    <m/>
  </r>
  <r>
    <d v="2025-04-11T00:00:00"/>
    <x v="3"/>
    <n v="2517"/>
    <x v="0"/>
    <s v="Willington Soto Vivescas"/>
    <s v="TECUBDPM"/>
    <x v="0"/>
    <n v="1"/>
    <x v="0"/>
    <s v="Santander"/>
    <s v="Bucaramanga"/>
    <s v="Despachado"/>
    <s v="Coordinadora"/>
    <s v="3242151-84151195696"/>
    <d v="2025-04-14T15:58:27"/>
    <d v="2025-04-19T15:05:53"/>
    <s v="Entregado"/>
    <n v="2"/>
    <n v="5"/>
    <s v="No cumple"/>
    <n v="15152"/>
    <m/>
    <m/>
  </r>
  <r>
    <d v="2025-04-11T00:00:00"/>
    <x v="3"/>
    <n v="2517"/>
    <x v="0"/>
    <s v="Willington Soto Vivescas"/>
    <s v="TECUCT"/>
    <x v="4"/>
    <n v="1"/>
    <x v="0"/>
    <s v="Santander"/>
    <s v="Bucaramanga"/>
    <s v="Despachado"/>
    <s v="Coordinadora"/>
    <s v="3242162-84151195701"/>
    <d v="2025-04-14T15:58:27"/>
    <d v="2025-04-19T15:05:54"/>
    <s v="Entregado"/>
    <n v="2"/>
    <n v="5"/>
    <s v="No cumple"/>
    <n v="22920"/>
    <m/>
    <m/>
  </r>
  <r>
    <d v="2025-04-12T00:00:00"/>
    <x v="3"/>
    <n v="2518"/>
    <x v="0"/>
    <s v="Ronald Rengifo"/>
    <s v="TECU3FNPRO"/>
    <x v="12"/>
    <n v="1"/>
    <x v="1"/>
    <s v="Antioquia"/>
    <s v="Medellin"/>
    <s v="Despachado"/>
    <s v="Coordinadora"/>
    <s v="3243367-84151196160"/>
    <d v="2025-04-15T16:02:10"/>
    <d v="2025-04-19T09:31:47"/>
    <s v="Entregado"/>
    <n v="2"/>
    <n v="4"/>
    <s v="No cumple"/>
    <n v="28241"/>
    <m/>
    <m/>
  </r>
  <r>
    <d v="2025-04-12T00:00:00"/>
    <x v="3"/>
    <n v="2518"/>
    <x v="0"/>
    <s v="Ronald Rengifo"/>
    <s v="TECUTRN20C"/>
    <x v="65"/>
    <n v="1"/>
    <x v="2"/>
    <s v="Antioquia"/>
    <s v="Medellin"/>
    <s v="Despachado"/>
    <s v="Coordinadora"/>
    <s v="3243368-84151196161"/>
    <d v="2025-04-15T16:02:10"/>
    <d v="2025-04-19T09:31:47"/>
    <s v="Entregado"/>
    <n v="2"/>
    <n v="4"/>
    <s v="No cumple"/>
    <n v="26249"/>
    <m/>
    <m/>
  </r>
  <r>
    <d v="2025-04-12T00:00:00"/>
    <x v="3"/>
    <n v="2519"/>
    <x v="0"/>
    <s v="Adrian Moya"/>
    <s v="TECU2FBGO"/>
    <x v="2"/>
    <n v="1"/>
    <x v="1"/>
    <s v="Antioquia"/>
    <s v="Medellin"/>
    <s v="Despachado"/>
    <s v="Coordinadora"/>
    <s v="3240492-84151194821"/>
    <d v="2025-04-14T15:58:27"/>
    <d v="2025-04-15T07:36:03"/>
    <s v="Entregado"/>
    <n v="1"/>
    <n v="2"/>
    <s v="Cumple"/>
    <n v="26913"/>
    <m/>
    <m/>
  </r>
  <r>
    <d v="2025-04-12T00:00:00"/>
    <x v="3"/>
    <n v="2519"/>
    <x v="0"/>
    <s v="Adrian Moya"/>
    <s v="TECUTFE5C"/>
    <x v="29"/>
    <n v="1"/>
    <x v="2"/>
    <s v="Antioquia"/>
    <s v="Medellin"/>
    <s v="Despachado"/>
    <s v="Coordinadora"/>
    <s v="3240493-84151194822"/>
    <d v="2025-04-14T15:58:27"/>
    <d v="2025-04-15T07:36:03"/>
    <s v="Entregado"/>
    <n v="1"/>
    <n v="2"/>
    <s v="Cumple"/>
    <n v="23593"/>
    <m/>
    <m/>
  </r>
  <r>
    <d v="2025-04-12T00:00:00"/>
    <x v="3"/>
    <n v="2519"/>
    <x v="0"/>
    <s v="Adrian Moya"/>
    <s v="TECUROD"/>
    <x v="31"/>
    <n v="1"/>
    <x v="7"/>
    <s v="Antioquia"/>
    <s v="Medellin"/>
    <s v="Despachado"/>
    <s v="Coordinadora"/>
    <s v="3240532-84151194845"/>
    <d v="2025-04-14T15:58:27"/>
    <d v="2025-04-15T07:36:03"/>
    <s v="Entregado"/>
    <n v="1"/>
    <n v="2"/>
    <s v="Cumple"/>
    <n v="22920"/>
    <m/>
    <m/>
  </r>
  <r>
    <d v="2025-04-12T00:00:00"/>
    <x v="3"/>
    <n v="2519"/>
    <x v="0"/>
    <s v="Adrian Moya"/>
    <s v="TECUCT"/>
    <x v="4"/>
    <n v="1"/>
    <x v="0"/>
    <s v="Antioquia"/>
    <s v="Medellin"/>
    <s v="Despachado"/>
    <s v="Coordinadora"/>
    <s v="3241373-84151195322"/>
    <d v="2025-04-14T15:58:27"/>
    <d v="2025-04-15T07:36:03"/>
    <s v="Entregado"/>
    <n v="1"/>
    <n v="2"/>
    <s v="Cumple"/>
    <n v="22920"/>
    <m/>
    <m/>
  </r>
  <r>
    <d v="2025-04-12T00:00:00"/>
    <x v="3"/>
    <n v="2519"/>
    <x v="0"/>
    <s v="Adrian Moya"/>
    <s v="TECUDSG"/>
    <x v="64"/>
    <n v="1"/>
    <x v="4"/>
    <s v="Antioquia"/>
    <s v="Medellin"/>
    <s v="Despachado"/>
    <s v="Coordinadora"/>
    <s v="3240547-84151194859"/>
    <d v="2025-04-14T15:58:27"/>
    <d v="2025-04-15T07:36:03"/>
    <s v="Entregado"/>
    <n v="1"/>
    <n v="2"/>
    <s v="Cumple"/>
    <n v="22929"/>
    <m/>
    <m/>
  </r>
  <r>
    <d v="2025-04-12T00:00:00"/>
    <x v="3"/>
    <n v="2519"/>
    <x v="0"/>
    <s v="Adrian Moya"/>
    <s v="TECURCC"/>
    <x v="42"/>
    <n v="1"/>
    <x v="6"/>
    <s v="Antioquia"/>
    <s v="Medellin"/>
    <s v="Despachado"/>
    <s v="Coordinadora"/>
    <s v="NA"/>
    <d v="2025-04-14T15:58:27"/>
    <d v="2025-04-15T07:36:03"/>
    <s v="Entregado"/>
    <n v="1"/>
    <n v="2"/>
    <s v="Cumple"/>
    <n v="0"/>
    <m/>
    <m/>
  </r>
  <r>
    <d v="2025-04-12T00:00:00"/>
    <x v="3"/>
    <n v="2519"/>
    <x v="0"/>
    <s v="Adrian Moya"/>
    <s v="TECUBDPM"/>
    <x v="0"/>
    <n v="1"/>
    <x v="0"/>
    <s v="Antioquia"/>
    <s v="Medellin"/>
    <s v="Despachado"/>
    <s v="Coordinadora"/>
    <s v="3240516-84151194831"/>
    <d v="2025-04-14T15:58:27"/>
    <d v="2025-04-15T07:36:03"/>
    <s v="Entregado"/>
    <n v="1"/>
    <n v="2"/>
    <s v="Cumple"/>
    <n v="15152"/>
    <m/>
    <m/>
  </r>
  <r>
    <d v="2025-04-12T00:00:00"/>
    <x v="3"/>
    <n v="2520"/>
    <x v="0"/>
    <s v="Jose David Ludian Cohen"/>
    <s v="TECU3FNPRO"/>
    <x v="12"/>
    <n v="1"/>
    <x v="1"/>
    <s v="Antioquia"/>
    <s v="Rionegro"/>
    <s v="Despachado"/>
    <s v="Coordinadora"/>
    <s v="3240730-84151194968"/>
    <d v="2025-04-14T15:58:27"/>
    <d v="2025-04-15T16:26:35"/>
    <s v="Entregado"/>
    <n v="1"/>
    <n v="2"/>
    <s v="Cumple"/>
    <n v="28241"/>
    <m/>
    <m/>
  </r>
  <r>
    <d v="2025-04-12T00:00:00"/>
    <x v="3"/>
    <n v="2520"/>
    <x v="0"/>
    <s v="Jose David Ludian Cohen"/>
    <s v="TECUTCO8C"/>
    <x v="19"/>
    <n v="1"/>
    <x v="2"/>
    <s v="Antioquia"/>
    <s v="Rionegro"/>
    <s v="Despachado"/>
    <s v="Coordinadora"/>
    <s v="3240731-84151194969"/>
    <d v="2025-04-14T15:58:27"/>
    <d v="2025-04-15T16:26:35"/>
    <s v="Entregado"/>
    <n v="1"/>
    <n v="2"/>
    <s v="Cumple"/>
    <n v="26249"/>
    <m/>
    <m/>
  </r>
  <r>
    <d v="2025-04-12T00:00:00"/>
    <x v="3"/>
    <n v="2520"/>
    <x v="0"/>
    <s v="Jose David Ludian Cohen"/>
    <m/>
    <x v="10"/>
    <n v="1"/>
    <x v="3"/>
    <s v="Antioquia"/>
    <s v="Rionegro"/>
    <s v="Instalacion"/>
    <s v="NA"/>
    <s v="NA"/>
    <s v="NA"/>
    <s v="NA"/>
    <s v="Entregado"/>
    <s v="PTE"/>
    <e v="#VALUE!"/>
    <e v="#VALUE!"/>
    <n v="0"/>
    <m/>
    <m/>
  </r>
  <r>
    <d v="2025-04-14T00:00:00"/>
    <x v="3"/>
    <n v="2521"/>
    <x v="0"/>
    <s v="Jose David Ludian Cohen"/>
    <s v="TECURCO"/>
    <x v="30"/>
    <n v="1"/>
    <x v="6"/>
    <s v="Antioquia"/>
    <s v="Rionegro"/>
    <s v="Despachado"/>
    <s v="Coordinadora"/>
    <s v="NA"/>
    <d v="2025-04-14T15:58:27"/>
    <d v="2025-04-15T16:26:35"/>
    <s v="Entregado"/>
    <n v="0"/>
    <n v="1"/>
    <s v="Cumple"/>
    <n v="0"/>
    <m/>
    <m/>
  </r>
  <r>
    <d v="2025-04-14T00:00:00"/>
    <x v="3"/>
    <n v="2522"/>
    <x v="0"/>
    <s v="Carlos Contreras"/>
    <s v="TECU3FNPRO"/>
    <x v="12"/>
    <n v="1"/>
    <x v="1"/>
    <s v="Bogotá y alrededores"/>
    <s v="Bogota"/>
    <s v="Despachado"/>
    <s v="Coordinadora"/>
    <s v="3243391-84151196175"/>
    <d v="2025-04-15T16:02:10"/>
    <d v="2025-04-19T11:04:27"/>
    <s v="Entregado"/>
    <n v="1"/>
    <n v="3"/>
    <s v="Cumple"/>
    <n v="28241"/>
    <m/>
    <m/>
  </r>
  <r>
    <d v="2025-04-14T00:00:00"/>
    <x v="3"/>
    <n v="2522"/>
    <x v="0"/>
    <s v="Carlos Contreras"/>
    <s v="TECUTFE8M"/>
    <x v="33"/>
    <n v="1"/>
    <x v="2"/>
    <s v="Bogotá y alrededores"/>
    <s v="Bogota"/>
    <s v="Despachado"/>
    <s v="Coordinadora"/>
    <s v="3243392-84151196176"/>
    <d v="2025-04-15T16:02:10"/>
    <d v="2025-04-19T11:04:27"/>
    <s v="Entregado"/>
    <n v="1"/>
    <n v="3"/>
    <s v="Cumple"/>
    <n v="26249"/>
    <m/>
    <m/>
  </r>
  <r>
    <d v="2025-04-14T00:00:00"/>
    <x v="3"/>
    <n v="2522"/>
    <x v="0"/>
    <s v="Carlos Contreras"/>
    <s v="TECUCT"/>
    <x v="4"/>
    <n v="1"/>
    <x v="0"/>
    <s v="Bogotá y alrededores"/>
    <s v="Bogota"/>
    <s v="Despachado"/>
    <s v="Coordinadora"/>
    <s v="3243396-84151196178"/>
    <d v="2025-04-15T16:02:10"/>
    <d v="2025-04-19T11:04:27"/>
    <s v="Entregado"/>
    <n v="1"/>
    <n v="3"/>
    <s v="Cumple"/>
    <n v="22920"/>
    <m/>
    <m/>
  </r>
  <r>
    <d v="2025-04-14T00:00:00"/>
    <x v="3"/>
    <n v="2522"/>
    <x v="0"/>
    <s v="Carlos Contreras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4-14T00:00:00"/>
    <x v="3"/>
    <n v="2522"/>
    <x v="1"/>
    <s v="Carlos Contreras"/>
    <s v="TECUTFE8M"/>
    <x v="33"/>
    <n v="1"/>
    <x v="2"/>
    <s v="Bogotá y alrededores"/>
    <s v="Bogota"/>
    <s v="Despachado"/>
    <s v="Coordinadora"/>
    <s v="3253757-84151200430"/>
    <d v="2025-04-21T15:57:44"/>
    <d v="2025-04-22T16:40:34"/>
    <s v="Entregado"/>
    <n v="4"/>
    <n v="5"/>
    <s v="No cumple"/>
    <n v="26249"/>
    <m/>
    <m/>
  </r>
  <r>
    <d v="2025-04-14T00:00:00"/>
    <x v="3"/>
    <n v="2522"/>
    <x v="1"/>
    <s v="Carlos Contreras"/>
    <s v="TECU3FNPRO"/>
    <x v="12"/>
    <n v="1"/>
    <x v="1"/>
    <s v="Bogotá y alrededores"/>
    <s v="Bogota"/>
    <s v="Despachado"/>
    <s v="Coordinadora"/>
    <s v="3270225-84151207153"/>
    <d v="2025-04-28T15:17:25"/>
    <d v="2025-04-29T00:00:00"/>
    <s v="Entregado"/>
    <n v="10"/>
    <n v="11"/>
    <s v="No cumple"/>
    <n v="28241"/>
    <m/>
    <m/>
  </r>
  <r>
    <d v="2025-04-15T00:00:00"/>
    <x v="3"/>
    <n v="2523"/>
    <x v="0"/>
    <s v="Jonathan Acero"/>
    <s v="TECUROD"/>
    <x v="31"/>
    <n v="1"/>
    <x v="7"/>
    <s v="Bogotá y alrededores"/>
    <s v="Chía"/>
    <s v="Despachado"/>
    <s v="Coordinadora"/>
    <s v="3243414-84151196181"/>
    <d v="2025-04-15T16:02:10"/>
    <d v="2025-04-19T11:28:43"/>
    <s v="Entregado"/>
    <n v="0"/>
    <n v="2"/>
    <e v="#N/A"/>
    <n v="22920"/>
    <m/>
    <m/>
  </r>
  <r>
    <d v="2025-04-15T00:00:00"/>
    <x v="3"/>
    <n v="2524"/>
    <x v="0"/>
    <s v="Adrian Cardona"/>
    <s v="TECU2FNG"/>
    <x v="5"/>
    <n v="1"/>
    <x v="1"/>
    <s v="Antioquia"/>
    <s v="Medellin"/>
    <s v="Despachado"/>
    <s v="Coordinadora"/>
    <s v="3243462-84151196208"/>
    <d v="2025-04-15T16:02:10"/>
    <d v="2025-04-16T08:12:14"/>
    <s v="Entregado"/>
    <n v="0"/>
    <n v="1"/>
    <s v="Cumple"/>
    <n v="26913"/>
    <m/>
    <m/>
  </r>
  <r>
    <d v="2025-04-15T00:00:00"/>
    <x v="3"/>
    <n v="2524"/>
    <x v="0"/>
    <s v="Adrian Cardona"/>
    <s v="TECUTCO6C"/>
    <x v="16"/>
    <n v="1"/>
    <x v="2"/>
    <s v="Antioquia"/>
    <s v="Medellin"/>
    <s v="Despachado"/>
    <s v="Coordinadora"/>
    <s v="3243463-84151196210"/>
    <d v="2025-04-15T16:02:10"/>
    <d v="2025-04-16T08:12:14"/>
    <s v="Entregado"/>
    <n v="0"/>
    <n v="1"/>
    <s v="Cumple"/>
    <n v="23593"/>
    <m/>
    <m/>
  </r>
  <r>
    <d v="2025-04-15T00:00:00"/>
    <x v="3"/>
    <n v="2525"/>
    <x v="0"/>
    <s v="Doris Rodríguez"/>
    <s v="TECU2FBGO"/>
    <x v="2"/>
    <n v="1"/>
    <x v="1"/>
    <s v="Bogotá y alrededores"/>
    <s v="Bogota"/>
    <s v="Despachado"/>
    <s v="Coordinadora"/>
    <s v="3243753-84151196341"/>
    <d v="2025-04-15T16:02:10"/>
    <d v="2025-04-22T15:21:02"/>
    <s v="Entregado"/>
    <n v="0"/>
    <n v="4"/>
    <s v="No cumple"/>
    <n v="26913"/>
    <m/>
    <m/>
  </r>
  <r>
    <d v="2025-04-15T00:00:00"/>
    <x v="3"/>
    <n v="2525"/>
    <x v="0"/>
    <s v="Doris Rodríguez"/>
    <s v="TECUTFE2C"/>
    <x v="3"/>
    <n v="1"/>
    <x v="2"/>
    <s v="Bogotá y alrededores"/>
    <s v="Bogota"/>
    <s v="Despachado"/>
    <s v="Coordinadora"/>
    <s v="3243756-84151196342"/>
    <d v="2025-04-15T16:02:10"/>
    <d v="2025-04-22T15:21:02"/>
    <s v="Entregado"/>
    <n v="0"/>
    <n v="4"/>
    <s v="No cumple"/>
    <n v="23593"/>
    <m/>
    <m/>
  </r>
  <r>
    <d v="2025-04-15T00:00:00"/>
    <x v="3"/>
    <n v="2526"/>
    <x v="0"/>
    <s v="Arturo Diuza Cuero"/>
    <s v="TECU3FNPRO"/>
    <x v="12"/>
    <n v="1"/>
    <x v="1"/>
    <s v="Valle del Cauca"/>
    <s v="Cali"/>
    <s v="Despachado"/>
    <s v="Coordinadora"/>
    <s v="3243788-84151196357"/>
    <d v="2025-04-15T16:02:10"/>
    <d v="2025-04-21T15:29:41"/>
    <s v="Entregado"/>
    <n v="0"/>
    <n v="3"/>
    <s v="Cumple"/>
    <n v="28241"/>
    <m/>
    <m/>
  </r>
  <r>
    <d v="2025-04-15T00:00:00"/>
    <x v="3"/>
    <n v="2527"/>
    <x v="0"/>
    <s v="Christiana Bowen"/>
    <s v="TECU2FNG"/>
    <x v="5"/>
    <n v="1"/>
    <x v="1"/>
    <s v="Antioquia"/>
    <s v="Medellin"/>
    <s v="Despachado"/>
    <s v="Coordinadora"/>
    <s v="3256028-84151201365"/>
    <d v="2025-04-22T15:50:56"/>
    <d v="2025-04-24T13:04:25"/>
    <s v="Entregado"/>
    <n v="4"/>
    <n v="6"/>
    <s v="No cumple"/>
    <n v="26913"/>
    <m/>
    <m/>
  </r>
  <r>
    <d v="2025-04-15T00:00:00"/>
    <x v="3"/>
    <n v="2527"/>
    <x v="0"/>
    <s v="Christiana Bowen"/>
    <s v="TECUTRN6C"/>
    <x v="20"/>
    <n v="1"/>
    <x v="2"/>
    <s v="Antioquia"/>
    <s v="Medellin"/>
    <s v="Despachado"/>
    <s v="Coordinadora"/>
    <s v="3256029-84151201366"/>
    <d v="2025-04-22T15:50:56"/>
    <d v="2025-04-23T12:56:59"/>
    <s v="Entregado"/>
    <n v="4"/>
    <n v="5"/>
    <s v="No cumple"/>
    <n v="23593"/>
    <m/>
    <m/>
  </r>
  <r>
    <d v="2025-04-15T00:00:00"/>
    <x v="3"/>
    <n v="2527"/>
    <x v="0"/>
    <s v="Christiana Bowen"/>
    <s v="TECUDSN"/>
    <x v="13"/>
    <n v="1"/>
    <x v="4"/>
    <s v="Antioquia"/>
    <s v="Medellin"/>
    <s v="Despachado"/>
    <s v="Coordinadora"/>
    <s v="3256066-84151201384"/>
    <d v="2025-04-22T15:50:56"/>
    <d v="2025-04-23T12:51:05"/>
    <s v="Entregado"/>
    <n v="4"/>
    <n v="5"/>
    <s v="No cumple"/>
    <n v="22929"/>
    <m/>
    <m/>
  </r>
  <r>
    <d v="2025-04-15T00:00:00"/>
    <x v="3"/>
    <n v="2527"/>
    <x v="0"/>
    <s v="Christiana Bowen"/>
    <s v="TECU2FNG"/>
    <x v="5"/>
    <n v="1"/>
    <x v="1"/>
    <s v="Antioquia"/>
    <s v="Medellin"/>
    <s v="Despachado"/>
    <s v="Coordinadora"/>
    <s v="3256053-84151201375"/>
    <d v="2025-04-22T15:50:56"/>
    <d v="2025-04-23T12:51:05"/>
    <s v="Entregado"/>
    <n v="4"/>
    <n v="5"/>
    <s v="No cumple"/>
    <n v="26913"/>
    <m/>
    <m/>
  </r>
  <r>
    <d v="2025-04-15T00:00:00"/>
    <x v="3"/>
    <n v="2527"/>
    <x v="0"/>
    <s v="Christiana Bowen"/>
    <s v="TECUTRN6C"/>
    <x v="20"/>
    <n v="1"/>
    <x v="2"/>
    <s v="Antioquia"/>
    <s v="Medellin"/>
    <s v="Despachado"/>
    <s v="Coordinadora"/>
    <s v="3256054-84151201376"/>
    <d v="2025-04-22T15:50:56"/>
    <d v="2025-04-23T12:56:59"/>
    <s v="Entregado"/>
    <n v="4"/>
    <n v="5"/>
    <s v="No cumple"/>
    <n v="23593"/>
    <m/>
    <m/>
  </r>
  <r>
    <d v="2025-04-15T00:00:00"/>
    <x v="3"/>
    <n v="2527"/>
    <x v="0"/>
    <s v="Christiana Bowen"/>
    <s v="TECUDSN"/>
    <x v="13"/>
    <n v="1"/>
    <x v="4"/>
    <s v="Antioquia"/>
    <s v="Medellin"/>
    <s v="Despachado"/>
    <s v="Coordinadora"/>
    <s v="3256077-84151201389"/>
    <d v="2025-04-22T15:50:56"/>
    <d v="2025-04-23T12:51:05"/>
    <s v="Entregado"/>
    <n v="4"/>
    <n v="5"/>
    <s v="No cumple"/>
    <n v="22929"/>
    <m/>
    <m/>
  </r>
  <r>
    <d v="2025-04-15T00:00:00"/>
    <x v="3"/>
    <n v="2527"/>
    <x v="0"/>
    <s v="Christiana Bowen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4-16T00:00:00"/>
    <x v="3"/>
    <n v="2528"/>
    <x v="0"/>
    <s v="Natalia Villegas"/>
    <s v="TECU3FNPRO"/>
    <x v="12"/>
    <n v="1"/>
    <x v="1"/>
    <s v="Bogotá y alrededores"/>
    <s v="Bogota"/>
    <s v="Despachado"/>
    <s v="Coordinadora"/>
    <s v="3264476-84151205271"/>
    <d v="2025-04-25T14:59:11"/>
    <d v="2025-04-26T15:44:54"/>
    <s v="Entregado"/>
    <n v="6"/>
    <n v="7"/>
    <s v="No cumple"/>
    <n v="28241"/>
    <m/>
    <m/>
  </r>
  <r>
    <d v="2025-04-16T00:00:00"/>
    <x v="3"/>
    <n v="2528"/>
    <x v="0"/>
    <s v="Natalia Villegas"/>
    <s v="TECUTRM5C"/>
    <x v="27"/>
    <n v="1"/>
    <x v="2"/>
    <s v="Bogotá y alrededores"/>
    <s v="Bogota"/>
    <s v="Despachado"/>
    <s v="Coordinadora"/>
    <s v="3264477-84151205272"/>
    <d v="2025-04-25T14:59:11"/>
    <d v="2025-04-26T15:44:54"/>
    <s v="Entregado"/>
    <n v="6"/>
    <n v="7"/>
    <s v="No cumple"/>
    <n v="23593"/>
    <m/>
    <m/>
  </r>
  <r>
    <d v="2025-04-16T00:00:00"/>
    <x v="3"/>
    <n v="2528"/>
    <x v="0"/>
    <s v="Natalia Villegas"/>
    <s v="TECUCT"/>
    <x v="4"/>
    <n v="1"/>
    <x v="0"/>
    <s v="Bogotá y alrededores"/>
    <s v="Bogota"/>
    <s v="Despachado"/>
    <s v="Coordinadora"/>
    <s v="3264481-84151205274"/>
    <d v="2025-04-25T14:59:11"/>
    <d v="2025-04-26T15:44:54"/>
    <s v="Entregado"/>
    <n v="6"/>
    <n v="7"/>
    <s v="No cumple"/>
    <n v="22920"/>
    <m/>
    <m/>
  </r>
  <r>
    <d v="2025-04-16T00:00:00"/>
    <x v="3"/>
    <n v="2528"/>
    <x v="0"/>
    <s v="Natalia Villegas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4-19T00:00:00"/>
    <x v="3"/>
    <n v="2529"/>
    <x v="0"/>
    <s v="Angie Barbosa Maldonado"/>
    <s v="TECU3FBCRO"/>
    <x v="66"/>
    <n v="1"/>
    <x v="1"/>
    <s v="Bogotá y alrededores"/>
    <s v="Bogota"/>
    <s v="Despachado"/>
    <s v="Coordinadora"/>
    <s v="3251862-84151199277"/>
    <d v="2025-04-21T15:57:44"/>
    <d v="2025-04-22T16:12:01"/>
    <s v="Entregado"/>
    <n v="1"/>
    <n v="2"/>
    <s v="Cumple"/>
    <n v="28241"/>
    <m/>
    <m/>
  </r>
  <r>
    <d v="2025-04-19T00:00:00"/>
    <x v="3"/>
    <n v="2529"/>
    <x v="0"/>
    <s v="Angie Barbosa Maldonado"/>
    <s v="TECUTFE5C"/>
    <x v="29"/>
    <n v="1"/>
    <x v="2"/>
    <s v="Bogotá y alrededores"/>
    <s v="Bogota"/>
    <s v="Despachado"/>
    <s v="Coordinadora"/>
    <s v="3251865-84151199278"/>
    <d v="2025-04-21T15:57:44"/>
    <d v="2025-04-22T16:12:01"/>
    <s v="Entregado"/>
    <n v="1"/>
    <n v="2"/>
    <s v="Cumple"/>
    <n v="23593"/>
    <m/>
    <m/>
  </r>
  <r>
    <d v="2025-04-19T00:00:00"/>
    <x v="3"/>
    <n v="2529"/>
    <x v="0"/>
    <s v="Angie Barbosa Maldonado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4-21T00:00:00"/>
    <x v="3"/>
    <n v="2530"/>
    <x v="0"/>
    <s v="Carlos Angel"/>
    <s v="TECUDSN"/>
    <x v="13"/>
    <n v="1"/>
    <x v="4"/>
    <s v="Antioquia"/>
    <s v="Rionegro"/>
    <s v="Despachado"/>
    <s v="Coordinadora"/>
    <s v="3252191-84151199490"/>
    <d v="2025-04-21T15:57:44"/>
    <d v="2025-04-22T11:29:05"/>
    <s v="Entregado"/>
    <n v="0"/>
    <n v="1"/>
    <s v="Cumple"/>
    <n v="22929"/>
    <m/>
    <m/>
  </r>
  <r>
    <d v="2025-04-21T00:00:00"/>
    <x v="3"/>
    <n v="2531"/>
    <x v="0"/>
    <s v="Luis Pimiento"/>
    <s v="TECU2FNG"/>
    <x v="5"/>
    <n v="1"/>
    <x v="1"/>
    <s v="Santander"/>
    <s v="Floridablanca"/>
    <s v="Despachado"/>
    <s v="Coordinadora"/>
    <s v="3252409-84151199626"/>
    <d v="2025-04-21T15:57:44"/>
    <d v="2025-04-22T18:10:01"/>
    <s v="Entregado"/>
    <n v="0"/>
    <n v="1"/>
    <s v="Cumple"/>
    <n v="39191"/>
    <m/>
    <m/>
  </r>
  <r>
    <d v="2025-04-21T00:00:00"/>
    <x v="3"/>
    <n v="2531"/>
    <x v="0"/>
    <s v="Luis Pimiento"/>
    <s v="TECUTRN3C"/>
    <x v="67"/>
    <n v="1"/>
    <x v="2"/>
    <s v="Santander"/>
    <s v="Floridablanca"/>
    <s v="Despachado"/>
    <s v="Coordinadora"/>
    <s v="3252412-84151199628"/>
    <d v="2025-04-21T15:57:44"/>
    <d v="2025-04-22T18:10:01"/>
    <s v="Entregado"/>
    <n v="0"/>
    <n v="1"/>
    <s v="Cumple"/>
    <n v="33679"/>
    <m/>
    <m/>
  </r>
  <r>
    <d v="2025-04-22T00:00:00"/>
    <x v="3"/>
    <n v="2532"/>
    <x v="0"/>
    <s v="David Felipe Bayona Heredia"/>
    <s v="TECU3FNPRO"/>
    <x v="12"/>
    <n v="1"/>
    <x v="1"/>
    <s v="Bogotá y alrededores"/>
    <s v="Bogota"/>
    <s v="Despachado"/>
    <s v="Coordinadora"/>
    <s v="3256310-84151201489"/>
    <d v="2025-04-22T15:50:56"/>
    <d v="2025-04-23T15:50:21"/>
    <s v="Entregado"/>
    <n v="0"/>
    <n v="1"/>
    <s v="Cumple"/>
    <n v="28241"/>
    <m/>
    <m/>
  </r>
  <r>
    <d v="2025-04-22T00:00:00"/>
    <x v="3"/>
    <n v="2532"/>
    <x v="0"/>
    <s v="David Felipe Bayona Heredia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4-23T00:00:00"/>
    <x v="3"/>
    <n v="2533"/>
    <x v="0"/>
    <s v="Diego Alejandro Forero Walteros"/>
    <s v="TECU3FBCRO"/>
    <x v="66"/>
    <n v="1"/>
    <x v="1"/>
    <s v="Bogotá y alrededores"/>
    <s v="Bogota"/>
    <s v="Despachado"/>
    <s v="Coordinadora"/>
    <s v="3259082-84151202778"/>
    <d v="2025-04-23T15:29:13"/>
    <d v="2025-04-25T15:27:54"/>
    <s v="Entregado"/>
    <n v="0"/>
    <n v="2"/>
    <s v="Cumple"/>
    <n v="28241"/>
    <m/>
    <m/>
  </r>
  <r>
    <d v="2025-04-23T00:00:00"/>
    <x v="3"/>
    <n v="2533"/>
    <x v="0"/>
    <s v="Diego Alejandro Forero Walteros"/>
    <s v="TECUTFE2C"/>
    <x v="3"/>
    <n v="1"/>
    <x v="2"/>
    <s v="Bogotá y alrededores"/>
    <s v="Bogota"/>
    <s v="Despachado"/>
    <s v="Coordinadora"/>
    <s v="3259084-84151202780"/>
    <d v="2025-04-23T15:29:13"/>
    <d v="2025-04-25T15:27:54"/>
    <s v="Entregado"/>
    <n v="0"/>
    <n v="2"/>
    <s v="Cumple"/>
    <n v="28241"/>
    <m/>
    <m/>
  </r>
  <r>
    <d v="2025-04-24T00:00:00"/>
    <x v="3"/>
    <n v="2534"/>
    <x v="0"/>
    <s v="Fabian Andres Mojica / COLIBRI IT SAS"/>
    <s v="TECU3FBCRO"/>
    <x v="66"/>
    <n v="1"/>
    <x v="1"/>
    <s v="Bogotá y alrededores"/>
    <s v="Bogota"/>
    <s v="Despachado"/>
    <s v="Coordinadora"/>
    <s v="3261909-84151204046"/>
    <d v="2025-04-24T16:50:53"/>
    <d v="2025-04-26T11:08:31"/>
    <s v="Entregado"/>
    <n v="0"/>
    <n v="2"/>
    <s v="Cumple"/>
    <n v="28241"/>
    <m/>
    <m/>
  </r>
  <r>
    <d v="2025-04-24T00:00:00"/>
    <x v="3"/>
    <n v="2534"/>
    <x v="0"/>
    <s v="Fabian Andres Mojica / COLIBRI IT SAS"/>
    <s v="TECUTB2C"/>
    <x v="68"/>
    <n v="1"/>
    <x v="2"/>
    <s v="Bogotá y alrededores"/>
    <s v="Bogota"/>
    <s v="Despachado"/>
    <s v="Coordinadora"/>
    <s v="3261911-84151204048"/>
    <d v="2025-04-24T16:49:55"/>
    <d v="2025-04-26T11:29:14"/>
    <s v="Entregado"/>
    <n v="0"/>
    <n v="2"/>
    <s v="Cumple"/>
    <n v="28241"/>
    <m/>
    <m/>
  </r>
  <r>
    <d v="2025-04-24T00:00:00"/>
    <x v="3"/>
    <n v="2534"/>
    <x v="0"/>
    <s v="Fabian Andres Mojica / COLIBRI IT SAS"/>
    <s v="TECUCT"/>
    <x v="4"/>
    <n v="1"/>
    <x v="0"/>
    <s v="Bogotá y alrededores"/>
    <s v="Bogota"/>
    <s v="Despachado"/>
    <s v="Coordinadora"/>
    <s v="3261976-84151204073"/>
    <d v="2025-04-24T16:50:53"/>
    <d v="2025-04-25T18:00:49"/>
    <s v="Entregado"/>
    <n v="0"/>
    <n v="1"/>
    <s v="Cumple"/>
    <n v="22920"/>
    <m/>
    <m/>
  </r>
  <r>
    <d v="2025-04-24T00:00:00"/>
    <x v="3"/>
    <n v="2534"/>
    <x v="0"/>
    <s v="Fabian Andres Mojica / COLIBRI IT SAS"/>
    <s v="TECU3FBCRO"/>
    <x v="66"/>
    <n v="1"/>
    <x v="1"/>
    <s v="Bogotá y alrededores"/>
    <s v="Bogota"/>
    <s v="Despachado"/>
    <s v="Coordinadora"/>
    <s v="3261957-84151204068"/>
    <d v="2025-04-24T16:50:53"/>
    <d v="2025-04-26T11:31:07"/>
    <s v="Entregado"/>
    <n v="0"/>
    <n v="2"/>
    <s v="Cumple"/>
    <n v="28241"/>
    <m/>
    <m/>
  </r>
  <r>
    <d v="2025-04-24T00:00:00"/>
    <x v="3"/>
    <n v="2534"/>
    <x v="0"/>
    <s v="Fabian Andres Mojica / COLIBRI IT SAS"/>
    <s v="TECUTB2C"/>
    <x v="68"/>
    <n v="1"/>
    <x v="2"/>
    <s v="Bogotá y alrededores"/>
    <s v="Bogota"/>
    <s v="Despachado"/>
    <s v="Coordinadora"/>
    <s v="3261958-84151204069"/>
    <d v="2025-04-24T16:49:55"/>
    <d v="2025-04-26T11:08:31"/>
    <s v="Entregado"/>
    <n v="0"/>
    <n v="2"/>
    <s v="Cumple"/>
    <n v="28241"/>
    <m/>
    <m/>
  </r>
  <r>
    <d v="2025-04-24T00:00:00"/>
    <x v="3"/>
    <n v="2534"/>
    <x v="0"/>
    <s v="Fabian Andres Mojica / COLIBRI IT SAS"/>
    <s v="TECUCT"/>
    <x v="4"/>
    <n v="1"/>
    <x v="0"/>
    <s v="Bogotá y alrededores"/>
    <s v="Bogota"/>
    <s v="Despachado"/>
    <s v="Coordinadora"/>
    <s v="3261985-84151204075"/>
    <d v="2025-04-24T16:50:53"/>
    <d v="2025-04-25T17:58:36"/>
    <s v="Entregado"/>
    <n v="0"/>
    <n v="1"/>
    <s v="Cumple"/>
    <n v="22920"/>
    <m/>
    <m/>
  </r>
  <r>
    <d v="2025-04-24T00:00:00"/>
    <x v="3"/>
    <n v="2535"/>
    <x v="0"/>
    <s v="Carlos Eduardo Ramírez F  / COLIBRI IT SAS"/>
    <s v="TECU3FBCRO"/>
    <x v="66"/>
    <n v="1"/>
    <x v="1"/>
    <s v="Bogotá y alrededores"/>
    <s v="Bogota"/>
    <s v="Despachado"/>
    <s v="Coordinadora"/>
    <s v="3262209-84151204206"/>
    <d v="2025-04-24T16:50:53"/>
    <d v="2025-04-26T12:14:09"/>
    <s v="Entregado"/>
    <n v="0"/>
    <n v="2"/>
    <s v="Cumple"/>
    <n v="28241"/>
    <m/>
    <m/>
  </r>
  <r>
    <d v="2025-04-24T00:00:00"/>
    <x v="3"/>
    <n v="2535"/>
    <x v="0"/>
    <s v="Carlos Eduardo Ramírez F  / COLIBRI IT SAS"/>
    <s v="TECUTB2C"/>
    <x v="68"/>
    <n v="1"/>
    <x v="2"/>
    <s v="Bogotá y alrededores"/>
    <s v="Bogota"/>
    <s v="Despachado"/>
    <s v="Coordinadora"/>
    <s v="3262210-84151204211"/>
    <d v="2025-04-24T16:49:55"/>
    <d v="2025-04-26T13:02:36"/>
    <s v="Entregado"/>
    <n v="0"/>
    <n v="2"/>
    <s v="Cumple"/>
    <n v="23593"/>
    <m/>
    <m/>
  </r>
  <r>
    <d v="2025-04-24T00:00:00"/>
    <x v="3"/>
    <n v="2535"/>
    <x v="0"/>
    <s v="Carlos Eduardo Ramírez F  / COLIBRI IT SAS"/>
    <s v="TECUCT"/>
    <x v="4"/>
    <n v="1"/>
    <x v="0"/>
    <s v="Bogotá y alrededores"/>
    <s v="Bogota"/>
    <s v="Despachado"/>
    <s v="Coordinadora"/>
    <s v="3262218-84151204217"/>
    <d v="2025-04-24T16:50:53"/>
    <d v="2025-04-25T13:33:07"/>
    <s v="Entregado"/>
    <n v="0"/>
    <n v="1"/>
    <s v="Cumple"/>
    <n v="22920"/>
    <m/>
    <m/>
  </r>
  <r>
    <d v="2025-04-26T00:00:00"/>
    <x v="3"/>
    <n v="2536"/>
    <x v="0"/>
    <s v="Juan David Cubillos Calvachi"/>
    <s v="TECU3FBRO"/>
    <x v="34"/>
    <n v="1"/>
    <x v="1"/>
    <s v="Bogotá y alrededores"/>
    <s v="Bogota"/>
    <s v="Despachado"/>
    <s v="Coordinadora"/>
    <s v="3268967-84151206707"/>
    <d v="2025-04-28T15:17:25"/>
    <d v="2025-04-29T00:00:00"/>
    <s v="Entregado"/>
    <n v="1"/>
    <n v="2"/>
    <s v="Cumple"/>
    <n v="28241"/>
    <m/>
    <m/>
  </r>
  <r>
    <d v="2025-04-26T00:00:00"/>
    <x v="3"/>
    <n v="2536"/>
    <x v="0"/>
    <s v="Juan David Cubillos Calvachi"/>
    <s v="TECUTFE7C"/>
    <x v="53"/>
    <n v="1"/>
    <x v="2"/>
    <s v="Bogotá y alrededores"/>
    <s v="Bogota"/>
    <s v="Despachado"/>
    <s v="Coordinadora"/>
    <s v="3268968-84151206708"/>
    <d v="2025-04-28T15:17:25"/>
    <d v="2025-04-30T00:00:00"/>
    <s v="Entregado"/>
    <n v="1"/>
    <n v="3"/>
    <s v="Cumple"/>
    <n v="23593"/>
    <m/>
    <m/>
  </r>
  <r>
    <d v="2025-04-26T00:00:00"/>
    <x v="3"/>
    <n v="2537"/>
    <x v="0"/>
    <s v="Sergio Prada"/>
    <s v="TECU2FNG"/>
    <x v="5"/>
    <n v="1"/>
    <x v="1"/>
    <s v="Bogotá y alrededores"/>
    <s v="Bogota"/>
    <s v="Despachado"/>
    <s v="Coordinadora"/>
    <s v="3269004-84151206724"/>
    <d v="2025-04-28T15:17:25"/>
    <d v="2025-04-29T00:00:00"/>
    <s v="Entregado"/>
    <n v="1"/>
    <n v="2"/>
    <s v="Cumple"/>
    <n v="26913"/>
    <m/>
    <m/>
  </r>
  <r>
    <d v="2025-04-26T00:00:00"/>
    <x v="3"/>
    <n v="2537"/>
    <x v="0"/>
    <s v="Sergio Prada"/>
    <s v="TECUTCO5C"/>
    <x v="51"/>
    <n v="1"/>
    <x v="2"/>
    <s v="Bogotá y alrededores"/>
    <s v="Bogota"/>
    <s v="Despachado"/>
    <s v="Coordinadora"/>
    <s v="3269006-84151206725"/>
    <d v="2025-04-28T15:17:25"/>
    <d v="2025-04-29T00:00:00"/>
    <s v="Entregado"/>
    <n v="1"/>
    <n v="2"/>
    <s v="Cumple"/>
    <n v="23593"/>
    <m/>
    <m/>
  </r>
  <r>
    <d v="2025-04-28T00:00:00"/>
    <x v="3"/>
    <n v="2538"/>
    <x v="0"/>
    <s v="Lizeth Manchego"/>
    <s v="TECU2FNG"/>
    <x v="5"/>
    <n v="1"/>
    <x v="1"/>
    <s v="Santander"/>
    <s v="Piedacuesta"/>
    <s v="Despachado"/>
    <s v="Coordinadora"/>
    <s v="3270269-84151207172"/>
    <d v="2025-04-28T15:17:25"/>
    <d v="2025-04-30T00:00:00"/>
    <s v="Entregado"/>
    <n v="0"/>
    <n v="2"/>
    <s v="Cumple"/>
    <n v="39191"/>
    <m/>
    <m/>
  </r>
  <r>
    <d v="2025-04-28T00:00:00"/>
    <x v="3"/>
    <n v="2538"/>
    <x v="0"/>
    <s v="Lizeth Manchego"/>
    <s v="TECUTFE4C"/>
    <x v="14"/>
    <n v="1"/>
    <x v="2"/>
    <s v="Santander"/>
    <s v="Piedacuesta"/>
    <s v="Despachado"/>
    <s v="Coordinadora"/>
    <s v="3270271-84151207173"/>
    <d v="2025-04-28T15:17:25"/>
    <d v="2025-04-30T00:00:00"/>
    <s v="Entregado"/>
    <n v="0"/>
    <n v="2"/>
    <s v="Cumple"/>
    <n v="33679"/>
    <m/>
    <m/>
  </r>
  <r>
    <d v="2025-04-28T00:00:00"/>
    <x v="3"/>
    <n v="2538"/>
    <x v="0"/>
    <s v="Lizeth Manchego"/>
    <s v="TECUCT"/>
    <x v="4"/>
    <n v="1"/>
    <x v="0"/>
    <s v="Santander"/>
    <s v="Piedacuesta"/>
    <s v="Despachado"/>
    <s v="Coordinadora"/>
    <s v="3270272-84151207175"/>
    <d v="2025-04-28T15:17:25"/>
    <d v="2025-04-30T00:00:00"/>
    <s v="Entregado"/>
    <n v="0"/>
    <n v="2"/>
    <s v="Cumple"/>
    <n v="22920"/>
    <m/>
    <m/>
  </r>
  <r>
    <d v="2025-04-29T00:00:00"/>
    <x v="3"/>
    <n v="2539"/>
    <x v="0"/>
    <s v="SEAQ HOLDINGS SAS / Andres Mujica"/>
    <s v="TECULFN2"/>
    <x v="7"/>
    <n v="1"/>
    <x v="1"/>
    <s v="Bogotá y alrededores"/>
    <s v="Bogota"/>
    <s v="Despachado"/>
    <s v="Coordinadora"/>
    <s v="3272935 - 84151208399"/>
    <d v="2025-04-29T00:00:00"/>
    <d v="2025-04-30T00:00:00"/>
    <s v="Entregado"/>
    <n v="0"/>
    <n v="1"/>
    <s v="Cumple"/>
    <n v="62530"/>
    <m/>
    <m/>
  </r>
  <r>
    <d v="2025-04-29T00:00:00"/>
    <x v="3"/>
    <n v="2539"/>
    <x v="0"/>
    <s v="SEAQ HOLDINGS SAS / Andres Mujica"/>
    <s v="TECUTLBS"/>
    <x v="61"/>
    <n v="1"/>
    <x v="2"/>
    <s v="Bogotá y alrededores"/>
    <s v="Bogota"/>
    <s v="Despachado"/>
    <s v="Coordinadora"/>
    <s v="3272936 - 84151208400"/>
    <d v="2025-04-29T00:00:00"/>
    <d v="2025-04-30T00:00:00"/>
    <s v="Entregado"/>
    <n v="0"/>
    <n v="1"/>
    <s v="Cumple"/>
    <n v="26749"/>
    <m/>
    <m/>
  </r>
  <r>
    <d v="2025-04-29T00:00:00"/>
    <x v="3"/>
    <n v="2539"/>
    <x v="0"/>
    <s v="SEAQ HOLDINGS SAS / Andres Mujica"/>
    <s v="TECUCT"/>
    <x v="4"/>
    <n v="1"/>
    <x v="0"/>
    <s v="Bogotá y alrededores"/>
    <s v="Bogota"/>
    <s v="Despachado"/>
    <s v="Coordinadora"/>
    <s v="3272944 - 84151208407"/>
    <d v="2025-04-29T00:00:00"/>
    <d v="2025-04-30T00:00:00"/>
    <s v="Entregado"/>
    <n v="0"/>
    <n v="1"/>
    <s v="Cumple"/>
    <n v="24885"/>
    <m/>
    <m/>
  </r>
  <r>
    <d v="2025-04-29T00:00:00"/>
    <x v="3"/>
    <n v="2539"/>
    <x v="0"/>
    <s v="SEAQ HOLDINGS SAS / Andres Mujica"/>
    <s v="TECUROD6"/>
    <x v="25"/>
    <n v="1"/>
    <x v="7"/>
    <s v="Bogotá y alrededores"/>
    <s v="Bogota"/>
    <s v="Despachado"/>
    <s v="Coordinadora"/>
    <s v="3272954 - 84151208412"/>
    <d v="2025-04-29T00:00:00"/>
    <d v="2025-04-30T00:00:00"/>
    <s v="Entregado"/>
    <n v="0"/>
    <n v="1"/>
    <s v="Cumple"/>
    <n v="23875"/>
    <m/>
    <m/>
  </r>
  <r>
    <d v="2025-04-29T00:00:00"/>
    <x v="3"/>
    <n v="2539"/>
    <x v="0"/>
    <s v="SEAQ HOLDINGS SAS / Andres Mujica"/>
    <s v="TECUTBANTE"/>
    <x v="54"/>
    <n v="1"/>
    <x v="0"/>
    <s v="Bogotá y alrededores"/>
    <s v="Bogota"/>
    <s v="Despachado"/>
    <s v="Coordinadora"/>
    <s v="3273378 - 84151208645"/>
    <d v="2025-04-29T00:00:00"/>
    <d v="2025-04-30T00:00:00"/>
    <s v="Entregado"/>
    <n v="0"/>
    <n v="1"/>
    <s v="Cumple"/>
    <n v="27929"/>
    <m/>
    <m/>
  </r>
  <r>
    <d v="2025-04-30T00:00:00"/>
    <x v="3"/>
    <n v="2540"/>
    <x v="0"/>
    <s v="Maria Paula Bonilla Gonzalez"/>
    <s v="TECU2FNG"/>
    <x v="5"/>
    <n v="1"/>
    <x v="1"/>
    <s v="Bogotá y alrededores"/>
    <s v="Bogota"/>
    <s v="Despachado"/>
    <s v="Coordinadora"/>
    <s v="3275213 - 84151209472"/>
    <d v="2025-04-30T00:00:00"/>
    <d v="2025-05-02T00:00:00"/>
    <s v="Entregado"/>
    <n v="0"/>
    <n v="1"/>
    <s v="Cumple"/>
    <n v="41593"/>
    <m/>
    <m/>
  </r>
  <r>
    <d v="2025-04-30T00:00:00"/>
    <x v="3"/>
    <n v="2540"/>
    <x v="0"/>
    <s v="Maria Paula Bonilla Gonzalez"/>
    <s v="TECUTCO2C"/>
    <x v="37"/>
    <n v="1"/>
    <x v="2"/>
    <s v="Bogotá y alrededores"/>
    <s v="Bogota"/>
    <s v="Despachado"/>
    <s v="Coordinadora"/>
    <s v="3275215 - 84151209473"/>
    <d v="2025-04-30T00:00:00"/>
    <d v="2025-05-02T00:00:00"/>
    <s v="Entregado"/>
    <n v="0"/>
    <n v="1"/>
    <s v="Cumple"/>
    <n v="24093"/>
    <m/>
    <m/>
  </r>
  <r>
    <d v="2025-04-30T00:00:00"/>
    <x v="3"/>
    <n v="2540"/>
    <x v="0"/>
    <s v="Maria Paula Bonilla Gonzalez"/>
    <s v="TECU2FNG"/>
    <x v="5"/>
    <n v="1"/>
    <x v="1"/>
    <s v="Bogotá y alrededores"/>
    <s v="Bogota"/>
    <s v="Despachado"/>
    <s v="Coordinadora"/>
    <s v="3275222 - 84151209476"/>
    <d v="2025-04-30T00:00:00"/>
    <d v="2025-05-02T00:00:00"/>
    <s v="Entregado"/>
    <n v="0"/>
    <n v="1"/>
    <s v="Cumple"/>
    <n v="41593"/>
    <m/>
    <m/>
  </r>
  <r>
    <d v="2025-04-30T00:00:00"/>
    <x v="3"/>
    <n v="2540"/>
    <x v="0"/>
    <s v="Maria Paula Bonilla Gonzalez"/>
    <s v="TECUTCO5C"/>
    <x v="51"/>
    <n v="1"/>
    <x v="2"/>
    <s v="Bogotá y alrededores"/>
    <s v="Bogota"/>
    <s v="Despachado"/>
    <s v="Coordinadora"/>
    <s v="3275224 - 84151209477"/>
    <d v="2025-04-30T00:00:00"/>
    <d v="2025-05-02T00:00:00"/>
    <s v="Entregado"/>
    <n v="0"/>
    <n v="1"/>
    <s v="Cumple"/>
    <n v="24093"/>
    <m/>
    <m/>
  </r>
  <r>
    <d v="2025-04-30T00:00:00"/>
    <x v="3"/>
    <n v="2540"/>
    <x v="0"/>
    <s v="Maria Paula Bonilla Gonzalez"/>
    <s v="TECUCT"/>
    <x v="4"/>
    <n v="1"/>
    <x v="0"/>
    <s v="Bogotá y alrededores"/>
    <s v="Bogota"/>
    <s v="Despachado"/>
    <s v="Coordinadora"/>
    <s v="3275233 - 84151209479"/>
    <d v="2025-04-30T00:00:00"/>
    <d v="2025-05-02T00:00:00"/>
    <s v="Entregado"/>
    <n v="0"/>
    <n v="1"/>
    <s v="Cumple"/>
    <n v="24885"/>
    <m/>
    <m/>
  </r>
  <r>
    <d v="2025-05-02T00:00:00"/>
    <x v="4"/>
    <n v="2541"/>
    <x v="0"/>
    <s v="Fernando Andres Cifuentes Calderon"/>
    <s v="TECU3FNCRO"/>
    <x v="55"/>
    <n v="1"/>
    <x v="1"/>
    <s v="Valle del Cauca"/>
    <s v="Cali"/>
    <s v="Despachado"/>
    <s v="Coordinadora"/>
    <s v="3280100 - 84151211327"/>
    <d v="2025-05-02T00:00:00"/>
    <d v="2025-05-03T00:00:00"/>
    <s v="Entregado"/>
    <n v="0"/>
    <n v="1"/>
    <s v="Cumple"/>
    <n v="42921"/>
    <m/>
    <m/>
  </r>
  <r>
    <d v="2025-05-02T00:00:00"/>
    <x v="4"/>
    <n v="2541"/>
    <x v="0"/>
    <s v="Fernando Andres Cifuentes Calderon"/>
    <s v="TECUTCO4C"/>
    <x v="6"/>
    <n v="1"/>
    <x v="2"/>
    <s v="Valle del Cauca"/>
    <s v="Cali"/>
    <s v="Despachado"/>
    <s v="Coordinadora"/>
    <s v="3280101 - 84151211328"/>
    <d v="2025-05-02T00:00:00"/>
    <d v="2025-05-03T00:00:00"/>
    <s v="Entregado"/>
    <n v="0"/>
    <n v="1"/>
    <s v="Cumple"/>
    <n v="24093"/>
    <m/>
    <m/>
  </r>
  <r>
    <d v="2025-04-30T00:00:00"/>
    <x v="3"/>
    <n v="2522"/>
    <x v="4"/>
    <s v="Carlos Contreras"/>
    <s v="TECUBDPA"/>
    <x v="1"/>
    <n v="1"/>
    <x v="0"/>
    <s v="Bogotá y alrededores"/>
    <s v="Bogota"/>
    <s v="Despachado"/>
    <s v="Velotax"/>
    <s v="Envio terminal a terminal"/>
    <d v="2025-04-30T00:00:00"/>
    <d v="2025-05-01T00:00:00"/>
    <s v="Entregado"/>
    <n v="0"/>
    <n v="0"/>
    <s v="Cumple"/>
    <n v="28241"/>
    <m/>
    <m/>
  </r>
  <r>
    <d v="2025-05-03T00:00:00"/>
    <x v="4"/>
    <n v="2542"/>
    <x v="0"/>
    <s v="Andrés Palma Meriño / Abbott Laboratories de Colombia S.A.S"/>
    <s v="TECU3FNPRO"/>
    <x v="12"/>
    <n v="1"/>
    <x v="1"/>
    <s v="Bogotá y alrededores"/>
    <s v="Bogota"/>
    <s v="Despachado"/>
    <s v="Coordinadora"/>
    <s v="3285771- 84151213469"/>
    <d v="2025-05-05T00:00:00"/>
    <d v="2025-05-06T00:00:00"/>
    <s v="Entregado"/>
    <n v="1"/>
    <n v="2"/>
    <s v="Cumple"/>
    <n v="42921"/>
    <m/>
    <m/>
  </r>
  <r>
    <d v="2025-05-05T00:00:00"/>
    <x v="4"/>
    <n v="2543"/>
    <x v="0"/>
    <s v="Maria Laura Rojas"/>
    <s v="TECU3FNPRO"/>
    <x v="12"/>
    <n v="1"/>
    <x v="1"/>
    <s v="Bogotá y alrededores"/>
    <s v="Bogota"/>
    <s v="Despachado"/>
    <s v="Coordinadora"/>
    <s v="3289518- 84151215417"/>
    <d v="2025-05-06T00:00:00"/>
    <d v="2025-05-07T00:00:00"/>
    <s v="Entregado"/>
    <n v="1"/>
    <n v="2"/>
    <s v="Cumple"/>
    <n v="42921"/>
    <m/>
    <m/>
  </r>
  <r>
    <d v="2025-05-05T00:00:00"/>
    <x v="4"/>
    <n v="2543"/>
    <x v="0"/>
    <s v="Maria Laura Rojas"/>
    <s v="TECUTFE4C"/>
    <x v="14"/>
    <n v="1"/>
    <x v="2"/>
    <s v="Bogotá y alrededores"/>
    <s v="Bogota"/>
    <s v="Despachado"/>
    <s v="Coordinadora"/>
    <s v="3289520- 84151215419"/>
    <d v="2025-05-06T00:00:00"/>
    <d v="2025-05-08T00:00:00"/>
    <s v="Entregado"/>
    <n v="1"/>
    <n v="3"/>
    <s v="Cumple"/>
    <n v="24093"/>
    <m/>
    <m/>
  </r>
  <r>
    <d v="2025-05-05T00:00:00"/>
    <x v="4"/>
    <n v="2543"/>
    <x v="0"/>
    <s v="Maria Laura Rojas"/>
    <s v="TECUBDPM"/>
    <x v="0"/>
    <n v="1"/>
    <x v="0"/>
    <s v="Bogotá y alrededores"/>
    <s v="Bogota"/>
    <s v="Despachado"/>
    <s v="Coordinadora"/>
    <s v="3289506- 84151215414"/>
    <d v="2025-05-06T00:00:00"/>
    <d v="2025-05-07T00:00:00"/>
    <s v="Entregado"/>
    <n v="1"/>
    <n v="2"/>
    <s v="Cumple"/>
    <n v="16617"/>
    <m/>
    <m/>
  </r>
  <r>
    <d v="2025-05-05T00:00:00"/>
    <x v="4"/>
    <n v="2543"/>
    <x v="0"/>
    <s v="Maria Laura Rojas"/>
    <s v="TECUAFE"/>
    <x v="43"/>
    <n v="1"/>
    <x v="5"/>
    <s v="Bogotá y alrededores"/>
    <s v="Bogota"/>
    <s v="Despachado"/>
    <s v="Envia"/>
    <s v="3289257- 954101209673"/>
    <d v="2025-05-06T00:00:00"/>
    <d v="2025-05-08T00:00:00"/>
    <s v="Entregado"/>
    <n v="1"/>
    <n v="3"/>
    <s v="Cumple"/>
    <n v="54929"/>
    <m/>
    <m/>
  </r>
  <r>
    <d v="2025-05-05T00:00:00"/>
    <x v="4"/>
    <n v="2543"/>
    <x v="0"/>
    <s v="Maria Laura Rojas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5-06T00:00:00"/>
    <x v="4"/>
    <n v="2544"/>
    <x v="0"/>
    <s v="EDDY BENEDICTA PEÑA MORENO"/>
    <s v="TECU3FBRO"/>
    <x v="34"/>
    <n v="1"/>
    <x v="1"/>
    <s v="Antioquia"/>
    <s v="Medellin"/>
    <s v="Despachado"/>
    <s v="Coordinadora"/>
    <s v="3289550- 84151215430"/>
    <d v="2025-05-06T00:00:00"/>
    <d v="2025-05-07T00:00:00"/>
    <s v="Entregado"/>
    <n v="0"/>
    <n v="1"/>
    <s v="Cumple"/>
    <n v="42921"/>
    <m/>
    <m/>
  </r>
  <r>
    <d v="2025-05-06T00:00:00"/>
    <x v="4"/>
    <n v="2544"/>
    <x v="0"/>
    <s v="EDDY BENEDICTA PEÑA MORENO"/>
    <s v="TECUTFE8C"/>
    <x v="21"/>
    <n v="1"/>
    <x v="2"/>
    <s v="Antioquia"/>
    <s v="Medellin"/>
    <s v="Despachado"/>
    <s v="Coordinadora"/>
    <s v="3289551- 84151215431"/>
    <d v="2025-05-06T00:00:00"/>
    <d v="2025-05-07T00:00:00"/>
    <s v="Entregado"/>
    <n v="0"/>
    <n v="1"/>
    <s v="Cumple"/>
    <n v="26749"/>
    <m/>
    <m/>
  </r>
  <r>
    <d v="2025-05-06T00:00:00"/>
    <x v="4"/>
    <n v="2544"/>
    <x v="0"/>
    <s v="EDDY BENEDICTA PEÑA MORENO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5-06T00:00:00"/>
    <x v="4"/>
    <n v="2545"/>
    <x v="0"/>
    <s v="Santiago Espitia Giron"/>
    <s v="TECU3FNPRO"/>
    <x v="12"/>
    <n v="1"/>
    <x v="1"/>
    <s v="Bogotá y alrededores"/>
    <s v="Bogota"/>
    <s v="Despachado"/>
    <s v="Coordinadora"/>
    <s v="3289628- 84151215449"/>
    <d v="2025-05-06T00:00:00"/>
    <d v="2025-05-07T00:00:00"/>
    <s v="Entregado"/>
    <n v="0"/>
    <n v="1"/>
    <s v="Cumple"/>
    <n v="42921"/>
    <m/>
    <m/>
  </r>
  <r>
    <d v="2025-05-06T00:00:00"/>
    <x v="4"/>
    <n v="2545"/>
    <x v="0"/>
    <s v="Santiago Espitia Giron"/>
    <s v="TECUTCO4C"/>
    <x v="6"/>
    <n v="1"/>
    <x v="2"/>
    <s v="Bogotá y alrededores"/>
    <s v="Bogota"/>
    <s v="Despachado"/>
    <s v="Coordinadora"/>
    <s v="3289629- 84151215450"/>
    <d v="2025-05-06T00:00:00"/>
    <d v="2025-05-07T00:00:00"/>
    <s v="Entregado"/>
    <n v="0"/>
    <n v="1"/>
    <s v="Cumple"/>
    <n v="26749"/>
    <m/>
    <m/>
  </r>
  <r>
    <d v="2025-05-06T00:00:00"/>
    <x v="4"/>
    <n v="2545"/>
    <x v="0"/>
    <s v="Santiago Espitia Giron"/>
    <s v="TECUROD"/>
    <x v="31"/>
    <n v="1"/>
    <x v="7"/>
    <s v="Bogotá y alrededores"/>
    <s v="Bogota"/>
    <s v="Despachado"/>
    <s v="Coordinadora"/>
    <s v="3289643- 84151215458"/>
    <d v="2025-05-06T00:00:00"/>
    <d v="2025-05-07T00:00:00"/>
    <s v="Entregado"/>
    <n v="0"/>
    <n v="1"/>
    <s v="Cumple"/>
    <n v="23875"/>
    <m/>
    <m/>
  </r>
  <r>
    <d v="2025-05-06T00:00:00"/>
    <x v="4"/>
    <n v="2546"/>
    <x v="0"/>
    <s v="Jesús David Traslaviña Fuentes"/>
    <s v="TECU3FBRO"/>
    <x v="34"/>
    <n v="1"/>
    <x v="1"/>
    <s v="Bogotá y alrededores"/>
    <s v="Bogota"/>
    <s v="Despachado"/>
    <s v="Coordinadora"/>
    <s v="3289726 -84151215497"/>
    <d v="2025-05-06T00:00:00"/>
    <d v="2025-05-07T00:00:00"/>
    <s v="Entregado"/>
    <n v="0"/>
    <n v="1"/>
    <s v="Cumple"/>
    <n v="42921"/>
    <m/>
    <m/>
  </r>
  <r>
    <d v="2025-05-06T00:00:00"/>
    <x v="4"/>
    <n v="2546"/>
    <x v="0"/>
    <s v="Jesús David Traslaviña Fuentes"/>
    <s v="TECUTB2C"/>
    <x v="68"/>
    <n v="1"/>
    <x v="2"/>
    <s v="Bogotá y alrededores"/>
    <s v="Bogota"/>
    <s v="Despachado"/>
    <s v="Coordinadora"/>
    <s v="3289727 -84151215498"/>
    <d v="2025-05-06T00:00:00"/>
    <d v="2025-05-07T00:00:00"/>
    <s v="Entregado"/>
    <n v="0"/>
    <n v="1"/>
    <s v="Cumple"/>
    <n v="28741"/>
    <m/>
    <m/>
  </r>
  <r>
    <d v="2025-05-06T00:00:00"/>
    <x v="4"/>
    <n v="2547"/>
    <x v="0"/>
    <s v="Cristhian Camilo Castro Melo"/>
    <s v="TECULFN2"/>
    <x v="7"/>
    <n v="1"/>
    <x v="1"/>
    <s v="Bogotá y alrededores"/>
    <s v="Soacha"/>
    <s v="Despachado"/>
    <s v="Coordinadora"/>
    <s v="3293085 -84151216809"/>
    <d v="2025-05-07T00:00:00"/>
    <d v="2025-05-10T00:00:00"/>
    <s v="Entregado"/>
    <n v="1"/>
    <n v="4"/>
    <s v="Cumple"/>
    <n v="62530"/>
    <m/>
    <m/>
  </r>
  <r>
    <d v="2025-05-06T00:00:00"/>
    <x v="4"/>
    <n v="2547"/>
    <x v="0"/>
    <s v="Cristhian Camilo Castro Melo"/>
    <s v="TECUTLCCS"/>
    <x v="45"/>
    <n v="1"/>
    <x v="2"/>
    <s v="Bogotá y alrededores"/>
    <s v="Soacha"/>
    <s v="Despachado"/>
    <s v="Coordinadora"/>
    <s v="3293087 -84151216810"/>
    <d v="2025-05-07T00:00:00"/>
    <d v="2025-05-09T00:00:00"/>
    <s v="Entregado"/>
    <n v="1"/>
    <n v="3"/>
    <s v="Cumple"/>
    <n v="26749"/>
    <m/>
    <m/>
  </r>
  <r>
    <d v="2025-05-07T00:00:00"/>
    <x v="4"/>
    <n v="2548"/>
    <x v="0"/>
    <s v="Pedro Vallejo Seade"/>
    <s v="TECU2FNG"/>
    <x v="5"/>
    <n v="1"/>
    <x v="1"/>
    <s v="Bogotá y alrededores"/>
    <s v="Bogota"/>
    <s v="Despachado"/>
    <s v="Coordinadora"/>
    <s v="3293346 -84151216936"/>
    <d v="2025-05-07T00:00:00"/>
    <d v="2025-05-08T00:00:00"/>
    <s v="Entregado"/>
    <n v="0"/>
    <n v="1"/>
    <s v="Cumple"/>
    <n v="41593"/>
    <m/>
    <m/>
  </r>
  <r>
    <d v="2025-05-07T00:00:00"/>
    <x v="4"/>
    <n v="2548"/>
    <x v="0"/>
    <s v="Pedro Vallejo Seade"/>
    <s v="TECUTCO2C"/>
    <x v="37"/>
    <n v="1"/>
    <x v="2"/>
    <s v="Bogotá y alrededores"/>
    <s v="Bogota"/>
    <s v="Despachado"/>
    <s v="Coordinadora"/>
    <s v="3293348 -84151216938"/>
    <d v="2025-05-07T00:00:00"/>
    <d v="2025-05-10T00:00:00"/>
    <s v="Entregado"/>
    <n v="0"/>
    <n v="3"/>
    <s v="Cumple"/>
    <n v="24093"/>
    <m/>
    <m/>
  </r>
  <r>
    <d v="2025-05-07T00:00:00"/>
    <x v="4"/>
    <n v="2548"/>
    <x v="0"/>
    <s v="Pedro Vallejo Seade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5-07T00:00:00"/>
    <x v="4"/>
    <n v="2549"/>
    <x v="0"/>
    <s v="Juan Angulo"/>
    <s v="TECUDSN"/>
    <x v="13"/>
    <n v="1"/>
    <x v="4"/>
    <s v="Atlantico"/>
    <s v="Barranquilla"/>
    <s v="Despachado"/>
    <s v="Coordinadora"/>
    <s v="3293276 -84151216896"/>
    <d v="2025-05-07T00:00:00"/>
    <d v="2025-05-09T00:00:00"/>
    <s v="Entregado"/>
    <n v="0"/>
    <n v="2"/>
    <s v="Cumple"/>
    <n v="40942"/>
    <m/>
    <m/>
  </r>
  <r>
    <d v="2025-05-07T00:00:00"/>
    <x v="4"/>
    <n v="2549"/>
    <x v="0"/>
    <s v="Juan Angulo"/>
    <s v="TECUDSG"/>
    <x v="64"/>
    <n v="1"/>
    <x v="4"/>
    <s v="Atlantico"/>
    <s v="Barranquilla"/>
    <s v="Despachado"/>
    <s v="Coordinadora"/>
    <s v="3293285 -84151216902"/>
    <d v="2025-05-07T00:00:00"/>
    <d v="2025-05-09T00:00:00"/>
    <s v="Entregado"/>
    <n v="0"/>
    <n v="2"/>
    <s v="Cumple"/>
    <n v="40942"/>
    <m/>
    <m/>
  </r>
  <r>
    <d v="2025-05-07T00:00:00"/>
    <x v="4"/>
    <n v="2549"/>
    <x v="0"/>
    <s v="Juan Angulo"/>
    <s v="TECUCT"/>
    <x v="4"/>
    <n v="1"/>
    <x v="0"/>
    <s v="Atlantico"/>
    <s v="Barranquilla"/>
    <s v="Despachado"/>
    <s v="Coordinadora"/>
    <s v="3293294 -84151216907"/>
    <d v="2025-05-07T00:00:00"/>
    <d v="2025-05-09T00:00:00"/>
    <s v="Entregado"/>
    <n v="0"/>
    <n v="2"/>
    <s v="Cumple"/>
    <n v="24885"/>
    <m/>
    <m/>
  </r>
  <r>
    <d v="2025-05-07T00:00:00"/>
    <x v="4"/>
    <n v="2550"/>
    <x v="0"/>
    <s v="Benjamin Norman Baron"/>
    <s v="TECU3FNPRO"/>
    <x v="12"/>
    <n v="1"/>
    <x v="1"/>
    <s v="Antioquia"/>
    <s v="Retiro"/>
    <s v="Despachado"/>
    <s v="Coordinadora"/>
    <s v="3299173 -84151219490"/>
    <d v="2025-05-09T00:00:00"/>
    <d v="2025-05-10T00:00:00"/>
    <s v="Entregado"/>
    <n v="2"/>
    <n v="3"/>
    <s v="Cumple"/>
    <n v="42921"/>
    <m/>
    <m/>
  </r>
  <r>
    <d v="2025-05-07T00:00:00"/>
    <x v="4"/>
    <n v="2550"/>
    <x v="0"/>
    <s v="Benjamin Norman Baron"/>
    <s v="TECU-BMUSRN"/>
    <x v="69"/>
    <n v="1"/>
    <x v="2"/>
    <s v="Antioquia"/>
    <s v="Retiro"/>
    <s v="Despachado"/>
    <s v="Coordinadora"/>
    <s v="3299174 -84151219491"/>
    <d v="2025-05-09T00:00:00"/>
    <d v="2025-05-10T00:00:00"/>
    <s v="Entregado"/>
    <n v="2"/>
    <n v="3"/>
    <s v="Cumple"/>
    <n v="26749"/>
    <m/>
    <m/>
  </r>
  <r>
    <d v="2025-05-08T00:00:00"/>
    <x v="4"/>
    <n v="2551"/>
    <x v="0"/>
    <s v="EDDY BENEDICTA PEÑA MORENO"/>
    <s v="TECUCT"/>
    <x v="4"/>
    <n v="1"/>
    <x v="0"/>
    <s v="Antioquia"/>
    <s v="Medellin"/>
    <s v="Despachado"/>
    <s v="Coordinadora"/>
    <s v="3299184 -84151219494"/>
    <d v="2025-05-09T00:00:00"/>
    <d v="2025-05-10T00:00:00"/>
    <s v="Entregado"/>
    <n v="1"/>
    <n v="2"/>
    <s v="Cumple"/>
    <n v="27929"/>
    <m/>
    <m/>
  </r>
  <r>
    <d v="2025-05-09T00:00:00"/>
    <x v="4"/>
    <n v="2552"/>
    <x v="0"/>
    <s v="Christian Rodríguez Caicedo"/>
    <s v="TECU3FNPRO"/>
    <x v="12"/>
    <n v="1"/>
    <x v="1"/>
    <s v="Bogotá y alrededores"/>
    <s v="Bogota"/>
    <s v="Despachado"/>
    <s v="Coordinadora"/>
    <s v="3299911 -84151219835"/>
    <d v="2025-05-09T00:00:00"/>
    <d v="2025-05-10T00:00:00"/>
    <s v="Entregado"/>
    <n v="0"/>
    <n v="1"/>
    <s v="Cumple"/>
    <n v="42921"/>
    <m/>
    <m/>
  </r>
  <r>
    <d v="2025-05-09T00:00:00"/>
    <x v="4"/>
    <n v="2552"/>
    <x v="0"/>
    <s v="Christian Rodríguez Caicedo"/>
    <s v="TECUTFE6C"/>
    <x v="28"/>
    <n v="1"/>
    <x v="2"/>
    <s v="Bogotá y alrededores"/>
    <s v="Bogota"/>
    <s v="Despachado"/>
    <s v="Coordinadora"/>
    <s v="3299912 -84151219837"/>
    <d v="2025-05-09T00:00:00"/>
    <d v="2025-05-12T00:00:00"/>
    <s v="Entregado"/>
    <n v="0"/>
    <n v="2"/>
    <s v="Cumple"/>
    <n v="24093"/>
    <m/>
    <m/>
  </r>
  <r>
    <d v="2025-05-09T00:00:00"/>
    <x v="4"/>
    <n v="2552"/>
    <x v="0"/>
    <s v="Christian Rodríguez Caicedo"/>
    <s v="TECUAFE"/>
    <x v="43"/>
    <n v="1"/>
    <x v="5"/>
    <s v="Bogotá y alrededores"/>
    <s v="Bogota"/>
    <s v="Despachado"/>
    <s v="Envia"/>
    <s v="3312736 -954101215391"/>
    <d v="2025-05-14T00:00:00"/>
    <d v="2025-05-15T00:00:00"/>
    <s v="Entregado"/>
    <n v="4"/>
    <n v="5"/>
    <s v="No cumple"/>
    <n v="54929"/>
    <m/>
    <m/>
  </r>
  <r>
    <d v="2025-05-09T00:00:00"/>
    <x v="4"/>
    <n v="2552"/>
    <x v="0"/>
    <s v="Christian Rodríguez Caicedo"/>
    <s v="TECUCT"/>
    <x v="4"/>
    <n v="1"/>
    <x v="0"/>
    <s v="Bogotá y alrededores"/>
    <s v="Bogota"/>
    <s v="Despachado"/>
    <s v="Coordinadora"/>
    <s v="3299916 -84151219838"/>
    <d v="2025-05-09T00:00:00"/>
    <d v="2025-05-10T00:00:00"/>
    <s v="Entregado"/>
    <n v="0"/>
    <n v="1"/>
    <s v="Cumple"/>
    <n v="24885"/>
    <m/>
    <m/>
  </r>
  <r>
    <d v="2025-05-10T00:00:00"/>
    <x v="4"/>
    <n v="2553"/>
    <x v="0"/>
    <s v="Sergio Vladimir Garcia Galvis"/>
    <s v="TECU3FNPRO"/>
    <x v="12"/>
    <n v="1"/>
    <x v="1"/>
    <s v="Bogotá y alrededores"/>
    <s v="Bogota"/>
    <s v="Despachado"/>
    <s v="Coordinadora"/>
    <s v="3304708 -84151222141"/>
    <d v="2025-05-12T00:00:00"/>
    <d v="2025-05-13T00:00:00"/>
    <s v="Entregado"/>
    <n v="1"/>
    <n v="2"/>
    <s v="Cumple"/>
    <n v="42921"/>
    <m/>
    <m/>
  </r>
  <r>
    <d v="2025-05-10T00:00:00"/>
    <x v="4"/>
    <n v="2553"/>
    <x v="0"/>
    <s v="Sergio Vladimir Garcia Galvis"/>
    <s v="TECUTCO7C"/>
    <x v="70"/>
    <n v="1"/>
    <x v="2"/>
    <s v="Bogotá y alrededores"/>
    <s v="Bogota"/>
    <s v="Despachado"/>
    <s v="Coordinadora"/>
    <s v="3304710 -84151222143"/>
    <d v="2025-05-12T00:00:00"/>
    <d v="2025-05-13T00:00:00"/>
    <s v="Entregado"/>
    <n v="1"/>
    <n v="2"/>
    <s v="Cumple"/>
    <n v="24093"/>
    <m/>
    <m/>
  </r>
  <r>
    <d v="2025-05-10T00:00:00"/>
    <x v="4"/>
    <n v="2554"/>
    <x v="0"/>
    <s v="Jessica Riano"/>
    <s v="TECU2FNG"/>
    <x v="5"/>
    <n v="1"/>
    <x v="1"/>
    <s v="Bogotá y alrededores"/>
    <s v="Bogota"/>
    <s v="Despachado"/>
    <s v="Coordinadora"/>
    <s v="3304674 -84151222130"/>
    <d v="2025-05-12T00:00:00"/>
    <d v="2025-05-13T00:00:00"/>
    <s v="Entregado"/>
    <n v="1"/>
    <n v="2"/>
    <s v="Cumple"/>
    <n v="41593"/>
    <m/>
    <m/>
  </r>
  <r>
    <d v="2025-05-10T00:00:00"/>
    <x v="4"/>
    <n v="2554"/>
    <x v="0"/>
    <s v="Jessica Riano"/>
    <s v="TECUTCO2C"/>
    <x v="37"/>
    <n v="1"/>
    <x v="2"/>
    <s v="Bogotá y alrededores"/>
    <s v="Bogota"/>
    <s v="Despachado"/>
    <s v="Coordinadora"/>
    <s v="3304677 -84151222133"/>
    <d v="2025-05-12T00:00:00"/>
    <d v="2025-05-14T00:00:00"/>
    <s v="Entregado"/>
    <n v="1"/>
    <n v="3"/>
    <s v="Cumple"/>
    <n v="24093"/>
    <m/>
    <m/>
  </r>
  <r>
    <d v="2025-05-11T00:00:00"/>
    <x v="4"/>
    <n v="2555"/>
    <x v="0"/>
    <s v="Anwar Chehade"/>
    <s v="TECU2FBGO"/>
    <x v="2"/>
    <n v="1"/>
    <x v="1"/>
    <s v="Bogotá y alrededores"/>
    <s v="Bogota"/>
    <s v="Despachado"/>
    <s v="Coordinadora"/>
    <s v="3305441 -84151222584"/>
    <d v="2025-05-12T00:00:00"/>
    <d v="2025-05-13T00:00:00"/>
    <s v="Entregado"/>
    <n v="0"/>
    <n v="1"/>
    <s v="Cumple"/>
    <n v="41593"/>
    <m/>
    <m/>
  </r>
  <r>
    <d v="2025-05-11T00:00:00"/>
    <x v="4"/>
    <n v="2555"/>
    <x v="0"/>
    <s v="Anwar Chehade"/>
    <s v="TECUTB2C"/>
    <x v="68"/>
    <n v="1"/>
    <x v="2"/>
    <s v="Bogotá y alrededores"/>
    <s v="Bogota"/>
    <s v="Despachado"/>
    <s v="Coordinadora"/>
    <s v="3305443 -84151222586"/>
    <d v="2025-05-12T00:00:00"/>
    <d v="2025-05-14T00:00:00"/>
    <s v="Entregado"/>
    <n v="0"/>
    <n v="2"/>
    <s v="Cumple"/>
    <n v="24093"/>
    <m/>
    <m/>
  </r>
  <r>
    <d v="2025-05-11T00:00:00"/>
    <x v="4"/>
    <n v="2555"/>
    <x v="0"/>
    <s v="Anwar Chehade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5-12T00:00:00"/>
    <x v="4"/>
    <n v="2556"/>
    <x v="0"/>
    <s v="Felipe Gomez Castano"/>
    <s v="TECU3FBRO"/>
    <x v="34"/>
    <n v="1"/>
    <x v="1"/>
    <s v="Antioquia"/>
    <s v="Carmen de Viboral"/>
    <s v="Despachado"/>
    <s v="Coordinadora"/>
    <s v="3306649 -84151223326"/>
    <d v="2025-05-12T00:00:00"/>
    <d v="2025-05-13T00:00:00"/>
    <s v="Entregado"/>
    <n v="0"/>
    <n v="1"/>
    <s v="Cumple"/>
    <n v="47921"/>
    <m/>
    <m/>
  </r>
  <r>
    <d v="2025-05-12T00:00:00"/>
    <x v="4"/>
    <n v="2556"/>
    <x v="0"/>
    <s v="Felipe Gomez Castano"/>
    <s v="TECUTFE3C"/>
    <x v="39"/>
    <n v="1"/>
    <x v="2"/>
    <s v="Antioquia"/>
    <s v="Carmen de Viboral"/>
    <s v="Despachado"/>
    <s v="Coordinadora"/>
    <s v="3306728 -84151223369"/>
    <d v="2025-05-12T00:00:00"/>
    <d v="2025-05-13T00:00:00"/>
    <s v="Entregado"/>
    <n v="0"/>
    <n v="1"/>
    <s v="Cumple"/>
    <n v="27929"/>
    <m/>
    <m/>
  </r>
  <r>
    <d v="2025-05-12T00:00:00"/>
    <x v="4"/>
    <n v="2557"/>
    <x v="0"/>
    <s v="Jerson Mendoza"/>
    <s v="TECU3FBRO"/>
    <x v="34"/>
    <n v="1"/>
    <x v="1"/>
    <s v="Antioquia"/>
    <s v="Medellin"/>
    <s v="Despachado"/>
    <s v="Coordinadora"/>
    <s v="3305206 -84151222430"/>
    <d v="2025-05-12T00:00:00"/>
    <d v="2025-05-13T00:00:00"/>
    <s v="Entregado"/>
    <n v="0"/>
    <n v="1"/>
    <s v="Cumple"/>
    <n v="42921"/>
    <m/>
    <m/>
  </r>
  <r>
    <d v="2025-05-12T00:00:00"/>
    <x v="4"/>
    <n v="2557"/>
    <x v="0"/>
    <s v="Jerson Mendoza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5-12T00:00:00"/>
    <x v="4"/>
    <n v="2558"/>
    <x v="0"/>
    <s v="Carlos Eduardo Cortes Gomez"/>
    <s v="TECU3FNCRO"/>
    <x v="55"/>
    <n v="1"/>
    <x v="1"/>
    <s v="Bogotá y alrededores"/>
    <s v="Bogota"/>
    <s v="Despachado"/>
    <s v="Coordinadora"/>
    <s v="3312804 -84151226481"/>
    <d v="2025-05-14T00:00:00"/>
    <d v="2025-05-16T00:00:00"/>
    <s v="Entregado"/>
    <n v="2"/>
    <n v="4"/>
    <s v="No cumple"/>
    <n v="42921"/>
    <m/>
    <m/>
  </r>
  <r>
    <d v="2025-05-12T00:00:00"/>
    <x v="4"/>
    <n v="2558"/>
    <x v="0"/>
    <s v="Carlos Eduardo Cortes Gomez"/>
    <s v="TECUTCO5C"/>
    <x v="51"/>
    <n v="1"/>
    <x v="2"/>
    <s v="Bogotá y alrededores"/>
    <s v="Bogota"/>
    <s v="Despachado"/>
    <s v="Coordinadora"/>
    <s v="3312805 -84151226482"/>
    <d v="2025-05-14T00:00:00"/>
    <d v="2025-05-16T00:00:00"/>
    <s v="Entregado"/>
    <n v="2"/>
    <n v="4"/>
    <s v="No cumple"/>
    <n v="24093"/>
    <m/>
    <m/>
  </r>
  <r>
    <d v="2025-05-12T00:00:00"/>
    <x v="4"/>
    <n v="2558"/>
    <x v="0"/>
    <s v="Carlos Eduardo Cortes Gomez"/>
    <s v="TECUBLS"/>
    <x v="32"/>
    <n v="1"/>
    <x v="0"/>
    <s v="Bogotá y alrededores"/>
    <s v="Bogota"/>
    <s v="Despachado"/>
    <s v="Coordinadora"/>
    <s v="3312815 -84151226486"/>
    <d v="2025-05-14T00:00:00"/>
    <d v="2025-05-15T00:00:00"/>
    <s v="Entregado"/>
    <n v="2"/>
    <n v="3"/>
    <s v="Cumple"/>
    <n v="24885"/>
    <m/>
    <m/>
  </r>
  <r>
    <d v="2025-05-12T00:00:00"/>
    <x v="4"/>
    <n v="2558"/>
    <x v="0"/>
    <s v="Carlos Eduardo Cortes Gomez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5-13T00:00:00"/>
    <x v="4"/>
    <n v="2559"/>
    <x v="0"/>
    <s v="LIONTECH S.A.S"/>
    <s v="TECU3FNCRO"/>
    <x v="55"/>
    <n v="1"/>
    <x v="1"/>
    <s v="Bogotá y alrededores"/>
    <s v="Bogota"/>
    <s v="Despachado"/>
    <s v="Coordinadora"/>
    <s v="3314209 -84151227311"/>
    <d v="2025-05-14T00:00:00"/>
    <d v="2025-05-15T00:00:00"/>
    <s v="Entregado"/>
    <n v="1"/>
    <n v="2"/>
    <s v="Cumple"/>
    <n v="42921"/>
    <m/>
    <m/>
  </r>
  <r>
    <d v="2025-05-13T00:00:00"/>
    <x v="4"/>
    <n v="2559"/>
    <x v="0"/>
    <s v="LIONTECH S.A.S"/>
    <s v="TECUTCO8C"/>
    <x v="19"/>
    <n v="1"/>
    <x v="2"/>
    <s v="Bogotá y alrededores"/>
    <s v="Bogota"/>
    <s v="Despachado"/>
    <s v="Coordinadora"/>
    <s v="3314210 -84151227312"/>
    <d v="2025-05-14T00:00:00"/>
    <d v="2025-05-16T00:00:00"/>
    <s v="Entregado"/>
    <n v="1"/>
    <n v="3"/>
    <s v="Cumple"/>
    <n v="26749"/>
    <m/>
    <m/>
  </r>
  <r>
    <d v="2025-05-13T00:00:00"/>
    <x v="4"/>
    <n v="2559"/>
    <x v="0"/>
    <s v="LIONTECH S.A.S"/>
    <s v="TECUCT"/>
    <x v="4"/>
    <n v="1"/>
    <x v="0"/>
    <s v="Bogotá y alrededores"/>
    <s v="Bogota"/>
    <s v="Despachado"/>
    <s v="Coordinadora"/>
    <s v="3314227 -84151227322"/>
    <d v="2025-05-14T00:00:00"/>
    <d v="2025-05-15T00:00:00"/>
    <s v="Entregado"/>
    <n v="1"/>
    <n v="2"/>
    <s v="Cumple"/>
    <n v="24885"/>
    <m/>
    <m/>
  </r>
  <r>
    <d v="2025-05-13T00:00:00"/>
    <x v="4"/>
    <n v="2560"/>
    <x v="0"/>
    <s v="Margarita Reyes &amp; HUSKY IMS COLOMBIA LTD."/>
    <s v="TECU3FNPRO"/>
    <x v="12"/>
    <n v="1"/>
    <x v="1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TRM8C"/>
    <x v="49"/>
    <n v="1"/>
    <x v="2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CT"/>
    <x v="4"/>
    <n v="1"/>
    <x v="0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ROD"/>
    <x v="31"/>
    <n v="1"/>
    <x v="7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BDPA"/>
    <x v="1"/>
    <n v="1"/>
    <x v="0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BLS"/>
    <x v="32"/>
    <n v="1"/>
    <x v="0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AN"/>
    <x v="26"/>
    <n v="1"/>
    <x v="5"/>
    <s v="Bogotá y alrededores"/>
    <s v="Bogota"/>
    <s v="En alistamiento"/>
    <s v="Envia"/>
    <m/>
    <m/>
    <m/>
    <s v="En transito"/>
    <s v="PTE"/>
    <m/>
    <s v="PTE"/>
    <m/>
    <m/>
    <m/>
  </r>
  <r>
    <d v="2025-05-14T00:00:00"/>
    <x v="4"/>
    <n v="2561"/>
    <x v="0"/>
    <s v="Sergio Vladimir Garcia Galvis"/>
    <s v="TECUDSN"/>
    <x v="13"/>
    <n v="1"/>
    <x v="4"/>
    <s v="Bogotá y alrededores"/>
    <s v="Bogota"/>
    <s v="Despachado"/>
    <s v="Coordinadora"/>
    <s v="3314531 -84151227501"/>
    <d v="2025-05-14T00:00:00"/>
    <d v="2025-05-15T00:00:00"/>
    <s v="Entregado"/>
    <n v="0"/>
    <n v="1"/>
    <s v="Cumple"/>
    <n v="26609"/>
    <m/>
    <m/>
  </r>
  <r>
    <d v="2025-05-14T00:00:00"/>
    <x v="4"/>
    <n v="2562"/>
    <x v="0"/>
    <s v="Luis Michel Trujillo"/>
    <s v="TECU3FNPRO"/>
    <x v="12"/>
    <n v="1"/>
    <x v="1"/>
    <s v="Caldas"/>
    <s v="Manizales"/>
    <s v="Despachado"/>
    <s v="Coordinadora"/>
    <s v="3316912 -84151228610"/>
    <d v="2025-05-15T00:00:00"/>
    <d v="2025-05-26T00:00:00"/>
    <s v="Entregado"/>
    <n v="1"/>
    <n v="10"/>
    <s v="No cumple"/>
    <n v="34953"/>
    <m/>
    <m/>
  </r>
  <r>
    <d v="2025-05-14T00:00:00"/>
    <x v="4"/>
    <n v="2562"/>
    <x v="0"/>
    <s v="Luis Michel Trujillo"/>
    <s v="TECUTFE5C"/>
    <x v="29"/>
    <n v="1"/>
    <x v="2"/>
    <s v="Caldas"/>
    <s v="Manizales"/>
    <s v="Despachado"/>
    <s v="Coordinadora"/>
    <s v="3316913 -84151228611"/>
    <d v="2025-05-15T00:00:00"/>
    <d v="2025-05-27T00:00:00"/>
    <s v="Entregado"/>
    <n v="1"/>
    <n v="11"/>
    <s v="No cumple"/>
    <n v="15194"/>
    <m/>
    <m/>
  </r>
  <r>
    <d v="2025-05-15T00:00:00"/>
    <x v="4"/>
    <n v="2563"/>
    <x v="0"/>
    <s v="Diego Bellon"/>
    <s v="TECUBDPA"/>
    <x v="1"/>
    <n v="1"/>
    <x v="0"/>
    <s v="Bogotá y alrededores"/>
    <s v="Cajica"/>
    <s v="Despachado"/>
    <s v="Coordinadora"/>
    <s v="3318734 -84151229697"/>
    <d v="2025-05-15T00:00:00"/>
    <d v="2025-05-17T00:00:00"/>
    <s v="Entregado"/>
    <n v="0"/>
    <n v="2"/>
    <s v="Cumple"/>
    <n v="16617"/>
    <m/>
    <m/>
  </r>
  <r>
    <d v="2025-05-15T00:00:00"/>
    <x v="4"/>
    <n v="2563"/>
    <x v="0"/>
    <s v="Diego Bellon"/>
    <s v="TECURFE"/>
    <x v="71"/>
    <n v="1"/>
    <x v="6"/>
    <s v="Bogotá y alrededores"/>
    <s v="Cajica"/>
    <s v="Despachado"/>
    <s v="Coordinadora"/>
    <s v="3318738 -84151229700"/>
    <d v="2025-05-15T00:00:00"/>
    <d v="2025-05-17T00:00:00"/>
    <s v="Entregado"/>
    <n v="0"/>
    <n v="2"/>
    <s v="Cumple"/>
    <n v="23429"/>
    <m/>
    <m/>
  </r>
  <r>
    <d v="2025-05-18T00:00:00"/>
    <x v="4"/>
    <n v="2564"/>
    <x v="0"/>
    <s v="Angelica Obregon"/>
    <s v="TECU3FBRO"/>
    <x v="34"/>
    <n v="1"/>
    <x v="1"/>
    <s v="Valle del Cauca"/>
    <s v="Cali"/>
    <s v="Despachado"/>
    <s v="Coordinadora"/>
    <s v="3329190 -84151234549"/>
    <d v="2025-05-19T00:00:00"/>
    <d v="2025-05-20T00:00:00"/>
    <s v="Entregado"/>
    <n v="0"/>
    <n v="1"/>
    <s v="Cumple"/>
    <n v="42921"/>
    <m/>
    <m/>
  </r>
  <r>
    <d v="2025-05-18T00:00:00"/>
    <x v="4"/>
    <n v="2564"/>
    <x v="0"/>
    <s v="Angelica Obregon"/>
    <s v="TECUTB6C"/>
    <x v="72"/>
    <n v="1"/>
    <x v="2"/>
    <s v="Valle del Cauca"/>
    <s v="Cali"/>
    <s v="Despachado"/>
    <s v="Coordinadora"/>
    <s v="3329191 -84151234550"/>
    <d v="2025-05-19T00:00:00"/>
    <d v="2025-05-20T00:00:00"/>
    <s v="Entregado"/>
    <n v="0"/>
    <n v="1"/>
    <s v="Cumple"/>
    <n v="24093"/>
    <m/>
    <m/>
  </r>
  <r>
    <d v="2025-05-19T00:00:00"/>
    <x v="4"/>
    <n v="2565"/>
    <x v="0"/>
    <s v="Jason Cubides"/>
    <s v="TECU3FNCRO"/>
    <x v="55"/>
    <n v="1"/>
    <x v="1"/>
    <s v="Bogotá y alrededores"/>
    <s v="Bogota"/>
    <s v="Despachado"/>
    <s v="Coordinadora"/>
    <s v="3329210 -84151234561"/>
    <d v="2025-05-19T00:00:00"/>
    <d v="2025-05-20T00:00:00"/>
    <s v="Entregado"/>
    <n v="0"/>
    <n v="1"/>
    <s v="Cumple"/>
    <n v="42921"/>
    <m/>
    <m/>
  </r>
  <r>
    <d v="2025-05-19T00:00:00"/>
    <x v="4"/>
    <n v="2565"/>
    <x v="0"/>
    <s v="Jason Cubides"/>
    <s v="TECUTRN6C"/>
    <x v="20"/>
    <n v="1"/>
    <x v="2"/>
    <s v="Bogotá y alrededores"/>
    <s v="Bogota"/>
    <s v="Despachado"/>
    <s v="Coordinadora"/>
    <s v="3329211 -84151234562"/>
    <d v="2025-05-19T00:00:00"/>
    <d v="2025-05-21T00:00:00"/>
    <s v="Entregado"/>
    <n v="0"/>
    <n v="2"/>
    <s v="Cumple"/>
    <n v="24093"/>
    <m/>
    <m/>
  </r>
  <r>
    <d v="2025-05-21T00:00:00"/>
    <x v="4"/>
    <n v="2566"/>
    <x v="0"/>
    <s v="Juan Sebastian Quijano Rodriguez"/>
    <s v="TECU3FNCRO"/>
    <x v="55"/>
    <n v="1"/>
    <x v="1"/>
    <s v="Bogotá y alrededores"/>
    <s v="Bogota"/>
    <s v="Despachado"/>
    <s v="Coordinadora"/>
    <s v="3336854 -84151238405"/>
    <d v="2025-05-21T00:00:00"/>
    <d v="2025-05-22T00:00:00"/>
    <s v="Entregado"/>
    <n v="0"/>
    <n v="1"/>
    <s v="Cumple"/>
    <n v="42921"/>
    <m/>
    <m/>
  </r>
  <r>
    <d v="2025-05-21T00:00:00"/>
    <x v="4"/>
    <n v="2566"/>
    <x v="0"/>
    <s v="Juan Sebastian Quijano Rodriguez"/>
    <s v="TECUTCO3C"/>
    <x v="23"/>
    <n v="1"/>
    <x v="2"/>
    <s v="Bogotá y alrededores"/>
    <s v="Bogota"/>
    <s v="Despachado"/>
    <s v="Coordinadora"/>
    <s v="3336855 -84151238406"/>
    <d v="2025-05-21T00:00:00"/>
    <d v="2025-05-22T00:00:00"/>
    <s v="Entregado"/>
    <n v="0"/>
    <n v="1"/>
    <s v="Cumple"/>
    <n v="28741"/>
    <m/>
    <m/>
  </r>
  <r>
    <d v="2025-05-21T00:00:00"/>
    <x v="4"/>
    <n v="2566"/>
    <x v="0"/>
    <s v="Juan Sebastian Quijano Rodriguez"/>
    <s v="TECUDSN"/>
    <x v="13"/>
    <n v="1"/>
    <x v="4"/>
    <s v="Bogotá y alrededores"/>
    <s v="Bogota"/>
    <s v="Despachado"/>
    <s v="Coordinadora"/>
    <s v="3336868 -84151238412"/>
    <d v="2025-05-21T00:00:00"/>
    <d v="2025-05-22T00:00:00"/>
    <s v="Entregado"/>
    <n v="0"/>
    <n v="1"/>
    <s v="Cumple"/>
    <n v="26609"/>
    <m/>
    <m/>
  </r>
  <r>
    <d v="2025-05-21T00:00:00"/>
    <x v="4"/>
    <n v="2567"/>
    <x v="0"/>
    <s v="Jason Cubides"/>
    <s v="TECUCT"/>
    <x v="4"/>
    <n v="1"/>
    <x v="0"/>
    <s v="Bogotá y alrededores"/>
    <s v="Bogota"/>
    <s v="Despachado"/>
    <s v="Coordinadora"/>
    <s v="3339519 -84151239641"/>
    <d v="2025-05-22T00:00:00"/>
    <d v="2025-05-24T00:00:00"/>
    <s v="Entregado"/>
    <n v="1"/>
    <n v="3"/>
    <s v="Cumple"/>
    <n v="24885"/>
    <m/>
    <m/>
  </r>
  <r>
    <d v="2025-03-05T00:00:00"/>
    <x v="2"/>
    <n v="2120"/>
    <x v="1"/>
    <s v="Ivo Leonardo Ochoa Galeano"/>
    <s v="TECUROD"/>
    <x v="31"/>
    <n v="1"/>
    <x v="7"/>
    <s v="Bogotá y alrededores"/>
    <s v="Bogota"/>
    <s v="Despachado"/>
    <s v="Envia"/>
    <s v="3132159 - 954101166134"/>
    <d v="2025-03-05T00:00:00"/>
    <d v="2025-03-06T00:00:00"/>
    <s v="Entregado"/>
    <n v="0"/>
    <m/>
    <s v="Cumple"/>
    <n v="18981"/>
    <m/>
    <m/>
  </r>
  <r>
    <d v="2025-05-23T00:00:00"/>
    <x v="4"/>
    <n v="2568"/>
    <x v="0"/>
    <s v="Alain Bismark"/>
    <s v="TECUROD6"/>
    <x v="25"/>
    <n v="2"/>
    <x v="7"/>
    <s v="Antioquia"/>
    <s v="Envigado"/>
    <s v="Despachado"/>
    <s v="Coordinadora"/>
    <s v="3342080 -84151240722"/>
    <d v="2025-05-23T00:00:00"/>
    <d v="2025-05-24T00:00:00"/>
    <s v="Entregado"/>
    <n v="0"/>
    <n v="1"/>
    <s v="Cumple"/>
    <n v="23875"/>
    <m/>
    <m/>
  </r>
  <r>
    <d v="2025-05-23T00:00:00"/>
    <x v="4"/>
    <n v="2569"/>
    <x v="0"/>
    <s v="Maria José Pineda Murillo"/>
    <s v="TECU2FNG"/>
    <x v="5"/>
    <n v="1"/>
    <x v="1"/>
    <s v="Santander"/>
    <s v="Bucaramanga"/>
    <s v="Despachado"/>
    <s v="Coordinadora"/>
    <s v="3342141 -84151240759"/>
    <d v="2025-05-23T00:00:00"/>
    <d v="2025-05-26T00:00:00"/>
    <s v="Entregado"/>
    <n v="0"/>
    <n v="2"/>
    <s v="Cumple"/>
    <n v="56077"/>
    <m/>
    <m/>
  </r>
  <r>
    <d v="2025-05-23T00:00:00"/>
    <x v="4"/>
    <n v="2569"/>
    <x v="0"/>
    <s v="Maria José Pineda Murillo"/>
    <s v="TECUTRN2C"/>
    <x v="11"/>
    <n v="1"/>
    <x v="2"/>
    <s v="Santander"/>
    <s v="Bucaramanga"/>
    <s v="Despachado"/>
    <s v="Coordinadora"/>
    <s v="3342142 -84151240760"/>
    <d v="2025-05-23T00:00:00"/>
    <d v="2025-05-26T00:00:00"/>
    <s v="Entregado"/>
    <n v="0"/>
    <n v="2"/>
    <s v="Cumple"/>
    <n v="41897"/>
    <m/>
    <m/>
  </r>
  <r>
    <d v="2025-05-23T00:00:00"/>
    <x v="4"/>
    <n v="2570"/>
    <x v="0"/>
    <s v="HENRY STIVENS ADARME MUÑOZ"/>
    <s v="TECU3FBCRO"/>
    <x v="66"/>
    <n v="1"/>
    <x v="1"/>
    <s v="Valle del Cauca"/>
    <s v="Palmira"/>
    <s v="Despachado"/>
    <s v="Coordinadora"/>
    <s v="3342475 -84151240946"/>
    <d v="2025-05-23T00:00:00"/>
    <d v="2025-05-24T00:00:00"/>
    <s v="Entregado"/>
    <n v="0"/>
    <n v="1"/>
    <s v="Cumple"/>
    <n v="42921"/>
    <m/>
    <m/>
  </r>
  <r>
    <d v="2025-05-23T00:00:00"/>
    <x v="4"/>
    <n v="2570"/>
    <x v="0"/>
    <s v="HENRY STIVENS ADARME MUÑOZ"/>
    <s v="TECUTFE2C"/>
    <x v="3"/>
    <n v="1"/>
    <x v="2"/>
    <s v="Valle del Cauca"/>
    <s v="Palmira"/>
    <s v="Despachado"/>
    <s v="Coordinadora"/>
    <s v="3342476 -84151240947"/>
    <d v="2025-05-23T00:00:00"/>
    <d v="2025-05-24T00:00:00"/>
    <s v="Entregado"/>
    <n v="0"/>
    <n v="1"/>
    <s v="Cumple"/>
    <n v="28741"/>
    <m/>
    <m/>
  </r>
  <r>
    <d v="2025-05-26T00:00:00"/>
    <x v="4"/>
    <n v="2571"/>
    <x v="0"/>
    <s v="Damian Duarte"/>
    <s v="TECULFN2"/>
    <x v="7"/>
    <n v="1"/>
    <x v="1"/>
    <s v="Bogotá y alrededores"/>
    <s v="Funza"/>
    <s v="Despachado"/>
    <s v="Coordinadora"/>
    <s v="3347321 -84151243010"/>
    <d v="2025-05-26T00:00:00"/>
    <d v="2025-05-29T00:00:00"/>
    <s v="Entregado"/>
    <n v="0"/>
    <n v="3"/>
    <s v="Cumple"/>
    <n v="62530"/>
    <m/>
    <m/>
  </r>
  <r>
    <d v="2025-05-26T00:00:00"/>
    <x v="4"/>
    <n v="2571"/>
    <x v="0"/>
    <s v="Damian Duarte"/>
    <s v="TECUTLFES"/>
    <x v="63"/>
    <n v="1"/>
    <x v="2"/>
    <s v="Bogotá y alrededores"/>
    <s v="Funza"/>
    <s v="Despachado"/>
    <s v="Coordinadora"/>
    <s v="3347323 -84151243012"/>
    <d v="2025-05-26T00:00:00"/>
    <d v="2025-05-29T00:00:00"/>
    <s v="Entregado"/>
    <n v="0"/>
    <n v="3"/>
    <s v="Cumple"/>
    <n v="26749"/>
    <m/>
    <m/>
  </r>
  <r>
    <d v="2025-05-30T00:00:00"/>
    <x v="4"/>
    <n v="2572"/>
    <x v="0"/>
    <s v="Katherine Rivera"/>
    <s v="TECULFN2"/>
    <x v="7"/>
    <n v="1"/>
    <x v="1"/>
    <s v="Bogotá y alrededores"/>
    <s v="Chia"/>
    <s v="Despachado"/>
    <s v="Coordinadora"/>
    <s v="3364457 -84151250134"/>
    <d v="2025-06-03T00:00:00"/>
    <d v="2025-06-05T00:00:00"/>
    <s v="Entregado"/>
    <n v="2"/>
    <n v="4"/>
    <s v="Cumple"/>
    <n v="62530"/>
    <m/>
    <m/>
  </r>
  <r>
    <d v="2025-05-30T00:00:00"/>
    <x v="4"/>
    <n v="2572"/>
    <x v="0"/>
    <s v="Katherine Rivera"/>
    <s v="TECUTLBS"/>
    <x v="61"/>
    <n v="1"/>
    <x v="2"/>
    <s v="Bogotá y alrededores"/>
    <s v="Chia"/>
    <s v="Despachado"/>
    <s v="Coordinadora"/>
    <s v="3364460 -84151250136"/>
    <d v="2025-06-03T00:00:00"/>
    <d v="2025-06-06T00:00:00"/>
    <s v="Entregado"/>
    <n v="2"/>
    <n v="5"/>
    <s v="Cumple"/>
    <n v="26749"/>
    <m/>
    <m/>
  </r>
  <r>
    <d v="2025-05-30T00:00:00"/>
    <x v="4"/>
    <n v="2572"/>
    <x v="0"/>
    <s v="Katherine Rivera"/>
    <s v="TECUAB"/>
    <x v="44"/>
    <n v="1"/>
    <x v="5"/>
    <s v="Bogotá y alrededores"/>
    <s v="Chia"/>
    <s v="Despachado"/>
    <s v="Envia"/>
    <s v="3369690 -954101229262"/>
    <d v="2025-06-04T00:00:00"/>
    <d v="2025-06-05T00:00:00"/>
    <s v="Entregado"/>
    <n v="3"/>
    <n v="4"/>
    <s v="Cumple"/>
    <n v="65682"/>
    <m/>
    <m/>
  </r>
  <r>
    <d v="2025-05-30T00:00:00"/>
    <x v="4"/>
    <n v="2572"/>
    <x v="0"/>
    <s v="Katherine Rivera"/>
    <s v="TECUCT"/>
    <x v="4"/>
    <n v="1"/>
    <x v="0"/>
    <s v="Bogotá y alrededores"/>
    <s v="Chia"/>
    <s v="Despachado"/>
    <s v="Coordinadora"/>
    <s v="3364484 -84151250150"/>
    <d v="2025-06-03T00:00:00"/>
    <d v="2025-06-05T00:00:00"/>
    <s v="Entregado"/>
    <n v="2"/>
    <n v="4"/>
    <s v="Cumple"/>
    <n v="24885"/>
    <m/>
    <m/>
  </r>
  <r>
    <d v="2025-06-01T00:00:00"/>
    <x v="5"/>
    <n v="2573"/>
    <x v="0"/>
    <s v="ANDRES MAURICIO MANTILLA"/>
    <s v="TECURCO"/>
    <x v="30"/>
    <n v="1"/>
    <x v="6"/>
    <s v="Santander"/>
    <s v="Bucaramanga"/>
    <s v="Despachado"/>
    <s v="Coordinadora"/>
    <s v="3365198 -84151250496"/>
    <d v="2025-06-03T00:00:00"/>
    <d v="2025-06-05T00:00:00"/>
    <s v="Entregado"/>
    <n v="0"/>
    <n v="2"/>
    <s v="Cumple"/>
    <n v="16617"/>
    <m/>
    <m/>
  </r>
  <r>
    <d v="2025-06-01T00:00:00"/>
    <x v="5"/>
    <n v="2573"/>
    <x v="0"/>
    <s v="ANDRES MAURICIO MANTILLA"/>
    <s v="TECUBDPA"/>
    <x v="1"/>
    <n v="1"/>
    <x v="0"/>
    <s v="Santander"/>
    <s v="Bucaramanga"/>
    <s v="Despachado"/>
    <s v="Coordinadora"/>
    <s v="3365213 -84151250509"/>
    <d v="2025-06-03T00:00:00"/>
    <d v="2025-06-05T00:00:00"/>
    <s v="Entregado"/>
    <n v="0"/>
    <n v="2"/>
    <s v="Cumple"/>
    <n v="33077"/>
    <m/>
    <m/>
  </r>
  <r>
    <d v="2025-06-02T00:00:00"/>
    <x v="5"/>
    <n v="2574"/>
    <x v="0"/>
    <s v="Maria del Mar Cuadros Collazos"/>
    <s v="TECU2FNG"/>
    <x v="5"/>
    <n v="1"/>
    <x v="1"/>
    <s v="Valle del Cauca"/>
    <s v="Jamundi"/>
    <s v="Despachado"/>
    <s v="Coordinadora"/>
    <s v="3364626 -84151250223"/>
    <d v="2025-06-03T00:00:00"/>
    <d v="2025-06-04T00:00:00"/>
    <s v="Entregado"/>
    <n v="0"/>
    <n v="1"/>
    <e v="#N/A"/>
    <n v="41593"/>
    <m/>
    <m/>
  </r>
  <r>
    <d v="2025-06-02T00:00:00"/>
    <x v="5"/>
    <n v="2574"/>
    <x v="0"/>
    <s v="Maria del Mar Cuadros Collazos"/>
    <s v="TECUTFE3C"/>
    <x v="39"/>
    <n v="1"/>
    <x v="2"/>
    <s v="Valle del Cauca"/>
    <s v="Jamundi"/>
    <s v="Despachado"/>
    <s v="Coordinadora"/>
    <s v="3364629 -84151250225"/>
    <d v="2025-06-03T00:00:00"/>
    <d v="2025-06-04T00:00:00"/>
    <s v="Entregado"/>
    <n v="0"/>
    <n v="1"/>
    <e v="#N/A"/>
    <n v="24093"/>
    <m/>
    <m/>
  </r>
  <r>
    <d v="2025-06-02T00:00:00"/>
    <x v="5"/>
    <n v="2574"/>
    <x v="0"/>
    <s v="Maria del Mar Cuadros Collazos"/>
    <s v="TECURFE"/>
    <x v="71"/>
    <n v="1"/>
    <x v="6"/>
    <s v="Valle del Cauca"/>
    <s v="Jamundi"/>
    <s v="Despachado"/>
    <s v="Coordinadora"/>
    <s v="NA"/>
    <s v="NA"/>
    <s v="NA"/>
    <s v="Entregado"/>
    <e v="#VALUE!"/>
    <e v="#VALUE!"/>
    <e v="#VALUE!"/>
    <m/>
    <m/>
    <m/>
  </r>
  <r>
    <d v="2025-06-03T00:00:00"/>
    <x v="5"/>
    <n v="2575"/>
    <x v="0"/>
    <s v="Katherine Rivera"/>
    <s v="TECUCT"/>
    <x v="4"/>
    <n v="1"/>
    <x v="0"/>
    <s v="Bogotá y alrededores"/>
    <s v="Chia"/>
    <s v="Despachado"/>
    <s v="Coordinadora"/>
    <s v="3366052 -84151250990"/>
    <d v="2025-06-03T00:00:00"/>
    <d v="2025-06-05T00:00:00"/>
    <s v="Entregado"/>
    <n v="0"/>
    <n v="2"/>
    <s v="Cumple"/>
    <n v="24885"/>
    <m/>
    <m/>
  </r>
  <r>
    <d v="2025-06-03T00:00:00"/>
    <x v="5"/>
    <n v="2576"/>
    <x v="0"/>
    <s v="Alejandro HERNANDEZ"/>
    <s v="TECU2FNG"/>
    <x v="5"/>
    <n v="1"/>
    <x v="1"/>
    <s v="Antioquia"/>
    <s v="Medellin"/>
    <s v="Despachado"/>
    <s v="Coordinadora"/>
    <s v="3370951 -84151252868"/>
    <d v="2025-06-04T00:00:00"/>
    <d v="2025-06-05T00:00:00"/>
    <s v="Entregado"/>
    <n v="1"/>
    <n v="2"/>
    <s v="Cumple"/>
    <n v="41593"/>
    <m/>
    <m/>
  </r>
  <r>
    <d v="2025-06-03T00:00:00"/>
    <x v="5"/>
    <n v="2576"/>
    <x v="0"/>
    <s v="Alejandro HERNANDEZ"/>
    <s v="TECUTRN6C"/>
    <x v="20"/>
    <n v="1"/>
    <x v="2"/>
    <s v="Antioquia"/>
    <s v="Medellin"/>
    <s v="Despachado"/>
    <s v="Coordinadora"/>
    <s v="3370952 -84151252869"/>
    <d v="2025-06-04T00:00:00"/>
    <d v="2025-06-05T00:00:00"/>
    <s v="Entregado"/>
    <n v="1"/>
    <n v="2"/>
    <s v="Cumple"/>
    <n v="24093"/>
    <m/>
    <m/>
  </r>
  <r>
    <d v="2025-06-03T00:00:00"/>
    <x v="5"/>
    <n v="2576"/>
    <x v="0"/>
    <s v="Alejandro HERNANDEZ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6-03T00:00:00"/>
    <x v="5"/>
    <n v="2577"/>
    <x v="0"/>
    <s v="Daniel Bernal"/>
    <s v="TECU3FNPRO"/>
    <x v="12"/>
    <n v="1"/>
    <x v="1"/>
    <s v="Bogotá y alrededores"/>
    <s v="Bogota"/>
    <s v="Despachado"/>
    <s v="Coordinadora"/>
    <s v="3370320 -84151252652"/>
    <d v="2025-06-04T00:00:00"/>
    <d v="2025-06-06T00:00:00"/>
    <s v="Entregado"/>
    <n v="1"/>
    <n v="3"/>
    <s v="Cumple"/>
    <n v="42921"/>
    <m/>
    <m/>
  </r>
  <r>
    <d v="2025-06-03T00:00:00"/>
    <x v="5"/>
    <n v="2577"/>
    <x v="0"/>
    <s v="Daniel Bernal"/>
    <s v="TECUTFE5C"/>
    <x v="29"/>
    <n v="1"/>
    <x v="2"/>
    <s v="Bogotá y alrededores"/>
    <s v="Bogota"/>
    <s v="Despachado"/>
    <s v="Coordinadora"/>
    <s v="3370321 -84151252654"/>
    <d v="2025-06-04T00:00:00"/>
    <d v="2025-06-06T00:00:00"/>
    <s v="Entregado"/>
    <n v="1"/>
    <n v="3"/>
    <s v="Cumple"/>
    <n v="24093"/>
    <m/>
    <m/>
  </r>
  <r>
    <d v="2025-06-03T00:00:00"/>
    <x v="5"/>
    <n v="2577"/>
    <x v="0"/>
    <s v="Daniel Bernal"/>
    <s v="TECUCT"/>
    <x v="4"/>
    <n v="1"/>
    <x v="0"/>
    <s v="Bogotá y alrededores"/>
    <s v="Bogota"/>
    <s v="Despachado"/>
    <s v="Coordinadora"/>
    <s v="3370334 -84151252662"/>
    <d v="2025-06-04T00:00:00"/>
    <d v="2025-06-06T00:00:00"/>
    <s v="Entregado"/>
    <n v="1"/>
    <n v="3"/>
    <s v="Cumple"/>
    <n v="24885"/>
    <m/>
    <m/>
  </r>
  <r>
    <d v="2025-06-04T00:00:00"/>
    <x v="5"/>
    <n v="2578"/>
    <x v="0"/>
    <s v="Gabriel Herrera Zarate"/>
    <s v="TECULFN2"/>
    <x v="7"/>
    <n v="1"/>
    <x v="1"/>
    <s v="Santander"/>
    <s v="Barrancabermeja"/>
    <s v="Despachado"/>
    <s v="Coordinadora"/>
    <s v="3373416 -84151253901"/>
    <d v="2025-06-06T00:00:00"/>
    <d v="2025-06-09T00:00:00"/>
    <s v="Entregado"/>
    <n v="2"/>
    <n v="4"/>
    <e v="#N/A"/>
    <n v="153778"/>
    <m/>
    <m/>
  </r>
  <r>
    <d v="2025-06-04T00:00:00"/>
    <x v="5"/>
    <n v="2578"/>
    <x v="0"/>
    <s v="Gabriel Herrera Zarate"/>
    <s v="TECUTLRNS"/>
    <x v="8"/>
    <n v="1"/>
    <x v="2"/>
    <s v="Santander"/>
    <s v="Barrancabermeja"/>
    <s v="Despachado"/>
    <s v="Coordinadora"/>
    <s v="3373418 -84151253903"/>
    <d v="2025-06-06T00:00:00"/>
    <d v="2025-06-09T00:00:00"/>
    <s v="Entregado"/>
    <n v="2"/>
    <n v="4"/>
    <e v="#N/A"/>
    <n v="81384"/>
    <m/>
    <m/>
  </r>
  <r>
    <d v="2025-06-04T00:00:00"/>
    <x v="5"/>
    <n v="2578"/>
    <x v="0"/>
    <s v="Gabriel Herrera Zarate"/>
    <s v="TECUCT"/>
    <x v="4"/>
    <n v="1"/>
    <x v="0"/>
    <s v="Santander"/>
    <s v="Barrancabermeja"/>
    <s v="Despachado"/>
    <s v="Coordinadora"/>
    <s v="3373425 -84151253905"/>
    <d v="2025-06-06T00:00:00"/>
    <d v="2025-06-09T00:00:00"/>
    <s v="Entregado"/>
    <n v="2"/>
    <n v="4"/>
    <e v="#N/A"/>
    <n v="34407"/>
    <m/>
    <m/>
  </r>
  <r>
    <d v="2025-06-04T00:00:00"/>
    <x v="5"/>
    <n v="2579"/>
    <x v="0"/>
    <s v="Christian Hurtado Ospina"/>
    <s v="TECURCO"/>
    <x v="30"/>
    <n v="1"/>
    <x v="6"/>
    <s v="Valle del Cauca"/>
    <s v="Candelaria"/>
    <s v="Despachado"/>
    <s v="Coordinadora"/>
    <s v="3373436 -84151253913"/>
    <d v="2025-06-06T00:00:00"/>
    <d v="2025-06-07T00:00:00"/>
    <s v="Entregado"/>
    <n v="2"/>
    <n v="3"/>
    <e v="#N/A"/>
    <n v="23429"/>
    <m/>
    <m/>
  </r>
  <r>
    <d v="2025-06-06T00:00:00"/>
    <x v="5"/>
    <n v="2580"/>
    <x v="0"/>
    <s v="LEONARDO FONSECA"/>
    <s v="TECU3FNPRO"/>
    <x v="12"/>
    <n v="1"/>
    <x v="1"/>
    <s v="Bogotá y alrededores"/>
    <s v="Bogota"/>
    <s v="Despachado"/>
    <s v="Coordinadora"/>
    <s v="3383394 -84151258353"/>
    <d v="2025-06-09T00:00:00"/>
    <d v="2025-06-11T00:00:00"/>
    <s v="Entregado"/>
    <n v="2"/>
    <n v="4"/>
    <s v="No cumple"/>
    <n v="42921"/>
    <m/>
    <m/>
  </r>
  <r>
    <d v="2025-06-06T00:00:00"/>
    <x v="5"/>
    <n v="2580"/>
    <x v="0"/>
    <s v="LEONARDO FONSECA"/>
    <s v="TECUTRM5C"/>
    <x v="27"/>
    <n v="1"/>
    <x v="2"/>
    <s v="Bogotá y alrededores"/>
    <s v="Bogota"/>
    <s v="Despachado"/>
    <s v="Coordinadora"/>
    <s v="3383395 -84151258354"/>
    <d v="2025-06-09T00:00:00"/>
    <d v="2025-06-10T00:00:00"/>
    <s v="Entregado"/>
    <n v="2"/>
    <n v="3"/>
    <s v="Cumple"/>
    <n v="24593"/>
    <m/>
    <m/>
  </r>
  <r>
    <d v="2025-06-06T00:00:00"/>
    <x v="5"/>
    <n v="2580"/>
    <x v="0"/>
    <s v="LEONARDO FONSECA"/>
    <s v="TECUCT"/>
    <x v="4"/>
    <n v="1"/>
    <x v="0"/>
    <s v="Bogotá y alrededores"/>
    <s v="Bogota"/>
    <s v="Despachado"/>
    <s v="Coordinadora"/>
    <s v="3383786 -84151258597"/>
    <d v="2025-06-09T00:00:00"/>
    <d v="2025-06-10T00:00:00"/>
    <s v="Entregado"/>
    <n v="2"/>
    <n v="3"/>
    <s v="Cumple"/>
    <n v="24885"/>
    <m/>
    <m/>
  </r>
  <r>
    <d v="2025-06-06T00:00:00"/>
    <x v="5"/>
    <n v="2580"/>
    <x v="0"/>
    <s v="LEONARDO FONSECA"/>
    <s v="TECUACO"/>
    <x v="15"/>
    <n v="1"/>
    <x v="5"/>
    <s v="Bogotá y alrededores"/>
    <s v="Bogota"/>
    <s v="Despachado"/>
    <s v="Envia"/>
    <s v="3386668 -954101233039"/>
    <d v="2025-06-10T00:00:00"/>
    <d v="2025-06-11T00:00:00"/>
    <s v="Entregado"/>
    <n v="3"/>
    <n v="4"/>
    <s v="No cumple"/>
    <n v="54929"/>
    <m/>
    <m/>
  </r>
  <r>
    <m/>
    <x v="0"/>
    <n v="2516"/>
    <x v="1"/>
    <s v="Rigoberto Castelblanco / HUSKY IMS COLOMBIA LTD"/>
    <s v="TECUTCO5C"/>
    <x v="51"/>
    <n v="1"/>
    <x v="2"/>
    <s v="Bogotá y alrededores"/>
    <s v="Bogota"/>
    <s v="Despachado"/>
    <s v="Coordinadora"/>
    <s v="3364883 - 84151250377"/>
    <d v="2025-06-03T00:00:00"/>
    <d v="2025-06-05T00:00:00"/>
    <s v="Entregado"/>
    <n v="39259"/>
    <n v="39261"/>
    <s v="No cumple"/>
    <n v="27929"/>
    <n v="24093"/>
    <s v="Cliente pide cambio por novedad en personalizacion"/>
  </r>
  <r>
    <d v="2025-06-07T00:00:00"/>
    <x v="5"/>
    <n v="2581"/>
    <x v="0"/>
    <s v="Andres Ortega"/>
    <s v="TECUACO"/>
    <x v="15"/>
    <n v="1"/>
    <x v="5"/>
    <s v="Bolivar"/>
    <s v="Cartagena"/>
    <s v="Despachado"/>
    <s v="Envia"/>
    <s v="3383969 - 954101232498"/>
    <d v="2025-06-09T00:00:00"/>
    <d v="2025-06-13T00:00:00"/>
    <s v="Entregado"/>
    <n v="1"/>
    <n v="5"/>
    <s v="Cumple"/>
    <n v="113263"/>
    <m/>
    <m/>
  </r>
  <r>
    <d v="2025-06-07T00:00:00"/>
    <x v="5"/>
    <n v="2581"/>
    <x v="0"/>
    <s v="Andres Ortega"/>
    <s v="TECURCO"/>
    <x v="30"/>
    <n v="1"/>
    <x v="6"/>
    <s v="Bolivar"/>
    <s v="Cartagena"/>
    <s v="Despachado"/>
    <s v="Coordinadora"/>
    <s v="3383902 - 84151258654"/>
    <d v="2025-06-09T00:00:00"/>
    <d v="2025-06-11T00:00:00"/>
    <s v="Entregado"/>
    <n v="1"/>
    <n v="3"/>
    <s v="Cumple"/>
    <n v="37762"/>
    <m/>
    <m/>
  </r>
  <r>
    <d v="2025-06-07T00:00:00"/>
    <x v="5"/>
    <n v="2582"/>
    <x v="0"/>
    <s v="Brigitte Carmona"/>
    <s v="TECU3FNCRO"/>
    <x v="55"/>
    <n v="1"/>
    <x v="1"/>
    <s v="Bogotá y alrededores"/>
    <s v="Bogota"/>
    <s v="Despachado"/>
    <s v="Coordinadora"/>
    <s v="3383417 - 84151258370"/>
    <d v="2025-06-09T00:00:00"/>
    <d v="2025-06-10T00:00:00"/>
    <s v="Entregado"/>
    <n v="1"/>
    <n v="2"/>
    <s v="Cumple"/>
    <n v="42921"/>
    <m/>
    <m/>
  </r>
  <r>
    <d v="2025-06-07T00:00:00"/>
    <x v="5"/>
    <n v="2582"/>
    <x v="0"/>
    <s v="Brigitte Carmona"/>
    <s v="TECUTFE7C"/>
    <x v="53"/>
    <n v="1"/>
    <x v="2"/>
    <s v="Bogotá y alrededores"/>
    <s v="Bogota"/>
    <s v="Despachado"/>
    <s v="Coordinadora"/>
    <s v="3383419 - 84151258371"/>
    <d v="2025-06-09T00:00:00"/>
    <d v="2025-06-10T00:00:00"/>
    <s v="Entregado"/>
    <n v="1"/>
    <n v="2"/>
    <s v="Cumple"/>
    <n v="24093"/>
    <m/>
    <m/>
  </r>
  <r>
    <d v="2025-06-07T00:00:00"/>
    <x v="5"/>
    <n v="2582"/>
    <x v="0"/>
    <s v="Brigitte Carmona"/>
    <s v="TECURFE"/>
    <x v="71"/>
    <n v="1"/>
    <x v="6"/>
    <s v="Bogotá y alrededores"/>
    <s v="Bogota"/>
    <s v="Despachado"/>
    <s v="Coordinadora"/>
    <s v="3383447 - 84151258389"/>
    <d v="2025-06-09T00:00:00"/>
    <d v="2025-06-10T00:00:00"/>
    <s v="Entregado"/>
    <n v="1"/>
    <n v="2"/>
    <s v="Cumple"/>
    <n v="23429"/>
    <m/>
    <m/>
  </r>
  <r>
    <d v="2025-06-07T00:00:00"/>
    <x v="5"/>
    <n v="2582"/>
    <x v="0"/>
    <s v="Brigitte Carmona"/>
    <s v="TECUAFE"/>
    <x v="43"/>
    <n v="1"/>
    <x v="5"/>
    <s v="Bogotá y alrededores"/>
    <s v="Bogota"/>
    <s v="Despachado"/>
    <s v="Envia"/>
    <s v="3383461 - 954101232360"/>
    <d v="2025-06-09T00:00:00"/>
    <d v="2025-06-10T00:00:00"/>
    <s v="Entregado"/>
    <n v="1"/>
    <n v="2"/>
    <s v="Cumple"/>
    <n v="54929"/>
    <m/>
    <m/>
  </r>
  <r>
    <d v="2025-06-07T00:00:00"/>
    <x v="5"/>
    <n v="2582"/>
    <x v="0"/>
    <s v="Brigitte Carmona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6-07T00:00:00"/>
    <x v="5"/>
    <n v="2583"/>
    <x v="0"/>
    <s v="Juan Pablo Luquerna Recalde"/>
    <s v="TECU3FNPRO"/>
    <x v="12"/>
    <n v="1"/>
    <x v="1"/>
    <s v="Bogotá y alrededores"/>
    <s v="Bogota"/>
    <s v="Despachado"/>
    <s v="Coordinadora"/>
    <s v="3385049 - 84151259302"/>
    <d v="2025-06-09T00:00:00"/>
    <d v="2025-06-10T00:00:00"/>
    <s v="Entregado"/>
    <n v="1"/>
    <n v="2"/>
    <s v="Cumple"/>
    <n v="42921"/>
    <m/>
    <m/>
  </r>
  <r>
    <d v="2025-06-07T00:00:00"/>
    <x v="5"/>
    <n v="2583"/>
    <x v="0"/>
    <s v="Juan Pablo Luquerna Recalde"/>
    <s v="TECUTCO6M"/>
    <x v="24"/>
    <n v="1"/>
    <x v="2"/>
    <s v="Bogotá y alrededores"/>
    <s v="Bogota"/>
    <s v="Despachado"/>
    <s v="Coordinadora"/>
    <s v="3385051 - 84151259304"/>
    <d v="2025-06-09T00:00:00"/>
    <d v="2025-06-10T00:00:00"/>
    <s v="Entregado"/>
    <n v="1"/>
    <n v="2"/>
    <s v="Cumple"/>
    <n v="24093"/>
    <m/>
    <m/>
  </r>
  <r>
    <d v="2025-06-07T00:00:00"/>
    <x v="5"/>
    <n v="2583"/>
    <x v="0"/>
    <s v="Juan Pablo Luquerna Recalde"/>
    <s v="TECUCT"/>
    <x v="4"/>
    <n v="1"/>
    <x v="0"/>
    <s v="Bogotá y alrededores"/>
    <s v="Bogota"/>
    <s v="Despachado"/>
    <s v="Coordinadora"/>
    <s v="3385138 - 84151259349"/>
    <d v="2025-06-09T00:00:00"/>
    <d v="2025-06-10T00:00:00"/>
    <s v="Entregado"/>
    <n v="1"/>
    <n v="2"/>
    <s v="Cumple"/>
    <n v="24885"/>
    <m/>
    <m/>
  </r>
  <r>
    <d v="2025-06-07T00:00:00"/>
    <x v="5"/>
    <n v="2583"/>
    <x v="0"/>
    <s v="Juan Pablo Luquerna Recalde"/>
    <m/>
    <x v="10"/>
    <n v="2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6-07T00:00:00"/>
    <x v="5"/>
    <n v="2583"/>
    <x v="0"/>
    <s v="Juan Pablo Luquerna Recalde"/>
    <s v="TECU3FNPRO"/>
    <x v="12"/>
    <n v="1"/>
    <x v="1"/>
    <s v="Bogotá y alrededores"/>
    <s v="Bogota"/>
    <s v="Despachado"/>
    <s v="Coordinadora"/>
    <s v="3385060 - 84151259310"/>
    <d v="2025-06-09T00:00:00"/>
    <d v="2025-06-10T00:00:00"/>
    <s v="Entregado"/>
    <n v="1"/>
    <n v="2"/>
    <s v="Cumple"/>
    <n v="42921"/>
    <m/>
    <m/>
  </r>
  <r>
    <d v="2025-06-07T00:00:00"/>
    <x v="5"/>
    <n v="2583"/>
    <x v="0"/>
    <s v="Juan Pablo Luquerna Recalde"/>
    <s v="TECUTCO6M"/>
    <x v="24"/>
    <n v="1"/>
    <x v="2"/>
    <s v="Bogotá y alrededores"/>
    <s v="Bogota"/>
    <s v="Despachado"/>
    <s v="Coordinadora"/>
    <s v="3385062 - 84151259311"/>
    <d v="2025-06-09T00:00:00"/>
    <d v="2025-06-10T00:00:00"/>
    <s v="Entregado"/>
    <n v="1"/>
    <n v="2"/>
    <s v="Cumple"/>
    <n v="24093"/>
    <m/>
    <m/>
  </r>
  <r>
    <d v="2025-06-07T00:00:00"/>
    <x v="5"/>
    <n v="2583"/>
    <x v="0"/>
    <s v="Juan Pablo Luquerna Recalde"/>
    <s v="TECUCT"/>
    <x v="4"/>
    <n v="1"/>
    <x v="0"/>
    <s v="Bogotá y alrededores"/>
    <s v="Bogota"/>
    <s v="Despachado"/>
    <s v="Coordinadora"/>
    <s v="3385154 - 84151259359"/>
    <d v="2025-06-09T00:00:00"/>
    <d v="2025-06-10T00:00:00"/>
    <s v="Entregado"/>
    <n v="1"/>
    <n v="2"/>
    <s v="Cumple"/>
    <n v="24885"/>
    <m/>
    <m/>
  </r>
  <r>
    <d v="2025-06-08T00:00:00"/>
    <x v="5"/>
    <n v="2584"/>
    <x v="0"/>
    <s v="Edwin Naranjo Sierra"/>
    <s v="TECU3FNPRO"/>
    <x v="12"/>
    <n v="1"/>
    <x v="1"/>
    <s v="Manizales"/>
    <s v="Manizales"/>
    <s v="Despachado"/>
    <s v="Coordinadora"/>
    <s v="3383501 - 84151258423"/>
    <d v="2025-06-09T00:00:00"/>
    <d v="2025-06-10T00:00:00"/>
    <s v="Entregado"/>
    <n v="0"/>
    <n v="1"/>
    <s v="Cumple"/>
    <n v="34953"/>
    <m/>
    <m/>
  </r>
  <r>
    <d v="2025-06-08T00:00:00"/>
    <x v="5"/>
    <n v="2585"/>
    <x v="0"/>
    <s v="DAYANA LEON"/>
    <s v="TECU2FBGO"/>
    <x v="2"/>
    <n v="1"/>
    <x v="1"/>
    <s v="Bogotá y alrededores"/>
    <s v="Bogota"/>
    <s v="Despachado"/>
    <s v="Coordinadora"/>
    <s v="3383517 - 84151258435"/>
    <d v="2025-06-09T00:00:00"/>
    <d v="2025-06-10T00:00:00"/>
    <s v="Entregado"/>
    <n v="0"/>
    <n v="1"/>
    <s v="Cumple"/>
    <n v="41593"/>
    <m/>
    <m/>
  </r>
  <r>
    <d v="2025-06-08T00:00:00"/>
    <x v="5"/>
    <n v="2585"/>
    <x v="0"/>
    <s v="DAYANA LEON"/>
    <s v="TECUTFE2C"/>
    <x v="3"/>
    <n v="1"/>
    <x v="2"/>
    <s v="Bogotá y alrededores"/>
    <s v="Bogota"/>
    <s v="Despachado"/>
    <s v="Coordinadora"/>
    <s v="3383518 - 84151258436"/>
    <d v="2025-06-09T00:00:00"/>
    <d v="2025-06-10T00:00:00"/>
    <s v="Entregado"/>
    <n v="0"/>
    <n v="1"/>
    <s v="Cumple"/>
    <n v="24093"/>
    <m/>
    <m/>
  </r>
  <r>
    <d v="2025-06-08T00:00:00"/>
    <x v="5"/>
    <n v="2585"/>
    <x v="0"/>
    <s v="DAYANA LEON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6-10T00:00:00"/>
    <x v="5"/>
    <n v="2586"/>
    <x v="0"/>
    <s v="Carlos Londono"/>
    <s v="TECURCO"/>
    <x v="30"/>
    <n v="1"/>
    <x v="6"/>
    <s v="Antioquia"/>
    <s v="Sabaneta"/>
    <s v="Despachado"/>
    <s v="Coordinadora"/>
    <s v="3386724 - 84151259882"/>
    <d v="2025-06-10T00:00:00"/>
    <d v="2025-06-11T00:00:00"/>
    <s v="Entregado"/>
    <n v="0"/>
    <n v="1"/>
    <s v="Cumple"/>
    <n v="23429"/>
    <m/>
    <m/>
  </r>
  <r>
    <d v="2025-06-10T00:00:00"/>
    <x v="5"/>
    <n v="2587"/>
    <x v="0"/>
    <s v="Sofhía Velásquez"/>
    <s v="TECU3FNPRO"/>
    <x v="12"/>
    <n v="1"/>
    <x v="1"/>
    <s v="Bogotá y alrededores"/>
    <s v="Bogota"/>
    <s v="Despachado"/>
    <s v="Coordinadora"/>
    <s v="3387244 - 84151260111"/>
    <d v="2025-06-10T00:00:00"/>
    <d v="2025-06-11T00:00:00"/>
    <s v="Entregado"/>
    <n v="0"/>
    <n v="1"/>
    <s v="Cumple"/>
    <n v="42921"/>
    <m/>
    <m/>
  </r>
  <r>
    <d v="2025-06-10T00:00:00"/>
    <x v="5"/>
    <n v="2587"/>
    <x v="0"/>
    <s v="Sofhía Velásquez"/>
    <s v="TECUTCO2C"/>
    <x v="37"/>
    <n v="1"/>
    <x v="2"/>
    <s v="Bogotá y alrededores"/>
    <s v="Bogota"/>
    <s v="Despachado"/>
    <s v="Coordinadora"/>
    <s v="3387247 - 84151260113"/>
    <d v="2025-06-10T00:00:00"/>
    <d v="2025-06-11T00:00:00"/>
    <s v="Entregado"/>
    <n v="0"/>
    <n v="1"/>
    <s v="Cumple"/>
    <n v="28741"/>
    <m/>
    <m/>
  </r>
  <r>
    <d v="2025-06-10T00:00:00"/>
    <x v="5"/>
    <n v="2588"/>
    <x v="0"/>
    <s v="Jose Henry Guevara Sánchez"/>
    <s v="TECU3FNCRO"/>
    <x v="55"/>
    <n v="1"/>
    <x v="1"/>
    <s v="Valle del Cauca"/>
    <s v="Yumbo"/>
    <s v="Despachado"/>
    <s v="Coordinadora"/>
    <s v="3388396 - 84151260586"/>
    <d v="2025-06-10T00:00:00"/>
    <d v="2025-06-11T00:00:00"/>
    <s v="Entregado"/>
    <n v="0"/>
    <n v="1"/>
    <s v="Cumple"/>
    <n v="42921"/>
    <m/>
    <m/>
  </r>
  <r>
    <d v="2025-06-10T00:00:00"/>
    <x v="5"/>
    <n v="2588"/>
    <x v="0"/>
    <s v="Jose Henry Guevara Sánchez"/>
    <s v="TECUTRM8M"/>
    <x v="73"/>
    <n v="1"/>
    <x v="2"/>
    <s v="Valle del Cauca"/>
    <s v="Yumbo"/>
    <s v="Despachado"/>
    <s v="Coordinadora"/>
    <s v="3388397 - 84151260587"/>
    <d v="2025-06-10T00:00:00"/>
    <d v="2025-06-12T00:00:00"/>
    <s v="Entregado"/>
    <n v="0"/>
    <n v="2"/>
    <s v="Cumple"/>
    <n v="27249"/>
    <m/>
    <m/>
  </r>
  <r>
    <d v="2025-06-10T00:00:00"/>
    <x v="5"/>
    <n v="2588"/>
    <x v="0"/>
    <s v="Jose Henry Guevara Sánchez"/>
    <s v="TECUACO"/>
    <x v="15"/>
    <n v="1"/>
    <x v="5"/>
    <s v="Valle del Cauca"/>
    <s v="Yumbo"/>
    <s v="Despachado"/>
    <s v="Envia"/>
    <s v="3390514 - 954101233899"/>
    <d v="2025-06-10T00:00:00"/>
    <d v="2025-06-12T00:00:00"/>
    <s v="Entregado"/>
    <n v="0"/>
    <n v="2"/>
    <s v="Cumple"/>
    <n v="65682"/>
    <m/>
    <m/>
  </r>
  <r>
    <d v="2025-06-10T00:00:00"/>
    <x v="5"/>
    <n v="2588"/>
    <x v="0"/>
    <s v="Jose Henry Guevara Sánchez"/>
    <s v="TECUCT"/>
    <x v="4"/>
    <n v="1"/>
    <x v="0"/>
    <s v="Valle del Cauca"/>
    <s v="Yumbo"/>
    <s v="Despachado"/>
    <s v="Coordinadora"/>
    <s v="3388400 - 84151260590"/>
    <d v="2025-06-10T00:00:00"/>
    <d v="2025-06-11T00:00:00"/>
    <s v="Entregado"/>
    <n v="0"/>
    <n v="1"/>
    <s v="Cumple"/>
    <n v="24885"/>
    <m/>
    <m/>
  </r>
  <r>
    <d v="2025-06-10T00:00:00"/>
    <x v="5"/>
    <n v="2588"/>
    <x v="0"/>
    <s v="Jose Henry Guevara Sánchez"/>
    <s v="TECUBDPM"/>
    <x v="0"/>
    <n v="1"/>
    <x v="0"/>
    <s v="Valle del Cauca"/>
    <s v="Yumbo"/>
    <s v="Despachado"/>
    <s v="Coordinadora"/>
    <s v="3388404 - 84151260591"/>
    <d v="2025-06-10T00:00:00"/>
    <d v="2025-06-11T00:00:00"/>
    <s v="Entregado"/>
    <n v="0"/>
    <n v="1"/>
    <s v="Cumple"/>
    <n v="16617"/>
    <m/>
    <m/>
  </r>
  <r>
    <d v="2025-06-11T00:00:00"/>
    <x v="5"/>
    <n v="2589"/>
    <x v="0"/>
    <s v="Alberto Almario"/>
    <s v="TECU3FNPRO"/>
    <x v="12"/>
    <n v="1"/>
    <x v="1"/>
    <s v="Bogotá y alrededores"/>
    <s v="Bogota"/>
    <s v="Despachado"/>
    <s v="Coordinadora"/>
    <s v="3390673 - 84151261659"/>
    <d v="2025-06-11T00:00:00"/>
    <d v="2025-06-12T00:00:00"/>
    <s v="Entregado"/>
    <n v="0"/>
    <n v="1"/>
    <s v="Cumple"/>
    <n v="42921"/>
    <m/>
    <m/>
  </r>
  <r>
    <d v="2025-06-11T00:00:00"/>
    <x v="5"/>
    <n v="2589"/>
    <x v="0"/>
    <s v="Alberto Almario"/>
    <s v="TECUTFE7M"/>
    <x v="35"/>
    <n v="1"/>
    <x v="2"/>
    <s v="Bogotá y alrededores"/>
    <s v="Bogota"/>
    <s v="Despachado"/>
    <s v="Coordinadora"/>
    <s v="3390674 - 84151261660"/>
    <d v="2025-06-11T00:00:00"/>
    <d v="2025-06-13T00:00:00"/>
    <s v="Entregado"/>
    <n v="0"/>
    <n v="2"/>
    <s v="Cumple"/>
    <n v="24093"/>
    <m/>
    <m/>
  </r>
  <r>
    <d v="2025-06-11T00:00:00"/>
    <x v="5"/>
    <n v="2589"/>
    <x v="0"/>
    <s v="Alberto Almario"/>
    <s v="TECUAFE"/>
    <x v="43"/>
    <n v="1"/>
    <x v="5"/>
    <s v="Bogotá y alrededores"/>
    <s v="Bogota"/>
    <s v="Despachado"/>
    <s v="Envia"/>
    <s v="3393621 - 954101234711"/>
    <d v="2025-06-12T00:00:00"/>
    <d v="2025-06-13T00:00:00"/>
    <s v="Entregado"/>
    <n v="1"/>
    <n v="2"/>
    <s v="Cumple"/>
    <n v="54929"/>
    <m/>
    <m/>
  </r>
  <r>
    <d v="2025-06-12T00:00:00"/>
    <x v="5"/>
    <n v="2590"/>
    <x v="0"/>
    <s v="cristhian Sabino ramirez Martinez"/>
    <s v="TECU3FBCRO"/>
    <x v="66"/>
    <n v="1"/>
    <x v="1"/>
    <s v="Antioquia"/>
    <s v="Rionegro"/>
    <s v="Despachado"/>
    <s v="Coordinadora"/>
    <s v="3393629 - 84151262940"/>
    <d v="2025-06-12T00:00:00"/>
    <d v="2025-06-13T00:00:00"/>
    <s v="Entregado"/>
    <n v="0"/>
    <n v="1"/>
    <s v="Cumple"/>
    <n v="42921"/>
    <m/>
    <m/>
  </r>
  <r>
    <d v="2025-06-12T00:00:00"/>
    <x v="5"/>
    <n v="2590"/>
    <x v="0"/>
    <s v="cristhian Sabino ramirez Martinez"/>
    <s v="TECUTFE6C"/>
    <x v="28"/>
    <n v="1"/>
    <x v="2"/>
    <s v="Antioquia"/>
    <s v="Rionegro"/>
    <s v="Despachado"/>
    <s v="Coordinadora"/>
    <s v="3393630 - 84151262941"/>
    <d v="2025-06-12T00:00:00"/>
    <d v="2025-06-13T00:00:00"/>
    <s v="Entregado"/>
    <n v="0"/>
    <n v="1"/>
    <s v="Cumple"/>
    <n v="24093"/>
    <m/>
    <m/>
  </r>
  <r>
    <d v="2025-06-12T00:00:00"/>
    <x v="5"/>
    <n v="2590"/>
    <x v="0"/>
    <s v="cristhian Sabino ramirez Martinez"/>
    <s v="TECUDSG"/>
    <x v="64"/>
    <n v="1"/>
    <x v="4"/>
    <s v="Antioquia"/>
    <s v="Rionegro"/>
    <s v="Despachado"/>
    <s v="Coordinadora"/>
    <s v="3393650 - 84151262943"/>
    <d v="2025-06-12T00:00:00"/>
    <d v="2025-06-13T00:00:00"/>
    <s v="Entregado"/>
    <n v="0"/>
    <n v="1"/>
    <s v="Cumple"/>
    <n v="26609"/>
    <m/>
    <m/>
  </r>
  <r>
    <d v="2025-06-12T00:00:00"/>
    <x v="5"/>
    <n v="2591"/>
    <x v="0"/>
    <s v="Katherine Velilla García"/>
    <s v="TECU3FNPRO"/>
    <x v="12"/>
    <n v="1"/>
    <x v="1"/>
    <s v="Antioquia"/>
    <s v="Copacabana"/>
    <s v="Despachado"/>
    <s v="Coordinadora"/>
    <s v="3397716 - 84151263886 "/>
    <d v="2025-06-13T00:00:00"/>
    <d v="2025-06-14T00:00:00"/>
    <s v="Entregado"/>
    <n v="1"/>
    <n v="2"/>
    <e v="#N/A"/>
    <n v="42921"/>
    <m/>
    <m/>
  </r>
  <r>
    <d v="2025-06-12T00:00:00"/>
    <x v="5"/>
    <n v="2591"/>
    <x v="0"/>
    <s v="Katherine Velilla García"/>
    <s v="TECUTCO2C"/>
    <x v="37"/>
    <n v="1"/>
    <x v="2"/>
    <s v="Antioquia"/>
    <s v="Copacabana"/>
    <s v="Despachado"/>
    <s v="Coordinadora"/>
    <s v="3397719 - 84151263888"/>
    <d v="2025-06-13T00:00:00"/>
    <d v="2025-06-14T00:00:00"/>
    <s v="Entregado"/>
    <n v="1"/>
    <n v="2"/>
    <e v="#N/A"/>
    <n v="28741"/>
    <m/>
    <m/>
  </r>
  <r>
    <d v="2025-06-13T00:00:00"/>
    <x v="5"/>
    <n v="2592"/>
    <x v="0"/>
    <s v="Anna Christina Kindgren Diaz"/>
    <s v="TECU3FNPRO"/>
    <x v="12"/>
    <n v="1"/>
    <x v="1"/>
    <s v="Bogotá y alrededores"/>
    <s v="Bogota"/>
    <s v="Despachado"/>
    <s v="Coordinadora"/>
    <s v="3397880 - 84151263950"/>
    <d v="2025-06-13T00:00:00"/>
    <d v="2025-06-16T00:00:00"/>
    <s v="Entregado"/>
    <n v="0"/>
    <n v="2"/>
    <s v="Cumple"/>
    <n v="42921"/>
    <m/>
    <m/>
  </r>
  <r>
    <d v="2025-06-13T00:00:00"/>
    <x v="5"/>
    <n v="2592"/>
    <x v="0"/>
    <s v="Anna Christina Kindgren Diaz"/>
    <s v="TECUTRN8C"/>
    <x v="58"/>
    <n v="1"/>
    <x v="2"/>
    <s v="Bogotá y alrededores"/>
    <s v="Bogota"/>
    <s v="Despachado"/>
    <s v="Coordinadora"/>
    <s v="3397882 - 84151263952"/>
    <d v="2025-06-13T00:00:00"/>
    <d v="2025-06-16T00:00:00"/>
    <s v="Entregado"/>
    <n v="0"/>
    <n v="2"/>
    <s v="Cumple"/>
    <n v="26749"/>
    <m/>
    <m/>
  </r>
  <r>
    <d v="2025-06-13T00:00:00"/>
    <x v="5"/>
    <n v="2592"/>
    <x v="0"/>
    <s v="Anna Christina Kindgren Diaz"/>
    <s v="TECUCT"/>
    <x v="4"/>
    <n v="1"/>
    <x v="0"/>
    <s v="Bogotá y alrededores"/>
    <s v="Bogota"/>
    <s v="Despachado"/>
    <s v="Coordinadora"/>
    <s v="3397899 - 84151263957"/>
    <d v="2025-06-13T00:00:00"/>
    <d v="2025-06-16T00:00:00"/>
    <s v="Entregado"/>
    <n v="0"/>
    <n v="2"/>
    <s v="Cumple"/>
    <n v="24885"/>
    <m/>
    <m/>
  </r>
  <r>
    <d v="2025-06-13T00:00:00"/>
    <x v="5"/>
    <n v="2593"/>
    <x v="0"/>
    <s v="Oriana Camila Rodriguez Ruiz"/>
    <s v="TECU2FNG"/>
    <x v="5"/>
    <n v="1"/>
    <x v="1"/>
    <s v="Quindio"/>
    <s v="Armenia"/>
    <s v="En alistamiento"/>
    <s v="Entrega directa"/>
    <s v="NA"/>
    <m/>
    <m/>
    <s v="En transito"/>
    <s v="PTE"/>
    <s v="PTE"/>
    <s v="PTE"/>
    <n v="20000"/>
    <m/>
    <m/>
  </r>
  <r>
    <d v="2025-06-13T00:00:00"/>
    <x v="5"/>
    <n v="2593"/>
    <x v="0"/>
    <s v="Oriana Camila Rodriguez Ruiz"/>
    <s v="TECUTRN6C"/>
    <x v="20"/>
    <n v="1"/>
    <x v="2"/>
    <s v="Quindio"/>
    <s v="Armenia"/>
    <s v="En alistamiento"/>
    <s v="Entrega directa"/>
    <s v="NA"/>
    <m/>
    <m/>
    <s v="En transito"/>
    <s v="PTE"/>
    <s v="PTE"/>
    <s v="PTE"/>
    <n v="20000"/>
    <m/>
    <m/>
  </r>
  <r>
    <d v="2025-06-16T00:00:00"/>
    <x v="5"/>
    <n v="2594"/>
    <x v="0"/>
    <s v="Leonardo Malavera Gomez"/>
    <s v="TECU2FNG"/>
    <x v="5"/>
    <n v="1"/>
    <x v="1"/>
    <s v="Santander"/>
    <s v="Bucaramanga"/>
    <s v="Despachado"/>
    <s v="Coordinadora"/>
    <s v="3404316 - 84151266205"/>
    <d v="2025-06-16T00:00:00"/>
    <d v="2025-06-18T00:00:00"/>
    <s v="Entregado"/>
    <n v="0"/>
    <n v="2"/>
    <s v="Cumple"/>
    <n v="53871"/>
    <m/>
    <m/>
  </r>
  <r>
    <d v="2025-06-16T00:00:00"/>
    <x v="5"/>
    <n v="2594"/>
    <x v="0"/>
    <s v="Leonardo Malavera Gomez"/>
    <s v="TECUTCO4C"/>
    <x v="6"/>
    <n v="1"/>
    <x v="2"/>
    <s v="Santander"/>
    <s v="Bucaramanga"/>
    <s v="Despachado"/>
    <s v="Coordinadora"/>
    <s v="3404317 - 84151266206"/>
    <d v="2025-06-16T00:00:00"/>
    <d v="2025-06-18T00:00:00"/>
    <s v="Entregado"/>
    <n v="0"/>
    <n v="2"/>
    <s v="Cumple"/>
    <n v="34179"/>
    <m/>
    <m/>
  </r>
  <r>
    <d v="2025-06-16T00:00:00"/>
    <x v="5"/>
    <n v="2594"/>
    <x v="0"/>
    <s v="Leonardo Malavera Gomez"/>
    <s v="TECUBDPA"/>
    <x v="1"/>
    <n v="1"/>
    <x v="0"/>
    <s v="Santander"/>
    <s v="Bucaramanga"/>
    <s v="Despachado"/>
    <s v="Coordinadora"/>
    <s v="3404336 - 84151266214"/>
    <d v="2025-06-16T00:00:00"/>
    <d v="2025-06-18T00:00:00"/>
    <s v="Entregado"/>
    <n v="0"/>
    <n v="2"/>
    <s v="Cumple"/>
    <n v="16617"/>
    <m/>
    <m/>
  </r>
  <r>
    <d v="2025-06-16T00:00:00"/>
    <x v="5"/>
    <n v="2594"/>
    <x v="0"/>
    <s v="Leonardo Malavera Gomez"/>
    <s v="TECUROD"/>
    <x v="31"/>
    <n v="1"/>
    <x v="7"/>
    <s v="Santander"/>
    <s v="Bucaramanga"/>
    <s v="Despachado"/>
    <s v="Coordinadora"/>
    <s v="3404344 - 84151266220"/>
    <d v="2025-06-16T00:00:00"/>
    <d v="2025-06-18T00:00:00"/>
    <s v="Entregado"/>
    <n v="0"/>
    <n v="2"/>
    <s v="Cumple"/>
    <n v="23875"/>
    <m/>
    <m/>
  </r>
  <r>
    <d v="2025-06-16T00:00:00"/>
    <x v="5"/>
    <n v="2595"/>
    <x v="0"/>
    <s v="Alexandre Montoya"/>
    <s v="TECU2FNG"/>
    <x v="5"/>
    <n v="1"/>
    <x v="1"/>
    <s v="Valle del Cauca"/>
    <s v="Cartago"/>
    <s v="Despachado"/>
    <s v="Coordinadora"/>
    <s v="3404516 - 84151266312"/>
    <d v="2025-06-16T00:00:00"/>
    <d v="2025-06-17T00:00:00"/>
    <s v="Entregado"/>
    <n v="0"/>
    <n v="1"/>
    <e v="#N/A"/>
    <n v="34156"/>
    <m/>
    <m/>
  </r>
  <r>
    <d v="2025-06-16T00:00:00"/>
    <x v="5"/>
    <n v="2595"/>
    <x v="0"/>
    <s v="Alexandre Montoya"/>
    <s v="TECUTCO2C"/>
    <x v="37"/>
    <n v="1"/>
    <x v="2"/>
    <s v="Valle del Cauca"/>
    <s v="Cartago"/>
    <s v="Despachado"/>
    <s v="Coordinadora"/>
    <s v="3404518 - 84151266314"/>
    <d v="2025-06-16T00:00:00"/>
    <d v="2025-06-17T00:00:00"/>
    <s v="Entregado"/>
    <n v="0"/>
    <n v="1"/>
    <e v="#N/A"/>
    <n v="15194"/>
    <m/>
    <m/>
  </r>
  <r>
    <d v="2025-06-16T00:00:00"/>
    <x v="5"/>
    <n v="2595"/>
    <x v="0"/>
    <s v="Alexandre Montoya"/>
    <s v="TECUDSN"/>
    <x v="13"/>
    <n v="2"/>
    <x v="4"/>
    <s v="Valle del Cauca"/>
    <s v="Cartago"/>
    <s v="Despachado"/>
    <s v="Coordinadora"/>
    <s v="3404537 - 84151266320"/>
    <d v="2025-06-16T00:00:00"/>
    <d v="2025-06-17T00:00:00"/>
    <s v="Entregado"/>
    <n v="0"/>
    <n v="1"/>
    <e v="#N/A"/>
    <m/>
    <m/>
    <m/>
  </r>
  <r>
    <d v="2025-06-16T00:00:00"/>
    <x v="5"/>
    <n v="2596"/>
    <x v="0"/>
    <s v="Frank Carlos Rubiano"/>
    <s v="TECU2FBGO"/>
    <x v="2"/>
    <n v="1"/>
    <x v="1"/>
    <s v="Antioquia"/>
    <s v="Medellin"/>
    <s v="Despachado"/>
    <s v="Coordinadora"/>
    <s v="3404017 - 84151266051"/>
    <d v="2025-06-16T00:00:00"/>
    <d v="2025-06-18T00:00:00"/>
    <s v="Entregado"/>
    <n v="0"/>
    <n v="2"/>
    <s v="Cumple"/>
    <n v="41593"/>
    <m/>
    <m/>
  </r>
  <r>
    <d v="2025-06-16T00:00:00"/>
    <x v="5"/>
    <n v="2596"/>
    <x v="0"/>
    <s v="Frank Carlos Rubiano"/>
    <s v="TECUTFE2C"/>
    <x v="3"/>
    <n v="1"/>
    <x v="2"/>
    <s v="Antioquia"/>
    <s v="Medellin"/>
    <s v="Despachado"/>
    <s v="Coordinadora"/>
    <s v="3404019 - 84151266052"/>
    <d v="2025-06-16T00:00:00"/>
    <d v="2025-06-18T00:00:00"/>
    <s v="Entregado"/>
    <n v="0"/>
    <n v="2"/>
    <s v="Cumple"/>
    <n v="24093"/>
    <m/>
    <m/>
  </r>
  <r>
    <d v="2025-06-16T00:00:00"/>
    <x v="5"/>
    <n v="2597"/>
    <x v="0"/>
    <s v="Alejandro Franco"/>
    <s v="TECU3FNPRO"/>
    <x v="12"/>
    <n v="1"/>
    <x v="1"/>
    <s v="Antioquia"/>
    <s v="Medellin"/>
    <s v="Despachado"/>
    <s v="Coordinadora"/>
    <s v="3404807 - 84151266476"/>
    <d v="2025-06-16T00:00:00"/>
    <d v="2025-06-17T00:00:00"/>
    <s v="Entregado"/>
    <n v="0"/>
    <n v="1"/>
    <s v="Cumple"/>
    <n v="42921"/>
    <m/>
    <m/>
  </r>
  <r>
    <d v="2025-06-16T00:00:00"/>
    <x v="5"/>
    <n v="2597"/>
    <x v="0"/>
    <s v="Alejandro Franco"/>
    <s v="TECUTFE6C"/>
    <x v="28"/>
    <n v="1"/>
    <x v="2"/>
    <s v="Antioquia"/>
    <s v="Medellin"/>
    <s v="Despachado"/>
    <s v="Coordinadora"/>
    <s v="3404808 - 84151266477"/>
    <d v="2025-06-16T00:00:00"/>
    <d v="2025-06-17T00:00:00"/>
    <s v="Entregado"/>
    <n v="0"/>
    <n v="1"/>
    <s v="Cumple"/>
    <n v="24093"/>
    <m/>
    <m/>
  </r>
  <r>
    <d v="2025-06-16T00:00:00"/>
    <x v="5"/>
    <n v="2597"/>
    <x v="0"/>
    <s v="Alejandro Franco"/>
    <s v="TECUAFE"/>
    <x v="43"/>
    <n v="1"/>
    <x v="5"/>
    <s v="Antioquia"/>
    <s v="Medellin"/>
    <s v="Despachado"/>
    <s v="Envia"/>
    <s v="3407567 - 954101237883"/>
    <d v="2025-06-16T00:00:00"/>
    <d v="2025-06-19T00:00:00"/>
    <s v="Entregado"/>
    <n v="0"/>
    <n v="3"/>
    <s v="Cumple"/>
    <n v="65682"/>
    <m/>
    <m/>
  </r>
  <r>
    <d v="2025-06-16T00:00:00"/>
    <x v="5"/>
    <n v="2597"/>
    <x v="0"/>
    <s v="Alejandro Franco"/>
    <m/>
    <x v="10"/>
    <n v="1"/>
    <x v="3"/>
    <s v="Antioquia"/>
    <s v="Medellin"/>
    <s v="Despachado"/>
    <s v="Coordinadora"/>
    <s v="NA"/>
    <s v="NA"/>
    <s v="NA"/>
    <s v="Entregado"/>
    <e v="#VALUE!"/>
    <e v="#VALUE!"/>
    <e v="#VALUE!"/>
    <n v="0"/>
    <m/>
    <m/>
  </r>
  <r>
    <d v="2025-06-17T00:00:00"/>
    <x v="5"/>
    <n v="2598"/>
    <x v="0"/>
    <s v="Fredy Gonzalez"/>
    <s v="TECULFN2"/>
    <x v="7"/>
    <n v="1"/>
    <x v="1"/>
    <s v="Atlantico"/>
    <s v="Sabanalarga"/>
    <s v="Despachado"/>
    <s v="Coordinadora"/>
    <s v="3411404 - 84151269328"/>
    <d v="2025-06-18T00:00:00"/>
    <d v="2025-06-21T00:00:00"/>
    <s v="Entregado"/>
    <n v="1"/>
    <n v="4"/>
    <e v="#N/A"/>
    <n v="183036"/>
    <m/>
    <m/>
  </r>
  <r>
    <d v="2025-06-17T00:00:00"/>
    <x v="5"/>
    <n v="2598"/>
    <x v="0"/>
    <s v="Fredy Gonzalez"/>
    <s v="TECUTLFES"/>
    <x v="63"/>
    <n v="1"/>
    <x v="2"/>
    <s v="Atlantico"/>
    <s v="Sabanalarga"/>
    <s v="Despachado"/>
    <s v="Coordinadora"/>
    <s v="3411405 - 84151269329"/>
    <d v="2025-06-18T00:00:00"/>
    <d v="2025-06-21T00:00:00"/>
    <s v="Entregado"/>
    <n v="1"/>
    <n v="4"/>
    <e v="#N/A"/>
    <n v="98264"/>
    <m/>
    <m/>
  </r>
  <r>
    <d v="2025-06-18T00:00:00"/>
    <x v="5"/>
    <n v="2599"/>
    <x v="0"/>
    <s v="Edward Ferraro Reyes"/>
    <s v="TECU3FNPRO"/>
    <x v="12"/>
    <n v="1"/>
    <x v="1"/>
    <s v="Antioquia"/>
    <s v="Medellin"/>
    <s v="Despachado"/>
    <s v="Coordinadora"/>
    <s v="3414277 - 84151270498"/>
    <d v="2025-06-19T00:00:00"/>
    <d v="2025-06-21T00:00:00"/>
    <s v="Entregado"/>
    <n v="1"/>
    <n v="3"/>
    <s v="Cumple"/>
    <n v="42921"/>
    <m/>
    <m/>
  </r>
  <r>
    <d v="2025-06-18T00:00:00"/>
    <x v="5"/>
    <n v="2599"/>
    <x v="0"/>
    <s v="Edward Ferraro Reyes"/>
    <s v="TECUTCO5C"/>
    <x v="51"/>
    <n v="1"/>
    <x v="2"/>
    <s v="Antioquia"/>
    <s v="Medellin"/>
    <s v="Despachado"/>
    <s v="Coordinadora"/>
    <s v="3414278 - 84151270499"/>
    <d v="2025-06-19T00:00:00"/>
    <d v="2025-06-21T00:00:00"/>
    <s v="Entregado"/>
    <n v="1"/>
    <n v="3"/>
    <s v="Cumple"/>
    <n v="24093"/>
    <m/>
    <m/>
  </r>
  <r>
    <d v="2025-06-18T00:00:00"/>
    <x v="5"/>
    <n v="2600"/>
    <x v="0"/>
    <s v="Alberto Almario"/>
    <s v="TECUCT"/>
    <x v="4"/>
    <n v="1"/>
    <x v="0"/>
    <s v="Bogotá y alrededores"/>
    <s v="Bogota"/>
    <s v="Despachado"/>
    <s v="Coordinadora"/>
    <s v="3411475 - 84151269372"/>
    <d v="2025-06-18T00:00:00"/>
    <d v="2025-06-19T00:00:00"/>
    <s v="Entregado"/>
    <n v="0"/>
    <n v="1"/>
    <s v="Cumple"/>
    <n v="24885"/>
    <m/>
    <m/>
  </r>
  <r>
    <d v="2025-06-18T00:00:00"/>
    <x v="5"/>
    <n v="2601"/>
    <x v="0"/>
    <s v="Luis Valencia"/>
    <s v="TECUAFE"/>
    <x v="43"/>
    <n v="1"/>
    <x v="5"/>
    <s v="Antioquia"/>
    <s v="Medellin"/>
    <s v="Despachado"/>
    <s v="Envia"/>
    <s v="3414291 - 954101239801"/>
    <d v="2025-06-19T00:00:00"/>
    <d v="2025-06-20T00:00:00"/>
    <s v="Entregado"/>
    <n v="1"/>
    <n v="2"/>
    <s v="Cumple"/>
    <n v="65682"/>
    <m/>
    <m/>
  </r>
  <r>
    <d v="2025-06-19T00:00:00"/>
    <x v="5"/>
    <n v="2602"/>
    <x v="0"/>
    <s v="Diego Bellon"/>
    <s v="TECURCO"/>
    <x v="30"/>
    <n v="1"/>
    <x v="6"/>
    <s v="Bogotá y alrededores"/>
    <s v="Cajica"/>
    <s v="Despachado"/>
    <s v="Coordinadora"/>
    <s v="3414325 - 84151270524"/>
    <d v="2025-06-19T00:00:00"/>
    <d v="2025-06-22T00:00:00"/>
    <s v="Entregado"/>
    <n v="0"/>
    <n v="2"/>
    <s v="Cumple"/>
    <n v="23429"/>
    <m/>
    <m/>
  </r>
  <r>
    <d v="2025-06-20T00:00:00"/>
    <x v="5"/>
    <n v="2603"/>
    <x v="0"/>
    <s v="Nicholas Austin"/>
    <s v="TECU3FNCRO"/>
    <x v="55"/>
    <n v="1"/>
    <x v="1"/>
    <s v="Antioquia"/>
    <s v="Medellin"/>
    <s v="Despachado"/>
    <s v="Coordinadora"/>
    <s v="3417032 - 84151271833"/>
    <d v="2025-06-20T00:00:00"/>
    <d v="2025-06-24T00:00:00"/>
    <s v="Entregado"/>
    <n v="0"/>
    <n v="2"/>
    <s v="Cumple"/>
    <n v="42921"/>
    <m/>
    <m/>
  </r>
  <r>
    <d v="2025-06-20T00:00:00"/>
    <x v="5"/>
    <n v="2603"/>
    <x v="0"/>
    <s v="Nicholas Austin"/>
    <s v="TECUTCO6M"/>
    <x v="24"/>
    <n v="1"/>
    <x v="2"/>
    <s v="Antioquia"/>
    <s v="Medellin"/>
    <s v="Despachado"/>
    <s v="Coordinadora"/>
    <s v="3417033 - 84151271834"/>
    <d v="2025-06-20T00:00:00"/>
    <d v="2025-06-24T00:00:00"/>
    <s v="Entregado"/>
    <n v="0"/>
    <n v="2"/>
    <s v="Cumple"/>
    <n v="24093"/>
    <m/>
    <m/>
  </r>
  <r>
    <d v="2025-06-20T00:00:00"/>
    <x v="5"/>
    <n v="2603"/>
    <x v="0"/>
    <s v="Nicholas Austin"/>
    <s v="TECUBDPM"/>
    <x v="0"/>
    <n v="1"/>
    <x v="0"/>
    <s v="Antioquia"/>
    <s v="Medellin"/>
    <s v="Despachado"/>
    <s v="Coordinadora"/>
    <s v="3417040 - 84151271838"/>
    <d v="2025-06-20T00:00:00"/>
    <d v="2025-06-24T00:00:00"/>
    <s v="Entregado"/>
    <n v="0"/>
    <n v="2"/>
    <s v="Cumple"/>
    <n v="16617"/>
    <m/>
    <m/>
  </r>
  <r>
    <d v="2025-06-20T00:00:00"/>
    <x v="5"/>
    <n v="2603"/>
    <x v="0"/>
    <s v="Nicholas Austin"/>
    <s v="TECUCT"/>
    <x v="4"/>
    <n v="1"/>
    <x v="0"/>
    <s v="Antioquia"/>
    <s v="Medellin"/>
    <s v="Despachado"/>
    <s v="Coordinadora"/>
    <s v="3417051 - 84151271841"/>
    <d v="2025-06-20T00:00:00"/>
    <d v="2025-06-24T00:00:00"/>
    <s v="Entregado"/>
    <n v="0"/>
    <n v="2"/>
    <s v="Cumple"/>
    <n v="24885"/>
    <m/>
    <m/>
  </r>
  <r>
    <d v="2025-06-21T00:00:00"/>
    <x v="5"/>
    <n v="2604"/>
    <x v="0"/>
    <s v="RODRIGO BELLO"/>
    <s v="TECU3FBRO"/>
    <x v="34"/>
    <n v="1"/>
    <x v="1"/>
    <s v="Bogotá y alrededores"/>
    <s v="Bogota"/>
    <s v="Despachado"/>
    <s v="Coordinadora"/>
    <s v="3423093 - 84151274331"/>
    <d v="2025-06-24T00:00:00"/>
    <d v="2025-06-26T00:00:00"/>
    <s v="Entregado"/>
    <n v="1"/>
    <n v="3"/>
    <s v="Cumple"/>
    <n v="42921"/>
    <m/>
    <m/>
  </r>
  <r>
    <d v="2025-06-21T00:00:00"/>
    <x v="5"/>
    <n v="2604"/>
    <x v="0"/>
    <s v="RODRIGO BELLO"/>
    <s v="TECUTCO8C"/>
    <x v="19"/>
    <n v="1"/>
    <x v="2"/>
    <s v="Bogotá y alrededores"/>
    <s v="Bogota"/>
    <s v="Despachado"/>
    <s v="Coordinadora"/>
    <s v="3423097 - 84151274334"/>
    <d v="2025-06-24T00:00:00"/>
    <d v="2025-06-27T00:00:00"/>
    <s v="Entregado"/>
    <n v="1"/>
    <n v="4"/>
    <s v="No cumple"/>
    <n v="26749"/>
    <m/>
    <m/>
  </r>
  <r>
    <d v="2025-06-21T00:00:00"/>
    <x v="5"/>
    <n v="2604"/>
    <x v="0"/>
    <s v="RODRIGO BELLO"/>
    <s v="TECUACO"/>
    <x v="15"/>
    <n v="1"/>
    <x v="5"/>
    <s v="Bogotá y alrededores"/>
    <s v="Bogota"/>
    <s v="Despachado"/>
    <s v="Envia"/>
    <s v="3423312 - 954101242427"/>
    <d v="2025-06-24T00:00:00"/>
    <d v="2025-06-26T00:00:00"/>
    <s v="Entregado"/>
    <n v="1"/>
    <n v="3"/>
    <s v="Cumple"/>
    <n v="54929"/>
    <m/>
    <m/>
  </r>
  <r>
    <d v="2025-06-21T00:00:00"/>
    <x v="5"/>
    <n v="2604"/>
    <x v="0"/>
    <s v="RODRIGO BELLO"/>
    <s v="TECUDSG"/>
    <x v="64"/>
    <n v="1"/>
    <x v="4"/>
    <s v="Bogotá y alrededores"/>
    <s v="Bogota"/>
    <s v="Despachado"/>
    <s v="Coordinadora"/>
    <s v="3423132 - 84151274353"/>
    <d v="2025-06-24T00:00:00"/>
    <d v="2025-06-26T00:00:00"/>
    <s v="Entregado"/>
    <n v="1"/>
    <n v="3"/>
    <s v="Cumple"/>
    <n v="26609"/>
    <m/>
    <m/>
  </r>
  <r>
    <d v="2025-06-21T00:00:00"/>
    <x v="5"/>
    <n v="2604"/>
    <x v="0"/>
    <s v="RODRIGO BELLO"/>
    <s v="TECUBDPA"/>
    <x v="1"/>
    <n v="1"/>
    <x v="0"/>
    <s v="Bogotá y alrededores"/>
    <s v="Bogota"/>
    <s v="Despachado"/>
    <s v="Coordinadora"/>
    <s v="3423114 - 84151274344"/>
    <d v="2025-06-24T00:00:00"/>
    <d v="2025-06-26T00:00:00"/>
    <s v="Entregado"/>
    <n v="1"/>
    <n v="3"/>
    <s v="Cumple"/>
    <n v="16617"/>
    <m/>
    <m/>
  </r>
  <r>
    <d v="2025-06-21T00:00:00"/>
    <x v="5"/>
    <n v="2604"/>
    <x v="0"/>
    <s v="RODRIGO BELLO"/>
    <s v="TECUCT"/>
    <x v="4"/>
    <n v="1"/>
    <x v="0"/>
    <s v="Bogotá y alrededores"/>
    <s v="Bogota"/>
    <s v="Despachado"/>
    <s v="Coordinadora"/>
    <s v="3423184 - 84151274377"/>
    <d v="2025-06-24T00:00:00"/>
    <d v="2025-06-26T00:00:00"/>
    <s v="Entregado"/>
    <n v="1"/>
    <n v="3"/>
    <s v="Cumple"/>
    <n v="24885"/>
    <m/>
    <m/>
  </r>
  <r>
    <d v="2025-06-21T00:00:00"/>
    <x v="5"/>
    <n v="2604"/>
    <x v="0"/>
    <s v="RODRIGO BELLO"/>
    <s v="TECUROD"/>
    <x v="31"/>
    <n v="1"/>
    <x v="7"/>
    <s v="Bogotá y alrededores"/>
    <s v="Bogota"/>
    <s v="Despachado"/>
    <s v="Coordinadora"/>
    <s v="3423161 - 84151274363"/>
    <d v="2025-06-24T00:00:00"/>
    <d v="2025-06-26T00:00:00"/>
    <s v="Entregado"/>
    <n v="1"/>
    <n v="3"/>
    <s v="Cumple"/>
    <n v="23875"/>
    <m/>
    <m/>
  </r>
  <r>
    <d v="2025-06-24T00:00:00"/>
    <x v="5"/>
    <n v="2605"/>
    <x v="0"/>
    <s v="Julian David Montero Gonzalez"/>
    <s v="TECUCT"/>
    <x v="4"/>
    <n v="1"/>
    <x v="0"/>
    <s v="Huila"/>
    <s v="Neiva"/>
    <s v="Despachado"/>
    <s v="Coordinadora"/>
    <s v="3426486 - 84151275801"/>
    <d v="2025-06-25T00:00:00"/>
    <d v="2025-06-27T00:00:00"/>
    <s v="Entregado"/>
    <n v="1"/>
    <n v="3"/>
    <s v="Cumple"/>
    <n v="24885"/>
    <m/>
    <m/>
  </r>
  <r>
    <d v="2025-06-26T00:00:00"/>
    <x v="5"/>
    <n v="100006"/>
    <x v="0"/>
    <s v="Richard Ardila Hernandez"/>
    <s v="TECU3FNPRO"/>
    <x v="12"/>
    <n v="1"/>
    <x v="1"/>
    <s v="Valle del Cauca"/>
    <s v="Cali"/>
    <s v="Despachado"/>
    <s v="Coordinadora"/>
    <s v="3429229 - 84151277047"/>
    <d v="2025-06-25T00:00:00"/>
    <d v="2025-06-27T00:00:00"/>
    <s v="Entregado"/>
    <n v="-3"/>
    <n v="1"/>
    <s v="Cumple"/>
    <n v="47921"/>
    <m/>
    <m/>
  </r>
  <r>
    <d v="2025-06-26T00:00:00"/>
    <x v="5"/>
    <n v="100006"/>
    <x v="0"/>
    <s v="Richard Ardila Hernandez"/>
    <s v="TECUTRN8C"/>
    <x v="58"/>
    <n v="1"/>
    <x v="2"/>
    <s v="Valle del Cauca"/>
    <s v="Cali"/>
    <s v="Despachado"/>
    <s v="Coordinadora"/>
    <s v="3429352 - 84151277060"/>
    <d v="2025-06-25T00:00:00"/>
    <d v="2025-06-27T00:00:00"/>
    <s v="Entregado"/>
    <n v="-3"/>
    <n v="1"/>
    <s v="Cumple"/>
    <n v="29249"/>
    <m/>
    <m/>
  </r>
  <r>
    <d v="2025-06-26T00:00:00"/>
    <x v="5"/>
    <n v="100006"/>
    <x v="0"/>
    <s v="Richard Ardila Hernandez"/>
    <s v="TECUCT"/>
    <x v="4"/>
    <n v="1"/>
    <x v="0"/>
    <s v="Valle del Cauca"/>
    <s v="Cali"/>
    <s v="Despachado"/>
    <s v="Coordinadora"/>
    <s v="3429388 - 84151277073"/>
    <d v="2025-06-25T00:00:00"/>
    <d v="2025-06-27T00:00:00"/>
    <s v="Entregado"/>
    <n v="-3"/>
    <n v="1"/>
    <s v="Cumple"/>
    <n v="25429"/>
    <m/>
    <m/>
  </r>
  <r>
    <d v="2025-06-26T00:00:00"/>
    <x v="5"/>
    <n v="100006"/>
    <x v="0"/>
    <s v="Richard Ardila Hernandez"/>
    <s v="TECUROD"/>
    <x v="31"/>
    <n v="1"/>
    <x v="7"/>
    <s v="Valle del Cauca"/>
    <s v="Cali"/>
    <s v="Despachado"/>
    <s v="Coordinadora"/>
    <s v="3429407 - 84151277085"/>
    <d v="2025-06-25T00:00:00"/>
    <d v="2025-06-27T00:00:00"/>
    <s v="Entregado"/>
    <n v="-3"/>
    <n v="1"/>
    <s v="Cumple"/>
    <n v="23885"/>
    <m/>
    <m/>
  </r>
  <r>
    <d v="2025-06-26T00:00:00"/>
    <x v="5"/>
    <n v="100007"/>
    <x v="0"/>
    <s v="Andrea Prieto"/>
    <s v="TECU2FBGO"/>
    <x v="2"/>
    <n v="1"/>
    <x v="1"/>
    <s v="Caldas"/>
    <s v="Manizales"/>
    <s v="Despachado"/>
    <s v="Coordinadora"/>
    <s v="3432184 - 84151278502"/>
    <d v="2025-06-27T00:00:00"/>
    <d v="2025-06-28T00:00:00"/>
    <s v="Entregado"/>
    <n v="1"/>
    <n v="2"/>
    <s v="Cumple"/>
    <n v="39156"/>
    <m/>
    <m/>
  </r>
  <r>
    <d v="2025-06-26T00:00:00"/>
    <x v="5"/>
    <n v="100007"/>
    <x v="0"/>
    <s v="Andrea Prieto"/>
    <s v="TECUTFE3C"/>
    <x v="39"/>
    <n v="1"/>
    <x v="2"/>
    <s v="Caldas"/>
    <s v="Manizales"/>
    <s v="Despachado"/>
    <s v="Coordinadora"/>
    <s v="3432197 - 84151278515"/>
    <d v="2025-06-27T00:00:00"/>
    <d v="2025-06-28T00:00:00"/>
    <s v="Entregado"/>
    <n v="1"/>
    <n v="2"/>
    <s v="Cumple"/>
    <n v="19694"/>
    <m/>
    <m/>
  </r>
  <r>
    <d v="2025-06-26T00:00:00"/>
    <x v="5"/>
    <n v="100008"/>
    <x v="0"/>
    <s v="Miguel Berrío Vélez"/>
    <s v="TECURCO"/>
    <x v="30"/>
    <n v="1"/>
    <x v="6"/>
    <s v="Antioquia"/>
    <s v="Carmen de Viboral"/>
    <s v="Despachado"/>
    <s v="Coordinadora"/>
    <s v="3439945 - 84151281832"/>
    <d v="2025-07-01T00:00:00"/>
    <d v="2025-07-09T00:00:00"/>
    <s v="Entregado"/>
    <n v="3"/>
    <n v="10"/>
    <s v="No cumple"/>
    <n v="24619"/>
    <m/>
    <m/>
  </r>
  <r>
    <d v="2025-06-26T00:00:00"/>
    <x v="5"/>
    <n v="100008"/>
    <x v="0"/>
    <s v="Miguel Berrío Vélez"/>
    <s v="TECUACO"/>
    <x v="15"/>
    <n v="2"/>
    <x v="5"/>
    <s v="Antioquia"/>
    <s v="Carmen de Viboral"/>
    <s v="Despachado"/>
    <s v="Coordinadora"/>
    <s v="3439918 - 84151281819 // 3438430 - 84151281038"/>
    <d v="2025-07-01T00:00:00"/>
    <d v="2025-07-09T00:00:00"/>
    <s v="Entregado"/>
    <n v="3"/>
    <n v="10"/>
    <s v="No cumple"/>
    <n v="113638"/>
    <m/>
    <m/>
  </r>
  <r>
    <d v="2025-06-26T00:00:00"/>
    <x v="5"/>
    <n v="100008"/>
    <x v="0"/>
    <s v="Miguel Berrío Vélez"/>
    <s v="TECUCT"/>
    <x v="4"/>
    <n v="2"/>
    <x v="0"/>
    <s v="Antioquia"/>
    <s v="Carmen de Viboral"/>
    <s v="Despachado"/>
    <s v="Coordinadora"/>
    <s v="3439976 - 84151281842"/>
    <d v="2025-07-01T00:00:00"/>
    <d v="2025-07-09T00:00:00"/>
    <s v="Entregado"/>
    <n v="3"/>
    <n v="10"/>
    <s v="No cumple"/>
    <n v="25429"/>
    <m/>
    <m/>
  </r>
  <r>
    <d v="2025-06-26T00:00:00"/>
    <x v="5"/>
    <n v="100009"/>
    <x v="0"/>
    <s v="Luccas Rojas"/>
    <s v="TECU3FNPRO"/>
    <x v="12"/>
    <n v="1"/>
    <x v="1"/>
    <s v="Bogotá y alrededores"/>
    <s v="Bogota"/>
    <s v="Despachado"/>
    <s v="Coordinadora"/>
    <s v="3432963 - 84151278934"/>
    <d v="2025-06-27T00:00:00"/>
    <d v="2025-07-02T00:00:00"/>
    <s v="Entregado"/>
    <n v="1"/>
    <n v="4"/>
    <s v="No cumple"/>
    <n v="47921"/>
    <m/>
    <m/>
  </r>
  <r>
    <d v="2025-06-26T00:00:00"/>
    <x v="5"/>
    <n v="100009"/>
    <x v="0"/>
    <s v="Luccas Rojas"/>
    <s v="TECUTRN20C"/>
    <x v="65"/>
    <n v="1"/>
    <x v="2"/>
    <s v="Bogotá y alrededores"/>
    <s v="Bogota"/>
    <s v="Despachado"/>
    <s v="Coordinadora"/>
    <s v="3432973 - 84151278941"/>
    <d v="2025-06-27T00:00:00"/>
    <d v="2025-07-01T00:00:00"/>
    <s v="Entregado"/>
    <n v="1"/>
    <n v="3"/>
    <s v="Cumple"/>
    <n v="33241"/>
    <m/>
    <m/>
  </r>
  <r>
    <d v="2025-06-26T00:00:00"/>
    <x v="5"/>
    <n v="100009"/>
    <x v="0"/>
    <s v="Luccas Rojas"/>
    <s v="TECUCT"/>
    <x v="4"/>
    <n v="1"/>
    <x v="0"/>
    <s v="Bogotá y alrededores"/>
    <s v="Bogota"/>
    <s v="Despachado"/>
    <s v="Coordinadora"/>
    <s v="3432983 - 84151278947"/>
    <d v="2025-06-27T00:00:00"/>
    <d v="2025-07-02T00:00:00"/>
    <s v="Entregado"/>
    <n v="1"/>
    <n v="4"/>
    <s v="No cumple"/>
    <n v="25429"/>
    <m/>
    <m/>
  </r>
  <r>
    <d v="2025-06-27T00:00:00"/>
    <x v="5"/>
    <n v="100010"/>
    <x v="0"/>
    <s v="Harlin Acero"/>
    <s v="TECURCO"/>
    <x v="30"/>
    <n v="1"/>
    <x v="6"/>
    <s v="Bogotá y alrededores"/>
    <s v="Bogota"/>
    <s v="Despachado"/>
    <s v="Coordinadora"/>
    <s v="3432352 - 84151278593"/>
    <d v="2025-06-27T00:00:00"/>
    <d v="2025-07-01T00:00:00"/>
    <s v="Entregado"/>
    <n v="0"/>
    <n v="2"/>
    <s v="Cumple"/>
    <n v="24619"/>
    <m/>
    <m/>
  </r>
  <r>
    <d v="2025-06-27T00:00:00"/>
    <x v="5"/>
    <n v="100013"/>
    <x v="0"/>
    <s v="Thomas Masmela"/>
    <s v="TECU2FNG"/>
    <x v="5"/>
    <n v="1"/>
    <x v="1"/>
    <s v="Antioquia"/>
    <s v="Envigado"/>
    <s v="Despachado"/>
    <s v="Coordinadora"/>
    <s v="3433016 - 84151278966"/>
    <d v="2025-06-27T00:00:00"/>
    <d v="2025-06-28T00:00:00"/>
    <s v="Entregado"/>
    <n v="0"/>
    <n v="1"/>
    <s v="Cumple"/>
    <n v="47258"/>
    <m/>
    <m/>
  </r>
  <r>
    <d v="2025-06-27T00:00:00"/>
    <x v="5"/>
    <n v="100013"/>
    <x v="0"/>
    <s v="Thomas Masmela"/>
    <s v="TECUTCO4C"/>
    <x v="6"/>
    <n v="1"/>
    <x v="2"/>
    <s v="Antioquia"/>
    <s v="Envigado"/>
    <s v="Despachado"/>
    <s v="Coordinadora"/>
    <s v="3433028- 84151278970"/>
    <d v="2025-06-27T00:00:00"/>
    <d v="2025-06-28T00:00:00"/>
    <s v="Entregado"/>
    <n v="0"/>
    <n v="1"/>
    <s v="Cumple"/>
    <n v="27929"/>
    <m/>
    <m/>
  </r>
  <r>
    <d v="2025-06-28T00:00:00"/>
    <x v="5"/>
    <n v="100014"/>
    <x v="0"/>
    <s v="Hugo Alban"/>
    <s v="TECULFN2"/>
    <x v="7"/>
    <n v="1"/>
    <x v="1"/>
    <s v="Bogotá y alrededores"/>
    <s v="Bogota"/>
    <s v="Despachado"/>
    <s v="Coordinadora"/>
    <s v="3440083 - 84151281888"/>
    <d v="2025-07-01T00:00:00"/>
    <d v="2025-07-02T00:00:00"/>
    <s v="Entregado"/>
    <n v="1"/>
    <n v="2"/>
    <s v="Cumple"/>
    <n v="54562"/>
    <m/>
    <m/>
  </r>
  <r>
    <d v="2025-06-28T00:00:00"/>
    <x v="5"/>
    <n v="100014"/>
    <x v="0"/>
    <s v="Hugo Alban"/>
    <s v="TECUTLRNS"/>
    <x v="8"/>
    <n v="1"/>
    <x v="2"/>
    <s v="Bogotá y alrededores"/>
    <s v="Bogota"/>
    <s v="Despachado"/>
    <s v="Coordinadora"/>
    <s v="3440105 - 84151281901"/>
    <d v="2025-07-01T00:00:00"/>
    <d v="2025-07-03T00:00:00"/>
    <s v="Entregado"/>
    <n v="1"/>
    <n v="3"/>
    <s v="Cumple"/>
    <n v="31249"/>
    <m/>
    <m/>
  </r>
  <r>
    <d v="2025-06-29T00:00:00"/>
    <x v="5"/>
    <n v="100015"/>
    <x v="0"/>
    <s v="Nicolas Arocha"/>
    <s v="TECUCT"/>
    <x v="4"/>
    <n v="1"/>
    <x v="0"/>
    <s v="Bogotá y alrededores"/>
    <s v="Bogota"/>
    <s v="Despachado"/>
    <s v="Coordinadora"/>
    <s v="3440457 - 84151282118"/>
    <d v="2025-07-01T00:00:00"/>
    <d v="2025-07-02T00:00:00"/>
    <s v="Entregado"/>
    <n v="0"/>
    <n v="1"/>
    <s v="Cumple"/>
    <n v="25429"/>
    <m/>
    <m/>
  </r>
  <r>
    <d v="2025-06-30T00:00:00"/>
    <x v="5"/>
    <n v="100016"/>
    <x v="0"/>
    <s v="David Alejandro Villa Agudelo"/>
    <s v="TECU3FNPRO"/>
    <x v="12"/>
    <n v="1"/>
    <x v="1"/>
    <s v="Caldas"/>
    <s v="Manizales"/>
    <s v="Despachado"/>
    <s v="Coordinadora"/>
    <s v="3443015 - 84151283088"/>
    <d v="2025-07-02T00:00:00"/>
    <d v="2025-07-03T00:00:00"/>
    <s v="Entregado"/>
    <n v="1"/>
    <n v="2"/>
    <s v="Cumple"/>
    <n v="39953"/>
    <m/>
    <m/>
  </r>
  <r>
    <d v="2025-06-30T00:00:00"/>
    <x v="5"/>
    <n v="100016"/>
    <x v="0"/>
    <s v="David Alejandro Villa Agudelo"/>
    <s v="TECUTFE3C"/>
    <x v="39"/>
    <n v="1"/>
    <x v="2"/>
    <s v="Caldas"/>
    <s v="Manizales"/>
    <s v="Despachado"/>
    <s v="Coordinadora"/>
    <s v="3443031 - 84151283096"/>
    <d v="2025-07-02T00:00:00"/>
    <d v="2025-07-03T00:00:00"/>
    <s v="Entregado"/>
    <n v="1"/>
    <n v="2"/>
    <s v="Cumple"/>
    <n v="19296"/>
    <m/>
    <m/>
  </r>
  <r>
    <d v="2025-07-01T00:00:00"/>
    <x v="6"/>
    <n v="100017"/>
    <x v="0"/>
    <s v="MODULARIS COLOMBIA SAS"/>
    <s v="TECU2FNG"/>
    <x v="5"/>
    <n v="1"/>
    <x v="1"/>
    <s v="Valle del Cauca"/>
    <s v="Cali"/>
    <s v="Despachado"/>
    <s v="Coordinadora"/>
    <s v="3502488-84151306580"/>
    <d v="2025-07-22T00:00:00"/>
    <d v="2025-07-25T00:00:00"/>
    <s v="Entregado"/>
    <n v="18"/>
    <n v="21"/>
    <s v="No cumple"/>
    <n v="41593"/>
    <m/>
    <m/>
  </r>
  <r>
    <d v="2025-07-01T00:00:00"/>
    <x v="6"/>
    <n v="100017"/>
    <x v="0"/>
    <s v="MODULARIS COLOMBIA SAS"/>
    <s v="TECUTFE6C"/>
    <x v="28"/>
    <n v="1"/>
    <x v="2"/>
    <s v="Valle del Cauca"/>
    <s v="Cali"/>
    <s v="Despachado"/>
    <s v="Coordinadora"/>
    <s v="3502490-84151306581"/>
    <d v="2025-07-22T00:00:00"/>
    <d v="2025-07-25T00:00:00"/>
    <s v="Entregado"/>
    <n v="18"/>
    <n v="21"/>
    <s v="No cumple"/>
    <n v="24093"/>
    <m/>
    <m/>
  </r>
  <r>
    <d v="2025-07-01T00:00:00"/>
    <x v="6"/>
    <n v="100017"/>
    <x v="0"/>
    <s v="MODULARIS COLOMBIA SAS"/>
    <s v="TECU2FNG"/>
    <x v="5"/>
    <n v="1"/>
    <x v="1"/>
    <s v="Valle del Cauca"/>
    <s v="Cali"/>
    <s v="Despachado"/>
    <s v="Coordinadora"/>
    <s v="3502491-84151306582"/>
    <d v="2025-07-22T00:00:00"/>
    <d v="2025-07-25T00:00:00"/>
    <s v="Entregado"/>
    <n v="18"/>
    <n v="21"/>
    <s v="No cumple"/>
    <n v="41593"/>
    <m/>
    <m/>
  </r>
  <r>
    <d v="2025-07-01T00:00:00"/>
    <x v="6"/>
    <n v="100017"/>
    <x v="0"/>
    <s v="MODULARIS COLOMBIA SAS"/>
    <s v="TECUTFE6C"/>
    <x v="28"/>
    <n v="1"/>
    <x v="2"/>
    <s v="Valle del Cauca"/>
    <s v="Cali"/>
    <s v="Despachado"/>
    <s v="Coordinadora"/>
    <s v="3502494-84151306584"/>
    <d v="2025-07-22T00:00:00"/>
    <d v="2025-07-25T00:00:00"/>
    <s v="Entregado"/>
    <n v="18"/>
    <n v="21"/>
    <s v="No cumple"/>
    <n v="24093"/>
    <m/>
    <m/>
  </r>
  <r>
    <d v="2025-07-01T00:00:00"/>
    <x v="6"/>
    <n v="100018"/>
    <x v="0"/>
    <s v="MODULARIS COLOMBIA SAS"/>
    <s v="TECU2FNG"/>
    <x v="5"/>
    <n v="1"/>
    <x v="1"/>
    <s v="Bogotá y alrededores"/>
    <s v="Zipaquira"/>
    <s v="Despachado"/>
    <s v="Coordinadora"/>
    <s v="3502518-84151306592"/>
    <d v="2025-07-22T00:00:00"/>
    <d v="2025-07-24T00:00:00"/>
    <s v="Entregado"/>
    <n v="18"/>
    <n v="20"/>
    <s v="No cumple"/>
    <n v="53871"/>
    <m/>
    <m/>
  </r>
  <r>
    <d v="2025-07-01T00:00:00"/>
    <x v="6"/>
    <n v="100018"/>
    <x v="0"/>
    <s v="MODULARIS COLOMBIA SAS"/>
    <s v="TECUTFE6C"/>
    <x v="28"/>
    <n v="1"/>
    <x v="2"/>
    <s v="Bogotá y alrededores"/>
    <s v="Zipaquira"/>
    <s v="Despachado"/>
    <s v="Coordinadora"/>
    <s v="3502519-84151306593"/>
    <d v="2025-07-22T00:00:00"/>
    <d v="2025-07-25T00:00:00"/>
    <s v="Entregado"/>
    <n v="18"/>
    <n v="21"/>
    <s v="No cumple"/>
    <n v="34179"/>
    <m/>
    <m/>
  </r>
  <r>
    <d v="2025-07-01T00:00:00"/>
    <x v="6"/>
    <n v="100019"/>
    <x v="0"/>
    <s v="MODULARIS COLOMBIA SAS"/>
    <s v="TECU3FNCRO"/>
    <x v="55"/>
    <n v="1"/>
    <x v="1"/>
    <s v="Valle del Cauca"/>
    <s v="Cali"/>
    <s v="Despachado"/>
    <s v="Coordinadora"/>
    <s v="3461574-84151290812"/>
    <d v="2025-07-08T00:00:00"/>
    <d v="2025-07-11T00:00:00"/>
    <s v="Entregado"/>
    <n v="6"/>
    <n v="9"/>
    <s v="No cumple"/>
    <n v="41593"/>
    <m/>
    <m/>
  </r>
  <r>
    <d v="2025-07-01T00:00:00"/>
    <x v="6"/>
    <n v="100019"/>
    <x v="0"/>
    <s v="MODULARIS COLOMBIA SAS"/>
    <s v="TECUTB7C"/>
    <x v="38"/>
    <n v="1"/>
    <x v="2"/>
    <s v="Valle del Cauca"/>
    <s v="Cali"/>
    <s v="Despachado"/>
    <s v="Coordinadora"/>
    <s v="3461575-84151290813"/>
    <d v="2025-07-08T00:00:00"/>
    <d v="2025-07-11T00:00:00"/>
    <s v="Entregado"/>
    <n v="6"/>
    <n v="9"/>
    <s v="No cumple"/>
    <n v="26749"/>
    <m/>
    <m/>
  </r>
  <r>
    <d v="2025-07-01T00:00:00"/>
    <x v="6"/>
    <n v="100020"/>
    <x v="0"/>
    <s v="NAYIBE ORJUELA"/>
    <s v="TECUBDPM"/>
    <x v="0"/>
    <n v="2"/>
    <x v="0"/>
    <s v="Atlantico"/>
    <s v="Barranquilla"/>
    <s v="Despachado"/>
    <s v="Coordinadora"/>
    <s v="3440751-84151282262"/>
    <d v="2025-07-01T00:00:00"/>
    <d v="2025-07-04T00:00:00"/>
    <s v="Entregado"/>
    <n v="0"/>
    <n v="3"/>
    <s v="Cumple"/>
    <n v="25585"/>
    <m/>
    <m/>
  </r>
  <r>
    <d v="2025-07-01T00:00:00"/>
    <x v="6"/>
    <n v="100021"/>
    <x v="0"/>
    <s v="Sergio Lopez"/>
    <s v="TECU3FNPRO"/>
    <x v="12"/>
    <n v="1"/>
    <x v="1"/>
    <s v="Bogotá y alrededores"/>
    <s v="Bogota"/>
    <s v="Despachado"/>
    <s v="Coordinadora"/>
    <s v="3444656-84151283663"/>
    <d v="2025-07-03T00:00:00"/>
    <d v="2025-07-07T00:00:00"/>
    <s v="Entregado"/>
    <n v="2"/>
    <n v="5"/>
    <s v="No cumple"/>
    <n v="47921"/>
    <m/>
    <m/>
  </r>
  <r>
    <d v="2025-07-01T00:00:00"/>
    <x v="6"/>
    <n v="100021"/>
    <x v="0"/>
    <s v="Sergio Lopez"/>
    <s v="TECUTCO20C"/>
    <x v="62"/>
    <n v="1"/>
    <x v="2"/>
    <s v="Bogotá y alrededores"/>
    <s v="Bogota"/>
    <s v="Despachado"/>
    <s v="Coordinadora"/>
    <s v="3444683-84151283672"/>
    <d v="2025-07-03T00:00:00"/>
    <d v="2025-07-04T00:00:00"/>
    <s v="Entregado"/>
    <n v="2"/>
    <n v="3"/>
    <s v="Cumple"/>
    <n v="33241"/>
    <m/>
    <m/>
  </r>
  <r>
    <d v="2025-07-01T00:00:00"/>
    <x v="6"/>
    <n v="100021"/>
    <x v="0"/>
    <s v="Sergio Lopez"/>
    <s v="TECUCT"/>
    <x v="4"/>
    <n v="1"/>
    <x v="0"/>
    <s v="Bogotá y alrededores"/>
    <s v="Bogota"/>
    <s v="Despachado"/>
    <s v="Coordinadora"/>
    <s v="3444629-84151283647"/>
    <d v="2025-07-03T00:00:00"/>
    <d v="2025-07-07T00:00:00"/>
    <s v="Entregado"/>
    <n v="2"/>
    <n v="5"/>
    <s v="No cumple"/>
    <n v="25429"/>
    <m/>
    <m/>
  </r>
  <r>
    <d v="2025-07-01T00:00:00"/>
    <x v="6"/>
    <n v="100021"/>
    <x v="0"/>
    <s v="Sergio Lopez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7-02T00:00:00"/>
    <x v="6"/>
    <n v="100022"/>
    <x v="0"/>
    <s v="Cristian Navarro"/>
    <s v="TECU3FNCRO"/>
    <x v="55"/>
    <n v="1"/>
    <x v="1"/>
    <s v="Bogotá y alrededores"/>
    <s v="Bogota"/>
    <s v="Despachado"/>
    <s v="Coordinadora"/>
    <s v="3448094-84151285130"/>
    <d v="2025-07-03T00:00:00"/>
    <d v="2025-07-08T00:00:00"/>
    <s v="Entregado"/>
    <n v="1"/>
    <n v="5"/>
    <s v="No cumple"/>
    <n v="47921"/>
    <m/>
    <m/>
  </r>
  <r>
    <d v="2025-07-02T00:00:00"/>
    <x v="6"/>
    <n v="100022"/>
    <x v="0"/>
    <s v="Cristian Navarro"/>
    <s v="TECUTFE5M"/>
    <x v="74"/>
    <n v="1"/>
    <x v="2"/>
    <s v="Bogotá y alrededores"/>
    <s v="Bogota"/>
    <s v="Despachado"/>
    <s v="Coordinadora"/>
    <s v="3448161-84151285156"/>
    <d v="2025-07-03T00:00:00"/>
    <d v="2025-07-07T00:00:00"/>
    <s v="Entregado"/>
    <n v="1"/>
    <n v="4"/>
    <s v="No cumple"/>
    <n v="28593"/>
    <m/>
    <m/>
  </r>
  <r>
    <d v="2025-07-02T00:00:00"/>
    <x v="6"/>
    <n v="100022"/>
    <x v="0"/>
    <s v="Cristian Navarro"/>
    <s v="TECUCT"/>
    <x v="4"/>
    <n v="1"/>
    <x v="0"/>
    <s v="Bogotá y alrededores"/>
    <s v="Bogota"/>
    <s v="Despachado"/>
    <s v="Coordinadora"/>
    <s v="3448170-84151285159"/>
    <d v="2025-07-03T00:00:00"/>
    <d v="2025-07-08T00:00:00"/>
    <s v="Entregado"/>
    <n v="1"/>
    <n v="5"/>
    <s v="No cumple"/>
    <n v="25429"/>
    <m/>
    <m/>
  </r>
  <r>
    <d v="2025-07-02T00:00:00"/>
    <x v="6"/>
    <n v="100022"/>
    <x v="0"/>
    <s v="Cristian Navarro"/>
    <s v="TECUROD"/>
    <x v="31"/>
    <n v="1"/>
    <x v="7"/>
    <s v="Bogotá y alrededores"/>
    <s v="Bogota"/>
    <s v="Despachado"/>
    <s v="Coordinadora"/>
    <s v="3448184-84151285163"/>
    <d v="2025-07-03T00:00:00"/>
    <d v="2025-07-08T00:00:00"/>
    <s v="Entregado"/>
    <n v="1"/>
    <n v="5"/>
    <s v="No cumple"/>
    <n v="23885"/>
    <m/>
    <m/>
  </r>
  <r>
    <d v="2025-07-04T00:00:00"/>
    <x v="6"/>
    <n v="100023"/>
    <x v="0"/>
    <s v="Oscar Castro"/>
    <s v="TECU2FBGO"/>
    <x v="2"/>
    <n v="1"/>
    <x v="1"/>
    <s v="Valle del Cauca"/>
    <s v="Palmira"/>
    <s v="Despachado"/>
    <s v="Coordinadora"/>
    <s v="3450640-84151286233"/>
    <d v="2025-07-04T00:00:00"/>
    <d v="2025-07-09T00:00:00"/>
    <s v="Entregado"/>
    <n v="0"/>
    <n v="4"/>
    <s v="No cumple"/>
    <n v="46593"/>
    <m/>
    <m/>
  </r>
  <r>
    <d v="2025-07-04T00:00:00"/>
    <x v="6"/>
    <n v="100023"/>
    <x v="0"/>
    <s v="Oscar Castro"/>
    <s v="TECUTFE2C"/>
    <x v="3"/>
    <n v="1"/>
    <x v="2"/>
    <s v="Valle del Cauca"/>
    <s v="Palmira"/>
    <s v="Despachado"/>
    <s v="Coordinadora"/>
    <s v="3450778-84151286248"/>
    <d v="2025-07-04T00:00:00"/>
    <d v="2025-07-09T00:00:00"/>
    <s v="Entregado"/>
    <n v="0"/>
    <n v="4"/>
    <s v="No cumple"/>
    <n v="28929"/>
    <m/>
    <m/>
  </r>
  <r>
    <d v="2025-07-05T00:00:00"/>
    <x v="6"/>
    <n v="100024"/>
    <x v="0"/>
    <s v="Hernando Uribe"/>
    <s v="TECU3FBCRO"/>
    <x v="66"/>
    <n v="1"/>
    <x v="1"/>
    <s v="Bogotá y alrededores"/>
    <s v="Bogota"/>
    <s v="Despachado"/>
    <s v="Coordinadora"/>
    <s v="3461465-84151290787"/>
    <d v="2025-07-09T00:00:00"/>
    <d v="2025-07-11T00:00:00"/>
    <s v="Entregado"/>
    <n v="3"/>
    <n v="5"/>
    <s v="No cumple"/>
    <n v="41593"/>
    <m/>
    <m/>
  </r>
  <r>
    <d v="2025-07-05T00:00:00"/>
    <x v="6"/>
    <n v="100024"/>
    <x v="0"/>
    <s v="Hernando Uribe"/>
    <s v="TECUTB2C"/>
    <x v="68"/>
    <n v="1"/>
    <x v="2"/>
    <s v="Bogotá y alrededores"/>
    <s v="Bogota"/>
    <s v="Despachado"/>
    <s v="Coordinadora"/>
    <s v="3461468-84151290789"/>
    <d v="2025-07-09T00:00:00"/>
    <d v="2025-07-11T00:00:00"/>
    <s v="Entregado"/>
    <n v="3"/>
    <n v="5"/>
    <s v="No cumple"/>
    <n v="24093"/>
    <m/>
    <m/>
  </r>
  <r>
    <d v="2025-07-05T00:00:00"/>
    <x v="6"/>
    <n v="100024"/>
    <x v="0"/>
    <s v="Hernando Uribe"/>
    <s v="TECUCT"/>
    <x v="4"/>
    <n v="1"/>
    <x v="0"/>
    <s v="Bogotá y alrededores"/>
    <s v="Bogota"/>
    <s v="Despachado"/>
    <s v="Coordinadora"/>
    <s v="3461582-84151290821"/>
    <d v="2025-07-09T00:00:00"/>
    <d v="2025-07-11T00:00:00"/>
    <s v="Entregado"/>
    <n v="3"/>
    <n v="5"/>
    <s v="No cumple"/>
    <n v="25429"/>
    <m/>
    <m/>
  </r>
  <r>
    <d v="2025-07-05T00:00:00"/>
    <x v="6"/>
    <n v="100025"/>
    <x v="0"/>
    <s v="Miguel Angel Diaz Rodríguez"/>
    <s v="TECULFN2"/>
    <x v="7"/>
    <n v="1"/>
    <x v="1"/>
    <s v="Bogotá y alrededores"/>
    <s v="Bogota"/>
    <s v="Despachado"/>
    <s v="Coordinadora"/>
    <s v="3456415-84151288616"/>
    <d v="2025-07-07T00:00:00"/>
    <d v="2025-07-10T00:00:00"/>
    <s v="Entregado"/>
    <n v="1"/>
    <n v="4"/>
    <s v="No cumple"/>
    <n v="62530"/>
    <m/>
    <m/>
  </r>
  <r>
    <d v="2025-07-05T00:00:00"/>
    <x v="6"/>
    <n v="100025"/>
    <x v="0"/>
    <s v="Miguel Angel Diaz Rodríguez"/>
    <s v="TECUTLCCS"/>
    <x v="45"/>
    <n v="1"/>
    <x v="2"/>
    <s v="Bogotá y alrededores"/>
    <s v="Bogota"/>
    <s v="Despachado"/>
    <s v="Coordinadora"/>
    <s v="3456252-84151288525"/>
    <d v="2025-07-07T00:00:00"/>
    <d v="2025-07-09T00:00:00"/>
    <s v="Entregado"/>
    <n v="1"/>
    <n v="3"/>
    <s v="Cumple"/>
    <n v="26749"/>
    <m/>
    <m/>
  </r>
  <r>
    <d v="2025-07-07T00:00:00"/>
    <x v="6"/>
    <n v="100029"/>
    <x v="0"/>
    <s v="Jhon Fredy Rincon Santamaria"/>
    <s v="TECU3FNPRO"/>
    <x v="12"/>
    <n v="1"/>
    <x v="1"/>
    <s v="Bogotá y alrededores"/>
    <s v="Bogota"/>
    <s v="Despachado"/>
    <s v="Coordinadora"/>
    <s v="3461970-84151290869"/>
    <d v="2025-07-09T00:00:00"/>
    <d v="2025-07-10T00:00:00"/>
    <s v="Entregado"/>
    <n v="2"/>
    <n v="3"/>
    <s v="Cumple"/>
    <n v="41593"/>
    <m/>
    <m/>
  </r>
  <r>
    <d v="2025-07-07T00:00:00"/>
    <x v="6"/>
    <n v="100029"/>
    <x v="0"/>
    <s v="Jhon Fredy Rincon Santamaria"/>
    <s v="TECUTRM8C"/>
    <x v="49"/>
    <n v="1"/>
    <x v="2"/>
    <s v="Bogotá y alrededores"/>
    <s v="Bogota"/>
    <s v="Despachado"/>
    <s v="Coordinadora"/>
    <s v="3461971-84151290870"/>
    <d v="2025-07-09T00:00:00"/>
    <d v="2025-07-10T00:00:00"/>
    <s v="Entregado"/>
    <n v="2"/>
    <n v="3"/>
    <s v="Cumple"/>
    <n v="26749"/>
    <m/>
    <m/>
  </r>
  <r>
    <d v="2025-07-07T00:00:00"/>
    <x v="6"/>
    <n v="100029"/>
    <x v="0"/>
    <s v="Jhon Fredy Rincon Santamaria"/>
    <s v="TECUCT"/>
    <x v="4"/>
    <n v="1"/>
    <x v="0"/>
    <s v="Bogotá y alrededores"/>
    <s v="Bogota"/>
    <s v="Despachado"/>
    <s v="Coordinadora"/>
    <s v="3462523-84151291069"/>
    <d v="2025-07-08T00:00:00"/>
    <d v="2025-07-10T00:00:00"/>
    <s v="Entregado"/>
    <n v="1"/>
    <n v="3"/>
    <s v="Cumple"/>
    <n v="25429"/>
    <m/>
    <m/>
  </r>
  <r>
    <d v="2025-07-07T00:00:00"/>
    <x v="6"/>
    <n v="100029"/>
    <x v="0"/>
    <s v="Jhon Fredy Rincon Santamaria"/>
    <s v="TECUROD"/>
    <x v="31"/>
    <n v="1"/>
    <x v="7"/>
    <s v="Bogotá y alrededores"/>
    <s v="Bogota"/>
    <s v="Despachado"/>
    <s v="Coordinadora"/>
    <s v="3462380-84151291048"/>
    <d v="2025-07-08T00:00:00"/>
    <d v="2025-07-10T00:00:00"/>
    <s v="Entregado"/>
    <n v="1"/>
    <n v="3"/>
    <s v="Cumple"/>
    <n v="19031"/>
    <m/>
    <m/>
  </r>
  <r>
    <d v="2025-07-07T00:00:00"/>
    <x v="6"/>
    <n v="100029"/>
    <x v="3"/>
    <s v="Jhon Fredy Rincon Santamaria"/>
    <s v="TECU3FNPRO"/>
    <x v="12"/>
    <n v="1"/>
    <x v="1"/>
    <s v="Bogotá y alrededores"/>
    <s v="Bogota"/>
    <s v="Despachado"/>
    <s v="Coordinadora"/>
    <s v="3472571-84151295219"/>
    <d v="2025-07-11T00:00:00"/>
    <d v="2025-07-14T00:00:00"/>
    <s v="Entregado"/>
    <n v="4"/>
    <n v="6"/>
    <s v="No cumple"/>
    <n v="47921"/>
    <s v="Se despachan por error circulares sin serlo inicilamente"/>
    <m/>
  </r>
  <r>
    <d v="2025-07-07T00:00:00"/>
    <x v="6"/>
    <n v="100030"/>
    <x v="0"/>
    <s v="LEONARDO FONSECA"/>
    <s v="TECUBDPA"/>
    <x v="1"/>
    <n v="1"/>
    <x v="0"/>
    <s v="Bogotá y alrededores"/>
    <s v="Bogota"/>
    <s v="Despachado"/>
    <s v="Coordinadora"/>
    <s v="3457094-84151288948"/>
    <d v="2025-07-07T00:00:00"/>
    <d v="2025-07-09T00:00:00"/>
    <s v="Entregado"/>
    <n v="0"/>
    <n v="2"/>
    <s v="Cumple"/>
    <n v="23975"/>
    <m/>
    <m/>
  </r>
  <r>
    <d v="2025-07-07T00:00:00"/>
    <x v="6"/>
    <n v="100031"/>
    <x v="0"/>
    <s v="Mauricio Andres Ortega Marin"/>
    <s v="TECU2FNG"/>
    <x v="5"/>
    <n v="1"/>
    <x v="1"/>
    <s v="Antioquia"/>
    <s v="Rionegro"/>
    <s v="Despachado"/>
    <s v="Coordinadora"/>
    <s v="3461731-84151290825"/>
    <d v="2025-07-08T00:00:00"/>
    <d v="2025-07-09T00:00:00"/>
    <s v="Entregado"/>
    <n v="1"/>
    <n v="2"/>
    <s v="Cumple"/>
    <n v="41593"/>
    <m/>
    <m/>
  </r>
  <r>
    <d v="2025-07-07T00:00:00"/>
    <x v="6"/>
    <n v="100031"/>
    <x v="0"/>
    <s v="Mauricio Andres Ortega Marin"/>
    <s v="TECUTCO6C"/>
    <x v="16"/>
    <n v="1"/>
    <x v="2"/>
    <s v="Antioquia"/>
    <s v="Rionegro"/>
    <s v="Despachado"/>
    <s v="Coordinadora"/>
    <s v="3461733-84151290827"/>
    <d v="2025-07-08T00:00:00"/>
    <d v="2025-07-09T00:00:00"/>
    <s v="Entregado"/>
    <n v="1"/>
    <n v="2"/>
    <s v="Cumple"/>
    <n v="24093"/>
    <m/>
    <m/>
  </r>
  <r>
    <d v="2025-07-07T00:00:00"/>
    <x v="6"/>
    <n v="100031"/>
    <x v="0"/>
    <s v="Mauricio Andres Ortega Marin"/>
    <s v="TECUBDPA"/>
    <x v="1"/>
    <n v="1"/>
    <x v="0"/>
    <s v="Antioquia"/>
    <s v="Rionegro"/>
    <s v="Despachado"/>
    <s v="Coordinadora"/>
    <s v="3461848-84151290849"/>
    <d v="2025-07-08T00:00:00"/>
    <d v="2025-07-09T00:00:00"/>
    <s v="Entregado"/>
    <n v="1"/>
    <n v="2"/>
    <s v="Cumple"/>
    <n v="23975"/>
    <m/>
    <m/>
  </r>
  <r>
    <d v="2025-07-07T00:00:00"/>
    <x v="6"/>
    <n v="100031"/>
    <x v="0"/>
    <s v="Mauricio Andres Ortega Marin"/>
    <s v="TECUCT"/>
    <x v="4"/>
    <n v="1"/>
    <x v="0"/>
    <s v="Antioquia"/>
    <s v="Rionegro"/>
    <s v="Despachado"/>
    <s v="Coordinadora"/>
    <s v="3461864-84151290858"/>
    <d v="2025-07-08T00:00:00"/>
    <d v="2025-07-09T00:00:00"/>
    <s v="Entregado"/>
    <n v="1"/>
    <n v="2"/>
    <s v="Cumple"/>
    <n v="25429"/>
    <m/>
    <m/>
  </r>
  <r>
    <d v="2025-07-07T00:00:00"/>
    <x v="6"/>
    <n v="100031"/>
    <x v="0"/>
    <s v="Mauricio Andres Ortega Marin"/>
    <m/>
    <x v="10"/>
    <n v="1"/>
    <x v="3"/>
    <s v="Antioquia"/>
    <s v="Rionegro"/>
    <s v="Despachado"/>
    <s v="Coordinadora"/>
    <s v="NA"/>
    <s v="NA"/>
    <s v="NA"/>
    <s v="Entregado"/>
    <e v="#VALUE!"/>
    <e v="#VALUE!"/>
    <e v="#VALUE!"/>
    <m/>
    <m/>
    <m/>
  </r>
  <r>
    <d v="2025-07-09T00:00:00"/>
    <x v="6"/>
    <n v="100032"/>
    <x v="0"/>
    <s v="Claudia Martinez"/>
    <s v="TECU3FNPRO"/>
    <x v="12"/>
    <n v="1"/>
    <x v="1"/>
    <s v="Bogotá y alrededores"/>
    <s v="Bogota"/>
    <s v="Despachado"/>
    <s v="Coordinadora"/>
    <s v="3465164-84151292097"/>
    <d v="2025-07-09T00:00:00"/>
    <d v="2025-07-11T00:00:00"/>
    <s v="Entregado"/>
    <n v="0"/>
    <n v="2"/>
    <s v="Cumple"/>
    <n v="42921"/>
    <m/>
    <m/>
  </r>
  <r>
    <d v="2025-07-09T00:00:00"/>
    <x v="6"/>
    <n v="100033"/>
    <x v="0"/>
    <s v="Juan Pablo Garrido"/>
    <s v="TECU3FBRO"/>
    <x v="34"/>
    <n v="1"/>
    <x v="1"/>
    <s v="Bogotá y alrededores"/>
    <s v="Bogota"/>
    <s v="Despachado"/>
    <s v="Coordinadora"/>
    <s v="3465267-84151292166"/>
    <d v="2025-07-09T00:00:00"/>
    <d v="2025-07-10T00:00:00"/>
    <s v="Entregado"/>
    <n v="0"/>
    <n v="1"/>
    <s v="Cumple"/>
    <n v="41593"/>
    <m/>
    <m/>
  </r>
  <r>
    <d v="2025-07-09T00:00:00"/>
    <x v="6"/>
    <n v="100033"/>
    <x v="0"/>
    <s v="Juan Pablo Garrido"/>
    <s v="TECUTFE5C"/>
    <x v="29"/>
    <n v="1"/>
    <x v="2"/>
    <s v="Bogotá y alrededores"/>
    <s v="Bogota"/>
    <s v="Despachado"/>
    <s v="Coordinadora"/>
    <s v="3465269-84151292168"/>
    <d v="2025-07-09T00:00:00"/>
    <d v="2025-07-10T00:00:00"/>
    <s v="Entregado"/>
    <n v="0"/>
    <n v="1"/>
    <s v="Cumple"/>
    <n v="24093"/>
    <m/>
    <m/>
  </r>
  <r>
    <d v="2025-07-09T00:00:00"/>
    <x v="6"/>
    <n v="100033"/>
    <x v="0"/>
    <s v="Juan Pablo Garrido"/>
    <s v="TECUCT"/>
    <x v="4"/>
    <n v="1"/>
    <x v="0"/>
    <s v="Bogotá y alrededores"/>
    <s v="Bogota"/>
    <s v="Despachado"/>
    <s v="Coordinadora"/>
    <s v="3465340-84151292209"/>
    <d v="2025-07-09T00:00:00"/>
    <d v="2025-07-10T00:00:00"/>
    <s v="Entregado"/>
    <n v="0"/>
    <n v="1"/>
    <s v="Cumple"/>
    <n v="25429"/>
    <m/>
    <m/>
  </r>
  <r>
    <d v="2025-07-09T00:00:00"/>
    <x v="6"/>
    <n v="100033"/>
    <x v="0"/>
    <s v="Juan Pablo Garrido"/>
    <s v="TECUBDPA"/>
    <x v="1"/>
    <n v="1"/>
    <x v="0"/>
    <s v="Bogotá y alrededores"/>
    <s v="Bogota"/>
    <s v="Despachado"/>
    <s v="Coordinadora"/>
    <s v="3465309-84151292197"/>
    <d v="2025-07-09T00:00:00"/>
    <d v="2025-07-10T00:00:00"/>
    <s v="Entregado"/>
    <n v="0"/>
    <n v="1"/>
    <s v="Cumple"/>
    <n v="19131"/>
    <m/>
    <m/>
  </r>
  <r>
    <d v="2025-07-09T00:00:00"/>
    <x v="6"/>
    <n v="100033"/>
    <x v="0"/>
    <s v="Juan Pablo Garrido"/>
    <s v="TECUAFE"/>
    <x v="43"/>
    <n v="1"/>
    <x v="5"/>
    <s v="Bogotá y alrededores"/>
    <s v="Bogota"/>
    <s v="Despachado"/>
    <s v="Envia"/>
    <s v="3465205-954101253251"/>
    <d v="2025-07-09T00:00:00"/>
    <d v="2025-07-10T00:00:00"/>
    <s v="Entregado"/>
    <n v="0"/>
    <n v="1"/>
    <s v="Cumple"/>
    <n v="54929"/>
    <m/>
    <m/>
  </r>
  <r>
    <d v="2025-07-09T00:00:00"/>
    <x v="6"/>
    <n v="100033"/>
    <x v="0"/>
    <s v="Juan Pablo Garrido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n v="0"/>
    <m/>
    <m/>
  </r>
  <r>
    <d v="2025-07-09T00:00:00"/>
    <x v="6"/>
    <n v="100033"/>
    <x v="3"/>
    <s v="Juan Pablo Garrido"/>
    <s v="TECU3FBRO"/>
    <x v="34"/>
    <n v="1"/>
    <x v="1"/>
    <s v="Bogotá y alrededores"/>
    <s v="Bogota"/>
    <s v="Despachado"/>
    <s v="Coordinadora"/>
    <s v="3469342-84151293871"/>
    <d v="2025-07-10T00:00:00"/>
    <d v="2025-07-11T00:00:00"/>
    <s v="Entregado"/>
    <n v="1"/>
    <n v="2"/>
    <s v="Cumple"/>
    <n v="47921"/>
    <s v="Se despachan por error circulares sin serlo inicilamente"/>
    <m/>
  </r>
  <r>
    <d v="2025-07-09T00:00:00"/>
    <x v="6"/>
    <n v="100034"/>
    <x v="0"/>
    <s v="LUIS FERNANDO AMEZQUITA VASQUEZ"/>
    <s v="TECUAFE"/>
    <x v="43"/>
    <n v="1"/>
    <x v="5"/>
    <s v="Bogotá y alrededores"/>
    <s v="Bogota"/>
    <s v="Despachado"/>
    <s v="Envia"/>
    <s v="3477954-954101256343"/>
    <d v="2025-07-14T00:00:00"/>
    <d v="2025-07-15T00:00:00"/>
    <s v="Entregado"/>
    <n v="4"/>
    <n v="5"/>
    <s v="No cumple"/>
    <n v="54929"/>
    <m/>
    <m/>
  </r>
  <r>
    <d v="2025-07-09T00:00:00"/>
    <x v="6"/>
    <n v="100036"/>
    <x v="0"/>
    <s v="felipe lopera"/>
    <s v="TECU3FNPRO"/>
    <x v="12"/>
    <n v="1"/>
    <x v="1"/>
    <s v="Bogotá y alrededores"/>
    <s v="Bogota"/>
    <s v="Despachado"/>
    <s v="Coordinadora"/>
    <s v="3466116-84151292584"/>
    <d v="2025-07-09T00:00:00"/>
    <d v="2025-07-10T00:00:00"/>
    <s v="Entregado"/>
    <n v="0"/>
    <n v="1"/>
    <s v="Cumple"/>
    <n v="41593"/>
    <m/>
    <m/>
  </r>
  <r>
    <d v="2025-07-09T00:00:00"/>
    <x v="6"/>
    <n v="100036"/>
    <x v="0"/>
    <s v="felipe lopera"/>
    <s v="TECUTFE7C"/>
    <x v="53"/>
    <n v="1"/>
    <x v="2"/>
    <s v="Bogotá y alrededores"/>
    <s v="Bogota"/>
    <s v="Despachado"/>
    <s v="Coordinadora"/>
    <s v="3466118-84151292586"/>
    <d v="2025-07-09T00:00:00"/>
    <d v="2025-07-11T00:00:00"/>
    <s v="Entregado"/>
    <n v="0"/>
    <n v="2"/>
    <s v="Cumple"/>
    <n v="26749"/>
    <m/>
    <m/>
  </r>
  <r>
    <d v="2025-07-09T00:00:00"/>
    <x v="6"/>
    <n v="100036"/>
    <x v="3"/>
    <s v="felipe lopera"/>
    <s v="TECU3FNPRO"/>
    <x v="12"/>
    <n v="1"/>
    <x v="1"/>
    <s v="Bogotá y alrededores"/>
    <s v="Bogota"/>
    <s v="Despachado"/>
    <s v="Coordinadora"/>
    <s v="3469382-84151293880"/>
    <d v="2025-07-10T00:00:00"/>
    <d v="2025-07-11T00:00:00"/>
    <s v="Entregado"/>
    <n v="1"/>
    <n v="2"/>
    <s v="Cumple"/>
    <n v="47921"/>
    <s v="Se despachan por error circulares sin serlo inicilamente"/>
    <m/>
  </r>
  <r>
    <d v="2025-07-09T00:00:00"/>
    <x v="6"/>
    <n v="100037"/>
    <x v="0"/>
    <s v="Juan Camilo Cardenas"/>
    <s v="TECU2FNG"/>
    <x v="5"/>
    <n v="1"/>
    <x v="1"/>
    <s v="Risaralda"/>
    <s v="Pereira"/>
    <s v="Despachado"/>
    <s v="Coordinadora"/>
    <s v="3465432-84151292246"/>
    <d v="2025-07-09T00:00:00"/>
    <d v="2025-07-10T00:00:00"/>
    <s v="Entregado"/>
    <n v="0"/>
    <n v="1"/>
    <s v="Cumple"/>
    <n v="34156"/>
    <m/>
    <m/>
  </r>
  <r>
    <d v="2025-07-09T00:00:00"/>
    <x v="6"/>
    <n v="100037"/>
    <x v="0"/>
    <s v="Juan Camilo Cardenas"/>
    <s v="TECUTCO6C"/>
    <x v="16"/>
    <n v="1"/>
    <x v="2"/>
    <s v="Risaralda"/>
    <s v="Pereira"/>
    <s v="Despachado"/>
    <s v="Coordinadora"/>
    <s v="3465433-84151292247"/>
    <d v="2025-07-09T00:00:00"/>
    <d v="2025-07-10T00:00:00"/>
    <s v="Entregado"/>
    <n v="0"/>
    <n v="1"/>
    <s v="Cumple"/>
    <n v="15194"/>
    <m/>
    <m/>
  </r>
  <r>
    <d v="2025-07-09T00:00:00"/>
    <x v="6"/>
    <n v="100038"/>
    <x v="0"/>
    <s v="RAG TECH SAS"/>
    <s v="TECU3FNPRO"/>
    <x v="12"/>
    <n v="1"/>
    <x v="1"/>
    <s v="Bogotá y alrededores"/>
    <s v="Bogota"/>
    <s v="Despachado"/>
    <s v="Coordinadora"/>
    <s v="3468988-84151293735"/>
    <d v="2025-07-10T00:00:00"/>
    <d v="2025-07-12T00:00:00"/>
    <s v="Entregado"/>
    <n v="1"/>
    <n v="3"/>
    <s v="Cumple"/>
    <n v="47921"/>
    <m/>
    <m/>
  </r>
  <r>
    <d v="2025-07-09T00:00:00"/>
    <x v="6"/>
    <n v="100038"/>
    <x v="0"/>
    <s v="RAG TECH SAS"/>
    <s v="TECUTFE6M"/>
    <x v="47"/>
    <n v="1"/>
    <x v="2"/>
    <s v="Bogotá y alrededores"/>
    <s v="Bogota"/>
    <s v="Despachado"/>
    <s v="Coordinadora"/>
    <s v="3468420-84151293439"/>
    <d v="2025-07-10T00:00:00"/>
    <d v="2025-07-12T00:00:00"/>
    <s v="Entregado"/>
    <n v="1"/>
    <n v="3"/>
    <s v="Cumple"/>
    <n v="24093"/>
    <m/>
    <m/>
  </r>
  <r>
    <d v="2025-07-10T00:00:00"/>
    <x v="6"/>
    <n v="100039"/>
    <x v="0"/>
    <s v="Santiago Chica"/>
    <s v="TECU3FNPRO"/>
    <x v="12"/>
    <n v="1"/>
    <x v="1"/>
    <s v="Bogotá y alrededores"/>
    <s v="Bogota"/>
    <s v="Despachado"/>
    <s v="Coordinadora"/>
    <s v="3490689-84151301558"/>
    <d v="2025-07-17T00:00:00"/>
    <d v="2025-07-18T00:00:00"/>
    <s v="Entregado"/>
    <n v="6"/>
    <n v="7"/>
    <s v="No cumple"/>
    <n v="41593"/>
    <m/>
    <m/>
  </r>
  <r>
    <d v="2025-07-10T00:00:00"/>
    <x v="6"/>
    <n v="100039"/>
    <x v="0"/>
    <s v="Santiago Chica"/>
    <s v="TECUTCO2C"/>
    <x v="37"/>
    <n v="1"/>
    <x v="2"/>
    <s v="Bogotá y alrededores"/>
    <s v="Bogota"/>
    <s v="Despachado"/>
    <s v="Coordinadora"/>
    <s v="3490690-84151301559"/>
    <d v="2025-07-17T00:00:00"/>
    <d v="2025-07-18T00:00:00"/>
    <s v="Entregado"/>
    <n v="6"/>
    <n v="7"/>
    <s v="No cumple"/>
    <n v="24093"/>
    <m/>
    <m/>
  </r>
  <r>
    <d v="2025-07-11T00:00:00"/>
    <x v="6"/>
    <n v="100040"/>
    <x v="0"/>
    <s v="jhon roa"/>
    <s v="TECU3FNPRO"/>
    <x v="12"/>
    <n v="1"/>
    <x v="1"/>
    <s v="Bogotá y alrededores"/>
    <s v="Bogota"/>
    <s v="Despachado"/>
    <s v="Coordinadora"/>
    <s v="3477995-84151296827"/>
    <d v="2025-07-14T00:00:00"/>
    <d v="2025-07-15T00:00:00"/>
    <s v="Entregado"/>
    <n v="2"/>
    <n v="3"/>
    <s v="Cumple"/>
    <n v="41593"/>
    <m/>
    <m/>
  </r>
  <r>
    <d v="2025-07-11T00:00:00"/>
    <x v="6"/>
    <n v="100040"/>
    <x v="0"/>
    <s v="jhon roa"/>
    <s v="TECUTRN6C"/>
    <x v="20"/>
    <n v="1"/>
    <x v="2"/>
    <s v="Bogotá y alrededores"/>
    <s v="Bogota"/>
    <s v="Despachado"/>
    <s v="Coordinadora"/>
    <s v="3477996-84151296828"/>
    <d v="2025-07-14T00:00:00"/>
    <d v="2025-07-16T00:00:00"/>
    <s v="Entregado"/>
    <n v="2"/>
    <n v="4"/>
    <s v="No cumple"/>
    <n v="24093"/>
    <m/>
    <m/>
  </r>
  <r>
    <d v="2025-07-11T00:00:00"/>
    <x v="6"/>
    <n v="100040"/>
    <x v="0"/>
    <s v="jhon roa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7-14T00:00:00"/>
    <x v="6"/>
    <n v="100041"/>
    <x v="0"/>
    <s v="Andrea Guerra"/>
    <s v="TECU2FBGO"/>
    <x v="2"/>
    <n v="1"/>
    <x v="1"/>
    <s v="Antioquia"/>
    <s v="Sabaneta"/>
    <s v="Despachado"/>
    <s v="Coordinadora"/>
    <s v="3479281-84151297305"/>
    <d v="2025-07-14T00:00:00"/>
    <d v="2025-07-15T00:00:00"/>
    <s v="Entregado"/>
    <n v="0"/>
    <n v="1"/>
    <s v="Cumple"/>
    <n v="41593"/>
    <m/>
    <m/>
  </r>
  <r>
    <d v="2025-07-14T00:00:00"/>
    <x v="6"/>
    <n v="100041"/>
    <x v="0"/>
    <s v="Andrea Guerra"/>
    <s v="TECUTFE2C"/>
    <x v="3"/>
    <n v="1"/>
    <x v="2"/>
    <s v="Antioquia"/>
    <s v="Sabaneta"/>
    <s v="Despachado"/>
    <s v="Coordinadora"/>
    <s v="3479284-84151297307"/>
    <d v="2025-07-14T00:00:00"/>
    <d v="2025-07-15T00:00:00"/>
    <s v="Entregado"/>
    <n v="0"/>
    <n v="1"/>
    <s v="Cumple"/>
    <n v="24093"/>
    <m/>
    <m/>
  </r>
  <r>
    <d v="2025-07-15T00:00:00"/>
    <x v="6"/>
    <n v="100042"/>
    <x v="0"/>
    <s v="Santiago Muñoz Ortega"/>
    <s v="TECU3FNPRO"/>
    <x v="12"/>
    <n v="1"/>
    <x v="1"/>
    <s v="Antioquia"/>
    <s v="Medellin"/>
    <s v="Despachado"/>
    <s v="Coordinadora"/>
    <s v="3482378-84151298529"/>
    <d v="2025-07-15T00:00:00"/>
    <d v="2025-07-16T00:00:00"/>
    <s v="Entregado"/>
    <n v="0"/>
    <n v="1"/>
    <s v="Cumple"/>
    <n v="41593"/>
    <m/>
    <m/>
  </r>
  <r>
    <d v="2025-07-15T00:00:00"/>
    <x v="6"/>
    <n v="100042"/>
    <x v="0"/>
    <s v="Santiago Muñoz Ortega"/>
    <s v="TECUTCO6M"/>
    <x v="24"/>
    <n v="1"/>
    <x v="2"/>
    <s v="Antioquia"/>
    <s v="Medellin"/>
    <s v="Despachado"/>
    <s v="Coordinadora"/>
    <s v="3482380-84151298530"/>
    <d v="2025-07-15T00:00:00"/>
    <d v="2025-07-16T00:00:00"/>
    <s v="Entregado"/>
    <n v="0"/>
    <n v="1"/>
    <s v="Cumple"/>
    <n v="24093"/>
    <m/>
    <m/>
  </r>
  <r>
    <d v="2025-07-15T00:00:00"/>
    <x v="6"/>
    <n v="100043"/>
    <x v="0"/>
    <s v="Cesar Augusto Mancipe Sanabria"/>
    <s v="TECU3FNPRO"/>
    <x v="12"/>
    <n v="1"/>
    <x v="1"/>
    <s v="Bogotá y alrededores"/>
    <s v="Bogota"/>
    <s v="Despachado"/>
    <s v="Coordinadora"/>
    <s v="3487504-84151300216"/>
    <d v="2025-07-16T00:00:00"/>
    <d v="2025-07-17T00:00:00"/>
    <s v="Entregado"/>
    <n v="1"/>
    <n v="2"/>
    <s v="Cumple"/>
    <n v="41593"/>
    <m/>
    <m/>
  </r>
  <r>
    <d v="2025-07-15T00:00:00"/>
    <x v="6"/>
    <n v="100043"/>
    <x v="0"/>
    <s v="Cesar Augusto Mancipe Sanabria"/>
    <s v="TECUTB2C"/>
    <x v="68"/>
    <n v="1"/>
    <x v="2"/>
    <s v="Bogotá y alrededores"/>
    <s v="Bogota"/>
    <s v="Despachado"/>
    <s v="Coordinadora"/>
    <s v="3487505-84151300217"/>
    <d v="2025-07-16T00:00:00"/>
    <d v="2025-07-18T00:00:00"/>
    <s v="Entregado"/>
    <n v="1"/>
    <n v="3"/>
    <s v="Cumple"/>
    <n v="24093"/>
    <m/>
    <m/>
  </r>
  <r>
    <d v="2025-07-16T00:00:00"/>
    <x v="6"/>
    <n v="100044"/>
    <x v="0"/>
    <s v="Juan Gomez"/>
    <s v="TECUCT"/>
    <x v="4"/>
    <n v="1"/>
    <x v="0"/>
    <s v="Bogotá y alrededores"/>
    <s v="Bogota"/>
    <s v="Despachado"/>
    <s v="Coordinadora"/>
    <s v="3488737-84151300710"/>
    <d v="2025-07-16T00:00:00"/>
    <d v="2025-07-17T00:00:00"/>
    <s v="Entregado"/>
    <n v="0"/>
    <n v="1"/>
    <s v="Cumple"/>
    <n v="25429"/>
    <m/>
    <m/>
  </r>
  <r>
    <d v="2025-07-16T00:00:00"/>
    <x v="6"/>
    <n v="100045"/>
    <x v="0"/>
    <s v="Laura Beltran"/>
    <s v="TECU2FNG"/>
    <x v="5"/>
    <n v="1"/>
    <x v="1"/>
    <s v="Bogotá y alrededores"/>
    <s v="Bogota"/>
    <s v="Despachado"/>
    <s v="Coordinadora"/>
    <s v="3490713-84151301572"/>
    <d v="2025-07-17T00:00:00"/>
    <d v="2025-07-18T00:00:00"/>
    <s v="Entregado"/>
    <n v="1"/>
    <n v="2"/>
    <s v="Cumple"/>
    <n v="41593"/>
    <m/>
    <m/>
  </r>
  <r>
    <d v="2025-07-16T00:00:00"/>
    <x v="6"/>
    <n v="100045"/>
    <x v="0"/>
    <s v="Laura Beltran"/>
    <s v="TECUTFE4C"/>
    <x v="14"/>
    <n v="1"/>
    <x v="2"/>
    <s v="Bogotá y alrededores"/>
    <s v="Bogota"/>
    <s v="Despachado"/>
    <s v="Coordinadora"/>
    <s v="3490717-84151301574"/>
    <d v="2025-07-17T00:00:00"/>
    <d v="2025-07-18T00:00:00"/>
    <s v="Entregado"/>
    <n v="1"/>
    <n v="2"/>
    <s v="Cumple"/>
    <n v="24093"/>
    <m/>
    <m/>
  </r>
  <r>
    <d v="2025-07-16T00:00:00"/>
    <x v="6"/>
    <n v="100045"/>
    <x v="0"/>
    <s v="Laura Beltran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7-16T00:00:00"/>
    <x v="6"/>
    <n v="100046"/>
    <x v="0"/>
    <s v="Lenna Maria Vides Sanchez"/>
    <s v="TECU2FNG"/>
    <x v="5"/>
    <n v="1"/>
    <x v="1"/>
    <s v="Antioquia"/>
    <s v="Medellin"/>
    <s v="Despachado"/>
    <s v="Coordinadora"/>
    <s v="3487537-84151300233"/>
    <d v="2025-07-16T00:00:00"/>
    <d v="2025-07-17T00:00:00"/>
    <s v="Entregado"/>
    <n v="0"/>
    <n v="1"/>
    <s v="Cumple"/>
    <n v="41593"/>
    <m/>
    <m/>
  </r>
  <r>
    <d v="2025-07-16T00:00:00"/>
    <x v="6"/>
    <n v="100046"/>
    <x v="0"/>
    <s v="Lenna Maria Vides Sanchez"/>
    <s v="TECUTCO6C"/>
    <x v="16"/>
    <n v="1"/>
    <x v="2"/>
    <s v="Antioquia"/>
    <s v="Medellin"/>
    <s v="Despachado"/>
    <s v="Coordinadora"/>
    <s v="3487538-84151300234"/>
    <d v="2025-07-16T00:00:00"/>
    <d v="2025-07-17T00:00:00"/>
    <s v="Entregado"/>
    <n v="0"/>
    <n v="1"/>
    <s v="Cumple"/>
    <n v="24093"/>
    <m/>
    <m/>
  </r>
  <r>
    <d v="2025-07-16T00:00:00"/>
    <x v="6"/>
    <n v="100046"/>
    <x v="0"/>
    <s v="Lenna Maria Vides Sanchez"/>
    <s v="TECUCT"/>
    <x v="4"/>
    <n v="1"/>
    <x v="0"/>
    <s v="Antioquia"/>
    <s v="Medellin"/>
    <s v="Despachado"/>
    <s v="Coordinadora"/>
    <s v="3488580-84151300694"/>
    <d v="2025-07-16T00:00:00"/>
    <d v="2025-07-17T00:00:00"/>
    <s v="Entregado"/>
    <n v="0"/>
    <n v="1"/>
    <s v="Cumple"/>
    <n v="25429"/>
    <m/>
    <m/>
  </r>
  <r>
    <d v="2025-07-16T00:00:00"/>
    <x v="6"/>
    <n v="100046"/>
    <x v="0"/>
    <s v="Lenna Maria Vides Sanchez"/>
    <m/>
    <x v="10"/>
    <n v="1"/>
    <x v="3"/>
    <s v="Antioquia"/>
    <s v="Medellin"/>
    <s v="Despachado"/>
    <s v="Coordinadora"/>
    <s v="NA"/>
    <s v="NA"/>
    <s v="NA"/>
    <s v="Entregado"/>
    <e v="#VALUE!"/>
    <e v="#VALUE!"/>
    <e v="#VALUE!"/>
    <m/>
    <m/>
    <m/>
  </r>
  <r>
    <d v="2025-07-16T00:00:00"/>
    <x v="6"/>
    <n v="100047"/>
    <x v="0"/>
    <s v="Mario Martinez"/>
    <s v="TECUCT"/>
    <x v="4"/>
    <n v="1"/>
    <x v="0"/>
    <s v="Bogotá y alrededores"/>
    <s v="Bogota"/>
    <s v="Despachado"/>
    <s v="Coordinadora"/>
    <s v="3491793-84151302100"/>
    <d v="2025-07-17T00:00:00"/>
    <d v="2025-07-18T00:00:00"/>
    <s v="Entregado"/>
    <n v="1"/>
    <n v="2"/>
    <s v="Cumple"/>
    <n v="25429"/>
    <m/>
    <m/>
  </r>
  <r>
    <d v="2025-07-16T00:00:00"/>
    <x v="6"/>
    <n v="100047"/>
    <x v="0"/>
    <s v="Mario Martinez"/>
    <s v="TECUBDPA"/>
    <x v="1"/>
    <n v="1"/>
    <x v="0"/>
    <s v="Bogotá y alrededores"/>
    <s v="Bogota"/>
    <s v="Despachado"/>
    <s v="Coordinadora"/>
    <s v="3491773-84151302096"/>
    <d v="2025-07-17T00:00:00"/>
    <d v="2025-07-18T00:00:00"/>
    <s v="Entregado"/>
    <n v="1"/>
    <n v="2"/>
    <s v="Cumple"/>
    <n v="23975"/>
    <m/>
    <m/>
  </r>
  <r>
    <d v="2025-07-19T00:00:00"/>
    <x v="6"/>
    <n v="100048"/>
    <x v="0"/>
    <s v="Andrés Godoy"/>
    <s v="TECURCO"/>
    <x v="30"/>
    <n v="1"/>
    <x v="6"/>
    <s v="Bogotá y alrededores"/>
    <s v="Cajica"/>
    <s v="Despachado"/>
    <s v="Coordinadora"/>
    <s v="3499232-84151305173"/>
    <d v="2025-07-21T00:00:00"/>
    <d v="2025-07-23T00:00:00"/>
    <s v="Entregado"/>
    <n v="1"/>
    <n v="3"/>
    <s v="Cumple"/>
    <n v="23429"/>
    <m/>
    <m/>
  </r>
  <r>
    <d v="2025-07-22T00:00:00"/>
    <x v="6"/>
    <n v="100049"/>
    <x v="0"/>
    <s v="Cristian Gabriel Contreras Garcia"/>
    <s v="TECU3FNPRO"/>
    <x v="12"/>
    <n v="1"/>
    <x v="1"/>
    <s v="Norte de Santander"/>
    <s v="Cucuta"/>
    <s v="Despachado"/>
    <s v="Coordinadora"/>
    <s v="3503307-84151306936"/>
    <d v="2025-07-22T00:00:00"/>
    <d v="2025-07-25T00:00:00"/>
    <s v="Entregado"/>
    <n v="0"/>
    <n v="3"/>
    <e v="#N/A"/>
    <n v="59835"/>
    <m/>
    <m/>
  </r>
  <r>
    <d v="2025-07-22T00:00:00"/>
    <x v="6"/>
    <n v="100049"/>
    <x v="0"/>
    <s v="Cristian Gabriel Contreras Garcia"/>
    <s v="TECUTCO7C"/>
    <x v="70"/>
    <n v="1"/>
    <x v="2"/>
    <s v="Norte de Santander"/>
    <s v="Cucuta"/>
    <s v="Despachado"/>
    <s v="Coordinadora"/>
    <s v="3503308-84151306937"/>
    <d v="2025-07-22T00:00:00"/>
    <d v="2025-07-26T00:00:00"/>
    <s v="Entregado"/>
    <n v="0"/>
    <n v="4"/>
    <e v="#N/A"/>
    <n v="44340"/>
    <m/>
    <m/>
  </r>
  <r>
    <d v="2025-07-22T00:00:00"/>
    <x v="6"/>
    <n v="100049"/>
    <x v="0"/>
    <s v="Cristian Gabriel Contreras Garcia"/>
    <s v="TECUCT"/>
    <x v="4"/>
    <n v="1"/>
    <x v="0"/>
    <s v="Norte de Santander"/>
    <s v="Cucuta"/>
    <s v="Despachado"/>
    <s v="Coordinadora"/>
    <s v="3503344-84151306944"/>
    <d v="2025-07-22T00:00:00"/>
    <d v="2025-07-26T00:00:00"/>
    <s v="Entregado"/>
    <n v="0"/>
    <n v="4"/>
    <e v="#N/A"/>
    <n v="24885"/>
    <m/>
    <m/>
  </r>
  <r>
    <d v="2025-07-22T00:00:00"/>
    <x v="6"/>
    <n v="100050"/>
    <x v="0"/>
    <s v="César Forero"/>
    <s v="TECUCT"/>
    <x v="4"/>
    <n v="1"/>
    <x v="0"/>
    <s v="Bogotá y alrededores"/>
    <s v="Bogota"/>
    <s v="Despachado"/>
    <s v="Coordinadora"/>
    <s v="3503249-84151306899"/>
    <d v="2025-07-22T00:00:00"/>
    <d v="2025-07-23T00:00:00"/>
    <s v="Entregado"/>
    <n v="0"/>
    <n v="1"/>
    <s v="Cumple"/>
    <n v="24885"/>
    <m/>
    <m/>
  </r>
  <r>
    <d v="2025-07-22T00:00:00"/>
    <x v="6"/>
    <n v="100050"/>
    <x v="0"/>
    <s v="César Forero"/>
    <s v="TECURFE"/>
    <x v="71"/>
    <n v="1"/>
    <x v="6"/>
    <s v="Bogotá y alrededores"/>
    <s v="Bogota"/>
    <s v="Despachado"/>
    <s v="Coordinadora"/>
    <s v="3503254-84151306903"/>
    <d v="2025-07-22T00:00:00"/>
    <d v="2025-07-23T00:00:00"/>
    <s v="Entregado"/>
    <n v="0"/>
    <n v="1"/>
    <s v="Cumple"/>
    <n v="23429"/>
    <m/>
    <m/>
  </r>
  <r>
    <d v="2025-07-22T00:00:00"/>
    <x v="6"/>
    <n v="100051"/>
    <x v="0"/>
    <s v="GitLab Foundation"/>
    <s v="TECU2FBGO"/>
    <x v="2"/>
    <n v="1"/>
    <x v="1"/>
    <s v="Bogotá y alrededores"/>
    <s v="Bogota"/>
    <s v="Despachado"/>
    <s v="Coordinadora"/>
    <s v="3508776-84151309296"/>
    <d v="2025-07-24T00:00:00"/>
    <d v="2025-07-25T00:00:00"/>
    <s v="Entregado"/>
    <n v="2"/>
    <n v="3"/>
    <s v="Cumple"/>
    <n v="41593"/>
    <m/>
    <m/>
  </r>
  <r>
    <d v="2025-07-22T00:00:00"/>
    <x v="6"/>
    <n v="100051"/>
    <x v="0"/>
    <s v="GitLab Foundation"/>
    <s v="TECUTFE2C"/>
    <x v="3"/>
    <n v="1"/>
    <x v="2"/>
    <s v="Bogotá y alrededores"/>
    <s v="Bogota"/>
    <s v="Despachado"/>
    <s v="Coordinadora"/>
    <s v="3508778-84151309298"/>
    <d v="2025-07-24T00:00:00"/>
    <d v="2025-07-26T00:00:00"/>
    <s v="Entregado"/>
    <n v="2"/>
    <n v="4"/>
    <s v="No cumple"/>
    <n v="24093"/>
    <m/>
    <m/>
  </r>
  <r>
    <d v="2025-07-22T00:00:00"/>
    <x v="6"/>
    <n v="100052"/>
    <x v="0"/>
    <s v="Jorge Andres Diaz Naranjo"/>
    <s v="TECULFN2"/>
    <x v="7"/>
    <n v="1"/>
    <x v="1"/>
    <s v="Bogotá y alrededores"/>
    <s v="Bogota"/>
    <s v="Despachado"/>
    <s v="Coordinadora"/>
    <s v="3506037-84151308167"/>
    <d v="2025-07-23T00:00:00"/>
    <d v="2025-07-25T00:00:00"/>
    <s v="Entregado"/>
    <n v="1"/>
    <n v="3"/>
    <s v="Cumple"/>
    <n v="62530"/>
    <m/>
    <m/>
  </r>
  <r>
    <d v="2025-07-22T00:00:00"/>
    <x v="6"/>
    <n v="100052"/>
    <x v="0"/>
    <s v="Jorge Andres Diaz Naranjo"/>
    <s v="TECUTLCCS"/>
    <x v="45"/>
    <n v="1"/>
    <x v="2"/>
    <s v="Bogotá y alrededores"/>
    <s v="Bogota"/>
    <s v="Despachado"/>
    <s v="Coordinadora"/>
    <s v="3506038-84151308168"/>
    <d v="2025-07-23T00:00:00"/>
    <d v="2025-07-24T00:00:00"/>
    <s v="Entregado"/>
    <n v="1"/>
    <n v="2"/>
    <s v="Cumple"/>
    <n v="26749"/>
    <m/>
    <m/>
  </r>
  <r>
    <d v="2025-07-22T00:00:00"/>
    <x v="6"/>
    <n v="100052"/>
    <x v="0"/>
    <s v="Jorge Andres Diaz Naranjo"/>
    <s v="TECUBDPA"/>
    <x v="1"/>
    <n v="1"/>
    <x v="0"/>
    <s v="Bogotá y alrededores"/>
    <s v="Bogota"/>
    <s v="Despachado"/>
    <s v="Coordinadora"/>
    <s v="3506051-84151308176"/>
    <d v="2025-07-23T00:00:00"/>
    <d v="2025-07-24T00:00:00"/>
    <s v="Entregado"/>
    <n v="1"/>
    <n v="2"/>
    <s v="Cumple"/>
    <n v="16617"/>
    <m/>
    <m/>
  </r>
  <r>
    <d v="2025-07-24T00:00:00"/>
    <x v="6"/>
    <n v="100053"/>
    <x v="0"/>
    <s v="John Alejandro Nuñez Giraldo"/>
    <s v="TECU2FBGO"/>
    <x v="2"/>
    <n v="1"/>
    <x v="1"/>
    <s v="Antioquia"/>
    <s v="Marinilla"/>
    <s v="Despachado"/>
    <s v="Coordinadora"/>
    <s v="3508852-84151309317"/>
    <d v="2025-07-24T00:00:00"/>
    <d v="2025-07-25T00:00:00"/>
    <s v="Entregado"/>
    <n v="0"/>
    <n v="1"/>
    <s v="Cumple"/>
    <n v="41593"/>
    <m/>
    <m/>
  </r>
  <r>
    <d v="2025-07-24T00:00:00"/>
    <x v="6"/>
    <n v="100053"/>
    <x v="0"/>
    <s v="John Alejandro Nuñez Giraldo"/>
    <s v="TECUTB3C"/>
    <x v="46"/>
    <n v="1"/>
    <x v="2"/>
    <s v="Antioquia"/>
    <s v="Marinilla"/>
    <s v="Despachado"/>
    <s v="Coordinadora"/>
    <s v="3508854-84151309318"/>
    <d v="2025-07-24T00:00:00"/>
    <d v="2025-07-25T00:00:00"/>
    <s v="Entregado"/>
    <n v="0"/>
    <n v="1"/>
    <s v="Cumple"/>
    <n v="24093"/>
    <m/>
    <m/>
  </r>
  <r>
    <d v="2025-07-24T00:00:00"/>
    <x v="6"/>
    <n v="100053"/>
    <x v="0"/>
    <s v="John Alejandro Nuñez Giraldo"/>
    <s v="TECURB"/>
    <x v="75"/>
    <n v="1"/>
    <x v="6"/>
    <s v="Antioquia"/>
    <s v="Marinilla"/>
    <s v="Despachado"/>
    <s v="Coordinadora"/>
    <s v="NA"/>
    <s v="NA"/>
    <s v="NA"/>
    <s v="Entregado"/>
    <e v="#VALUE!"/>
    <e v="#VALUE!"/>
    <e v="#VALUE!"/>
    <n v="0"/>
    <m/>
    <m/>
  </r>
  <r>
    <d v="2025-07-25T00:00:00"/>
    <x v="6"/>
    <n v="100054"/>
    <x v="0"/>
    <s v="Andrés Sneider García Quintero"/>
    <s v="TECU3FNPRO"/>
    <x v="12"/>
    <n v="1"/>
    <x v="1"/>
    <s v="Bogotá y alrededores"/>
    <s v="Bogota"/>
    <s v="Despachado"/>
    <s v="Coordinadora"/>
    <s v="3512271-84151310773"/>
    <d v="2025-07-25T00:00:00"/>
    <d v="2025-07-28T00:00:00"/>
    <s v="Entregado"/>
    <n v="0"/>
    <n v="2"/>
    <s v="Cumple"/>
    <n v="41593"/>
    <m/>
    <m/>
  </r>
  <r>
    <d v="2025-07-25T00:00:00"/>
    <x v="6"/>
    <n v="100054"/>
    <x v="0"/>
    <s v="Andrés Sneider García Quintero"/>
    <s v="TECUTFE4C"/>
    <x v="14"/>
    <n v="1"/>
    <x v="2"/>
    <s v="Bogotá y alrededores"/>
    <s v="Bogota"/>
    <s v="Despachado"/>
    <s v="Coordinadora"/>
    <s v="3512274-84151310774"/>
    <d v="2025-07-25T00:00:00"/>
    <d v="2025-07-28T00:00:00"/>
    <s v="Entregado"/>
    <n v="0"/>
    <n v="2"/>
    <s v="Cumple"/>
    <n v="24093"/>
    <m/>
    <m/>
  </r>
  <r>
    <d v="2025-07-25T00:00:00"/>
    <x v="6"/>
    <n v="100054"/>
    <x v="0"/>
    <s v="Andrés Sneider García Quintero"/>
    <s v="TECUAFE"/>
    <x v="43"/>
    <n v="1"/>
    <x v="5"/>
    <s v="Bogotá y alrededores"/>
    <s v="Bogota"/>
    <s v="Despachado"/>
    <s v="Coordinadora"/>
    <s v="3520404-954101266645"/>
    <d v="2025-07-29T00:00:00"/>
    <d v="2025-07-30T00:00:00"/>
    <s v="Entregado"/>
    <n v="3"/>
    <n v="4"/>
    <s v="No cumple"/>
    <n v="54929"/>
    <m/>
    <m/>
  </r>
  <r>
    <d v="2025-07-25T00:00:00"/>
    <x v="6"/>
    <n v="100055"/>
    <x v="0"/>
    <s v="Ivan Alberto Macea Hernandez"/>
    <s v="TECU2FBGO"/>
    <x v="2"/>
    <n v="1"/>
    <x v="1"/>
    <s v="Cordoba"/>
    <s v="Monteria"/>
    <s v="Despachado"/>
    <s v="Coordinadora"/>
    <s v="3512355-84151310814"/>
    <d v="2025-07-25T00:00:00"/>
    <d v="2025-07-28T00:00:00"/>
    <s v="Entregado"/>
    <n v="0"/>
    <n v="2"/>
    <s v="Cumple"/>
    <n v="71764"/>
    <m/>
    <m/>
  </r>
  <r>
    <d v="2025-07-25T00:00:00"/>
    <x v="6"/>
    <n v="100055"/>
    <x v="0"/>
    <s v="Ivan Alberto Macea Hernandez"/>
    <s v="TECUTFE2C"/>
    <x v="3"/>
    <n v="1"/>
    <x v="2"/>
    <s v="Cordoba"/>
    <s v="Monteria"/>
    <s v="Despachado"/>
    <s v="Coordinadora"/>
    <s v="3512356-84151310815"/>
    <d v="2025-07-25T00:00:00"/>
    <d v="2025-07-28T00:00:00"/>
    <s v="Entregado"/>
    <n v="0"/>
    <n v="2"/>
    <s v="Cumple"/>
    <n v="48876"/>
    <m/>
    <m/>
  </r>
  <r>
    <d v="2025-07-28T00:00:00"/>
    <x v="6"/>
    <n v="100056"/>
    <x v="0"/>
    <s v="Jaider Martinez"/>
    <s v="TECULFN2"/>
    <x v="7"/>
    <n v="1"/>
    <x v="1"/>
    <s v="Bogotá y alrededores"/>
    <s v="Bogota"/>
    <s v="Despachado"/>
    <s v="Coordinadora"/>
    <s v="3512361-84151310817"/>
    <d v="2025-07-25T00:00:00"/>
    <d v="2025-07-28T00:00:00"/>
    <s v="Entregado"/>
    <n v="-4"/>
    <n v="0"/>
    <s v="Cumple"/>
    <n v="62530"/>
    <m/>
    <m/>
  </r>
  <r>
    <d v="2025-07-28T00:00:00"/>
    <x v="6"/>
    <n v="100056"/>
    <x v="0"/>
    <s v="Jaider Martinez"/>
    <s v="TECUTLFES"/>
    <x v="63"/>
    <n v="1"/>
    <x v="2"/>
    <s v="Bogotá y alrededores"/>
    <s v="Bogota"/>
    <s v="Despachado"/>
    <s v="Coordinadora"/>
    <s v="3512362-84151310818"/>
    <d v="2025-07-25T00:00:00"/>
    <d v="2025-07-28T00:00:00"/>
    <s v="Entregado"/>
    <n v="-4"/>
    <n v="0"/>
    <s v="Cumple"/>
    <n v="26749"/>
    <m/>
    <m/>
  </r>
  <r>
    <d v="2025-07-28T00:00:00"/>
    <x v="6"/>
    <n v="100057"/>
    <x v="0"/>
    <s v="Cristian Gabriel Contreras Garcia"/>
    <s v="TECUBDPA"/>
    <x v="1"/>
    <n v="1"/>
    <x v="0"/>
    <s v="Norte de Santander"/>
    <s v="Cucuta"/>
    <s v="Despachado"/>
    <s v="Coordinadora"/>
    <s v="3516572-84151312542"/>
    <d v="2025-07-28T00:00:00"/>
    <d v="2025-07-31T00:00:00"/>
    <s v="Entregado"/>
    <n v="0"/>
    <n v="3"/>
    <e v="#N/A"/>
    <n v="16617"/>
    <m/>
    <m/>
  </r>
  <r>
    <d v="2025-07-28T00:00:00"/>
    <x v="6"/>
    <n v="100058"/>
    <x v="0"/>
    <s v="Andres Felipe Parra Rojas"/>
    <s v="TECULFN2"/>
    <x v="7"/>
    <n v="1"/>
    <x v="1"/>
    <s v="Bogotá y alrededores"/>
    <s v="Bogota"/>
    <s v="Despachado"/>
    <s v="Coordinadora"/>
    <s v="3516587-84151312553"/>
    <d v="2025-07-30T00:00:00"/>
    <d v="2025-07-31T00:00:00"/>
    <s v="Entregado"/>
    <n v="2"/>
    <n v="3"/>
    <s v="Cumple"/>
    <n v="62530"/>
    <m/>
    <m/>
  </r>
  <r>
    <d v="2025-07-28T00:00:00"/>
    <x v="6"/>
    <n v="100058"/>
    <x v="0"/>
    <s v="Andres Felipe Parra Rojas"/>
    <s v="TECUTLRNS"/>
    <x v="8"/>
    <n v="1"/>
    <x v="2"/>
    <s v="Bogotá y alrededores"/>
    <s v="Bogota"/>
    <s v="Despachado"/>
    <s v="Coordinadora"/>
    <s v="3516590-84151312555"/>
    <d v="2025-07-30T00:00:00"/>
    <d v="2025-07-31T00:00:00"/>
    <s v="Entregado"/>
    <n v="2"/>
    <n v="3"/>
    <s v="Cumple"/>
    <n v="26749"/>
    <m/>
    <m/>
  </r>
  <r>
    <d v="2025-07-28T00:00:00"/>
    <x v="6"/>
    <n v="100059"/>
    <x v="0"/>
    <s v="Maria Fernanda Almonacid Ibarra"/>
    <s v="TECU3FBRO"/>
    <x v="34"/>
    <n v="1"/>
    <x v="1"/>
    <s v="Bogotá y alrededores"/>
    <s v="Bogota"/>
    <s v="Despachado"/>
    <s v="Coordinadora"/>
    <s v="3516629-84151312576"/>
    <d v="2025-07-28T00:00:00"/>
    <d v="2025-07-30T00:00:00"/>
    <s v="Entregado"/>
    <n v="0"/>
    <n v="2"/>
    <s v="Cumple"/>
    <n v="41593"/>
    <m/>
    <m/>
  </r>
  <r>
    <d v="2025-07-28T00:00:00"/>
    <x v="6"/>
    <n v="100059"/>
    <x v="0"/>
    <s v="Maria Fernanda Almonacid Ibarra"/>
    <s v="TECUTFE2C"/>
    <x v="3"/>
    <n v="1"/>
    <x v="2"/>
    <s v="Bogotá y alrededores"/>
    <s v="Bogota"/>
    <s v="Despachado"/>
    <s v="Coordinadora"/>
    <s v="3516631-84151312577"/>
    <d v="2025-07-28T00:00:00"/>
    <d v="2025-07-30T00:00:00"/>
    <s v="Entregado"/>
    <n v="0"/>
    <n v="2"/>
    <s v="Cumple"/>
    <n v="24093"/>
    <m/>
    <m/>
  </r>
  <r>
    <d v="2025-07-28T00:00:00"/>
    <x v="6"/>
    <n v="100060"/>
    <x v="0"/>
    <s v="Jhonatan Steven Yepes"/>
    <s v="TECU3FNCRO"/>
    <x v="55"/>
    <n v="1"/>
    <x v="1"/>
    <s v="Antioquia"/>
    <s v="Bello"/>
    <s v="Despachado"/>
    <s v="Coordinadora"/>
    <s v="3516669-84151312589"/>
    <d v="2025-07-28T00:00:00"/>
    <d v="2025-07-30T00:00:00"/>
    <s v="Entregado"/>
    <n v="0"/>
    <n v="2"/>
    <s v="Cumple"/>
    <n v="41593"/>
    <m/>
    <m/>
  </r>
  <r>
    <d v="2025-07-28T00:00:00"/>
    <x v="6"/>
    <n v="100060"/>
    <x v="0"/>
    <s v="Jhonatan Steven Yepes"/>
    <s v="TECUTCO7C"/>
    <x v="70"/>
    <n v="1"/>
    <x v="2"/>
    <s v="Antioquia"/>
    <s v="Bello"/>
    <s v="Despachado"/>
    <s v="Coordinadora"/>
    <s v="3516672-84151312590"/>
    <d v="2025-07-28T00:00:00"/>
    <d v="2025-07-30T00:00:00"/>
    <s v="Entregado"/>
    <n v="0"/>
    <n v="2"/>
    <s v="Cumple"/>
    <n v="24093"/>
    <m/>
    <m/>
  </r>
  <r>
    <d v="2025-07-28T00:00:00"/>
    <x v="6"/>
    <n v="100061"/>
    <x v="0"/>
    <s v="Adán Osorio"/>
    <s v="TECU3FNCRO"/>
    <x v="55"/>
    <n v="1"/>
    <x v="1"/>
    <s v="Bogotá y alrededores"/>
    <s v="Bogota"/>
    <s v="Despachado"/>
    <s v="Coordinadora"/>
    <s v="3523422-84151315863"/>
    <d v="2025-07-30T00:00:00"/>
    <d v="2025-07-31T00:00:00"/>
    <s v="Entregado"/>
    <n v="2"/>
    <n v="3"/>
    <s v="Cumple"/>
    <n v="26749"/>
    <m/>
    <m/>
  </r>
  <r>
    <d v="2025-07-28T00:00:00"/>
    <x v="6"/>
    <n v="100061"/>
    <x v="0"/>
    <s v="Adán Osorio"/>
    <s v="TECUTCO7C"/>
    <x v="70"/>
    <n v="1"/>
    <x v="2"/>
    <s v="Bogotá y alrededores"/>
    <s v="Bogota"/>
    <s v="Despachado"/>
    <s v="Coordinadora"/>
    <s v="3523261-84151315791"/>
    <d v="2025-07-30T00:00:00"/>
    <d v="2025-08-02T00:00:00"/>
    <s v="Entregado"/>
    <n v="2"/>
    <n v="5"/>
    <s v="No cumple"/>
    <n v="48585"/>
    <m/>
    <m/>
  </r>
  <r>
    <d v="2025-07-28T00:00:00"/>
    <x v="6"/>
    <n v="100061"/>
    <x v="1"/>
    <s v="Adán Osorio"/>
    <s v="TECUTCO7C"/>
    <x v="70"/>
    <n v="1"/>
    <x v="2"/>
    <s v="Bogotá y alrededores"/>
    <s v="Bogota"/>
    <s v="Despachado"/>
    <s v="Coordinadora"/>
    <s v="3539304-84151322827"/>
    <d v="2025-08-05T00:00:00"/>
    <d v="2025-08-08T00:00:00"/>
    <s v="Entregado"/>
    <n v="7"/>
    <n v="9"/>
    <s v="No cumple"/>
    <n v="29921"/>
    <m/>
    <m/>
  </r>
  <r>
    <d v="2025-08-01T00:00:00"/>
    <x v="7"/>
    <n v="100062"/>
    <x v="0"/>
    <s v="Jesus Garcia"/>
    <s v="TECU2FNG"/>
    <x v="5"/>
    <n v="1"/>
    <x v="1"/>
    <s v="Antioquia"/>
    <s v="Sabaneta"/>
    <s v="Despachado"/>
    <s v="Coordinadora"/>
    <s v="3529308-84151318310"/>
    <d v="2025-08-01T00:00:00"/>
    <d v="2025-08-02T00:00:00"/>
    <s v="Entregado"/>
    <n v="0"/>
    <n v="1"/>
    <s v="Cumple"/>
    <n v="41593"/>
    <m/>
    <m/>
  </r>
  <r>
    <d v="2025-08-01T00:00:00"/>
    <x v="7"/>
    <n v="100062"/>
    <x v="0"/>
    <s v="Jesus Garcia"/>
    <s v="TECUTFE6C"/>
    <x v="28"/>
    <n v="1"/>
    <x v="2"/>
    <s v="Antioquia"/>
    <s v="Sabaneta"/>
    <s v="Despachado"/>
    <s v="Coordinadora"/>
    <s v="3529309-84151318311"/>
    <d v="2025-08-01T00:00:00"/>
    <d v="2025-08-02T00:00:00"/>
    <s v="Entregado"/>
    <n v="0"/>
    <n v="1"/>
    <s v="Cumple"/>
    <n v="24093"/>
    <m/>
    <m/>
  </r>
  <r>
    <d v="2025-08-02T00:00:00"/>
    <x v="7"/>
    <n v="100063"/>
    <x v="0"/>
    <s v="Martin Schuchardt"/>
    <s v="TECU3FNPRO"/>
    <x v="12"/>
    <n v="1"/>
    <x v="1"/>
    <s v="Antioquia"/>
    <s v="Envigado"/>
    <s v="Despachado"/>
    <s v="Coordinadora"/>
    <s v="3534501-84151320634"/>
    <d v="2025-08-04T00:00:00"/>
    <d v="2025-08-05T00:00:00"/>
    <s v="Entregado"/>
    <n v="1"/>
    <n v="2"/>
    <s v="Cumple"/>
    <n v="41593"/>
    <m/>
    <m/>
  </r>
  <r>
    <d v="2025-08-02T00:00:00"/>
    <x v="7"/>
    <n v="100063"/>
    <x v="0"/>
    <s v="Martin Schuchardt"/>
    <s v="TECUTFE7M"/>
    <x v="35"/>
    <n v="1"/>
    <x v="2"/>
    <s v="Antioquia"/>
    <s v="Envigado"/>
    <s v="Despachado"/>
    <s v="Coordinadora"/>
    <s v="3534503-84151320636"/>
    <d v="2025-08-04T00:00:00"/>
    <d v="2025-08-05T00:00:00"/>
    <s v="Entregado"/>
    <n v="1"/>
    <n v="2"/>
    <s v="Cumple"/>
    <n v="24093"/>
    <m/>
    <m/>
  </r>
  <r>
    <d v="2025-08-02T00:00:00"/>
    <x v="7"/>
    <n v="100063"/>
    <x v="0"/>
    <s v="Martin Schuchardt"/>
    <m/>
    <x v="10"/>
    <n v="1"/>
    <x v="3"/>
    <s v="Antioquia"/>
    <s v="Envigado"/>
    <s v="Despachado"/>
    <s v="Coordinadora"/>
    <s v="NA"/>
    <s v="NA"/>
    <s v="NA"/>
    <s v="Entregado"/>
    <e v="#VALUE!"/>
    <e v="#VALUE!"/>
    <e v="#VALUE!"/>
    <n v="0"/>
    <m/>
    <m/>
  </r>
  <r>
    <d v="2025-08-03T00:00:00"/>
    <x v="7"/>
    <n v="100064"/>
    <x v="0"/>
    <s v="Jorge Delgado"/>
    <s v="TECU2FNG"/>
    <x v="5"/>
    <n v="1"/>
    <x v="1"/>
    <s v="Antioquia"/>
    <s v="Medellin"/>
    <s v="Despachado"/>
    <s v="Coordinadora"/>
    <s v="3534543-84151320660"/>
    <d v="2025-08-04T00:00:00"/>
    <d v="2025-08-05T00:00:00"/>
    <s v="Entregado"/>
    <n v="0"/>
    <n v="1"/>
    <s v="Cumple"/>
    <n v="41593"/>
    <m/>
    <m/>
  </r>
  <r>
    <d v="2025-08-03T00:00:00"/>
    <x v="7"/>
    <n v="100064"/>
    <x v="0"/>
    <s v="Jorge Delgado"/>
    <s v="TECUTFE5C"/>
    <x v="29"/>
    <n v="1"/>
    <x v="2"/>
    <s v="Antioquia"/>
    <s v="Medellin"/>
    <s v="Despachado"/>
    <s v="Coordinadora"/>
    <s v="3534545-84151320661"/>
    <d v="2025-08-04T00:00:00"/>
    <d v="2025-08-05T00:00:00"/>
    <s v="Entregado"/>
    <n v="0"/>
    <n v="1"/>
    <s v="Cumple"/>
    <n v="24093"/>
    <m/>
    <m/>
  </r>
  <r>
    <d v="2025-08-04T00:00:00"/>
    <x v="7"/>
    <n v="100065"/>
    <x v="0"/>
    <s v="Alejandra Brausin"/>
    <s v="TECU3FBRO"/>
    <x v="34"/>
    <n v="1"/>
    <x v="1"/>
    <s v="Bogotá y alrededores"/>
    <s v="Bogota"/>
    <s v="Despachado"/>
    <s v="Coordinadora"/>
    <s v="3539229-84151322804"/>
    <d v="2025-08-05T00:00:00"/>
    <d v="2025-08-08T00:00:00"/>
    <s v="Entregado"/>
    <n v="1"/>
    <n v="3"/>
    <s v="Cumple"/>
    <n v="41593"/>
    <m/>
    <m/>
  </r>
  <r>
    <d v="2025-08-04T00:00:00"/>
    <x v="7"/>
    <n v="100065"/>
    <x v="0"/>
    <s v="Alejandra Brausin"/>
    <s v="TECUTB2C"/>
    <x v="68"/>
    <n v="1"/>
    <x v="2"/>
    <s v="Bogotá y alrededores"/>
    <s v="Bogota"/>
    <s v="Despachado"/>
    <s v="Coordinadora"/>
    <s v="3539231-84151322805"/>
    <d v="2025-08-05T00:00:00"/>
    <d v="2025-08-06T00:00:00"/>
    <s v="Entregado"/>
    <n v="1"/>
    <n v="2"/>
    <s v="Cumple"/>
    <n v="24093"/>
    <m/>
    <m/>
  </r>
  <r>
    <d v="2025-08-04T00:00:00"/>
    <x v="7"/>
    <n v="100065"/>
    <x v="0"/>
    <s v="Alejandra Brausin"/>
    <s v="TECUTBANTE"/>
    <x v="54"/>
    <n v="1"/>
    <x v="0"/>
    <s v="Bogotá y alrededores"/>
    <s v="Bogota"/>
    <s v="Despachado"/>
    <s v="Coordinadora"/>
    <s v="3539239-84151322810"/>
    <d v="2025-08-05T00:00:00"/>
    <d v="2025-08-06T00:00:00"/>
    <s v="Entregado"/>
    <n v="1"/>
    <n v="2"/>
    <s v="Cumple"/>
    <n v="23429"/>
    <m/>
    <m/>
  </r>
  <r>
    <d v="2025-08-04T00:00:00"/>
    <x v="7"/>
    <n v="100066"/>
    <x v="0"/>
    <s v="Jeison Gabriel Hurtado Cabrera // I.A.S. Ingeniería, Aplicaciones y Software S.A.S."/>
    <s v="TECU2FNG"/>
    <x v="5"/>
    <n v="1"/>
    <x v="1"/>
    <s v="Antioquia"/>
    <s v="Medellin"/>
    <s v="Despachado"/>
    <s v="Coordinadora"/>
    <s v="3541457-84151323738"/>
    <d v="2025-08-06T00:00:00"/>
    <d v="2025-08-07T00:00:00"/>
    <s v="Entregado"/>
    <n v="2"/>
    <n v="2"/>
    <s v="Cumple"/>
    <n v="41593"/>
    <m/>
    <m/>
  </r>
  <r>
    <d v="2025-08-04T00:00:00"/>
    <x v="7"/>
    <n v="100066"/>
    <x v="0"/>
    <s v="Jeison Gabriel Hurtado Cabrera // I.A.S. Ingeniería, Aplicaciones y Software S.A.S."/>
    <s v="TECUTCO4C"/>
    <x v="6"/>
    <n v="1"/>
    <x v="2"/>
    <s v="Antioquia"/>
    <s v="Medellin"/>
    <s v="Despachado"/>
    <s v="Coordinadora"/>
    <s v="3541460-84151323739"/>
    <d v="2025-08-06T00:00:00"/>
    <d v="2025-08-07T00:00:00"/>
    <s v="Entregado"/>
    <n v="2"/>
    <n v="2"/>
    <s v="Cumple"/>
    <n v="24093"/>
    <m/>
    <m/>
  </r>
  <r>
    <d v="2025-08-05T00:00:00"/>
    <x v="7"/>
    <n v="100068"/>
    <x v="0"/>
    <s v="David Valero"/>
    <s v="TECU3FNPRO"/>
    <x v="12"/>
    <n v="1"/>
    <x v="1"/>
    <s v="Bogotá y alrededores"/>
    <s v="Bogota"/>
    <s v="Despachado"/>
    <s v="Coordinadora"/>
    <s v="3541468-84151323745"/>
    <d v="2025-08-06T00:00:00"/>
    <d v="2025-08-08T00:00:00"/>
    <s v="Entregado"/>
    <n v="1"/>
    <n v="2"/>
    <s v="Cumple"/>
    <n v="41593"/>
    <m/>
    <m/>
  </r>
  <r>
    <d v="2025-08-05T00:00:00"/>
    <x v="7"/>
    <n v="100068"/>
    <x v="0"/>
    <s v="David Valero"/>
    <s v="TECUTRN7C"/>
    <x v="60"/>
    <n v="1"/>
    <x v="2"/>
    <s v="Bogotá y alrededores"/>
    <s v="Bogota"/>
    <s v="Despachado"/>
    <s v="Coordinadora"/>
    <s v="3541472-84151323746"/>
    <d v="2025-08-06T00:00:00"/>
    <d v="2025-08-08T00:00:00"/>
    <s v="Entregado"/>
    <n v="1"/>
    <n v="2"/>
    <s v="Cumple"/>
    <n v="24093"/>
    <m/>
    <m/>
  </r>
  <r>
    <d v="2025-08-06T00:00:00"/>
    <x v="7"/>
    <n v="100069"/>
    <x v="0"/>
    <s v="Sergio David Garcia Morales"/>
    <s v="TECU2FNG"/>
    <x v="5"/>
    <n v="1"/>
    <x v="1"/>
    <s v="Bogotá y alrededores"/>
    <s v="Bogota"/>
    <s v="Despachado"/>
    <s v="Coordinadora"/>
    <s v="3544855-84151325297"/>
    <d v="2025-08-08T00:00:00"/>
    <d v="2025-08-11T00:00:00"/>
    <s v="Entregado"/>
    <n v="1"/>
    <n v="3"/>
    <s v="Cumple"/>
    <n v="41593"/>
    <m/>
    <m/>
  </r>
  <r>
    <d v="2025-08-06T00:00:00"/>
    <x v="7"/>
    <n v="100069"/>
    <x v="0"/>
    <s v="Sergio David Garcia Morales"/>
    <s v="TECUTRN3C"/>
    <x v="67"/>
    <n v="1"/>
    <x v="2"/>
    <s v="Bogotá y alrededores"/>
    <s v="Bogota"/>
    <s v="Despachado"/>
    <s v="Coordinadora"/>
    <s v="3544856-84151325298"/>
    <d v="2025-08-08T00:00:00"/>
    <d v="2025-08-11T00:00:00"/>
    <s v="Entregado"/>
    <n v="1"/>
    <n v="3"/>
    <s v="Cumple"/>
    <n v="24093"/>
    <m/>
    <m/>
  </r>
  <r>
    <d v="2025-08-07T00:00:00"/>
    <x v="7"/>
    <n v="100070"/>
    <x v="0"/>
    <s v="Anderson Gutierrez"/>
    <s v="TECU3FNCRO"/>
    <x v="55"/>
    <n v="1"/>
    <x v="1"/>
    <s v="Caldas"/>
    <s v="Manizales"/>
    <s v="Despachado"/>
    <s v="Coordinadora"/>
    <s v="3544990-84151325376"/>
    <d v="2025-08-08T00:00:00"/>
    <d v="2025-08-09T00:00:00"/>
    <s v="Entregado"/>
    <n v="0"/>
    <n v="1"/>
    <s v="Cumple"/>
    <n v="34156"/>
    <m/>
    <m/>
  </r>
  <r>
    <d v="2025-08-07T00:00:00"/>
    <x v="7"/>
    <n v="100070"/>
    <x v="0"/>
    <s v="Anderson Gutierrez"/>
    <s v="TECUTCO6M"/>
    <x v="24"/>
    <n v="1"/>
    <x v="2"/>
    <s v="Caldas"/>
    <s v="Manizales"/>
    <s v="Despachado"/>
    <s v="Coordinadora"/>
    <s v="3544991-84151325377"/>
    <d v="2025-08-08T00:00:00"/>
    <d v="2025-08-11T00:00:00"/>
    <s v="Entregado"/>
    <n v="0"/>
    <n v="2"/>
    <s v="Cumple"/>
    <n v="15194"/>
    <m/>
    <m/>
  </r>
  <r>
    <d v="2025-08-07T00:00:00"/>
    <x v="7"/>
    <n v="100070"/>
    <x v="0"/>
    <s v="Anderson Gutierrez"/>
    <s v="TECUACO"/>
    <x v="15"/>
    <n v="1"/>
    <x v="5"/>
    <s v="Caldas"/>
    <s v="Manizales"/>
    <s v="Despachado"/>
    <s v="Envia"/>
    <s v="3550220-954101274421"/>
    <d v="2025-08-11T00:00:00"/>
    <d v="2025-08-12T00:00:00"/>
    <s v="Entregado"/>
    <n v="2"/>
    <n v="3"/>
    <s v="Cumple"/>
    <n v="47267"/>
    <m/>
    <m/>
  </r>
  <r>
    <d v="2025-08-07T00:00:00"/>
    <x v="7"/>
    <n v="100071"/>
    <x v="0"/>
    <s v="Camila Santana"/>
    <s v="TECU2FNG"/>
    <x v="5"/>
    <n v="1"/>
    <x v="1"/>
    <s v="Bogotá y alrededores"/>
    <s v="Bogota"/>
    <s v="Despachado"/>
    <s v="Coordinadora"/>
    <s v="3544929-84151325346"/>
    <d v="2025-08-08T00:00:00"/>
    <d v="2025-08-12T00:00:00"/>
    <s v="Entregado"/>
    <n v="0"/>
    <n v="3"/>
    <s v="Cumple"/>
    <n v="41593"/>
    <m/>
    <m/>
  </r>
  <r>
    <d v="2025-08-07T00:00:00"/>
    <x v="7"/>
    <n v="100071"/>
    <x v="0"/>
    <s v="Camila Santana"/>
    <s v="TECUTCO5C"/>
    <x v="51"/>
    <n v="1"/>
    <x v="2"/>
    <s v="Bogotá y alrededores"/>
    <s v="Bogota"/>
    <s v="Despachado"/>
    <s v="Coordinadora"/>
    <s v="3544930-84151325347"/>
    <d v="2025-08-08T00:00:00"/>
    <d v="2025-08-12T00:00:00"/>
    <s v="Entregado"/>
    <n v="0"/>
    <n v="3"/>
    <s v="Cumple"/>
    <n v="24093"/>
    <m/>
    <m/>
  </r>
  <r>
    <d v="2025-08-07T00:00:00"/>
    <x v="7"/>
    <n v="100071"/>
    <x v="0"/>
    <s v="Camila Santana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n v="0"/>
    <m/>
    <m/>
  </r>
  <r>
    <d v="2025-08-12T00:00:00"/>
    <x v="7"/>
    <n v="100072"/>
    <x v="0"/>
    <s v="Juan Pablo Reyes"/>
    <s v="TECU3FNPRO"/>
    <x v="12"/>
    <n v="1"/>
    <x v="1"/>
    <s v="Bogotá y alrededores"/>
    <s v="Bogota"/>
    <s v="Despachado"/>
    <s v="Coordinadora"/>
    <s v="3554342-84151329239"/>
    <d v="2025-08-12T00:00:00"/>
    <d v="2025-08-16T00:00:00"/>
    <s v="Entregado"/>
    <n v="0"/>
    <n v="4"/>
    <s v="No cumple"/>
    <n v="41593"/>
    <m/>
    <m/>
  </r>
  <r>
    <d v="2025-08-12T00:00:00"/>
    <x v="7"/>
    <n v="100072"/>
    <x v="0"/>
    <s v="Juan Pablo Reyes"/>
    <s v="TECUTCO6C"/>
    <x v="16"/>
    <n v="1"/>
    <x v="2"/>
    <s v="Bogotá y alrededores"/>
    <s v="Bogota"/>
    <s v="Despachado"/>
    <s v="Coordinadora"/>
    <s v="3554345-84151329240"/>
    <d v="2025-08-12T00:00:00"/>
    <d v="2025-08-14T00:00:00"/>
    <s v="Entregado"/>
    <n v="0"/>
    <n v="2"/>
    <s v="Cumple"/>
    <n v="24093"/>
    <m/>
    <m/>
  </r>
  <r>
    <d v="2025-08-12T00:00:00"/>
    <x v="7"/>
    <n v="100073"/>
    <x v="0"/>
    <s v="JUAN SEBASTIAN QUIJANO RODRIGUEZ / HL ABOGADOS Y AUDITORES SAS"/>
    <s v="TECU3FNPRO"/>
    <x v="12"/>
    <n v="1"/>
    <x v="1"/>
    <s v="Bogotá y alrededores"/>
    <s v="Bogota"/>
    <s v="Despachado"/>
    <s v="Coordinadora"/>
    <s v="3555315-84151329621"/>
    <d v="2025-08-12T00:00:00"/>
    <d v="2025-08-15T00:00:00"/>
    <s v="Entregado"/>
    <n v="0"/>
    <n v="3"/>
    <s v="Cumple"/>
    <n v="41593"/>
    <m/>
    <m/>
  </r>
  <r>
    <d v="2025-08-12T00:00:00"/>
    <x v="7"/>
    <n v="100073"/>
    <x v="0"/>
    <s v="JUAN SEBASTIAN QUIJANO RODRIGUEZ / HL ABOGADOS Y AUDITORES SAS"/>
    <s v="TECUTCO2C"/>
    <x v="37"/>
    <n v="1"/>
    <x v="2"/>
    <s v="Bogotá y alrededores"/>
    <s v="Bogota"/>
    <s v="Despachado"/>
    <s v="Coordinadora"/>
    <s v="3555317-84151329622"/>
    <d v="2025-08-12T00:00:00"/>
    <d v="2025-08-14T00:00:00"/>
    <s v="Entregado"/>
    <n v="0"/>
    <n v="2"/>
    <s v="Cumple"/>
    <n v="24093"/>
    <m/>
    <m/>
  </r>
  <r>
    <d v="2025-08-12T00:00:00"/>
    <x v="7"/>
    <n v="100073"/>
    <x v="0"/>
    <s v="JUAN SEBASTIAN QUIJANO RODRIGUEZ / HL ABOGADOS Y AUDITORES SAS"/>
    <s v="TECUTCO2C"/>
    <x v="37"/>
    <n v="1"/>
    <x v="2"/>
    <s v="Bogotá y alrededores"/>
    <s v="Bogota"/>
    <s v="Despachado"/>
    <s v="Coordinadora"/>
    <s v="3555324-84151329623"/>
    <d v="2025-08-12T00:00:00"/>
    <d v="2025-08-14T00:00:00"/>
    <s v="Entregado"/>
    <n v="0"/>
    <n v="2"/>
    <s v="Cumple"/>
    <n v="24093"/>
    <m/>
    <m/>
  </r>
  <r>
    <d v="2025-08-14T00:00:00"/>
    <x v="7"/>
    <n v="100075"/>
    <x v="0"/>
    <s v="Cristhian Sabino Ramirez Martinez"/>
    <s v="TECUTBANPI"/>
    <x v="9"/>
    <n v="1"/>
    <x v="0"/>
    <s v="Antioquia"/>
    <s v="Rionegro"/>
    <s v="Despachado"/>
    <s v="Coordinadora"/>
    <s v="3561538-84151332165"/>
    <d v="2025-08-14T00:00:00"/>
    <d v="2025-08-15T00:00:00"/>
    <s v="Entregado"/>
    <n v="0"/>
    <n v="1"/>
    <s v="Cumple"/>
    <n v="39225"/>
    <m/>
    <m/>
  </r>
  <r>
    <d v="2025-08-14T00:00:00"/>
    <x v="7"/>
    <n v="100076"/>
    <x v="0"/>
    <s v="Tomas Ortiz Perez / Carrocerias Antioquia SA "/>
    <s v="TECU3FNPRO"/>
    <x v="12"/>
    <n v="1"/>
    <x v="1"/>
    <s v="Antioquia"/>
    <s v="Medellin"/>
    <s v="Despachado"/>
    <s v="Coordinadora"/>
    <s v="3561546-84151332169"/>
    <d v="2025-08-14T00:00:00"/>
    <d v="2025-08-15T00:00:00"/>
    <s v="Entregado"/>
    <n v="0"/>
    <n v="1"/>
    <s v="Cumple"/>
    <n v="41593"/>
    <m/>
    <m/>
  </r>
  <r>
    <d v="2025-08-14T00:00:00"/>
    <x v="7"/>
    <n v="100076"/>
    <x v="0"/>
    <s v="Tomas Ortiz Perez / Carrocerias Antioquia SA "/>
    <s v="TECUTCO2C"/>
    <x v="37"/>
    <n v="1"/>
    <x v="2"/>
    <s v="Antioquia"/>
    <s v="Medellin"/>
    <s v="Despachado"/>
    <s v="Coordinadora"/>
    <s v="3561549-84151332170"/>
    <d v="2025-08-14T00:00:00"/>
    <d v="2025-08-15T00:00:00"/>
    <s v="Entregado"/>
    <n v="0"/>
    <n v="1"/>
    <s v="Cumple"/>
    <n v="24093"/>
    <m/>
    <m/>
  </r>
  <r>
    <d v="2025-08-15T00:00:00"/>
    <x v="7"/>
    <n v="100078"/>
    <x v="0"/>
    <s v="Juan Lizcano"/>
    <s v="TECU2FNG"/>
    <x v="5"/>
    <n v="1"/>
    <x v="1"/>
    <s v="Bogotá y alrededores"/>
    <s v="Bogota"/>
    <s v="Despachado"/>
    <s v="Coordinadora"/>
    <s v="3564886-84151333337"/>
    <d v="2025-08-15T00:00:00"/>
    <d v="2025-08-19T00:00:00"/>
    <s v="Entregado"/>
    <n v="0"/>
    <n v="2"/>
    <s v="Cumple"/>
    <n v="41593"/>
    <m/>
    <m/>
  </r>
  <r>
    <d v="2025-08-15T00:00:00"/>
    <x v="7"/>
    <n v="100078"/>
    <x v="0"/>
    <s v="Juan Lizcano"/>
    <s v="TECUTFE6C"/>
    <x v="28"/>
    <n v="1"/>
    <x v="2"/>
    <s v="Bogotá y alrededores"/>
    <s v="Bogota"/>
    <s v="Despachado"/>
    <s v="Coordinadora"/>
    <s v="3564887-84151333338"/>
    <d v="2025-08-15T00:00:00"/>
    <d v="2025-08-19T00:00:00"/>
    <s v="Entregado"/>
    <n v="0"/>
    <n v="2"/>
    <s v="Cumple"/>
    <n v="24093"/>
    <m/>
    <m/>
  </r>
  <r>
    <d v="2025-08-16T00:00:00"/>
    <x v="7"/>
    <n v="100080"/>
    <x v="0"/>
    <s v="Viviana Maldonado"/>
    <s v="TECULFN2"/>
    <x v="7"/>
    <n v="1"/>
    <x v="1"/>
    <s v="Antioquia"/>
    <s v="Medellin"/>
    <s v="Despachado"/>
    <s v="Coordinadora"/>
    <s v="3570815-84151335460"/>
    <d v="2025-08-19T00:00:00"/>
    <d v="2025-08-21T00:00:00"/>
    <s v="Entregado"/>
    <n v="1"/>
    <n v="3"/>
    <s v="Cumple"/>
    <n v="62530"/>
    <m/>
    <m/>
  </r>
  <r>
    <d v="2025-08-16T00:00:00"/>
    <x v="7"/>
    <n v="100080"/>
    <x v="0"/>
    <s v="Viviana Maldonado"/>
    <s v="TECUTLBS"/>
    <x v="61"/>
    <n v="1"/>
    <x v="2"/>
    <s v="Antioquia"/>
    <s v="Medellin"/>
    <s v="Despachado"/>
    <s v="Coordinadora"/>
    <s v="3570816-84151335461"/>
    <d v="2025-08-19T00:00:00"/>
    <d v="2025-08-21T00:00:00"/>
    <s v="Entregado"/>
    <n v="1"/>
    <n v="3"/>
    <s v="Cumple"/>
    <n v="26749"/>
    <m/>
    <m/>
  </r>
  <r>
    <d v="2025-08-16T00:00:00"/>
    <x v="7"/>
    <n v="100080"/>
    <x v="0"/>
    <s v="Viviana Maldonado"/>
    <s v="TECURB"/>
    <x v="75"/>
    <n v="1"/>
    <x v="6"/>
    <s v="Antioquia"/>
    <s v="Medellin"/>
    <s v="Despachado"/>
    <s v="Coordinadora"/>
    <s v="3570839-84151335471"/>
    <d v="2025-08-19T00:00:00"/>
    <d v="2025-08-21T00:00:00"/>
    <s v="Entregado"/>
    <n v="1"/>
    <n v="3"/>
    <s v="Cumple"/>
    <n v="23429"/>
    <m/>
    <m/>
  </r>
  <r>
    <d v="2025-08-17T00:00:00"/>
    <x v="7"/>
    <n v="100081"/>
    <x v="0"/>
    <s v="Elias Rodelo"/>
    <s v="TECUCT"/>
    <x v="4"/>
    <n v="1"/>
    <x v="0"/>
    <s v="Caldas"/>
    <s v="Villamaria"/>
    <s v="Despachado"/>
    <s v="Coordinadora"/>
    <s v="3570878-84151335490"/>
    <d v="2025-08-19T00:00:00"/>
    <d v="2025-08-21T00:00:00"/>
    <s v="Entregado"/>
    <n v="0"/>
    <n v="2"/>
    <s v="Cumple"/>
    <n v="15447"/>
    <m/>
    <m/>
  </r>
  <r>
    <d v="2025-08-18T00:00:00"/>
    <x v="7"/>
    <n v="100082"/>
    <x v="0"/>
    <s v="Giovanny Gomez"/>
    <s v="TECU3FNPRO"/>
    <x v="12"/>
    <n v="1"/>
    <x v="1"/>
    <s v="Antioquia"/>
    <s v="Santuario"/>
    <s v="Despachado"/>
    <s v="Coordinadora"/>
    <s v="3574929-84151337178"/>
    <d v="2025-08-20T00:00:00"/>
    <d v="2025-08-21T00:00:00"/>
    <s v="Entregado"/>
    <n v="1"/>
    <n v="2"/>
    <e v="#N/A"/>
    <n v="41593"/>
    <m/>
    <m/>
  </r>
  <r>
    <d v="2025-08-18T00:00:00"/>
    <x v="7"/>
    <n v="100082"/>
    <x v="0"/>
    <s v="Giovanny Gomez"/>
    <s v="TECUTCO6C"/>
    <x v="16"/>
    <n v="1"/>
    <x v="2"/>
    <s v="Antioquia"/>
    <s v="Santuario"/>
    <s v="Despachado"/>
    <s v="Coordinadora"/>
    <s v="3574930-84151337179"/>
    <d v="2025-08-20T00:00:00"/>
    <d v="2025-08-21T00:00:00"/>
    <s v="Entregado"/>
    <n v="1"/>
    <n v="2"/>
    <e v="#N/A"/>
    <n v="24093"/>
    <m/>
    <m/>
  </r>
  <r>
    <d v="2025-08-18T00:00:00"/>
    <x v="7"/>
    <n v="100083"/>
    <x v="0"/>
    <s v="jose david carrillo lozano"/>
    <s v="TECU3FNPRO"/>
    <x v="12"/>
    <n v="1"/>
    <x v="1"/>
    <s v="Bogotá y alrededores"/>
    <s v="Cajica"/>
    <s v="Despachado"/>
    <s v="Coordinadora"/>
    <s v="3574972-84151337198"/>
    <d v="2025-08-20T00:00:00"/>
    <d v="2025-08-21T00:00:00"/>
    <s v="Entregado"/>
    <n v="1"/>
    <n v="2"/>
    <s v="Cumple"/>
    <n v="41593"/>
    <m/>
    <m/>
  </r>
  <r>
    <d v="2025-08-18T00:00:00"/>
    <x v="7"/>
    <n v="100083"/>
    <x v="0"/>
    <s v="jose david carrillo lozano"/>
    <s v="TECUTFE8C"/>
    <x v="21"/>
    <n v="1"/>
    <x v="2"/>
    <s v="Bogotá y alrededores"/>
    <s v="Cajica"/>
    <s v="Despachado"/>
    <s v="Coordinadora"/>
    <s v="3574973-84151337199"/>
    <d v="2025-08-20T00:00:00"/>
    <d v="2025-08-21T00:00:00"/>
    <s v="Entregado"/>
    <n v="1"/>
    <n v="2"/>
    <s v="Cumple"/>
    <n v="26749"/>
    <m/>
    <m/>
  </r>
  <r>
    <d v="2025-08-18T00:00:00"/>
    <x v="7"/>
    <n v="100084"/>
    <x v="0"/>
    <s v="Andres Naranjo"/>
    <s v="TECU3FNCRO"/>
    <x v="55"/>
    <n v="1"/>
    <x v="1"/>
    <s v="Bogotá y alrededores"/>
    <s v="Mosquera"/>
    <s v="Despachado"/>
    <s v="Coordinadora"/>
    <s v="3575124-84151337269"/>
    <d v="2025-08-20T00:00:00"/>
    <d v="2025-08-21T00:00:00"/>
    <s v="Entregado"/>
    <n v="1"/>
    <n v="2"/>
    <s v="Cumple"/>
    <n v="41593"/>
    <m/>
    <m/>
  </r>
  <r>
    <d v="2025-08-18T00:00:00"/>
    <x v="7"/>
    <n v="100084"/>
    <x v="0"/>
    <s v="Andres Naranjo"/>
    <s v="TECUTB8C"/>
    <x v="76"/>
    <n v="1"/>
    <x v="2"/>
    <s v="Bogotá y alrededores"/>
    <s v="Mosquera"/>
    <s v="Despachado"/>
    <s v="Coordinadora"/>
    <s v="3575125-84151337270"/>
    <d v="2025-08-20T00:00:00"/>
    <d v="2025-08-21T00:00:00"/>
    <s v="Entregado"/>
    <n v="1"/>
    <n v="2"/>
    <s v="Cumple"/>
    <n v="26749"/>
    <m/>
    <m/>
  </r>
  <r>
    <d v="2025-08-18T00:00:00"/>
    <x v="7"/>
    <n v="100084"/>
    <x v="0"/>
    <s v="Andres Naranjo"/>
    <s v="TECUAB"/>
    <x v="44"/>
    <n v="1"/>
    <x v="5"/>
    <s v="Bogotá y alrededores"/>
    <s v="Mosquera"/>
    <s v="Despachado"/>
    <s v="Envia"/>
    <s v="3595004-954101284712"/>
    <d v="2025-08-28T00:00:00"/>
    <d v="2025-08-29T00:00:00"/>
    <s v="Entregado"/>
    <n v="8"/>
    <n v="9"/>
    <s v="No cumple"/>
    <n v="65682"/>
    <m/>
    <m/>
  </r>
  <r>
    <d v="2025-08-19T00:00:00"/>
    <x v="7"/>
    <n v="100085"/>
    <x v="0"/>
    <s v="Santiago Quevedo"/>
    <s v="TECU3FNPRO"/>
    <x v="12"/>
    <n v="1"/>
    <x v="1"/>
    <s v="Antioquia"/>
    <s v="Medellin"/>
    <s v="Despachado"/>
    <s v="Coordinadora"/>
    <s v="3577663-84151338324"/>
    <d v="2025-08-21T00:00:00"/>
    <d v="2025-08-22T00:00:00"/>
    <s v="Entregado"/>
    <n v="2"/>
    <n v="3"/>
    <s v="Cumple"/>
    <n v="41593"/>
    <m/>
    <m/>
  </r>
  <r>
    <d v="2025-08-19T00:00:00"/>
    <x v="7"/>
    <n v="100085"/>
    <x v="0"/>
    <s v="Santiago Quevedo"/>
    <s v="TECUTRN7C"/>
    <x v="60"/>
    <n v="1"/>
    <x v="2"/>
    <s v="Antioquia"/>
    <s v="Medellin"/>
    <s v="Despachado"/>
    <s v="Coordinadora"/>
    <s v="3577664-84151338325"/>
    <d v="2025-08-21T00:00:00"/>
    <d v="2025-08-22T00:00:00"/>
    <s v="Entregado"/>
    <n v="2"/>
    <n v="3"/>
    <s v="Cumple"/>
    <n v="24093"/>
    <m/>
    <m/>
  </r>
  <r>
    <d v="2025-08-19T00:00:00"/>
    <x v="7"/>
    <n v="100085"/>
    <x v="0"/>
    <s v="Santiago Quevedo"/>
    <s v="TECUCT"/>
    <x v="4"/>
    <n v="1"/>
    <x v="0"/>
    <s v="Antioquia"/>
    <s v="Medellin"/>
    <s v="Despachado"/>
    <s v="Coordinadora"/>
    <s v="3577680-84151338329"/>
    <d v="2025-08-21T00:00:00"/>
    <d v="2025-08-22T00:00:00"/>
    <s v="Entregado"/>
    <n v="2"/>
    <n v="3"/>
    <s v="Cumple"/>
    <n v="24885"/>
    <m/>
    <m/>
  </r>
  <r>
    <d v="2025-08-19T00:00:00"/>
    <x v="7"/>
    <n v="100086"/>
    <x v="0"/>
    <s v="Alejandro Velez Grajales"/>
    <s v="TECU3FNPRO"/>
    <x v="12"/>
    <n v="1"/>
    <x v="1"/>
    <s v="Antioquia"/>
    <s v="Itagui"/>
    <s v="Despachado"/>
    <s v="Coordinadora"/>
    <s v="3577738-84151338351"/>
    <d v="2025-08-21T00:00:00"/>
    <d v="2025-08-23T00:00:00"/>
    <s v="Entregado"/>
    <n v="2"/>
    <n v="4"/>
    <s v="No cumple"/>
    <n v="41593"/>
    <m/>
    <m/>
  </r>
  <r>
    <d v="2025-08-19T00:00:00"/>
    <x v="7"/>
    <n v="100086"/>
    <x v="0"/>
    <s v="Alejandro Velez Grajales"/>
    <s v="TECUTCO4C"/>
    <x v="6"/>
    <n v="1"/>
    <x v="2"/>
    <s v="Antioquia"/>
    <s v="Itagui"/>
    <s v="Despachado"/>
    <s v="Coordinadora"/>
    <s v="3577739-84151338352"/>
    <d v="2025-08-21T00:00:00"/>
    <d v="2025-08-23T00:00:00"/>
    <s v="Entregado"/>
    <n v="2"/>
    <n v="4"/>
    <s v="No cumple"/>
    <n v="24093"/>
    <m/>
    <m/>
  </r>
  <r>
    <d v="2025-08-19T00:00:00"/>
    <x v="7"/>
    <n v="100086"/>
    <x v="0"/>
    <s v="Alejandro Velez Grajales"/>
    <s v="TECUCT"/>
    <x v="4"/>
    <n v="1"/>
    <x v="0"/>
    <s v="Antioquia"/>
    <s v="Itagui"/>
    <s v="Despachado"/>
    <s v="Coordinadora"/>
    <s v="3577757-84151338354"/>
    <d v="2025-08-21T00:00:00"/>
    <d v="2025-08-22T00:00:00"/>
    <s v="Entregado"/>
    <n v="2"/>
    <n v="3"/>
    <s v="Cumple"/>
    <n v="24885"/>
    <m/>
    <m/>
  </r>
  <r>
    <d v="2025-08-20T00:00:00"/>
    <x v="7"/>
    <n v="100087"/>
    <x v="0"/>
    <s v="Sebastian Guerrero / Productos Disanfer SAS"/>
    <s v="TECU3FNCRO"/>
    <x v="55"/>
    <n v="1"/>
    <x v="1"/>
    <s v="Bogotá y alrededores"/>
    <s v="Bogota"/>
    <s v="Despachado"/>
    <s v="Coordinadora"/>
    <s v="3577771-84151338374"/>
    <d v="2025-08-21T00:00:00"/>
    <d v="2025-08-23T00:00:00"/>
    <s v="Entregado"/>
    <n v="1"/>
    <n v="3"/>
    <s v="Cumple"/>
    <n v="41593"/>
    <m/>
    <m/>
  </r>
  <r>
    <d v="2025-08-20T00:00:00"/>
    <x v="7"/>
    <n v="100087"/>
    <x v="0"/>
    <s v="Sebastian Guerrero / Productos Disanfer SAS"/>
    <s v="TECUTFE2C"/>
    <x v="3"/>
    <n v="1"/>
    <x v="2"/>
    <s v="Bogotá y alrededores"/>
    <s v="Bogota"/>
    <s v="Despachado"/>
    <s v="Coordinadora"/>
    <s v="3577772-84151338376"/>
    <d v="2025-08-21T00:00:00"/>
    <d v="2025-08-23T00:00:00"/>
    <s v="Entregado"/>
    <n v="1"/>
    <n v="3"/>
    <s v="Cumple"/>
    <n v="24093"/>
    <m/>
    <m/>
  </r>
  <r>
    <d v="2025-08-20T00:00:00"/>
    <x v="7"/>
    <n v="100087"/>
    <x v="0"/>
    <s v="Sebastian Guerrero / Productos Disanfer SAS"/>
    <s v="TECUCT"/>
    <x v="4"/>
    <n v="1"/>
    <x v="0"/>
    <s v="Bogotá y alrededores"/>
    <s v="Bogota"/>
    <s v="Despachado"/>
    <s v="Coordinadora"/>
    <s v="3577781-84151338377"/>
    <d v="2025-08-21T00:00:00"/>
    <d v="2025-08-23T00:00:00"/>
    <s v="Entregado"/>
    <n v="1"/>
    <n v="3"/>
    <s v="Cumple"/>
    <n v="24885"/>
    <m/>
    <m/>
  </r>
  <r>
    <d v="2025-08-22T00:00:00"/>
    <x v="7"/>
    <n v="100088"/>
    <x v="0"/>
    <s v="Nancy Ballesteros / Sense Design SAS"/>
    <s v="TECU2FBGO"/>
    <x v="2"/>
    <n v="1"/>
    <x v="1"/>
    <s v="Bogotá y alrededores"/>
    <s v="Bogota"/>
    <s v="Despachado"/>
    <s v="Coordinadora"/>
    <s v="3595018-84151345133"/>
    <d v="2025-08-28T00:00:00"/>
    <d v="2025-09-01T00:00:00"/>
    <s v="Entregado"/>
    <n v="5"/>
    <n v="8"/>
    <s v="No cumple"/>
    <n v="41593"/>
    <m/>
    <m/>
  </r>
  <r>
    <d v="2025-08-22T00:00:00"/>
    <x v="7"/>
    <n v="100088"/>
    <x v="0"/>
    <s v="Nancy Ballesteros / Sense Design SAS"/>
    <s v="TECUTFE2C"/>
    <x v="3"/>
    <n v="1"/>
    <x v="2"/>
    <s v="Bogotá y alrededores"/>
    <s v="Bogota"/>
    <s v="Despachado"/>
    <s v="Coordinadora"/>
    <s v="3595019-84151345134"/>
    <d v="2025-08-28T00:00:00"/>
    <d v="2025-09-01T00:00:00"/>
    <s v="Entregado"/>
    <n v="5"/>
    <n v="8"/>
    <s v="No cumple"/>
    <n v="24093"/>
    <m/>
    <m/>
  </r>
  <r>
    <d v="2025-08-22T00:00:00"/>
    <x v="7"/>
    <n v="100088"/>
    <x v="0"/>
    <s v="Nancy Ballesteros / Sense Design SAS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n v="0"/>
    <m/>
    <m/>
  </r>
  <r>
    <d v="2025-08-24T00:00:00"/>
    <x v="7"/>
    <n v="100089"/>
    <x v="0"/>
    <s v="Alejandro Dueñas Garcia"/>
    <s v="TECU3FNPRO"/>
    <x v="12"/>
    <n v="1"/>
    <x v="1"/>
    <s v="Bogotá y alrededores"/>
    <s v="Bogota"/>
    <s v="Despachado"/>
    <s v="Coordinadora"/>
    <s v="3595031-84151345138"/>
    <d v="2025-08-28T00:00:00"/>
    <d v="2025-09-01T00:00:00"/>
    <s v="Entregado"/>
    <n v="3"/>
    <n v="6"/>
    <s v="No cumple"/>
    <n v="41593"/>
    <m/>
    <m/>
  </r>
  <r>
    <d v="2025-08-24T00:00:00"/>
    <x v="7"/>
    <n v="100089"/>
    <x v="0"/>
    <s v="Alejandro Dueñas Garcia"/>
    <s v="TECUTRN8C"/>
    <x v="58"/>
    <n v="1"/>
    <x v="2"/>
    <s v="Bogotá y alrededores"/>
    <s v="Bogota"/>
    <s v="Despachado"/>
    <s v="Coordinadora"/>
    <s v="3595032-84151345139"/>
    <d v="2025-08-28T00:00:00"/>
    <d v="2025-09-01T00:00:00"/>
    <s v="Entregado"/>
    <n v="3"/>
    <n v="6"/>
    <s v="No cumple"/>
    <n v="26749"/>
    <m/>
    <m/>
  </r>
  <r>
    <d v="2025-08-24T00:00:00"/>
    <x v="7"/>
    <n v="100089"/>
    <x v="0"/>
    <s v="Alejandro Dueñas Garcia"/>
    <s v="TECUCT"/>
    <x v="4"/>
    <n v="1"/>
    <x v="0"/>
    <s v="Bogotá y alrededores"/>
    <s v="Bogota"/>
    <s v="Despachado"/>
    <s v="Coordinadora"/>
    <s v="3595040-84151345144"/>
    <d v="2025-08-28T00:00:00"/>
    <d v="2025-09-01T00:00:00"/>
    <s v="Entregado"/>
    <n v="3"/>
    <n v="6"/>
    <s v="No cumple"/>
    <n v="24885"/>
    <m/>
    <m/>
  </r>
  <r>
    <d v="2025-08-24T00:00:00"/>
    <x v="7"/>
    <n v="100089"/>
    <x v="0"/>
    <s v="Alejandro Dueñas Garcia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8-25T00:00:00"/>
    <x v="7"/>
    <n v="100090"/>
    <x v="0"/>
    <s v="alejandro herreño"/>
    <s v="TECURCO"/>
    <x v="30"/>
    <n v="1"/>
    <x v="6"/>
    <s v="Atlantico"/>
    <s v="Barranquilla"/>
    <s v="Despachado"/>
    <s v="Coordinadora"/>
    <s v="3593945-84151344669"/>
    <d v="2025-08-27T00:00:00"/>
    <d v="2025-08-29T00:00:00"/>
    <s v="Entregado"/>
    <n v="2"/>
    <n v="4"/>
    <s v="Cumple"/>
    <n v="37762"/>
    <m/>
    <m/>
  </r>
  <r>
    <d v="2025-08-25T00:00:00"/>
    <x v="7"/>
    <n v="100091"/>
    <x v="0"/>
    <s v="Sebastian Guerrero / Productos Disanfer SAS"/>
    <s v="TECUAFE"/>
    <x v="43"/>
    <n v="1"/>
    <x v="5"/>
    <s v="Bogotá y alrededores"/>
    <s v="Bogota"/>
    <s v="Despachado"/>
    <s v="Coordinadora"/>
    <s v="3594583-954101284510"/>
    <d v="2025-08-27T00:00:00"/>
    <d v="2025-08-29T00:00:00"/>
    <s v="Entregado"/>
    <n v="2"/>
    <n v="4"/>
    <s v="No cumple"/>
    <n v="59843"/>
    <m/>
    <m/>
  </r>
  <r>
    <d v="2025-08-26T00:00:00"/>
    <x v="7"/>
    <n v="100092"/>
    <x v="0"/>
    <s v="David Fernando Ordoñez Vargas"/>
    <s v="TECU2FNG"/>
    <x v="5"/>
    <n v="1"/>
    <x v="1"/>
    <s v="Meta"/>
    <s v="Villavicencio"/>
    <s v="En alistamiento"/>
    <s v="Coordinadora"/>
    <m/>
    <m/>
    <m/>
    <s v="En transito"/>
    <s v="PTE"/>
    <s v="PTE"/>
    <s v="PTE"/>
    <m/>
    <m/>
    <m/>
  </r>
  <r>
    <d v="2025-08-26T00:00:00"/>
    <x v="7"/>
    <n v="100092"/>
    <x v="0"/>
    <s v="David Fernando Ordoñez Vargas"/>
    <s v="TECUTFE2C"/>
    <x v="3"/>
    <n v="1"/>
    <x v="2"/>
    <s v="Meta"/>
    <s v="Villavicencio"/>
    <s v="En alistamiento"/>
    <s v="Coordinadora"/>
    <m/>
    <m/>
    <m/>
    <s v="En transito"/>
    <s v="PTE"/>
    <s v="PTE"/>
    <s v="PTE"/>
    <m/>
    <m/>
    <m/>
  </r>
  <r>
    <d v="2025-08-27T00:00:00"/>
    <x v="7"/>
    <n v="100093"/>
    <x v="0"/>
    <s v="Jorge Enrique Galindez"/>
    <s v="TECU3FNPRO"/>
    <x v="12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8-27T00:00:00"/>
    <x v="7"/>
    <n v="100093"/>
    <x v="0"/>
    <s v="Jorge Enrique Galindez"/>
    <s v="TECUTRM5C"/>
    <x v="27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8-27T00:00:00"/>
    <x v="7"/>
    <n v="100093"/>
    <x v="0"/>
    <s v="Jorge Enrique Galindez"/>
    <s v="TECUCT"/>
    <x v="4"/>
    <n v="1"/>
    <x v="0"/>
    <s v="Bogotá y alrededores"/>
    <s v="Bogota"/>
    <s v="En alistamiento"/>
    <s v="Coordinadora"/>
    <m/>
    <m/>
    <m/>
    <s v="En transito"/>
    <s v="PTE"/>
    <s v="PTE"/>
    <s v="PTE"/>
    <m/>
    <m/>
    <m/>
  </r>
  <r>
    <d v="2025-08-27T00:00:00"/>
    <x v="7"/>
    <n v="100093"/>
    <x v="0"/>
    <s v="Jorge Enrique Galindez"/>
    <m/>
    <x v="10"/>
    <n v="1"/>
    <x v="3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4"/>
    <x v="0"/>
    <s v="Alfredo Chuscano"/>
    <s v="TECURCO"/>
    <x v="30"/>
    <n v="1"/>
    <x v="6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5"/>
    <x v="0"/>
    <s v="JUAN SEBASTIAN ZULUAGA"/>
    <s v="TECU3FNPRO"/>
    <x v="12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5"/>
    <x v="0"/>
    <s v="JUAN SEBASTIAN ZULUAGA"/>
    <s v="TECUTRN3C"/>
    <x v="67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6"/>
    <x v="0"/>
    <s v="ELEV8 MEDIA SAS LUISA SANCHEZ"/>
    <s v="TECU3FNPRO"/>
    <x v="12"/>
    <n v="1"/>
    <x v="1"/>
    <s v="Antioquia"/>
    <s v="Medellin"/>
    <s v="En alistamiento"/>
    <s v="Coordinadora"/>
    <m/>
    <m/>
    <m/>
    <s v="En transito"/>
    <s v="PTE"/>
    <s v="PTE"/>
    <s v="PTE"/>
    <m/>
    <m/>
    <m/>
  </r>
  <r>
    <d v="2025-08-28T00:00:00"/>
    <x v="7"/>
    <n v="100096"/>
    <x v="0"/>
    <s v="ELEV8 MEDIA SAS LUISA SANCHEZ"/>
    <s v="TECUTRN8M"/>
    <x v="77"/>
    <n v="1"/>
    <x v="2"/>
    <s v="Antioquia"/>
    <s v="Medellin"/>
    <s v="En alistamiento"/>
    <s v="Coordinadora"/>
    <m/>
    <m/>
    <m/>
    <s v="En transito"/>
    <s v="PTE"/>
    <s v="PTE"/>
    <s v="PTE"/>
    <m/>
    <m/>
    <m/>
  </r>
  <r>
    <d v="2025-08-28T00:00:00"/>
    <x v="7"/>
    <n v="100096"/>
    <x v="0"/>
    <s v="ELEV8 MEDIA SAS LUISA SANCHEZ"/>
    <m/>
    <x v="10"/>
    <m/>
    <x v="3"/>
    <s v="Antioquia"/>
    <s v="Medellin"/>
    <s v="En alistamiento"/>
    <s v="Coordinadora"/>
    <m/>
    <m/>
    <m/>
    <s v="En transito"/>
    <s v="PTE"/>
    <s v="PTE"/>
    <s v="PTE"/>
    <m/>
    <m/>
    <m/>
  </r>
  <r>
    <d v="2025-08-28T00:00:00"/>
    <x v="7"/>
    <n v="100097"/>
    <x v="0"/>
    <s v="Diego Fernando Franco Gonzalez"/>
    <s v="TECU3FBRO"/>
    <x v="34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7"/>
    <x v="0"/>
    <s v="Diego Fernando Franco Gonzalez"/>
    <s v="TECUTCO2C"/>
    <x v="37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7"/>
    <x v="0"/>
    <s v="Diego Fernando Franco Gonzalez"/>
    <m/>
    <x v="10"/>
    <n v="1"/>
    <x v="3"/>
    <s v="Bogotá y alrededores"/>
    <s v="Bogota"/>
    <s v="En alistamiento"/>
    <s v="Coordinadora"/>
    <m/>
    <m/>
    <m/>
    <s v="En transito"/>
    <s v="PTE"/>
    <s v="PTE"/>
    <s v="PTE"/>
    <m/>
    <m/>
    <m/>
  </r>
  <r>
    <d v="2025-08-30T00:00:00"/>
    <x v="7"/>
    <n v="100098"/>
    <x v="0"/>
    <s v="Diego Fernando Franco Gonzalez"/>
    <s v="TECUROD"/>
    <x v="31"/>
    <n v="1"/>
    <x v="7"/>
    <s v="Bogotá y alrededores"/>
    <s v="Bogota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3FNPRO"/>
    <x v="12"/>
    <n v="1"/>
    <x v="1"/>
    <s v="Antioquia"/>
    <s v="Medellin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TCO6M"/>
    <x v="24"/>
    <n v="1"/>
    <x v="2"/>
    <s v="Antioquia"/>
    <s v="Medellin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3FNPRO"/>
    <x v="12"/>
    <n v="1"/>
    <x v="1"/>
    <s v="Antioquia"/>
    <s v="Medellin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TCO5M"/>
    <x v="40"/>
    <n v="1"/>
    <x v="2"/>
    <s v="Antioquia"/>
    <s v="Medellin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CT"/>
    <x v="4"/>
    <n v="2"/>
    <x v="0"/>
    <s v="Antioquia"/>
    <s v="Medellin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BDPA"/>
    <x v="1"/>
    <n v="2"/>
    <x v="0"/>
    <s v="Antioquia"/>
    <s v="Medellin"/>
    <s v="En alistamiento"/>
    <s v="Coordinadora"/>
    <m/>
    <m/>
    <m/>
    <s v="En transito"/>
    <s v="PTE"/>
    <s v="PTE"/>
    <s v="PTE"/>
    <m/>
    <m/>
    <m/>
  </r>
  <r>
    <d v="2025-09-01T00:00:00"/>
    <x v="8"/>
    <n v="100102"/>
    <x v="0"/>
    <s v="Miguel Angel Romero Olaya"/>
    <s v="TECU3FNPRO"/>
    <x v="12"/>
    <n v="1"/>
    <x v="1"/>
    <s v="Bogotá y alrededores"/>
    <s v="Fusagasuga"/>
    <s v="En alistamiento"/>
    <s v="Coordinadora"/>
    <m/>
    <m/>
    <m/>
    <s v="En transito"/>
    <s v="PTE"/>
    <s v="PTE"/>
    <s v="PTE"/>
    <m/>
    <m/>
    <m/>
  </r>
  <r>
    <d v="2025-09-01T00:00:00"/>
    <x v="8"/>
    <n v="100102"/>
    <x v="0"/>
    <s v="Miguel Angel Romero Olaya"/>
    <s v="TECUTRN7C"/>
    <x v="60"/>
    <n v="1"/>
    <x v="2"/>
    <s v="Bogotá y alrededores"/>
    <s v="Fusagasuga"/>
    <s v="En alistamiento"/>
    <s v="Coordinadora"/>
    <m/>
    <m/>
    <m/>
    <s v="En transito"/>
    <s v="PTE"/>
    <s v="PTE"/>
    <s v="PTE"/>
    <m/>
    <m/>
    <m/>
  </r>
  <r>
    <d v="2025-09-02T00:00:00"/>
    <x v="8"/>
    <n v="100103"/>
    <x v="0"/>
    <s v="alex castro"/>
    <s v="TECU3FBRO"/>
    <x v="34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9-02T00:00:00"/>
    <x v="8"/>
    <n v="100103"/>
    <x v="0"/>
    <s v="alex castro"/>
    <s v="TECUTB2C"/>
    <x v="68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9-03T00:00:00"/>
    <x v="8"/>
    <n v="100104"/>
    <x v="0"/>
    <s v="Laura Ximena Urueña Camacho"/>
    <s v="TECU3FBCRO"/>
    <x v="66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9-03T00:00:00"/>
    <x v="8"/>
    <n v="100104"/>
    <x v="0"/>
    <s v="Laura Ximena Urueña Camacho"/>
    <s v="TECUTFE7C"/>
    <x v="53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9-03T00:00:00"/>
    <x v="8"/>
    <n v="100105"/>
    <x v="0"/>
    <s v="Matias Velez"/>
    <s v="TECU3FNPRO"/>
    <x v="12"/>
    <n v="1"/>
    <x v="1"/>
    <s v="Caldas"/>
    <s v="Manizales"/>
    <s v="En alistamiento"/>
    <s v="Coordinadora"/>
    <m/>
    <m/>
    <m/>
    <s v="En transito"/>
    <s v="PTE"/>
    <s v="PTE"/>
    <s v="PTE"/>
    <m/>
    <m/>
    <m/>
  </r>
  <r>
    <d v="2025-09-03T00:00:00"/>
    <x v="8"/>
    <n v="100105"/>
    <x v="0"/>
    <s v="Matias Velez"/>
    <s v="TECUTCO2C"/>
    <x v="37"/>
    <n v="1"/>
    <x v="2"/>
    <s v="Caldas"/>
    <s v="Manizales"/>
    <s v="En alistamiento"/>
    <s v="Coordinadora"/>
    <m/>
    <m/>
    <m/>
    <s v="En transito"/>
    <s v="PTE"/>
    <s v="PTE"/>
    <s v="PTE"/>
    <m/>
    <m/>
    <m/>
  </r>
  <r>
    <d v="2025-09-03T00:00:00"/>
    <x v="8"/>
    <n v="100106"/>
    <x v="0"/>
    <s v="Manuel Agudelo"/>
    <s v="TECU3FNPRO"/>
    <x v="12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9-03T00:00:00"/>
    <x v="8"/>
    <n v="100106"/>
    <x v="0"/>
    <s v="Manuel Agudelo"/>
    <s v="TECUTRN20C"/>
    <x v="65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9-05T00:00:00"/>
    <x v="8"/>
    <n v="100108"/>
    <x v="0"/>
    <s v="Julio Álvarez"/>
    <s v="TECU2FNG"/>
    <x v="5"/>
    <n v="1"/>
    <x v="1"/>
    <s v="Valle del Cauca"/>
    <s v="Buga"/>
    <s v="En alistamiento"/>
    <s v="Coordinadora"/>
    <m/>
    <m/>
    <m/>
    <s v="En transito"/>
    <s v="PTE"/>
    <s v="PTE"/>
    <s v="PTE"/>
    <m/>
    <m/>
    <m/>
  </r>
  <r>
    <d v="2025-09-05T00:00:00"/>
    <x v="8"/>
    <n v="100108"/>
    <x v="0"/>
    <s v="Julio Álvarez"/>
    <s v="TECUTFE6C"/>
    <x v="28"/>
    <n v="1"/>
    <x v="2"/>
    <s v="Valle del Cauca"/>
    <s v="Buga"/>
    <s v="En alistamiento"/>
    <s v="Coordinadora"/>
    <m/>
    <m/>
    <m/>
    <s v="En transito"/>
    <s v="PTE"/>
    <s v="PTE"/>
    <s v="PTE"/>
    <m/>
    <m/>
    <m/>
  </r>
  <r>
    <d v="2025-09-05T00:00:00"/>
    <x v="8"/>
    <n v="100108"/>
    <x v="0"/>
    <s v="Julio Álvarez"/>
    <s v="TECUAFE"/>
    <x v="43"/>
    <n v="1"/>
    <x v="5"/>
    <s v="Valle del Cauca"/>
    <s v="Buga"/>
    <s v="En alistamiento"/>
    <s v="Coordinadora"/>
    <m/>
    <m/>
    <m/>
    <s v="En transito"/>
    <s v="PTE"/>
    <s v="PTE"/>
    <s v="PTE"/>
    <m/>
    <m/>
    <m/>
  </r>
  <r>
    <d v="2025-09-05T00:00:00"/>
    <x v="8"/>
    <n v="100108"/>
    <x v="0"/>
    <s v="Julio Álvarez"/>
    <s v="TECUROD"/>
    <x v="31"/>
    <n v="1"/>
    <x v="7"/>
    <s v="Valle del Cauca"/>
    <s v="Buga"/>
    <s v="En alistamiento"/>
    <s v="Coordinadora"/>
    <m/>
    <m/>
    <m/>
    <s v="En transito"/>
    <s v="PTE"/>
    <s v="PTE"/>
    <s v="PTE"/>
    <m/>
    <m/>
    <m/>
  </r>
  <r>
    <d v="2025-09-09T00:00:00"/>
    <x v="8"/>
    <n v="100109"/>
    <x v="0"/>
    <s v="Frank Leao Serrato"/>
    <s v="TECULFN2"/>
    <x v="7"/>
    <n v="1"/>
    <x v="1"/>
    <s v="Bogotá y alrededores"/>
    <s v="Tocancipa"/>
    <s v="En alistamiento"/>
    <s v="Coordinadora"/>
    <m/>
    <m/>
    <m/>
    <s v="En transito"/>
    <s v="PTE"/>
    <s v="PTE"/>
    <s v="PTE"/>
    <m/>
    <m/>
    <m/>
  </r>
  <r>
    <d v="2025-09-09T00:00:00"/>
    <x v="8"/>
    <n v="100109"/>
    <x v="0"/>
    <s v="Frank Leao Serrato"/>
    <s v="TECUTLFES"/>
    <x v="63"/>
    <n v="1"/>
    <x v="2"/>
    <s v="Bogotá y alrededores"/>
    <s v="Tocancipa"/>
    <s v="En alistamiento"/>
    <s v="Coordinadora"/>
    <m/>
    <m/>
    <m/>
    <s v="En transito"/>
    <s v="PTE"/>
    <s v="PTE"/>
    <s v="PTE"/>
    <m/>
    <m/>
    <m/>
  </r>
  <r>
    <d v="2025-09-10T00:00:00"/>
    <x v="8"/>
    <n v="100110"/>
    <x v="0"/>
    <s v="Juan Jose Castaño"/>
    <s v="TECUCT"/>
    <x v="4"/>
    <n v="1"/>
    <x v="0"/>
    <s v="Bogotá y alrededores"/>
    <s v="Bogota"/>
    <s v="En alistamiento"/>
    <s v="Coordinadora"/>
    <m/>
    <m/>
    <m/>
    <s v="En transito"/>
    <s v="PTE"/>
    <s v="PTE"/>
    <s v="PTE"/>
    <m/>
    <m/>
    <m/>
  </r>
  <r>
    <d v="2025-09-11T00:00:00"/>
    <x v="8"/>
    <n v="100111"/>
    <x v="0"/>
    <s v="Diego Beltrán"/>
    <s v="TECU3FNPRO"/>
    <x v="12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9-11T00:00:00"/>
    <x v="8"/>
    <n v="100111"/>
    <x v="0"/>
    <s v="Diego Beltrán"/>
    <s v="TECUTRC8C"/>
    <x v="78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9-11T00:00:00"/>
    <x v="8"/>
    <n v="100111"/>
    <x v="0"/>
    <s v="Diego Beltrán"/>
    <s v="TECUCT"/>
    <x v="4"/>
    <n v="1"/>
    <x v="0"/>
    <s v="Bogotá y alrededores"/>
    <s v="Bogota"/>
    <s v="En alistamiento"/>
    <s v="Coordinadora"/>
    <m/>
    <m/>
    <m/>
    <s v="En transito"/>
    <s v="PTE"/>
    <s v="PTE"/>
    <s v="PTE"/>
    <m/>
    <m/>
    <m/>
  </r>
  <r>
    <d v="2025-09-11T00:00:00"/>
    <x v="8"/>
    <n v="100112"/>
    <x v="0"/>
    <s v="Lucas Salazar"/>
    <s v="TECU3FNPRO"/>
    <x v="12"/>
    <n v="1"/>
    <x v="1"/>
    <s v="Antioquia"/>
    <s v="Medellin"/>
    <s v="En alistamiento"/>
    <s v="Coordinadora"/>
    <m/>
    <m/>
    <m/>
    <s v="En transito"/>
    <s v="PTE"/>
    <s v="PTE"/>
    <s v="PTE"/>
    <m/>
    <m/>
    <m/>
  </r>
  <r>
    <d v="2025-09-11T00:00:00"/>
    <x v="8"/>
    <n v="100112"/>
    <x v="0"/>
    <s v="Lucas Salazar"/>
    <s v="TECUTRN6C"/>
    <x v="20"/>
    <n v="1"/>
    <x v="2"/>
    <s v="Antioquia"/>
    <s v="Medellin"/>
    <s v="En alistamiento"/>
    <s v="Coordinadora"/>
    <m/>
    <m/>
    <m/>
    <s v="En transito"/>
    <s v="PTE"/>
    <s v="PTE"/>
    <s v="PTE"/>
    <m/>
    <m/>
    <m/>
  </r>
  <r>
    <d v="2025-09-11T00:00:00"/>
    <x v="8"/>
    <n v="100112"/>
    <x v="0"/>
    <s v="Lucas Salazar"/>
    <s v="TECUCT"/>
    <x v="4"/>
    <n v="1"/>
    <x v="0"/>
    <s v="Antioquia"/>
    <s v="Medellin"/>
    <s v="En alistamiento"/>
    <s v="Coordinadora"/>
    <m/>
    <m/>
    <m/>
    <s v="En transito"/>
    <s v="PTE"/>
    <s v="PTE"/>
    <s v="PTE"/>
    <m/>
    <m/>
    <m/>
  </r>
  <r>
    <d v="2025-09-11T00:00:00"/>
    <x v="8"/>
    <n v="100112"/>
    <x v="0"/>
    <s v="Lucas Salazar"/>
    <m/>
    <x v="10"/>
    <n v="1"/>
    <x v="3"/>
    <s v="Antioquia"/>
    <s v="Medellin"/>
    <s v="En alistamiento"/>
    <s v="Coordinadora"/>
    <m/>
    <m/>
    <m/>
    <s v="En transito"/>
    <s v="PTE"/>
    <s v="PTE"/>
    <s v="PTE"/>
    <m/>
    <m/>
    <m/>
  </r>
  <r>
    <d v="2025-09-12T00:00:00"/>
    <x v="8"/>
    <n v="100113"/>
    <x v="0"/>
    <s v="Green Motion SAS"/>
    <s v="TECU3FBRO"/>
    <x v="34"/>
    <n v="1"/>
    <x v="1"/>
    <s v="Bogotá y alrededores"/>
    <s v="Chía"/>
    <s v="En alistamiento"/>
    <s v="Coordinadora"/>
    <m/>
    <m/>
    <m/>
    <s v="En transito"/>
    <s v="PTE"/>
    <s v="PTE"/>
    <s v="PTE"/>
    <m/>
    <m/>
    <m/>
  </r>
  <r>
    <d v="2025-09-12T00:00:00"/>
    <x v="8"/>
    <n v="100113"/>
    <x v="0"/>
    <s v="Green Motion SAS"/>
    <s v="TECUTFE6M"/>
    <x v="47"/>
    <n v="1"/>
    <x v="2"/>
    <s v="Bogotá y alrededores"/>
    <s v="Chía"/>
    <s v="En alistamiento"/>
    <s v="Coordinadora"/>
    <m/>
    <m/>
    <m/>
    <s v="En transito"/>
    <s v="PTE"/>
    <s v="PTE"/>
    <s v="PTE"/>
    <m/>
    <m/>
    <m/>
  </r>
  <r>
    <d v="2025-09-12T00:00:00"/>
    <x v="8"/>
    <n v="100113"/>
    <x v="0"/>
    <s v="Green Motion SAS"/>
    <m/>
    <x v="10"/>
    <n v="1"/>
    <x v="3"/>
    <s v="Bogotá y alrededores"/>
    <s v="Chía"/>
    <s v="En alistamiento"/>
    <s v="Coordinadora"/>
    <m/>
    <m/>
    <m/>
    <s v="En transito"/>
    <s v="PTE"/>
    <s v="PTE"/>
    <s v="PTE"/>
    <m/>
    <m/>
    <m/>
  </r>
  <r>
    <d v="2025-07-10T00:00:00"/>
    <x v="6"/>
    <s v="Luis"/>
    <x v="0"/>
    <s v="Luis - Marketing"/>
    <s v="TECU3FNPRO"/>
    <x v="12"/>
    <n v="1"/>
    <x v="1"/>
    <s v="Bogotá y alrededores"/>
    <s v="Bogota"/>
    <s v="Despachado"/>
    <s v="Coordinadora"/>
    <s v="3469534 - 84151293954"/>
    <d v="2025-07-10T00:00:00"/>
    <d v="2025-07-11T00:00:00"/>
    <s v="Entregado"/>
    <n v="0"/>
    <n v="1"/>
    <s v="Cumple"/>
    <n v="47921"/>
    <m/>
    <m/>
  </r>
  <r>
    <d v="2025-07-10T00:00:00"/>
    <x v="6"/>
    <s v="Luis"/>
    <x v="0"/>
    <s v="Luis - Marketing"/>
    <s v="TECUTCO5M"/>
    <x v="40"/>
    <n v="1"/>
    <x v="2"/>
    <s v="Bogotá y alrededores"/>
    <s v="Bogota"/>
    <s v="Despachado"/>
    <s v="Coordinadora"/>
    <s v="3469565 - 84151293964"/>
    <d v="2025-07-10T00:00:00"/>
    <d v="2025-07-11T00:00:00"/>
    <s v="Entregado"/>
    <n v="0"/>
    <n v="1"/>
    <s v="Cumple"/>
    <n v="28593"/>
    <m/>
    <m/>
  </r>
  <r>
    <d v="2025-07-10T00:00:00"/>
    <x v="6"/>
    <s v="James"/>
    <x v="0"/>
    <s v="James - Marketing"/>
    <s v="TECU2FBGO"/>
    <x v="2"/>
    <n v="1"/>
    <x v="1"/>
    <s v="Atlantico"/>
    <s v="Barranquilla"/>
    <s v="Despachado"/>
    <s v="Coordinadora"/>
    <s v="3469617 - 84151293980"/>
    <d v="2025-07-10T00:00:00"/>
    <d v="2025-07-12T00:00:00"/>
    <s v="Entregado"/>
    <n v="0"/>
    <n v="2"/>
    <s v="Cumple"/>
    <n v="66151"/>
    <m/>
    <m/>
  </r>
  <r>
    <d v="2025-07-10T00:00:00"/>
    <x v="6"/>
    <s v="James"/>
    <x v="0"/>
    <s v="James - Marketing"/>
    <s v="TECUTB2C"/>
    <x v="68"/>
    <n v="1"/>
    <x v="2"/>
    <s v="Atlantico"/>
    <s v="Barranquilla"/>
    <s v="Despachado"/>
    <s v="Coordinadora"/>
    <s v="3469599 - 84151293976"/>
    <d v="2025-07-10T00:00:00"/>
    <d v="2025-07-12T00:00:00"/>
    <s v="Entregado"/>
    <n v="0"/>
    <n v="2"/>
    <s v="Cumple"/>
    <n v="42262"/>
    <m/>
    <m/>
  </r>
  <r>
    <d v="2025-07-10T00:00:00"/>
    <x v="6"/>
    <s v="James"/>
    <x v="0"/>
    <s v="James - Marketing"/>
    <s v="TECUTB8M"/>
    <x v="50"/>
    <n v="1"/>
    <x v="2"/>
    <s v="Atlantico"/>
    <s v="Barranquilla"/>
    <s v="Despachado"/>
    <s v="Coordinadora"/>
    <s v="3491818 - 84151302131"/>
    <d v="2025-07-17T00:00:00"/>
    <d v="2025-07-21T00:00:00"/>
    <s v="Entregado"/>
    <n v="6"/>
    <n v="9"/>
    <s v="No cumple"/>
    <n v="47524"/>
    <m/>
    <m/>
  </r>
  <r>
    <d v="2025-09-16T00:00:00"/>
    <x v="8"/>
    <n v="100114"/>
    <x v="0"/>
    <s v="OSCAR FORERO - SENSE DESIGN SAS"/>
    <s v="TECULFN2"/>
    <x v="7"/>
    <n v="1"/>
    <x v="1"/>
    <s v="Bogotá y alrededores"/>
    <s v="Bogota"/>
    <s v="En alistamiento"/>
    <s v="Coordinadora"/>
    <m/>
    <m/>
    <m/>
    <m/>
    <m/>
    <m/>
    <m/>
    <m/>
    <m/>
    <m/>
  </r>
  <r>
    <d v="2025-09-16T00:00:00"/>
    <x v="8"/>
    <n v="100114"/>
    <x v="0"/>
    <s v="OSCAR FORERO - SENSE DESIGN SAS"/>
    <s v="TECUTLFES"/>
    <x v="63"/>
    <n v="1"/>
    <x v="2"/>
    <s v="Bogotá y alrededores"/>
    <s v="Bogota"/>
    <s v="En alistamiento"/>
    <s v="Coordinadora"/>
    <m/>
    <m/>
    <m/>
    <m/>
    <m/>
    <m/>
    <m/>
    <m/>
    <m/>
    <m/>
  </r>
  <r>
    <d v="2025-09-16T00:00:00"/>
    <x v="8"/>
    <n v="100114"/>
    <x v="0"/>
    <s v="OSCAR FORERO - SENSE DESIGN SAS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09-16T00:00:00"/>
    <x v="8"/>
    <n v="100115"/>
    <x v="0"/>
    <s v="Alejandro Barragan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09-16T00:00:00"/>
    <x v="8"/>
    <n v="100116"/>
    <x v="0"/>
    <s v="2D ARQUITECTOS SAS SAS"/>
    <s v="TECU2FNG"/>
    <x v="5"/>
    <n v="1"/>
    <x v="1"/>
    <s v="Bogotá y alrededores"/>
    <s v="Bogota"/>
    <s v="En alistamiento"/>
    <s v="Coordinadora"/>
    <m/>
    <m/>
    <m/>
    <m/>
    <m/>
    <m/>
    <m/>
    <m/>
    <m/>
    <m/>
  </r>
  <r>
    <d v="2025-09-17T00:00:00"/>
    <x v="8"/>
    <n v="100117"/>
    <x v="0"/>
    <s v="WILSON CARO"/>
    <s v="TECU3FNPRO"/>
    <x v="12"/>
    <n v="1"/>
    <x v="1"/>
    <s v="Atlantico"/>
    <s v="Barranquilla"/>
    <s v="En alistamiento"/>
    <s v="Coordinadora"/>
    <m/>
    <m/>
    <m/>
    <m/>
    <m/>
    <m/>
    <m/>
    <m/>
    <m/>
    <m/>
  </r>
  <r>
    <d v="2025-09-17T00:00:00"/>
    <x v="8"/>
    <n v="100117"/>
    <x v="0"/>
    <s v="WILSON CARO"/>
    <s v="TECUTFE2C"/>
    <x v="3"/>
    <n v="1"/>
    <x v="2"/>
    <s v="Atlantico"/>
    <s v="Barranquilla"/>
    <s v="En alistamiento"/>
    <s v="Coordinadora"/>
    <m/>
    <m/>
    <m/>
    <m/>
    <m/>
    <m/>
    <m/>
    <m/>
    <m/>
    <m/>
  </r>
  <r>
    <d v="2025-09-17T00:00:00"/>
    <x v="8"/>
    <n v="100117"/>
    <x v="0"/>
    <s v="WILSON CARO"/>
    <s v="TECUCT"/>
    <x v="4"/>
    <n v="1"/>
    <x v="0"/>
    <s v="Atlantico"/>
    <s v="Barranquilla"/>
    <s v="En alistamiento"/>
    <s v="Coordinadora"/>
    <m/>
    <m/>
    <m/>
    <m/>
    <m/>
    <m/>
    <m/>
    <m/>
    <m/>
    <m/>
  </r>
  <r>
    <d v="2025-09-17T00:00:00"/>
    <x v="8"/>
    <n v="100118"/>
    <x v="0"/>
    <s v="Juan Camilo Díaz Hernández"/>
    <s v="TECU3FNPRO"/>
    <x v="12"/>
    <n v="1"/>
    <x v="1"/>
    <s v="Antioquia"/>
    <s v="Copacabana"/>
    <s v="En alistamiento"/>
    <s v="Coordinadora"/>
    <m/>
    <m/>
    <m/>
    <m/>
    <m/>
    <m/>
    <m/>
    <m/>
    <m/>
    <m/>
  </r>
  <r>
    <d v="2025-09-17T00:00:00"/>
    <x v="8"/>
    <n v="100118"/>
    <x v="0"/>
    <s v="Juan Camilo Díaz Hernández"/>
    <s v="TECUTRN5C"/>
    <x v="22"/>
    <n v="1"/>
    <x v="2"/>
    <s v="Antioquia"/>
    <s v="Copacabana"/>
    <s v="En alistamiento"/>
    <s v="Coordinadora"/>
    <m/>
    <m/>
    <m/>
    <m/>
    <m/>
    <m/>
    <m/>
    <m/>
    <m/>
    <m/>
  </r>
  <r>
    <d v="2025-09-17T00:00:00"/>
    <x v="8"/>
    <n v="100118"/>
    <x v="0"/>
    <s v="Juan Camilo Díaz Hernández"/>
    <s v="TECUAN"/>
    <x v="26"/>
    <n v="1"/>
    <x v="5"/>
    <s v="Antioquia"/>
    <s v="Copacabana"/>
    <s v="En alistamiento"/>
    <s v="Coordinadora"/>
    <m/>
    <m/>
    <m/>
    <m/>
    <m/>
    <m/>
    <m/>
    <m/>
    <m/>
    <m/>
  </r>
  <r>
    <d v="2025-09-18T00:00:00"/>
    <x v="8"/>
    <n v="100119"/>
    <x v="0"/>
    <s v="Luis Miguel Arroyave Trujillo"/>
    <s v="TECU3FNPRO"/>
    <x v="12"/>
    <n v="1"/>
    <x v="1"/>
    <s v="Antioquia"/>
    <s v="Medellin"/>
    <s v="En alistamiento"/>
    <s v="Coordinadora"/>
    <m/>
    <m/>
    <m/>
    <m/>
    <m/>
    <m/>
    <m/>
    <m/>
    <m/>
    <m/>
  </r>
  <r>
    <d v="2025-09-18T00:00:00"/>
    <x v="8"/>
    <n v="100119"/>
    <x v="0"/>
    <s v="Luis Miguel Arroyave Trujillo"/>
    <s v="TECUTCO2C"/>
    <x v="37"/>
    <n v="1"/>
    <x v="2"/>
    <s v="Antioquia"/>
    <s v="Medellin"/>
    <s v="En alistamiento"/>
    <s v="Coordinadora"/>
    <m/>
    <m/>
    <m/>
    <m/>
    <m/>
    <m/>
    <m/>
    <m/>
    <m/>
    <m/>
  </r>
  <r>
    <d v="2025-09-18T00:00:00"/>
    <x v="8"/>
    <n v="100119"/>
    <x v="0"/>
    <s v="Luis Miguel Arroyave Trujillo"/>
    <m/>
    <x v="10"/>
    <n v="1"/>
    <x v="3"/>
    <s v="Antioquia"/>
    <s v="Medellin"/>
    <s v="En alistamiento"/>
    <s v="Coordinadora"/>
    <m/>
    <m/>
    <m/>
    <m/>
    <m/>
    <m/>
    <m/>
    <m/>
    <m/>
    <m/>
  </r>
  <r>
    <d v="2025-09-19T00:00:00"/>
    <x v="8"/>
    <n v="100120"/>
    <x v="0"/>
    <s v="Jose Mateo Vidal Barrera"/>
    <s v="TECU3FNPRO"/>
    <x v="12"/>
    <n v="1"/>
    <x v="1"/>
    <s v="Antioquia"/>
    <s v="Envigado"/>
    <s v="En alistamiento"/>
    <s v="Coordinadora"/>
    <m/>
    <m/>
    <m/>
    <m/>
    <m/>
    <m/>
    <m/>
    <m/>
    <m/>
    <m/>
  </r>
  <r>
    <d v="2025-09-19T00:00:00"/>
    <x v="8"/>
    <n v="100120"/>
    <x v="0"/>
    <s v="Jose Mateo Vidal Barrera"/>
    <s v="TECUTCO8C"/>
    <x v="19"/>
    <n v="1"/>
    <x v="2"/>
    <s v="Antioquia"/>
    <s v="Envigado"/>
    <s v="En alistamiento"/>
    <s v="Coordinadora"/>
    <m/>
    <m/>
    <m/>
    <m/>
    <m/>
    <m/>
    <m/>
    <m/>
    <m/>
    <m/>
  </r>
  <r>
    <d v="2025-09-22T00:00:00"/>
    <x v="8"/>
    <n v="100121"/>
    <x v="0"/>
    <s v="FRANCO GROUP SA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09-22T00:00:00"/>
    <x v="8"/>
    <n v="100121"/>
    <x v="0"/>
    <s v="FRANCO GROUP SA"/>
    <s v="TECUTCO20C"/>
    <x v="62"/>
    <n v="1"/>
    <x v="2"/>
    <s v="Bogotá y alrededores"/>
    <s v="Bogota"/>
    <s v="En alistamiento"/>
    <s v="Coordinadora"/>
    <m/>
    <m/>
    <m/>
    <m/>
    <m/>
    <m/>
    <m/>
    <m/>
    <m/>
    <m/>
  </r>
  <r>
    <d v="2025-09-22T00:00:00"/>
    <x v="8"/>
    <n v="100121"/>
    <x v="0"/>
    <s v="FRANCO GROUP SA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09-22T00:00:00"/>
    <x v="8"/>
    <n v="100121"/>
    <x v="0"/>
    <s v="FRANCO GROUP SA"/>
    <s v="TECUTCO8C"/>
    <x v="19"/>
    <n v="1"/>
    <x v="2"/>
    <s v="Bogotá y alrededores"/>
    <s v="Bogota"/>
    <s v="En alistamiento"/>
    <s v="Coordinadora"/>
    <m/>
    <m/>
    <m/>
    <m/>
    <m/>
    <m/>
    <m/>
    <m/>
    <m/>
    <m/>
  </r>
  <r>
    <d v="2025-09-22T00:00:00"/>
    <x v="8"/>
    <n v="100121"/>
    <x v="0"/>
    <s v="FRANCO GROUP SA"/>
    <s v="TECUTBANPI"/>
    <x v="9"/>
    <n v="1"/>
    <x v="0"/>
    <s v="Bogotá y alrededores"/>
    <s v="Bogota"/>
    <s v="En alistamiento"/>
    <s v="Coordinadora"/>
    <m/>
    <m/>
    <m/>
    <m/>
    <m/>
    <m/>
    <m/>
    <m/>
    <m/>
    <m/>
  </r>
  <r>
    <d v="2025-09-22T00:00:00"/>
    <x v="8"/>
    <n v="100122"/>
    <x v="0"/>
    <s v="Diego Rodriguez Baquero"/>
    <s v="TECUAB"/>
    <x v="44"/>
    <n v="1"/>
    <x v="5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s v="TECU3FNPRO"/>
    <x v="12"/>
    <n v="1"/>
    <x v="1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s v="TECUTRN8C"/>
    <x v="58"/>
    <n v="1"/>
    <x v="2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s v="TECUBDPA"/>
    <x v="1"/>
    <n v="1"/>
    <x v="0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s v="TECUDSG"/>
    <x v="64"/>
    <n v="1"/>
    <x v="4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4"/>
    <x v="0"/>
    <s v="Lorena Rincón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09-25T00:00:00"/>
    <x v="8"/>
    <n v="100125"/>
    <x v="0"/>
    <s v="Jose Luis Diaz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09-25T00:00:00"/>
    <x v="8"/>
    <n v="100125"/>
    <x v="0"/>
    <s v="Jose Luis Diaz"/>
    <s v="TECUTCO6C"/>
    <x v="16"/>
    <n v="1"/>
    <x v="2"/>
    <s v="Bogotá y alrededores"/>
    <s v="Bogota"/>
    <s v="En alistamiento"/>
    <s v="Coordinadora"/>
    <m/>
    <m/>
    <m/>
    <m/>
    <m/>
    <m/>
    <m/>
    <m/>
    <m/>
    <m/>
  </r>
  <r>
    <d v="2025-09-26T00:00:00"/>
    <x v="8"/>
    <n v="100126"/>
    <x v="0"/>
    <s v="Carlos Agudelo"/>
    <s v="TECU2FNG"/>
    <x v="5"/>
    <n v="1"/>
    <x v="1"/>
    <s v="Antioquia"/>
    <s v="Medellin"/>
    <s v="En alistamiento"/>
    <s v="Coordinadora"/>
    <m/>
    <m/>
    <m/>
    <m/>
    <m/>
    <m/>
    <m/>
    <m/>
    <m/>
    <m/>
  </r>
  <r>
    <d v="2025-09-26T00:00:00"/>
    <x v="8"/>
    <n v="100126"/>
    <x v="0"/>
    <s v="Carlos Agudelo"/>
    <s v="TECUTFE2C"/>
    <x v="3"/>
    <n v="1"/>
    <x v="2"/>
    <s v="Antioquia"/>
    <s v="Medellin"/>
    <s v="En alistamiento"/>
    <s v="Coordinadora"/>
    <m/>
    <m/>
    <m/>
    <m/>
    <m/>
    <m/>
    <m/>
    <m/>
    <m/>
    <m/>
  </r>
  <r>
    <d v="2025-09-27T00:00:00"/>
    <x v="8"/>
    <n v="100127"/>
    <x v="0"/>
    <s v="YENIREE LEAL"/>
    <s v="TECUTFE4C"/>
    <x v="14"/>
    <n v="1"/>
    <x v="2"/>
    <s v="Bogotá y alrededores"/>
    <s v="Bogota"/>
    <s v="En alistamiento"/>
    <s v="Coordinadora"/>
    <m/>
    <m/>
    <m/>
    <m/>
    <m/>
    <m/>
    <m/>
    <m/>
    <m/>
    <m/>
  </r>
  <r>
    <d v="2025-09-27T00:00:00"/>
    <x v="8"/>
    <n v="100129"/>
    <x v="0"/>
    <s v="Abstrabyte SAS"/>
    <s v="TECU3FNPRO"/>
    <x v="12"/>
    <n v="1"/>
    <x v="1"/>
    <s v="Tolima"/>
    <s v="Ibague"/>
    <s v="En alistamiento"/>
    <s v="Coordinadora"/>
    <m/>
    <m/>
    <m/>
    <m/>
    <m/>
    <m/>
    <m/>
    <m/>
    <m/>
    <m/>
  </r>
  <r>
    <d v="2025-09-27T00:00:00"/>
    <x v="8"/>
    <n v="100129"/>
    <x v="0"/>
    <s v="Abstrabyte SAS"/>
    <s v="TECUTRM5C"/>
    <x v="27"/>
    <n v="1"/>
    <x v="2"/>
    <s v="Tolima"/>
    <s v="Ibague"/>
    <s v="En alistamiento"/>
    <s v="Coordinadora"/>
    <m/>
    <m/>
    <m/>
    <m/>
    <m/>
    <m/>
    <m/>
    <m/>
    <m/>
    <m/>
  </r>
  <r>
    <d v="2025-09-27T00:00:00"/>
    <x v="8"/>
    <n v="100129"/>
    <x v="0"/>
    <s v="Abstrabyte SAS"/>
    <s v="TECUCT"/>
    <x v="4"/>
    <n v="1"/>
    <x v="0"/>
    <s v="Tolima"/>
    <s v="Ibague"/>
    <s v="En alistamiento"/>
    <s v="Coordinadora"/>
    <m/>
    <m/>
    <m/>
    <m/>
    <m/>
    <m/>
    <m/>
    <m/>
    <m/>
    <m/>
  </r>
  <r>
    <d v="2025-09-28T00:00:00"/>
    <x v="8"/>
    <n v="100130"/>
    <x v="0"/>
    <s v="Hugo Prieto"/>
    <s v="TECUAN"/>
    <x v="26"/>
    <n v="1"/>
    <x v="5"/>
    <s v="Bogotá y alrededores"/>
    <s v="Bogota"/>
    <s v="En alistamiento"/>
    <s v="Coordinadora"/>
    <m/>
    <m/>
    <m/>
    <m/>
    <m/>
    <m/>
    <m/>
    <m/>
    <m/>
    <m/>
  </r>
  <r>
    <d v="2025-09-29T00:00:00"/>
    <x v="8"/>
    <n v="100131"/>
    <x v="0"/>
    <s v="Santiago Carmona Rincon"/>
    <s v="TECUACC"/>
    <x v="48"/>
    <n v="1"/>
    <x v="5"/>
    <s v="Antioquia"/>
    <s v="Rionegro"/>
    <s v="En alistamiento"/>
    <s v="Coordinadora"/>
    <m/>
    <m/>
    <m/>
    <m/>
    <m/>
    <m/>
    <m/>
    <m/>
    <m/>
    <m/>
  </r>
  <r>
    <d v="2025-09-29T00:00:00"/>
    <x v="8"/>
    <n v="100134"/>
    <x v="0"/>
    <s v="Oscar Solano"/>
    <s v="TECU2FNG"/>
    <x v="5"/>
    <n v="1"/>
    <x v="1"/>
    <s v="Bogotá y alrededores"/>
    <s v="Bogota"/>
    <s v="En alistamiento"/>
    <s v="Coordinadora"/>
    <m/>
    <m/>
    <m/>
    <m/>
    <m/>
    <m/>
    <m/>
    <m/>
    <m/>
    <m/>
  </r>
  <r>
    <d v="2025-09-29T00:00:00"/>
    <x v="8"/>
    <n v="100134"/>
    <x v="0"/>
    <s v="Oscar Solano"/>
    <s v="TECUTCO7C"/>
    <x v="70"/>
    <n v="1"/>
    <x v="2"/>
    <s v="Bogotá y alrededores"/>
    <s v="Bogota"/>
    <s v="En alistamiento"/>
    <s v="Coordinadora"/>
    <m/>
    <m/>
    <m/>
    <m/>
    <m/>
    <m/>
    <m/>
    <m/>
    <m/>
    <m/>
  </r>
  <r>
    <d v="2025-10-01T00:00:00"/>
    <x v="9"/>
    <n v="100135"/>
    <x v="0"/>
    <s v="Hugo Prieto"/>
    <s v="TECUTRN8C"/>
    <x v="58"/>
    <n v="1"/>
    <x v="2"/>
    <s v="Bogotá y alrededores"/>
    <s v="Bogota"/>
    <s v="En alistamiento"/>
    <s v="Coordinadora"/>
    <m/>
    <m/>
    <m/>
    <m/>
    <m/>
    <m/>
    <m/>
    <m/>
    <m/>
    <m/>
  </r>
  <r>
    <d v="2025-10-01T00:00:00"/>
    <x v="9"/>
    <n v="100136"/>
    <x v="0"/>
    <s v="wpd Colombia SAS -"/>
    <s v="TECU2FNG"/>
    <x v="5"/>
    <n v="1"/>
    <x v="1"/>
    <s v="Bogotá y alrededores"/>
    <s v="Bogota"/>
    <s v="En alistamiento"/>
    <s v="Coordinadora"/>
    <m/>
    <m/>
    <m/>
    <m/>
    <m/>
    <m/>
    <m/>
    <m/>
    <m/>
    <m/>
  </r>
  <r>
    <d v="2025-10-01T00:00:00"/>
    <x v="9"/>
    <n v="100136"/>
    <x v="0"/>
    <s v="wpd Colombia SAS -"/>
    <s v="TECUTFE4C"/>
    <x v="14"/>
    <n v="1"/>
    <x v="2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7"/>
    <x v="0"/>
    <s v="Gabriel Mejia"/>
    <s v="TECU2FNG"/>
    <x v="5"/>
    <n v="1"/>
    <x v="1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7"/>
    <x v="0"/>
    <s v="Gabriel Mejia"/>
    <s v="TECUTCO6C-60"/>
    <x v="79"/>
    <n v="1"/>
    <x v="2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7"/>
    <x v="0"/>
    <s v="Gabriel Mejia"/>
    <s v="TECURFCO-80"/>
    <x v="80"/>
    <n v="1"/>
    <x v="6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7"/>
    <x v="0"/>
    <s v="Gabriel Mejia"/>
    <s v="TECUACO"/>
    <x v="15"/>
    <n v="1"/>
    <x v="5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7"/>
    <x v="0"/>
    <s v="Gabriel Mejia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8"/>
    <x v="0"/>
    <s v="Sergio Vladimir Garcia Galvis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04T00:00:00"/>
    <x v="9"/>
    <n v="100139"/>
    <x v="0"/>
    <s v="Carlos Londoño"/>
    <s v="TECU2CBC-77"/>
    <x v="81"/>
    <n v="1"/>
    <x v="5"/>
    <s v="Antioquia"/>
    <s v="Sabaneta"/>
    <s v="En alistamiento"/>
    <s v="Coordinadora"/>
    <m/>
    <m/>
    <m/>
    <m/>
    <m/>
    <m/>
    <m/>
    <m/>
    <m/>
    <m/>
  </r>
  <r>
    <d v="2025-10-04T00:00:00"/>
    <x v="9"/>
    <n v="100139"/>
    <x v="2"/>
    <s v="Carlos Londoño"/>
    <s v="TECURFCO-80"/>
    <x v="80"/>
    <n v="1"/>
    <x v="6"/>
    <s v="Antioquia"/>
    <s v="Sabaneta"/>
    <s v="En alistamiento"/>
    <s v="Coordinadora"/>
    <m/>
    <m/>
    <m/>
    <m/>
    <m/>
    <m/>
    <m/>
    <m/>
    <m/>
    <m/>
  </r>
  <r>
    <d v="2025-10-06T00:00:00"/>
    <x v="9"/>
    <n v="100140"/>
    <x v="0"/>
    <s v="Yeison Montes Valencia"/>
    <s v="TECU2FNG"/>
    <x v="5"/>
    <n v="1"/>
    <x v="1"/>
    <s v="Antioquia"/>
    <s v="Rionegro"/>
    <s v="En alistamiento"/>
    <s v="Coordinadora"/>
    <m/>
    <m/>
    <m/>
    <m/>
    <m/>
    <m/>
    <m/>
    <m/>
    <m/>
    <m/>
  </r>
  <r>
    <d v="2025-10-06T00:00:00"/>
    <x v="9"/>
    <n v="100140"/>
    <x v="0"/>
    <s v="Yeison Montes Valencia"/>
    <s v="TECUTCO5C"/>
    <x v="51"/>
    <n v="1"/>
    <x v="2"/>
    <s v="Antioquia"/>
    <s v="Rionegro"/>
    <s v="En alistamiento"/>
    <s v="Coordinadora"/>
    <m/>
    <m/>
    <m/>
    <m/>
    <m/>
    <m/>
    <m/>
    <m/>
    <m/>
    <m/>
  </r>
  <r>
    <d v="2025-10-07T00:00:00"/>
    <x v="9"/>
    <n v="100143"/>
    <x v="0"/>
    <s v="andres gutierrez"/>
    <s v="TECU3FNPRO"/>
    <x v="12"/>
    <n v="1"/>
    <x v="1"/>
    <s v="Bogotá y alrededores"/>
    <s v="Bogota"/>
    <s v="En alistamiento"/>
    <s v="Coordinadora"/>
    <m/>
    <m/>
    <m/>
    <m/>
    <m/>
    <m/>
    <m/>
    <m/>
    <m/>
    <m/>
  </r>
  <r>
    <d v="2025-10-07T00:00:00"/>
    <x v="9"/>
    <n v="100143"/>
    <x v="0"/>
    <s v="andres gutierrez"/>
    <s v="TECUTCO3C-60"/>
    <x v="82"/>
    <n v="1"/>
    <x v="2"/>
    <s v="Bogotá y alrededores"/>
    <s v="Bogota"/>
    <s v="En alistamiento"/>
    <s v="Coordinadora"/>
    <m/>
    <m/>
    <m/>
    <m/>
    <m/>
    <m/>
    <m/>
    <m/>
    <m/>
    <m/>
  </r>
  <r>
    <d v="2025-10-07T00:00:00"/>
    <x v="9"/>
    <n v="100143"/>
    <x v="0"/>
    <s v="andres gutierrez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07T00:00:00"/>
    <x v="9"/>
    <n v="100143"/>
    <x v="0"/>
    <s v="andres gutierrez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07T00:00:00"/>
    <x v="9"/>
    <n v="100144"/>
    <x v="0"/>
    <s v="JUAN CAMILO BURBANO ALVAREZ"/>
    <s v="TECU3FNPRO"/>
    <x v="12"/>
    <n v="1"/>
    <x v="1"/>
    <s v="Valle del Cauca"/>
    <s v="Cali"/>
    <s v="En alistamiento"/>
    <s v="Coordinadora"/>
    <m/>
    <m/>
    <m/>
    <m/>
    <m/>
    <m/>
    <m/>
    <m/>
    <m/>
    <m/>
  </r>
  <r>
    <d v="2025-10-07T00:00:00"/>
    <x v="9"/>
    <n v="100144"/>
    <x v="0"/>
    <s v="JUAN CAMILO BURBANO ALVAREZ"/>
    <s v="TECUTFE6C"/>
    <x v="28"/>
    <n v="1"/>
    <x v="2"/>
    <s v="Valle del Cauca"/>
    <s v="Cali"/>
    <s v="En alistamiento"/>
    <s v="Coordinadora"/>
    <m/>
    <m/>
    <m/>
    <m/>
    <m/>
    <m/>
    <m/>
    <m/>
    <m/>
    <m/>
  </r>
  <r>
    <d v="2025-10-07T00:00:00"/>
    <x v="9"/>
    <n v="100145"/>
    <x v="0"/>
    <s v="Cristiam Diaz"/>
    <s v="TECUREFE -110"/>
    <x v="83"/>
    <n v="1"/>
    <x v="6"/>
    <s v="Caqueta"/>
    <s v="Florencia"/>
    <s v="En alistamiento"/>
    <s v="Coordinadora"/>
    <m/>
    <m/>
    <m/>
    <m/>
    <m/>
    <m/>
    <m/>
    <m/>
    <m/>
    <m/>
  </r>
  <r>
    <d v="2025-10-07T00:00:00"/>
    <x v="9"/>
    <n v="100146"/>
    <x v="0"/>
    <s v="DIEGO FRANCO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09T00:00:00"/>
    <x v="9"/>
    <n v="100148"/>
    <x v="0"/>
    <s v="Giovanny Villa"/>
    <s v="TECU3FNPRO"/>
    <x v="12"/>
    <n v="1"/>
    <x v="1"/>
    <s v="Antioquia"/>
    <s v="Bello"/>
    <s v="En alistamiento"/>
    <s v="Coordinadora"/>
    <m/>
    <m/>
    <m/>
    <m/>
    <m/>
    <m/>
    <m/>
    <m/>
    <m/>
    <m/>
  </r>
  <r>
    <d v="2025-10-09T00:00:00"/>
    <x v="9"/>
    <n v="100148"/>
    <x v="0"/>
    <s v="Giovanny Villa"/>
    <s v="TECUTRM8C"/>
    <x v="49"/>
    <n v="1"/>
    <x v="2"/>
    <s v="Antioquia"/>
    <s v="Bello"/>
    <s v="En alistamiento"/>
    <s v="Coordinadora"/>
    <m/>
    <m/>
    <m/>
    <m/>
    <m/>
    <m/>
    <m/>
    <m/>
    <m/>
    <m/>
  </r>
  <r>
    <d v="2025-10-09T00:00:00"/>
    <x v="9"/>
    <n v="100148"/>
    <x v="0"/>
    <s v="Giovanny Villa"/>
    <s v="TECUCT"/>
    <x v="4"/>
    <n v="1"/>
    <x v="0"/>
    <s v="Antioquia"/>
    <s v="Bello"/>
    <s v="En alistamiento"/>
    <s v="Coordinadora"/>
    <m/>
    <m/>
    <m/>
    <m/>
    <m/>
    <m/>
    <m/>
    <m/>
    <m/>
    <m/>
  </r>
  <r>
    <d v="2025-10-09T00:00:00"/>
    <x v="9"/>
    <n v="100149"/>
    <x v="0"/>
    <s v="FRANCO GROUP SA"/>
    <s v="TECU3FNPRO"/>
    <x v="12"/>
    <n v="1"/>
    <x v="1"/>
    <s v="Bogotá y alrededores"/>
    <s v="Bogota"/>
    <s v="En alistamiento"/>
    <s v="Coordinadora"/>
    <m/>
    <m/>
    <m/>
    <m/>
    <m/>
    <m/>
    <m/>
    <m/>
    <m/>
    <m/>
  </r>
  <r>
    <d v="2025-10-09T00:00:00"/>
    <x v="9"/>
    <n v="100149"/>
    <x v="0"/>
    <s v="FRANCO GROUP SA"/>
    <s v="TECUTCO20C"/>
    <x v="62"/>
    <n v="1"/>
    <x v="2"/>
    <s v="Bogotá y alrededores"/>
    <s v="Bogota"/>
    <s v="En alistamiento"/>
    <s v="Coordinadora"/>
    <m/>
    <m/>
    <m/>
    <m/>
    <m/>
    <m/>
    <m/>
    <m/>
    <m/>
    <m/>
  </r>
  <r>
    <d v="2025-10-09T00:00:00"/>
    <x v="9"/>
    <n v="100149"/>
    <x v="0"/>
    <s v="FRANCO GROUP SA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09T00:00:00"/>
    <x v="9"/>
    <n v="100149"/>
    <x v="0"/>
    <s v="FRANCO GROUP SA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10T00:00:00"/>
    <x v="9"/>
    <n v="100150"/>
    <x v="0"/>
    <s v="Jasbeidy Yurany Perez Correa"/>
    <s v="TECUREN-80"/>
    <x v="84"/>
    <n v="1"/>
    <x v="6"/>
    <s v="Antioquia"/>
    <s v="Bello"/>
    <s v="En alistamiento"/>
    <s v="Coordinadora"/>
    <m/>
    <m/>
    <m/>
    <m/>
    <m/>
    <m/>
    <m/>
    <m/>
    <m/>
    <m/>
  </r>
  <r>
    <d v="2025-10-11T00:00:00"/>
    <x v="9"/>
    <n v="100151"/>
    <x v="0"/>
    <s v="Maria Olga Saenz Guerrero"/>
    <s v="TECU2FNG"/>
    <x v="5"/>
    <n v="1"/>
    <x v="1"/>
    <s v="Bogotá y alrededores"/>
    <s v="Soacha"/>
    <s v="En alistamiento"/>
    <s v="Coordinadora"/>
    <m/>
    <m/>
    <m/>
    <m/>
    <m/>
    <m/>
    <m/>
    <m/>
    <m/>
    <m/>
  </r>
  <r>
    <d v="2025-10-11T00:00:00"/>
    <x v="9"/>
    <n v="100151"/>
    <x v="0"/>
    <s v="Maria Olga Saenz Guerrero"/>
    <s v="TECUTFE5C"/>
    <x v="29"/>
    <n v="1"/>
    <x v="2"/>
    <s v="Bogotá y alrededores"/>
    <s v="Soacha"/>
    <s v="En alistamiento"/>
    <s v="Coordinadora"/>
    <m/>
    <m/>
    <m/>
    <m/>
    <m/>
    <m/>
    <m/>
    <m/>
    <m/>
    <m/>
  </r>
  <r>
    <d v="2025-10-13T00:00:00"/>
    <x v="9"/>
    <n v="100152"/>
    <x v="0"/>
    <s v="Manuel Ricardo CHAVARRO VARGAS"/>
    <s v="TECULFN2"/>
    <x v="7"/>
    <n v="1"/>
    <x v="1"/>
    <s v="Meta"/>
    <s v="Villavicencio"/>
    <s v="En alistamiento"/>
    <s v="Coordinadora"/>
    <m/>
    <m/>
    <m/>
    <m/>
    <m/>
    <m/>
    <m/>
    <m/>
    <m/>
    <m/>
  </r>
  <r>
    <d v="2025-10-14T00:00:00"/>
    <x v="9"/>
    <n v="100153"/>
    <x v="0"/>
    <s v="Johan Alexander Rojas Zapata"/>
    <s v="TECU3FNPRO"/>
    <x v="12"/>
    <n v="1"/>
    <x v="1"/>
    <s v="Risaralda"/>
    <s v="Dosquebradas"/>
    <s v="En alistamiento"/>
    <s v="Coordinadora"/>
    <m/>
    <m/>
    <m/>
    <m/>
    <m/>
    <m/>
    <m/>
    <m/>
    <m/>
    <m/>
  </r>
  <r>
    <d v="2025-10-14T00:00:00"/>
    <x v="9"/>
    <n v="100153"/>
    <x v="0"/>
    <s v="Johan Alexander Rojas Zapata"/>
    <s v="TECUTFE2C-60"/>
    <x v="85"/>
    <n v="1"/>
    <x v="2"/>
    <s v="Risaralda"/>
    <s v="Dosquebradas"/>
    <s v="En alistamiento"/>
    <s v="Coordinadora"/>
    <m/>
    <m/>
    <m/>
    <m/>
    <m/>
    <m/>
    <m/>
    <m/>
    <m/>
    <m/>
  </r>
  <r>
    <d v="2025-10-14T00:00:00"/>
    <x v="9"/>
    <n v="100154"/>
    <x v="0"/>
    <s v="Evelyn Castaño Bohórquez"/>
    <s v="TECUFX-T72"/>
    <x v="86"/>
    <n v="1"/>
    <x v="8"/>
    <s v="Caqueta"/>
    <s v="Florencia"/>
    <s v="En alistamiento"/>
    <s v="Coordinadora"/>
    <m/>
    <m/>
    <m/>
    <m/>
    <m/>
    <m/>
    <m/>
    <m/>
    <m/>
    <m/>
  </r>
  <r>
    <d v="2025-10-14T00:00:00"/>
    <x v="9"/>
    <n v="100154"/>
    <x v="0"/>
    <s v="Evelyn Castaño Bohórquez"/>
    <s v="TECUTCO5C-60"/>
    <x v="87"/>
    <n v="1"/>
    <x v="2"/>
    <s v="Caqueta"/>
    <s v="Florencia"/>
    <s v="En alistamiento"/>
    <s v="Coordinadora"/>
    <m/>
    <m/>
    <m/>
    <m/>
    <m/>
    <m/>
    <m/>
    <m/>
    <m/>
    <m/>
  </r>
  <r>
    <d v="2025-10-14T00:00:00"/>
    <x v="9"/>
    <n v="100154"/>
    <x v="2"/>
    <s v="Evelyn Castaño Bohórquez"/>
    <s v="TECUBDPM"/>
    <x v="0"/>
    <n v="1"/>
    <x v="0"/>
    <s v="Caqueta"/>
    <s v="Florencia"/>
    <s v="En alistamiento"/>
    <s v="Coordinadora"/>
    <m/>
    <m/>
    <m/>
    <m/>
    <m/>
    <m/>
    <m/>
    <m/>
    <m/>
    <m/>
  </r>
  <r>
    <d v="2025-10-14T00:00:00"/>
    <x v="9"/>
    <n v="100155"/>
    <x v="0"/>
    <s v="FRANCO GROUP SA"/>
    <s v="TECUDSG"/>
    <x v="64"/>
    <n v="1"/>
    <x v="4"/>
    <s v="Bogotá y alrededores"/>
    <s v="Bogota"/>
    <s v="En alistamiento"/>
    <s v="Coordinadora"/>
    <m/>
    <m/>
    <m/>
    <m/>
    <m/>
    <m/>
    <m/>
    <m/>
    <m/>
    <m/>
  </r>
  <r>
    <d v="2025-10-14T00:00:00"/>
    <x v="9"/>
    <n v="100155"/>
    <x v="0"/>
    <s v="FRANCO GROUP SA"/>
    <s v="TECUDSG"/>
    <x v="64"/>
    <n v="1"/>
    <x v="4"/>
    <s v="Bogotá y alrededores"/>
    <s v="Bogota"/>
    <s v="En alistamiento"/>
    <s v="Coordinadora"/>
    <m/>
    <m/>
    <m/>
    <m/>
    <m/>
    <m/>
    <m/>
    <m/>
    <m/>
    <m/>
  </r>
  <r>
    <d v="2025-10-16T00:00:00"/>
    <x v="9"/>
    <n v="100156"/>
    <x v="0"/>
    <s v="Hugo Prieto"/>
    <s v="TECUAN"/>
    <x v="26"/>
    <n v="1"/>
    <x v="5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s v="TECU3FNCRO"/>
    <x v="55"/>
    <n v="1"/>
    <x v="1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s v="TECUTCO4C"/>
    <x v="6"/>
    <n v="1"/>
    <x v="2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s v="TECURECO-110"/>
    <x v="88"/>
    <n v="1"/>
    <x v="6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s v="TECU2CBC-73"/>
    <x v="89"/>
    <n v="1"/>
    <x v="5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20T00:00:00"/>
    <x v="9"/>
    <n v="100159"/>
    <x v="0"/>
    <s v="Sergio Lopez"/>
    <s v="TECU3FNPRO"/>
    <x v="12"/>
    <n v="1"/>
    <x v="1"/>
    <s v="Bogotá y alrededores"/>
    <s v="Bogota"/>
    <s v="En alistamiento"/>
    <s v="Coordinadora"/>
    <m/>
    <m/>
    <m/>
    <m/>
    <m/>
    <m/>
    <m/>
    <m/>
    <m/>
    <m/>
  </r>
  <r>
    <d v="2025-10-20T00:00:00"/>
    <x v="9"/>
    <n v="100159"/>
    <x v="0"/>
    <s v="Sergio Lopez"/>
    <s v="TECUTCO3C"/>
    <x v="23"/>
    <n v="1"/>
    <x v="2"/>
    <s v="Bogotá y alrededores"/>
    <s v="Bogota"/>
    <s v="En alistamiento"/>
    <s v="Coordinadora"/>
    <m/>
    <m/>
    <m/>
    <m/>
    <m/>
    <m/>
    <m/>
    <m/>
    <m/>
    <m/>
  </r>
  <r>
    <d v="2025-10-20T00:00:00"/>
    <x v="9"/>
    <n v="100159"/>
    <x v="0"/>
    <s v="Sergio Lopez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20T00:00:00"/>
    <x v="9"/>
    <n v="100160"/>
    <x v="0"/>
    <s v="Pedro Fernandez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10-20T00:00:00"/>
    <x v="9"/>
    <n v="100160"/>
    <x v="0"/>
    <s v="Pedro Fernandez"/>
    <s v="TECUTFE9C"/>
    <x v="90"/>
    <n v="1"/>
    <x v="2"/>
    <s v="Bogotá y alrededores"/>
    <s v="Bogota"/>
    <s v="En alistamiento"/>
    <s v="Coordinadora"/>
    <m/>
    <m/>
    <m/>
    <m/>
    <m/>
    <m/>
    <m/>
    <m/>
    <m/>
    <m/>
  </r>
  <r>
    <d v="2025-10-20T00:00:00"/>
    <x v="9"/>
    <n v="100161"/>
    <x v="0"/>
    <s v="Diana Silva"/>
    <s v="TECU2FBGO"/>
    <x v="2"/>
    <n v="1"/>
    <x v="1"/>
    <s v="Bogotá y alrededores"/>
    <s v="Bogota"/>
    <s v="En alistamiento"/>
    <s v="Coordinadora"/>
    <m/>
    <m/>
    <m/>
    <m/>
    <m/>
    <m/>
    <m/>
    <m/>
    <m/>
    <m/>
  </r>
  <r>
    <d v="2025-10-20T00:00:00"/>
    <x v="9"/>
    <n v="100161"/>
    <x v="0"/>
    <s v="Diana Silva"/>
    <s v="TECUTB3C-60"/>
    <x v="91"/>
    <n v="1"/>
    <x v="2"/>
    <s v="Bogotá y alrededores"/>
    <s v="Bogota"/>
    <s v="En alistamiento"/>
    <s v="Coordinadora"/>
    <m/>
    <m/>
    <m/>
    <m/>
    <m/>
    <m/>
    <m/>
    <m/>
    <m/>
    <m/>
  </r>
  <r>
    <d v="2025-10-21T00:00:00"/>
    <x v="9"/>
    <n v="100162"/>
    <x v="0"/>
    <s v="Carlos Salazar"/>
    <s v="TECUDSG"/>
    <x v="64"/>
    <n v="1"/>
    <x v="4"/>
    <s v="Tolima"/>
    <s v="Ibague"/>
    <s v="En alistamiento"/>
    <s v="Coordinadora"/>
    <m/>
    <m/>
    <m/>
    <m/>
    <m/>
    <m/>
    <m/>
    <m/>
    <m/>
    <m/>
  </r>
  <r>
    <d v="2025-10-22T00:00:00"/>
    <x v="9"/>
    <n v="100163"/>
    <x v="0"/>
    <s v="Julian Rodriguez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10-22T00:00:00"/>
    <x v="9"/>
    <n v="100163"/>
    <x v="0"/>
    <s v="Julian Rodriguez"/>
    <s v="TECUTFE8C-80"/>
    <x v="92"/>
    <n v="1"/>
    <x v="2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4"/>
    <x v="0"/>
    <s v="Daniel Sadovnik"/>
    <s v="TECU3FNPRO"/>
    <x v="12"/>
    <n v="1"/>
    <x v="1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4"/>
    <x v="0"/>
    <s v="Daniel Sadovnik"/>
    <s v="TECUTFE8M-80"/>
    <x v="93"/>
    <n v="1"/>
    <x v="2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4"/>
    <x v="0"/>
    <s v="Daniel Sadovnik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5"/>
    <x v="0"/>
    <s v="Julian Rodriguez"/>
    <s v="TECULFN2"/>
    <x v="7"/>
    <n v="1"/>
    <x v="1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5"/>
    <x v="0"/>
    <s v="Julian Rodriguez"/>
    <s v="TECUTLRN5x5-60"/>
    <x v="94"/>
    <n v="1"/>
    <x v="2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6"/>
    <x v="0"/>
    <s v="Alberto Amaris"/>
    <s v="TECU3FNCRO"/>
    <x v="55"/>
    <n v="1"/>
    <x v="1"/>
    <s v="Bolivar"/>
    <s v="Cartagena"/>
    <s v="En alistamiento"/>
    <s v="Coordinadora"/>
    <m/>
    <m/>
    <m/>
    <m/>
    <m/>
    <m/>
    <m/>
    <m/>
    <m/>
    <m/>
  </r>
  <r>
    <d v="2025-10-24T00:00:00"/>
    <x v="9"/>
    <n v="100166"/>
    <x v="0"/>
    <s v="Alberto Amaris"/>
    <s v="TECUTB2C-60"/>
    <x v="95"/>
    <n v="1"/>
    <x v="2"/>
    <s v="Bolivar"/>
    <s v="Cartagena"/>
    <s v="En alistamiento"/>
    <s v="Coordinadora"/>
    <m/>
    <m/>
    <m/>
    <m/>
    <m/>
    <m/>
    <m/>
    <m/>
    <m/>
    <m/>
  </r>
  <r>
    <d v="2025-10-24T00:00:00"/>
    <x v="9"/>
    <n v="100166"/>
    <x v="0"/>
    <s v="Alberto Amaris"/>
    <m/>
    <x v="96"/>
    <n v="1"/>
    <x v="9"/>
    <s v="Bolivar"/>
    <s v="Cartagena"/>
    <s v="En alistamiento"/>
    <s v="Coordinadora"/>
    <m/>
    <m/>
    <m/>
    <m/>
    <m/>
    <m/>
    <m/>
    <m/>
    <m/>
    <m/>
  </r>
  <r>
    <d v="2025-10-25T00:00:00"/>
    <x v="9"/>
    <n v="100167"/>
    <x v="0"/>
    <s v="Nicholas Gooding"/>
    <s v="TECULFN2"/>
    <x v="7"/>
    <n v="1"/>
    <x v="1"/>
    <s v="Bogotá y alrededores"/>
    <s v="Bogota"/>
    <s v="En alistamiento"/>
    <s v="Coordinadora"/>
    <m/>
    <m/>
    <m/>
    <m/>
    <m/>
    <m/>
    <m/>
    <m/>
    <m/>
    <m/>
  </r>
  <r>
    <d v="2025-10-25T00:00:00"/>
    <x v="9"/>
    <n v="100167"/>
    <x v="0"/>
    <s v="Nicholas Gooding"/>
    <s v="TECUTLCCS"/>
    <x v="45"/>
    <n v="1"/>
    <x v="2"/>
    <s v="Bogotá y alrededores"/>
    <s v="Bogota"/>
    <s v="En alistamiento"/>
    <s v="Coordinadora"/>
    <m/>
    <m/>
    <m/>
    <m/>
    <m/>
    <m/>
    <m/>
    <m/>
    <m/>
    <m/>
  </r>
  <r>
    <d v="2025-10-25T00:00:00"/>
    <x v="9"/>
    <n v="100167"/>
    <x v="0"/>
    <s v="Nicholas Gooding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25T00:00:00"/>
    <x v="9"/>
    <n v="100167"/>
    <x v="0"/>
    <s v="Nicholas Gooding"/>
    <s v="TECURECO-110"/>
    <x v="88"/>
    <n v="1"/>
    <x v="6"/>
    <s v="Bogotá y alrededores"/>
    <s v="Bogota"/>
    <s v="En alistamiento"/>
    <s v="Coordinadora"/>
    <m/>
    <m/>
    <m/>
    <m/>
    <m/>
    <m/>
    <m/>
    <m/>
    <m/>
    <m/>
  </r>
  <r>
    <d v="2025-10-27T00:00:00"/>
    <x v="9"/>
    <n v="100168"/>
    <x v="0"/>
    <s v="Diego Alejandro Jaramillo Rendon"/>
    <s v="TECUTCO20C"/>
    <x v="62"/>
    <n v="1"/>
    <x v="2"/>
    <s v="Bogotá y alrededores"/>
    <s v="Bogota"/>
    <s v="En alistamiento"/>
    <s v="Coordinadora"/>
    <m/>
    <m/>
    <m/>
    <m/>
    <m/>
    <m/>
    <m/>
    <m/>
    <m/>
    <m/>
  </r>
  <r>
    <d v="2025-10-27T00:00:00"/>
    <x v="9"/>
    <n v="100169"/>
    <x v="0"/>
    <s v="Carlos Beltrán"/>
    <s v="TECU3FNPRO"/>
    <x v="12"/>
    <n v="1"/>
    <x v="1"/>
    <s v="Quindio"/>
    <s v="Armenia"/>
    <s v="En alistamiento"/>
    <s v="Entrega directa"/>
    <m/>
    <m/>
    <m/>
    <m/>
    <m/>
    <m/>
    <m/>
    <m/>
    <m/>
    <m/>
  </r>
  <r>
    <d v="2025-10-27T00:00:00"/>
    <x v="9"/>
    <n v="100169"/>
    <x v="0"/>
    <s v="Carlos Beltrán"/>
    <s v="TECUTFE8C"/>
    <x v="21"/>
    <n v="1"/>
    <x v="2"/>
    <s v="Quindio"/>
    <s v="Armenia"/>
    <s v="En alistamiento"/>
    <s v="Entrega directa"/>
    <m/>
    <m/>
    <m/>
    <m/>
    <m/>
    <m/>
    <m/>
    <m/>
    <m/>
    <m/>
  </r>
  <r>
    <d v="2025-10-31T00:00:00"/>
    <x v="9"/>
    <n v="100170"/>
    <x v="0"/>
    <s v="Andrea Rosales"/>
    <s v="TECUTFE2C"/>
    <x v="3"/>
    <n v="1"/>
    <x v="2"/>
    <s v="Antioquia"/>
    <s v="Envigado"/>
    <s v="En alistamiento"/>
    <s v="Coordinadora"/>
    <m/>
    <m/>
    <m/>
    <m/>
    <m/>
    <m/>
    <m/>
    <m/>
    <m/>
    <m/>
  </r>
  <r>
    <d v="2025-10-31T00:00:00"/>
    <x v="9"/>
    <n v="100170"/>
    <x v="0"/>
    <s v="Andrea Rosales"/>
    <s v="TECURFE"/>
    <x v="71"/>
    <n v="1"/>
    <x v="6"/>
    <s v="Antioquia"/>
    <s v="Envigado"/>
    <s v="En alistamiento"/>
    <s v="Coordinadora"/>
    <m/>
    <m/>
    <m/>
    <m/>
    <m/>
    <m/>
    <m/>
    <m/>
    <m/>
    <m/>
  </r>
  <r>
    <d v="2025-10-31T00:00:00"/>
    <x v="9"/>
    <n v="100172"/>
    <x v="0"/>
    <s v="JUAN DAVID RUIZ VALENCIA / LEAN INSTITUTE COLOMBIA"/>
    <s v="TECU3FNPRO"/>
    <x v="12"/>
    <n v="1"/>
    <x v="1"/>
    <s v="Valle del Cauca"/>
    <s v="Cali"/>
    <s v="En alistamiento"/>
    <s v="Coordinadora"/>
    <m/>
    <m/>
    <m/>
    <m/>
    <m/>
    <m/>
    <m/>
    <m/>
    <m/>
    <m/>
  </r>
  <r>
    <d v="2025-10-31T00:00:00"/>
    <x v="9"/>
    <n v="100172"/>
    <x v="0"/>
    <s v="JUAN DAVID RUIZ VALENCIA / LEAN INSTITUTE COLOMBIA"/>
    <s v="TECUTCO8C"/>
    <x v="19"/>
    <n v="1"/>
    <x v="2"/>
    <s v="Valle del Cauca"/>
    <s v="Cali"/>
    <s v="En alistamiento"/>
    <s v="Coordinadora"/>
    <m/>
    <m/>
    <m/>
    <m/>
    <m/>
    <m/>
    <m/>
    <m/>
    <m/>
    <m/>
  </r>
  <r>
    <d v="2025-10-31T00:00:00"/>
    <x v="9"/>
    <n v="100173"/>
    <x v="0"/>
    <s v="Maria Fernanda Almonacid"/>
    <s v="TECU2CUF-65"/>
    <x v="97"/>
    <n v="1"/>
    <x v="5"/>
    <s v="Bogotá y alrededores"/>
    <s v="Bogota"/>
    <s v="En alistamiento"/>
    <s v="Envia"/>
    <m/>
    <m/>
    <m/>
    <m/>
    <m/>
    <m/>
    <m/>
    <m/>
    <m/>
    <m/>
  </r>
  <r>
    <d v="2025-11-02T00:00:00"/>
    <x v="10"/>
    <n v="100174"/>
    <x v="0"/>
    <s v="Ivan Paez"/>
    <s v="TECU2FNG"/>
    <x v="5"/>
    <n v="1"/>
    <x v="1"/>
    <s v="Antioquia"/>
    <s v="Envigado"/>
    <s v="En alistamiento"/>
    <s v="Coordinadora"/>
    <m/>
    <m/>
    <m/>
    <m/>
    <m/>
    <m/>
    <m/>
    <m/>
    <m/>
    <m/>
  </r>
  <r>
    <d v="2025-11-02T00:00:00"/>
    <x v="10"/>
    <n v="100174"/>
    <x v="0"/>
    <s v="Ivan Paez"/>
    <s v="TECUTCO7C"/>
    <x v="70"/>
    <n v="1"/>
    <x v="2"/>
    <s v="Antioquia"/>
    <s v="Envigado"/>
    <s v="En alistamiento"/>
    <s v="Coordinadora"/>
    <m/>
    <m/>
    <m/>
    <m/>
    <m/>
    <m/>
    <m/>
    <m/>
    <m/>
    <m/>
  </r>
  <r>
    <d v="2025-11-02T00:00:00"/>
    <x v="10"/>
    <n v="100174"/>
    <x v="0"/>
    <s v="Ivan Paez"/>
    <s v="TECURECO-110"/>
    <x v="88"/>
    <n v="1"/>
    <x v="6"/>
    <s v="Antioquia"/>
    <s v="Envigado"/>
    <s v="En alistamiento"/>
    <s v="Coordinadora"/>
    <m/>
    <m/>
    <m/>
    <m/>
    <m/>
    <m/>
    <m/>
    <m/>
    <m/>
    <m/>
  </r>
  <r>
    <d v="2025-11-02T00:00:00"/>
    <x v="10"/>
    <n v="100174"/>
    <x v="0"/>
    <s v="Ivan Paez"/>
    <s v="TECUCT"/>
    <x v="4"/>
    <n v="1"/>
    <x v="0"/>
    <s v="Antioquia"/>
    <s v="Envigado"/>
    <s v="En alistamiento"/>
    <s v="Coordinadora"/>
    <m/>
    <m/>
    <m/>
    <m/>
    <m/>
    <m/>
    <m/>
    <m/>
    <m/>
    <m/>
  </r>
  <r>
    <d v="2025-11-02T00:00:00"/>
    <x v="10"/>
    <n v="100174"/>
    <x v="0"/>
    <s v="Ivan Paez"/>
    <m/>
    <x v="10"/>
    <n v="1"/>
    <x v="3"/>
    <s v="Antioquia"/>
    <s v="Envigado"/>
    <s v="En alistamiento"/>
    <s v="Coordinadora"/>
    <m/>
    <m/>
    <m/>
    <m/>
    <m/>
    <m/>
    <m/>
    <m/>
    <m/>
    <m/>
  </r>
  <r>
    <d v="2025-11-06T00:00:00"/>
    <x v="10"/>
    <n v="100175"/>
    <x v="0"/>
    <s v="FRANCO GROUP SA"/>
    <s v="TECUDSG"/>
    <x v="64"/>
    <n v="1"/>
    <x v="4"/>
    <s v="Bogotá y alrededores"/>
    <s v="Bogota"/>
    <s v="En alistamiento"/>
    <m/>
    <m/>
    <m/>
    <m/>
    <m/>
    <m/>
    <m/>
    <m/>
    <m/>
    <m/>
    <m/>
  </r>
  <r>
    <d v="2025-11-06T00:00:00"/>
    <x v="10"/>
    <n v="100176"/>
    <x v="0"/>
    <s v="FRANCO GROUP SA"/>
    <s v="TECUDSG"/>
    <x v="64"/>
    <n v="2"/>
    <x v="4"/>
    <s v="Meta"/>
    <s v="Villavicencio"/>
    <s v="En alistamiento"/>
    <m/>
    <m/>
    <m/>
    <m/>
    <m/>
    <m/>
    <m/>
    <m/>
    <m/>
    <m/>
    <m/>
  </r>
  <r>
    <d v="2025-11-07T00:00:00"/>
    <x v="10"/>
    <n v="100177"/>
    <x v="0"/>
    <s v="Laura Tatiana Florian Hernandez"/>
    <s v="TECURECO-80"/>
    <x v="98"/>
    <n v="1"/>
    <x v="6"/>
    <s v="Bogotá y alrededores"/>
    <s v="Bogota"/>
    <s v="En alistamiento"/>
    <m/>
    <m/>
    <m/>
    <m/>
    <m/>
    <m/>
    <m/>
    <m/>
    <m/>
    <m/>
    <m/>
  </r>
  <r>
    <d v="2025-11-07T00:00:00"/>
    <x v="10"/>
    <n v="100178"/>
    <x v="0"/>
    <s v="Sebastian Garcia Ospina"/>
    <s v="TECUREFE -110"/>
    <x v="83"/>
    <n v="1"/>
    <x v="6"/>
    <s v="Bogotá y alrededores"/>
    <s v="Chía"/>
    <s v="En alistamiento"/>
    <m/>
    <m/>
    <m/>
    <m/>
    <m/>
    <m/>
    <m/>
    <m/>
    <m/>
    <m/>
    <m/>
  </r>
  <r>
    <d v="2025-11-08T00:00:00"/>
    <x v="10"/>
    <n v="100179"/>
    <x v="0"/>
    <s v="DATA AND AI CONSULTING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08T00:00:00"/>
    <x v="10"/>
    <n v="100179"/>
    <x v="0"/>
    <s v="DATA AND AI CONSULTING"/>
    <s v="TECUTFE6C-80"/>
    <x v="99"/>
    <n v="1"/>
    <x v="2"/>
    <s v="Bogotá y alrededores"/>
    <s v="Bogota"/>
    <s v="En alistamiento"/>
    <m/>
    <m/>
    <m/>
    <m/>
    <m/>
    <m/>
    <m/>
    <m/>
    <m/>
    <m/>
    <m/>
  </r>
  <r>
    <d v="2025-11-08T00:00:00"/>
    <x v="10"/>
    <n v="100180"/>
    <x v="0"/>
    <s v="Diego Rodriguez"/>
    <s v="TECU3FNPRO"/>
    <x v="12"/>
    <n v="1"/>
    <x v="1"/>
    <s v="Bogotá y alrededores"/>
    <s v="Mosquera"/>
    <s v="En alistamiento"/>
    <m/>
    <m/>
    <m/>
    <m/>
    <m/>
    <m/>
    <m/>
    <m/>
    <m/>
    <m/>
    <m/>
  </r>
  <r>
    <d v="2025-11-09T00:00:00"/>
    <x v="10"/>
    <n v="100181"/>
    <x v="0"/>
    <s v="JORGE CAMILO"/>
    <s v="TECU3FNPRO"/>
    <x v="12"/>
    <n v="1"/>
    <x v="1"/>
    <s v="Guajira"/>
    <s v="Maicao"/>
    <s v="En alistamiento"/>
    <m/>
    <m/>
    <m/>
    <m/>
    <m/>
    <m/>
    <m/>
    <m/>
    <m/>
    <m/>
    <m/>
  </r>
  <r>
    <d v="2025-11-09T00:00:00"/>
    <x v="10"/>
    <n v="100181"/>
    <x v="0"/>
    <s v="JORGE CAMILO"/>
    <s v="TECUTRN20C-80"/>
    <x v="100"/>
    <n v="1"/>
    <x v="2"/>
    <s v="Guajira"/>
    <s v="Maicao"/>
    <s v="En alistamiento"/>
    <m/>
    <m/>
    <m/>
    <m/>
    <m/>
    <m/>
    <m/>
    <m/>
    <m/>
    <m/>
    <m/>
  </r>
  <r>
    <d v="2025-11-09T00:00:00"/>
    <x v="10"/>
    <n v="100182"/>
    <x v="0"/>
    <s v="JAM TRADING PRO SAS"/>
    <s v="TECULFN2"/>
    <x v="7"/>
    <n v="1"/>
    <x v="1"/>
    <s v="Bogotá y alrededores"/>
    <s v="Bogota"/>
    <s v="En alistamiento"/>
    <m/>
    <m/>
    <m/>
    <m/>
    <m/>
    <m/>
    <m/>
    <m/>
    <m/>
    <m/>
    <m/>
  </r>
  <r>
    <d v="2025-11-09T00:00:00"/>
    <x v="10"/>
    <n v="100182"/>
    <x v="0"/>
    <s v="JAM TRADING PRO SAS"/>
    <s v="TECUTLFE8x5-60"/>
    <x v="101"/>
    <n v="1"/>
    <x v="2"/>
    <s v="Bogotá y alrededores"/>
    <s v="Bogota"/>
    <s v="En alistamiento"/>
    <m/>
    <m/>
    <m/>
    <m/>
    <m/>
    <m/>
    <m/>
    <m/>
    <m/>
    <m/>
    <m/>
  </r>
  <r>
    <d v="2025-11-09T00:00:00"/>
    <x v="10"/>
    <n v="100182"/>
    <x v="0"/>
    <s v="JAM TRADING PRO SAS"/>
    <s v="TECURFFE -80"/>
    <x v="102"/>
    <n v="1"/>
    <x v="6"/>
    <s v="Bogotá y alrededores"/>
    <s v="Bogota"/>
    <s v="En alistamiento"/>
    <m/>
    <m/>
    <m/>
    <m/>
    <m/>
    <m/>
    <m/>
    <m/>
    <m/>
    <m/>
    <m/>
  </r>
  <r>
    <d v="2025-11-09T00:00:00"/>
    <x v="10"/>
    <n v="100182"/>
    <x v="0"/>
    <s v="JAM TRADING PRO SAS"/>
    <s v="TECU2CBF-73"/>
    <x v="103"/>
    <n v="1"/>
    <x v="5"/>
    <s v="Bogotá y alrededores"/>
    <s v="Bogota"/>
    <s v="En alistamiento"/>
    <m/>
    <m/>
    <m/>
    <m/>
    <m/>
    <m/>
    <m/>
    <m/>
    <m/>
    <m/>
    <m/>
  </r>
  <r>
    <d v="2025-11-09T00:00:00"/>
    <x v="10"/>
    <n v="100182"/>
    <x v="0"/>
    <s v="JAM TRADING PRO SAS"/>
    <s v="TECUBDPA"/>
    <x v="1"/>
    <n v="1"/>
    <x v="0"/>
    <s v="Bogotá y alrededores"/>
    <s v="Bogota"/>
    <s v="En alistamiento"/>
    <m/>
    <m/>
    <m/>
    <m/>
    <m/>
    <m/>
    <m/>
    <m/>
    <m/>
    <m/>
    <m/>
  </r>
  <r>
    <d v="2025-11-09T00:00:00"/>
    <x v="10"/>
    <n v="100182"/>
    <x v="0"/>
    <s v="JAM TRADING PRO SAS"/>
    <m/>
    <x v="10"/>
    <n v="1"/>
    <x v="3"/>
    <s v="Bogotá y alrededores"/>
    <s v="Bogota"/>
    <s v="En alistamiento"/>
    <m/>
    <m/>
    <m/>
    <m/>
    <m/>
    <m/>
    <m/>
    <m/>
    <m/>
    <m/>
    <m/>
  </r>
  <r>
    <d v="2025-11-14T00:00:00"/>
    <x v="10"/>
    <n v="100183"/>
    <x v="0"/>
    <s v="DCM SYSTEM SAS"/>
    <s v="TECU3FNCRO"/>
    <x v="55"/>
    <n v="1"/>
    <x v="1"/>
    <s v="Atlantico"/>
    <s v="Barranquilla"/>
    <s v="En alistamiento"/>
    <m/>
    <m/>
    <m/>
    <m/>
    <m/>
    <m/>
    <m/>
    <m/>
    <m/>
    <m/>
    <m/>
  </r>
  <r>
    <d v="2025-11-14T00:00:00"/>
    <x v="10"/>
    <n v="100183"/>
    <x v="0"/>
    <s v="DCM SYSTEM SAS"/>
    <s v="TECUTB7C"/>
    <x v="38"/>
    <n v="1"/>
    <x v="2"/>
    <s v="Atlantico"/>
    <s v="Barranquilla"/>
    <s v="En alistamiento"/>
    <m/>
    <m/>
    <m/>
    <m/>
    <m/>
    <m/>
    <m/>
    <m/>
    <m/>
    <m/>
    <m/>
  </r>
  <r>
    <d v="2025-11-14T00:00:00"/>
    <x v="10"/>
    <n v="100184"/>
    <x v="0"/>
    <s v="Jorge Esteban Ariza Hernández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14T00:00:00"/>
    <x v="10"/>
    <n v="100184"/>
    <x v="0"/>
    <s v="Jorge Esteban Ariza Hernández"/>
    <s v="TECUTCO8C"/>
    <x v="19"/>
    <n v="1"/>
    <x v="2"/>
    <s v="Bogotá y alrededores"/>
    <s v="Bogota"/>
    <s v="En alistamiento"/>
    <m/>
    <m/>
    <m/>
    <m/>
    <m/>
    <m/>
    <m/>
    <m/>
    <m/>
    <m/>
    <m/>
  </r>
  <r>
    <d v="2025-11-15T00:00:00"/>
    <x v="10"/>
    <n v="100185"/>
    <x v="0"/>
    <s v="Guillermo Castano"/>
    <s v="TECU2FBGO"/>
    <x v="2"/>
    <n v="1"/>
    <x v="1"/>
    <s v="Risaralda"/>
    <s v="Pereira"/>
    <s v="En alistamiento"/>
    <m/>
    <m/>
    <m/>
    <m/>
    <m/>
    <m/>
    <m/>
    <m/>
    <m/>
    <m/>
    <m/>
  </r>
  <r>
    <d v="2025-11-15T00:00:00"/>
    <x v="10"/>
    <n v="100185"/>
    <x v="0"/>
    <s v="Guillermo Castano"/>
    <s v="TECUTRN2C-60"/>
    <x v="104"/>
    <n v="1"/>
    <x v="2"/>
    <s v="Risaralda"/>
    <s v="Pereira"/>
    <s v="En alistamiento"/>
    <m/>
    <m/>
    <m/>
    <m/>
    <m/>
    <m/>
    <m/>
    <m/>
    <m/>
    <m/>
    <m/>
  </r>
  <r>
    <d v="2025-11-18T00:00:00"/>
    <x v="10"/>
    <n v="100187"/>
    <x v="0"/>
    <s v="Luisa Fernanda Acosta Castillo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18T00:00:00"/>
    <x v="10"/>
    <n v="100187"/>
    <x v="0"/>
    <s v="Luisa Fernanda Acosta Castillo"/>
    <s v="TECUTFE6C"/>
    <x v="28"/>
    <n v="1"/>
    <x v="2"/>
    <s v="Bogotá y alrededores"/>
    <s v="Bogota"/>
    <s v="En alistamiento"/>
    <m/>
    <m/>
    <m/>
    <m/>
    <m/>
    <m/>
    <m/>
    <m/>
    <m/>
    <m/>
    <m/>
  </r>
  <r>
    <d v="2025-11-18T00:00:00"/>
    <x v="10"/>
    <n v="100188"/>
    <x v="0"/>
    <s v="Fabian Marquez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18T00:00:00"/>
    <x v="10"/>
    <n v="100188"/>
    <x v="0"/>
    <s v="Fabian Marquez"/>
    <s v="TECUTFE5M"/>
    <x v="74"/>
    <n v="1"/>
    <x v="2"/>
    <s v="Bogotá y alrededores"/>
    <s v="Bogota"/>
    <s v="En alistamiento"/>
    <m/>
    <m/>
    <m/>
    <m/>
    <m/>
    <m/>
    <m/>
    <m/>
    <m/>
    <m/>
    <m/>
  </r>
  <r>
    <d v="2025-11-18T00:00:00"/>
    <x v="10"/>
    <n v="100188"/>
    <x v="0"/>
    <s v="Fabian Marquez"/>
    <s v="TECUDSG"/>
    <x v="64"/>
    <n v="1"/>
    <x v="4"/>
    <s v="Bogotá y alrededores"/>
    <s v="Bogota"/>
    <s v="En alistamiento"/>
    <m/>
    <m/>
    <m/>
    <m/>
    <m/>
    <m/>
    <m/>
    <m/>
    <m/>
    <m/>
    <m/>
  </r>
  <r>
    <d v="2025-11-19T00:00:00"/>
    <x v="10"/>
    <n v="100189"/>
    <x v="0"/>
    <s v="Marcela González"/>
    <s v="TECU3FBRO"/>
    <x v="34"/>
    <n v="1"/>
    <x v="1"/>
    <s v="Valle del Cauca"/>
    <s v="Cali"/>
    <s v="En alistamiento"/>
    <m/>
    <m/>
    <m/>
    <m/>
    <m/>
    <m/>
    <m/>
    <m/>
    <m/>
    <m/>
    <m/>
  </r>
  <r>
    <d v="2025-11-19T00:00:00"/>
    <x v="10"/>
    <n v="100189"/>
    <x v="0"/>
    <s v="Marcela González"/>
    <s v="TECUTFE4C-60"/>
    <x v="105"/>
    <n v="1"/>
    <x v="2"/>
    <s v="Valle del Cauca"/>
    <s v="Cali"/>
    <s v="En alistamiento"/>
    <m/>
    <m/>
    <m/>
    <m/>
    <m/>
    <m/>
    <m/>
    <m/>
    <m/>
    <m/>
    <m/>
  </r>
  <r>
    <d v="2025-11-19T00:00:00"/>
    <x v="10"/>
    <n v="100190"/>
    <x v="0"/>
    <s v="Marcelo Fumagalli"/>
    <s v="TECU3FNPRO"/>
    <x v="12"/>
    <n v="1"/>
    <x v="1"/>
    <s v="Antioquia"/>
    <s v="Medellin"/>
    <s v="En alistamiento"/>
    <m/>
    <m/>
    <m/>
    <m/>
    <m/>
    <m/>
    <m/>
    <m/>
    <m/>
    <m/>
    <m/>
  </r>
  <r>
    <d v="2025-11-19T00:00:00"/>
    <x v="10"/>
    <n v="100190"/>
    <x v="0"/>
    <s v="Marcelo Fumagalli"/>
    <s v="TECUTB6C-80"/>
    <x v="106"/>
    <n v="1"/>
    <x v="2"/>
    <s v="Antioquia"/>
    <s v="Medellin"/>
    <s v="En alistamiento"/>
    <m/>
    <m/>
    <m/>
    <m/>
    <m/>
    <m/>
    <m/>
    <m/>
    <m/>
    <m/>
    <m/>
  </r>
  <r>
    <d v="2025-11-19T00:00:00"/>
    <x v="10"/>
    <n v="100191"/>
    <x v="0"/>
    <s v="Jose Araque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19T00:00:00"/>
    <x v="10"/>
    <n v="100191"/>
    <x v="0"/>
    <s v="Jose Araque"/>
    <s v="TECUTB6C-80"/>
    <x v="106"/>
    <n v="1"/>
    <x v="2"/>
    <s v="Bogotá y alrededores"/>
    <s v="Bogota"/>
    <s v="En alistamiento"/>
    <m/>
    <m/>
    <m/>
    <m/>
    <m/>
    <m/>
    <m/>
    <m/>
    <m/>
    <m/>
    <m/>
  </r>
  <r>
    <d v="2025-11-19T00:00:00"/>
    <x v="10"/>
    <n v="100191"/>
    <x v="0"/>
    <s v="Jose Araque"/>
    <m/>
    <x v="10"/>
    <n v="1"/>
    <x v="3"/>
    <s v="Bogotá y alrededores"/>
    <s v="Bogota"/>
    <s v="En alistamiento"/>
    <m/>
    <m/>
    <m/>
    <m/>
    <m/>
    <m/>
    <m/>
    <m/>
    <m/>
    <m/>
    <m/>
  </r>
  <r>
    <d v="2025-11-19T00:00:00"/>
    <x v="10"/>
    <n v="100192"/>
    <x v="0"/>
    <s v="Bramdon Murillo"/>
    <s v="TECU2FNG"/>
    <x v="5"/>
    <n v="1"/>
    <x v="1"/>
    <s v="Bogotá y alrededores"/>
    <s v="Bogota"/>
    <s v="En alistamiento"/>
    <m/>
    <m/>
    <m/>
    <m/>
    <m/>
    <m/>
    <m/>
    <m/>
    <m/>
    <m/>
    <m/>
  </r>
  <r>
    <d v="2025-11-19T00:00:00"/>
    <x v="10"/>
    <n v="100192"/>
    <x v="0"/>
    <s v="Bramdon Murillo"/>
    <s v="TECUTCO5C"/>
    <x v="51"/>
    <n v="1"/>
    <x v="2"/>
    <s v="Bogotá y alrededores"/>
    <s v="Bogota"/>
    <s v="En alistamiento"/>
    <m/>
    <m/>
    <m/>
    <m/>
    <m/>
    <m/>
    <m/>
    <m/>
    <m/>
    <m/>
    <m/>
  </r>
  <r>
    <d v="2025-11-20T00:00:00"/>
    <x v="10"/>
    <n v="100193"/>
    <x v="0"/>
    <s v="Edgar Cervantes De Los Rios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20T00:00:00"/>
    <x v="10"/>
    <n v="100193"/>
    <x v="0"/>
    <s v="Edgar Cervantes De Los Rios"/>
    <s v="TECUTCO2C-60"/>
    <x v="107"/>
    <n v="1"/>
    <x v="2"/>
    <s v="Bogotá y alrededores"/>
    <s v="Bogota"/>
    <s v="En alistamiento"/>
    <m/>
    <m/>
    <m/>
    <m/>
    <m/>
    <m/>
    <m/>
    <m/>
    <m/>
    <m/>
    <m/>
  </r>
  <r>
    <d v="2025-11-21T00:00:00"/>
    <x v="10"/>
    <n v="100194"/>
    <x v="0"/>
    <s v="Cristian Andres Cruz Suazo"/>
    <s v="TECU3FNPRO"/>
    <x v="12"/>
    <n v="1"/>
    <x v="1"/>
    <s v="Quindio"/>
    <s v="Armenia"/>
    <s v="En alistamiento"/>
    <m/>
    <m/>
    <m/>
    <m/>
    <m/>
    <m/>
    <m/>
    <m/>
    <m/>
    <m/>
    <m/>
  </r>
  <r>
    <d v="2025-11-21T00:00:00"/>
    <x v="10"/>
    <n v="100194"/>
    <x v="0"/>
    <s v="Cristian Andres Cruz Suazo"/>
    <s v="TECUTCO9C"/>
    <x v="108"/>
    <n v="1"/>
    <x v="2"/>
    <s v="Quindio"/>
    <s v="Armenia"/>
    <s v="En alistamiento"/>
    <m/>
    <m/>
    <m/>
    <m/>
    <m/>
    <m/>
    <m/>
    <m/>
    <m/>
    <m/>
    <m/>
  </r>
  <r>
    <d v="2025-11-22T00:00:00"/>
    <x v="10"/>
    <n v="100195"/>
    <x v="0"/>
    <s v="Stephany Sánchez Vergel"/>
    <s v="TECU2FNG"/>
    <x v="5"/>
    <n v="1"/>
    <x v="1"/>
    <s v="Bogotá y alrededores"/>
    <s v="Bogota"/>
    <s v="En alistamiento"/>
    <m/>
    <m/>
    <m/>
    <m/>
    <m/>
    <m/>
    <m/>
    <m/>
    <m/>
    <m/>
    <m/>
  </r>
  <r>
    <d v="2025-11-22T00:00:00"/>
    <x v="10"/>
    <n v="100195"/>
    <x v="0"/>
    <s v="Stephany Sánchez Vergel"/>
    <s v="TECUTCO2C-60"/>
    <x v="107"/>
    <n v="1"/>
    <x v="2"/>
    <s v="Bogotá y alrededores"/>
    <s v="Bogota"/>
    <s v="En alistamiento"/>
    <m/>
    <m/>
    <m/>
    <m/>
    <m/>
    <m/>
    <m/>
    <m/>
    <m/>
    <m/>
    <m/>
  </r>
  <r>
    <d v="2025-11-22T00:00:00"/>
    <x v="10"/>
    <n v="100196"/>
    <x v="0"/>
    <s v="Jaime David Burbano Montoya"/>
    <s v="TECU3FNCRO"/>
    <x v="55"/>
    <n v="1"/>
    <x v="1"/>
    <s v="Valle del Cauca"/>
    <s v="Cali"/>
    <s v="En alistamiento"/>
    <m/>
    <m/>
    <m/>
    <m/>
    <m/>
    <m/>
    <m/>
    <m/>
    <m/>
    <m/>
    <m/>
  </r>
  <r>
    <d v="2025-11-22T00:00:00"/>
    <x v="10"/>
    <n v="100196"/>
    <x v="0"/>
    <s v="Jaime David Burbano Montoya"/>
    <s v="TECUTFE5C-80"/>
    <x v="109"/>
    <n v="1"/>
    <x v="2"/>
    <s v="Valle del Cauca"/>
    <s v="Cali"/>
    <s v="En alistamiento"/>
    <m/>
    <m/>
    <m/>
    <m/>
    <m/>
    <m/>
    <m/>
    <m/>
    <m/>
    <m/>
    <m/>
  </r>
  <r>
    <d v="2025-11-22T00:00:00"/>
    <x v="10"/>
    <n v="100196"/>
    <x v="0"/>
    <s v="Jaime David Burbano Montoya"/>
    <s v="TECUCT"/>
    <x v="4"/>
    <n v="1"/>
    <x v="0"/>
    <s v="Valle del Cauca"/>
    <s v="Cali"/>
    <s v="En alistamiento"/>
    <m/>
    <m/>
    <m/>
    <m/>
    <m/>
    <m/>
    <m/>
    <m/>
    <m/>
    <m/>
    <m/>
  </r>
  <r>
    <d v="2025-11-23T00:00:00"/>
    <x v="10"/>
    <n v="100197"/>
    <x v="0"/>
    <s v="Luis Perez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23T00:00:00"/>
    <x v="10"/>
    <n v="100197"/>
    <x v="0"/>
    <s v="Luis Perez"/>
    <s v="TECUTFE4C"/>
    <x v="14"/>
    <n v="1"/>
    <x v="2"/>
    <s v="Bogotá y alrededores"/>
    <s v="Bogota"/>
    <s v="En alistamiento"/>
    <m/>
    <m/>
    <m/>
    <m/>
    <m/>
    <m/>
    <m/>
    <m/>
    <m/>
    <m/>
    <m/>
  </r>
  <r>
    <d v="2025-11-24T00:00:00"/>
    <x v="10"/>
    <n v="100198"/>
    <x v="0"/>
    <s v="Juan Pablo Lalinde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24T00:00:00"/>
    <x v="10"/>
    <n v="100198"/>
    <x v="0"/>
    <s v="Juan Pablo Lalinde"/>
    <s v="TECUTRM8C"/>
    <x v="49"/>
    <n v="1"/>
    <x v="2"/>
    <s v="Bogotá y alrededores"/>
    <s v="Bogota"/>
    <s v="En alistamiento"/>
    <m/>
    <m/>
    <m/>
    <m/>
    <m/>
    <m/>
    <m/>
    <m/>
    <m/>
    <m/>
    <m/>
  </r>
  <r>
    <d v="2025-11-24T00:00:00"/>
    <x v="10"/>
    <n v="100198"/>
    <x v="0"/>
    <s v="Juan Pablo Lalinde"/>
    <s v="TECUCT"/>
    <x v="4"/>
    <n v="1"/>
    <x v="0"/>
    <s v="Bogotá y alrededores"/>
    <s v="Bogota"/>
    <s v="En alistamiento"/>
    <m/>
    <m/>
    <m/>
    <m/>
    <m/>
    <m/>
    <m/>
    <m/>
    <m/>
    <m/>
    <m/>
  </r>
  <r>
    <d v="2025-11-24T00:00:00"/>
    <x v="10"/>
    <n v="100199"/>
    <x v="0"/>
    <s v="John Alejandro Nunez Giraldo"/>
    <s v="TECURCO"/>
    <x v="30"/>
    <n v="1"/>
    <x v="6"/>
    <s v="Antioquia"/>
    <s v="Marinilla"/>
    <s v="En alistamiento"/>
    <m/>
    <m/>
    <m/>
    <m/>
    <m/>
    <m/>
    <m/>
    <m/>
    <m/>
    <m/>
    <m/>
  </r>
  <r>
    <d v="2025-11-24T00:00:00"/>
    <x v="10"/>
    <n v="100200"/>
    <x v="0"/>
    <s v="Laura Alvarez"/>
    <s v="TECU2FBGO"/>
    <x v="2"/>
    <n v="1"/>
    <x v="1"/>
    <s v="Antioquia"/>
    <s v="Medellin"/>
    <s v="En alistamiento"/>
    <m/>
    <m/>
    <m/>
    <m/>
    <m/>
    <m/>
    <m/>
    <m/>
    <m/>
    <m/>
    <m/>
  </r>
  <r>
    <d v="2025-11-24T00:00:00"/>
    <x v="10"/>
    <n v="100200"/>
    <x v="0"/>
    <s v="Laura Alvarez"/>
    <s v="TECUTRN2C-60"/>
    <x v="104"/>
    <n v="1"/>
    <x v="2"/>
    <s v="Antioquia"/>
    <s v="Medellin"/>
    <s v="En alistamiento"/>
    <m/>
    <m/>
    <m/>
    <m/>
    <m/>
    <m/>
    <m/>
    <m/>
    <m/>
    <m/>
    <m/>
  </r>
  <r>
    <d v="2025-11-24T00:00:00"/>
    <x v="10"/>
    <n v="100201"/>
    <x v="0"/>
    <s v="jose gabriel guzman lopez"/>
    <s v="TECUCT"/>
    <x v="4"/>
    <n v="1"/>
    <x v="0"/>
    <s v="Antioquia"/>
    <s v="Sabaneta"/>
    <s v="En alistamiento"/>
    <m/>
    <m/>
    <m/>
    <m/>
    <m/>
    <m/>
    <m/>
    <m/>
    <m/>
    <m/>
    <m/>
  </r>
  <r>
    <d v="2025-11-24T00:00:00"/>
    <x v="10"/>
    <n v="100202"/>
    <x v="0"/>
    <s v="Cristian Fernando Alvarez Trujillo"/>
    <s v="TECU2CBC-65"/>
    <x v="110"/>
    <n v="1"/>
    <x v="5"/>
    <s v="Huila"/>
    <s v="Neiva"/>
    <s v="En alistamiento"/>
    <m/>
    <m/>
    <m/>
    <m/>
    <m/>
    <m/>
    <m/>
    <m/>
    <m/>
    <m/>
    <m/>
  </r>
  <r>
    <d v="2025-11-24T00:00:00"/>
    <x v="10"/>
    <n v="100203"/>
    <x v="0"/>
    <s v="Daniela Paola Maestre Iglesias"/>
    <s v="TECU2FBGO"/>
    <x v="2"/>
    <n v="1"/>
    <x v="1"/>
    <s v="Antioquia"/>
    <s v="Itagui"/>
    <s v="En alistamiento"/>
    <m/>
    <m/>
    <m/>
    <m/>
    <m/>
    <m/>
    <m/>
    <m/>
    <m/>
    <m/>
    <m/>
  </r>
  <r>
    <d v="2025-11-24T00:00:00"/>
    <x v="10"/>
    <n v="100203"/>
    <x v="0"/>
    <s v="Daniela Paola Maestre Iglesias"/>
    <s v="TECUTFE4C-60"/>
    <x v="105"/>
    <n v="1"/>
    <x v="2"/>
    <s v="Antioquia"/>
    <s v="Itagui"/>
    <s v="En alistamiento"/>
    <m/>
    <m/>
    <m/>
    <m/>
    <m/>
    <m/>
    <m/>
    <m/>
    <m/>
    <m/>
    <m/>
  </r>
  <r>
    <d v="2025-11-24T00:00:00"/>
    <x v="10"/>
    <n v="100204"/>
    <x v="0"/>
    <s v="Karen Prieto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24T00:00:00"/>
    <x v="10"/>
    <n v="100204"/>
    <x v="0"/>
    <s v="Karen Prieto"/>
    <s v="TECUTFE4C"/>
    <x v="14"/>
    <n v="1"/>
    <x v="2"/>
    <s v="Bogotá y alrededores"/>
    <s v="Bogota"/>
    <s v="En alistamiento"/>
    <m/>
    <m/>
    <m/>
    <m/>
    <m/>
    <m/>
    <m/>
    <m/>
    <m/>
    <m/>
    <m/>
  </r>
  <r>
    <d v="2025-11-25T00:00:00"/>
    <x v="10"/>
    <n v="100205"/>
    <x v="0"/>
    <s v="Daniel Marcano"/>
    <s v="TECU2FBGO"/>
    <x v="2"/>
    <n v="1"/>
    <x v="1"/>
    <s v="Manizales"/>
    <s v="Caldas"/>
    <s v="En alistamiento"/>
    <m/>
    <m/>
    <m/>
    <m/>
    <m/>
    <m/>
    <m/>
    <m/>
    <m/>
    <m/>
    <m/>
  </r>
  <r>
    <d v="2025-11-25T00:00:00"/>
    <x v="10"/>
    <n v="100205"/>
    <x v="0"/>
    <s v="Daniel Marcano"/>
    <s v="TECUTCO2C-60"/>
    <x v="107"/>
    <n v="1"/>
    <x v="2"/>
    <s v="Manizales"/>
    <s v="Caldas"/>
    <s v="En alistamiento"/>
    <m/>
    <m/>
    <m/>
    <m/>
    <m/>
    <m/>
    <m/>
    <m/>
    <m/>
    <m/>
    <m/>
  </r>
  <r>
    <d v="2025-11-25T00:00:00"/>
    <x v="10"/>
    <n v="100206"/>
    <x v="0"/>
    <s v="Alexander Vergara"/>
    <s v="TECU3FNPRO"/>
    <x v="12"/>
    <n v="1"/>
    <x v="1"/>
    <s v="Antioquia"/>
    <s v="Bello"/>
    <s v="En alistamiento"/>
    <m/>
    <m/>
    <m/>
    <m/>
    <m/>
    <m/>
    <m/>
    <m/>
    <m/>
    <m/>
    <m/>
  </r>
  <r>
    <d v="2025-11-25T00:00:00"/>
    <x v="10"/>
    <n v="100206"/>
    <x v="0"/>
    <s v="Alexander Vergara"/>
    <s v="TECUTRN5C"/>
    <x v="22"/>
    <n v="1"/>
    <x v="2"/>
    <s v="Antioquia"/>
    <s v="Bello"/>
    <s v="En alistamiento"/>
    <m/>
    <m/>
    <m/>
    <m/>
    <m/>
    <m/>
    <m/>
    <m/>
    <m/>
    <m/>
    <m/>
  </r>
  <r>
    <d v="2025-11-26T00:00:00"/>
    <x v="10"/>
    <n v="100207"/>
    <x v="0"/>
    <s v="Jorge Ferro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26T00:00:00"/>
    <x v="10"/>
    <n v="100207"/>
    <x v="0"/>
    <s v="Jorge Ferro"/>
    <s v="TECUTFE6C-60"/>
    <x v="111"/>
    <n v="1"/>
    <x v="2"/>
    <s v="Bogotá y alrededores"/>
    <s v="Bogota"/>
    <s v="En alistamiento"/>
    <m/>
    <m/>
    <m/>
    <m/>
    <m/>
    <m/>
    <m/>
    <m/>
    <m/>
    <m/>
    <m/>
  </r>
  <r>
    <d v="2025-11-27T00:00:00"/>
    <x v="10"/>
    <n v="100208"/>
    <x v="0"/>
    <s v="Juan Diego Betancur"/>
    <s v="TECULFN2"/>
    <x v="7"/>
    <n v="1"/>
    <x v="1"/>
    <s v="Antioquia"/>
    <s v="Carmen de Viboral"/>
    <s v="En alistamiento"/>
    <m/>
    <m/>
    <m/>
    <m/>
    <m/>
    <m/>
    <m/>
    <m/>
    <m/>
    <m/>
    <m/>
  </r>
  <r>
    <d v="2025-11-27T00:00:00"/>
    <x v="10"/>
    <n v="100208"/>
    <x v="0"/>
    <s v="Juan Diego Betancur"/>
    <s v="TECUTLCO5x70"/>
    <x v="112"/>
    <n v="1"/>
    <x v="2"/>
    <s v="Antioquia"/>
    <s v="Carmen de Viboral"/>
    <s v="En alistamiento"/>
    <m/>
    <m/>
    <m/>
    <m/>
    <m/>
    <m/>
    <m/>
    <m/>
    <m/>
    <m/>
    <m/>
  </r>
  <r>
    <d v="2025-11-27T00:00:00"/>
    <x v="10"/>
    <n v="100208"/>
    <x v="0"/>
    <s v="Juan Diego Betancur"/>
    <s v="TECUCT"/>
    <x v="4"/>
    <n v="1"/>
    <x v="0"/>
    <s v="Antioquia"/>
    <s v="Carmen de Viboral"/>
    <s v="En alistamiento"/>
    <m/>
    <m/>
    <m/>
    <m/>
    <m/>
    <m/>
    <m/>
    <m/>
    <m/>
    <m/>
    <m/>
  </r>
  <r>
    <d v="2025-11-27T00:00:00"/>
    <x v="10"/>
    <n v="100209"/>
    <x v="0"/>
    <s v="Andres Sanchez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27T00:00:00"/>
    <x v="10"/>
    <n v="100210"/>
    <x v="0"/>
    <s v="Víctor Julio Cañas Rincón"/>
    <s v="TECU3FNPRO"/>
    <x v="12"/>
    <n v="1"/>
    <x v="1"/>
    <s v="Boyaca"/>
    <s v="Nobsa"/>
    <s v="En alistamiento"/>
    <m/>
    <m/>
    <m/>
    <m/>
    <m/>
    <m/>
    <m/>
    <m/>
    <m/>
    <m/>
    <m/>
  </r>
  <r>
    <d v="2025-11-27T00:00:00"/>
    <x v="10"/>
    <n v="100210"/>
    <x v="0"/>
    <s v="Víctor Julio Cañas Rincón"/>
    <s v="TECUTCO6C"/>
    <x v="16"/>
    <n v="1"/>
    <x v="2"/>
    <s v="Boyaca"/>
    <s v="Nobsa"/>
    <s v="En alistamiento"/>
    <m/>
    <m/>
    <m/>
    <m/>
    <m/>
    <m/>
    <m/>
    <m/>
    <m/>
    <m/>
    <m/>
  </r>
  <r>
    <d v="2025-11-28T00:00:00"/>
    <x v="10"/>
    <n v="100211"/>
    <x v="0"/>
    <s v="Ma.C Gutierrez Arquitectos sas"/>
    <s v="TECULFN2"/>
    <x v="7"/>
    <n v="1"/>
    <x v="1"/>
    <s v="Bogotá y alrededores"/>
    <s v="Bogota"/>
    <s v="En alistamiento"/>
    <m/>
    <m/>
    <m/>
    <m/>
    <m/>
    <m/>
    <m/>
    <m/>
    <m/>
    <m/>
    <m/>
  </r>
  <r>
    <d v="2025-11-28T00:00:00"/>
    <x v="10"/>
    <n v="100212"/>
    <x v="0"/>
    <s v="Sergio Acosta"/>
    <s v="TECUTCO6C-60"/>
    <x v="79"/>
    <n v="1"/>
    <x v="2"/>
    <s v="Boyaca"/>
    <s v="Tunja"/>
    <s v="En alistamiento"/>
    <m/>
    <m/>
    <m/>
    <m/>
    <m/>
    <m/>
    <m/>
    <m/>
    <m/>
    <m/>
    <m/>
  </r>
  <r>
    <d v="2025-11-28T00:00:00"/>
    <x v="10"/>
    <n v="100212"/>
    <x v="0"/>
    <s v="Sergio Acosta"/>
    <s v="TECU2CBC-73"/>
    <x v="89"/>
    <n v="1"/>
    <x v="5"/>
    <s v="Boyaca"/>
    <s v="Tunja"/>
    <s v="En alistamiento"/>
    <m/>
    <m/>
    <m/>
    <m/>
    <m/>
    <m/>
    <m/>
    <m/>
    <m/>
    <m/>
    <m/>
  </r>
  <r>
    <d v="2025-11-28T00:00:00"/>
    <x v="10"/>
    <n v="100212"/>
    <x v="0"/>
    <s v="Sergio Acosta"/>
    <s v="TECUFX-E72"/>
    <x v="113"/>
    <n v="1"/>
    <x v="8"/>
    <s v="Boyaca"/>
    <s v="Tunja"/>
    <s v="En alistamiento"/>
    <m/>
    <m/>
    <m/>
    <m/>
    <m/>
    <m/>
    <m/>
    <m/>
    <m/>
    <m/>
    <m/>
  </r>
  <r>
    <d v="2025-11-28T00:00:00"/>
    <x v="10"/>
    <n v="100213"/>
    <x v="0"/>
    <s v="Santiago Jaramillo"/>
    <s v="TECU3FNPRO"/>
    <x v="12"/>
    <n v="1"/>
    <x v="1"/>
    <s v="Antioquia"/>
    <s v="Envigado"/>
    <s v="En alistamiento"/>
    <m/>
    <m/>
    <m/>
    <m/>
    <m/>
    <m/>
    <m/>
    <m/>
    <m/>
    <m/>
    <m/>
  </r>
  <r>
    <d v="2025-11-28T00:00:00"/>
    <x v="10"/>
    <n v="100213"/>
    <x v="0"/>
    <s v="Santiago Jaramillo"/>
    <s v="TECUTFE2C-80"/>
    <x v="114"/>
    <n v="1"/>
    <x v="2"/>
    <s v="Antioquia"/>
    <s v="Envigado"/>
    <s v="En alistamiento"/>
    <m/>
    <m/>
    <m/>
    <m/>
    <m/>
    <m/>
    <m/>
    <m/>
    <m/>
    <m/>
    <m/>
  </r>
  <r>
    <d v="2025-11-28T00:00:00"/>
    <x v="10"/>
    <n v="100214"/>
    <x v="0"/>
    <s v="Lizeth Lopez"/>
    <s v="TECU3FBRO"/>
    <x v="34"/>
    <n v="1"/>
    <x v="1"/>
    <s v="Antioquia"/>
    <s v="Sabaneta"/>
    <s v="En alistamiento"/>
    <m/>
    <m/>
    <m/>
    <m/>
    <m/>
    <m/>
    <m/>
    <m/>
    <m/>
    <m/>
    <m/>
  </r>
  <r>
    <d v="2025-11-28T00:00:00"/>
    <x v="10"/>
    <n v="100214"/>
    <x v="0"/>
    <s v="Lizeth Lopez"/>
    <s v="TECUTFE7C"/>
    <x v="53"/>
    <n v="1"/>
    <x v="2"/>
    <s v="Antioquia"/>
    <s v="Sabaneta"/>
    <s v="En alistamiento"/>
    <m/>
    <m/>
    <m/>
    <m/>
    <m/>
    <m/>
    <m/>
    <m/>
    <m/>
    <m/>
    <m/>
  </r>
  <r>
    <d v="2025-11-28T00:00:00"/>
    <x v="10"/>
    <n v="100215"/>
    <x v="0"/>
    <s v="Cristian David Naranjo Trejos"/>
    <s v="TECURFE"/>
    <x v="71"/>
    <n v="1"/>
    <x v="6"/>
    <s v="Valle del Cauca"/>
    <s v="Cali"/>
    <s v="En alistamiento"/>
    <m/>
    <m/>
    <m/>
    <m/>
    <m/>
    <m/>
    <m/>
    <m/>
    <m/>
    <m/>
    <m/>
  </r>
  <r>
    <d v="2025-11-28T00:00:00"/>
    <x v="10"/>
    <n v="100216"/>
    <x v="0"/>
    <s v="Cristian Camilo Castro Peña"/>
    <s v="TECU3FNPRO"/>
    <x v="12"/>
    <n v="1"/>
    <x v="1"/>
    <s v="Manizales"/>
    <s v="Caldas"/>
    <s v="En alistamiento"/>
    <m/>
    <m/>
    <m/>
    <m/>
    <m/>
    <m/>
    <m/>
    <m/>
    <m/>
    <m/>
    <m/>
  </r>
  <r>
    <d v="2025-11-28T00:00:00"/>
    <x v="10"/>
    <n v="100216"/>
    <x v="0"/>
    <s v="Cristian Camilo Castro Peña"/>
    <s v="TECUTFE5M"/>
    <x v="74"/>
    <n v="1"/>
    <x v="2"/>
    <s v="Manizales"/>
    <s v="Caldas"/>
    <s v="En alistamiento"/>
    <m/>
    <m/>
    <m/>
    <m/>
    <m/>
    <m/>
    <m/>
    <m/>
    <m/>
    <m/>
    <m/>
  </r>
  <r>
    <d v="2025-11-28T00:00:00"/>
    <x v="10"/>
    <n v="100217"/>
    <x v="0"/>
    <s v="Víctor Claudio Vladimir Cortés Arévalo"/>
    <s v="TECUBDPM"/>
    <x v="0"/>
    <n v="1"/>
    <x v="0"/>
    <s v="Bogotá y alrededores"/>
    <s v="Bogota"/>
    <s v="En alistamiento"/>
    <m/>
    <m/>
    <m/>
    <m/>
    <m/>
    <m/>
    <m/>
    <m/>
    <m/>
    <m/>
    <m/>
  </r>
  <r>
    <d v="2025-11-29T00:00:00"/>
    <x v="10"/>
    <n v="100218"/>
    <x v="0"/>
    <s v="Juliana Barajas"/>
    <s v="TECU2FBGO"/>
    <x v="2"/>
    <n v="1"/>
    <x v="1"/>
    <s v="Bogotá y alrededores"/>
    <s v="Bogota"/>
    <s v="En alistamiento"/>
    <m/>
    <m/>
    <m/>
    <m/>
    <m/>
    <m/>
    <m/>
    <m/>
    <m/>
    <m/>
    <m/>
  </r>
  <r>
    <d v="2025-11-29T00:00:00"/>
    <x v="10"/>
    <n v="100218"/>
    <x v="0"/>
    <s v="Juliana Barajas"/>
    <s v="TECUTFE3C-60"/>
    <x v="115"/>
    <n v="1"/>
    <x v="2"/>
    <s v="Bogotá y alrededores"/>
    <s v="Bogota"/>
    <s v="En alistamiento"/>
    <m/>
    <m/>
    <m/>
    <m/>
    <m/>
    <m/>
    <m/>
    <m/>
    <m/>
    <m/>
    <m/>
  </r>
  <r>
    <d v="2025-11-29T00:00:00"/>
    <x v="10"/>
    <n v="100219"/>
    <x v="0"/>
    <s v="Manuel Zapata"/>
    <s v="TECU2FNG"/>
    <x v="5"/>
    <n v="1"/>
    <x v="1"/>
    <s v="Antioquia"/>
    <s v="Bello"/>
    <s v="En alistamiento"/>
    <m/>
    <m/>
    <m/>
    <m/>
    <m/>
    <m/>
    <m/>
    <m/>
    <m/>
    <m/>
    <m/>
  </r>
  <r>
    <d v="2025-11-29T00:00:00"/>
    <x v="10"/>
    <n v="100219"/>
    <x v="0"/>
    <s v="Manuel Zapata"/>
    <s v="TECUTCO2C-60"/>
    <x v="107"/>
    <n v="1"/>
    <x v="2"/>
    <s v="Antioquia"/>
    <s v="Bello"/>
    <s v="En alistamiento"/>
    <m/>
    <m/>
    <m/>
    <m/>
    <m/>
    <m/>
    <m/>
    <m/>
    <m/>
    <m/>
    <m/>
  </r>
  <r>
    <d v="2025-11-29T00:00:00"/>
    <x v="10"/>
    <n v="100219"/>
    <x v="0"/>
    <s v="Manuel Zapata"/>
    <s v="TECURCO"/>
    <x v="30"/>
    <n v="1"/>
    <x v="6"/>
    <s v="Antioquia"/>
    <s v="Bello"/>
    <s v="En alistamiento"/>
    <m/>
    <m/>
    <m/>
    <m/>
    <m/>
    <m/>
    <m/>
    <m/>
    <m/>
    <m/>
    <m/>
  </r>
  <r>
    <d v="2025-11-29T00:00:00"/>
    <x v="10"/>
    <n v="100219"/>
    <x v="0"/>
    <s v="Manuel Zapata"/>
    <s v="TECUCT"/>
    <x v="4"/>
    <n v="1"/>
    <x v="0"/>
    <s v="Antioquia"/>
    <s v="Bello"/>
    <s v="En alistamiento"/>
    <m/>
    <m/>
    <m/>
    <m/>
    <m/>
    <m/>
    <m/>
    <m/>
    <m/>
    <m/>
    <m/>
  </r>
  <r>
    <d v="2025-11-29T00:00:00"/>
    <x v="10"/>
    <n v="100219"/>
    <x v="0"/>
    <s v="Manuel Zapata"/>
    <s v="TECUDSG"/>
    <x v="64"/>
    <n v="1"/>
    <x v="4"/>
    <s v="Antioquia"/>
    <s v="Bello"/>
    <s v="En alistamiento"/>
    <m/>
    <m/>
    <m/>
    <m/>
    <m/>
    <m/>
    <m/>
    <m/>
    <m/>
    <m/>
    <m/>
  </r>
  <r>
    <d v="2025-11-29T00:00:00"/>
    <x v="10"/>
    <n v="100220"/>
    <x v="0"/>
    <s v="Sebastian Medrano"/>
    <s v="TECU2FNG"/>
    <x v="5"/>
    <n v="1"/>
    <x v="1"/>
    <s v="Antioquia"/>
    <s v="Medellin"/>
    <s v="En alistamiento"/>
    <m/>
    <m/>
    <m/>
    <m/>
    <m/>
    <m/>
    <m/>
    <m/>
    <m/>
    <m/>
    <m/>
  </r>
  <r>
    <d v="2025-11-29T00:00:00"/>
    <x v="10"/>
    <n v="100220"/>
    <x v="0"/>
    <s v="Sebastian Medrano"/>
    <s v="TECUTFE2C"/>
    <x v="3"/>
    <n v="1"/>
    <x v="2"/>
    <s v="Antioquia"/>
    <s v="Medellin"/>
    <s v="En alistamiento"/>
    <m/>
    <m/>
    <m/>
    <m/>
    <m/>
    <m/>
    <m/>
    <m/>
    <m/>
    <m/>
    <m/>
  </r>
  <r>
    <d v="2025-11-29T00:00:00"/>
    <x v="10"/>
    <n v="100220"/>
    <x v="0"/>
    <s v="Sebastian Medrano"/>
    <s v="TECUCT"/>
    <x v="4"/>
    <n v="1"/>
    <x v="0"/>
    <s v="Antioquia"/>
    <s v="Medellin"/>
    <s v="En alistamiento"/>
    <m/>
    <m/>
    <m/>
    <m/>
    <m/>
    <m/>
    <m/>
    <m/>
    <m/>
    <m/>
    <m/>
  </r>
  <r>
    <d v="2025-11-30T00:00:00"/>
    <x v="10"/>
    <n v="100221"/>
    <x v="0"/>
    <s v="Camilo Ortiz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30T00:00:00"/>
    <x v="10"/>
    <n v="100221"/>
    <x v="0"/>
    <s v="Camilo Ortiz"/>
    <s v="TECUTRN2C"/>
    <x v="11"/>
    <n v="1"/>
    <x v="2"/>
    <s v="Bogotá y alrededores"/>
    <s v="Bogota"/>
    <s v="En alistamiento"/>
    <m/>
    <m/>
    <m/>
    <m/>
    <m/>
    <m/>
    <m/>
    <m/>
    <m/>
    <m/>
    <m/>
  </r>
  <r>
    <d v="2025-11-30T00:00:00"/>
    <x v="10"/>
    <n v="100224"/>
    <x v="0"/>
    <s v="Andres David Varela"/>
    <s v="TECU2FBGO"/>
    <x v="2"/>
    <n v="1"/>
    <x v="1"/>
    <s v="Valle del Cauca"/>
    <s v="Palmira"/>
    <s v="En alistamiento"/>
    <m/>
    <m/>
    <m/>
    <m/>
    <m/>
    <m/>
    <m/>
    <m/>
    <m/>
    <m/>
    <m/>
  </r>
  <r>
    <d v="2025-11-30T00:00:00"/>
    <x v="10"/>
    <n v="100224"/>
    <x v="0"/>
    <s v="Andres David Varela"/>
    <s v="TECUTFE8C"/>
    <x v="21"/>
    <n v="1"/>
    <x v="2"/>
    <s v="Valle del Cauca"/>
    <s v="Palmira"/>
    <s v="En alistamiento"/>
    <m/>
    <m/>
    <m/>
    <m/>
    <m/>
    <m/>
    <m/>
    <m/>
    <m/>
    <m/>
    <m/>
  </r>
  <r>
    <d v="2025-11-30T00:00:00"/>
    <x v="10"/>
    <n v="100225"/>
    <x v="0"/>
    <s v="Andres Ortiz"/>
    <s v="TECU3FNPRO"/>
    <x v="12"/>
    <n v="1"/>
    <x v="1"/>
    <s v="Valle del Cauca"/>
    <s v="Cali"/>
    <s v="En alistamiento"/>
    <m/>
    <m/>
    <m/>
    <m/>
    <m/>
    <m/>
    <m/>
    <m/>
    <m/>
    <m/>
    <m/>
  </r>
  <r>
    <d v="2025-11-30T00:00:00"/>
    <x v="10"/>
    <n v="100225"/>
    <x v="0"/>
    <s v="Andres Ortiz"/>
    <s v="TECUTCO8C"/>
    <x v="19"/>
    <n v="1"/>
    <x v="2"/>
    <s v="Valle del Cauca"/>
    <s v="Cali"/>
    <s v="En alistamiento"/>
    <m/>
    <m/>
    <m/>
    <m/>
    <m/>
    <m/>
    <m/>
    <m/>
    <m/>
    <m/>
    <m/>
  </r>
  <r>
    <d v="2025-11-30T00:00:00"/>
    <x v="10"/>
    <n v="100226"/>
    <x v="0"/>
    <s v="Andres Ortiz"/>
    <s v="TECUCT"/>
    <x v="4"/>
    <n v="1"/>
    <x v="0"/>
    <s v="Valle del Cauca"/>
    <s v="Cali"/>
    <s v="En alistamiento"/>
    <m/>
    <m/>
    <m/>
    <m/>
    <m/>
    <m/>
    <m/>
    <m/>
    <m/>
    <m/>
    <m/>
  </r>
  <r>
    <d v="2025-11-30T00:00:00"/>
    <x v="10"/>
    <n v="100226"/>
    <x v="0"/>
    <s v="Andres Ortiz"/>
    <s v="TECU2CBC-65"/>
    <x v="110"/>
    <n v="1"/>
    <x v="5"/>
    <s v="Valle del Cauca"/>
    <s v="Cali"/>
    <s v="En alistamiento"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d v="2026-01-02T00:00:00"/>
    <x v="0"/>
    <n v="100245"/>
    <x v="0"/>
    <s v="German Toro"/>
    <s v="TECUACO"/>
    <s v="Archivador TECU  Caramelo"/>
    <n v="1"/>
    <x v="0"/>
    <x v="0"/>
    <x v="0"/>
    <x v="0"/>
    <s v="Envía"/>
    <s v="4000927-954101369750"/>
    <d v="2026-01-13T00:00:00"/>
    <d v="2026-01-14T00:00:00"/>
    <s v="Entregado"/>
    <n v="6"/>
    <n v="7"/>
    <x v="0"/>
    <n v="2"/>
    <x v="0"/>
    <n v="71906"/>
    <m/>
    <x v="0"/>
    <m/>
  </r>
  <r>
    <d v="2026-01-04T00:00:00"/>
    <x v="0"/>
    <n v="100246"/>
    <x v="0"/>
    <s v="Lizeth lopez"/>
    <s v="TECUACO"/>
    <s v="Archivador TECU  Caramelo"/>
    <n v="1"/>
    <x v="0"/>
    <x v="1"/>
    <x v="1"/>
    <x v="0"/>
    <s v="Envía"/>
    <s v="400089 -954101369783"/>
    <d v="2026-01-13T00:00:00"/>
    <d v="2026-01-14T00:00:00"/>
    <s v="Entregado"/>
    <n v="6"/>
    <n v="7"/>
    <x v="0"/>
    <n v="2"/>
    <x v="0"/>
    <n v="68327"/>
    <m/>
    <x v="0"/>
    <m/>
  </r>
  <r>
    <d v="2026-01-04T00:00:00"/>
    <x v="0"/>
    <n v="100246"/>
    <x v="0"/>
    <s v="Lizeth lopez"/>
    <s v="TECUAFE"/>
    <s v="Archivador TECU Fresno Europeo"/>
    <n v="1"/>
    <x v="0"/>
    <x v="1"/>
    <x v="1"/>
    <x v="0"/>
    <s v="Envía"/>
    <s v="4000898-954101369742"/>
    <d v="2026-01-13T00:00:00"/>
    <d v="2026-01-14T00:00:00"/>
    <s v="Entregado"/>
    <n v="6"/>
    <n v="7"/>
    <x v="0"/>
    <n v="2"/>
    <x v="0"/>
    <n v="68327"/>
    <m/>
    <x v="0"/>
    <m/>
  </r>
  <r>
    <d v="2026-01-05T00:00:00"/>
    <x v="0"/>
    <n v="100248"/>
    <x v="0"/>
    <s v="Andres Naranjo"/>
    <s v="TECUCT"/>
    <s v="Bandeja de cables"/>
    <n v="1"/>
    <x v="1"/>
    <x v="2"/>
    <x v="2"/>
    <x v="0"/>
    <s v="Coordinadora"/>
    <s v="3980164-84151477420"/>
    <d v="2026-01-05T00:00:00"/>
    <d v="2026-01-06T00:00:00"/>
    <s v="Entregado"/>
    <n v="0"/>
    <n v="1"/>
    <x v="1"/>
    <n v="0"/>
    <x v="1"/>
    <n v="26681"/>
    <m/>
    <x v="1"/>
    <m/>
  </r>
  <r>
    <d v="2026-01-05T00:00:00"/>
    <x v="0"/>
    <n v="100249"/>
    <x v="0"/>
    <s v="Adriana Urrea"/>
    <s v="TECUTFE2C-60"/>
    <s v="Superficie Escritorio Fresno Europeo 120x60 Clasico Small"/>
    <n v="1"/>
    <x v="2"/>
    <x v="1"/>
    <x v="3"/>
    <x v="0"/>
    <s v="Coordinadora"/>
    <s v="3987477-84151480114"/>
    <d v="2026-01-07T00:00:00"/>
    <d v="2026-01-08T00:00:00"/>
    <s v="Entregado"/>
    <n v="2"/>
    <n v="3"/>
    <x v="1"/>
    <n v="0"/>
    <x v="1"/>
    <n v="25952"/>
    <m/>
    <x v="1"/>
    <m/>
  </r>
  <r>
    <d v="2026-01-05T00:00:00"/>
    <x v="0"/>
    <n v="100249"/>
    <x v="0"/>
    <s v="Adriana Urrea"/>
    <s v="TECU2FNG"/>
    <s v="Electric Standing Desk GO Negro"/>
    <n v="1"/>
    <x v="3"/>
    <x v="1"/>
    <x v="3"/>
    <x v="0"/>
    <s v="Coordinadora"/>
    <s v="3987474-84151480113"/>
    <d v="2026-01-07T00:00:00"/>
    <d v="2026-01-08T00:00:00"/>
    <s v="Entregado"/>
    <n v="2"/>
    <n v="3"/>
    <x v="1"/>
    <n v="0"/>
    <x v="1"/>
    <n v="43114"/>
    <m/>
    <x v="1"/>
    <m/>
  </r>
  <r>
    <d v="2026-01-05T00:00:00"/>
    <x v="0"/>
    <n v="100250"/>
    <x v="0"/>
    <s v="Duvan Sarmiento"/>
    <s v="TECUTCO2C-60"/>
    <s v="Superficie Escritorio Caramelo 120x60 Clasico Small"/>
    <n v="1"/>
    <x v="2"/>
    <x v="3"/>
    <x v="4"/>
    <x v="0"/>
    <s v="Coordinadora"/>
    <s v="3987838-84151480227"/>
    <d v="2026-01-07T00:00:00"/>
    <d v="2026-01-08T00:00:00"/>
    <s v="Entregado"/>
    <n v="2"/>
    <n v="3"/>
    <x v="1"/>
    <n v="0"/>
    <x v="1"/>
    <n v="25952"/>
    <m/>
    <x v="1"/>
    <m/>
  </r>
  <r>
    <d v="2026-01-05T00:00:00"/>
    <x v="0"/>
    <n v="100250"/>
    <x v="0"/>
    <s v="Duvan Sarmiento"/>
    <s v="TECU3FBRO"/>
    <s v="Electric Standing Desk  PRO Blanco"/>
    <n v="1"/>
    <x v="3"/>
    <x v="3"/>
    <x v="4"/>
    <x v="0"/>
    <s v="Coordinadora"/>
    <s v="3987834-84151480226"/>
    <d v="2026-01-07T00:00:00"/>
    <d v="2026-01-08T00:00:00"/>
    <s v="Entregado"/>
    <n v="2"/>
    <n v="3"/>
    <x v="1"/>
    <n v="0"/>
    <x v="1"/>
    <n v="43114"/>
    <m/>
    <x v="1"/>
    <m/>
  </r>
  <r>
    <d v="2026-01-05T00:00:00"/>
    <x v="0"/>
    <n v="100250"/>
    <x v="0"/>
    <s v="Duvan Sarmiento"/>
    <s v="TECURECO-80"/>
    <s v="Repisa Escritorio Caramelo x 80cm"/>
    <n v="1"/>
    <x v="4"/>
    <x v="3"/>
    <x v="4"/>
    <x v="0"/>
    <s v="Coordinadora"/>
    <s v="3987838-84151480227"/>
    <d v="2026-01-07T00:00:00"/>
    <d v="2026-01-08T00:00:00"/>
    <s v="Entregado"/>
    <n v="2"/>
    <n v="3"/>
    <x v="1"/>
    <n v="0"/>
    <x v="1"/>
    <n v="0"/>
    <m/>
    <x v="1"/>
    <m/>
  </r>
  <r>
    <d v="2026-01-06T00:00:00"/>
    <x v="0"/>
    <n v="100251"/>
    <x v="0"/>
    <s v="Andrés vasquez"/>
    <s v="TECUTLC8x5-60"/>
    <s v="Superficie  en L Caramelo 180x150cm x60"/>
    <n v="1"/>
    <x v="2"/>
    <x v="3"/>
    <x v="4"/>
    <x v="0"/>
    <s v="Envía"/>
    <s v="3987727-954101366327"/>
    <d v="2026-01-07T00:00:00"/>
    <d v="2026-01-08T00:00:00"/>
    <s v="Entregado"/>
    <n v="1"/>
    <n v="2"/>
    <x v="1"/>
    <n v="0"/>
    <x v="1"/>
    <n v="32487"/>
    <m/>
    <x v="1"/>
    <m/>
  </r>
  <r>
    <d v="2026-01-06T00:00:00"/>
    <x v="0"/>
    <n v="100251"/>
    <x v="0"/>
    <s v="Andrés vasquez"/>
    <s v="TECULFN2"/>
    <s v="Electric Standing Desk  En L Frame Negro 2.0"/>
    <n v="1"/>
    <x v="3"/>
    <x v="3"/>
    <x v="4"/>
    <x v="0"/>
    <s v="Coordinadora"/>
    <s v="3987490-84151480120"/>
    <d v="2026-01-07T00:00:00"/>
    <d v="2026-01-09T00:00:00"/>
    <s v="Entregado"/>
    <n v="1"/>
    <n v="3"/>
    <x v="1"/>
    <n v="0"/>
    <x v="1"/>
    <n v="65353"/>
    <m/>
    <x v="1"/>
    <m/>
  </r>
  <r>
    <d v="2026-01-06T00:00:00"/>
    <x v="0"/>
    <n v="100251"/>
    <x v="0"/>
    <s v="Andrés vasquez"/>
    <m/>
    <s v="Servicio Instalación"/>
    <n v="1"/>
    <x v="5"/>
    <x v="3"/>
    <x v="4"/>
    <x v="0"/>
    <s v="N/A"/>
    <s v="N/A"/>
    <s v="N/A"/>
    <s v="N/A"/>
    <s v="Entregado"/>
    <n v="0"/>
    <n v="0"/>
    <x v="2"/>
    <n v="0"/>
    <x v="1"/>
    <n v="0"/>
    <m/>
    <x v="1"/>
    <m/>
  </r>
  <r>
    <d v="2026-01-06T00:00:00"/>
    <x v="0"/>
    <n v="100252"/>
    <x v="0"/>
    <s v="Luis Felipe Valencia Alvarez"/>
    <s v="TECU2CURN-65"/>
    <s v="Cajonero 2.0 Unicolor Roble Negro x65cm"/>
    <n v="1"/>
    <x v="0"/>
    <x v="4"/>
    <x v="5"/>
    <x v="0"/>
    <s v="Particular"/>
    <s v="N/A"/>
    <d v="2026-01-20T00:00:00"/>
    <d v="2026-01-20T00:00:00"/>
    <s v="Entregado"/>
    <n v="11"/>
    <n v="11"/>
    <x v="0"/>
    <n v="6"/>
    <x v="0"/>
    <n v="50000"/>
    <m/>
    <x v="0"/>
    <m/>
  </r>
  <r>
    <d v="2026-01-07T00:00:00"/>
    <x v="0"/>
    <n v="100256"/>
    <x v="0"/>
    <s v="Luis Fernando Cruz Bermudez"/>
    <s v="TECUTCO7C"/>
    <s v="Superficie  Caramelo 170x70 Clasico"/>
    <n v="1"/>
    <x v="2"/>
    <x v="3"/>
    <x v="4"/>
    <x v="0"/>
    <s v="Envía"/>
    <s v="3990060-954101366844"/>
    <d v="2026-01-08T00:00:00"/>
    <d v="2026-01-09T00:00:00"/>
    <s v="Entregado"/>
    <n v="1"/>
    <n v="2"/>
    <x v="1"/>
    <n v="0"/>
    <x v="1"/>
    <n v="34253"/>
    <m/>
    <x v="1"/>
    <m/>
  </r>
  <r>
    <d v="2026-01-07T00:00:00"/>
    <x v="0"/>
    <n v="100256"/>
    <x v="0"/>
    <s v="Luis Fernando Cruz Bermudez"/>
    <s v="TECU3FNPRO"/>
    <s v="Electric Standing Desk  PRO Negro"/>
    <n v="1"/>
    <x v="3"/>
    <x v="3"/>
    <x v="4"/>
    <x v="0"/>
    <s v="Coordinadora"/>
    <s v="3989846-84151480984"/>
    <d v="2026-01-08T00:00:00"/>
    <d v="2026-01-10T00:00:00"/>
    <s v="Entregado"/>
    <n v="1"/>
    <n v="3"/>
    <x v="1"/>
    <n v="0"/>
    <x v="1"/>
    <n v="44550"/>
    <m/>
    <x v="1"/>
    <m/>
  </r>
  <r>
    <d v="2026-01-07T00:00:00"/>
    <x v="0"/>
    <n v="100256"/>
    <x v="0"/>
    <s v="Luis Fernando Cruz Bermudez"/>
    <m/>
    <s v=" Servicio Instalación"/>
    <n v="1"/>
    <x v="5"/>
    <x v="3"/>
    <x v="4"/>
    <x v="0"/>
    <s v="N/A"/>
    <s v="N/A"/>
    <s v="N/A"/>
    <s v="N/A"/>
    <s v="Entregado"/>
    <n v="0"/>
    <n v="0"/>
    <x v="2"/>
    <n v="0"/>
    <x v="1"/>
    <n v="0"/>
    <m/>
    <x v="1"/>
    <m/>
  </r>
  <r>
    <d v="2026-01-07T00:00:00"/>
    <x v="0"/>
    <n v="100258"/>
    <x v="0"/>
    <s v="Moba Code SAS"/>
    <s v="TECUTLFE5X70"/>
    <s v="Superficie Escritorio Fresno Europeo en L 150x70"/>
    <n v="1"/>
    <x v="2"/>
    <x v="5"/>
    <x v="6"/>
    <x v="0"/>
    <s v="Envía"/>
    <s v="3990171-954101366854"/>
    <d v="2026-01-08T00:00:00"/>
    <d v="2026-01-09T00:00:00"/>
    <s v="Entregado"/>
    <n v="1"/>
    <n v="2"/>
    <x v="1"/>
    <n v="0"/>
    <x v="1"/>
    <n v="40366"/>
    <m/>
    <x v="1"/>
    <m/>
  </r>
  <r>
    <d v="2026-01-07T00:00:00"/>
    <x v="0"/>
    <n v="100258"/>
    <x v="0"/>
    <s v="Moba Code SAS"/>
    <s v="TECULFN2"/>
    <s v="Electric Standing Desk  En L Frame Negro 2.0"/>
    <n v="1"/>
    <x v="3"/>
    <x v="5"/>
    <x v="6"/>
    <x v="0"/>
    <s v="Coordinadora"/>
    <s v="3989863-84151480993"/>
    <d v="2026-01-08T00:00:00"/>
    <d v="2026-01-09T00:00:00"/>
    <s v="Entregado"/>
    <n v="1"/>
    <n v="2"/>
    <x v="1"/>
    <n v="0"/>
    <x v="1"/>
    <n v="65353"/>
    <m/>
    <x v="1"/>
    <m/>
  </r>
  <r>
    <d v="2026-01-07T00:00:00"/>
    <x v="0"/>
    <n v="100258"/>
    <x v="0"/>
    <s v="Moba Code SAS"/>
    <s v="TECUREFE -47"/>
    <s v="Repisa Escritorio Fresno Europeo x 47cm"/>
    <n v="2"/>
    <x v="4"/>
    <x v="5"/>
    <x v="6"/>
    <x v="0"/>
    <s v="Coordinadora"/>
    <s v="3990171-954101366854"/>
    <d v="2026-01-08T00:00:00"/>
    <d v="2026-01-09T00:00:00"/>
    <s v="Entregado"/>
    <n v="1"/>
    <n v="2"/>
    <x v="1"/>
    <n v="0"/>
    <x v="1"/>
    <n v="0"/>
    <m/>
    <x v="1"/>
    <m/>
  </r>
  <r>
    <d v="2026-01-07T00:00:00"/>
    <x v="0"/>
    <n v="100258"/>
    <x v="0"/>
    <s v="Moba Code SAS"/>
    <s v="TECUBLS"/>
    <s v="Laptop Stand B"/>
    <n v="2"/>
    <x v="1"/>
    <x v="5"/>
    <x v="6"/>
    <x v="0"/>
    <s v="Coordinadora"/>
    <s v="3989874-84151480998"/>
    <d v="2026-01-08T00:00:00"/>
    <d v="2026-01-09T00:00:00"/>
    <s v="Entregado"/>
    <n v="1"/>
    <n v="2"/>
    <x v="1"/>
    <n v="0"/>
    <x v="1"/>
    <n v="0"/>
    <m/>
    <x v="1"/>
    <m/>
  </r>
  <r>
    <d v="2026-01-07T00:00:00"/>
    <x v="0"/>
    <n v="100258"/>
    <x v="0"/>
    <s v="Moba Code SAS"/>
    <s v="TECUBDPA"/>
    <s v="Desk Pad B Negro Azul"/>
    <n v="2"/>
    <x v="1"/>
    <x v="5"/>
    <x v="6"/>
    <x v="0"/>
    <s v="Coordinadora"/>
    <s v="3989874-84151480998"/>
    <d v="2026-01-08T00:00:00"/>
    <d v="2026-01-09T00:00:00"/>
    <s v="Entregado"/>
    <n v="1"/>
    <n v="2"/>
    <x v="1"/>
    <n v="0"/>
    <x v="1"/>
    <n v="17787"/>
    <m/>
    <x v="1"/>
    <m/>
  </r>
  <r>
    <d v="2026-01-07T00:00:00"/>
    <x v="0"/>
    <n v="100258"/>
    <x v="0"/>
    <s v="Moba Code SAS"/>
    <s v="TECUCT"/>
    <s v="Bandeja de cables"/>
    <n v="1"/>
    <x v="1"/>
    <x v="5"/>
    <x v="6"/>
    <x v="0"/>
    <s v="Coordinadora"/>
    <s v="3989884-84151481002"/>
    <d v="2026-01-08T00:00:00"/>
    <d v="2026-01-09T00:00:00"/>
    <s v="Entregado"/>
    <n v="1"/>
    <n v="2"/>
    <x v="1"/>
    <n v="0"/>
    <x v="1"/>
    <n v="26681"/>
    <m/>
    <x v="1"/>
    <m/>
  </r>
  <r>
    <d v="2026-01-07T00:00:00"/>
    <x v="0"/>
    <n v="100258"/>
    <x v="0"/>
    <s v="Moba Code SAS"/>
    <s v="TECUDSG"/>
    <s v="Desk Stool Gris Silla ajustable"/>
    <n v="1"/>
    <x v="6"/>
    <x v="5"/>
    <x v="6"/>
    <x v="0"/>
    <s v="Coordinadora"/>
    <s v="3989900-84151481009"/>
    <d v="2026-01-08T00:00:00"/>
    <d v="2026-01-09T00:00:00"/>
    <s v="Entregado"/>
    <n v="1"/>
    <n v="2"/>
    <x v="1"/>
    <n v="0"/>
    <x v="1"/>
    <n v="27803"/>
    <m/>
    <x v="1"/>
    <m/>
  </r>
  <r>
    <d v="2026-01-08T00:00:00"/>
    <x v="0"/>
    <n v="100260"/>
    <x v="0"/>
    <s v="Jessner Mejía"/>
    <s v="TECUTFE2C-60"/>
    <s v="Superficie Escritorio Fresno Europeo 120x60 Clasico Small"/>
    <n v="1"/>
    <x v="2"/>
    <x v="6"/>
    <x v="7"/>
    <x v="0"/>
    <s v="Coordinadora"/>
    <s v="3989921-84151481020"/>
    <d v="2026-01-08T00:00:00"/>
    <d v="2026-01-10T00:00:00"/>
    <s v="Entregado"/>
    <n v="0"/>
    <n v="2"/>
    <x v="1"/>
    <n v="0"/>
    <x v="1"/>
    <n v="29698"/>
    <m/>
    <x v="1"/>
    <m/>
  </r>
  <r>
    <d v="2026-01-08T00:00:00"/>
    <x v="0"/>
    <n v="100260"/>
    <x v="0"/>
    <s v="Jessner Mejía"/>
    <s v="TECU3FBRO"/>
    <s v="Electric Standing Desk  PRO Blanco"/>
    <n v="1"/>
    <x v="3"/>
    <x v="6"/>
    <x v="7"/>
    <x v="0"/>
    <s v="Coordinadora"/>
    <s v="3989918-84151481019"/>
    <d v="2026-01-08T00:00:00"/>
    <d v="2026-01-10T00:00:00"/>
    <s v="Entregado"/>
    <n v="0"/>
    <n v="2"/>
    <x v="1"/>
    <n v="0"/>
    <x v="1"/>
    <n v="47674"/>
    <m/>
    <x v="1"/>
    <m/>
  </r>
  <r>
    <d v="2026-01-15T00:00:00"/>
    <x v="0"/>
    <n v="100260"/>
    <x v="1"/>
    <s v="Jessner Mejía"/>
    <s v="TECUTFE2C-60"/>
    <s v="Superficie Escritorio Fresno Europeo 120x60 Clasico Small"/>
    <n v="1"/>
    <x v="2"/>
    <x v="6"/>
    <x v="7"/>
    <x v="0"/>
    <s v="Coordinadora"/>
    <s v="4010063-84151488641"/>
    <d v="2026-01-16T00:00:00"/>
    <d v="2026-01-17T00:00:00"/>
    <s v="Entregado"/>
    <n v="1"/>
    <n v="2"/>
    <x v="1"/>
    <n v="0"/>
    <x v="0"/>
    <n v="33316"/>
    <m/>
    <x v="1"/>
    <s v="Se realizó envío nueva superficie, porque se hicieron las tuercas de inserto en espacios diferente y no se podía atornillar la bandeja."/>
  </r>
  <r>
    <d v="2026-01-08T00:00:00"/>
    <x v="0"/>
    <n v="100261"/>
    <x v="0"/>
    <s v="Nicolas Simmonds"/>
    <s v="TECU2CBC-73"/>
    <s v="Cajonero 2.0 Bicolor Caramelo x73cm"/>
    <n v="1"/>
    <x v="0"/>
    <x v="3"/>
    <x v="4"/>
    <x v="0"/>
    <s v="Envía"/>
    <s v="4026700-954101377299"/>
    <d v="2026-01-22T00:00:00"/>
    <d v="2026-01-23T00:00:00"/>
    <s v="Entregado"/>
    <n v="11"/>
    <n v="12"/>
    <x v="0"/>
    <n v="7"/>
    <x v="0"/>
    <n v="57135"/>
    <m/>
    <x v="0"/>
    <m/>
  </r>
  <r>
    <d v="2026-01-12T00:00:00"/>
    <x v="0"/>
    <n v="100264"/>
    <x v="0"/>
    <s v="Alison Ruiz"/>
    <s v="TECUTB2C-60"/>
    <s v="Superficie Escritorio Blanco (Niebla) 120x60 Clasico Small"/>
    <n v="1"/>
    <x v="2"/>
    <x v="3"/>
    <x v="4"/>
    <x v="0"/>
    <s v="Coordinadora"/>
    <s v="4003463-84151486019"/>
    <d v="2026-01-15T00:00:00"/>
    <d v="2026-01-16T00:00:00"/>
    <s v="Entregado"/>
    <n v="2"/>
    <n v="3"/>
    <x v="1"/>
    <n v="0"/>
    <x v="1"/>
    <n v="25952"/>
    <m/>
    <x v="1"/>
    <m/>
  </r>
  <r>
    <d v="2026-01-12T00:00:00"/>
    <x v="0"/>
    <n v="100264"/>
    <x v="0"/>
    <s v="Alison Ruiz"/>
    <s v="TECU2FNG"/>
    <s v="Electric Standing Desk GO Negro"/>
    <n v="1"/>
    <x v="3"/>
    <x v="3"/>
    <x v="4"/>
    <x v="0"/>
    <s v="Coordinadora"/>
    <s v="4003461-84151486011"/>
    <d v="2026-01-15T00:00:00"/>
    <d v="2026-01-16T00:00:00"/>
    <s v="Entregado"/>
    <n v="2"/>
    <n v="3"/>
    <x v="1"/>
    <n v="0"/>
    <x v="1"/>
    <n v="43114"/>
    <m/>
    <x v="1"/>
    <m/>
  </r>
  <r>
    <d v="2026-01-13T00:00:00"/>
    <x v="0"/>
    <n v="100265"/>
    <x v="0"/>
    <s v="Jonathan Enrique Pacheco Jimenez"/>
    <s v="TECURECO-110"/>
    <s v="Repisa Escritorio Caramelo x 110cm"/>
    <n v="1"/>
    <x v="4"/>
    <x v="7"/>
    <x v="8"/>
    <x v="0"/>
    <s v="Coordinadora"/>
    <s v="4003635-84151486070"/>
    <d v="2026-01-15T00:00:00"/>
    <d v="2026-01-17T00:00:00"/>
    <s v="Entregado"/>
    <n v="2"/>
    <n v="4"/>
    <x v="1"/>
    <n v="0"/>
    <x v="1"/>
    <n v="40669"/>
    <m/>
    <x v="1"/>
    <m/>
  </r>
  <r>
    <d v="2026-01-13T00:00:00"/>
    <x v="0"/>
    <n v="100266"/>
    <x v="0"/>
    <s v="Adriana Chavarro"/>
    <s v="TECUTFE6C-80"/>
    <s v="Superficie Escritorio Fresno Europeo 160x80 Clasico"/>
    <n v="1"/>
    <x v="2"/>
    <x v="3"/>
    <x v="4"/>
    <x v="0"/>
    <s v="Envía"/>
    <s v="4006959-954101371581"/>
    <d v="2026-01-15T00:00:00"/>
    <d v="2026-01-16T00:00:00"/>
    <s v="Entregado"/>
    <n v="2"/>
    <n v="3"/>
    <x v="1"/>
    <n v="0"/>
    <x v="1"/>
    <n v="34487"/>
    <m/>
    <x v="1"/>
    <m/>
  </r>
  <r>
    <d v="2026-01-13T00:00:00"/>
    <x v="0"/>
    <n v="100266"/>
    <x v="0"/>
    <s v="Adriana Chavarro"/>
    <s v="TECU3FBRO"/>
    <s v="Electric Standing Desk  PRO Blanco"/>
    <n v="1"/>
    <x v="3"/>
    <x v="3"/>
    <x v="4"/>
    <x v="0"/>
    <s v="Coordinadora"/>
    <s v="4006929-84151487326"/>
    <d v="2026-01-15T00:00:00"/>
    <d v="2026-01-16T00:00:00"/>
    <s v="Entregado"/>
    <n v="2"/>
    <n v="3"/>
    <x v="1"/>
    <n v="0"/>
    <x v="1"/>
    <n v="44550"/>
    <m/>
    <x v="1"/>
    <m/>
  </r>
  <r>
    <d v="2026-01-14T00:00:00"/>
    <x v="0"/>
    <n v="100267"/>
    <x v="0"/>
    <s v="EFRALU SAS / DANIEL GARCIA"/>
    <s v="TECUTLCCS"/>
    <s v="Superficie  en L Caramelo 180x150cm x 70"/>
    <n v="1"/>
    <x v="2"/>
    <x v="3"/>
    <x v="4"/>
    <x v="0"/>
    <s v="Envía"/>
    <s v="4010031-954101372531"/>
    <d v="2026-01-16T00:00:00"/>
    <d v="2026-01-17T00:00:00"/>
    <s v="Entregado"/>
    <n v="2"/>
    <n v="3"/>
    <x v="1"/>
    <n v="0"/>
    <x v="1"/>
    <n v="36093"/>
    <m/>
    <x v="1"/>
    <m/>
  </r>
  <r>
    <d v="2026-01-14T00:00:00"/>
    <x v="0"/>
    <n v="100267"/>
    <x v="0"/>
    <s v="EFRALU SAS / DANIEL GARCIA"/>
    <s v="TECULFN2"/>
    <s v="Electric Standing Desk  En L Frame Negro 2.0"/>
    <n v="1"/>
    <x v="3"/>
    <x v="3"/>
    <x v="4"/>
    <x v="0"/>
    <s v="Coordinadora"/>
    <s v="4009949-84151488583"/>
    <d v="2026-01-16T00:00:00"/>
    <d v="2026-01-19T00:00:00"/>
    <s v="Entregado"/>
    <n v="2"/>
    <n v="4"/>
    <x v="0"/>
    <n v="1"/>
    <x v="2"/>
    <n v="65353"/>
    <m/>
    <x v="2"/>
    <m/>
  </r>
  <r>
    <d v="2026-01-14T00:00:00"/>
    <x v="0"/>
    <n v="100267"/>
    <x v="0"/>
    <s v="EFRALU SAS / DANIEL GARCIA"/>
    <s v="TECU2CBC-77"/>
    <s v="Cajonero 2.0 Bicolor Caramelo x77cm"/>
    <n v="1"/>
    <x v="0"/>
    <x v="3"/>
    <x v="4"/>
    <x v="0"/>
    <s v="Envía"/>
    <s v="4034508-954101379327"/>
    <d v="2026-01-26T00:00:00"/>
    <d v="2026-01-27T00:00:00"/>
    <s v="Entregado"/>
    <n v="10"/>
    <n v="11"/>
    <x v="0"/>
    <n v="6"/>
    <x v="0"/>
    <n v="67823"/>
    <m/>
    <x v="0"/>
    <m/>
  </r>
  <r>
    <d v="2026-01-14T00:00:00"/>
    <x v="0"/>
    <n v="100268"/>
    <x v="0"/>
    <s v="Nicolas Patiño Cañas"/>
    <s v="TECUCT"/>
    <s v="Bandeja de cables"/>
    <n v="1"/>
    <x v="1"/>
    <x v="3"/>
    <x v="4"/>
    <x v="0"/>
    <s v="Coordinadora"/>
    <s v="4029581-84151495795"/>
    <d v="2026-01-23T00:00:00"/>
    <d v="2026-01-26T00:00:00"/>
    <s v="Entregado"/>
    <n v="8"/>
    <n v="10"/>
    <x v="0"/>
    <n v="7"/>
    <x v="0"/>
    <n v="26681"/>
    <m/>
    <x v="3"/>
    <m/>
  </r>
  <r>
    <d v="2026-01-14T00:00:00"/>
    <x v="0"/>
    <n v="100268"/>
    <x v="0"/>
    <s v="Nicolas Patiño Cañas"/>
    <s v="TECUAN"/>
    <s v="Archivador TECU  Negro"/>
    <n v="1"/>
    <x v="0"/>
    <x v="3"/>
    <x v="4"/>
    <x v="0"/>
    <s v="Envía"/>
    <s v="4029587-954101377984"/>
    <d v="2026-01-23T00:00:00"/>
    <d v="2026-01-24T00:00:00"/>
    <s v="Entregado"/>
    <n v="8"/>
    <n v="9"/>
    <x v="0"/>
    <n v="4"/>
    <x v="0"/>
    <n v="57135"/>
    <m/>
    <x v="3"/>
    <m/>
  </r>
  <r>
    <d v="2026-01-15T00:00:00"/>
    <x v="0"/>
    <n v="100269"/>
    <x v="0"/>
    <s v="Juan Mayorga"/>
    <s v="TECUTRM5C"/>
    <s v="Superficie Roble Miel 150x75 Clasico"/>
    <n v="1"/>
    <x v="2"/>
    <x v="1"/>
    <x v="9"/>
    <x v="0"/>
    <s v="Envía"/>
    <s v="4034783-954101379381"/>
    <d v="2026-01-26T00:00:00"/>
    <d v="2026-01-28T00:00:00"/>
    <s v="Entregado"/>
    <n v="9"/>
    <n v="11"/>
    <x v="0"/>
    <n v="6"/>
    <x v="0"/>
    <n v="43778"/>
    <m/>
    <x v="4"/>
    <s v="Mónica estuvo enferma y se hizo la presentación de los nuevos Productos."/>
  </r>
  <r>
    <d v="2026-01-15T00:00:00"/>
    <x v="0"/>
    <n v="100269"/>
    <x v="0"/>
    <s v="Juan Mayorga"/>
    <s v="TECU3FNPRO"/>
    <s v="Electric Standing Desk  PRO Negro"/>
    <n v="1"/>
    <x v="3"/>
    <x v="1"/>
    <x v="9"/>
    <x v="0"/>
    <s v="Coordinadora"/>
    <s v="4034782-84151497441"/>
    <d v="2026-01-26T00:00:00"/>
    <d v="2026-01-28T00:00:00"/>
    <s v="Entregado"/>
    <n v="9"/>
    <n v="11"/>
    <x v="0"/>
    <n v="6"/>
    <x v="0"/>
    <n v="44550"/>
    <m/>
    <x v="4"/>
    <m/>
  </r>
  <r>
    <d v="2026-01-15T00:00:00"/>
    <x v="0"/>
    <n v="100269"/>
    <x v="0"/>
    <s v="Juan Mayorga"/>
    <s v="TECUCT"/>
    <s v="Bandeja de cables"/>
    <n v="1"/>
    <x v="1"/>
    <x v="1"/>
    <x v="9"/>
    <x v="0"/>
    <s v="Coordinadora"/>
    <s v="4035535-84151497669"/>
    <d v="2026-01-26T00:00:00"/>
    <d v="2026-01-27T00:00:00"/>
    <s v="Entregado"/>
    <n v="9"/>
    <n v="10"/>
    <x v="0"/>
    <n v="5"/>
    <x v="0"/>
    <n v="25733"/>
    <m/>
    <x v="4"/>
    <m/>
  </r>
  <r>
    <d v="2026-01-17T00:00:00"/>
    <x v="0"/>
    <n v="100270"/>
    <x v="0"/>
    <s v="Manuel Dover"/>
    <s v="TECUTLFES"/>
    <s v="Superficie en L Fresno 180x150cm x 70"/>
    <n v="1"/>
    <x v="2"/>
    <x v="1"/>
    <x v="3"/>
    <x v="0"/>
    <s v="Envía"/>
    <s v="4019717-954101375226"/>
    <d v="2026-01-20T00:00:00"/>
    <d v="2026-01-21T00:00:00"/>
    <s v="Entregado"/>
    <n v="2"/>
    <n v="3"/>
    <x v="1"/>
    <n v="0"/>
    <x v="1"/>
    <n v="39235"/>
    <m/>
    <x v="1"/>
    <m/>
  </r>
  <r>
    <d v="2026-01-17T00:00:00"/>
    <x v="0"/>
    <n v="100270"/>
    <x v="0"/>
    <s v="Manuel Dover"/>
    <s v="TECULFN2"/>
    <s v="Electric Standing Desk  En L Frame Negro 2.0"/>
    <n v="1"/>
    <x v="3"/>
    <x v="1"/>
    <x v="3"/>
    <x v="0"/>
    <s v="Coordinadora"/>
    <s v="4020156-84151492428"/>
    <d v="2026-01-20T00:00:00"/>
    <d v="2026-01-28T00:00:00"/>
    <s v="Entregado"/>
    <n v="2"/>
    <n v="9"/>
    <x v="0"/>
    <n v="6"/>
    <x v="3"/>
    <n v="65353"/>
    <m/>
    <x v="5"/>
    <s v="Se hicieron 2 intentos de entrega, se generó novedad, se realizó pago adicional."/>
  </r>
  <r>
    <d v="2026-01-20T00:00:00"/>
    <x v="0"/>
    <n v="100272"/>
    <x v="0"/>
    <s v="Camilo Ramírez"/>
    <s v="TECU2FNG"/>
    <s v="Electric Standing Desk GO Negro"/>
    <n v="1"/>
    <x v="3"/>
    <x v="1"/>
    <x v="10"/>
    <x v="0"/>
    <s v="Coordinadora"/>
    <s v="4023156-84151493557"/>
    <d v="2026-01-21T00:00:00"/>
    <d v="2026-01-22T00:00:00"/>
    <s v="Entregado"/>
    <n v="1"/>
    <n v="2"/>
    <x v="1"/>
    <n v="0"/>
    <x v="1"/>
    <n v="33316"/>
    <m/>
    <x v="1"/>
    <m/>
  </r>
  <r>
    <d v="2026-01-20T00:00:00"/>
    <x v="0"/>
    <n v="100272"/>
    <x v="0"/>
    <s v="Camilo Ramírez"/>
    <s v="TECUTRN2C-60"/>
    <s v="Superficie Escritorio Roble Negro 120x60 Clasico Small"/>
    <n v="1"/>
    <x v="2"/>
    <x v="1"/>
    <x v="10"/>
    <x v="0"/>
    <s v="Coordinadora"/>
    <s v="4023155-84151493556"/>
    <d v="2026-01-21T00:00:00"/>
    <d v="2026-01-23T00:00:00"/>
    <s v="Entregado"/>
    <n v="1"/>
    <n v="3"/>
    <x v="1"/>
    <n v="0"/>
    <x v="1"/>
    <n v="43114"/>
    <m/>
    <x v="1"/>
    <m/>
  </r>
  <r>
    <d v="2026-01-21T00:00:00"/>
    <x v="0"/>
    <n v="100273"/>
    <x v="0"/>
    <s v="Oscar Yonda"/>
    <s v="TECUTFE7C"/>
    <s v="Superficie  Fresno Europeo 170x70 Clasico"/>
    <n v="1"/>
    <x v="2"/>
    <x v="0"/>
    <x v="11"/>
    <x v="0"/>
    <s v="Envía"/>
    <s v="4039854-954101380568"/>
    <d v="2026-01-27T00:00:00"/>
    <d v="2026-01-28T00:00:00"/>
    <s v="Entregado"/>
    <n v="5"/>
    <n v="6"/>
    <x v="0"/>
    <n v="3"/>
    <x v="0"/>
    <n v="35290"/>
    <m/>
    <x v="3"/>
    <m/>
  </r>
  <r>
    <d v="2026-01-21T00:00:00"/>
    <x v="0"/>
    <n v="100273"/>
    <x v="0"/>
    <s v="Oscar Yonda"/>
    <s v="TECU2FNG"/>
    <s v="Electric Standing Desk GO Negro"/>
    <n v="1"/>
    <x v="3"/>
    <x v="0"/>
    <x v="11"/>
    <x v="0"/>
    <s v="Coordinadora"/>
    <s v="4040567-84151499561"/>
    <d v="2026-01-27T00:00:00"/>
    <d v="2026-01-28T00:00:00"/>
    <s v="Entregado"/>
    <n v="5"/>
    <n v="6"/>
    <x v="0"/>
    <n v="3"/>
    <x v="0"/>
    <n v="43114"/>
    <m/>
    <x v="3"/>
    <m/>
  </r>
  <r>
    <d v="2026-01-21T00:00:00"/>
    <x v="0"/>
    <n v="100274"/>
    <x v="0"/>
    <s v="Deiner Y. Muñoz D."/>
    <s v="TECUTFE2C"/>
    <s v="Superficie  Fresno Europeo 120x70 Clasico Small"/>
    <n v="1"/>
    <x v="2"/>
    <x v="3"/>
    <x v="4"/>
    <x v="0"/>
    <s v="Coordinadora"/>
    <s v="4036553-84151498115"/>
    <d v="2026-01-26T00:00:00"/>
    <d v="2026-01-29T00:00:00"/>
    <s v="Entregado"/>
    <n v="4"/>
    <n v="7"/>
    <x v="0"/>
    <n v="4"/>
    <x v="4"/>
    <n v="25952"/>
    <m/>
    <x v="6"/>
    <s v="Se debía pintar la bandeja de la repisa"/>
  </r>
  <r>
    <d v="2026-01-21T00:00:00"/>
    <x v="0"/>
    <n v="100274"/>
    <x v="0"/>
    <s v="Deiner Y. Muñoz D."/>
    <s v="TECUREFE -80"/>
    <s v="Repisa Escritorio Fresno Europeo x 80cm"/>
    <n v="1"/>
    <x v="4"/>
    <x v="3"/>
    <x v="4"/>
    <x v="0"/>
    <s v="Coordinadora"/>
    <s v="4036553-84151498115"/>
    <d v="2026-01-26T00:00:00"/>
    <d v="2026-01-29T00:00:00"/>
    <s v="Entregado"/>
    <n v="4"/>
    <n v="7"/>
    <x v="0"/>
    <n v="4"/>
    <x v="4"/>
    <n v="0"/>
    <m/>
    <x v="3"/>
    <m/>
  </r>
  <r>
    <d v="2026-01-21T00:00:00"/>
    <x v="0"/>
    <n v="100274"/>
    <x v="0"/>
    <s v="Deiner Y. Muñoz D."/>
    <s v="TECU2FNG"/>
    <s v="Electric Standing Desk GO Negro"/>
    <n v="1"/>
    <x v="3"/>
    <x v="3"/>
    <x v="4"/>
    <x v="0"/>
    <s v="Coordinadora"/>
    <s v="4036552-84151498114"/>
    <d v="2026-01-26T00:00:00"/>
    <d v="2026-01-27T00:00:00"/>
    <s v="Entregado"/>
    <n v="4"/>
    <n v="5"/>
    <x v="0"/>
    <n v="2"/>
    <x v="0"/>
    <n v="43114"/>
    <m/>
    <x v="4"/>
    <m/>
  </r>
  <r>
    <d v="2026-01-21T00:00:00"/>
    <x v="0"/>
    <n v="100274"/>
    <x v="0"/>
    <s v="Deiner Y. Muñoz D."/>
    <s v="TECUCT"/>
    <s v="Bandeja de cables"/>
    <n v="1"/>
    <x v="1"/>
    <x v="3"/>
    <x v="4"/>
    <x v="0"/>
    <s v="Coordinadora"/>
    <s v="4036376-84151498030"/>
    <d v="2026-01-26T00:00:00"/>
    <d v="2026-01-27T00:00:00"/>
    <s v="Entregado"/>
    <n v="4"/>
    <n v="5"/>
    <x v="0"/>
    <n v="2"/>
    <x v="0"/>
    <n v="26681"/>
    <m/>
    <x v="4"/>
    <m/>
  </r>
  <r>
    <d v="2026-01-22T00:00:00"/>
    <x v="0"/>
    <n v="100275"/>
    <x v="0"/>
    <s v="EFRALU SAS / DANIEL GARCIA"/>
    <s v="TECUCT"/>
    <s v="Bandeja de cables"/>
    <n v="1"/>
    <x v="1"/>
    <x v="3"/>
    <x v="4"/>
    <x v="0"/>
    <s v="Coordinadora"/>
    <s v="4026563-84151494908"/>
    <d v="2026-01-22T00:00:00"/>
    <d v="2026-01-23T00:00:00"/>
    <s v="Entregado"/>
    <n v="0"/>
    <n v="1"/>
    <x v="1"/>
    <n v="0"/>
    <x v="1"/>
    <n v="26681"/>
    <m/>
    <x v="1"/>
    <m/>
  </r>
  <r>
    <d v="2026-01-27T00:00:00"/>
    <x v="0"/>
    <n v="100276"/>
    <x v="0"/>
    <s v="Álvaro Ramírez Cardona"/>
    <s v="TECU3FNPRO"/>
    <s v="Electric Standing Desk  PRO Negro"/>
    <n v="1"/>
    <x v="3"/>
    <x v="1"/>
    <x v="12"/>
    <x v="0"/>
    <s v="Coordinadora"/>
    <s v="4040057-84151499341"/>
    <d v="2026-01-27T00:00:00"/>
    <d v="2026-02-13T00:00:00"/>
    <s v="Entregado"/>
    <n v="0"/>
    <n v="15"/>
    <x v="0"/>
    <n v="10"/>
    <x v="3"/>
    <n v="36550"/>
    <m/>
    <x v="5"/>
    <s v="Cliente se demoró en recoger el envío en punto Droop de Coordinadora en Copacabana."/>
  </r>
  <r>
    <d v="2026-01-29T00:00:00"/>
    <x v="0"/>
    <n v="100277"/>
    <x v="0"/>
    <s v="Esteban Davila Arias"/>
    <s v="TECU3FNCRO"/>
    <s v="Electric Standing Desk  PRO Negro circular"/>
    <n v="1"/>
    <x v="3"/>
    <x v="4"/>
    <x v="5"/>
    <x v="0"/>
    <s v="Particular"/>
    <s v="N/A"/>
    <d v="2026-01-29T00:00:00"/>
    <d v="2026-01-29T00:00:00"/>
    <s v="Entregado"/>
    <n v="0"/>
    <n v="0"/>
    <x v="1"/>
    <n v="0"/>
    <x v="1"/>
    <n v="50000"/>
    <m/>
    <x v="1"/>
    <m/>
  </r>
  <r>
    <d v="2026-01-29T00:00:00"/>
    <x v="0"/>
    <n v="100277"/>
    <x v="0"/>
    <s v="Esteban Davila Arias"/>
    <s v="TECU3FNCRO"/>
    <s v="Electric Standing Desk  PRO Negro circular"/>
    <n v="1"/>
    <x v="3"/>
    <x v="4"/>
    <x v="5"/>
    <x v="0"/>
    <s v="Particular"/>
    <s v="N/A"/>
    <d v="2026-01-29T00:00:00"/>
    <d v="2026-01-29T00:00:00"/>
    <s v="Entregado"/>
    <n v="0"/>
    <n v="0"/>
    <x v="1"/>
    <n v="0"/>
    <x v="1"/>
    <n v="0"/>
    <m/>
    <x v="1"/>
    <m/>
  </r>
  <r>
    <d v="2026-01-29T00:00:00"/>
    <x v="0"/>
    <n v="100277"/>
    <x v="0"/>
    <s v="Esteban Davila Arias"/>
    <s v="TECUTCO5C"/>
    <s v="Superficie Caramelo 150x70 Clasico"/>
    <n v="1"/>
    <x v="2"/>
    <x v="4"/>
    <x v="5"/>
    <x v="0"/>
    <s v="Particular"/>
    <s v="N/A"/>
    <d v="2026-01-29T00:00:00"/>
    <d v="2026-01-29T00:00:00"/>
    <s v="Entregado"/>
    <n v="0"/>
    <n v="0"/>
    <x v="1"/>
    <n v="0"/>
    <x v="1"/>
    <n v="0"/>
    <m/>
    <x v="1"/>
    <m/>
  </r>
  <r>
    <d v="2026-01-29T00:00:00"/>
    <x v="0"/>
    <n v="100277"/>
    <x v="0"/>
    <s v="Esteban Davila Arias"/>
    <s v="TECUTCO5C"/>
    <s v="Superficie Caramelo 150x70 Clasico"/>
    <n v="1"/>
    <x v="2"/>
    <x v="4"/>
    <x v="5"/>
    <x v="0"/>
    <s v="Particular"/>
    <s v="N/A"/>
    <d v="2026-01-29T00:00:00"/>
    <d v="2026-01-29T00:00:00"/>
    <s v="Entregado"/>
    <n v="0"/>
    <n v="0"/>
    <x v="1"/>
    <n v="0"/>
    <x v="1"/>
    <n v="0"/>
    <m/>
    <x v="1"/>
    <m/>
  </r>
  <r>
    <d v="2026-01-29T00:00:00"/>
    <x v="0"/>
    <n v="100278"/>
    <x v="0"/>
    <s v="Lucelly Ramos"/>
    <s v="TECUTCO3C"/>
    <s v="Superficie Caramelo 130x70 Clasico"/>
    <n v="1"/>
    <x v="2"/>
    <x v="3"/>
    <x v="4"/>
    <x v="0"/>
    <s v="Coordinadora"/>
    <s v="4047906-84151502132"/>
    <d v="2026-01-30T00:00:00"/>
    <d v="2026-01-31T00:00:00"/>
    <s v="Entregado"/>
    <n v="1"/>
    <n v="2"/>
    <x v="1"/>
    <n v="0"/>
    <x v="1"/>
    <n v="25952"/>
    <m/>
    <x v="1"/>
    <m/>
  </r>
  <r>
    <d v="2026-01-29T00:00:00"/>
    <x v="0"/>
    <n v="100278"/>
    <x v="0"/>
    <s v="Lucelly Ramos"/>
    <s v="TECUTBANTE"/>
    <s v="Bandeja de teclado"/>
    <n v="1"/>
    <x v="1"/>
    <x v="3"/>
    <x v="4"/>
    <x v="0"/>
    <s v="Coordinadora"/>
    <s v="4047906-84151502132"/>
    <d v="2026-01-30T00:00:00"/>
    <d v="2026-01-31T00:00:00"/>
    <s v="Entregado"/>
    <n v="1"/>
    <n v="2"/>
    <x v="1"/>
    <n v="0"/>
    <x v="1"/>
    <n v="0"/>
    <m/>
    <x v="1"/>
    <m/>
  </r>
  <r>
    <d v="2026-01-29T00:00:00"/>
    <x v="0"/>
    <n v="100278"/>
    <x v="0"/>
    <s v="Lucelly Ramos"/>
    <s v="TECU3FNPRO"/>
    <s v="Electric Standing Desk  PRO Negro"/>
    <n v="1"/>
    <x v="3"/>
    <x v="3"/>
    <x v="4"/>
    <x v="0"/>
    <s v="Coordinadora"/>
    <s v="4047905-84151502131"/>
    <d v="2026-01-30T00:00:00"/>
    <d v="2026-01-31T00:00:00"/>
    <s v="Entregado"/>
    <n v="1"/>
    <n v="2"/>
    <x v="1"/>
    <n v="0"/>
    <x v="1"/>
    <n v="43114"/>
    <m/>
    <x v="1"/>
    <m/>
  </r>
  <r>
    <d v="2026-01-29T00:00:00"/>
    <x v="0"/>
    <n v="100278"/>
    <x v="0"/>
    <s v="Lucelly Ramos"/>
    <s v="TECUCT"/>
    <s v="Bandeja de cables"/>
    <n v="1"/>
    <x v="1"/>
    <x v="3"/>
    <x v="4"/>
    <x v="0"/>
    <s v="Coordinadora"/>
    <s v="4048555-84151502331"/>
    <d v="2026-01-30T00:00:00"/>
    <d v="2026-01-31T00:00:00"/>
    <s v="Entregado"/>
    <n v="1"/>
    <n v="2"/>
    <x v="1"/>
    <n v="0"/>
    <x v="1"/>
    <n v="26681"/>
    <m/>
    <x v="1"/>
    <m/>
  </r>
  <r>
    <d v="2026-01-29T00:00:00"/>
    <x v="0"/>
    <n v="100278"/>
    <x v="0"/>
    <s v="Lucelly Ramos"/>
    <m/>
    <s v="Servicio Instalación"/>
    <n v="1"/>
    <x v="5"/>
    <x v="3"/>
    <x v="4"/>
    <x v="0"/>
    <m/>
    <n v="0"/>
    <s v="N/A"/>
    <s v="N/A"/>
    <s v="Entregado"/>
    <n v="0"/>
    <n v="0"/>
    <x v="2"/>
    <n v="0"/>
    <x v="1"/>
    <m/>
    <m/>
    <x v="1"/>
    <m/>
  </r>
  <r>
    <d v="2026-01-29T00:00:00"/>
    <x v="0"/>
    <n v="100279"/>
    <x v="0"/>
    <s v="Juan Sebastian Marulanda Sanchez"/>
    <s v="TECU2FNG"/>
    <s v="Electric Standing Desk GO Negro"/>
    <n v="1"/>
    <x v="3"/>
    <x v="8"/>
    <x v="13"/>
    <x v="0"/>
    <s v="Coordinadora"/>
    <s v="4046556-84151501714"/>
    <d v="2026-01-29T00:00:00"/>
    <d v="2026-01-30T00:00:00"/>
    <s v="Entregado"/>
    <n v="0"/>
    <n v="1"/>
    <x v="1"/>
    <n v="0"/>
    <x v="1"/>
    <n v="35044"/>
    <m/>
    <x v="1"/>
    <m/>
  </r>
  <r>
    <d v="2026-01-29T00:00:00"/>
    <x v="0"/>
    <n v="100280"/>
    <x v="0"/>
    <s v="DIEGO ALEJANDRO DOTOR CARO"/>
    <s v="TECUTCO8C"/>
    <s v="Superficie  Caramelo 180x70 Clasico"/>
    <n v="1"/>
    <x v="2"/>
    <x v="3"/>
    <x v="4"/>
    <x v="0"/>
    <s v="Envía"/>
    <s v="4048927-954101383179"/>
    <d v="2026-01-30T00:00:00"/>
    <d v="2026-01-31T00:00:00"/>
    <s v="Entregado"/>
    <n v="1"/>
    <n v="2"/>
    <x v="1"/>
    <n v="0"/>
    <x v="1"/>
    <n v="32253"/>
    <m/>
    <x v="1"/>
    <m/>
  </r>
  <r>
    <d v="2026-01-29T00:00:00"/>
    <x v="0"/>
    <n v="100280"/>
    <x v="0"/>
    <s v="DIEGO ALEJANDRO DOTOR CARO"/>
    <s v="TECU3FNPRO"/>
    <s v="Electric Standing Desk  PRO Negro"/>
    <n v="1"/>
    <x v="3"/>
    <x v="3"/>
    <x v="4"/>
    <x v="0"/>
    <s v="Coordinadora"/>
    <s v="4048570-84151502337"/>
    <d v="2026-01-30T00:00:00"/>
    <d v="2026-02-02T00:00:00"/>
    <s v="Entregado"/>
    <n v="1"/>
    <n v="3"/>
    <x v="1"/>
    <n v="0"/>
    <x v="1"/>
    <n v="44550"/>
    <m/>
    <x v="1"/>
    <m/>
  </r>
  <r>
    <d v="2026-01-29T00:00:00"/>
    <x v="0"/>
    <n v="100280"/>
    <x v="0"/>
    <s v="DIEGO ALEJANDRO DOTOR CARO"/>
    <s v="TECUCT"/>
    <s v="Bandeja de cables"/>
    <n v="1"/>
    <x v="1"/>
    <x v="3"/>
    <x v="4"/>
    <x v="0"/>
    <s v="Coordinadora"/>
    <s v="4048584-84151502343"/>
    <d v="2026-01-30T00:00:00"/>
    <d v="2026-02-02T00:00:00"/>
    <s v="Entregado"/>
    <n v="1"/>
    <n v="3"/>
    <x v="1"/>
    <n v="0"/>
    <x v="1"/>
    <n v="26681"/>
    <m/>
    <x v="1"/>
    <m/>
  </r>
  <r>
    <d v="2026-01-29T00:00:00"/>
    <x v="0"/>
    <n v="100280"/>
    <x v="0"/>
    <s v="DIEGO ALEJANDRO DOTOR CARO"/>
    <s v="TECURECO-80"/>
    <s v="Repisa Escritorio Caramelo x 80cm"/>
    <n v="1"/>
    <x v="4"/>
    <x v="3"/>
    <x v="4"/>
    <x v="0"/>
    <s v="Coordinadora"/>
    <s v="4055850-84151504787"/>
    <d v="2026-02-02T00:00:00"/>
    <d v="2026-02-05T00:00:00"/>
    <s v="Entregado"/>
    <n v="3"/>
    <n v="6"/>
    <x v="0"/>
    <n v="3"/>
    <x v="0"/>
    <n v="26233"/>
    <m/>
    <x v="3"/>
    <s v="Se debía pintar la bandeja de la repisa"/>
  </r>
  <r>
    <d v="2026-01-29T00:00:00"/>
    <x v="0"/>
    <n v="100280"/>
    <x v="0"/>
    <s v="DIEGO ALEJANDRO DOTOR CARO"/>
    <m/>
    <s v="Servicio Instalación"/>
    <n v="1"/>
    <x v="5"/>
    <x v="3"/>
    <x v="4"/>
    <x v="0"/>
    <s v="N/A"/>
    <s v="N/A"/>
    <s v="N/A"/>
    <s v="N/A"/>
    <s v="Entregado"/>
    <n v="0"/>
    <n v="0"/>
    <x v="2"/>
    <n v="0"/>
    <x v="1"/>
    <n v="0"/>
    <m/>
    <x v="1"/>
    <m/>
  </r>
  <r>
    <d v="2026-01-30T00:00:00"/>
    <x v="0"/>
    <n v="100281"/>
    <x v="0"/>
    <s v="Luis Trigueros"/>
    <s v="TECUTFE3C"/>
    <s v="Superficie  Fresno Europeo 130x70 Clasico"/>
    <n v="1"/>
    <x v="2"/>
    <x v="0"/>
    <x v="14"/>
    <x v="0"/>
    <s v="Coordinadora"/>
    <s v="4055134-84151504450"/>
    <d v="2026-02-02T00:00:00"/>
    <d v="2026-02-03T00:00:00"/>
    <s v="Entregado"/>
    <n v="2"/>
    <n v="3"/>
    <x v="1"/>
    <n v="0"/>
    <x v="1"/>
    <n v="25952"/>
    <m/>
    <x v="1"/>
    <m/>
  </r>
  <r>
    <d v="2026-01-30T00:00:00"/>
    <x v="0"/>
    <n v="100281"/>
    <x v="0"/>
    <s v="Luis Trigueros"/>
    <s v="TECUREFE -110"/>
    <s v="Repisa Escritorio Fresno Europeo x 110cm"/>
    <n v="1"/>
    <x v="4"/>
    <x v="0"/>
    <x v="14"/>
    <x v="0"/>
    <s v="Coordinadora"/>
    <s v="4055134-84151504450"/>
    <d v="2026-02-02T00:00:00"/>
    <d v="2026-02-03T00:00:00"/>
    <s v="Entregado"/>
    <n v="2"/>
    <n v="3"/>
    <x v="1"/>
    <n v="0"/>
    <x v="1"/>
    <n v="0"/>
    <m/>
    <x v="1"/>
    <m/>
  </r>
  <r>
    <d v="2026-01-30T00:00:00"/>
    <x v="0"/>
    <n v="100281"/>
    <x v="0"/>
    <s v="Luis Trigueros"/>
    <s v="TECU3FNPRO"/>
    <s v="Electric Standing Desk  PRO Negro"/>
    <n v="1"/>
    <x v="3"/>
    <x v="0"/>
    <x v="14"/>
    <x v="0"/>
    <s v="Coordinadora"/>
    <s v="4055133-84151504449"/>
    <d v="2026-02-02T00:00:00"/>
    <d v="2026-02-03T00:00:00"/>
    <s v="Entregado"/>
    <n v="2"/>
    <n v="3"/>
    <x v="1"/>
    <n v="0"/>
    <x v="1"/>
    <n v="43114"/>
    <m/>
    <x v="1"/>
    <m/>
  </r>
  <r>
    <d v="2026-01-30T00:00:00"/>
    <x v="0"/>
    <n v="100281"/>
    <x v="0"/>
    <s v="Luis Trigueros"/>
    <s v="TECUCT"/>
    <s v="Bandeja de cables"/>
    <n v="1"/>
    <x v="1"/>
    <x v="0"/>
    <x v="14"/>
    <x v="0"/>
    <s v="Coordinadora"/>
    <s v="4055158-84151504463"/>
    <d v="2026-02-02T00:00:00"/>
    <d v="2026-02-03T00:00:00"/>
    <s v="Entregado"/>
    <n v="2"/>
    <n v="3"/>
    <x v="1"/>
    <n v="0"/>
    <x v="1"/>
    <n v="26681"/>
    <m/>
    <x v="1"/>
    <m/>
  </r>
  <r>
    <d v="2026-01-30T00:00:00"/>
    <x v="0"/>
    <n v="100282"/>
    <x v="0"/>
    <s v="Cristian Fernando Varela Fitzgerald"/>
    <s v="TECUTCO2C-60"/>
    <s v="Superficie Escritorio Caramelo 120x60 Clasico Small"/>
    <n v="1"/>
    <x v="2"/>
    <x v="4"/>
    <x v="5"/>
    <x v="0"/>
    <s v="Particular"/>
    <s v="N/A"/>
    <d v="2026-02-02T00:00:00"/>
    <d v="2026-02-02T00:00:00"/>
    <s v="Entregado"/>
    <n v="2"/>
    <n v="2"/>
    <x v="1"/>
    <n v="0"/>
    <x v="1"/>
    <n v="40000"/>
    <m/>
    <x v="1"/>
    <m/>
  </r>
  <r>
    <d v="2026-01-30T00:00:00"/>
    <x v="0"/>
    <n v="100282"/>
    <x v="0"/>
    <s v="Cristian Fernando Varela Fitzgerald"/>
    <s v="TECU2FNG"/>
    <s v="Electric Standing Desk GO Negro"/>
    <n v="1"/>
    <x v="3"/>
    <x v="4"/>
    <x v="5"/>
    <x v="0"/>
    <s v="Particular"/>
    <s v="N/A"/>
    <d v="2026-02-02T00:00:00"/>
    <d v="2026-02-02T00:00:00"/>
    <s v="Entregado"/>
    <n v="2"/>
    <n v="2"/>
    <x v="1"/>
    <n v="0"/>
    <x v="1"/>
    <n v="0"/>
    <m/>
    <x v="1"/>
    <m/>
  </r>
  <r>
    <d v="2026-01-31T00:00:00"/>
    <x v="0"/>
    <n v="100283"/>
    <x v="0"/>
    <s v="Julio Cesar Calderón"/>
    <s v="TECUTCO6C"/>
    <s v="Superficie  Caramelo 160x70 Clasico"/>
    <n v="1"/>
    <x v="2"/>
    <x v="3"/>
    <x v="4"/>
    <x v="0"/>
    <s v="Envía"/>
    <s v="4059885-954101385842"/>
    <d v="2026-02-03T00:00:00"/>
    <d v="2026-02-04T00:00:00"/>
    <s v="Entregado"/>
    <n v="2"/>
    <n v="3"/>
    <x v="1"/>
    <n v="0"/>
    <x v="1"/>
    <n v="32253"/>
    <m/>
    <x v="1"/>
    <m/>
  </r>
  <r>
    <d v="2026-01-31T00:00:00"/>
    <x v="0"/>
    <n v="100283"/>
    <x v="0"/>
    <s v="Julio Cesar Calderón"/>
    <s v="TECU3FNCRO"/>
    <s v="Electric Standing Desk  PRO Negro circular"/>
    <n v="1"/>
    <x v="3"/>
    <x v="3"/>
    <x v="4"/>
    <x v="0"/>
    <s v="Coordinadora"/>
    <s v="4059912-84151506167"/>
    <d v="2026-02-03T00:00:00"/>
    <d v="2026-02-05T00:00:00"/>
    <s v="Entregado"/>
    <n v="2"/>
    <n v="4"/>
    <x v="0"/>
    <n v="1"/>
    <x v="4"/>
    <n v="44550"/>
    <m/>
    <x v="2"/>
    <m/>
  </r>
  <r>
    <d v="2026-01-31T00:00:00"/>
    <x v="0"/>
    <n v="100284"/>
    <x v="0"/>
    <s v="Julio Cesar Calderón"/>
    <s v="TECUCT"/>
    <s v="Bandeja de cables"/>
    <n v="1"/>
    <x v="1"/>
    <x v="3"/>
    <x v="4"/>
    <x v="0"/>
    <s v="Coordinadora"/>
    <s v="4059942-84151506184"/>
    <d v="2026-02-03T00:00:00"/>
    <d v="2026-02-05T00:00:00"/>
    <s v="Entregado"/>
    <n v="2"/>
    <n v="4"/>
    <x v="0"/>
    <n v="1"/>
    <x v="4"/>
    <n v="26681"/>
    <m/>
    <x v="2"/>
    <m/>
  </r>
  <r>
    <d v="2026-02-02T00:00:00"/>
    <x v="1"/>
    <n v="100285"/>
    <x v="0"/>
    <s v="Julian David Gomez Perilla"/>
    <s v="TECUTCO6M"/>
    <s v="Superficie  Caramelo 160x70 Moderno"/>
    <n v="1"/>
    <x v="2"/>
    <x v="3"/>
    <x v="4"/>
    <x v="0"/>
    <s v="Envía"/>
    <s v="4059930-954101385844"/>
    <d v="2026-02-03T00:00:00"/>
    <d v="2026-02-04T00:00:00"/>
    <s v="Entregado"/>
    <n v="1"/>
    <n v="2"/>
    <x v="1"/>
    <n v="0"/>
    <x v="1"/>
    <n v="32253"/>
    <m/>
    <x v="1"/>
    <m/>
  </r>
  <r>
    <d v="2026-02-02T00:00:00"/>
    <x v="1"/>
    <n v="100285"/>
    <x v="0"/>
    <s v="Julian David Gomez Perilla"/>
    <s v="TECU3FNPRO"/>
    <s v="Electric Standing Desk  PRO Negro"/>
    <n v="1"/>
    <x v="3"/>
    <x v="3"/>
    <x v="4"/>
    <x v="0"/>
    <s v="Coordinadora"/>
    <s v="4059984-84151506204"/>
    <d v="2026-02-03T00:00:00"/>
    <d v="2026-02-05T00:00:00"/>
    <s v="Entregado"/>
    <n v="1"/>
    <n v="3"/>
    <x v="1"/>
    <n v="0"/>
    <x v="1"/>
    <n v="44550"/>
    <m/>
    <x v="1"/>
    <m/>
  </r>
  <r>
    <d v="2026-02-02T00:00:00"/>
    <x v="1"/>
    <n v="100286"/>
    <x v="0"/>
    <s v="Javier Villa"/>
    <s v="TECUBLS"/>
    <s v="Laptop Stand B"/>
    <n v="1"/>
    <x v="1"/>
    <x v="3"/>
    <x v="4"/>
    <x v="0"/>
    <s v="Coordinadora"/>
    <s v="4059994-84151506206"/>
    <d v="2026-02-03T00:00:00"/>
    <d v="2026-02-05T00:00:00"/>
    <s v="Entregado"/>
    <n v="1"/>
    <n v="3"/>
    <x v="1"/>
    <n v="0"/>
    <x v="1"/>
    <n v="26681"/>
    <m/>
    <x v="1"/>
    <m/>
  </r>
  <r>
    <d v="2026-02-03T00:00:00"/>
    <x v="1"/>
    <n v="100287"/>
    <x v="0"/>
    <s v="Harold Muñoz"/>
    <s v="TECUREFE -80"/>
    <s v="Repisa Escritorio Fresno Europeo x 80cm"/>
    <n v="1"/>
    <x v="4"/>
    <x v="3"/>
    <x v="4"/>
    <x v="0"/>
    <s v="Coordinadora"/>
    <s v="4070707-84151509913"/>
    <d v="2026-02-06T00:00:00"/>
    <d v="2026-02-07T00:00:00"/>
    <s v="Entregado"/>
    <n v="3"/>
    <n v="4"/>
    <x v="0"/>
    <n v="1"/>
    <x v="0"/>
    <n v="25233"/>
    <m/>
    <x v="3"/>
    <s v="No habían bandejas de la repisa"/>
  </r>
  <r>
    <d v="2026-02-06T00:00:00"/>
    <x v="1"/>
    <n v="100288"/>
    <x v="0"/>
    <s v="Laura Del Sol Garcia Ruiz"/>
    <s v="TECU2CBC-65"/>
    <s v="Cajonero 2.0 Bicolor Caramelo x65cm"/>
    <n v="1"/>
    <x v="0"/>
    <x v="4"/>
    <x v="5"/>
    <x v="0"/>
    <s v="Particular"/>
    <s v="N/A"/>
    <d v="2026-02-10T00:00:00"/>
    <d v="2026-02-10T00:00:00"/>
    <s v="Entregado"/>
    <n v="3"/>
    <n v="3"/>
    <x v="1"/>
    <n v="0"/>
    <x v="1"/>
    <n v="50000"/>
    <m/>
    <x v="1"/>
    <m/>
  </r>
  <r>
    <d v="2026-02-06T00:00:00"/>
    <x v="1"/>
    <n v="100288"/>
    <x v="0"/>
    <s v="Laura Del Sol Garcia Ruiz"/>
    <s v="TECU2CBC-65"/>
    <s v="Cajonero 2.0 Bicolor Caramelo x65cm"/>
    <n v="1"/>
    <x v="0"/>
    <x v="4"/>
    <x v="5"/>
    <x v="0"/>
    <s v="Particular"/>
    <s v="N/A"/>
    <d v="2026-02-10T00:00:00"/>
    <d v="2026-02-10T00:00:00"/>
    <s v="Entregado"/>
    <n v="3"/>
    <n v="3"/>
    <x v="1"/>
    <n v="0"/>
    <x v="1"/>
    <n v="0"/>
    <m/>
    <x v="1"/>
    <m/>
  </r>
  <r>
    <d v="2026-02-08T00:00:00"/>
    <x v="1"/>
    <n v="100289"/>
    <x v="0"/>
    <s v="Brayan Camilo Clavijo Gomez"/>
    <s v="TECUTRN8C-80"/>
    <s v="Superficie Escritorio Roble Negro 180x80 Clasico"/>
    <n v="1"/>
    <x v="2"/>
    <x v="9"/>
    <x v="15"/>
    <x v="0"/>
    <s v="Envía"/>
    <s v="4080860-954101391564"/>
    <d v="2026-02-10T00:00:00"/>
    <d v="2026-02-12T00:00:00"/>
    <s v="Entregado"/>
    <n v="1"/>
    <n v="3"/>
    <x v="1"/>
    <n v="0"/>
    <x v="1"/>
    <n v="63431"/>
    <m/>
    <x v="1"/>
    <m/>
  </r>
  <r>
    <d v="2026-02-08T00:00:00"/>
    <x v="1"/>
    <n v="100289"/>
    <x v="0"/>
    <s v="Brayan Camilo Clavijo Gomez"/>
    <s v="TECU3FNCRO"/>
    <s v="Electric Standing Desk  PRO Negro circular"/>
    <n v="1"/>
    <x v="3"/>
    <x v="9"/>
    <x v="15"/>
    <x v="0"/>
    <s v="Coordinadora"/>
    <s v="4080266-84151513163"/>
    <d v="2026-02-10T00:00:00"/>
    <d v="2026-02-12T00:00:00"/>
    <s v="Entregado"/>
    <n v="1"/>
    <n v="3"/>
    <x v="1"/>
    <n v="0"/>
    <x v="1"/>
    <n v="65599"/>
    <m/>
    <x v="1"/>
    <m/>
  </r>
  <r>
    <d v="2026-02-10T00:00:00"/>
    <x v="1"/>
    <n v="100290"/>
    <x v="0"/>
    <s v="Ricardo Alfonso Escobar Rojas"/>
    <s v="TECUTCO2C-60"/>
    <s v="Superficie Escritorio Caramelo 120x60 Clasico Small"/>
    <n v="1"/>
    <x v="2"/>
    <x v="3"/>
    <x v="4"/>
    <x v="0"/>
    <s v="Coordinadora"/>
    <s v="4084066-84151514430"/>
    <d v="2026-02-11T00:00:00"/>
    <d v="2026-02-14T00:00:00"/>
    <s v="Entregado"/>
    <n v="1"/>
    <n v="4"/>
    <x v="0"/>
    <n v="1"/>
    <x v="2"/>
    <n v="25952"/>
    <m/>
    <x v="2"/>
    <m/>
  </r>
  <r>
    <d v="2026-02-10T00:00:00"/>
    <x v="1"/>
    <n v="100290"/>
    <x v="0"/>
    <s v="Ricardo Alfonso Escobar Rojas"/>
    <s v="TECU2FNG"/>
    <s v="Electric Standing Desk GO Negro"/>
    <n v="1"/>
    <x v="3"/>
    <x v="3"/>
    <x v="4"/>
    <x v="0"/>
    <s v="Coordinadora"/>
    <s v="4084065-84151514429"/>
    <d v="2026-02-11T00:00:00"/>
    <d v="2026-02-12T00:00:00"/>
    <s v="Entregado"/>
    <n v="1"/>
    <n v="2"/>
    <x v="1"/>
    <n v="0"/>
    <x v="1"/>
    <n v="43114"/>
    <m/>
    <x v="1"/>
    <m/>
  </r>
  <r>
    <d v="2026-02-10T00:00:00"/>
    <x v="1"/>
    <n v="100291"/>
    <x v="0"/>
    <s v="Luis Camacho"/>
    <s v="TECUTCO2C"/>
    <s v="Superficie  Caramelo 120x70 Clasico Small"/>
    <n v="1"/>
    <x v="2"/>
    <x v="3"/>
    <x v="4"/>
    <x v="0"/>
    <s v="Coordinadora"/>
    <s v="4084092-84151514438"/>
    <d v="2026-02-11T00:00:00"/>
    <d v="2026-02-12T00:00:00"/>
    <s v="Entregado"/>
    <n v="1"/>
    <n v="2"/>
    <x v="1"/>
    <n v="0"/>
    <x v="1"/>
    <n v="25952"/>
    <m/>
    <x v="1"/>
    <m/>
  </r>
  <r>
    <d v="2026-02-10T00:00:00"/>
    <x v="1"/>
    <n v="100291"/>
    <x v="0"/>
    <s v="Luis Camacho"/>
    <s v="TECU2FNG"/>
    <s v="Electric Standing Desk GO Negro"/>
    <n v="1"/>
    <x v="3"/>
    <x v="3"/>
    <x v="4"/>
    <x v="0"/>
    <s v="Coordinadora"/>
    <s v="4084091-84151514437"/>
    <d v="2026-02-11T00:00:00"/>
    <d v="2026-02-12T00:00:00"/>
    <s v="Entregado"/>
    <n v="1"/>
    <n v="2"/>
    <x v="1"/>
    <n v="0"/>
    <x v="1"/>
    <n v="43114"/>
    <m/>
    <x v="1"/>
    <m/>
  </r>
  <r>
    <d v="2026-02-10T00:00:00"/>
    <x v="1"/>
    <n v="100292"/>
    <x v="0"/>
    <s v="Andres Sampedro"/>
    <s v="TECUCT"/>
    <s v="Bandeja de cables"/>
    <n v="1"/>
    <x v="1"/>
    <x v="3"/>
    <x v="4"/>
    <x v="0"/>
    <s v="Coordinadora"/>
    <s v="4085232-84151514843"/>
    <d v="2026-02-11T00:00:00"/>
    <d v="2026-02-12T00:00:00"/>
    <s v="Entregado"/>
    <n v="1"/>
    <n v="2"/>
    <x v="1"/>
    <n v="0"/>
    <x v="1"/>
    <n v="26681"/>
    <m/>
    <x v="1"/>
    <m/>
  </r>
  <r>
    <d v="2026-02-12T00:00:00"/>
    <x v="1"/>
    <n v="100293"/>
    <x v="0"/>
    <s v="Carlos Andres Carrero Saldarriaga"/>
    <s v="TECUTRN20C-80"/>
    <s v="Superficie Escritorio Roble Negro 200x80 Clasico"/>
    <n v="1"/>
    <x v="2"/>
    <x v="1"/>
    <x v="3"/>
    <x v="0"/>
    <s v="Envía"/>
    <s v="4087332-954101393148"/>
    <d v="2026-02-12T00:00:00"/>
    <d v="2026-02-13T00:00:00"/>
    <s v="Entregado"/>
    <n v="0"/>
    <n v="1"/>
    <x v="1"/>
    <n v="0"/>
    <x v="1"/>
    <n v="45071"/>
    <m/>
    <x v="1"/>
    <m/>
  </r>
  <r>
    <d v="2026-02-12T00:00:00"/>
    <x v="1"/>
    <n v="100293"/>
    <x v="0"/>
    <s v="Carlos Andres Carrero Saldarriaga"/>
    <s v="TECU3FNPRO"/>
    <s v="Electric Standing Desk  PRO Negro"/>
    <n v="1"/>
    <x v="3"/>
    <x v="1"/>
    <x v="3"/>
    <x v="0"/>
    <s v="Coordinadora"/>
    <s v="4087324-84151515548"/>
    <d v="2026-02-12T00:00:00"/>
    <d v="2026-02-13T00:00:00"/>
    <s v="Entregado"/>
    <n v="0"/>
    <n v="1"/>
    <x v="1"/>
    <n v="0"/>
    <x v="1"/>
    <n v="44550"/>
    <m/>
    <x v="1"/>
    <m/>
  </r>
  <r>
    <d v="2026-02-12T00:00:00"/>
    <x v="1"/>
    <n v="100293"/>
    <x v="0"/>
    <s v="Carlos Andres Carrero Saldarriaga"/>
    <m/>
    <s v="Servicio Instalación"/>
    <n v="1"/>
    <x v="5"/>
    <x v="1"/>
    <x v="3"/>
    <x v="0"/>
    <s v="N/A"/>
    <s v="N/A"/>
    <s v="N/A"/>
    <s v="N/A"/>
    <s v="Entregado"/>
    <n v="0"/>
    <n v="0"/>
    <x v="2"/>
    <n v="0"/>
    <x v="1"/>
    <n v="0"/>
    <m/>
    <x v="1"/>
    <m/>
  </r>
  <r>
    <d v="2026-02-12T00:00:00"/>
    <x v="1"/>
    <n v="100294"/>
    <x v="0"/>
    <s v="Camilo Fernandez"/>
    <s v="TECUAFE"/>
    <s v="Archivador TECU Fresno Europeo"/>
    <n v="1"/>
    <x v="0"/>
    <x v="3"/>
    <x v="4"/>
    <x v="0"/>
    <s v="Envía"/>
    <s v="4090685-954101394045"/>
    <d v="2026-02-13T00:00:00"/>
    <d v="2026-02-14T00:00:00"/>
    <s v="Entregado"/>
    <n v="1"/>
    <n v="2"/>
    <x v="1"/>
    <n v="0"/>
    <x v="1"/>
    <n v="57135"/>
    <m/>
    <x v="1"/>
    <m/>
  </r>
  <r>
    <d v="2026-02-12T00:00:00"/>
    <x v="1"/>
    <n v="100295"/>
    <x v="0"/>
    <s v="Jonathan Montes"/>
    <s v="TECUBDPA"/>
    <s v="Desk Pad B Negro Azul"/>
    <n v="1"/>
    <x v="1"/>
    <x v="1"/>
    <x v="16"/>
    <x v="0"/>
    <s v="Coordinadora"/>
    <s v="4088436-84151515959"/>
    <d v="2026-02-12T00:00:00"/>
    <d v="2026-02-14T00:00:00"/>
    <s v="Entregado"/>
    <n v="0"/>
    <n v="2"/>
    <x v="1"/>
    <n v="0"/>
    <x v="1"/>
    <n v="17787"/>
    <m/>
    <x v="1"/>
    <m/>
  </r>
  <r>
    <d v="2026-02-13T00:00:00"/>
    <x v="1"/>
    <n v="100296"/>
    <x v="0"/>
    <s v="Daniel Restrepo"/>
    <s v="TECUTFE4C-60"/>
    <s v="Superficie Escritorio Fresno Europeo 140x60 Clasico"/>
    <n v="1"/>
    <x v="2"/>
    <x v="1"/>
    <x v="1"/>
    <x v="0"/>
    <s v="Coordinadora"/>
    <s v="4096674-84151518709"/>
    <d v="2026-02-16T00:00:00"/>
    <d v="2026-02-17T00:00:00"/>
    <s v="Entregado"/>
    <n v="2"/>
    <n v="3"/>
    <x v="1"/>
    <n v="0"/>
    <x v="1"/>
    <n v="25952"/>
    <m/>
    <x v="1"/>
    <m/>
  </r>
  <r>
    <d v="2026-02-13T00:00:00"/>
    <x v="1"/>
    <n v="100296"/>
    <x v="0"/>
    <s v="Daniel Restrepo"/>
    <s v="TECU2FNG"/>
    <s v="Electric Standing Desk GO Negro"/>
    <n v="1"/>
    <x v="3"/>
    <x v="1"/>
    <x v="1"/>
    <x v="0"/>
    <s v="Coordinadora"/>
    <s v="4096670-84151518706"/>
    <d v="2026-02-16T00:00:00"/>
    <d v="2026-02-17T00:00:00"/>
    <s v="Entregado"/>
    <n v="2"/>
    <n v="3"/>
    <x v="1"/>
    <n v="0"/>
    <x v="1"/>
    <n v="43114"/>
    <m/>
    <x v="1"/>
    <m/>
  </r>
  <r>
    <d v="2026-02-13T00:00:00"/>
    <x v="1"/>
    <n v="100297"/>
    <x v="0"/>
    <s v="SQDM SAS / NELSON MOLINA"/>
    <s v="TECUTRM8C"/>
    <s v="Superficie Roble Miel 180x75 Clasico"/>
    <n v="1"/>
    <x v="2"/>
    <x v="3"/>
    <x v="4"/>
    <x v="0"/>
    <s v="Envía"/>
    <s v="4122482-954101401758"/>
    <d v="2026-02-24T00:00:00"/>
    <d v="2026-02-25T00:00:00"/>
    <s v="Entregado"/>
    <n v="9"/>
    <n v="10"/>
    <x v="0"/>
    <n v="7"/>
    <x v="0"/>
    <n v="35290"/>
    <m/>
    <x v="4"/>
    <m/>
  </r>
  <r>
    <d v="2026-02-13T00:00:00"/>
    <x v="1"/>
    <n v="100297"/>
    <x v="0"/>
    <s v="SQDM SAS / NELSON MOLINA"/>
    <s v="TECU3FNPRO"/>
    <s v="Electric Standing Desk  PRO Negro"/>
    <n v="1"/>
    <x v="3"/>
    <x v="3"/>
    <x v="4"/>
    <x v="0"/>
    <s v="Coordinadora"/>
    <s v="4122315-84151527663"/>
    <d v="2026-02-24T00:00:00"/>
    <d v="2026-02-25T00:00:00"/>
    <s v="Entregado"/>
    <n v="9"/>
    <n v="10"/>
    <x v="0"/>
    <n v="7"/>
    <x v="0"/>
    <n v="44550"/>
    <m/>
    <x v="4"/>
    <m/>
  </r>
  <r>
    <d v="2026-02-13T00:00:00"/>
    <x v="1"/>
    <n v="100297"/>
    <x v="0"/>
    <s v="SQDM SAS / NELSON MOLINA"/>
    <s v="TECUCT"/>
    <s v="Bandeja de cables"/>
    <n v="1"/>
    <x v="1"/>
    <x v="3"/>
    <x v="4"/>
    <x v="0"/>
    <s v="Coordinadora"/>
    <s v="4122321-84151527667"/>
    <d v="2026-02-24T00:00:00"/>
    <d v="2026-02-25T00:00:00"/>
    <s v="Entregado"/>
    <n v="9"/>
    <n v="10"/>
    <x v="0"/>
    <n v="7"/>
    <x v="0"/>
    <n v="26681"/>
    <m/>
    <x v="4"/>
    <m/>
  </r>
  <r>
    <d v="2026-02-14T00:00:00"/>
    <x v="1"/>
    <n v="100298"/>
    <x v="0"/>
    <s v="Libana Abdul"/>
    <s v="TECUTCO2C"/>
    <s v="Superficie  Caramelo 120x70 Clasico Small"/>
    <n v="1"/>
    <x v="2"/>
    <x v="3"/>
    <x v="4"/>
    <x v="0"/>
    <s v="Coordinadora"/>
    <s v="4096805-84151518758"/>
    <d v="2026-02-16T00:00:00"/>
    <d v="2026-02-18T00:00:00"/>
    <s v="Entregado"/>
    <n v="1"/>
    <n v="3"/>
    <x v="1"/>
    <n v="0"/>
    <x v="1"/>
    <n v="25952"/>
    <m/>
    <x v="1"/>
    <m/>
  </r>
  <r>
    <d v="2026-02-14T00:00:00"/>
    <x v="1"/>
    <n v="100298"/>
    <x v="0"/>
    <s v="Libana Abdul"/>
    <s v="TECU2FNG"/>
    <s v="Electric Standing Desk GO Negro"/>
    <n v="1"/>
    <x v="3"/>
    <x v="3"/>
    <x v="4"/>
    <x v="0"/>
    <s v="Coordinadora"/>
    <s v="4096804-84151518757"/>
    <d v="2026-02-16T00:00:00"/>
    <d v="2026-02-18T00:00:00"/>
    <s v="Entregado"/>
    <n v="1"/>
    <n v="3"/>
    <x v="1"/>
    <n v="0"/>
    <x v="1"/>
    <n v="43114"/>
    <m/>
    <x v="1"/>
    <m/>
  </r>
  <r>
    <d v="2026-02-16T00:00:00"/>
    <x v="1"/>
    <n v="100299"/>
    <x v="0"/>
    <s v="Angela Viveros"/>
    <s v="TECUTFE2C"/>
    <s v="Superficie  Fresno Europeo 120x70 Clasico Small"/>
    <n v="1"/>
    <x v="2"/>
    <x v="3"/>
    <x v="4"/>
    <x v="0"/>
    <s v="Coordinadora"/>
    <s v="4100735-84151520443"/>
    <d v="2026-02-17T00:00:00"/>
    <d v="2026-02-19T00:00:00"/>
    <s v="Entregado"/>
    <n v="1"/>
    <n v="3"/>
    <x v="1"/>
    <n v="0"/>
    <x v="1"/>
    <n v="25952"/>
    <m/>
    <x v="1"/>
    <m/>
  </r>
  <r>
    <d v="2026-02-16T00:00:00"/>
    <x v="1"/>
    <n v="100299"/>
    <x v="0"/>
    <s v="Angela Viveros"/>
    <s v="TECU2FBGO"/>
    <s v="Electric Standing Desk GO Blanco"/>
    <n v="1"/>
    <x v="3"/>
    <x v="3"/>
    <x v="4"/>
    <x v="0"/>
    <s v="Coordinadora"/>
    <s v="4100734-84151520442"/>
    <d v="2026-02-17T00:00:00"/>
    <d v="2026-02-18T00:00:00"/>
    <s v="Entregado"/>
    <n v="1"/>
    <n v="2"/>
    <x v="1"/>
    <n v="0"/>
    <x v="1"/>
    <n v="43114"/>
    <m/>
    <x v="1"/>
    <m/>
  </r>
  <r>
    <d v="2026-02-16T00:00:00"/>
    <x v="1"/>
    <n v="100300"/>
    <x v="0"/>
    <s v="Nicolás cruz"/>
    <s v="TECURECO-110"/>
    <s v="Repisa Escritorio Caramelo x 110cm"/>
    <n v="1"/>
    <x v="4"/>
    <x v="3"/>
    <x v="4"/>
    <x v="0"/>
    <s v="Coordinadora"/>
    <s v="4104633-84151521748"/>
    <d v="2026-02-18T00:00:00"/>
    <d v="2026-02-19T00:00:00"/>
    <s v="Entregado"/>
    <n v="2"/>
    <n v="3"/>
    <x v="1"/>
    <n v="0"/>
    <x v="1"/>
    <n v="25233"/>
    <m/>
    <x v="1"/>
    <m/>
  </r>
  <r>
    <d v="2026-02-19T00:00:00"/>
    <x v="1"/>
    <n v="100301"/>
    <x v="0"/>
    <s v="Josh Root"/>
    <s v="TECUTRM5C"/>
    <s v="Superficie Roble Miel 150x75 Clasico"/>
    <n v="1"/>
    <x v="2"/>
    <x v="1"/>
    <x v="3"/>
    <x v="0"/>
    <s v="Envía"/>
    <s v="4130184-954101403536"/>
    <d v="2026-02-26T00:00:00"/>
    <d v="2026-02-27T00:00:00"/>
    <s v="Entregado"/>
    <n v="6"/>
    <n v="7"/>
    <x v="0"/>
    <n v="4"/>
    <x v="0"/>
    <n v="35344"/>
    <m/>
    <x v="4"/>
    <m/>
  </r>
  <r>
    <d v="2026-02-19T00:00:00"/>
    <x v="1"/>
    <n v="100301"/>
    <x v="0"/>
    <s v="Josh Root"/>
    <s v="TECU3FNPRO"/>
    <s v="Electric Standing Desk  PRO Negro"/>
    <n v="1"/>
    <x v="3"/>
    <x v="1"/>
    <x v="3"/>
    <x v="0"/>
    <s v="Coordinadora"/>
    <s v="4130085-84151530373"/>
    <d v="2026-02-26T00:00:00"/>
    <d v="2026-02-27T00:00:00"/>
    <s v="Entregado"/>
    <n v="6"/>
    <n v="7"/>
    <x v="0"/>
    <n v="4"/>
    <x v="0"/>
    <n v="44550"/>
    <m/>
    <x v="4"/>
    <m/>
  </r>
  <r>
    <d v="2026-02-19T00:00:00"/>
    <x v="1"/>
    <n v="100301"/>
    <x v="0"/>
    <s v="Josh Root"/>
    <s v="TECUCT"/>
    <s v="Bandeja de cables"/>
    <n v="1"/>
    <x v="1"/>
    <x v="1"/>
    <x v="3"/>
    <x v="0"/>
    <s v="Coordinadora"/>
    <s v="4130103-84151530386"/>
    <d v="2026-02-26T00:00:00"/>
    <d v="2026-02-27T00:00:00"/>
    <s v="Entregado"/>
    <n v="6"/>
    <n v="7"/>
    <x v="0"/>
    <n v="4"/>
    <x v="0"/>
    <n v="26681"/>
    <m/>
    <x v="4"/>
    <m/>
  </r>
  <r>
    <d v="2026-02-19T00:00:00"/>
    <x v="1"/>
    <n v="100302"/>
    <x v="0"/>
    <s v="Rafael perdomo"/>
    <s v="TECUTCO2C-60"/>
    <s v="Superficie Escritorio Caramelo 120x60 Clasico Small"/>
    <n v="1"/>
    <x v="2"/>
    <x v="3"/>
    <x v="4"/>
    <x v="0"/>
    <s v="Coordinadora"/>
    <s v="4109618-84151523303"/>
    <d v="2026-02-19T00:00:00"/>
    <d v="2026-02-21T00:00:00"/>
    <s v="Entregado"/>
    <n v="0"/>
    <n v="2"/>
    <x v="1"/>
    <n v="0"/>
    <x v="1"/>
    <n v="25952"/>
    <m/>
    <x v="1"/>
    <m/>
  </r>
  <r>
    <d v="2026-02-19T00:00:00"/>
    <x v="1"/>
    <n v="100302"/>
    <x v="0"/>
    <s v="Rafael perdomo"/>
    <s v="TECU3FNPRO"/>
    <s v="Electric Standing Desk  PRO Negro"/>
    <n v="1"/>
    <x v="3"/>
    <x v="3"/>
    <x v="4"/>
    <x v="0"/>
    <s v="Coordinadora"/>
    <s v="4109617-84151523302"/>
    <d v="2026-02-19T00:00:00"/>
    <d v="2026-02-21T00:00:00"/>
    <s v="Entregado"/>
    <n v="0"/>
    <n v="2"/>
    <x v="1"/>
    <n v="0"/>
    <x v="1"/>
    <n v="43114"/>
    <m/>
    <x v="1"/>
    <m/>
  </r>
  <r>
    <d v="2026-02-20T00:00:00"/>
    <x v="1"/>
    <n v="100303"/>
    <x v="0"/>
    <s v="Hillan Acevedo"/>
    <s v="TECUTCO6C"/>
    <s v="Superficie  Caramelo 160x70 Clasico"/>
    <n v="1"/>
    <x v="2"/>
    <x v="1"/>
    <x v="3"/>
    <x v="0"/>
    <s v="Envía"/>
    <s v="4112205-954101399188"/>
    <d v="2026-02-20T00:00:00"/>
    <d v="2026-02-21T00:00:00"/>
    <s v="Entregado"/>
    <n v="0"/>
    <n v="1"/>
    <x v="1"/>
    <n v="0"/>
    <x v="1"/>
    <n v="33344"/>
    <m/>
    <x v="1"/>
    <m/>
  </r>
  <r>
    <d v="2026-02-20T00:00:00"/>
    <x v="1"/>
    <n v="100303"/>
    <x v="0"/>
    <s v="Hillan Acevedo"/>
    <s v="TECUTBANTE"/>
    <s v="Bandeja de teclado"/>
    <n v="1"/>
    <x v="1"/>
    <x v="1"/>
    <x v="3"/>
    <x v="0"/>
    <s v="Envía"/>
    <s v="4112205-954101399188"/>
    <d v="2026-02-20T00:00:00"/>
    <d v="2026-02-21T00:00:00"/>
    <s v="Entregado"/>
    <n v="0"/>
    <n v="1"/>
    <x v="1"/>
    <n v="0"/>
    <x v="1"/>
    <n v="0"/>
    <m/>
    <x v="1"/>
    <m/>
  </r>
  <r>
    <d v="2026-02-20T00:00:00"/>
    <x v="1"/>
    <n v="100303"/>
    <x v="0"/>
    <s v="Hillan Acevedo"/>
    <s v="TECU3FNPRO"/>
    <s v="Electric Standing Desk  PRO Negro"/>
    <n v="1"/>
    <x v="3"/>
    <x v="1"/>
    <x v="3"/>
    <x v="0"/>
    <s v="Coordinadora"/>
    <s v="4112099-84151524074"/>
    <d v="2026-02-20T00:00:00"/>
    <d v="2026-02-21T00:00:00"/>
    <s v="Entregado"/>
    <n v="0"/>
    <n v="1"/>
    <x v="1"/>
    <n v="0"/>
    <x v="1"/>
    <n v="44550"/>
    <m/>
    <x v="1"/>
    <m/>
  </r>
  <r>
    <d v="2026-02-20T00:00:00"/>
    <x v="1"/>
    <n v="100304"/>
    <x v="0"/>
    <s v="Camila Andrea Estupiñan Guevara"/>
    <s v="TECU3FNPRO"/>
    <s v="Electric Standing Desk  PRO Negro"/>
    <n v="1"/>
    <x v="3"/>
    <x v="3"/>
    <x v="4"/>
    <x v="0"/>
    <s v="Coordinadora"/>
    <s v="4112177-84151524091"/>
    <d v="2026-02-20T00:00:00"/>
    <d v="2026-02-21T00:00:00"/>
    <s v="Entregado"/>
    <n v="0"/>
    <n v="1"/>
    <x v="1"/>
    <n v="0"/>
    <x v="1"/>
    <n v="44550"/>
    <m/>
    <x v="1"/>
    <m/>
  </r>
  <r>
    <d v="2026-02-21T00:00:00"/>
    <x v="1"/>
    <n v="100305"/>
    <x v="0"/>
    <s v="PHAROS SOLUTIONS SAS / Esteban Villafrades"/>
    <s v="TECUTRN2C"/>
    <s v="Superficie  Roble Negro 120x70 Clasico Small"/>
    <n v="1"/>
    <x v="2"/>
    <x v="3"/>
    <x v="4"/>
    <x v="0"/>
    <s v="Coordinadora"/>
    <s v="4119028-84151526316"/>
    <d v="2026-02-23T00:00:00"/>
    <d v="2026-02-24T00:00:00"/>
    <s v="Entregado"/>
    <n v="1"/>
    <n v="2"/>
    <x v="1"/>
    <n v="0"/>
    <x v="1"/>
    <n v="25952"/>
    <m/>
    <x v="1"/>
    <m/>
  </r>
  <r>
    <d v="2026-02-21T00:00:00"/>
    <x v="1"/>
    <n v="100305"/>
    <x v="0"/>
    <s v="PHAROS SOLUTIONS SAS / Esteban Villafrades"/>
    <s v="TECU2FNG"/>
    <s v="Electric Standing Desk GO Negro"/>
    <n v="1"/>
    <x v="3"/>
    <x v="3"/>
    <x v="4"/>
    <x v="0"/>
    <s v="Coordinadora"/>
    <s v="4119026-84151526314"/>
    <d v="2026-02-23T00:00:00"/>
    <d v="2026-02-24T00:00:00"/>
    <s v="Entregado"/>
    <n v="1"/>
    <n v="2"/>
    <x v="1"/>
    <n v="0"/>
    <x v="1"/>
    <n v="43114"/>
    <m/>
    <x v="1"/>
    <m/>
  </r>
  <r>
    <d v="2026-02-22T00:00:00"/>
    <x v="1"/>
    <n v="100306"/>
    <x v="0"/>
    <s v="Camilo Robayo"/>
    <s v="TECURECO-110"/>
    <s v="Repisa Escritorio Caramelo x 110cm"/>
    <n v="1"/>
    <x v="4"/>
    <x v="3"/>
    <x v="4"/>
    <x v="0"/>
    <s v="Coordinadora"/>
    <s v="4122344-84151527683"/>
    <d v="2026-02-24T00:00:00"/>
    <d v="2026-02-25T00:00:00"/>
    <s v="Entregado"/>
    <n v="1"/>
    <n v="2"/>
    <x v="1"/>
    <n v="0"/>
    <x v="1"/>
    <n v="25233"/>
    <m/>
    <x v="1"/>
    <m/>
  </r>
  <r>
    <d v="2026-02-24T00:00:00"/>
    <x v="1"/>
    <n v="100307"/>
    <x v="0"/>
    <s v="Adriana Alfonso"/>
    <s v="TECUTFE6C-60"/>
    <s v="Superficie Escritorio Fresno Europeo 160x60 Clasico"/>
    <n v="1"/>
    <x v="7"/>
    <x v="3"/>
    <x v="4"/>
    <x v="0"/>
    <s v="Envía"/>
    <s v="4167830-954101412443"/>
    <d v="2026-03-10T00:00:00"/>
    <d v="2026-03-11T00:00:00"/>
    <s v="Entregado"/>
    <n v="12"/>
    <n v="13"/>
    <x v="0"/>
    <n v="3"/>
    <x v="0"/>
    <n v="34253"/>
    <m/>
    <x v="3"/>
    <s v="Tiempo de producción"/>
  </r>
  <r>
    <d v="2026-02-24T00:00:00"/>
    <x v="1"/>
    <n v="100307"/>
    <x v="0"/>
    <s v="Adriana alfonso"/>
    <s v="TECU2CUF-77"/>
    <s v="Cajonero 2.0 Unicolor Fresno Europeo x77cm"/>
    <n v="1"/>
    <x v="7"/>
    <x v="3"/>
    <x v="4"/>
    <x v="0"/>
    <s v="Envía"/>
    <s v="4167708-954101412431"/>
    <d v="2026-03-10T00:00:00"/>
    <d v="2026-03-11T00:00:00"/>
    <s v="Entregado"/>
    <n v="12"/>
    <n v="13"/>
    <x v="0"/>
    <n v="3"/>
    <x v="0"/>
    <n v="67823"/>
    <m/>
    <x v="3"/>
    <s v="Tiempo de producción"/>
  </r>
  <r>
    <d v="2026-02-24T00:00:00"/>
    <x v="1"/>
    <n v="100307"/>
    <x v="0"/>
    <s v="Adriana Alfonso"/>
    <s v="TECUFX-T76"/>
    <s v="Escritorio FIjo Linea - T x 76,5 cm"/>
    <n v="1"/>
    <x v="7"/>
    <x v="3"/>
    <x v="4"/>
    <x v="0"/>
    <s v="Coordinadora"/>
    <s v="4167867-84151543976"/>
    <d v="2026-03-11T00:00:00"/>
    <d v="2026-03-12T00:00:00"/>
    <s v="Entregado"/>
    <n v="13"/>
    <n v="14"/>
    <x v="0"/>
    <n v="4"/>
    <x v="0"/>
    <n v="53100"/>
    <m/>
    <x v="3"/>
    <s v="Faltaban tornillos"/>
  </r>
  <r>
    <d v="2026-02-24T00:00:00"/>
    <x v="1"/>
    <n v="100308"/>
    <x v="0"/>
    <s v="Andres Felipe Carreño Salgar"/>
    <s v="TECUCT"/>
    <s v="Bandeja de cables"/>
    <n v="1"/>
    <x v="1"/>
    <x v="3"/>
    <x v="4"/>
    <x v="0"/>
    <s v="Coordinadora"/>
    <s v="4122717-84151527816"/>
    <d v="2026-02-24T00:00:00"/>
    <d v="2026-02-25T00:00:00"/>
    <s v="Entregado"/>
    <n v="0"/>
    <n v="1"/>
    <x v="1"/>
    <n v="0"/>
    <x v="1"/>
    <n v="26681"/>
    <m/>
    <x v="1"/>
    <m/>
  </r>
  <r>
    <d v="2026-02-25T00:00:00"/>
    <x v="1"/>
    <n v="100309"/>
    <x v="0"/>
    <s v="Alejandro Moreno"/>
    <s v="TECUTFE2C-60"/>
    <s v="Superficie Escritorio Fresno Europeo 120x60 Clasico Small"/>
    <n v="1"/>
    <x v="2"/>
    <x v="3"/>
    <x v="4"/>
    <x v="0"/>
    <s v="Coordinadora"/>
    <s v="4126159-84151528888"/>
    <d v="2026-02-25T00:00:00"/>
    <d v="2026-02-27T00:00:00"/>
    <s v="Entregado"/>
    <n v="0"/>
    <n v="2"/>
    <x v="1"/>
    <n v="0"/>
    <x v="1"/>
    <n v="25952"/>
    <m/>
    <x v="1"/>
    <m/>
  </r>
  <r>
    <d v="2026-02-25T00:00:00"/>
    <x v="1"/>
    <n v="100309"/>
    <x v="0"/>
    <s v="Alejandro Moreno"/>
    <s v="TECU3FBRO"/>
    <s v="Electric Standing Desk  PRO Blanco"/>
    <n v="1"/>
    <x v="3"/>
    <x v="3"/>
    <x v="4"/>
    <x v="0"/>
    <s v="Coordinadora"/>
    <s v="4126157-84151528887"/>
    <d v="2026-02-25T00:00:00"/>
    <d v="2026-02-27T00:00:00"/>
    <s v="Entregado"/>
    <n v="0"/>
    <n v="2"/>
    <x v="1"/>
    <n v="0"/>
    <x v="1"/>
    <n v="43114"/>
    <m/>
    <x v="1"/>
    <m/>
  </r>
  <r>
    <d v="2026-02-25T00:00:00"/>
    <x v="1"/>
    <n v="100310"/>
    <x v="0"/>
    <s v="Lizeth Ortiz Pulido"/>
    <s v="TECUTCO2C-60"/>
    <s v="Superficie Escritorio Caramelo 120x60 Clasico Small"/>
    <n v="1"/>
    <x v="2"/>
    <x v="3"/>
    <x v="4"/>
    <x v="0"/>
    <s v="Coordinadora"/>
    <s v="4126174-84151528897"/>
    <d v="2026-02-25T00:00:00"/>
    <d v="2026-02-26T00:00:00"/>
    <s v="Entregado"/>
    <n v="0"/>
    <n v="1"/>
    <x v="1"/>
    <n v="0"/>
    <x v="1"/>
    <n v="25952"/>
    <m/>
    <x v="1"/>
    <m/>
  </r>
  <r>
    <d v="2026-02-25T00:00:00"/>
    <x v="1"/>
    <n v="100310"/>
    <x v="0"/>
    <s v="Lizeth Ortiz Pulido"/>
    <s v="TECU3FNPRO"/>
    <s v="Electric Standing Desk  PRO Negro"/>
    <n v="1"/>
    <x v="3"/>
    <x v="3"/>
    <x v="4"/>
    <x v="0"/>
    <s v="Coordinadora"/>
    <s v="4126173-84151528896"/>
    <d v="2026-02-25T00:00:00"/>
    <d v="2026-02-26T00:00:00"/>
    <s v="Entregado"/>
    <n v="0"/>
    <n v="1"/>
    <x v="1"/>
    <n v="0"/>
    <x v="1"/>
    <n v="43114"/>
    <m/>
    <x v="1"/>
    <m/>
  </r>
  <r>
    <d v="2026-02-26T00:00:00"/>
    <x v="1"/>
    <n v="100311"/>
    <x v="0"/>
    <s v="Rafael David Daza Romero"/>
    <s v="TECUTCO2C-60"/>
    <s v="Superficie Escritorio Caramelo 120x60 Clasico Small"/>
    <n v="1"/>
    <x v="2"/>
    <x v="10"/>
    <x v="17"/>
    <x v="0"/>
    <s v="Coordinadora"/>
    <s v="4130202-84151530432"/>
    <d v="2026-02-26T00:00:00"/>
    <d v="2026-03-02T00:00:00"/>
    <s v="Entregado"/>
    <n v="0"/>
    <n v="3"/>
    <x v="1"/>
    <n v="0"/>
    <x v="1"/>
    <n v="42089"/>
    <m/>
    <x v="1"/>
    <m/>
  </r>
  <r>
    <d v="2026-02-26T00:00:00"/>
    <x v="1"/>
    <n v="100311"/>
    <x v="0"/>
    <s v="Rafael David Daza Romero"/>
    <s v="TECURECO-80"/>
    <s v="Repisa Escritorio Caramelo x 80cm"/>
    <n v="1"/>
    <x v="4"/>
    <x v="10"/>
    <x v="17"/>
    <x v="0"/>
    <s v="Coordinadora"/>
    <s v="4130202-84151530432"/>
    <d v="2026-02-26T00:00:00"/>
    <d v="2026-03-02T00:00:00"/>
    <s v="Entregado"/>
    <n v="0"/>
    <n v="3"/>
    <x v="1"/>
    <n v="0"/>
    <x v="1"/>
    <n v="0"/>
    <m/>
    <x v="1"/>
    <m/>
  </r>
  <r>
    <d v="2026-02-26T00:00:00"/>
    <x v="1"/>
    <n v="100311"/>
    <x v="0"/>
    <s v="Rafael David Daza Romero"/>
    <s v="TECU2FNG"/>
    <s v="Electric Standing Desk GO Negro"/>
    <n v="1"/>
    <x v="3"/>
    <x v="10"/>
    <x v="17"/>
    <x v="0"/>
    <s v="Coordinadora"/>
    <s v="4130200-84151530431"/>
    <d v="2026-02-26T00:00:00"/>
    <d v="2026-03-02T00:00:00"/>
    <s v="Entregado"/>
    <n v="0"/>
    <n v="3"/>
    <x v="1"/>
    <n v="0"/>
    <x v="1"/>
    <n v="62759"/>
    <m/>
    <x v="1"/>
    <m/>
  </r>
  <r>
    <d v="2026-02-28T00:00:00"/>
    <x v="1"/>
    <n v="100312"/>
    <x v="0"/>
    <s v="Diego Gómez"/>
    <s v="TECUCT"/>
    <s v="Bandeja de cables"/>
    <n v="1"/>
    <x v="1"/>
    <x v="3"/>
    <x v="18"/>
    <x v="0"/>
    <s v="Coordinadora"/>
    <s v="4139928-84151533550"/>
    <d v="2026-03-02T00:00:00"/>
    <d v="2026-03-03T00:00:00"/>
    <s v="Entregado"/>
    <n v="1"/>
    <n v="2"/>
    <x v="1"/>
    <n v="0"/>
    <x v="1"/>
    <n v="26681"/>
    <m/>
    <x v="1"/>
    <m/>
  </r>
  <r>
    <d v="2026-02-28T00:00:00"/>
    <x v="1"/>
    <n v="100312"/>
    <x v="0"/>
    <s v="Diego Gómez"/>
    <s v="TECUBDPA"/>
    <s v="Desk Pad B Negro Azul"/>
    <n v="1"/>
    <x v="1"/>
    <x v="3"/>
    <x v="18"/>
    <x v="0"/>
    <s v="Coordinadora"/>
    <s v="4139945-84151533556"/>
    <d v="2026-03-02T00:00:00"/>
    <d v="2026-03-03T00:00:00"/>
    <s v="Entregado"/>
    <n v="1"/>
    <n v="2"/>
    <x v="1"/>
    <n v="0"/>
    <x v="1"/>
    <n v="17787"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18164-7FCA-4005-AD38-979D807D1B04}" name="TablaDinámica1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A34:I41" firstHeaderRow="1" firstDataRow="2" firstDataCol="1" rowPageCount="2" colPageCount="1"/>
  <pivotFields count="23">
    <pivotField compact="0" numFmtId="166" outline="0" subtotalTop="0" showAll="0"/>
    <pivotField axis="axisPage" compact="0" outline="0" subtotalTop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1" outline="0" subtotalTop="0" showAll="0"/>
    <pivotField axis="axisCol" compact="0" outline="0" subtotalTop="0" showAll="0">
      <items count="9">
        <item x="1"/>
        <item x="2"/>
        <item x="0"/>
        <item x="5"/>
        <item x="6"/>
        <item x="4"/>
        <item x="7"/>
        <item x="3"/>
        <item t="default"/>
      </items>
    </pivotField>
    <pivotField axis="axisRow" compact="0" outline="0" subtotalTop="0" showAll="0" defaultSubtotal="0">
      <items count="15">
        <item x="1"/>
        <item x="0"/>
        <item x="6"/>
        <item x="4"/>
        <item x="2"/>
        <item x="5"/>
        <item x="10"/>
        <item x="9"/>
        <item x="8"/>
        <item x="7"/>
        <item x="3"/>
        <item x="11"/>
        <item x="12"/>
        <item x="13"/>
        <item x="14"/>
      </items>
    </pivotField>
    <pivotField compact="0" outline="0" subtotalTop="0" showAll="0"/>
    <pivotField compact="0" outline="0" subtotalTop="0" multipleItemSelectionAllowed="1" showAll="0">
      <items count="4">
        <item x="0"/>
        <item x="2"/>
        <item x="1"/>
        <item t="default"/>
      </items>
    </pivotField>
    <pivotField compact="0" outline="0" subtotalTop="0" showAll="0"/>
    <pivotField compact="0" outline="0" subtotalTop="0" showAll="0"/>
    <pivotField compact="0" numFmtId="166" outline="0" subtotalTop="0" showAll="0"/>
    <pivotField compact="0" outline="0" subtotalTop="0" showAll="0"/>
    <pivotField axis="axisPage" compact="0" outline="0" subtotalTop="0" multipleItemSelectionAllowed="1" showAll="0">
      <items count="4">
        <item h="1" x="1"/>
        <item x="0"/>
        <item h="1" x="2"/>
        <item t="default"/>
      </items>
    </pivotField>
    <pivotField compact="0" numFmtId="1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9"/>
  </rowFields>
  <rowItems count="6">
    <i>
      <x/>
    </i>
    <i>
      <x v="1"/>
    </i>
    <i>
      <x v="2"/>
    </i>
    <i>
      <x v="4"/>
    </i>
    <i>
      <x v="5"/>
    </i>
    <i>
      <x v="13"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" hier="-1"/>
    <pageField fld="16" hier="-1"/>
  </pageFields>
  <dataFields count="1">
    <dataField name="Promedio de Tiempo de entrega de la orden" fld="18" subtotal="average" baseField="10" baseItem="4"/>
  </dataFields>
  <formats count="38">
    <format dxfId="311">
      <pivotArea type="all" dataOnly="0" outline="0" fieldPosition="0"/>
    </format>
    <format dxfId="310">
      <pivotArea outline="0" collapsedLevelsAreSubtotals="1" fieldPosition="0"/>
    </format>
    <format dxfId="309">
      <pivotArea type="origin" dataOnly="0" labelOnly="1" outline="0" fieldPosition="0"/>
    </format>
    <format dxfId="308">
      <pivotArea field="11" type="button" dataOnly="0" labelOnly="1" outline="0"/>
    </format>
    <format dxfId="307">
      <pivotArea type="topRight" dataOnly="0" labelOnly="1" outline="0" fieldPosition="0"/>
    </format>
    <format dxfId="306">
      <pivotArea field="1" type="button" dataOnly="0" labelOnly="1" outline="0" axis="axisPage" fieldPosition="0"/>
    </format>
    <format dxfId="305">
      <pivotArea field="8" type="button" dataOnly="0" labelOnly="1" outline="0" axis="axisCol" fieldPosition="0"/>
    </format>
    <format dxfId="304">
      <pivotArea dataOnly="0" labelOnly="1" outline="0" fieldPosition="0">
        <references count="1">
          <reference field="1" count="0"/>
        </references>
      </pivotArea>
    </format>
    <format dxfId="303">
      <pivotArea dataOnly="0" labelOnly="1" outline="0" fieldPosition="0">
        <references count="1">
          <reference field="1" count="0" defaultSubtotal="1"/>
        </references>
      </pivotArea>
    </format>
    <format dxfId="302">
      <pivotArea dataOnly="0" labelOnly="1" grandRow="1" outline="0" fieldPosition="0"/>
    </format>
    <format dxfId="301">
      <pivotArea dataOnly="0" labelOnly="1" grandCol="1" outline="0" fieldPosition="0"/>
    </format>
    <format dxfId="300">
      <pivotArea type="all" dataOnly="0" outline="0" fieldPosition="0"/>
    </format>
    <format dxfId="299">
      <pivotArea outline="0" collapsedLevelsAreSubtotals="1" fieldPosition="0"/>
    </format>
    <format dxfId="298">
      <pivotArea type="origin" dataOnly="0" labelOnly="1" outline="0" fieldPosition="0"/>
    </format>
    <format dxfId="297">
      <pivotArea field="11" type="button" dataOnly="0" labelOnly="1" outline="0"/>
    </format>
    <format dxfId="296">
      <pivotArea type="topRight" dataOnly="0" labelOnly="1" outline="0" fieldPosition="0"/>
    </format>
    <format dxfId="295">
      <pivotArea field="1" type="button" dataOnly="0" labelOnly="1" outline="0" axis="axisPage" fieldPosition="0"/>
    </format>
    <format dxfId="294">
      <pivotArea field="8" type="button" dataOnly="0" labelOnly="1" outline="0" axis="axisCol" fieldPosition="0"/>
    </format>
    <format dxfId="293">
      <pivotArea dataOnly="0" labelOnly="1" outline="0" fieldPosition="0">
        <references count="1">
          <reference field="1" count="0"/>
        </references>
      </pivotArea>
    </format>
    <format dxfId="292">
      <pivotArea dataOnly="0" labelOnly="1" outline="0" fieldPosition="0">
        <references count="1">
          <reference field="1" count="0" defaultSubtotal="1"/>
        </references>
      </pivotArea>
    </format>
    <format dxfId="291">
      <pivotArea dataOnly="0" labelOnly="1" grandRow="1" outline="0" fieldPosition="0"/>
    </format>
    <format dxfId="290">
      <pivotArea dataOnly="0" labelOnly="1" grandCol="1" outline="0" fieldPosition="0"/>
    </format>
    <format dxfId="289">
      <pivotArea outline="0" collapsedLevelsAreSubtotals="1" fieldPosition="0"/>
    </format>
    <format dxfId="288">
      <pivotArea outline="0" fieldPosition="0">
        <references count="2">
          <reference field="8" count="1" selected="0">
            <x v="1"/>
          </reference>
          <reference field="9" count="1" selected="0">
            <x v="6"/>
          </reference>
        </references>
      </pivotArea>
    </format>
    <format dxfId="287">
      <pivotArea outline="0" fieldPosition="0">
        <references count="2">
          <reference field="8" count="1" selected="0">
            <x v="1"/>
          </reference>
          <reference field="9" count="1" selected="0">
            <x v="6"/>
          </reference>
        </references>
      </pivotArea>
    </format>
    <format dxfId="286">
      <pivotArea outline="0" fieldPosition="0">
        <references count="2">
          <reference field="8" count="1" selected="0">
            <x v="1"/>
          </reference>
          <reference field="9" count="1" selected="0">
            <x v="6"/>
          </reference>
        </references>
      </pivotArea>
    </format>
    <format dxfId="285">
      <pivotArea outline="0" fieldPosition="0">
        <references count="2">
          <reference field="8" count="1" selected="0">
            <x v="1"/>
          </reference>
          <reference field="9" count="1" selected="0">
            <x v="6"/>
          </reference>
        </references>
      </pivotArea>
    </format>
    <format dxfId="284">
      <pivotArea outline="0" fieldPosition="0">
        <references count="2">
          <reference field="8" count="1" selected="0">
            <x v="1"/>
          </reference>
          <reference field="9" count="1" selected="0">
            <x v="6"/>
          </reference>
        </references>
      </pivotArea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type="origin" dataOnly="0" labelOnly="1" outline="0" fieldPosition="0"/>
    </format>
    <format dxfId="280">
      <pivotArea field="8" type="button" dataOnly="0" labelOnly="1" outline="0" axis="axisCol" fieldPosition="0"/>
    </format>
    <format dxfId="279">
      <pivotArea type="topRight" dataOnly="0" labelOnly="1" outline="0" fieldPosition="0"/>
    </format>
    <format dxfId="278">
      <pivotArea field="9" type="button" dataOnly="0" labelOnly="1" outline="0" axis="axisRow" fieldPosition="0"/>
    </format>
    <format dxfId="277">
      <pivotArea dataOnly="0" labelOnly="1" outline="0" fieldPosition="0">
        <references count="1">
          <reference field="9" count="8">
            <x v="0"/>
            <x v="1"/>
            <x v="2"/>
            <x v="5"/>
            <x v="6"/>
            <x v="7"/>
            <x v="8"/>
            <x v="9"/>
          </reference>
        </references>
      </pivotArea>
    </format>
    <format dxfId="276">
      <pivotArea dataOnly="0" labelOnly="1" outline="0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275">
      <pivotArea dataOnly="0" labelOnly="1" outline="0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274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03199-14DA-4EB6-B4A4-6655C939D94B}" name="TablaDinámica6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L10:S17" firstHeaderRow="1" firstDataRow="2" firstDataCol="1" rowPageCount="2" colPageCount="1"/>
  <pivotFields count="23">
    <pivotField compact="0" numFmtId="166" outline="0" showAll="0"/>
    <pivotField axis="axisPage" compact="0" outline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Col" compact="0" outline="0" showAll="0" defaultSubtotal="0">
      <items count="8">
        <item x="1"/>
        <item x="2"/>
        <item x="0"/>
        <item x="5"/>
        <item x="6"/>
        <item x="4"/>
        <item x="7"/>
        <item h="1" x="3"/>
      </items>
    </pivotField>
    <pivotField axis="axisRow" compact="0" outline="0" showAll="0">
      <items count="16">
        <item x="1"/>
        <item x="0"/>
        <item x="6"/>
        <item x="4"/>
        <item x="2"/>
        <item x="5"/>
        <item x="10"/>
        <item x="9"/>
        <item x="8"/>
        <item x="3"/>
        <item x="7"/>
        <item x="11"/>
        <item x="12"/>
        <item x="13"/>
        <item x="14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compact="0" numFmtId="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4"/>
    </i>
    <i>
      <x v="5"/>
    </i>
    <i>
      <x v="13"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1" hier="-1"/>
    <pageField fld="16" hier="-1"/>
  </pageFields>
  <dataFields count="1">
    <dataField name="Promedio de Tiempo de entrega de la orden" fld="18" subtotal="average" baseField="10" baseItem="9"/>
  </dataFields>
  <formats count="33">
    <format dxfId="344">
      <pivotArea type="all" dataOnly="0" outline="0" fieldPosition="0"/>
    </format>
    <format dxfId="343">
      <pivotArea outline="0" collapsedLevelsAreSubtotals="1" fieldPosition="0"/>
    </format>
    <format dxfId="342">
      <pivotArea type="origin" dataOnly="0" labelOnly="1" outline="0" fieldPosition="0"/>
    </format>
    <format dxfId="341">
      <pivotArea field="11" type="button" dataOnly="0" labelOnly="1" outline="0"/>
    </format>
    <format dxfId="340">
      <pivotArea type="topRight" dataOnly="0" labelOnly="1" outline="0" fieldPosition="0"/>
    </format>
    <format dxfId="339">
      <pivotArea field="1" type="button" dataOnly="0" labelOnly="1" outline="0" axis="axisPage" fieldPosition="0"/>
    </format>
    <format dxfId="338">
      <pivotArea field="8" type="button" dataOnly="0" labelOnly="1" outline="0" axis="axisCol" fieldPosition="0"/>
    </format>
    <format dxfId="337">
      <pivotArea dataOnly="0" labelOnly="1" outline="0" fieldPosition="0">
        <references count="1">
          <reference field="1" count="0"/>
        </references>
      </pivotArea>
    </format>
    <format dxfId="336">
      <pivotArea dataOnly="0" labelOnly="1" outline="0" fieldPosition="0">
        <references count="1">
          <reference field="1" count="0" defaultSubtotal="1"/>
        </references>
      </pivotArea>
    </format>
    <format dxfId="335">
      <pivotArea dataOnly="0" labelOnly="1" grandRow="1" outline="0" fieldPosition="0"/>
    </format>
    <format dxfId="334">
      <pivotArea dataOnly="0" labelOnly="1" grandCol="1" outline="0" fieldPosition="0"/>
    </format>
    <format dxfId="333">
      <pivotArea type="all" dataOnly="0" outline="0" fieldPosition="0"/>
    </format>
    <format dxfId="332">
      <pivotArea outline="0" collapsedLevelsAreSubtotals="1" fieldPosition="0"/>
    </format>
    <format dxfId="331">
      <pivotArea type="origin" dataOnly="0" labelOnly="1" outline="0" fieldPosition="0"/>
    </format>
    <format dxfId="330">
      <pivotArea field="11" type="button" dataOnly="0" labelOnly="1" outline="0"/>
    </format>
    <format dxfId="329">
      <pivotArea type="topRight" dataOnly="0" labelOnly="1" outline="0" fieldPosition="0"/>
    </format>
    <format dxfId="328">
      <pivotArea field="1" type="button" dataOnly="0" labelOnly="1" outline="0" axis="axisPage" fieldPosition="0"/>
    </format>
    <format dxfId="327">
      <pivotArea field="8" type="button" dataOnly="0" labelOnly="1" outline="0" axis="axisCol" fieldPosition="0"/>
    </format>
    <format dxfId="326">
      <pivotArea dataOnly="0" labelOnly="1" outline="0" fieldPosition="0">
        <references count="1">
          <reference field="1" count="0"/>
        </references>
      </pivotArea>
    </format>
    <format dxfId="325">
      <pivotArea dataOnly="0" labelOnly="1" outline="0" fieldPosition="0">
        <references count="1">
          <reference field="1" count="0" defaultSubtotal="1"/>
        </references>
      </pivotArea>
    </format>
    <format dxfId="324">
      <pivotArea dataOnly="0" labelOnly="1" grandRow="1" outline="0" fieldPosition="0"/>
    </format>
    <format dxfId="323">
      <pivotArea dataOnly="0" labelOnly="1" grandCol="1" outline="0" fieldPosition="0"/>
    </format>
    <format dxfId="322">
      <pivotArea outline="0" collapsedLevelsAreSubtotals="1" fieldPosition="0"/>
    </format>
    <format dxfId="321">
      <pivotArea type="all" dataOnly="0" outline="0" fieldPosition="0"/>
    </format>
    <format dxfId="320">
      <pivotArea outline="0" collapsedLevelsAreSubtotals="1" fieldPosition="0"/>
    </format>
    <format dxfId="319">
      <pivotArea type="origin" dataOnly="0" labelOnly="1" outline="0" fieldPosition="0"/>
    </format>
    <format dxfId="318">
      <pivotArea field="8" type="button" dataOnly="0" labelOnly="1" outline="0" axis="axisCol" fieldPosition="0"/>
    </format>
    <format dxfId="317">
      <pivotArea type="topRight" dataOnly="0" labelOnly="1" outline="0" fieldPosition="0"/>
    </format>
    <format dxfId="316">
      <pivotArea field="9" type="button" dataOnly="0" labelOnly="1" outline="0" axis="axisRow" fieldPosition="0"/>
    </format>
    <format dxfId="315">
      <pivotArea dataOnly="0" labelOnly="1" outline="0" fieldPosition="0">
        <references count="1">
          <reference field="9" count="6">
            <x v="0"/>
            <x v="1"/>
            <x v="2"/>
            <x v="3"/>
            <x v="4"/>
            <x v="6"/>
          </reference>
        </references>
      </pivotArea>
    </format>
    <format dxfId="314">
      <pivotArea dataOnly="0" labelOnly="1" outline="0" fieldPosition="0">
        <references count="1">
          <reference field="8" count="7">
            <x v="0"/>
            <x v="1"/>
            <x v="2"/>
            <x v="3"/>
            <x v="4"/>
            <x v="5"/>
            <x v="6"/>
          </reference>
        </references>
      </pivotArea>
    </format>
    <format dxfId="313">
      <pivotArea type="origin" dataOnly="0" labelOnly="1" outline="0" fieldPosition="0"/>
    </format>
    <format dxfId="312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82B75-D709-4866-B5EE-0F75CAD1FB53}" name="TablaDinámica5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A10:H17" firstHeaderRow="1" firstDataRow="2" firstDataCol="1" rowPageCount="2" colPageCount="1"/>
  <pivotFields count="23">
    <pivotField compact="0" numFmtId="166" outline="0" subtotalTop="0" showAll="0"/>
    <pivotField axis="axisPage" compact="0" outline="0" subtotalTop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1" outline="0" subtotalTop="0" showAll="0"/>
    <pivotField axis="axisCol" compact="0" outline="0" subtotalTop="0" showAll="0">
      <items count="9">
        <item x="1"/>
        <item x="2"/>
        <item x="0"/>
        <item x="5"/>
        <item x="6"/>
        <item x="4"/>
        <item x="7"/>
        <item x="3"/>
        <item t="default"/>
      </items>
    </pivotField>
    <pivotField axis="axisRow" compact="0" outline="0" subtotalTop="0" showAll="0">
      <items count="16">
        <item x="1"/>
        <item x="0"/>
        <item x="6"/>
        <item x="4"/>
        <item x="2"/>
        <item x="5"/>
        <item x="10"/>
        <item x="9"/>
        <item x="8"/>
        <item x="7"/>
        <item x="3"/>
        <item x="11"/>
        <item x="12"/>
        <item x="13"/>
        <item x="14"/>
        <item t="default"/>
      </items>
    </pivotField>
    <pivotField compact="0" outline="0" subtotalTop="0" showAll="0"/>
    <pivotField axis="axisPage" compact="0" outline="0" subtotalTop="0" multipleItemSelectionAllowed="1" showAll="0">
      <items count="4">
        <item x="0"/>
        <item h="1" x="2"/>
        <item h="1" x="1"/>
        <item t="default"/>
      </items>
    </pivotField>
    <pivotField compact="0" outline="0" subtotalTop="0" showAll="0"/>
    <pivotField compact="0" outline="0" subtotalTop="0" showAll="0"/>
    <pivotField compact="0" numFmtId="166" outline="0" subtotalTop="0" showAll="0"/>
    <pivotField compact="0" outline="0" subtotalTop="0" showAll="0"/>
    <pivotField compact="0" outline="0" subtotalTop="0" showAll="0"/>
    <pivotField dataField="1" compact="0" numFmtId="1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9"/>
  </rowFields>
  <rowItems count="6">
    <i>
      <x/>
    </i>
    <i>
      <x v="1"/>
    </i>
    <i>
      <x v="2"/>
    </i>
    <i>
      <x v="4"/>
    </i>
    <i>
      <x v="5"/>
    </i>
    <i>
      <x v="13"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1" hier="-1"/>
    <pageField fld="11" hier="-1"/>
  </pageFields>
  <dataFields count="1">
    <dataField name="Promedio de Tiempo de despacho de orden" fld="17" subtotal="average" baseField="10" baseItem="4"/>
  </dataFields>
  <formats count="35">
    <format dxfId="379">
      <pivotArea type="all" dataOnly="0" outline="0" fieldPosition="0"/>
    </format>
    <format dxfId="378">
      <pivotArea outline="0" collapsedLevelsAreSubtotals="1" fieldPosition="0"/>
    </format>
    <format dxfId="377">
      <pivotArea type="origin" dataOnly="0" labelOnly="1" outline="0" fieldPosition="0"/>
    </format>
    <format dxfId="376">
      <pivotArea field="11" type="button" dataOnly="0" labelOnly="1" outline="0" axis="axisPage" fieldPosition="1"/>
    </format>
    <format dxfId="375">
      <pivotArea type="topRight" dataOnly="0" labelOnly="1" outline="0" fieldPosition="0"/>
    </format>
    <format dxfId="374">
      <pivotArea field="1" type="button" dataOnly="0" labelOnly="1" outline="0" axis="axisPage" fieldPosition="0"/>
    </format>
    <format dxfId="373">
      <pivotArea field="8" type="button" dataOnly="0" labelOnly="1" outline="0" axis="axisCol" fieldPosition="0"/>
    </format>
    <format dxfId="372">
      <pivotArea dataOnly="0" labelOnly="1" outline="0" fieldPosition="0">
        <references count="1">
          <reference field="1" count="0"/>
        </references>
      </pivotArea>
    </format>
    <format dxfId="371">
      <pivotArea dataOnly="0" labelOnly="1" outline="0" fieldPosition="0">
        <references count="1">
          <reference field="1" count="0" defaultSubtotal="1"/>
        </references>
      </pivotArea>
    </format>
    <format dxfId="370">
      <pivotArea dataOnly="0" labelOnly="1" grandRow="1" outline="0" fieldPosition="0"/>
    </format>
    <format dxfId="369">
      <pivotArea dataOnly="0" labelOnly="1" outline="0" fieldPosition="0">
        <references count="1">
          <reference field="11" count="0"/>
        </references>
      </pivotArea>
    </format>
    <format dxfId="368">
      <pivotArea dataOnly="0" labelOnly="1" grandCol="1" outline="0" fieldPosition="0"/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type="origin" dataOnly="0" labelOnly="1" outline="0" fieldPosition="0"/>
    </format>
    <format dxfId="364">
      <pivotArea field="11" type="button" dataOnly="0" labelOnly="1" outline="0" axis="axisPage" fieldPosition="1"/>
    </format>
    <format dxfId="363">
      <pivotArea type="topRight" dataOnly="0" labelOnly="1" outline="0" fieldPosition="0"/>
    </format>
    <format dxfId="362">
      <pivotArea field="1" type="button" dataOnly="0" labelOnly="1" outline="0" axis="axisPage" fieldPosition="0"/>
    </format>
    <format dxfId="361">
      <pivotArea field="8" type="button" dataOnly="0" labelOnly="1" outline="0" axis="axisCol" fieldPosition="0"/>
    </format>
    <format dxfId="360">
      <pivotArea dataOnly="0" labelOnly="1" outline="0" fieldPosition="0">
        <references count="1">
          <reference field="1" count="0"/>
        </references>
      </pivotArea>
    </format>
    <format dxfId="359">
      <pivotArea dataOnly="0" labelOnly="1" outline="0" fieldPosition="0">
        <references count="1">
          <reference field="1" count="0" defaultSubtotal="1"/>
        </references>
      </pivotArea>
    </format>
    <format dxfId="358">
      <pivotArea dataOnly="0" labelOnly="1" grandRow="1" outline="0" fieldPosition="0"/>
    </format>
    <format dxfId="357">
      <pivotArea dataOnly="0" labelOnly="1" outline="0" fieldPosition="0">
        <references count="1">
          <reference field="11" count="0"/>
        </references>
      </pivotArea>
    </format>
    <format dxfId="356">
      <pivotArea dataOnly="0" labelOnly="1" grandCol="1" outline="0" fieldPosition="0"/>
    </format>
    <format dxfId="355">
      <pivotArea outline="0" collapsedLevelsAreSubtotals="1" fieldPosition="0"/>
    </format>
    <format dxfId="354">
      <pivotArea type="all" dataOnly="0" outline="0" fieldPosition="0"/>
    </format>
    <format dxfId="353">
      <pivotArea outline="0" collapsedLevelsAreSubtotals="1" fieldPosition="0"/>
    </format>
    <format dxfId="352">
      <pivotArea type="origin" dataOnly="0" labelOnly="1" outline="0" fieldPosition="0"/>
    </format>
    <format dxfId="351">
      <pivotArea field="8" type="button" dataOnly="0" labelOnly="1" outline="0" axis="axisCol" fieldPosition="0"/>
    </format>
    <format dxfId="350">
      <pivotArea type="topRight" dataOnly="0" labelOnly="1" outline="0" fieldPosition="0"/>
    </format>
    <format dxfId="349">
      <pivotArea field="9" type="button" dataOnly="0" labelOnly="1" outline="0" axis="axisRow" fieldPosition="0"/>
    </format>
    <format dxfId="348">
      <pivotArea dataOnly="0" labelOnly="1" outline="0" fieldPosition="0">
        <references count="1">
          <reference field="9" count="8">
            <x v="0"/>
            <x v="1"/>
            <x v="2"/>
            <x v="5"/>
            <x v="6"/>
            <x v="7"/>
            <x v="8"/>
            <x v="9"/>
          </reference>
        </references>
      </pivotArea>
    </format>
    <format dxfId="347">
      <pivotArea dataOnly="0" labelOnly="1" outline="0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346">
      <pivotArea dataOnly="0" labelOnly="1" outline="0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345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EA97A-9B81-4A7B-ABBB-C58052D483AF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7:G21" firstHeaderRow="1" firstDataRow="2" firstDataCol="1" rowPageCount="2" colPageCount="1"/>
  <pivotFields count="23">
    <pivotField compact="0" numFmtId="166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dataField="1" compact="0" outline="0" showAll="0"/>
    <pivotField axis="axisPage" compact="0" outline="0" multipleItemSelectionAllowed="1" showAll="0">
      <items count="8">
        <item h="1" x="1"/>
        <item x="0"/>
        <item h="1" x="2"/>
        <item h="1" x="3"/>
        <item h="1" x="4"/>
        <item h="1" x="5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>
      <items count="9">
        <item x="4"/>
        <item x="0"/>
        <item x="1"/>
        <item x="3"/>
        <item x="2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axis="axisPage" compact="0" outline="0" multipleItemSelectionAllowed="1" showAll="0">
      <items count="4">
        <item x="0"/>
        <item h="1" x="2"/>
        <item h="1" x="1"/>
        <item t="default"/>
      </items>
    </pivotField>
    <pivotField compact="0" numFmtId="1" outline="0" showAll="0"/>
    <pivotField compact="0" outline="0" showAll="0"/>
    <pivotField axis="axisCol" compact="0" outline="0" showAll="0">
      <items count="7">
        <item x="1"/>
        <item x="0"/>
        <item x="5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0"/>
  </colFields>
  <colItems count="6">
    <i>
      <x/>
    </i>
    <i>
      <x v="1"/>
    </i>
    <i>
      <x v="2"/>
    </i>
    <i>
      <x v="4"/>
    </i>
    <i>
      <x v="5"/>
    </i>
    <i t="grand">
      <x/>
    </i>
  </colItems>
  <pageFields count="2">
    <pageField fld="4" hier="-1"/>
    <pageField fld="17" hier="-1"/>
  </pageFields>
  <dataFields count="1">
    <dataField name="Cuenta de No orden" fld="3" subtotal="count" baseField="12" baseItem="0"/>
  </dataFields>
  <formats count="40">
    <format dxfId="236">
      <pivotArea type="all" dataOnly="0" outline="0" fieldPosition="0"/>
    </format>
    <format dxfId="235">
      <pivotArea outline="0" collapsedLevelsAreSubtotals="1" fieldPosition="0"/>
    </format>
    <format dxfId="234">
      <pivotArea type="origin" dataOnly="0" labelOnly="1" outline="0" fieldPosition="0"/>
    </format>
    <format dxfId="233">
      <pivotArea field="12" type="button" dataOnly="0" labelOnly="1" outline="0"/>
    </format>
    <format dxfId="232">
      <pivotArea type="topRight" dataOnly="0" labelOnly="1" outline="0" fieldPosition="0"/>
    </format>
    <format dxfId="231">
      <pivotArea field="1" type="button" dataOnly="0" labelOnly="1" outline="0" axis="axisRow" fieldPosition="0"/>
    </format>
    <format dxfId="230">
      <pivotArea field="9" type="button" dataOnly="0" labelOnly="1" outline="0"/>
    </format>
    <format dxfId="229">
      <pivotArea dataOnly="0" labelOnly="1" outline="0" fieldPosition="0">
        <references count="1">
          <reference field="1" count="0"/>
        </references>
      </pivotArea>
    </format>
    <format dxfId="228">
      <pivotArea dataOnly="0" labelOnly="1" outline="0" fieldPosition="0">
        <references count="1">
          <reference field="1" count="0" defaultSubtotal="1"/>
        </references>
      </pivotArea>
    </format>
    <format dxfId="227">
      <pivotArea dataOnly="0" labelOnly="1" grandRow="1" outline="0" fieldPosition="0"/>
    </format>
    <format dxfId="226">
      <pivotArea dataOnly="0" labelOnly="1" grandCol="1" outline="0" fieldPosition="0"/>
    </format>
    <format dxfId="225">
      <pivotArea type="all" dataOnly="0" outline="0" fieldPosition="0"/>
    </format>
    <format dxfId="224">
      <pivotArea outline="0" collapsedLevelsAreSubtotals="1" fieldPosition="0"/>
    </format>
    <format dxfId="223">
      <pivotArea type="origin" dataOnly="0" labelOnly="1" outline="0" fieldPosition="0"/>
    </format>
    <format dxfId="222">
      <pivotArea field="12" type="button" dataOnly="0" labelOnly="1" outline="0"/>
    </format>
    <format dxfId="221">
      <pivotArea type="topRight" dataOnly="0" labelOnly="1" outline="0" fieldPosition="0"/>
    </format>
    <format dxfId="220">
      <pivotArea field="1" type="button" dataOnly="0" labelOnly="1" outline="0" axis="axisRow" fieldPosition="0"/>
    </format>
    <format dxfId="219">
      <pivotArea field="9" type="button" dataOnly="0" labelOnly="1" outline="0"/>
    </format>
    <format dxfId="218">
      <pivotArea dataOnly="0" labelOnly="1" outline="0" fieldPosition="0">
        <references count="1">
          <reference field="1" count="0"/>
        </references>
      </pivotArea>
    </format>
    <format dxfId="217">
      <pivotArea dataOnly="0" labelOnly="1" outline="0" fieldPosition="0">
        <references count="1">
          <reference field="1" count="0" defaultSubtotal="1"/>
        </references>
      </pivotArea>
    </format>
    <format dxfId="216">
      <pivotArea dataOnly="0" labelOnly="1" grandRow="1" outline="0" fieldPosition="0"/>
    </format>
    <format dxfId="215">
      <pivotArea dataOnly="0" labelOnly="1" grandCol="1" outline="0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type="origin" dataOnly="0" labelOnly="1" outline="0" fieldPosition="0"/>
    </format>
    <format dxfId="211">
      <pivotArea type="topRight" dataOnly="0" labelOnly="1" outline="0" fieldPosition="0"/>
    </format>
    <format dxfId="210">
      <pivotArea field="1" type="button" dataOnly="0" labelOnly="1" outline="0" axis="axisRow" fieldPosition="0"/>
    </format>
    <format dxfId="209">
      <pivotArea dataOnly="0" labelOnly="1" outline="0" fieldPosition="0">
        <references count="1">
          <reference field="1" count="0"/>
        </references>
      </pivotArea>
    </format>
    <format dxfId="208">
      <pivotArea dataOnly="0" labelOnly="1" grandRow="1" outline="0" fieldPosition="0"/>
    </format>
    <format dxfId="207">
      <pivotArea dataOnly="0" labelOnly="1" grandCol="1" outline="0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type="origin" dataOnly="0" labelOnly="1" outline="0" fieldPosition="0"/>
    </format>
    <format dxfId="203">
      <pivotArea field="20" type="button" dataOnly="0" labelOnly="1" outline="0" axis="axisCol" fieldPosition="0"/>
    </format>
    <format dxfId="202">
      <pivotArea type="topRight" dataOnly="0" labelOnly="1" outline="0" fieldPosition="0"/>
    </format>
    <format dxfId="201">
      <pivotArea field="1" type="button" dataOnly="0" labelOnly="1" outline="0" axis="axisRow" fieldPosition="0"/>
    </format>
    <format dxfId="200">
      <pivotArea dataOnly="0" labelOnly="1" outline="0" fieldPosition="0">
        <references count="1">
          <reference field="1" count="0"/>
        </references>
      </pivotArea>
    </format>
    <format dxfId="199">
      <pivotArea dataOnly="0" labelOnly="1" grandRow="1" outline="0" fieldPosition="0"/>
    </format>
    <format dxfId="198">
      <pivotArea dataOnly="0" labelOnly="1" outline="0" fieldPosition="0">
        <references count="1">
          <reference field="20" count="5">
            <x v="0"/>
            <x v="1"/>
            <x v="2"/>
            <x v="4"/>
            <x v="5"/>
          </reference>
        </references>
      </pivotArea>
    </format>
    <format dxfId="19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A5083-8CB2-43EE-82B6-90209A709016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4:B43" firstHeaderRow="2" firstDataRow="2" firstDataCol="1" rowPageCount="1" colPageCount="1"/>
  <pivotFields count="23">
    <pivotField compact="0" numFmtId="166" outline="0" showAll="0"/>
    <pivotField axis="axisPage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dataField="1" compact="0" outline="0" showAll="0"/>
    <pivotField axis="axisRow" compact="0" outline="0" multipleItemSelectionAllowed="1" showAll="0">
      <items count="8">
        <item x="1"/>
        <item x="0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>
      <items count="9">
        <item x="4"/>
        <item x="0"/>
        <item x="1"/>
        <item x="3"/>
        <item x="2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compact="0" outline="0" multipleItemSelectionAllowed="1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7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Cuenta de No orden" fld="3" subtotal="count" baseField="12" baseItem="0"/>
  </dataFields>
  <formats count="37">
    <format dxfId="273">
      <pivotArea type="all" dataOnly="0" outline="0" fieldPosition="0"/>
    </format>
    <format dxfId="272">
      <pivotArea outline="0" collapsedLevelsAreSubtotals="1" fieldPosition="0"/>
    </format>
    <format dxfId="271">
      <pivotArea type="origin" dataOnly="0" labelOnly="1" outline="0" fieldPosition="0"/>
    </format>
    <format dxfId="270">
      <pivotArea field="12" type="button" dataOnly="0" labelOnly="1" outline="0"/>
    </format>
    <format dxfId="269">
      <pivotArea type="topRight" dataOnly="0" labelOnly="1" outline="0" fieldPosition="0"/>
    </format>
    <format dxfId="268">
      <pivotArea field="1" type="button" dataOnly="0" labelOnly="1" outline="0" axis="axisPage" fieldPosition="0"/>
    </format>
    <format dxfId="267">
      <pivotArea field="9" type="button" dataOnly="0" labelOnly="1" outline="0"/>
    </format>
    <format dxfId="266">
      <pivotArea dataOnly="0" labelOnly="1" outline="0" fieldPosition="0">
        <references count="1">
          <reference field="1" count="0"/>
        </references>
      </pivotArea>
    </format>
    <format dxfId="265">
      <pivotArea dataOnly="0" labelOnly="1" outline="0" fieldPosition="0">
        <references count="1">
          <reference field="1" count="0" defaultSubtotal="1"/>
        </references>
      </pivotArea>
    </format>
    <format dxfId="264">
      <pivotArea dataOnly="0" labelOnly="1" grandRow="1" outline="0" fieldPosition="0"/>
    </format>
    <format dxfId="263">
      <pivotArea dataOnly="0" labelOnly="1" grandCol="1" outline="0" fieldPosition="0"/>
    </format>
    <format dxfId="262">
      <pivotArea type="all" dataOnly="0" outline="0" fieldPosition="0"/>
    </format>
    <format dxfId="261">
      <pivotArea outline="0" collapsedLevelsAreSubtotals="1" fieldPosition="0"/>
    </format>
    <format dxfId="260">
      <pivotArea type="origin" dataOnly="0" labelOnly="1" outline="0" fieldPosition="0"/>
    </format>
    <format dxfId="259">
      <pivotArea field="12" type="button" dataOnly="0" labelOnly="1" outline="0"/>
    </format>
    <format dxfId="258">
      <pivotArea type="topRight" dataOnly="0" labelOnly="1" outline="0" fieldPosition="0"/>
    </format>
    <format dxfId="257">
      <pivotArea field="1" type="button" dataOnly="0" labelOnly="1" outline="0" axis="axisPage" fieldPosition="0"/>
    </format>
    <format dxfId="256">
      <pivotArea field="9" type="button" dataOnly="0" labelOnly="1" outline="0"/>
    </format>
    <format dxfId="255">
      <pivotArea dataOnly="0" labelOnly="1" outline="0" fieldPosition="0">
        <references count="1">
          <reference field="1" count="0"/>
        </references>
      </pivotArea>
    </format>
    <format dxfId="254">
      <pivotArea dataOnly="0" labelOnly="1" outline="0" fieldPosition="0">
        <references count="1">
          <reference field="1" count="0" defaultSubtotal="1"/>
        </references>
      </pivotArea>
    </format>
    <format dxfId="253">
      <pivotArea dataOnly="0" labelOnly="1" grandRow="1" outline="0" fieldPosition="0"/>
    </format>
    <format dxfId="252">
      <pivotArea dataOnly="0" labelOnly="1" grandCol="1" outline="0" fieldPosition="0"/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type="origin" dataOnly="0" labelOnly="1" outline="0" fieldPosition="0"/>
    </format>
    <format dxfId="248">
      <pivotArea type="topRight" dataOnly="0" labelOnly="1" outline="0" fieldPosition="0"/>
    </format>
    <format dxfId="247">
      <pivotArea field="1" type="button" dataOnly="0" labelOnly="1" outline="0" axis="axisPage" fieldPosition="0"/>
    </format>
    <format dxfId="246">
      <pivotArea dataOnly="0" labelOnly="1" outline="0" fieldPosition="0">
        <references count="1">
          <reference field="1" count="0"/>
        </references>
      </pivotArea>
    </format>
    <format dxfId="245">
      <pivotArea dataOnly="0" labelOnly="1" grandRow="1" outline="0" fieldPosition="0"/>
    </format>
    <format dxfId="244">
      <pivotArea dataOnly="0" labelOnly="1" grandCol="1" outline="0" fieldPosition="0"/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type="origin" dataOnly="0" labelOnly="1" outline="0" fieldPosition="0"/>
    </format>
    <format dxfId="240">
      <pivotArea field="4" type="button" dataOnly="0" labelOnly="1" outline="0" axis="axisRow" fieldPosition="0"/>
    </format>
    <format dxfId="239">
      <pivotArea dataOnly="0" labelOnly="1" outline="0" fieldPosition="0">
        <references count="1">
          <reference field="4" count="0"/>
        </references>
      </pivotArea>
    </format>
    <format dxfId="238">
      <pivotArea dataOnly="0" labelOnly="1" grandRow="1" outline="0" fieldPosition="0"/>
    </format>
    <format dxfId="237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6F6FF-D332-4CFB-9541-E096EA3E1783}" name="TablaDiná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85:B389" firstHeaderRow="2" firstDataRow="2" firstDataCol="1"/>
  <pivotFields count="23">
    <pivotField compact="0" numFmtId="14" outline="0" showAll="0"/>
    <pivotField axis="axisRow" compact="0" outline="0" multipleItemSelectionAllowed="1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5">
        <item x="15"/>
        <item x="26"/>
        <item x="4"/>
        <item x="9"/>
        <item x="1"/>
        <item x="0"/>
        <item x="13"/>
        <item x="7"/>
        <item x="34"/>
        <item x="12"/>
        <item x="2"/>
        <item x="5"/>
        <item x="32"/>
        <item x="30"/>
        <item x="18"/>
        <item x="31"/>
        <item x="25"/>
        <item x="10"/>
        <item x="37"/>
        <item x="16"/>
        <item x="24"/>
        <item x="19"/>
        <item x="17"/>
        <item x="3"/>
        <item x="39"/>
        <item x="14"/>
        <item x="29"/>
        <item x="28"/>
        <item x="35"/>
        <item x="21"/>
        <item x="33"/>
        <item x="11"/>
        <item x="22"/>
        <item x="20"/>
        <item x="23"/>
        <item x="6"/>
        <item x="40"/>
        <item x="8"/>
        <item x="38"/>
        <item x="36"/>
        <item x="27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numFmtId="1" outline="0" showAll="0"/>
    <pivotField compact="0" outline="0" showAll="0">
      <items count="9">
        <item x="1"/>
        <item x="2"/>
        <item x="6"/>
        <item x="0"/>
        <item x="5"/>
        <item x="4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numFmtId="167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a de Valor despacho" fld="20" baseField="1" baseItem="1"/>
  </dataFields>
  <formats count="18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type="topRight" dataOnly="0" labelOnly="1" outline="0" fieldPosition="0"/>
    </format>
    <format dxfId="31">
      <pivotArea dataOnly="0" labelOnly="1" grandRow="1" outline="0" fieldPosition="0"/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type="topRight" dataOnly="0" labelOnly="1" outline="0" fieldPosition="0"/>
    </format>
    <format dxfId="25">
      <pivotArea dataOnly="0" labelOnly="1" grandRow="1" outline="0" fieldPosition="0"/>
    </format>
    <format dxfId="24">
      <pivotArea dataOnly="0" labelOnly="1" grandCol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type="topRight" dataOnly="0" labelOnly="1" outline="0" fieldPosition="0"/>
    </format>
    <format dxfId="19">
      <pivotArea dataOnly="0" labelOnly="1" grandRow="1" outline="0" fieldPosition="0"/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FA8A8-9CFB-44CB-ABDB-22AE147783C6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38:C141" firstHeaderRow="1" firstDataRow="2" firstDataCol="1"/>
  <pivotFields count="23">
    <pivotField compact="0" numFmtId="166" outline="0" showAll="0"/>
    <pivotField axis="axisRow" compact="0" outline="0" multipleItemSelectionAllowed="1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>
      <items count="9">
        <item x="1"/>
        <item x="2"/>
        <item x="6"/>
        <item x="0"/>
        <item x="5"/>
        <item x="4"/>
        <item x="7"/>
        <item x="3"/>
        <item t="default"/>
      </items>
    </pivotField>
    <pivotField compact="0" outline="0" showAll="0">
      <items count="12">
        <item x="0"/>
        <item x="1"/>
        <item x="4"/>
        <item x="6"/>
        <item x="2"/>
        <item x="5"/>
        <item x="10"/>
        <item x="9"/>
        <item x="8"/>
        <item x="7"/>
        <item x="3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alor despacho" fld="20" baseField="0" baseItem="0"/>
    <dataField name="Suma de Cantidad" fld="7" baseField="0" baseItem="0" numFmtId="169"/>
  </dataFields>
  <formats count="35">
    <format dxfId="70">
      <pivotArea type="all" dataOnly="0" outline="0" fieldPosition="0"/>
    </format>
    <format dxfId="69">
      <pivotArea outline="0" collapsedLevelsAreSubtotals="1" fieldPosition="0"/>
    </format>
    <format dxfId="68">
      <pivotArea type="origin" dataOnly="0" labelOnly="1" outline="0" fieldPosition="0"/>
    </format>
    <format dxfId="67">
      <pivotArea field="11" type="button" dataOnly="0" labelOnly="1" outline="0"/>
    </format>
    <format dxfId="66">
      <pivotArea type="topRight" dataOnly="0" labelOnly="1" outline="0" fieldPosition="0"/>
    </format>
    <format dxfId="65">
      <pivotArea field="1" type="button" dataOnly="0" labelOnly="1" outline="0" axis="axisRow" fieldPosition="0"/>
    </format>
    <format dxfId="64">
      <pivotArea field="8" type="button" dataOnly="0" labelOnly="1" outline="0"/>
    </format>
    <format dxfId="63">
      <pivotArea dataOnly="0" labelOnly="1" outline="0" fieldPosition="0">
        <references count="1">
          <reference field="1" count="0"/>
        </references>
      </pivotArea>
    </format>
    <format dxfId="62">
      <pivotArea dataOnly="0" labelOnly="1" outline="0" fieldPosition="0">
        <references count="1">
          <reference field="1" count="0" defaultSubtotal="1"/>
        </references>
      </pivotArea>
    </format>
    <format dxfId="61">
      <pivotArea dataOnly="0" labelOnly="1" grandRow="1" outline="0" fieldPosition="0"/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1" type="button" dataOnly="0" labelOnly="1" outline="0"/>
    </format>
    <format dxfId="55">
      <pivotArea type="topRight" dataOnly="0" labelOnly="1" outline="0" fieldPosition="0"/>
    </format>
    <format dxfId="54">
      <pivotArea field="1" type="button" dataOnly="0" labelOnly="1" outline="0" axis="axisRow" fieldPosition="0"/>
    </format>
    <format dxfId="53">
      <pivotArea field="8" type="button" dataOnly="0" labelOnly="1" outline="0"/>
    </format>
    <format dxfId="52">
      <pivotArea dataOnly="0" labelOnly="1" outline="0" fieldPosition="0">
        <references count="1">
          <reference field="1" count="0"/>
        </references>
      </pivotArea>
    </format>
    <format dxfId="51">
      <pivotArea dataOnly="0" labelOnly="1" outline="0" fieldPosition="0">
        <references count="1">
          <reference field="1" count="0" defaultSubtotal="1"/>
        </references>
      </pivotArea>
    </format>
    <format dxfId="50">
      <pivotArea dataOnly="0" labelOnly="1" grandRow="1" outline="0" fieldPosition="0"/>
    </format>
    <format dxfId="49">
      <pivotArea dataOnly="0" labelOnly="1" grandCol="1" outline="0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8" type="button" dataOnly="0" labelOnly="1" outline="0"/>
    </format>
    <format dxfId="44">
      <pivotArea type="topRight" dataOnly="0" labelOnly="1" outline="0" fieldPosition="0"/>
    </format>
    <format dxfId="43">
      <pivotArea field="9" type="button" dataOnly="0" labelOnly="1" outline="0"/>
    </format>
    <format dxfId="42">
      <pivotArea dataOnly="0" labelOnly="1" grandRow="1" outline="0" fieldPosition="0"/>
    </format>
    <format dxfId="41">
      <pivotArea dataOnly="0" labelOnly="1" grandCol="1" outline="0" fieldPosition="0"/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field="1" grandRow="1" outline="0" axis="axisRow" fieldPosition="0">
        <references count="1">
          <reference field="4294967294" count="1" selected="0">
            <x v="1"/>
          </reference>
        </references>
      </pivotArea>
    </format>
    <format dxfId="38">
      <pivotArea outline="0" fieldPosition="0">
        <references count="1">
          <reference field="4294967294" count="1" selected="0">
            <x v="1"/>
          </reference>
        </references>
      </pivotArea>
    </format>
    <format dxfId="37">
      <pivotArea outline="0" fieldPosition="0">
        <references count="1">
          <reference field="4294967294" count="1" selected="0">
            <x v="1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B0EC0-1995-4A57-B6A9-7659D6B8A27C}" name="TablaDinámica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63:E170" firstHeaderRow="1" firstDataRow="2" firstDataCol="2" rowPageCount="1" colPageCount="1"/>
  <pivotFields count="23">
    <pivotField compact="0" outline="0" subtotalTop="0" showAll="0"/>
    <pivotField axis="axisCol" compact="0" outline="0" subtotalTop="0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ubtotalTop="0" showAll="0"/>
    <pivotField axis="axisPage" compact="0" outline="0" subtotalTop="0" multipleItemSelectionAllowed="1" showAll="0">
      <items count="6">
        <item x="2"/>
        <item x="1"/>
        <item x="0"/>
        <item x="3"/>
        <item x="4"/>
        <item t="default"/>
      </items>
    </pivotField>
    <pivotField compact="0" outline="0" subtotalTop="0" showAll="0"/>
    <pivotField compact="0" outline="0" subtotalTop="0" showAll="0"/>
    <pivotField axis="axisRow" compact="0" outline="0" subtotalTop="0" showAll="0" sortType="descending">
      <items count="117">
        <item h="1" x="15"/>
        <item h="1" x="12"/>
        <item h="1" x="2"/>
        <item h="1" x="5"/>
        <item h="1" x="9"/>
        <item h="1" x="25"/>
        <item h="1" x="0"/>
        <item h="1" x="1"/>
        <item h="1" x="3"/>
        <item h="1" x="4"/>
        <item h="1" x="6"/>
        <item h="1" x="7"/>
        <item h="1" x="11"/>
        <item h="1" x="13"/>
        <item h="1" x="14"/>
        <item h="1" x="16"/>
        <item h="1" x="18"/>
        <item h="1" x="19"/>
        <item h="1" x="20"/>
        <item h="1" x="21"/>
        <item h="1" x="22"/>
        <item h="1" x="23"/>
        <item h="1" x="24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2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8"/>
        <item h="1" x="10"/>
        <item h="1" x="17"/>
        <item h="1" x="45"/>
        <item h="1" x="61"/>
        <item h="1" x="63"/>
        <item h="1" x="79"/>
        <item h="1" x="80"/>
        <item x="81"/>
        <item h="1" x="82"/>
        <item h="1" x="83"/>
        <item h="1" x="84"/>
        <item h="1" x="85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x="103"/>
        <item h="1" x="104"/>
        <item h="1" x="105"/>
        <item h="1" x="106"/>
        <item h="1" x="107"/>
        <item h="1" x="108"/>
        <item h="1" x="109"/>
        <item x="110"/>
        <item h="1" x="111"/>
        <item h="1" x="112"/>
        <item h="1" x="113"/>
        <item h="1" x="114"/>
        <item h="1" x="1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ubtotalTop="0" showAll="0"/>
    <pivotField axis="axisRow" compact="0" outline="0" subtotalTop="0" showAll="0">
      <items count="11">
        <item h="1" x="1"/>
        <item h="1" x="2"/>
        <item h="1" x="0"/>
        <item x="5"/>
        <item h="1" x="6"/>
        <item h="1" x="7"/>
        <item h="1" x="4"/>
        <item h="1" x="3"/>
        <item h="1" x="8"/>
        <item h="1" x="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2">
    <field x="8"/>
    <field x="6"/>
  </rowFields>
  <rowItems count="6">
    <i>
      <x v="3"/>
      <x v="110"/>
    </i>
    <i r="1">
      <x v="89"/>
    </i>
    <i r="1">
      <x v="81"/>
    </i>
    <i r="1">
      <x v="103"/>
    </i>
    <i t="default">
      <x v="3"/>
    </i>
    <i t="grand">
      <x/>
    </i>
  </rowItems>
  <colFields count="1">
    <field x="1"/>
  </colFields>
  <colItems count="3">
    <i>
      <x v="9"/>
    </i>
    <i>
      <x v="10"/>
    </i>
    <i t="grand">
      <x/>
    </i>
  </colItems>
  <pageFields count="1">
    <pageField fld="3" hier="-1"/>
  </pageFields>
  <dataFields count="1">
    <dataField name="Suma de Cantidad" fld="7" baseField="0" baseItem="0"/>
  </dataFields>
  <formats count="4">
    <format dxfId="74">
      <pivotArea outline="0" fieldPosition="0">
        <references count="3">
          <reference field="1" count="0" selected="0"/>
          <reference field="6" count="1" selected="0">
            <x v="60"/>
          </reference>
          <reference field="8" count="1" selected="0">
            <x v="0"/>
          </reference>
        </references>
      </pivotArea>
    </format>
    <format dxfId="73">
      <pivotArea outline="0" fieldPosition="0">
        <references count="2">
          <reference field="6" count="6" selected="0">
            <x v="1"/>
            <x v="2"/>
            <x v="3"/>
            <x v="11"/>
            <x v="31"/>
            <x v="51"/>
          </reference>
          <reference field="8" count="1" selected="0">
            <x v="0"/>
          </reference>
        </references>
      </pivotArea>
    </format>
    <format dxfId="72">
      <pivotArea outline="0" fieldPosition="0">
        <references count="2">
          <reference field="6" count="1" selected="0">
            <x v="8"/>
          </reference>
          <reference field="8" count="1" selected="0">
            <x v="1"/>
          </reference>
        </references>
      </pivotArea>
    </format>
    <format dxfId="71">
      <pivotArea dataOnly="0" labelOnly="1" outline="0" fieldPosition="0">
        <references count="2">
          <reference field="6" count="1">
            <x v="35"/>
          </reference>
          <reference field="8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384F7-AA6C-449C-8E79-0A5E76C3A842}" name="TablaDinámica7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7:J11" firstHeaderRow="1" firstDataRow="2" firstDataCol="1" rowPageCount="1" colPageCount="1"/>
  <pivotFields count="26">
    <pivotField compact="0" numFmtId="14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axis="axisCol" compact="0" outline="0" showAll="0">
      <items count="9">
        <item x="3"/>
        <item x="2"/>
        <item x="1"/>
        <item x="0"/>
        <item x="4"/>
        <item x="6"/>
        <item x="5"/>
        <item x="7"/>
        <item t="default"/>
      </items>
    </pivotField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3" hier="-1"/>
  </pageFields>
  <dataFields count="1">
    <dataField name="Suma de Cantidad" fld="7" baseField="0" baseItem="0"/>
  </dataFields>
  <formats count="24">
    <format dxfId="98">
      <pivotArea type="all" dataOnly="0" outline="0" fieldPosition="0"/>
    </format>
    <format dxfId="97">
      <pivotArea outline="0" collapsedLevelsAreSubtotals="1" fieldPosition="0"/>
    </format>
    <format dxfId="96">
      <pivotArea type="origin" dataOnly="0" labelOnly="1" outline="0" fieldPosition="0"/>
    </format>
    <format dxfId="95">
      <pivotArea field="11" type="button" dataOnly="0" labelOnly="1" outline="0"/>
    </format>
    <format dxfId="94">
      <pivotArea type="topRight" dataOnly="0" labelOnly="1" outline="0" fieldPosition="0"/>
    </format>
    <format dxfId="93">
      <pivotArea field="1" type="button" dataOnly="0" labelOnly="1" outline="0" axis="axisRow" fieldPosition="0"/>
    </format>
    <format dxfId="92">
      <pivotArea field="8" type="button" dataOnly="0" labelOnly="1" outline="0" axis="axisCol" fieldPosition="0"/>
    </format>
    <format dxfId="91">
      <pivotArea dataOnly="0" labelOnly="1" outline="0" fieldPosition="0">
        <references count="1">
          <reference field="1" count="0"/>
        </references>
      </pivotArea>
    </format>
    <format dxfId="90">
      <pivotArea dataOnly="0" labelOnly="1" outline="0" fieldPosition="0">
        <references count="1">
          <reference field="1" count="0" defaultSubtotal="1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2">
          <reference field="1" count="1" selected="0">
            <x v="0"/>
          </reference>
          <reference field="8" count="2">
            <x v="0"/>
            <x v="1"/>
          </reference>
        </references>
      </pivotArea>
    </format>
    <format dxfId="87">
      <pivotArea dataOnly="0" labelOnly="1" grandCol="1" outline="0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type="origin" dataOnly="0" labelOnly="1" outline="0" fieldPosition="0"/>
    </format>
    <format dxfId="83">
      <pivotArea field="11" type="button" dataOnly="0" labelOnly="1" outline="0"/>
    </format>
    <format dxfId="82">
      <pivotArea type="topRight" dataOnly="0" labelOnly="1" outline="0" fieldPosition="0"/>
    </format>
    <format dxfId="81">
      <pivotArea field="1" type="button" dataOnly="0" labelOnly="1" outline="0" axis="axisRow" fieldPosition="0"/>
    </format>
    <format dxfId="80">
      <pivotArea field="8" type="button" dataOnly="0" labelOnly="1" outline="0" axis="axisCol" fieldPosition="0"/>
    </format>
    <format dxfId="79">
      <pivotArea dataOnly="0" labelOnly="1" outline="0" fieldPosition="0">
        <references count="1">
          <reference field="1" count="0"/>
        </references>
      </pivotArea>
    </format>
    <format dxfId="78">
      <pivotArea dataOnly="0" labelOnly="1" outline="0" fieldPosition="0">
        <references count="1">
          <reference field="1" count="0" defaultSubtotal="1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2">
          <reference field="1" count="1" selected="0">
            <x v="0"/>
          </reference>
          <reference field="8" count="2">
            <x v="0"/>
            <x v="1"/>
          </reference>
        </references>
      </pivotArea>
    </format>
    <format dxfId="7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BBADE-2D99-4ED5-A254-668C07A59BE3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13:J126" firstHeaderRow="1" firstDataRow="2" firstDataCol="1" rowPageCount="1" colPageCount="1"/>
  <pivotFields count="26">
    <pivotField compact="0" numFmtId="14" outline="0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Col" compact="0" outline="0" showAll="0">
      <items count="9">
        <item x="3"/>
        <item x="2"/>
        <item x="4"/>
        <item x="1"/>
        <item x="0"/>
        <item x="6"/>
        <item x="5"/>
        <item x="7"/>
        <item t="default"/>
      </items>
    </pivotField>
    <pivotField axis="axisRow" compact="0" outline="0" showAll="0">
      <items count="14">
        <item x="3"/>
        <item x="1"/>
        <item x="0"/>
        <item x="5"/>
        <item x="6"/>
        <item x="8"/>
        <item x="2"/>
        <item x="4"/>
        <item x="7"/>
        <item x="9"/>
        <item x="10"/>
        <item m="1" x="11"/>
        <item m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dataField="1" compact="0" outline="0" showAll="0"/>
    <pivotField compact="0" numFmtId="167" outline="0" showAll="0"/>
    <pivotField compact="0" outline="0" showAll="0"/>
    <pivotField compact="0" outline="0"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" hier="-1"/>
  </pageFields>
  <dataFields count="1">
    <dataField name="Suma de Valor despacho" fld="22" baseField="9" baseItem="0"/>
  </dataFields>
  <formats count="18">
    <format dxfId="116">
      <pivotArea type="all" dataOnly="0" outline="0" fieldPosition="0"/>
    </format>
    <format dxfId="115">
      <pivotArea outline="0" collapsedLevelsAreSubtotals="1" fieldPosition="0"/>
    </format>
    <format dxfId="114">
      <pivotArea type="origin" dataOnly="0" labelOnly="1" outline="0" fieldPosition="0"/>
    </format>
    <format dxfId="113">
      <pivotArea type="topRight" dataOnly="0" labelOnly="1" outline="0" fieldPosition="0"/>
    </format>
    <format dxfId="112">
      <pivotArea dataOnly="0" labelOnly="1" grandRow="1" outline="0" fieldPosition="0"/>
    </format>
    <format dxfId="111">
      <pivotArea dataOnly="0" labelOnly="1" grandCol="1" outline="0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type="origin" dataOnly="0" labelOnly="1" outline="0" fieldPosition="0"/>
    </format>
    <format dxfId="107">
      <pivotArea type="topRight" dataOnly="0" labelOnly="1" outline="0" fieldPosition="0"/>
    </format>
    <format dxfId="106">
      <pivotArea dataOnly="0" labelOnly="1" grandRow="1" outline="0" fieldPosition="0"/>
    </format>
    <format dxfId="105">
      <pivotArea dataOnly="0" labelOnly="1" grandCol="1" outline="0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type="topRight" dataOnly="0" labelOnly="1" outline="0" fieldPosition="0"/>
    </format>
    <format dxfId="100">
      <pivotArea dataOnly="0" labelOnly="1" grandRow="1" outline="0" fieldPosition="0"/>
    </format>
    <format dxfId="9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1C2E1-233F-4FBB-B540-661696EA9755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81:J102" firstHeaderRow="1" firstDataRow="2" firstDataCol="1" rowPageCount="2" colPageCount="1"/>
  <pivotFields count="26">
    <pivotField compact="0" numFmtId="14" outline="0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showAll="0"/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axis="axisCol" compact="0" outline="0" multipleItemSelectionAllowed="1" showAll="0">
      <items count="9">
        <item x="3"/>
        <item x="2"/>
        <item x="4"/>
        <item x="1"/>
        <item x="0"/>
        <item x="6"/>
        <item x="5"/>
        <item x="7"/>
        <item t="default"/>
      </items>
    </pivotField>
    <pivotField compact="0" outline="0" showAll="0"/>
    <pivotField axis="axisRow" compact="0" outline="0" showAll="0" sortType="descending">
      <items count="20">
        <item x="11"/>
        <item x="9"/>
        <item x="2"/>
        <item x="13"/>
        <item x="10"/>
        <item x="8"/>
        <item x="18"/>
        <item x="0"/>
        <item x="1"/>
        <item x="3"/>
        <item x="4"/>
        <item x="5"/>
        <item x="6"/>
        <item x="7"/>
        <item x="12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67" outline="0" showAll="0"/>
    <pivotField compact="0" outline="0" showAll="0"/>
    <pivotField compact="0" outline="0" showAll="0"/>
  </pivotFields>
  <rowFields count="1">
    <field x="10"/>
  </rowFields>
  <rowItems count="20">
    <i>
      <x v="10"/>
    </i>
    <i>
      <x v="9"/>
    </i>
    <i>
      <x v="12"/>
    </i>
    <i>
      <x v="11"/>
    </i>
    <i>
      <x v="15"/>
    </i>
    <i>
      <x v="8"/>
    </i>
    <i>
      <x v="18"/>
    </i>
    <i>
      <x v="1"/>
    </i>
    <i>
      <x v="6"/>
    </i>
    <i>
      <x v="4"/>
    </i>
    <i>
      <x v="16"/>
    </i>
    <i>
      <x/>
    </i>
    <i>
      <x v="13"/>
    </i>
    <i>
      <x v="5"/>
    </i>
    <i>
      <x v="7"/>
    </i>
    <i>
      <x v="17"/>
    </i>
    <i>
      <x v="14"/>
    </i>
    <i>
      <x v="3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2">
    <pageField fld="1" hier="-1"/>
    <pageField fld="3" hier="-1"/>
  </pageFields>
  <dataFields count="1">
    <dataField name="Suma de Cantidad" fld="7" baseField="0" baseItem="0"/>
  </dataFields>
  <formats count="26"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field="11" type="button" dataOnly="0" labelOnly="1" outline="0"/>
    </format>
    <format dxfId="138">
      <pivotArea type="topRight" dataOnly="0" labelOnly="1" outline="0" fieldPosition="0"/>
    </format>
    <format dxfId="137">
      <pivotArea field="1" type="button" dataOnly="0" labelOnly="1" outline="0" axis="axisPage" fieldPosition="0"/>
    </format>
    <format dxfId="136">
      <pivotArea field="8" type="button" dataOnly="0" labelOnly="1" outline="0" axis="axisCol" fieldPosition="0"/>
    </format>
    <format dxfId="135">
      <pivotArea dataOnly="0" labelOnly="1" outline="0" fieldPosition="0">
        <references count="1">
          <reference field="1" count="0"/>
        </references>
      </pivotArea>
    </format>
    <format dxfId="134">
      <pivotArea dataOnly="0" labelOnly="1" outline="0" fieldPosition="0">
        <references count="1">
          <reference field="1" count="0" defaultSubtotal="1"/>
        </references>
      </pivotArea>
    </format>
    <format dxfId="133">
      <pivotArea dataOnly="0" labelOnly="1" grandRow="1" outline="0" fieldPosition="0"/>
    </format>
    <format dxfId="132">
      <pivotArea dataOnly="0" labelOnly="1" outline="0" fieldPosition="0">
        <references count="2">
          <reference field="1" count="1" selected="0">
            <x v="0"/>
          </reference>
          <reference field="8" count="2">
            <x v="0"/>
            <x v="1"/>
          </reference>
        </references>
      </pivotArea>
    </format>
    <format dxfId="131">
      <pivotArea dataOnly="0" labelOnly="1" outline="0" fieldPosition="0">
        <references count="2">
          <reference field="1" count="1" selected="0">
            <x v="1"/>
          </reference>
          <reference field="8" count="2">
            <x v="0"/>
            <x v="1"/>
          </reference>
        </references>
      </pivotArea>
    </format>
    <format dxfId="130">
      <pivotArea dataOnly="0" labelOnly="1" grandCol="1" outline="0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11" type="button" dataOnly="0" labelOnly="1" outline="0"/>
    </format>
    <format dxfId="125">
      <pivotArea type="topRight" dataOnly="0" labelOnly="1" outline="0" fieldPosition="0"/>
    </format>
    <format dxfId="124">
      <pivotArea field="1" type="button" dataOnly="0" labelOnly="1" outline="0" axis="axisPage" fieldPosition="0"/>
    </format>
    <format dxfId="123">
      <pivotArea field="8" type="button" dataOnly="0" labelOnly="1" outline="0" axis="axisCol" fieldPosition="0"/>
    </format>
    <format dxfId="122">
      <pivotArea dataOnly="0" labelOnly="1" outline="0" fieldPosition="0">
        <references count="1">
          <reference field="1" count="0"/>
        </references>
      </pivotArea>
    </format>
    <format dxfId="121">
      <pivotArea dataOnly="0" labelOnly="1" outline="0" fieldPosition="0">
        <references count="1">
          <reference field="1" count="0" defaultSubtotal="1"/>
        </references>
      </pivotArea>
    </format>
    <format dxfId="120">
      <pivotArea dataOnly="0" labelOnly="1" grandRow="1" outline="0" fieldPosition="0"/>
    </format>
    <format dxfId="119">
      <pivotArea dataOnly="0" labelOnly="1" outline="0" fieldPosition="0">
        <references count="2">
          <reference field="1" count="1" selected="0">
            <x v="0"/>
          </reference>
          <reference field="8" count="2">
            <x v="0"/>
            <x v="1"/>
          </reference>
        </references>
      </pivotArea>
    </format>
    <format dxfId="118">
      <pivotArea dataOnly="0" labelOnly="1" outline="0" fieldPosition="0">
        <references count="2">
          <reference field="1" count="1" selected="0">
            <x v="1"/>
          </reference>
          <reference field="8" count="2">
            <x v="0"/>
            <x v="1"/>
          </reference>
        </references>
      </pivotArea>
    </format>
    <format dxfId="1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8E9A1-836B-4538-B256-7CE7EDD48F96}" name="TablaDinámica9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41:B348" firstHeaderRow="2" firstDataRow="2" firstDataCol="1"/>
  <pivotFields count="23">
    <pivotField compact="0" numFmtId="14" outline="0" showAll="0"/>
    <pivotField axis="axisRow" compact="0" outline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numFmtId="167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 despacho" fld="20" baseField="1" baseItem="1"/>
  </dataFields>
  <formats count="18"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type="topRight" dataOnly="0" labelOnly="1" outline="0" fieldPosition="0"/>
    </format>
    <format dxfId="156">
      <pivotArea dataOnly="0" labelOnly="1" grandRow="1" outline="0" fieldPosition="0"/>
    </format>
    <format dxfId="155">
      <pivotArea dataOnly="0" labelOnly="1" grandCol="1" outline="0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type="topRight" dataOnly="0" labelOnly="1" outline="0" fieldPosition="0"/>
    </format>
    <format dxfId="150">
      <pivotArea dataOnly="0" labelOnly="1" grandRow="1" outline="0" fieldPosition="0"/>
    </format>
    <format dxfId="149">
      <pivotArea dataOnly="0" labelOnly="1" grandCol="1" outline="0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type="origin" dataOnly="0" labelOnly="1" outline="0" fieldPosition="0"/>
    </format>
    <format dxfId="145">
      <pivotArea type="topRight" dataOnly="0" labelOnly="1" outline="0" fieldPosition="0"/>
    </format>
    <format dxfId="144">
      <pivotArea dataOnly="0" labelOnly="1" grandRow="1" outline="0" fieldPosition="0"/>
    </format>
    <format dxfId="143">
      <pivotArea dataOnly="0" labelOnly="1" grandCol="1" outline="0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90A0B-8206-4436-A448-1335ABF08248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63:J371" firstHeaderRow="1" firstDataRow="2" firstDataCol="1" rowPageCount="1" colPageCount="1"/>
  <pivotFields count="23">
    <pivotField compact="0" numFmtId="14" outline="0" showAll="0"/>
    <pivotField axis="axisPage" compact="0" outline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Col" compact="0" outline="0" showAll="0">
      <items count="9">
        <item x="1"/>
        <item x="2"/>
        <item x="6"/>
        <item x="0"/>
        <item x="5"/>
        <item x="4"/>
        <item x="7"/>
        <item x="3"/>
        <item t="default"/>
      </items>
    </pivotField>
    <pivotField axis="axisRow" compact="0" outline="0" showAll="0" sortType="descending">
      <items count="16">
        <item x="0"/>
        <item x="2"/>
        <item x="1"/>
        <item x="4"/>
        <item x="8"/>
        <item x="3"/>
        <item x="7"/>
        <item x="9"/>
        <item x="11"/>
        <item x="5"/>
        <item x="10"/>
        <item x="6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numFmtId="167" outline="0" showAll="0"/>
    <pivotField compact="0" outline="0" showAll="0"/>
  </pivotFields>
  <rowFields count="1">
    <field x="9"/>
  </rowFields>
  <rowItems count="7">
    <i>
      <x v="2"/>
    </i>
    <i>
      <x/>
    </i>
    <i>
      <x v="11"/>
    </i>
    <i>
      <x v="1"/>
    </i>
    <i>
      <x v="9"/>
    </i>
    <i>
      <x v="13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" hier="-1"/>
  </pageFields>
  <dataFields count="1">
    <dataField name="Suma de Valor despacho" fld="20" baseField="1" baseItem="1"/>
  </dataFields>
  <formats count="18">
    <format dxfId="178">
      <pivotArea type="all" dataOnly="0" outline="0" fieldPosition="0"/>
    </format>
    <format dxfId="177">
      <pivotArea outline="0" collapsedLevelsAreSubtotals="1" fieldPosition="0"/>
    </format>
    <format dxfId="176">
      <pivotArea type="origin" dataOnly="0" labelOnly="1" outline="0" fieldPosition="0"/>
    </format>
    <format dxfId="175">
      <pivotArea type="topRight" dataOnly="0" labelOnly="1" outline="0" fieldPosition="0"/>
    </format>
    <format dxfId="174">
      <pivotArea dataOnly="0" labelOnly="1" grandRow="1" outline="0" fieldPosition="0"/>
    </format>
    <format dxfId="173">
      <pivotArea dataOnly="0" labelOnly="1" grandCol="1" outline="0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type="origin" dataOnly="0" labelOnly="1" outline="0" fieldPosition="0"/>
    </format>
    <format dxfId="169">
      <pivotArea type="topRight" dataOnly="0" labelOnly="1" outline="0" fieldPosition="0"/>
    </format>
    <format dxfId="168">
      <pivotArea dataOnly="0" labelOnly="1" grandRow="1" outline="0" fieldPosition="0"/>
    </format>
    <format dxfId="167">
      <pivotArea dataOnly="0" labelOnly="1" grandCol="1" outline="0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type="topRight" dataOnly="0" labelOnly="1" outline="0" fieldPosition="0"/>
    </format>
    <format dxfId="162">
      <pivotArea dataOnly="0" labelOnly="1" grandRow="1" outline="0" fieldPosition="0"/>
    </format>
    <format dxfId="161">
      <pivotArea dataOnly="0" labelOnly="1" grandCol="1" outline="0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EBD94-74BE-4F31-B6D3-A0E71DF2B25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28:J41" firstHeaderRow="1" firstDataRow="2" firstDataCol="1" rowPageCount="2" colPageCount="1"/>
  <pivotFields count="26">
    <pivotField compact="0" numFmtId="14" outline="0" showAll="0"/>
    <pivotField axis="axisPage" compact="0" outline="0" multipleItemSelectionAllowed="1" showAll="0">
      <items count="3">
        <item x="0"/>
        <item x="1"/>
        <item t="default"/>
      </items>
    </pivotField>
    <pivotField compact="0" outline="0" showAll="0"/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axis="axisCol" compact="0" outline="0" showAll="0">
      <items count="9">
        <item x="3"/>
        <item x="2"/>
        <item x="4"/>
        <item x="1"/>
        <item x="0"/>
        <item x="6"/>
        <item x="5"/>
        <item x="7"/>
        <item t="default"/>
      </items>
    </pivotField>
    <pivotField axis="axisRow" compact="0" outline="0" showAll="0" sortType="descending">
      <items count="14">
        <item x="1"/>
        <item x="3"/>
        <item x="0"/>
        <item x="6"/>
        <item x="5"/>
        <item x="8"/>
        <item x="2"/>
        <item m="1" x="11"/>
        <item x="4"/>
        <item x="7"/>
        <item x="9"/>
        <item x="10"/>
        <item m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67" outline="0" showAll="0"/>
    <pivotField compact="0" outline="0" showAll="0"/>
    <pivotField compact="0" outline="0" showAll="0"/>
  </pivotFields>
  <rowFields count="1">
    <field x="9"/>
  </rowFields>
  <rowItems count="12">
    <i>
      <x v="1"/>
    </i>
    <i>
      <x/>
    </i>
    <i>
      <x v="4"/>
    </i>
    <i>
      <x v="8"/>
    </i>
    <i>
      <x v="2"/>
    </i>
    <i>
      <x v="11"/>
    </i>
    <i>
      <x v="10"/>
    </i>
    <i>
      <x v="3"/>
    </i>
    <i>
      <x v="9"/>
    </i>
    <i>
      <x v="6"/>
    </i>
    <i>
      <x v="5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2">
    <pageField fld="1" hier="-1"/>
    <pageField fld="3" hier="-1"/>
  </pageFields>
  <dataFields count="1">
    <dataField name="Suma de Cantidad" fld="7" baseField="0" baseItem="0"/>
  </dataFields>
  <formats count="18">
    <format dxfId="196">
      <pivotArea type="all" dataOnly="0" outline="0" fieldPosition="0"/>
    </format>
    <format dxfId="195">
      <pivotArea outline="0" collapsedLevelsAreSubtotals="1" fieldPosition="0"/>
    </format>
    <format dxfId="194">
      <pivotArea type="origin" dataOnly="0" labelOnly="1" outline="0" fieldPosition="0"/>
    </format>
    <format dxfId="193">
      <pivotArea field="11" type="button" dataOnly="0" labelOnly="1" outline="0"/>
    </format>
    <format dxfId="192">
      <pivotArea type="topRight" dataOnly="0" labelOnly="1" outline="0" fieldPosition="0"/>
    </format>
    <format dxfId="191">
      <pivotArea field="1" type="button" dataOnly="0" labelOnly="1" outline="0" axis="axisPage" fieldPosition="0"/>
    </format>
    <format dxfId="190">
      <pivotArea field="8" type="button" dataOnly="0" labelOnly="1" outline="0" axis="axisCol" fieldPosition="0"/>
    </format>
    <format dxfId="189">
      <pivotArea dataOnly="0" labelOnly="1" grandRow="1" outline="0" fieldPosition="0"/>
    </format>
    <format dxfId="188">
      <pivotArea dataOnly="0" labelOnly="1" grandCol="1" outline="0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type="origin" dataOnly="0" labelOnly="1" outline="0" fieldPosition="0"/>
    </format>
    <format dxfId="184">
      <pivotArea field="11" type="button" dataOnly="0" labelOnly="1" outline="0"/>
    </format>
    <format dxfId="183">
      <pivotArea type="topRight" dataOnly="0" labelOnly="1" outline="0" fieldPosition="0"/>
    </format>
    <format dxfId="182">
      <pivotArea field="1" type="button" dataOnly="0" labelOnly="1" outline="0" axis="axisPage" fieldPosition="0"/>
    </format>
    <format dxfId="181">
      <pivotArea field="8" type="button" dataOnly="0" labelOnly="1" outline="0" axis="axisCol" fieldPosition="0"/>
    </format>
    <format dxfId="180">
      <pivotArea dataOnly="0" labelOnly="1" grandRow="1" outline="0" fieldPosition="0"/>
    </format>
    <format dxfId="17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5C66A-8746-4D02-89E7-824AB1025B1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C7" firstHeaderRow="1" firstDataRow="2" firstDataCol="1"/>
  <pivotFields count="26">
    <pivotField numFmtId="14" showAll="0"/>
    <pivotField axis="axisCol" showAll="0">
      <items count="3"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axis="axisRow" showAll="0">
      <items count="4">
        <item h="1" x="2"/>
        <item x="1"/>
        <item x="0"/>
        <item t="default"/>
      </items>
    </pivotField>
    <pivotField numFmtId="1"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>
      <items count="8">
        <item x="5"/>
        <item x="2"/>
        <item x="4"/>
        <item x="3"/>
        <item x="6"/>
        <item x="0"/>
        <item x="1"/>
        <item t="default"/>
      </items>
    </pivotField>
    <pivotField showAll="0"/>
  </pivotFields>
  <rowFields count="1">
    <field x="19"/>
  </rowFields>
  <rowItems count="3">
    <i>
      <x v="1"/>
    </i>
    <i>
      <x v="2"/>
    </i>
    <i t="grand">
      <x/>
    </i>
  </rowItems>
  <colFields count="1">
    <field x="1"/>
  </colFields>
  <colItems count="2">
    <i>
      <x/>
    </i>
    <i t="grand">
      <x/>
    </i>
  </colItems>
  <dataFields count="1">
    <dataField name="Cuenta de No orden" fld="2" subtotal="count" baseField="24" baseItem="0"/>
  </dataFields>
  <formats count="5">
    <format dxfId="6">
      <pivotArea outline="0" collapsedLevelsAreSubtotals="1" fieldPosition="0"/>
    </format>
    <format dxfId="5">
      <pivotArea field="24" type="button" dataOnly="0" labelOnly="1" outline="0"/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Col="1" outline="0" fieldPosition="0"/>
    </format>
  </format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9" count="1" selected="0">
            <x v="1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CC3D0-5915-4DD1-B9F9-229179E4FF34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5:C41" firstHeaderRow="1" firstDataRow="2" firstDataCol="1" rowPageCount="1" colPageCount="1"/>
  <pivotFields count="26">
    <pivotField numFmtId="14" showAll="0"/>
    <pivotField axis="axisCol" showAll="0" sortType="ascending">
      <items count="3"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"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 sortType="descending">
      <items count="8">
        <item x="5"/>
        <item x="2"/>
        <item x="4"/>
        <item x="3"/>
        <item x="6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/>
    </i>
    <i t="grand">
      <x/>
    </i>
  </colItems>
  <pageFields count="1">
    <pageField fld="19" hier="-1"/>
  </pageFields>
  <dataFields count="1">
    <dataField name="Cuenta de No orden" fld="2" subtotal="count" baseField="24" baseItem="0"/>
  </dataFields>
  <formats count="5">
    <format dxfId="11">
      <pivotArea outline="0" collapsedLevelsAreSubtotals="1" fieldPosition="0"/>
    </format>
    <format dxfId="10">
      <pivotArea field="24" type="button" dataOnly="0" labelOnly="1" outline="0"/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6C4DE-D390-4299-8C65-A253D346AC7D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9:C27" firstHeaderRow="1" firstDataRow="2" firstDataCol="1" rowPageCount="1" colPageCount="1"/>
  <pivotFields count="26">
    <pivotField numFmtId="14" showAll="0"/>
    <pivotField axis="axisCol" showAll="0" sortType="ascending">
      <items count="3"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axis="axisPage" multipleItemSelectionAllowed="1" showAll="0">
      <items count="4">
        <item h="1" x="2"/>
        <item h="1" x="1"/>
        <item x="0"/>
        <item t="default"/>
      </items>
    </pivotField>
    <pivotField numFmtId="1"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axis="axisRow" showAll="0" sortType="descending">
      <items count="8">
        <item x="5"/>
        <item x="2"/>
        <item x="4"/>
        <item x="3"/>
        <item x="6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</pivotFields>
  <rowFields count="1">
    <field x="24"/>
  </rowFields>
  <rowItems count="7">
    <i>
      <x v="3"/>
    </i>
    <i>
      <x v="5"/>
    </i>
    <i>
      <x v="2"/>
    </i>
    <i>
      <x v="1"/>
    </i>
    <i>
      <x/>
    </i>
    <i>
      <x v="4"/>
    </i>
    <i t="grand">
      <x/>
    </i>
  </rowItems>
  <colFields count="1">
    <field x="1"/>
  </colFields>
  <colItems count="2">
    <i>
      <x/>
    </i>
    <i t="grand">
      <x/>
    </i>
  </colItems>
  <pageFields count="1">
    <pageField fld="19" hier="-1"/>
  </pageFields>
  <dataFields count="1">
    <dataField name="Cuenta de No orden" fld="2" subtotal="count" baseField="24" baseItem="0"/>
  </dataFields>
  <formats count="6">
    <format dxfId="17">
      <pivotArea outline="0" collapsedLevelsAreSubtotals="1" fieldPosition="0"/>
    </format>
    <format dxfId="16">
      <pivotArea field="24" type="button" dataOnly="0" labelOnly="1" outline="0" axis="axisRow" fieldPosition="0"/>
    </format>
    <format dxfId="15">
      <pivotArea dataOnly="0" labelOnly="1" fieldPosition="0">
        <references count="1">
          <reference field="24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3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9.xml"/><Relationship Id="rId9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0"/>
  <sheetViews>
    <sheetView showGridLines="0" tabSelected="1" topLeftCell="A2" zoomScaleNormal="100" workbookViewId="0">
      <pane xSplit="3" ySplit="3" topLeftCell="N136" activePane="bottomRight" state="frozen"/>
      <selection activeCell="A2" sqref="A2"/>
      <selection pane="topRight" activeCell="D2" sqref="D2"/>
      <selection pane="bottomLeft" activeCell="A5" sqref="A5"/>
      <selection pane="bottomRight" activeCell="W170" sqref="W170"/>
    </sheetView>
  </sheetViews>
  <sheetFormatPr baseColWidth="10" defaultRowHeight="14.4" x14ac:dyDescent="0.3"/>
  <cols>
    <col min="2" max="2" width="10.44140625" style="16" bestFit="1" customWidth="1"/>
    <col min="3" max="4" width="11.5546875" style="16"/>
    <col min="5" max="5" width="34.44140625" style="106" customWidth="1"/>
    <col min="6" max="6" width="14.5546875" style="16" customWidth="1"/>
    <col min="7" max="7" width="62.88671875" style="106" customWidth="1"/>
    <col min="8" max="8" width="11.5546875" style="16"/>
    <col min="9" max="9" width="13.109375" style="106" bestFit="1" customWidth="1"/>
    <col min="10" max="10" width="20.88671875" style="16" bestFit="1" customWidth="1"/>
    <col min="11" max="11" width="19.44140625" style="16" customWidth="1"/>
    <col min="12" max="12" width="13.88671875" style="16" customWidth="1"/>
    <col min="13" max="13" width="21.5546875" style="16" customWidth="1"/>
    <col min="14" max="14" width="38.109375" style="106" bestFit="1" customWidth="1"/>
    <col min="15" max="16" width="11.44140625" style="118"/>
    <col min="17" max="19" width="11.5546875" style="16"/>
    <col min="20" max="21" width="15.33203125" style="16" customWidth="1"/>
    <col min="22" max="22" width="15.33203125" style="106" customWidth="1"/>
    <col min="23" max="23" width="12.88671875" style="121" bestFit="1" customWidth="1"/>
    <col min="24" max="24" width="15" style="121" bestFit="1" customWidth="1"/>
    <col min="25" max="25" width="54.6640625" style="160" bestFit="1" customWidth="1"/>
    <col min="26" max="26" width="120.44140625" bestFit="1" customWidth="1"/>
  </cols>
  <sheetData>
    <row r="1" spans="1:26" ht="15" hidden="1" customHeight="1" x14ac:dyDescent="0.3">
      <c r="A1" s="137" t="s">
        <v>807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spans="1:26" ht="18" customHeight="1" x14ac:dyDescent="0.3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56"/>
      <c r="W2" s="137"/>
      <c r="X2" s="137"/>
      <c r="Y2" s="156"/>
    </row>
    <row r="3" spans="1:26" ht="18.75" customHeight="1" x14ac:dyDescent="0.3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56"/>
      <c r="W3" s="137"/>
      <c r="X3" s="137"/>
      <c r="Y3" s="156"/>
    </row>
    <row r="4" spans="1:26" s="124" customFormat="1" ht="36" x14ac:dyDescent="0.2">
      <c r="A4" s="148" t="s">
        <v>954</v>
      </c>
      <c r="B4" s="148" t="s">
        <v>0</v>
      </c>
      <c r="C4" s="148" t="s">
        <v>1</v>
      </c>
      <c r="D4" s="148" t="s">
        <v>2</v>
      </c>
      <c r="E4" s="148" t="s">
        <v>3</v>
      </c>
      <c r="F4" s="148" t="s">
        <v>4</v>
      </c>
      <c r="G4" s="148" t="s">
        <v>5</v>
      </c>
      <c r="H4" s="148" t="s">
        <v>6</v>
      </c>
      <c r="I4" s="148" t="s">
        <v>7</v>
      </c>
      <c r="J4" s="149" t="s">
        <v>8</v>
      </c>
      <c r="K4" s="149" t="s">
        <v>9</v>
      </c>
      <c r="L4" s="150" t="s">
        <v>10</v>
      </c>
      <c r="M4" s="149" t="s">
        <v>11</v>
      </c>
      <c r="N4" s="149" t="s">
        <v>12</v>
      </c>
      <c r="O4" s="149" t="s">
        <v>13</v>
      </c>
      <c r="P4" s="149" t="s">
        <v>14</v>
      </c>
      <c r="Q4" s="150" t="s">
        <v>15</v>
      </c>
      <c r="R4" s="149" t="s">
        <v>16</v>
      </c>
      <c r="S4" s="149" t="s">
        <v>17</v>
      </c>
      <c r="T4" s="149" t="s">
        <v>229</v>
      </c>
      <c r="U4" s="149" t="s">
        <v>943</v>
      </c>
      <c r="V4" s="157" t="s">
        <v>955</v>
      </c>
      <c r="W4" s="149" t="s">
        <v>18</v>
      </c>
      <c r="X4" s="150" t="s">
        <v>237</v>
      </c>
      <c r="Y4" s="157" t="s">
        <v>950</v>
      </c>
      <c r="Z4" s="151" t="s">
        <v>239</v>
      </c>
    </row>
    <row r="5" spans="1:26" x14ac:dyDescent="0.3">
      <c r="A5" s="116">
        <v>46024</v>
      </c>
      <c r="B5" s="99" t="s">
        <v>95</v>
      </c>
      <c r="C5" s="97">
        <v>100245</v>
      </c>
      <c r="D5" s="14" t="s">
        <v>19</v>
      </c>
      <c r="E5" s="98" t="s">
        <v>733</v>
      </c>
      <c r="F5" s="30" t="s">
        <v>67</v>
      </c>
      <c r="G5" s="100" t="str">
        <f>IFERROR(VLOOKUP(F5,Productos!$A$2:$D$277,2,0)," ")</f>
        <v>Archivador TECU  Caramelo</v>
      </c>
      <c r="H5" s="99">
        <v>1</v>
      </c>
      <c r="I5" s="100" t="str">
        <f>IFERROR(VLOOKUP(F5,Productos!$A$2:$D$277,3,0)," ")</f>
        <v>Archivador</v>
      </c>
      <c r="J5" s="97" t="s">
        <v>41</v>
      </c>
      <c r="K5" s="97" t="s">
        <v>734</v>
      </c>
      <c r="L5" s="14" t="str">
        <f>IF(O5&gt;0,"Despachado","En alistamiento")</f>
        <v>Despachado</v>
      </c>
      <c r="M5" s="99" t="s">
        <v>735</v>
      </c>
      <c r="N5" s="105" t="s">
        <v>739</v>
      </c>
      <c r="O5" s="86">
        <v>46035</v>
      </c>
      <c r="P5" s="86">
        <v>46036</v>
      </c>
      <c r="Q5" s="101" t="str">
        <f>IF(P5&gt;0,"Entregado","En transito")</f>
        <v>Entregado</v>
      </c>
      <c r="R5" s="99">
        <f>IF(L5="Despachado",NETWORKDAYS.INTL("05/01/2026",O5,11,Valores!$A$2:$A$19)-1,"PTE")</f>
        <v>6</v>
      </c>
      <c r="S5" s="99">
        <f>IF(Q5="Entregado",NETWORKDAYS.INTL("05/01/2026",P5,11,Valores!$A$2:$A$19)-1,"PTE")</f>
        <v>7</v>
      </c>
      <c r="T5" s="99" t="str">
        <f>IF(Q5="Entregado",IFERROR(IF(I5=VLOOKUP(I5,Valores!$K$1:$K$4,1,0),IF(S5&lt;=VLOOKUP(I5,Valores!$K$1:$L$4,2,0),"Cumple","No cumple")),IF(S5&lt;=VLOOKUP(K5,Valores!E:F,2,0),"Cumple","No cumple")))</f>
        <v>No cumple</v>
      </c>
      <c r="U5" s="99">
        <f>IFERROR(IF(T5="no cumple",S5-VLOOKUP(I5,Valores!$K$1:$L$4,2,0),0),S5-VLOOKUP(K5,Valores!E:F,2,0))</f>
        <v>2</v>
      </c>
      <c r="V5" s="161" t="s">
        <v>952</v>
      </c>
      <c r="W5" s="115">
        <v>71906</v>
      </c>
      <c r="X5" s="122"/>
      <c r="Y5" s="158" t="s">
        <v>956</v>
      </c>
      <c r="Z5" s="104"/>
    </row>
    <row r="6" spans="1:26" x14ac:dyDescent="0.3">
      <c r="A6" s="116">
        <v>46026</v>
      </c>
      <c r="B6" s="99" t="s">
        <v>95</v>
      </c>
      <c r="C6" s="97">
        <v>100246</v>
      </c>
      <c r="D6" s="14" t="s">
        <v>19</v>
      </c>
      <c r="E6" s="98" t="s">
        <v>736</v>
      </c>
      <c r="F6" s="30" t="s">
        <v>67</v>
      </c>
      <c r="G6" s="100" t="str">
        <f>IFERROR(VLOOKUP(F6,Productos!$A$2:$D$277,2,0)," ")</f>
        <v>Archivador TECU  Caramelo</v>
      </c>
      <c r="H6" s="99">
        <v>1</v>
      </c>
      <c r="I6" s="100" t="str">
        <f>IFERROR(VLOOKUP(F6,Productos!$A$2:$D$277,3,0)," ")</f>
        <v>Archivador</v>
      </c>
      <c r="J6" s="97" t="s">
        <v>23</v>
      </c>
      <c r="K6" s="97" t="s">
        <v>38</v>
      </c>
      <c r="L6" s="14" t="str">
        <f t="shared" ref="L6:L70" si="0">IF(O6&gt;0,"Despachado","En alistamiento")</f>
        <v>Despachado</v>
      </c>
      <c r="M6" s="99" t="s">
        <v>735</v>
      </c>
      <c r="N6" s="98" t="s">
        <v>738</v>
      </c>
      <c r="O6" s="86">
        <v>46035</v>
      </c>
      <c r="P6" s="86">
        <v>46036</v>
      </c>
      <c r="Q6" s="101" t="str">
        <f t="shared" ref="Q6:Q70" si="1">IF(P6&gt;0,"Entregado","En transito")</f>
        <v>Entregado</v>
      </c>
      <c r="R6" s="99">
        <f>IF(L6="Despachado",NETWORKDAYS.INTL("05/01/2026",O6,11,Valores!$A$2:$A$19)-1,"PTE")</f>
        <v>6</v>
      </c>
      <c r="S6" s="99">
        <f>IF(Q6="Entregado",NETWORKDAYS.INTL("05/01/2026",P6,11,Valores!$A$2:$A$19)-1,"PTE")</f>
        <v>7</v>
      </c>
      <c r="T6" s="99" t="str">
        <f>IF(Q6="Entregado",IFERROR(IF(I6=VLOOKUP(I6,Valores!$K$1:$K$4,1,0),IF(S6&lt;=VLOOKUP(I6,Valores!$K$1:$L$4,2,0),"Cumple","No cumple")),IF(S6&lt;=VLOOKUP(K6,Valores!E:F,2,0),"Cumple","No cumple")))</f>
        <v>No cumple</v>
      </c>
      <c r="U6" s="99">
        <f>IFERROR(IF(T6="no cumple",S6-VLOOKUP(I6,Valores!$K$1:$L$4,2,0),0),S6-VLOOKUP(K6,Valores!E:F,2,0))</f>
        <v>2</v>
      </c>
      <c r="V6" s="161" t="s">
        <v>952</v>
      </c>
      <c r="W6" s="115">
        <v>68327</v>
      </c>
      <c r="X6" s="122"/>
      <c r="Y6" s="158" t="s">
        <v>956</v>
      </c>
      <c r="Z6" s="104"/>
    </row>
    <row r="7" spans="1:26" x14ac:dyDescent="0.3">
      <c r="A7" s="116">
        <v>46026</v>
      </c>
      <c r="B7" s="99" t="s">
        <v>95</v>
      </c>
      <c r="C7" s="97">
        <v>100246</v>
      </c>
      <c r="D7" s="14" t="s">
        <v>19</v>
      </c>
      <c r="E7" s="98" t="s">
        <v>736</v>
      </c>
      <c r="F7" s="102" t="s">
        <v>391</v>
      </c>
      <c r="G7" s="100" t="str">
        <f>IFERROR(VLOOKUP(F7,Productos!$A$2:$D$277,2,0)," ")</f>
        <v>Archivador TECU Fresno Europeo</v>
      </c>
      <c r="H7" s="99">
        <v>1</v>
      </c>
      <c r="I7" s="100" t="str">
        <f>IFERROR(VLOOKUP(F7,Productos!$A$2:$D$277,3,0)," ")</f>
        <v>Archivador</v>
      </c>
      <c r="J7" s="97" t="s">
        <v>23</v>
      </c>
      <c r="K7" s="97" t="s">
        <v>38</v>
      </c>
      <c r="L7" s="14" t="str">
        <f t="shared" si="0"/>
        <v>Despachado</v>
      </c>
      <c r="M7" s="99" t="s">
        <v>735</v>
      </c>
      <c r="N7" s="98" t="s">
        <v>737</v>
      </c>
      <c r="O7" s="86">
        <v>46035</v>
      </c>
      <c r="P7" s="86">
        <v>46036</v>
      </c>
      <c r="Q7" s="101" t="str">
        <f t="shared" si="1"/>
        <v>Entregado</v>
      </c>
      <c r="R7" s="99">
        <f>IF(L7="Despachado",NETWORKDAYS.INTL("05/01/2026",O7,11,Valores!$A$2:$A$19)-1,"PTE")</f>
        <v>6</v>
      </c>
      <c r="S7" s="99">
        <f>IF(Q7="Entregado",NETWORKDAYS.INTL("05/01/2026",P7,11,Valores!$A$2:$A$19)-1,"PTE")</f>
        <v>7</v>
      </c>
      <c r="T7" s="99" t="str">
        <f>IF(Q7="Entregado",IFERROR(IF(I7=VLOOKUP(I7,Valores!$K$1:$K$4,1,0),IF(S7&lt;=VLOOKUP(I7,Valores!$K$1:$L$4,2,0),"Cumple","No cumple")),IF(S7&lt;=VLOOKUP(K7,Valores!E:F,2,0),"Cumple","No cumple")))</f>
        <v>No cumple</v>
      </c>
      <c r="U7" s="99">
        <f>IFERROR(IF(T7="no cumple",S7-VLOOKUP(I7,Valores!$K$1:$L$4,2,0),0),S7-VLOOKUP(K7,Valores!E:F,2,0))</f>
        <v>2</v>
      </c>
      <c r="V7" s="161" t="s">
        <v>952</v>
      </c>
      <c r="W7" s="115">
        <v>68327</v>
      </c>
      <c r="X7" s="122"/>
      <c r="Y7" s="158" t="s">
        <v>956</v>
      </c>
      <c r="Z7" s="104"/>
    </row>
    <row r="8" spans="1:26" x14ac:dyDescent="0.3">
      <c r="A8" s="116">
        <v>46027</v>
      </c>
      <c r="B8" s="99" t="s">
        <v>95</v>
      </c>
      <c r="C8" s="97">
        <v>100248</v>
      </c>
      <c r="D8" s="14" t="s">
        <v>19</v>
      </c>
      <c r="E8" s="98" t="s">
        <v>740</v>
      </c>
      <c r="F8" s="30" t="s">
        <v>235</v>
      </c>
      <c r="G8" s="100" t="str">
        <f>IFERROR(VLOOKUP(F8,Productos!$A$2:$D$277,2,0)," ")</f>
        <v>Bandeja de cables</v>
      </c>
      <c r="H8" s="99">
        <v>1</v>
      </c>
      <c r="I8" s="100" t="str">
        <f>IFERROR(VLOOKUP(F8,Productos!$A$2:$D$277,3,0)," ")</f>
        <v>Accesorio</v>
      </c>
      <c r="J8" s="97" t="s">
        <v>741</v>
      </c>
      <c r="K8" s="97" t="s">
        <v>210</v>
      </c>
      <c r="L8" s="14" t="str">
        <f t="shared" si="0"/>
        <v>Despachado</v>
      </c>
      <c r="M8" s="99" t="s">
        <v>742</v>
      </c>
      <c r="N8" s="98" t="s">
        <v>743</v>
      </c>
      <c r="O8" s="86">
        <v>46027</v>
      </c>
      <c r="P8" s="86">
        <v>46028</v>
      </c>
      <c r="Q8" s="101" t="str">
        <f t="shared" si="1"/>
        <v>Entregado</v>
      </c>
      <c r="R8" s="99">
        <f>IF(L8="Despachado",NETWORKDAYS.INTL(A8,O8,11,Valores!$A$2:$A$19)-1,"PTE")</f>
        <v>0</v>
      </c>
      <c r="S8" s="99">
        <f>IF(Q8="Entregado",NETWORKDAYS.INTL(A8,P8,11,Valores!$A$2:$A$19)-1,"PTE")</f>
        <v>1</v>
      </c>
      <c r="T8" s="99" t="str">
        <f>IF(Q8="Entregado",IFERROR(IF(I8=VLOOKUP(I8,Valores!$K$1:$K$4,1,0),IF(S8&lt;=VLOOKUP(I8,Valores!$K$1:$L$4,2,0),"Cumple","No cumple")),IF(S8&lt;=VLOOKUP(K8,Valores!E:F,2,0),"Cumple","No cumple")))</f>
        <v>Cumple</v>
      </c>
      <c r="U8" s="99">
        <f>IFERROR(IF(T8="no cumple",S8-VLOOKUP(I8,Valores!$K$1:$L$4,2,0),0),S8-VLOOKUP(K8,Valores!E:F,2,0))</f>
        <v>0</v>
      </c>
      <c r="V8" s="99"/>
      <c r="W8" s="115">
        <v>26681</v>
      </c>
      <c r="X8" s="122"/>
      <c r="Y8" s="115"/>
      <c r="Z8" s="104"/>
    </row>
    <row r="9" spans="1:26" x14ac:dyDescent="0.3">
      <c r="A9" s="116">
        <v>46027</v>
      </c>
      <c r="B9" s="99" t="s">
        <v>95</v>
      </c>
      <c r="C9" s="97">
        <v>100249</v>
      </c>
      <c r="D9" s="14" t="s">
        <v>19</v>
      </c>
      <c r="E9" s="98" t="s">
        <v>744</v>
      </c>
      <c r="F9" s="30" t="s">
        <v>441</v>
      </c>
      <c r="G9" s="100" t="str">
        <f>IFERROR(VLOOKUP(F9,Productos!$A$2:$D$277,2,0)," ")</f>
        <v>Superficie Escritorio Fresno Europeo 120x60 Clasico Small</v>
      </c>
      <c r="H9" s="99">
        <v>1</v>
      </c>
      <c r="I9" s="100" t="str">
        <f>IFERROR(VLOOKUP(F9,Productos!$A$2:$D$277,3,0)," ")</f>
        <v>Superficie</v>
      </c>
      <c r="J9" s="97" t="s">
        <v>23</v>
      </c>
      <c r="K9" s="97" t="s">
        <v>745</v>
      </c>
      <c r="L9" s="14" t="str">
        <f t="shared" si="0"/>
        <v>Despachado</v>
      </c>
      <c r="M9" s="99" t="s">
        <v>742</v>
      </c>
      <c r="N9" s="98" t="s">
        <v>746</v>
      </c>
      <c r="O9" s="86">
        <v>46029</v>
      </c>
      <c r="P9" s="86">
        <v>46030</v>
      </c>
      <c r="Q9" s="101" t="str">
        <f t="shared" si="1"/>
        <v>Entregado</v>
      </c>
      <c r="R9" s="99">
        <f>IF(L9="Despachado",NETWORKDAYS.INTL(A9,O9,11,Valores!$A$2:$A$19)-1,"PTE")</f>
        <v>2</v>
      </c>
      <c r="S9" s="99">
        <f>IF(Q9="Entregado",NETWORKDAYS.INTL(A9,P9,11,Valores!$A$2:$A$19)-1,"PTE")</f>
        <v>3</v>
      </c>
      <c r="T9" s="99" t="str">
        <f>IF(Q9="Entregado",IFERROR(IF(I9=VLOOKUP(I9,Valores!$K$1:$K$4,1,0),IF(S9&lt;=VLOOKUP(I9,Valores!$K$1:$L$4,2,0),"Cumple","No cumple")),IF(S9&lt;=VLOOKUP(K9,Valores!E:F,2,0),"Cumple","No cumple")))</f>
        <v>Cumple</v>
      </c>
      <c r="U9" s="99">
        <f>IFERROR(IF(T9="no cumple",S9-VLOOKUP(I9,Valores!$K$1:$L$4,2,0),0),S9-VLOOKUP(K9,Valores!E:F,2,0))</f>
        <v>0</v>
      </c>
      <c r="V9" s="99"/>
      <c r="W9" s="115">
        <v>25952</v>
      </c>
      <c r="X9" s="122"/>
      <c r="Y9" s="115"/>
      <c r="Z9" s="104"/>
    </row>
    <row r="10" spans="1:26" x14ac:dyDescent="0.3">
      <c r="A10" s="116">
        <v>46027</v>
      </c>
      <c r="B10" s="99" t="s">
        <v>95</v>
      </c>
      <c r="C10" s="97">
        <v>100249</v>
      </c>
      <c r="D10" s="14" t="s">
        <v>19</v>
      </c>
      <c r="E10" s="98" t="s">
        <v>744</v>
      </c>
      <c r="F10" s="102" t="s">
        <v>122</v>
      </c>
      <c r="G10" s="100" t="str">
        <f>IFERROR(VLOOKUP(F10,Productos!$A$2:$D$277,2,0)," ")</f>
        <v>Electric Standing Desk GO Negro</v>
      </c>
      <c r="H10" s="99">
        <v>1</v>
      </c>
      <c r="I10" s="100" t="str">
        <f>IFERROR(VLOOKUP(F10,Productos!$A$2:$D$277,3,0)," ")</f>
        <v>Standing Desk</v>
      </c>
      <c r="J10" s="97" t="s">
        <v>23</v>
      </c>
      <c r="K10" s="97" t="s">
        <v>745</v>
      </c>
      <c r="L10" s="14" t="str">
        <f t="shared" si="0"/>
        <v>Despachado</v>
      </c>
      <c r="M10" s="99" t="s">
        <v>742</v>
      </c>
      <c r="N10" s="98" t="s">
        <v>747</v>
      </c>
      <c r="O10" s="86">
        <v>46029</v>
      </c>
      <c r="P10" s="86">
        <v>46030</v>
      </c>
      <c r="Q10" s="101" t="str">
        <f t="shared" si="1"/>
        <v>Entregado</v>
      </c>
      <c r="R10" s="99">
        <f>IF(L10="Despachado",NETWORKDAYS.INTL(A10,O10,11,Valores!$A$2:$A$19)-1,"PTE")</f>
        <v>2</v>
      </c>
      <c r="S10" s="99">
        <f>IF(Q10="Entregado",NETWORKDAYS.INTL(A10,P10,11,Valores!$A$2:$A$19)-1,"PTE")</f>
        <v>3</v>
      </c>
      <c r="T10" s="99" t="str">
        <f>IF(Q10="Entregado",IFERROR(IF(I10=VLOOKUP(I10,Valores!$K$1:$K$4,1,0),IF(S10&lt;=VLOOKUP(I10,Valores!$K$1:$L$4,2,0),"Cumple","No cumple")),IF(S10&lt;=VLOOKUP(K10,Valores!E:F,2,0),"Cumple","No cumple")))</f>
        <v>Cumple</v>
      </c>
      <c r="U10" s="99">
        <f>IFERROR(IF(T10="no cumple",S10-VLOOKUP(I10,Valores!$K$1:$L$4,2,0),0),S10-VLOOKUP(K10,Valores!E:F,2,0))</f>
        <v>0</v>
      </c>
      <c r="V10" s="99"/>
      <c r="W10" s="115">
        <v>43114</v>
      </c>
      <c r="X10" s="122"/>
      <c r="Y10" s="115"/>
      <c r="Z10" s="104"/>
    </row>
    <row r="11" spans="1:26" x14ac:dyDescent="0.3">
      <c r="A11" s="116">
        <v>46027</v>
      </c>
      <c r="B11" s="99" t="s">
        <v>95</v>
      </c>
      <c r="C11" s="97">
        <v>100250</v>
      </c>
      <c r="D11" s="14" t="s">
        <v>19</v>
      </c>
      <c r="E11" s="98" t="s">
        <v>748</v>
      </c>
      <c r="F11" s="30" t="s">
        <v>405</v>
      </c>
      <c r="G11" s="100" t="str">
        <f>IFERROR(VLOOKUP(F11,Productos!$A$2:$D$277,2,0)," ")</f>
        <v>Superficie Escritorio Caramelo 120x60 Clasico Small</v>
      </c>
      <c r="H11" s="99">
        <v>1</v>
      </c>
      <c r="I11" s="100" t="str">
        <f>IFERROR(VLOOKUP(F11,Productos!$A$2:$D$277,3,0)," ")</f>
        <v>Superficie</v>
      </c>
      <c r="J11" s="97" t="s">
        <v>20</v>
      </c>
      <c r="K11" s="97" t="s">
        <v>749</v>
      </c>
      <c r="L11" s="14" t="str">
        <f t="shared" si="0"/>
        <v>Despachado</v>
      </c>
      <c r="M11" s="99" t="s">
        <v>742</v>
      </c>
      <c r="N11" s="98" t="s">
        <v>750</v>
      </c>
      <c r="O11" s="86">
        <v>46029</v>
      </c>
      <c r="P11" s="86">
        <v>46030</v>
      </c>
      <c r="Q11" s="101" t="str">
        <f t="shared" si="1"/>
        <v>Entregado</v>
      </c>
      <c r="R11" s="99">
        <f>IF(L11="Despachado",NETWORKDAYS.INTL(A11,O11,11,Valores!$A$2:$A$19)-1,"PTE")</f>
        <v>2</v>
      </c>
      <c r="S11" s="99">
        <f>IF(Q11="Entregado",NETWORKDAYS.INTL(A11,P11,11,Valores!$A$2:$A$19)-1,"PTE")</f>
        <v>3</v>
      </c>
      <c r="T11" s="99" t="str">
        <f>IF(Q11="Entregado",IFERROR(IF(I11=VLOOKUP(I11,Valores!$K$1:$K$4,1,0),IF(S11&lt;=VLOOKUP(I11,Valores!$K$1:$L$4,2,0),"Cumple","No cumple")),IF(S11&lt;=VLOOKUP(K11,Valores!E:F,2,0),"Cumple","No cumple")))</f>
        <v>Cumple</v>
      </c>
      <c r="U11" s="99">
        <f>IFERROR(IF(T11="no cumple",S11-VLOOKUP(I11,Valores!$K$1:$L$4,2,0),0),S11-VLOOKUP(K11,Valores!E:F,2,0))</f>
        <v>0</v>
      </c>
      <c r="V11" s="99"/>
      <c r="W11" s="115">
        <v>25952</v>
      </c>
      <c r="X11" s="122"/>
      <c r="Y11" s="115"/>
      <c r="Z11" s="104"/>
    </row>
    <row r="12" spans="1:26" x14ac:dyDescent="0.3">
      <c r="A12" s="116">
        <v>46027</v>
      </c>
      <c r="B12" s="99" t="s">
        <v>95</v>
      </c>
      <c r="C12" s="97">
        <v>100250</v>
      </c>
      <c r="D12" s="14" t="s">
        <v>19</v>
      </c>
      <c r="E12" s="98" t="s">
        <v>748</v>
      </c>
      <c r="F12" s="30" t="s">
        <v>132</v>
      </c>
      <c r="G12" s="100" t="str">
        <f>IFERROR(VLOOKUP(F12,Productos!$A$2:$D$277,2,0)," ")</f>
        <v>Electric Standing Desk  PRO Blanco</v>
      </c>
      <c r="H12" s="99">
        <v>1</v>
      </c>
      <c r="I12" s="100" t="str">
        <f>IFERROR(VLOOKUP(F12,Productos!$A$2:$D$277,3,0)," ")</f>
        <v>Standing Desk</v>
      </c>
      <c r="J12" s="97" t="s">
        <v>20</v>
      </c>
      <c r="K12" s="97" t="s">
        <v>749</v>
      </c>
      <c r="L12" s="14" t="str">
        <f t="shared" si="0"/>
        <v>Despachado</v>
      </c>
      <c r="M12" s="99" t="s">
        <v>742</v>
      </c>
      <c r="N12" s="98" t="s">
        <v>751</v>
      </c>
      <c r="O12" s="86">
        <v>46029</v>
      </c>
      <c r="P12" s="86">
        <v>46030</v>
      </c>
      <c r="Q12" s="101" t="str">
        <f t="shared" si="1"/>
        <v>Entregado</v>
      </c>
      <c r="R12" s="99">
        <f>IF(L12="Despachado",NETWORKDAYS.INTL(A12,O12,11,Valores!$A$2:$A$19)-1,"PTE")</f>
        <v>2</v>
      </c>
      <c r="S12" s="99">
        <f>IF(Q12="Entregado",NETWORKDAYS.INTL(A12,P12,11,Valores!$A$2:$A$19)-1,"PTE")</f>
        <v>3</v>
      </c>
      <c r="T12" s="99" t="str">
        <f>IF(Q12="Entregado",IFERROR(IF(I12=VLOOKUP(I12,Valores!$K$1:$K$4,1,0),IF(S12&lt;=VLOOKUP(I12,Valores!$K$1:$L$4,2,0),"Cumple","No cumple")),IF(S12&lt;=VLOOKUP(K12,Valores!E:F,2,0),"Cumple","No cumple")))</f>
        <v>Cumple</v>
      </c>
      <c r="U12" s="99">
        <f>IFERROR(IF(T12="no cumple",S12-VLOOKUP(I12,Valores!$K$1:$L$4,2,0),0),S12-VLOOKUP(K12,Valores!E:F,2,0))</f>
        <v>0</v>
      </c>
      <c r="V12" s="99"/>
      <c r="W12" s="115">
        <v>43114</v>
      </c>
      <c r="X12" s="122"/>
      <c r="Y12" s="115"/>
      <c r="Z12" s="104"/>
    </row>
    <row r="13" spans="1:26" x14ac:dyDescent="0.3">
      <c r="A13" s="116">
        <v>46027</v>
      </c>
      <c r="B13" s="99" t="s">
        <v>95</v>
      </c>
      <c r="C13" s="97">
        <v>100250</v>
      </c>
      <c r="D13" s="14" t="s">
        <v>19</v>
      </c>
      <c r="E13" s="98" t="s">
        <v>748</v>
      </c>
      <c r="F13" s="30" t="s">
        <v>624</v>
      </c>
      <c r="G13" s="100" t="str">
        <f>IFERROR(VLOOKUP(F13,Productos!$A$2:$D$277,2,0)," ")</f>
        <v>Repisa Escritorio Caramelo x 80cm</v>
      </c>
      <c r="H13" s="99">
        <v>1</v>
      </c>
      <c r="I13" s="100" t="str">
        <f>IFERROR(VLOOKUP(F13,Productos!$A$2:$D$277,3,0)," ")</f>
        <v>Repisa</v>
      </c>
      <c r="J13" s="97" t="s">
        <v>20</v>
      </c>
      <c r="K13" s="97" t="s">
        <v>749</v>
      </c>
      <c r="L13" s="14" t="str">
        <f t="shared" si="0"/>
        <v>Despachado</v>
      </c>
      <c r="M13" s="99" t="s">
        <v>742</v>
      </c>
      <c r="N13" s="98" t="s">
        <v>750</v>
      </c>
      <c r="O13" s="86">
        <v>46029</v>
      </c>
      <c r="P13" s="86">
        <v>46030</v>
      </c>
      <c r="Q13" s="101" t="str">
        <f t="shared" si="1"/>
        <v>Entregado</v>
      </c>
      <c r="R13" s="99">
        <f>IF(L13="Despachado",NETWORKDAYS.INTL(A13,O13,11,Valores!$A$2:$A$19)-1,"PTE")</f>
        <v>2</v>
      </c>
      <c r="S13" s="99">
        <f>IF(Q13="Entregado",NETWORKDAYS.INTL(A13,P13,11,Valores!$A$2:$A$19)-1,"PTE")</f>
        <v>3</v>
      </c>
      <c r="T13" s="99" t="str">
        <f>IF(Q13="Entregado",IFERROR(IF(I13=VLOOKUP(I13,Valores!$K$1:$K$4,1,0),IF(S13&lt;=VLOOKUP(I13,Valores!$K$1:$L$4,2,0),"Cumple","No cumple")),IF(S13&lt;=VLOOKUP(K13,Valores!E:F,2,0),"Cumple","No cumple")))</f>
        <v>Cumple</v>
      </c>
      <c r="U13" s="99">
        <f>IFERROR(IF(T13="no cumple",S13-VLOOKUP(I13,Valores!$K$1:$L$4,2,0),0),S13-VLOOKUP(K13,Valores!E:F,2,0))</f>
        <v>0</v>
      </c>
      <c r="V13" s="99"/>
      <c r="W13" s="115">
        <v>0</v>
      </c>
      <c r="X13" s="122"/>
      <c r="Y13" s="115"/>
      <c r="Z13" s="104"/>
    </row>
    <row r="14" spans="1:26" x14ac:dyDescent="0.3">
      <c r="A14" s="116">
        <v>46028</v>
      </c>
      <c r="B14" s="99" t="s">
        <v>95</v>
      </c>
      <c r="C14" s="97">
        <v>100251</v>
      </c>
      <c r="D14" s="14" t="s">
        <v>19</v>
      </c>
      <c r="E14" s="98" t="s">
        <v>752</v>
      </c>
      <c r="F14" s="30" t="s">
        <v>690</v>
      </c>
      <c r="G14" s="100" t="str">
        <f>IFERROR(VLOOKUP(F14,Productos!$A$2:$D$277,2,0)," ")</f>
        <v>Superficie  en L Caramelo 180x150cm x60</v>
      </c>
      <c r="H14" s="99">
        <v>1</v>
      </c>
      <c r="I14" s="100" t="str">
        <f>IFERROR(VLOOKUP(F14,Productos!$A$2:$D$277,3,0)," ")</f>
        <v>Superficie</v>
      </c>
      <c r="J14" s="97" t="s">
        <v>20</v>
      </c>
      <c r="K14" s="97" t="s">
        <v>749</v>
      </c>
      <c r="L14" s="14" t="str">
        <f t="shared" si="0"/>
        <v>Despachado</v>
      </c>
      <c r="M14" s="99" t="s">
        <v>735</v>
      </c>
      <c r="N14" s="98" t="s">
        <v>754</v>
      </c>
      <c r="O14" s="86">
        <v>46029</v>
      </c>
      <c r="P14" s="86">
        <v>46030</v>
      </c>
      <c r="Q14" s="101" t="str">
        <f t="shared" si="1"/>
        <v>Entregado</v>
      </c>
      <c r="R14" s="99">
        <f>IF(L14="Despachado",NETWORKDAYS.INTL(A14,O14,11,Valores!$A$2:$A$19)-1,"PTE")</f>
        <v>1</v>
      </c>
      <c r="S14" s="99">
        <f>IF(Q14="Entregado",NETWORKDAYS.INTL(A14,P14,11,Valores!$A$2:$A$19)-1,"PTE")</f>
        <v>2</v>
      </c>
      <c r="T14" s="99" t="str">
        <f>IF(Q14="Entregado",IFERROR(IF(I14=VLOOKUP(I14,Valores!$K$1:$K$4,1,0),IF(S14&lt;=VLOOKUP(I14,Valores!$K$1:$L$4,2,0),"Cumple","No cumple")),IF(S14&lt;=VLOOKUP(K14,Valores!E:F,2,0),"Cumple","No cumple")))</f>
        <v>Cumple</v>
      </c>
      <c r="U14" s="99">
        <f>IFERROR(IF(T14="no cumple",S14-VLOOKUP(I14,Valores!$K$1:$L$4,2,0),0),S14-VLOOKUP(K14,Valores!E:F,2,0))</f>
        <v>0</v>
      </c>
      <c r="V14" s="99"/>
      <c r="W14" s="115">
        <v>32487</v>
      </c>
      <c r="X14" s="122"/>
      <c r="Y14" s="115"/>
      <c r="Z14" s="104"/>
    </row>
    <row r="15" spans="1:26" x14ac:dyDescent="0.3">
      <c r="A15" s="116">
        <v>46028</v>
      </c>
      <c r="B15" s="99" t="s">
        <v>95</v>
      </c>
      <c r="C15" s="97">
        <v>100251</v>
      </c>
      <c r="D15" s="14" t="s">
        <v>19</v>
      </c>
      <c r="E15" s="98" t="s">
        <v>752</v>
      </c>
      <c r="F15" s="30" t="s">
        <v>56</v>
      </c>
      <c r="G15" s="100" t="str">
        <f>IFERROR(VLOOKUP(F15,Productos!$A$2:$D$277,2,0)," ")</f>
        <v>Electric Standing Desk  En L Frame Negro 2.0</v>
      </c>
      <c r="H15" s="99">
        <v>1</v>
      </c>
      <c r="I15" s="100" t="str">
        <f>IFERROR(VLOOKUP(F15,Productos!$A$2:$D$277,3,0)," ")</f>
        <v>Standing Desk</v>
      </c>
      <c r="J15" s="97" t="s">
        <v>20</v>
      </c>
      <c r="K15" s="97" t="s">
        <v>749</v>
      </c>
      <c r="L15" s="14" t="str">
        <f t="shared" si="0"/>
        <v>Despachado</v>
      </c>
      <c r="M15" s="99" t="s">
        <v>742</v>
      </c>
      <c r="N15" s="98" t="s">
        <v>755</v>
      </c>
      <c r="O15" s="86">
        <v>46029</v>
      </c>
      <c r="P15" s="86">
        <v>46031</v>
      </c>
      <c r="Q15" s="101" t="str">
        <f t="shared" si="1"/>
        <v>Entregado</v>
      </c>
      <c r="R15" s="99">
        <f>IF(L15="Despachado",NETWORKDAYS.INTL(A15,O15,11,Valores!$A$2:$A$19)-1,"PTE")</f>
        <v>1</v>
      </c>
      <c r="S15" s="99">
        <f>IF(Q15="Entregado",NETWORKDAYS.INTL(A15,P15,11,Valores!$A$2:$A$19)-1,"PTE")</f>
        <v>3</v>
      </c>
      <c r="T15" s="99" t="str">
        <f>IF(Q15="Entregado",IFERROR(IF(I15=VLOOKUP(I15,Valores!$K$1:$K$4,1,0),IF(S15&lt;=VLOOKUP(I15,Valores!$K$1:$L$4,2,0),"Cumple","No cumple")),IF(S15&lt;=VLOOKUP(K15,Valores!E:F,2,0),"Cumple","No cumple")))</f>
        <v>Cumple</v>
      </c>
      <c r="U15" s="99">
        <f>IFERROR(IF(T15="no cumple",S15-VLOOKUP(I15,Valores!$K$1:$L$4,2,0),0),S15-VLOOKUP(K15,Valores!E:F,2,0))</f>
        <v>0</v>
      </c>
      <c r="V15" s="99"/>
      <c r="W15" s="115">
        <v>65353</v>
      </c>
      <c r="X15" s="122"/>
      <c r="Y15" s="115"/>
      <c r="Z15" s="104"/>
    </row>
    <row r="16" spans="1:26" x14ac:dyDescent="0.3">
      <c r="A16" s="116">
        <v>46028</v>
      </c>
      <c r="B16" s="99" t="s">
        <v>95</v>
      </c>
      <c r="C16" s="97">
        <v>100251</v>
      </c>
      <c r="D16" s="14" t="s">
        <v>19</v>
      </c>
      <c r="E16" s="98" t="s">
        <v>752</v>
      </c>
      <c r="F16" s="30"/>
      <c r="G16" s="100" t="s">
        <v>824</v>
      </c>
      <c r="H16" s="99">
        <v>1</v>
      </c>
      <c r="I16" s="100" t="s">
        <v>825</v>
      </c>
      <c r="J16" s="97" t="s">
        <v>20</v>
      </c>
      <c r="K16" s="97" t="s">
        <v>749</v>
      </c>
      <c r="L16" s="14" t="str">
        <f t="shared" si="0"/>
        <v>Despachado</v>
      </c>
      <c r="M16" s="99" t="s">
        <v>753</v>
      </c>
      <c r="N16" s="98" t="s">
        <v>753</v>
      </c>
      <c r="O16" s="86" t="s">
        <v>753</v>
      </c>
      <c r="P16" s="86" t="s">
        <v>753</v>
      </c>
      <c r="Q16" s="101" t="str">
        <f t="shared" si="1"/>
        <v>Entregado</v>
      </c>
      <c r="R16" s="99">
        <v>0</v>
      </c>
      <c r="S16" s="99">
        <v>0</v>
      </c>
      <c r="T16" s="99">
        <v>0</v>
      </c>
      <c r="U16" s="99">
        <f>IFERROR(IF(T16="no cumple",S16-VLOOKUP(I16,Valores!$K$1:$L$4,2,0),0),S16-VLOOKUP(K16,Valores!E:F,2,0))</f>
        <v>0</v>
      </c>
      <c r="V16" s="99"/>
      <c r="W16" s="120">
        <v>0</v>
      </c>
      <c r="X16" s="123"/>
      <c r="Y16" s="120"/>
      <c r="Z16" s="104"/>
    </row>
    <row r="17" spans="1:26" x14ac:dyDescent="0.3">
      <c r="A17" s="116">
        <v>46028</v>
      </c>
      <c r="B17" s="99" t="s">
        <v>95</v>
      </c>
      <c r="C17" s="97">
        <v>100252</v>
      </c>
      <c r="D17" s="14" t="s">
        <v>19</v>
      </c>
      <c r="E17" s="98" t="s">
        <v>756</v>
      </c>
      <c r="F17" s="30" t="s">
        <v>596</v>
      </c>
      <c r="G17" s="100" t="str">
        <f>IFERROR(VLOOKUP(F17,Productos!$A$2:$D$277,2,0)," ")</f>
        <v>Cajonero 2.0 Unicolor Roble Negro x65cm</v>
      </c>
      <c r="H17" s="99">
        <v>1</v>
      </c>
      <c r="I17" s="100" t="str">
        <f>IFERROR(VLOOKUP(F17,Productos!$A$2:$D$277,3,0)," ")</f>
        <v>Archivador</v>
      </c>
      <c r="J17" s="97" t="s">
        <v>757</v>
      </c>
      <c r="K17" s="97" t="s">
        <v>194</v>
      </c>
      <c r="L17" s="14" t="str">
        <f t="shared" si="0"/>
        <v>Despachado</v>
      </c>
      <c r="M17" s="99" t="s">
        <v>758</v>
      </c>
      <c r="N17" s="98" t="s">
        <v>753</v>
      </c>
      <c r="O17" s="86">
        <v>46042</v>
      </c>
      <c r="P17" s="86">
        <v>46042</v>
      </c>
      <c r="Q17" s="101" t="str">
        <f t="shared" si="1"/>
        <v>Entregado</v>
      </c>
      <c r="R17" s="99">
        <f>IF(L17="Despachado",NETWORKDAYS.INTL(A17,O17,11,Valores!$A$2:$A$19)-1,"PTE")</f>
        <v>11</v>
      </c>
      <c r="S17" s="99">
        <f>IF(Q17="Entregado",NETWORKDAYS.INTL(A17,P17,11,Valores!$A$2:$A$19)-1,"PTE")</f>
        <v>11</v>
      </c>
      <c r="T17" s="99" t="str">
        <f>IF(Q17="Entregado",IFERROR(IF(I17=VLOOKUP(I17,Valores!$K$1:$K$4,1,0),IF(S17&lt;=VLOOKUP(I17,Valores!$K$1:$L$4,2,0),"Cumple","No cumple")),IF(S17&lt;=VLOOKUP(K17,Valores!E:F,2,0),"Cumple","No cumple")))</f>
        <v>No cumple</v>
      </c>
      <c r="U17" s="99">
        <f>IFERROR(IF(T17="no cumple",S17-VLOOKUP(I17,Valores!$K$1:$L$4,2,0),0),S17-VLOOKUP(K17,Valores!E:F,2,0))</f>
        <v>6</v>
      </c>
      <c r="V17" s="161" t="s">
        <v>952</v>
      </c>
      <c r="W17" s="119">
        <v>50000</v>
      </c>
      <c r="X17" s="122"/>
      <c r="Y17" s="158" t="s">
        <v>956</v>
      </c>
      <c r="Z17" s="104"/>
    </row>
    <row r="18" spans="1:26" x14ac:dyDescent="0.3">
      <c r="A18" s="116">
        <v>46029</v>
      </c>
      <c r="B18" s="99" t="s">
        <v>95</v>
      </c>
      <c r="C18" s="97">
        <v>100256</v>
      </c>
      <c r="D18" s="14" t="s">
        <v>19</v>
      </c>
      <c r="E18" s="98" t="s">
        <v>759</v>
      </c>
      <c r="F18" s="102" t="s">
        <v>143</v>
      </c>
      <c r="G18" s="100" t="str">
        <f>IFERROR(VLOOKUP(F18,Productos!$A$2:$D$277,2,0)," ")</f>
        <v>Superficie  Caramelo 170x70 Clasico</v>
      </c>
      <c r="H18" s="99">
        <v>1</v>
      </c>
      <c r="I18" s="100" t="str">
        <f>IFERROR(VLOOKUP(F18,Productos!$A$2:$D$277,3,0)," ")</f>
        <v>Superficie</v>
      </c>
      <c r="J18" s="97" t="s">
        <v>20</v>
      </c>
      <c r="K18" s="97" t="s">
        <v>749</v>
      </c>
      <c r="L18" s="14" t="str">
        <f t="shared" si="0"/>
        <v>Despachado</v>
      </c>
      <c r="M18" s="99" t="s">
        <v>735</v>
      </c>
      <c r="N18" s="98" t="s">
        <v>760</v>
      </c>
      <c r="O18" s="86">
        <v>46030</v>
      </c>
      <c r="P18" s="86">
        <v>46031</v>
      </c>
      <c r="Q18" s="101" t="str">
        <f t="shared" si="1"/>
        <v>Entregado</v>
      </c>
      <c r="R18" s="99">
        <f>IF(L18="Despachado",NETWORKDAYS.INTL(A18,O18,11,Valores!$A$2:$A$19)-1,"PTE")</f>
        <v>1</v>
      </c>
      <c r="S18" s="99">
        <f>IF(Q18="Entregado",NETWORKDAYS.INTL(A18,P18,11,Valores!$A$2:$A$19)-1,"PTE")</f>
        <v>2</v>
      </c>
      <c r="T18" s="99" t="str">
        <f>IF(Q18="Entregado",IFERROR(IF(I18=VLOOKUP(I18,Valores!$K$1:$K$4,1,0),IF(S18&lt;=VLOOKUP(I18,Valores!$K$1:$L$4,2,0),"Cumple","No cumple")),IF(S18&lt;=VLOOKUP(K18,Valores!E:F,2,0),"Cumple","No cumple")))</f>
        <v>Cumple</v>
      </c>
      <c r="U18" s="99">
        <f>IFERROR(IF(T18="no cumple",S18-VLOOKUP(I18,Valores!$K$1:$L$4,2,0),0),S18-VLOOKUP(K18,Valores!E:F,2,0))</f>
        <v>0</v>
      </c>
      <c r="V18" s="99"/>
      <c r="W18" s="115">
        <v>34253</v>
      </c>
      <c r="X18" s="122"/>
      <c r="Y18" s="115"/>
      <c r="Z18" s="104"/>
    </row>
    <row r="19" spans="1:26" x14ac:dyDescent="0.3">
      <c r="A19" s="116">
        <v>46029</v>
      </c>
      <c r="B19" s="99" t="s">
        <v>95</v>
      </c>
      <c r="C19" s="97">
        <v>100256</v>
      </c>
      <c r="D19" s="14" t="s">
        <v>19</v>
      </c>
      <c r="E19" s="98" t="s">
        <v>759</v>
      </c>
      <c r="F19" s="102" t="s">
        <v>128</v>
      </c>
      <c r="G19" s="100" t="str">
        <f>IFERROR(VLOOKUP(F19,Productos!$A$2:$D$277,2,0)," ")</f>
        <v>Electric Standing Desk  PRO Negro</v>
      </c>
      <c r="H19" s="99">
        <v>1</v>
      </c>
      <c r="I19" s="100" t="str">
        <f>IFERROR(VLOOKUP(F19,Productos!$A$2:$D$277,3,0)," ")</f>
        <v>Standing Desk</v>
      </c>
      <c r="J19" s="97" t="s">
        <v>20</v>
      </c>
      <c r="K19" s="97" t="s">
        <v>749</v>
      </c>
      <c r="L19" s="14" t="str">
        <f t="shared" si="0"/>
        <v>Despachado</v>
      </c>
      <c r="M19" s="99" t="s">
        <v>742</v>
      </c>
      <c r="N19" s="98" t="s">
        <v>761</v>
      </c>
      <c r="O19" s="86">
        <v>46030</v>
      </c>
      <c r="P19" s="86">
        <v>46032</v>
      </c>
      <c r="Q19" s="101" t="str">
        <f t="shared" si="1"/>
        <v>Entregado</v>
      </c>
      <c r="R19" s="99">
        <f>IF(L19="Despachado",NETWORKDAYS.INTL(A19,O19,11,Valores!$A$2:$A$19)-1,"PTE")</f>
        <v>1</v>
      </c>
      <c r="S19" s="99">
        <f>IF(Q19="Entregado",NETWORKDAYS.INTL(A19,P19,11,Valores!$A$2:$A$19)-1,"PTE")</f>
        <v>3</v>
      </c>
      <c r="T19" s="99" t="str">
        <f>IF(Q19="Entregado",IFERROR(IF(I19=VLOOKUP(I19,Valores!$K$1:$K$4,1,0),IF(S19&lt;=VLOOKUP(I19,Valores!$K$1:$L$4,2,0),"Cumple","No cumple")),IF(S19&lt;=VLOOKUP(K19,Valores!E:F,2,0),"Cumple","No cumple")))</f>
        <v>Cumple</v>
      </c>
      <c r="U19" s="99">
        <f>IFERROR(IF(T19="no cumple",S19-VLOOKUP(I19,Valores!$K$1:$L$4,2,0),0),S19-VLOOKUP(K19,Valores!E:F,2,0))</f>
        <v>0</v>
      </c>
      <c r="V19" s="99"/>
      <c r="W19" s="115">
        <v>44550</v>
      </c>
      <c r="X19" s="122"/>
      <c r="Y19" s="115"/>
      <c r="Z19" s="104"/>
    </row>
    <row r="20" spans="1:26" x14ac:dyDescent="0.3">
      <c r="A20" s="116">
        <v>46029</v>
      </c>
      <c r="B20" s="99" t="s">
        <v>95</v>
      </c>
      <c r="C20" s="97">
        <v>100256</v>
      </c>
      <c r="D20" s="14" t="s">
        <v>19</v>
      </c>
      <c r="E20" s="98" t="s">
        <v>759</v>
      </c>
      <c r="F20" s="102"/>
      <c r="G20" s="100" t="s">
        <v>826</v>
      </c>
      <c r="H20" s="99">
        <v>1</v>
      </c>
      <c r="I20" s="100" t="s">
        <v>825</v>
      </c>
      <c r="J20" s="97" t="s">
        <v>20</v>
      </c>
      <c r="K20" s="97" t="s">
        <v>749</v>
      </c>
      <c r="L20" s="14" t="str">
        <f t="shared" si="0"/>
        <v>Despachado</v>
      </c>
      <c r="M20" s="99" t="s">
        <v>753</v>
      </c>
      <c r="N20" s="98" t="s">
        <v>753</v>
      </c>
      <c r="O20" s="86" t="s">
        <v>753</v>
      </c>
      <c r="P20" s="86" t="s">
        <v>753</v>
      </c>
      <c r="Q20" s="101" t="str">
        <f t="shared" si="1"/>
        <v>Entregado</v>
      </c>
      <c r="R20" s="99">
        <v>0</v>
      </c>
      <c r="S20" s="99">
        <v>0</v>
      </c>
      <c r="T20" s="99">
        <v>0</v>
      </c>
      <c r="U20" s="99">
        <f>IFERROR(IF(T20="no cumple",S20-VLOOKUP(I20,Valores!$K$1:$L$4,2,0),0),S20-VLOOKUP(K20,Valores!E:F,2,0))</f>
        <v>0</v>
      </c>
      <c r="V20" s="99"/>
      <c r="W20" s="120">
        <v>0</v>
      </c>
      <c r="X20" s="123"/>
      <c r="Y20" s="120"/>
      <c r="Z20" s="104"/>
    </row>
    <row r="21" spans="1:26" x14ac:dyDescent="0.3">
      <c r="A21" s="116">
        <v>46029</v>
      </c>
      <c r="B21" s="99" t="s">
        <v>95</v>
      </c>
      <c r="C21" s="97">
        <v>100258</v>
      </c>
      <c r="D21" s="14" t="s">
        <v>19</v>
      </c>
      <c r="E21" s="98" t="s">
        <v>762</v>
      </c>
      <c r="F21" s="102" t="s">
        <v>716</v>
      </c>
      <c r="G21" s="100" t="str">
        <f>IFERROR(VLOOKUP(F21,Productos!$A$2:$D$277,2,0)," ")</f>
        <v>Superficie Escritorio Fresno Europeo en L 150x70</v>
      </c>
      <c r="H21" s="99">
        <v>1</v>
      </c>
      <c r="I21" s="100" t="str">
        <f>IFERROR(VLOOKUP(F21,Productos!$A$2:$D$277,3,0)," ")</f>
        <v>Superficie</v>
      </c>
      <c r="J21" s="97" t="s">
        <v>763</v>
      </c>
      <c r="K21" s="97" t="s">
        <v>764</v>
      </c>
      <c r="L21" s="14" t="str">
        <f t="shared" si="0"/>
        <v>Despachado</v>
      </c>
      <c r="M21" s="99" t="s">
        <v>735</v>
      </c>
      <c r="N21" s="98" t="s">
        <v>769</v>
      </c>
      <c r="O21" s="86">
        <v>46030</v>
      </c>
      <c r="P21" s="86">
        <v>46031</v>
      </c>
      <c r="Q21" s="101" t="str">
        <f t="shared" si="1"/>
        <v>Entregado</v>
      </c>
      <c r="R21" s="99">
        <f>IF(L21="Despachado",NETWORKDAYS.INTL(A21,O21,11,Valores!$A$2:$A$19)-1,"PTE")</f>
        <v>1</v>
      </c>
      <c r="S21" s="99">
        <f>IF(Q21="Entregado",NETWORKDAYS.INTL(A21,P21,11,Valores!$A$2:$A$19)-1,"PTE")</f>
        <v>2</v>
      </c>
      <c r="T21" s="99" t="str">
        <f>IF(Q21="Entregado",IFERROR(IF(I21=VLOOKUP(I21,Valores!$K$1:$K$4,1,0),IF(S21&lt;=VLOOKUP(I21,Valores!$K$1:$L$4,2,0),"Cumple","No cumple")),IF(S21&lt;=VLOOKUP(K21,Valores!E:F,2,0),"Cumple","No cumple")))</f>
        <v>Cumple</v>
      </c>
      <c r="U21" s="99">
        <f>IFERROR(IF(T21="no cumple",S21-VLOOKUP(I21,Valores!$K$1:$L$4,2,0),0),S21-VLOOKUP(K21,Valores!E:F,2,0))</f>
        <v>0</v>
      </c>
      <c r="V21" s="99"/>
      <c r="W21" s="120">
        <v>40366</v>
      </c>
      <c r="X21" s="123"/>
      <c r="Y21" s="120"/>
      <c r="Z21" s="104"/>
    </row>
    <row r="22" spans="1:26" x14ac:dyDescent="0.3">
      <c r="A22" s="116">
        <v>46029</v>
      </c>
      <c r="B22" s="99" t="s">
        <v>95</v>
      </c>
      <c r="C22" s="97">
        <v>100258</v>
      </c>
      <c r="D22" s="14" t="s">
        <v>19</v>
      </c>
      <c r="E22" s="98" t="s">
        <v>762</v>
      </c>
      <c r="F22" s="102" t="s">
        <v>56</v>
      </c>
      <c r="G22" s="100" t="str">
        <f>IFERROR(VLOOKUP(F22,Productos!$A$2:$D$277,2,0)," ")</f>
        <v>Electric Standing Desk  En L Frame Negro 2.0</v>
      </c>
      <c r="H22" s="99">
        <v>1</v>
      </c>
      <c r="I22" s="100" t="str">
        <f>IFERROR(VLOOKUP(F22,Productos!$A$2:$D$277,3,0)," ")</f>
        <v>Standing Desk</v>
      </c>
      <c r="J22" s="97" t="s">
        <v>763</v>
      </c>
      <c r="K22" s="97" t="s">
        <v>764</v>
      </c>
      <c r="L22" s="14" t="str">
        <f t="shared" si="0"/>
        <v>Despachado</v>
      </c>
      <c r="M22" s="99" t="s">
        <v>742</v>
      </c>
      <c r="N22" s="98" t="s">
        <v>765</v>
      </c>
      <c r="O22" s="86">
        <v>46030</v>
      </c>
      <c r="P22" s="86">
        <v>46031</v>
      </c>
      <c r="Q22" s="101" t="str">
        <f t="shared" si="1"/>
        <v>Entregado</v>
      </c>
      <c r="R22" s="99">
        <f>IF(L22="Despachado",NETWORKDAYS.INTL(A22,O22,11,Valores!$A$2:$A$19)-1,"PTE")</f>
        <v>1</v>
      </c>
      <c r="S22" s="99">
        <f>IF(Q22="Entregado",NETWORKDAYS.INTL(A22,P22,11,Valores!$A$2:$A$19)-1,"PTE")</f>
        <v>2</v>
      </c>
      <c r="T22" s="99" t="str">
        <f>IF(Q22="Entregado",IFERROR(IF(I22=VLOOKUP(I22,Valores!$K$1:$K$4,1,0),IF(S22&lt;=VLOOKUP(I22,Valores!$K$1:$L$4,2,0),"Cumple","No cumple")),IF(S22&lt;=VLOOKUP(K22,Valores!E:F,2,0),"Cumple","No cumple")))</f>
        <v>Cumple</v>
      </c>
      <c r="U22" s="99">
        <f>IFERROR(IF(T22="no cumple",S22-VLOOKUP(I22,Valores!$K$1:$L$4,2,0),0),S22-VLOOKUP(K22,Valores!E:F,2,0))</f>
        <v>0</v>
      </c>
      <c r="V22" s="99"/>
      <c r="W22" s="115">
        <v>65353</v>
      </c>
      <c r="X22" s="122"/>
      <c r="Y22" s="115"/>
      <c r="Z22" s="104"/>
    </row>
    <row r="23" spans="1:26" x14ac:dyDescent="0.3">
      <c r="A23" s="116">
        <v>46029</v>
      </c>
      <c r="B23" s="99" t="s">
        <v>95</v>
      </c>
      <c r="C23" s="97">
        <v>100258</v>
      </c>
      <c r="D23" s="14" t="s">
        <v>19</v>
      </c>
      <c r="E23" s="98" t="s">
        <v>762</v>
      </c>
      <c r="F23" s="102" t="s">
        <v>634</v>
      </c>
      <c r="G23" s="100" t="str">
        <f>IFERROR(VLOOKUP(F23,Productos!$A$2:$D$277,2,0)," ")</f>
        <v>Repisa Escritorio Fresno Europeo x 47cm</v>
      </c>
      <c r="H23" s="99">
        <v>2</v>
      </c>
      <c r="I23" s="100" t="str">
        <f>IFERROR(VLOOKUP(F23,Productos!$A$2:$D$277,3,0)," ")</f>
        <v>Repisa</v>
      </c>
      <c r="J23" s="97" t="s">
        <v>763</v>
      </c>
      <c r="K23" s="97" t="s">
        <v>764</v>
      </c>
      <c r="L23" s="14" t="str">
        <f t="shared" si="0"/>
        <v>Despachado</v>
      </c>
      <c r="M23" s="99" t="s">
        <v>742</v>
      </c>
      <c r="N23" s="98" t="s">
        <v>769</v>
      </c>
      <c r="O23" s="86">
        <v>46030</v>
      </c>
      <c r="P23" s="86">
        <v>46031</v>
      </c>
      <c r="Q23" s="101" t="str">
        <f t="shared" si="1"/>
        <v>Entregado</v>
      </c>
      <c r="R23" s="99">
        <f>IF(L23="Despachado",NETWORKDAYS.INTL(A23,O23,11,Valores!$A$2:$A$19)-1,"PTE")</f>
        <v>1</v>
      </c>
      <c r="S23" s="99">
        <f>IF(Q23="Entregado",NETWORKDAYS.INTL(A23,P23,11,Valores!$A$2:$A$19)-1,"PTE")</f>
        <v>2</v>
      </c>
      <c r="T23" s="99" t="str">
        <f>IF(Q23="Entregado",IFERROR(IF(I23=VLOOKUP(I23,Valores!$K$1:$K$4,1,0),IF(S23&lt;=VLOOKUP(I23,Valores!$K$1:$L$4,2,0),"Cumple","No cumple")),IF(S23&lt;=VLOOKUP(K23,Valores!E:F,2,0),"Cumple","No cumple")))</f>
        <v>Cumple</v>
      </c>
      <c r="U23" s="99">
        <f>IFERROR(IF(T23="no cumple",S23-VLOOKUP(I23,Valores!$K$1:$L$4,2,0),0),S23-VLOOKUP(K23,Valores!E:F,2,0))</f>
        <v>0</v>
      </c>
      <c r="V23" s="99"/>
      <c r="W23" s="115">
        <v>0</v>
      </c>
      <c r="X23" s="122"/>
      <c r="Y23" s="115"/>
      <c r="Z23" s="104"/>
    </row>
    <row r="24" spans="1:26" x14ac:dyDescent="0.3">
      <c r="A24" s="116">
        <v>46029</v>
      </c>
      <c r="B24" s="99" t="s">
        <v>95</v>
      </c>
      <c r="C24" s="97">
        <v>100258</v>
      </c>
      <c r="D24" s="14" t="s">
        <v>19</v>
      </c>
      <c r="E24" s="98" t="s">
        <v>762</v>
      </c>
      <c r="F24" s="102" t="s">
        <v>85</v>
      </c>
      <c r="G24" s="100" t="str">
        <f>IFERROR(VLOOKUP(F24,Productos!$A$2:$D$277,2,0)," ")</f>
        <v>Laptop Stand B</v>
      </c>
      <c r="H24" s="99">
        <v>2</v>
      </c>
      <c r="I24" s="100" t="str">
        <f>IFERROR(VLOOKUP(F24,Productos!$A$2:$D$277,3,0)," ")</f>
        <v>Accesorio</v>
      </c>
      <c r="J24" s="97" t="s">
        <v>763</v>
      </c>
      <c r="K24" s="97" t="s">
        <v>764</v>
      </c>
      <c r="L24" s="14" t="str">
        <f t="shared" si="0"/>
        <v>Despachado</v>
      </c>
      <c r="M24" s="99" t="s">
        <v>742</v>
      </c>
      <c r="N24" s="98" t="s">
        <v>766</v>
      </c>
      <c r="O24" s="86">
        <v>46030</v>
      </c>
      <c r="P24" s="86">
        <v>46031</v>
      </c>
      <c r="Q24" s="101" t="str">
        <f t="shared" si="1"/>
        <v>Entregado</v>
      </c>
      <c r="R24" s="99">
        <f>IF(L24="Despachado",NETWORKDAYS.INTL(A24,O24,11,Valores!$A$2:$A$19)-1,"PTE")</f>
        <v>1</v>
      </c>
      <c r="S24" s="99">
        <f>IF(Q24="Entregado",NETWORKDAYS.INTL(A24,P24,11,Valores!$A$2:$A$19)-1,"PTE")</f>
        <v>2</v>
      </c>
      <c r="T24" s="99" t="str">
        <f>IF(Q24="Entregado",IFERROR(IF(I24=VLOOKUP(I24,Valores!$K$1:$K$4,1,0),IF(S24&lt;=VLOOKUP(I24,Valores!$K$1:$L$4,2,0),"Cumple","No cumple")),IF(S24&lt;=VLOOKUP(K24,Valores!E:F,2,0),"Cumple","No cumple")))</f>
        <v>Cumple</v>
      </c>
      <c r="U24" s="99">
        <f>IFERROR(IF(T24="no cumple",S24-VLOOKUP(I24,Valores!$K$1:$L$4,2,0),0),S24-VLOOKUP(K24,Valores!E:F,2,0))</f>
        <v>0</v>
      </c>
      <c r="V24" s="99"/>
      <c r="W24" s="115">
        <v>0</v>
      </c>
      <c r="X24" s="122"/>
      <c r="Y24" s="115"/>
      <c r="Z24" s="104"/>
    </row>
    <row r="25" spans="1:26" x14ac:dyDescent="0.3">
      <c r="A25" s="116">
        <v>46029</v>
      </c>
      <c r="B25" s="99" t="s">
        <v>95</v>
      </c>
      <c r="C25" s="97">
        <v>100258</v>
      </c>
      <c r="D25" s="14" t="s">
        <v>19</v>
      </c>
      <c r="E25" s="98" t="s">
        <v>762</v>
      </c>
      <c r="F25" s="102" t="s">
        <v>82</v>
      </c>
      <c r="G25" s="100" t="str">
        <f>IFERROR(VLOOKUP(F25,Productos!$A$2:$D$277,2,0)," ")</f>
        <v>Desk Pad B Negro Azul</v>
      </c>
      <c r="H25" s="99">
        <v>2</v>
      </c>
      <c r="I25" s="100" t="str">
        <f>IFERROR(VLOOKUP(F25,Productos!$A$2:$D$277,3,0)," ")</f>
        <v>Accesorio</v>
      </c>
      <c r="J25" s="97" t="s">
        <v>763</v>
      </c>
      <c r="K25" s="97" t="s">
        <v>764</v>
      </c>
      <c r="L25" s="14" t="str">
        <f t="shared" si="0"/>
        <v>Despachado</v>
      </c>
      <c r="M25" s="99" t="s">
        <v>742</v>
      </c>
      <c r="N25" s="98" t="s">
        <v>766</v>
      </c>
      <c r="O25" s="86">
        <v>46030</v>
      </c>
      <c r="P25" s="86">
        <v>46031</v>
      </c>
      <c r="Q25" s="101" t="str">
        <f t="shared" si="1"/>
        <v>Entregado</v>
      </c>
      <c r="R25" s="99">
        <f>IF(L25="Despachado",NETWORKDAYS.INTL(A25,O25,11,Valores!$A$2:$A$19)-1,"PTE")</f>
        <v>1</v>
      </c>
      <c r="S25" s="99">
        <f>IF(Q25="Entregado",NETWORKDAYS.INTL(A25,P25,11,Valores!$A$2:$A$19)-1,"PTE")</f>
        <v>2</v>
      </c>
      <c r="T25" s="99" t="str">
        <f>IF(Q25="Entregado",IFERROR(IF(I25=VLOOKUP(I25,Valores!$K$1:$K$4,1,0),IF(S25&lt;=VLOOKUP(I25,Valores!$K$1:$L$4,2,0),"Cumple","No cumple")),IF(S25&lt;=VLOOKUP(K25,Valores!E:F,2,0),"Cumple","No cumple")))</f>
        <v>Cumple</v>
      </c>
      <c r="U25" s="99">
        <f>IFERROR(IF(T25="no cumple",S25-VLOOKUP(I25,Valores!$K$1:$L$4,2,0),0),S25-VLOOKUP(K25,Valores!E:F,2,0))</f>
        <v>0</v>
      </c>
      <c r="V25" s="99"/>
      <c r="W25" s="115">
        <v>17787</v>
      </c>
      <c r="X25" s="122"/>
      <c r="Y25" s="115"/>
      <c r="Z25" s="104"/>
    </row>
    <row r="26" spans="1:26" x14ac:dyDescent="0.3">
      <c r="A26" s="116">
        <v>46029</v>
      </c>
      <c r="B26" s="99" t="s">
        <v>95</v>
      </c>
      <c r="C26" s="97">
        <v>100258</v>
      </c>
      <c r="D26" s="14" t="s">
        <v>19</v>
      </c>
      <c r="E26" s="98" t="s">
        <v>762</v>
      </c>
      <c r="F26" s="102" t="s">
        <v>235</v>
      </c>
      <c r="G26" s="100" t="str">
        <f>IFERROR(VLOOKUP(F26,Productos!$A$2:$D$277,2,0)," ")</f>
        <v>Bandeja de cables</v>
      </c>
      <c r="H26" s="99">
        <v>1</v>
      </c>
      <c r="I26" s="100" t="str">
        <f>IFERROR(VLOOKUP(F26,Productos!$A$2:$D$277,3,0)," ")</f>
        <v>Accesorio</v>
      </c>
      <c r="J26" s="97" t="s">
        <v>763</v>
      </c>
      <c r="K26" s="97" t="s">
        <v>764</v>
      </c>
      <c r="L26" s="14" t="str">
        <f t="shared" si="0"/>
        <v>Despachado</v>
      </c>
      <c r="M26" s="99" t="s">
        <v>742</v>
      </c>
      <c r="N26" s="98" t="s">
        <v>767</v>
      </c>
      <c r="O26" s="86">
        <v>46030</v>
      </c>
      <c r="P26" s="86">
        <v>46031</v>
      </c>
      <c r="Q26" s="101" t="str">
        <f t="shared" si="1"/>
        <v>Entregado</v>
      </c>
      <c r="R26" s="99">
        <f>IF(L26="Despachado",NETWORKDAYS.INTL(A26,O26,11,Valores!$A$2:$A$19)-1,"PTE")</f>
        <v>1</v>
      </c>
      <c r="S26" s="99">
        <f>IF(Q26="Entregado",NETWORKDAYS.INTL(A26,P26,11,Valores!$A$2:$A$19)-1,"PTE")</f>
        <v>2</v>
      </c>
      <c r="T26" s="99" t="str">
        <f>IF(Q26="Entregado",IFERROR(IF(I26=VLOOKUP(I26,Valores!$K$1:$K$4,1,0),IF(S26&lt;=VLOOKUP(I26,Valores!$K$1:$L$4,2,0),"Cumple","No cumple")),IF(S26&lt;=VLOOKUP(K26,Valores!E:F,2,0),"Cumple","No cumple")))</f>
        <v>Cumple</v>
      </c>
      <c r="U26" s="99">
        <f>IFERROR(IF(T26="no cumple",S26-VLOOKUP(I26,Valores!$K$1:$L$4,2,0),0),S26-VLOOKUP(K26,Valores!E:F,2,0))</f>
        <v>0</v>
      </c>
      <c r="V26" s="99"/>
      <c r="W26" s="115">
        <v>26681</v>
      </c>
      <c r="X26" s="122"/>
      <c r="Y26" s="115"/>
      <c r="Z26" s="104"/>
    </row>
    <row r="27" spans="1:26" ht="13.2" customHeight="1" x14ac:dyDescent="0.3">
      <c r="A27" s="116">
        <v>46029</v>
      </c>
      <c r="B27" s="99" t="s">
        <v>95</v>
      </c>
      <c r="C27" s="97">
        <v>100258</v>
      </c>
      <c r="D27" s="14" t="s">
        <v>19</v>
      </c>
      <c r="E27" s="98" t="s">
        <v>762</v>
      </c>
      <c r="F27" s="30" t="s">
        <v>88</v>
      </c>
      <c r="G27" s="100" t="str">
        <f>IFERROR(VLOOKUP(F27,Productos!$A$2:$D$277,2,0)," ")</f>
        <v>Desk Stool Gris Silla ajustable</v>
      </c>
      <c r="H27" s="99">
        <v>1</v>
      </c>
      <c r="I27" s="100" t="str">
        <f>IFERROR(VLOOKUP(F27,Productos!$A$2:$D$277,3,0)," ")</f>
        <v>Silla</v>
      </c>
      <c r="J27" s="97" t="s">
        <v>763</v>
      </c>
      <c r="K27" s="97" t="s">
        <v>764</v>
      </c>
      <c r="L27" s="14" t="str">
        <f t="shared" si="0"/>
        <v>Despachado</v>
      </c>
      <c r="M27" s="99" t="s">
        <v>742</v>
      </c>
      <c r="N27" s="98" t="s">
        <v>768</v>
      </c>
      <c r="O27" s="86">
        <v>46030</v>
      </c>
      <c r="P27" s="86">
        <v>46031</v>
      </c>
      <c r="Q27" s="101" t="str">
        <f t="shared" si="1"/>
        <v>Entregado</v>
      </c>
      <c r="R27" s="99">
        <f>IF(L27="Despachado",NETWORKDAYS.INTL(A27,O27,11,Valores!$A$2:$A$19)-1,"PTE")</f>
        <v>1</v>
      </c>
      <c r="S27" s="99">
        <f>IF(Q27="Entregado",NETWORKDAYS.INTL(A27,P27,11,Valores!$A$2:$A$19)-1,"PTE")</f>
        <v>2</v>
      </c>
      <c r="T27" s="99" t="str">
        <f>IF(Q27="Entregado",IFERROR(IF(I27=VLOOKUP(I27,Valores!$K$1:$K$4,1,0),IF(S27&lt;=VLOOKUP(I27,Valores!$K$1:$L$4,2,0),"Cumple","No cumple")),IF(S27&lt;=VLOOKUP(K27,Valores!E:F,2,0),"Cumple","No cumple")))</f>
        <v>Cumple</v>
      </c>
      <c r="U27" s="99">
        <f>IFERROR(IF(T27="no cumple",S27-VLOOKUP(I27,Valores!$K$1:$L$4,2,0),0),S27-VLOOKUP(K27,Valores!E:F,2,0))</f>
        <v>0</v>
      </c>
      <c r="V27" s="99"/>
      <c r="W27" s="115">
        <v>27803</v>
      </c>
      <c r="X27" s="122"/>
      <c r="Y27" s="115"/>
      <c r="Z27" s="104"/>
    </row>
    <row r="28" spans="1:26" x14ac:dyDescent="0.3">
      <c r="A28" s="116">
        <v>46030</v>
      </c>
      <c r="B28" s="99" t="s">
        <v>95</v>
      </c>
      <c r="C28" s="97">
        <v>100260</v>
      </c>
      <c r="D28" s="14" t="s">
        <v>19</v>
      </c>
      <c r="E28" s="98" t="s">
        <v>770</v>
      </c>
      <c r="F28" s="102" t="s">
        <v>441</v>
      </c>
      <c r="G28" s="100" t="str">
        <f>IFERROR(VLOOKUP(F28,Productos!$A$2:$D$277,2,0)," ")</f>
        <v>Superficie Escritorio Fresno Europeo 120x60 Clasico Small</v>
      </c>
      <c r="H28" s="99">
        <v>1</v>
      </c>
      <c r="I28" s="100" t="str">
        <f>IFERROR(VLOOKUP(F28,Productos!$A$2:$D$277,3,0)," ")</f>
        <v>Superficie</v>
      </c>
      <c r="J28" s="97" t="s">
        <v>771</v>
      </c>
      <c r="K28" s="97" t="s">
        <v>772</v>
      </c>
      <c r="L28" s="14" t="str">
        <f t="shared" si="0"/>
        <v>Despachado</v>
      </c>
      <c r="M28" s="99" t="s">
        <v>742</v>
      </c>
      <c r="N28" s="98" t="s">
        <v>773</v>
      </c>
      <c r="O28" s="86">
        <v>46030</v>
      </c>
      <c r="P28" s="86">
        <v>46032</v>
      </c>
      <c r="Q28" s="101" t="str">
        <f t="shared" si="1"/>
        <v>Entregado</v>
      </c>
      <c r="R28" s="99">
        <f>IF(L28="Despachado",NETWORKDAYS.INTL(A28,O28,11,Valores!$A$2:$A$19)-1,"PTE")</f>
        <v>0</v>
      </c>
      <c r="S28" s="99">
        <f>IF(Q28="Entregado",NETWORKDAYS.INTL(A28,P28,11,Valores!$A$2:$A$19)-1,"PTE")</f>
        <v>2</v>
      </c>
      <c r="T28" s="99" t="str">
        <f>IF(Q28="Entregado",IFERROR(IF(I28=VLOOKUP(I28,Valores!$K$1:$K$4,1,0),IF(S28&lt;=VLOOKUP(I28,Valores!$K$1:$L$4,2,0),"Cumple","No cumple")),IF(S28&lt;=VLOOKUP(K28,Valores!E:F,2,0),"Cumple","No cumple")))</f>
        <v>Cumple</v>
      </c>
      <c r="U28" s="99">
        <f>IFERROR(IF(T28="no cumple",S28-VLOOKUP(I28,Valores!$K$1:$L$4,2,0),0),S28-VLOOKUP(K28,Valores!E:F,2,0))</f>
        <v>0</v>
      </c>
      <c r="V28" s="99"/>
      <c r="W28" s="120">
        <v>29698</v>
      </c>
      <c r="X28" s="123"/>
      <c r="Y28" s="120"/>
      <c r="Z28" s="104"/>
    </row>
    <row r="29" spans="1:26" x14ac:dyDescent="0.3">
      <c r="A29" s="116">
        <v>46030</v>
      </c>
      <c r="B29" s="99" t="s">
        <v>95</v>
      </c>
      <c r="C29" s="97">
        <v>100260</v>
      </c>
      <c r="D29" s="14" t="s">
        <v>19</v>
      </c>
      <c r="E29" s="98" t="s">
        <v>770</v>
      </c>
      <c r="F29" s="102" t="s">
        <v>132</v>
      </c>
      <c r="G29" s="100" t="str">
        <f>IFERROR(VLOOKUP(F29,Productos!$A$2:$D$277,2,0)," ")</f>
        <v>Electric Standing Desk  PRO Blanco</v>
      </c>
      <c r="H29" s="99">
        <v>1</v>
      </c>
      <c r="I29" s="100" t="str">
        <f>IFERROR(VLOOKUP(F29,Productos!$A$2:$D$277,3,0)," ")</f>
        <v>Standing Desk</v>
      </c>
      <c r="J29" s="97" t="s">
        <v>771</v>
      </c>
      <c r="K29" s="97" t="s">
        <v>772</v>
      </c>
      <c r="L29" s="14" t="str">
        <f t="shared" si="0"/>
        <v>Despachado</v>
      </c>
      <c r="M29" s="99" t="s">
        <v>742</v>
      </c>
      <c r="N29" s="98" t="s">
        <v>774</v>
      </c>
      <c r="O29" s="86">
        <v>46030</v>
      </c>
      <c r="P29" s="86">
        <v>46032</v>
      </c>
      <c r="Q29" s="101" t="str">
        <f t="shared" si="1"/>
        <v>Entregado</v>
      </c>
      <c r="R29" s="99">
        <f>IF(L29="Despachado",NETWORKDAYS.INTL(A29,O29,11,Valores!$A$2:$A$19)-1,"PTE")</f>
        <v>0</v>
      </c>
      <c r="S29" s="99">
        <f>IF(Q29="Entregado",NETWORKDAYS.INTL(A29,P29,11,Valores!$A$2:$A$19)-1,"PTE")</f>
        <v>2</v>
      </c>
      <c r="T29" s="99" t="str">
        <f>IF(Q29="Entregado",IFERROR(IF(I29=VLOOKUP(I29,Valores!$K$1:$K$4,1,0),IF(S29&lt;=VLOOKUP(I29,Valores!$K$1:$L$4,2,0),"Cumple","No cumple")),IF(S29&lt;=VLOOKUP(K29,Valores!E:F,2,0),"Cumple","No cumple")))</f>
        <v>Cumple</v>
      </c>
      <c r="U29" s="99">
        <f>IFERROR(IF(T29="no cumple",S29-VLOOKUP(I29,Valores!$K$1:$L$4,2,0),0),S29-VLOOKUP(K29,Valores!E:F,2,0))</f>
        <v>0</v>
      </c>
      <c r="V29" s="99"/>
      <c r="W29" s="115">
        <v>47674</v>
      </c>
      <c r="X29" s="122"/>
      <c r="Y29" s="115"/>
      <c r="Z29" s="104"/>
    </row>
    <row r="30" spans="1:26" x14ac:dyDescent="0.3">
      <c r="A30" s="116">
        <v>46037</v>
      </c>
      <c r="B30" s="99" t="s">
        <v>95</v>
      </c>
      <c r="C30" s="97">
        <v>100260</v>
      </c>
      <c r="D30" s="14" t="s">
        <v>400</v>
      </c>
      <c r="E30" s="98" t="s">
        <v>770</v>
      </c>
      <c r="F30" s="102" t="s">
        <v>441</v>
      </c>
      <c r="G30" s="100" t="str">
        <f>IFERROR(VLOOKUP(F30,Productos!$A$2:$D$277,2,0)," ")</f>
        <v>Superficie Escritorio Fresno Europeo 120x60 Clasico Small</v>
      </c>
      <c r="H30" s="99">
        <v>1</v>
      </c>
      <c r="I30" s="100" t="str">
        <f>IFERROR(VLOOKUP(F30,Productos!$A$2:$D$277,3,0)," ")</f>
        <v>Superficie</v>
      </c>
      <c r="J30" s="97" t="s">
        <v>771</v>
      </c>
      <c r="K30" s="97" t="s">
        <v>772</v>
      </c>
      <c r="L30" s="14" t="str">
        <f t="shared" ref="L30" si="2">IF(O30&gt;0,"Despachado","En alistamiento")</f>
        <v>Despachado</v>
      </c>
      <c r="M30" s="99" t="s">
        <v>742</v>
      </c>
      <c r="N30" s="98" t="s">
        <v>808</v>
      </c>
      <c r="O30" s="86">
        <v>46038</v>
      </c>
      <c r="P30" s="86">
        <v>46039</v>
      </c>
      <c r="Q30" s="101" t="str">
        <f t="shared" ref="Q30" si="3">IF(P30&gt;0,"Entregado","En transito")</f>
        <v>Entregado</v>
      </c>
      <c r="R30" s="99">
        <f>IF(L30="Despachado",NETWORKDAYS.INTL(A30,O30,11,Valores!$A$2:$A$19)-1,"PTE")</f>
        <v>1</v>
      </c>
      <c r="S30" s="99">
        <f>IF(Q30="Entregado",NETWORKDAYS.INTL(A30,P30,11,Valores!$A$2:$A$19)-1,"PTE")</f>
        <v>2</v>
      </c>
      <c r="T30" s="99" t="str">
        <f>IF(Q30="Entregado",IFERROR(IF(I30=VLOOKUP(I30,Valores!$K$1:$K$4,1,0),IF(S30&lt;=VLOOKUP(I30,Valores!$K$1:$L$4,2,0),"Cumple","No cumple")),IF(S30&lt;=VLOOKUP(K30,Valores!E:F,2,0),"Cumple","No cumple")))</f>
        <v>Cumple</v>
      </c>
      <c r="U30" s="99">
        <f>IFERROR(IF(T30="no cumple",S30-VLOOKUP(I30,Valores!$K$1:$L$4,2,0),0),S30-VLOOKUP(K30,Valores!E:F,2,0))</f>
        <v>0</v>
      </c>
      <c r="V30" s="161" t="s">
        <v>952</v>
      </c>
      <c r="W30" s="120">
        <v>33316</v>
      </c>
      <c r="X30" s="123"/>
      <c r="Y30" s="155"/>
      <c r="Z30" s="104" t="s">
        <v>809</v>
      </c>
    </row>
    <row r="31" spans="1:26" ht="13.95" customHeight="1" x14ac:dyDescent="0.3">
      <c r="A31" s="116">
        <v>46030</v>
      </c>
      <c r="B31" s="99" t="s">
        <v>95</v>
      </c>
      <c r="C31" s="97">
        <v>100261</v>
      </c>
      <c r="D31" s="14" t="s">
        <v>19</v>
      </c>
      <c r="E31" s="98" t="s">
        <v>775</v>
      </c>
      <c r="F31" s="30" t="s">
        <v>552</v>
      </c>
      <c r="G31" s="100" t="str">
        <f>IFERROR(VLOOKUP(F31,Productos!$A$2:$D$277,2,0)," ")</f>
        <v>Cajonero 2.0 Bicolor Caramelo x73cm</v>
      </c>
      <c r="H31" s="99">
        <v>1</v>
      </c>
      <c r="I31" s="100" t="str">
        <f>IFERROR(VLOOKUP(F31,Productos!$A$2:$D$277,3,0)," ")</f>
        <v>Archivador</v>
      </c>
      <c r="J31" s="97" t="s">
        <v>20</v>
      </c>
      <c r="K31" s="97" t="s">
        <v>749</v>
      </c>
      <c r="L31" s="14" t="str">
        <f t="shared" si="0"/>
        <v>Despachado</v>
      </c>
      <c r="M31" s="99" t="s">
        <v>735</v>
      </c>
      <c r="N31" s="98" t="s">
        <v>776</v>
      </c>
      <c r="O31" s="86">
        <v>46044</v>
      </c>
      <c r="P31" s="86">
        <v>46045</v>
      </c>
      <c r="Q31" s="101" t="str">
        <f t="shared" si="1"/>
        <v>Entregado</v>
      </c>
      <c r="R31" s="99">
        <f>IF(L31="Despachado",NETWORKDAYS.INTL(A31,O31,11,Valores!$A$2:$A$19)-1,"PTE")</f>
        <v>11</v>
      </c>
      <c r="S31" s="99">
        <f>IF(Q31="Entregado",NETWORKDAYS.INTL(A31,P31,11,Valores!$A$2:$A$19)-1,"PTE")</f>
        <v>12</v>
      </c>
      <c r="T31" s="99" t="str">
        <f>IF(Q31="Entregado",IFERROR(IF(I31=VLOOKUP(I31,Valores!$K$1:$K$4,1,0),IF(S31&lt;=VLOOKUP(I31,Valores!$K$1:$L$4,2,0),"Cumple","No cumple")),IF(S31&lt;=VLOOKUP(K31,Valores!E:F,2,0),"Cumple","No cumple")))</f>
        <v>No cumple</v>
      </c>
      <c r="U31" s="99">
        <f>IFERROR(IF(T31="no cumple",S31-VLOOKUP(I31,Valores!$K$1:$L$4,2,0),0),S31-VLOOKUP(K31,Valores!E:F,2,0))</f>
        <v>7</v>
      </c>
      <c r="V31" s="161" t="s">
        <v>952</v>
      </c>
      <c r="W31" s="120">
        <v>57135</v>
      </c>
      <c r="X31" s="123"/>
      <c r="Y31" s="155" t="s">
        <v>956</v>
      </c>
      <c r="Z31" s="104"/>
    </row>
    <row r="32" spans="1:26" x14ac:dyDescent="0.3">
      <c r="A32" s="116">
        <v>46034</v>
      </c>
      <c r="B32" s="99" t="s">
        <v>95</v>
      </c>
      <c r="C32" s="97">
        <v>100264</v>
      </c>
      <c r="D32" s="14" t="s">
        <v>19</v>
      </c>
      <c r="E32" s="98" t="s">
        <v>777</v>
      </c>
      <c r="F32" s="30" t="s">
        <v>505</v>
      </c>
      <c r="G32" s="100" t="str">
        <f>IFERROR(VLOOKUP(F32,Productos!$A$2:$D$277,2,0)," ")</f>
        <v>Superficie Escritorio Blanco (Niebla) 120x60 Clasico Small</v>
      </c>
      <c r="H32" s="99">
        <v>1</v>
      </c>
      <c r="I32" s="100" t="str">
        <f>IFERROR(VLOOKUP(F32,Productos!$A$2:$D$277,3,0)," ")</f>
        <v>Superficie</v>
      </c>
      <c r="J32" s="97" t="s">
        <v>20</v>
      </c>
      <c r="K32" s="97" t="s">
        <v>749</v>
      </c>
      <c r="L32" s="14" t="str">
        <f t="shared" si="0"/>
        <v>Despachado</v>
      </c>
      <c r="M32" s="99" t="s">
        <v>742</v>
      </c>
      <c r="N32" s="98" t="s">
        <v>778</v>
      </c>
      <c r="O32" s="86">
        <v>46037</v>
      </c>
      <c r="P32" s="86">
        <v>46038</v>
      </c>
      <c r="Q32" s="101" t="str">
        <f t="shared" si="1"/>
        <v>Entregado</v>
      </c>
      <c r="R32" s="99">
        <f>IF(L32="Despachado",NETWORKDAYS.INTL(A32,O32,11,Valores!$A$2:$A$19)-1,"PTE")</f>
        <v>2</v>
      </c>
      <c r="S32" s="99">
        <f>IF(Q32="Entregado",NETWORKDAYS.INTL(A32,P32,11,Valores!$A$2:$A$19)-1,"PTE")</f>
        <v>3</v>
      </c>
      <c r="T32" s="99" t="str">
        <f>IF(Q32="Entregado",IFERROR(IF(I32=VLOOKUP(I32,Valores!$K$1:$K$4,1,0),IF(S32&lt;=VLOOKUP(I32,Valores!$K$1:$L$4,2,0),"Cumple","No cumple")),IF(S32&lt;=VLOOKUP(K32,Valores!E:F,2,0),"Cumple","No cumple")))</f>
        <v>Cumple</v>
      </c>
      <c r="U32" s="99">
        <f>IFERROR(IF(T32="no cumple",S32-VLOOKUP(I32,Valores!$K$1:$L$4,2,0),0),S32-VLOOKUP(K32,Valores!E:F,2,0))</f>
        <v>0</v>
      </c>
      <c r="V32" s="99"/>
      <c r="W32" s="120">
        <v>25952</v>
      </c>
      <c r="X32" s="123"/>
      <c r="Y32" s="120"/>
      <c r="Z32" s="104"/>
    </row>
    <row r="33" spans="1:26" ht="13.95" customHeight="1" x14ac:dyDescent="0.3">
      <c r="A33" s="116">
        <v>46034</v>
      </c>
      <c r="B33" s="99" t="s">
        <v>95</v>
      </c>
      <c r="C33" s="97">
        <v>100264</v>
      </c>
      <c r="D33" s="14" t="s">
        <v>19</v>
      </c>
      <c r="E33" s="98" t="s">
        <v>777</v>
      </c>
      <c r="F33" s="102" t="s">
        <v>122</v>
      </c>
      <c r="G33" s="100" t="str">
        <f>IFERROR(VLOOKUP(F33,Productos!$A$2:$D$277,2,0)," ")</f>
        <v>Electric Standing Desk GO Negro</v>
      </c>
      <c r="H33" s="99">
        <v>1</v>
      </c>
      <c r="I33" s="100" t="str">
        <f>IFERROR(VLOOKUP(F33,Productos!$A$2:$D$277,3,0)," ")</f>
        <v>Standing Desk</v>
      </c>
      <c r="J33" s="97" t="s">
        <v>20</v>
      </c>
      <c r="K33" s="97" t="s">
        <v>749</v>
      </c>
      <c r="L33" s="14" t="str">
        <f t="shared" si="0"/>
        <v>Despachado</v>
      </c>
      <c r="M33" s="99" t="s">
        <v>742</v>
      </c>
      <c r="N33" s="98" t="s">
        <v>779</v>
      </c>
      <c r="O33" s="86">
        <v>46037</v>
      </c>
      <c r="P33" s="86">
        <v>46038</v>
      </c>
      <c r="Q33" s="101" t="str">
        <f t="shared" si="1"/>
        <v>Entregado</v>
      </c>
      <c r="R33" s="99">
        <f>IF(L33="Despachado",NETWORKDAYS.INTL(A33,O33,11,Valores!$A$2:$A$19)-1,"PTE")</f>
        <v>2</v>
      </c>
      <c r="S33" s="99">
        <f>IF(Q33="Entregado",NETWORKDAYS.INTL(A33,P33,11,Valores!$A$2:$A$19)-1,"PTE")</f>
        <v>3</v>
      </c>
      <c r="T33" s="99" t="str">
        <f>IF(Q33="Entregado",IFERROR(IF(I33=VLOOKUP(I33,Valores!$K$1:$K$4,1,0),IF(S33&lt;=VLOOKUP(I33,Valores!$K$1:$L$4,2,0),"Cumple","No cumple")),IF(S33&lt;=VLOOKUP(K33,Valores!E:F,2,0),"Cumple","No cumple")))</f>
        <v>Cumple</v>
      </c>
      <c r="U33" s="99">
        <f>IFERROR(IF(T33="no cumple",S33-VLOOKUP(I33,Valores!$K$1:$L$4,2,0),0),S33-VLOOKUP(K33,Valores!E:F,2,0))</f>
        <v>0</v>
      </c>
      <c r="V33" s="99"/>
      <c r="W33" s="115">
        <v>43114</v>
      </c>
      <c r="X33" s="122"/>
      <c r="Y33" s="115"/>
      <c r="Z33" s="104"/>
    </row>
    <row r="34" spans="1:26" x14ac:dyDescent="0.3">
      <c r="A34" s="116">
        <v>46035</v>
      </c>
      <c r="B34" s="99" t="s">
        <v>95</v>
      </c>
      <c r="C34" s="97">
        <v>100265</v>
      </c>
      <c r="D34" s="14" t="s">
        <v>19</v>
      </c>
      <c r="E34" s="98" t="s">
        <v>780</v>
      </c>
      <c r="F34" s="30" t="s">
        <v>616</v>
      </c>
      <c r="G34" s="100" t="str">
        <f>IFERROR(VLOOKUP(F34,Productos!$A$2:$D$277,2,0)," ")</f>
        <v>Repisa Escritorio Caramelo x 110cm</v>
      </c>
      <c r="H34" s="99">
        <v>1</v>
      </c>
      <c r="I34" s="100" t="str">
        <f>IFERROR(VLOOKUP(F34,Productos!$A$2:$D$277,3,0)," ")</f>
        <v>Repisa</v>
      </c>
      <c r="J34" s="97" t="s">
        <v>781</v>
      </c>
      <c r="K34" s="97" t="s">
        <v>39</v>
      </c>
      <c r="L34" s="14" t="str">
        <f t="shared" si="0"/>
        <v>Despachado</v>
      </c>
      <c r="M34" s="99" t="s">
        <v>742</v>
      </c>
      <c r="N34" s="98" t="s">
        <v>782</v>
      </c>
      <c r="O34" s="86">
        <v>46037</v>
      </c>
      <c r="P34" s="86">
        <v>46039</v>
      </c>
      <c r="Q34" s="101" t="str">
        <f t="shared" si="1"/>
        <v>Entregado</v>
      </c>
      <c r="R34" s="99">
        <f>IF(L34="Despachado",NETWORKDAYS.INTL(A34,O34,11,Valores!$A$2:$A$19)-1,"PTE")</f>
        <v>2</v>
      </c>
      <c r="S34" s="99">
        <f>IF(Q34="Entregado",NETWORKDAYS.INTL(A34,P34,11,Valores!$A$2:$A$19)-1,"PTE")</f>
        <v>4</v>
      </c>
      <c r="T34" s="99" t="str">
        <f>IF(Q34="Entregado",IFERROR(IF(I34=VLOOKUP(I34,Valores!$K$1:$K$4,1,0),IF(S34&lt;=VLOOKUP(I34,Valores!$K$1:$L$4,2,0),"Cumple","No cumple")),IF(S34&lt;=VLOOKUP(K34,Valores!E:F,2,0),"Cumple","No cumple")))</f>
        <v>Cumple</v>
      </c>
      <c r="U34" s="99">
        <f>IFERROR(IF(T34="no cumple",S34-VLOOKUP(I34,Valores!$K$1:$L$4,2,0),0),S34-VLOOKUP(K34,Valores!E:F,2,0))</f>
        <v>0</v>
      </c>
      <c r="V34" s="99"/>
      <c r="W34" s="120">
        <v>40669</v>
      </c>
      <c r="X34" s="123"/>
      <c r="Y34" s="120"/>
      <c r="Z34" s="104"/>
    </row>
    <row r="35" spans="1:26" x14ac:dyDescent="0.3">
      <c r="A35" s="116">
        <v>46035</v>
      </c>
      <c r="B35" s="99" t="s">
        <v>95</v>
      </c>
      <c r="C35" s="97">
        <v>100266</v>
      </c>
      <c r="D35" s="14" t="s">
        <v>19</v>
      </c>
      <c r="E35" s="98" t="s">
        <v>783</v>
      </c>
      <c r="F35" s="102" t="s">
        <v>465</v>
      </c>
      <c r="G35" s="100" t="str">
        <f>IFERROR(VLOOKUP(F35,Productos!$A$2:$D$277,2,0)," ")</f>
        <v>Superficie Escritorio Fresno Europeo 160x80 Clasico</v>
      </c>
      <c r="H35" s="99">
        <v>1</v>
      </c>
      <c r="I35" s="100" t="str">
        <f>IFERROR(VLOOKUP(F35,Productos!$A$2:$D$277,3,0)," ")</f>
        <v>Superficie</v>
      </c>
      <c r="J35" s="97" t="s">
        <v>20</v>
      </c>
      <c r="K35" s="97" t="s">
        <v>749</v>
      </c>
      <c r="L35" s="14" t="str">
        <f t="shared" si="0"/>
        <v>Despachado</v>
      </c>
      <c r="M35" s="99" t="s">
        <v>735</v>
      </c>
      <c r="N35" s="98" t="s">
        <v>784</v>
      </c>
      <c r="O35" s="86">
        <v>46037</v>
      </c>
      <c r="P35" s="86">
        <v>46038</v>
      </c>
      <c r="Q35" s="101" t="str">
        <f t="shared" si="1"/>
        <v>Entregado</v>
      </c>
      <c r="R35" s="99">
        <f>IF(L35="Despachado",NETWORKDAYS.INTL(A35,O35,11,Valores!$A$2:$A$19)-1,"PTE")</f>
        <v>2</v>
      </c>
      <c r="S35" s="99">
        <f>IF(Q35="Entregado",NETWORKDAYS.INTL(A35,P35,11,Valores!$A$2:$A$19)-1,"PTE")</f>
        <v>3</v>
      </c>
      <c r="T35" s="99" t="str">
        <f>IF(Q35="Entregado",IFERROR(IF(I35=VLOOKUP(I35,Valores!$K$1:$K$4,1,0),IF(S35&lt;=VLOOKUP(I35,Valores!$K$1:$L$4,2,0),"Cumple","No cumple")),IF(S35&lt;=VLOOKUP(K35,Valores!E:F,2,0),"Cumple","No cumple")))</f>
        <v>Cumple</v>
      </c>
      <c r="U35" s="99">
        <f>IFERROR(IF(T35="no cumple",S35-VLOOKUP(I35,Valores!$K$1:$L$4,2,0),0),S35-VLOOKUP(K35,Valores!E:F,2,0))</f>
        <v>0</v>
      </c>
      <c r="V35" s="99"/>
      <c r="W35" s="115">
        <v>34487</v>
      </c>
      <c r="X35" s="122"/>
      <c r="Y35" s="115"/>
      <c r="Z35" s="104"/>
    </row>
    <row r="36" spans="1:26" x14ac:dyDescent="0.3">
      <c r="A36" s="116">
        <v>46035</v>
      </c>
      <c r="B36" s="99" t="s">
        <v>95</v>
      </c>
      <c r="C36" s="97">
        <v>100266</v>
      </c>
      <c r="D36" s="14" t="s">
        <v>19</v>
      </c>
      <c r="E36" s="98" t="s">
        <v>783</v>
      </c>
      <c r="F36" s="102" t="s">
        <v>132</v>
      </c>
      <c r="G36" s="100" t="str">
        <f>IFERROR(VLOOKUP(F36,Productos!$A$2:$D$277,2,0)," ")</f>
        <v>Electric Standing Desk  PRO Blanco</v>
      </c>
      <c r="H36" s="99">
        <v>1</v>
      </c>
      <c r="I36" s="100" t="str">
        <f>IFERROR(VLOOKUP(F36,Productos!$A$2:$D$277,3,0)," ")</f>
        <v>Standing Desk</v>
      </c>
      <c r="J36" s="97" t="s">
        <v>20</v>
      </c>
      <c r="K36" s="97" t="s">
        <v>749</v>
      </c>
      <c r="L36" s="14" t="str">
        <f t="shared" si="0"/>
        <v>Despachado</v>
      </c>
      <c r="M36" s="99" t="s">
        <v>742</v>
      </c>
      <c r="N36" s="98" t="s">
        <v>785</v>
      </c>
      <c r="O36" s="86">
        <v>46037</v>
      </c>
      <c r="P36" s="86">
        <v>46038</v>
      </c>
      <c r="Q36" s="101" t="str">
        <f t="shared" si="1"/>
        <v>Entregado</v>
      </c>
      <c r="R36" s="99">
        <f>IF(L36="Despachado",NETWORKDAYS.INTL(A36,O36,11,Valores!$A$2:$A$19)-1,"PTE")</f>
        <v>2</v>
      </c>
      <c r="S36" s="99">
        <f>IF(Q36="Entregado",NETWORKDAYS.INTL(A36,P36,11,Valores!$A$2:$A$19)-1,"PTE")</f>
        <v>3</v>
      </c>
      <c r="T36" s="99" t="str">
        <f>IF(Q36="Entregado",IFERROR(IF(I36=VLOOKUP(I36,Valores!$K$1:$K$4,1,0),IF(S36&lt;=VLOOKUP(I36,Valores!$K$1:$L$4,2,0),"Cumple","No cumple")),IF(S36&lt;=VLOOKUP(K36,Valores!E:F,2,0),"Cumple","No cumple")))</f>
        <v>Cumple</v>
      </c>
      <c r="U36" s="99">
        <f>IFERROR(IF(T36="no cumple",S36-VLOOKUP(I36,Valores!$K$1:$L$4,2,0),0),S36-VLOOKUP(K36,Valores!E:F,2,0))</f>
        <v>0</v>
      </c>
      <c r="V36" s="99"/>
      <c r="W36" s="115">
        <v>44550</v>
      </c>
      <c r="X36" s="122"/>
      <c r="Y36" s="115"/>
      <c r="Z36" s="104"/>
    </row>
    <row r="37" spans="1:26" x14ac:dyDescent="0.3">
      <c r="A37" s="116">
        <v>46036</v>
      </c>
      <c r="B37" s="99" t="s">
        <v>95</v>
      </c>
      <c r="C37" s="97">
        <v>100267</v>
      </c>
      <c r="D37" s="14" t="s">
        <v>19</v>
      </c>
      <c r="E37" s="98" t="s">
        <v>817</v>
      </c>
      <c r="F37" s="30" t="s">
        <v>28</v>
      </c>
      <c r="G37" s="100" t="str">
        <f>IFERROR(VLOOKUP(F37,Productos!$A$2:$D$277,2,0)," ")</f>
        <v>Superficie  en L Caramelo 180x150cm x 70</v>
      </c>
      <c r="H37" s="99">
        <v>1</v>
      </c>
      <c r="I37" s="100" t="str">
        <f>IFERROR(VLOOKUP(F37,Productos!$A$2:$D$277,3,0)," ")</f>
        <v>Superficie</v>
      </c>
      <c r="J37" s="97" t="s">
        <v>20</v>
      </c>
      <c r="K37" s="97" t="s">
        <v>749</v>
      </c>
      <c r="L37" s="14" t="str">
        <f t="shared" si="0"/>
        <v>Despachado</v>
      </c>
      <c r="M37" s="99" t="s">
        <v>735</v>
      </c>
      <c r="N37" s="98" t="s">
        <v>786</v>
      </c>
      <c r="O37" s="86">
        <v>46038</v>
      </c>
      <c r="P37" s="86">
        <v>46039</v>
      </c>
      <c r="Q37" s="101" t="str">
        <f t="shared" si="1"/>
        <v>Entregado</v>
      </c>
      <c r="R37" s="99">
        <f>IF(L37="Despachado",NETWORKDAYS.INTL(A37,O37,11,Valores!$A$2:$A$19)-1,"PTE")</f>
        <v>2</v>
      </c>
      <c r="S37" s="99">
        <f>IF(Q37="Entregado",NETWORKDAYS.INTL(A37,P37,11,Valores!$A$2:$A$19)-1,"PTE")</f>
        <v>3</v>
      </c>
      <c r="T37" s="99" t="str">
        <f>IF(Q37="Entregado",IFERROR(IF(I37=VLOOKUP(I37,Valores!$K$1:$K$4,1,0),IF(S37&lt;=VLOOKUP(I37,Valores!$K$1:$L$4,2,0),"Cumple","No cumple")),IF(S37&lt;=VLOOKUP(K37,Valores!E:F,2,0),"Cumple","No cumple")))</f>
        <v>Cumple</v>
      </c>
      <c r="U37" s="99">
        <f>IFERROR(IF(T37="no cumple",S37-VLOOKUP(I37,Valores!$K$1:$L$4,2,0),0),S37-VLOOKUP(K37,Valores!E:F,2,0))</f>
        <v>0</v>
      </c>
      <c r="V37" s="99"/>
      <c r="W37" s="115">
        <v>36093</v>
      </c>
      <c r="X37" s="122"/>
      <c r="Y37" s="115"/>
      <c r="Z37" s="104"/>
    </row>
    <row r="38" spans="1:26" x14ac:dyDescent="0.3">
      <c r="A38" s="116">
        <v>46036</v>
      </c>
      <c r="B38" s="99" t="s">
        <v>95</v>
      </c>
      <c r="C38" s="97">
        <v>100267</v>
      </c>
      <c r="D38" s="14" t="s">
        <v>19</v>
      </c>
      <c r="E38" s="98" t="s">
        <v>817</v>
      </c>
      <c r="F38" s="30" t="s">
        <v>56</v>
      </c>
      <c r="G38" s="100" t="str">
        <f>IFERROR(VLOOKUP(F38,Productos!$A$2:$D$277,2,0)," ")</f>
        <v>Electric Standing Desk  En L Frame Negro 2.0</v>
      </c>
      <c r="H38" s="99">
        <v>1</v>
      </c>
      <c r="I38" s="100" t="str">
        <f>IFERROR(VLOOKUP(F38,Productos!$A$2:$D$277,3,0)," ")</f>
        <v>Standing Desk</v>
      </c>
      <c r="J38" s="97" t="s">
        <v>20</v>
      </c>
      <c r="K38" s="97" t="s">
        <v>749</v>
      </c>
      <c r="L38" s="14" t="str">
        <f t="shared" si="0"/>
        <v>Despachado</v>
      </c>
      <c r="M38" s="99" t="s">
        <v>742</v>
      </c>
      <c r="N38" s="98" t="s">
        <v>787</v>
      </c>
      <c r="O38" s="86">
        <v>46038</v>
      </c>
      <c r="P38" s="86">
        <v>46041</v>
      </c>
      <c r="Q38" s="101" t="str">
        <f t="shared" si="1"/>
        <v>Entregado</v>
      </c>
      <c r="R38" s="99">
        <f>IF(L38="Despachado",NETWORKDAYS.INTL(A38,O38,11,Valores!$A$2:$A$19)-1,"PTE")</f>
        <v>2</v>
      </c>
      <c r="S38" s="99">
        <f>IF(Q38="Entregado",NETWORKDAYS.INTL(A38,P38,11,Valores!$A$2:$A$19)-1,"PTE")</f>
        <v>4</v>
      </c>
      <c r="T38" s="99" t="str">
        <f>IF(Q38="Entregado",IFERROR(IF(I38=VLOOKUP(I38,Valores!$K$1:$K$4,1,0),IF(S38&lt;=VLOOKUP(I38,Valores!$K$1:$L$4,2,0),"Cumple","No cumple")),IF(S38&lt;=VLOOKUP(K38,Valores!E:F,2,0),"Cumple","No cumple")))</f>
        <v>No cumple</v>
      </c>
      <c r="U38" s="99">
        <f>IFERROR(IF(T38="no cumple",S38-VLOOKUP(I38,Valores!$K$1:$L$4,2,0),0),S38-VLOOKUP(K38,Valores!E:F,2,0))</f>
        <v>1</v>
      </c>
      <c r="V38" s="161" t="s">
        <v>960</v>
      </c>
      <c r="W38" s="120">
        <v>65353</v>
      </c>
      <c r="X38" s="123"/>
      <c r="Y38" s="155" t="s">
        <v>973</v>
      </c>
      <c r="Z38" s="104"/>
    </row>
    <row r="39" spans="1:26" x14ac:dyDescent="0.3">
      <c r="A39" s="116">
        <v>46036</v>
      </c>
      <c r="B39" s="99" t="s">
        <v>95</v>
      </c>
      <c r="C39" s="97">
        <v>100267</v>
      </c>
      <c r="D39" s="14" t="s">
        <v>19</v>
      </c>
      <c r="E39" s="98" t="s">
        <v>817</v>
      </c>
      <c r="F39" s="102" t="s">
        <v>554</v>
      </c>
      <c r="G39" s="100" t="str">
        <f>IFERROR(VLOOKUP(F39,Productos!$A$2:$D$277,2,0)," ")</f>
        <v>Cajonero 2.0 Bicolor Caramelo x77cm</v>
      </c>
      <c r="H39" s="99">
        <v>1</v>
      </c>
      <c r="I39" s="100" t="str">
        <f>IFERROR(VLOOKUP(F39,Productos!$A$2:$D$277,3,0)," ")</f>
        <v>Archivador</v>
      </c>
      <c r="J39" s="97" t="s">
        <v>20</v>
      </c>
      <c r="K39" s="97" t="s">
        <v>749</v>
      </c>
      <c r="L39" s="14" t="str">
        <f t="shared" si="0"/>
        <v>Despachado</v>
      </c>
      <c r="M39" s="99" t="s">
        <v>735</v>
      </c>
      <c r="N39" s="98" t="s">
        <v>788</v>
      </c>
      <c r="O39" s="86">
        <v>46048</v>
      </c>
      <c r="P39" s="86">
        <v>46049</v>
      </c>
      <c r="Q39" s="101" t="str">
        <f t="shared" si="1"/>
        <v>Entregado</v>
      </c>
      <c r="R39" s="99">
        <f>IF(L39="Despachado",NETWORKDAYS.INTL(A39,O39,11,Valores!$A$2:$A$19)-1,"PTE")</f>
        <v>10</v>
      </c>
      <c r="S39" s="99">
        <f>IF(Q39="Entregado",NETWORKDAYS.INTL(A39,P39,11,Valores!$A$2:$A$19)-1,"PTE")</f>
        <v>11</v>
      </c>
      <c r="T39" s="99" t="str">
        <f>IF(Q39="Entregado",IFERROR(IF(I39=VLOOKUP(I39,Valores!$K$1:$K$4,1,0),IF(S39&lt;=VLOOKUP(I39,Valores!$K$1:$L$4,2,0),"Cumple","No cumple")),IF(S39&lt;=VLOOKUP(K39,Valores!E:F,2,0),"Cumple","No cumple")))</f>
        <v>No cumple</v>
      </c>
      <c r="U39" s="99">
        <f>IFERROR(IF(T39="no cumple",S39-VLOOKUP(I39,Valores!$K$1:$L$4,2,0),0),S39-VLOOKUP(K39,Valores!E:F,2,0))</f>
        <v>6</v>
      </c>
      <c r="V39" s="161" t="s">
        <v>952</v>
      </c>
      <c r="W39" s="120">
        <v>67823</v>
      </c>
      <c r="X39" s="123"/>
      <c r="Y39" s="155" t="s">
        <v>956</v>
      </c>
      <c r="Z39" s="104"/>
    </row>
    <row r="40" spans="1:26" s="136" customFormat="1" x14ac:dyDescent="0.3">
      <c r="A40" s="126">
        <v>46036</v>
      </c>
      <c r="B40" s="127" t="s">
        <v>95</v>
      </c>
      <c r="C40" s="128">
        <v>100268</v>
      </c>
      <c r="D40" s="129" t="s">
        <v>19</v>
      </c>
      <c r="E40" s="130" t="s">
        <v>789</v>
      </c>
      <c r="F40" s="131" t="s">
        <v>235</v>
      </c>
      <c r="G40" s="132" t="str">
        <f>IFERROR(VLOOKUP(F40,Productos!$A$2:$D$277,2,0)," ")</f>
        <v>Bandeja de cables</v>
      </c>
      <c r="H40" s="127">
        <v>1</v>
      </c>
      <c r="I40" s="132" t="str">
        <f>IFERROR(VLOOKUP(F40,Productos!$A$2:$D$277,3,0)," ")</f>
        <v>Accesorio</v>
      </c>
      <c r="J40" s="128" t="s">
        <v>20</v>
      </c>
      <c r="K40" s="128" t="s">
        <v>749</v>
      </c>
      <c r="L40" s="129" t="str">
        <f t="shared" si="0"/>
        <v>Despachado</v>
      </c>
      <c r="M40" s="127" t="s">
        <v>742</v>
      </c>
      <c r="N40" s="130" t="s">
        <v>790</v>
      </c>
      <c r="O40" s="133">
        <v>46045</v>
      </c>
      <c r="P40" s="133">
        <v>46048</v>
      </c>
      <c r="Q40" s="134" t="str">
        <f t="shared" si="1"/>
        <v>Entregado</v>
      </c>
      <c r="R40" s="127">
        <f>IF(L40="Despachado",NETWORKDAYS.INTL(A40,O40,11,Valores!$A$2:$A$19)-1,"PTE")</f>
        <v>8</v>
      </c>
      <c r="S40" s="127">
        <f>IF(Q40="Entregado",NETWORKDAYS.INTL(A40,P40,11,Valores!$A$2:$A$19)-1,"PTE")</f>
        <v>10</v>
      </c>
      <c r="T40" s="127" t="str">
        <f>IF(Q40="Entregado",IFERROR(IF(I40=VLOOKUP(I40,Valores!$K$1:$K$4,1,0),IF(S40&lt;=VLOOKUP(I40,Valores!$K$1:$L$4,2,0),"Cumple","No cumple")),IF(S40&lt;=VLOOKUP(K40,Valores!E:F,2,0),"Cumple","No cumple")))</f>
        <v>No cumple</v>
      </c>
      <c r="U40" s="127">
        <f>IFERROR(IF(T40="no cumple",S40-VLOOKUP(I40,Valores!$K$1:$L$4,2,0),0),S40-VLOOKUP(K40,Valores!E:F,2,0))</f>
        <v>7</v>
      </c>
      <c r="V40" s="162" t="s">
        <v>952</v>
      </c>
      <c r="W40" s="119">
        <v>26681</v>
      </c>
      <c r="X40" s="135"/>
      <c r="Y40" s="155" t="s">
        <v>964</v>
      </c>
      <c r="Z40" s="154"/>
    </row>
    <row r="41" spans="1:26" s="136" customFormat="1" x14ac:dyDescent="0.3">
      <c r="A41" s="126">
        <v>46036</v>
      </c>
      <c r="B41" s="127" t="s">
        <v>95</v>
      </c>
      <c r="C41" s="128">
        <v>100268</v>
      </c>
      <c r="D41" s="129" t="s">
        <v>19</v>
      </c>
      <c r="E41" s="130" t="s">
        <v>789</v>
      </c>
      <c r="F41" s="131" t="s">
        <v>64</v>
      </c>
      <c r="G41" s="132" t="str">
        <f>IFERROR(VLOOKUP(F41,Productos!$A$2:$D$277,2,0)," ")</f>
        <v>Archivador TECU  Negro</v>
      </c>
      <c r="H41" s="127">
        <v>1</v>
      </c>
      <c r="I41" s="132" t="str">
        <f>IFERROR(VLOOKUP(F41,Productos!$A$2:$D$277,3,0)," ")</f>
        <v>Archivador</v>
      </c>
      <c r="J41" s="128" t="s">
        <v>20</v>
      </c>
      <c r="K41" s="128" t="s">
        <v>749</v>
      </c>
      <c r="L41" s="129" t="str">
        <f t="shared" si="0"/>
        <v>Despachado</v>
      </c>
      <c r="M41" s="127" t="s">
        <v>735</v>
      </c>
      <c r="N41" s="130" t="s">
        <v>791</v>
      </c>
      <c r="O41" s="133">
        <v>46045</v>
      </c>
      <c r="P41" s="133">
        <v>46046</v>
      </c>
      <c r="Q41" s="134" t="str">
        <f t="shared" si="1"/>
        <v>Entregado</v>
      </c>
      <c r="R41" s="127">
        <f>IF(L41="Despachado",NETWORKDAYS.INTL(A41,O41,11,Valores!$A$2:$A$19)-1,"PTE")</f>
        <v>8</v>
      </c>
      <c r="S41" s="127">
        <f>IF(Q41="Entregado",NETWORKDAYS.INTL(A41,P41,11,Valores!$A$2:$A$19)-1,"PTE")</f>
        <v>9</v>
      </c>
      <c r="T41" s="127" t="str">
        <f>IF(Q41="Entregado",IFERROR(IF(I41=VLOOKUP(I41,Valores!$K$1:$K$4,1,0),IF(S41&lt;=VLOOKUP(I41,Valores!$K$1:$L$4,2,0),"Cumple","No cumple")),IF(S41&lt;=VLOOKUP(K41,Valores!E:F,2,0),"Cumple","No cumple")))</f>
        <v>No cumple</v>
      </c>
      <c r="U41" s="127">
        <f>IFERROR(IF(T41="no cumple",S41-VLOOKUP(I41,Valores!$K$1:$L$4,2,0),0),S41-VLOOKUP(K41,Valores!E:F,2,0))</f>
        <v>4</v>
      </c>
      <c r="V41" s="162" t="s">
        <v>952</v>
      </c>
      <c r="W41" s="119">
        <v>57135</v>
      </c>
      <c r="X41" s="135"/>
      <c r="Y41" s="155" t="s">
        <v>964</v>
      </c>
      <c r="Z41" s="154"/>
    </row>
    <row r="42" spans="1:26" x14ac:dyDescent="0.3">
      <c r="A42" s="116">
        <v>46037</v>
      </c>
      <c r="B42" s="99" t="s">
        <v>95</v>
      </c>
      <c r="C42" s="97">
        <v>100269</v>
      </c>
      <c r="D42" s="14" t="s">
        <v>19</v>
      </c>
      <c r="E42" s="98" t="s">
        <v>792</v>
      </c>
      <c r="F42" s="102" t="s">
        <v>255</v>
      </c>
      <c r="G42" s="100" t="str">
        <f>IFERROR(VLOOKUP(F42,Productos!$A$2:$D$277,2,0)," ")</f>
        <v>Superficie Roble Miel 150x75 Clasico</v>
      </c>
      <c r="H42" s="99">
        <v>1</v>
      </c>
      <c r="I42" s="100" t="str">
        <f>IFERROR(VLOOKUP(F42,Productos!$A$2:$D$277,3,0)," ")</f>
        <v>Superficie</v>
      </c>
      <c r="J42" s="97" t="s">
        <v>23</v>
      </c>
      <c r="K42" s="97" t="s">
        <v>793</v>
      </c>
      <c r="L42" s="14" t="str">
        <f t="shared" si="0"/>
        <v>Despachado</v>
      </c>
      <c r="M42" s="99" t="s">
        <v>735</v>
      </c>
      <c r="N42" s="98" t="s">
        <v>795</v>
      </c>
      <c r="O42" s="86">
        <v>46048</v>
      </c>
      <c r="P42" s="86">
        <v>46050</v>
      </c>
      <c r="Q42" s="101" t="str">
        <f t="shared" si="1"/>
        <v>Entregado</v>
      </c>
      <c r="R42" s="99">
        <f>IF(L42="Despachado",NETWORKDAYS.INTL(A42,O42,11,Valores!$A$2:$A$19)-1,"PTE")</f>
        <v>9</v>
      </c>
      <c r="S42" s="99">
        <f>IF(Q42="Entregado",NETWORKDAYS.INTL(A42,P42,11,Valores!$A$2:$A$19)-1,"PTE")</f>
        <v>11</v>
      </c>
      <c r="T42" s="99" t="str">
        <f>IF(Q42="Entregado",IFERROR(IF(I42=VLOOKUP(I42,Valores!$K$1:$K$4,1,0),IF(S42&lt;=VLOOKUP(I42,Valores!$K$1:$L$4,2,0),"Cumple","No cumple")),IF(S42&lt;=VLOOKUP(K42,Valores!E:F,2,0),"Cumple","No cumple")))</f>
        <v>No cumple</v>
      </c>
      <c r="U42" s="99">
        <f>IFERROR(IF(T42="no cumple",S42-VLOOKUP(I42,Valores!$K$1:$L$4,2,0),0),S42-VLOOKUP(K42,Valores!E:F,2,0))</f>
        <v>6</v>
      </c>
      <c r="V42" s="161" t="s">
        <v>952</v>
      </c>
      <c r="W42" s="120">
        <v>43778</v>
      </c>
      <c r="X42" s="123"/>
      <c r="Y42" s="155" t="s">
        <v>951</v>
      </c>
      <c r="Z42" s="104" t="s">
        <v>962</v>
      </c>
    </row>
    <row r="43" spans="1:26" x14ac:dyDescent="0.3">
      <c r="A43" s="116">
        <v>46037</v>
      </c>
      <c r="B43" s="99" t="s">
        <v>95</v>
      </c>
      <c r="C43" s="97">
        <v>100269</v>
      </c>
      <c r="D43" s="14" t="s">
        <v>19</v>
      </c>
      <c r="E43" s="98" t="s">
        <v>792</v>
      </c>
      <c r="F43" s="30" t="s">
        <v>128</v>
      </c>
      <c r="G43" s="100" t="str">
        <f>IFERROR(VLOOKUP(F43,Productos!$A$2:$D$277,2,0)," ")</f>
        <v>Electric Standing Desk  PRO Negro</v>
      </c>
      <c r="H43" s="99">
        <v>1</v>
      </c>
      <c r="I43" s="100" t="str">
        <f>IFERROR(VLOOKUP(F43,Productos!$A$2:$D$277,3,0)," ")</f>
        <v>Standing Desk</v>
      </c>
      <c r="J43" s="97" t="s">
        <v>23</v>
      </c>
      <c r="K43" s="97" t="s">
        <v>793</v>
      </c>
      <c r="L43" s="14" t="str">
        <f t="shared" si="0"/>
        <v>Despachado</v>
      </c>
      <c r="M43" s="99" t="s">
        <v>742</v>
      </c>
      <c r="N43" s="98" t="s">
        <v>794</v>
      </c>
      <c r="O43" s="86">
        <v>46048</v>
      </c>
      <c r="P43" s="86">
        <v>46050</v>
      </c>
      <c r="Q43" s="101" t="str">
        <f t="shared" si="1"/>
        <v>Entregado</v>
      </c>
      <c r="R43" s="99">
        <f>IF(L43="Despachado",NETWORKDAYS.INTL(A43,O43,11,Valores!$A$2:$A$19)-1,"PTE")</f>
        <v>9</v>
      </c>
      <c r="S43" s="99">
        <f>IF(Q43="Entregado",NETWORKDAYS.INTL(A43,P43,11,Valores!$A$2:$A$19)-1,"PTE")</f>
        <v>11</v>
      </c>
      <c r="T43" s="99" t="str">
        <f>IF(Q43="Entregado",IFERROR(IF(I43=VLOOKUP(I43,Valores!$K$1:$K$4,1,0),IF(S43&lt;=VLOOKUP(I43,Valores!$K$1:$L$4,2,0),"Cumple","No cumple")),IF(S43&lt;=VLOOKUP(K43,Valores!E:F,2,0),"Cumple","No cumple")))</f>
        <v>No cumple</v>
      </c>
      <c r="U43" s="99">
        <f>IFERROR(IF(T43="no cumple",S43-VLOOKUP(I43,Valores!$K$1:$L$4,2,0),0),S43-VLOOKUP(K43,Valores!E:F,2,0))</f>
        <v>6</v>
      </c>
      <c r="V43" s="161" t="s">
        <v>952</v>
      </c>
      <c r="W43" s="120">
        <v>44550</v>
      </c>
      <c r="X43" s="123"/>
      <c r="Y43" s="155" t="s">
        <v>951</v>
      </c>
      <c r="Z43" s="104"/>
    </row>
    <row r="44" spans="1:26" x14ac:dyDescent="0.3">
      <c r="A44" s="116">
        <v>46037</v>
      </c>
      <c r="B44" s="99" t="s">
        <v>95</v>
      </c>
      <c r="C44" s="97">
        <v>100269</v>
      </c>
      <c r="D44" s="14" t="s">
        <v>19</v>
      </c>
      <c r="E44" s="98" t="s">
        <v>792</v>
      </c>
      <c r="F44" s="30" t="s">
        <v>235</v>
      </c>
      <c r="G44" s="100" t="str">
        <f>IFERROR(VLOOKUP(F44,Productos!$A$2:$D$277,2,0)," ")</f>
        <v>Bandeja de cables</v>
      </c>
      <c r="H44" s="99">
        <v>1</v>
      </c>
      <c r="I44" s="100" t="str">
        <f>IFERROR(VLOOKUP(F44,Productos!$A$2:$D$277,3,0)," ")</f>
        <v>Accesorio</v>
      </c>
      <c r="J44" s="97" t="s">
        <v>23</v>
      </c>
      <c r="K44" s="97" t="s">
        <v>793</v>
      </c>
      <c r="L44" s="14" t="str">
        <f t="shared" si="0"/>
        <v>Despachado</v>
      </c>
      <c r="M44" s="99" t="s">
        <v>742</v>
      </c>
      <c r="N44" s="98" t="s">
        <v>796</v>
      </c>
      <c r="O44" s="86">
        <v>46048</v>
      </c>
      <c r="P44" s="86">
        <v>46049</v>
      </c>
      <c r="Q44" s="101" t="str">
        <f t="shared" si="1"/>
        <v>Entregado</v>
      </c>
      <c r="R44" s="99">
        <f>IF(L44="Despachado",NETWORKDAYS.INTL(A44,O44,11,Valores!$A$2:$A$19)-1,"PTE")</f>
        <v>9</v>
      </c>
      <c r="S44" s="99">
        <f>IF(Q44="Entregado",NETWORKDAYS.INTL(A44,P44,11,Valores!$A$2:$A$19)-1,"PTE")</f>
        <v>10</v>
      </c>
      <c r="T44" s="99" t="str">
        <f>IF(Q44="Entregado",IFERROR(IF(I44=VLOOKUP(I44,Valores!$K$1:$K$4,1,0),IF(S44&lt;=VLOOKUP(I44,Valores!$K$1:$L$4,2,0),"Cumple","No cumple")),IF(S44&lt;=VLOOKUP(K44,Valores!E:F,2,0),"Cumple","No cumple")))</f>
        <v>No cumple</v>
      </c>
      <c r="U44" s="99">
        <f>IFERROR(IF(T44="no cumple",S44-VLOOKUP(I44,Valores!$K$1:$L$4,2,0),0),S44-VLOOKUP(K44,Valores!E:F,2,0))</f>
        <v>5</v>
      </c>
      <c r="V44" s="161" t="s">
        <v>952</v>
      </c>
      <c r="W44" s="120">
        <v>25733</v>
      </c>
      <c r="X44" s="123"/>
      <c r="Y44" s="155" t="s">
        <v>951</v>
      </c>
      <c r="Z44" s="104"/>
    </row>
    <row r="45" spans="1:26" x14ac:dyDescent="0.3">
      <c r="A45" s="116">
        <v>46039</v>
      </c>
      <c r="B45" s="99" t="s">
        <v>95</v>
      </c>
      <c r="C45" s="97">
        <v>100270</v>
      </c>
      <c r="D45" s="14" t="s">
        <v>19</v>
      </c>
      <c r="E45" s="98" t="s">
        <v>797</v>
      </c>
      <c r="F45" s="30" t="s">
        <v>288</v>
      </c>
      <c r="G45" s="100" t="str">
        <f>IFERROR(VLOOKUP(F45,Productos!$A$2:$D$277,2,0)," ")</f>
        <v>Superficie en L Fresno 180x150cm x 70</v>
      </c>
      <c r="H45" s="99">
        <v>1</v>
      </c>
      <c r="I45" s="100" t="str">
        <f>IFERROR(VLOOKUP(F45,Productos!$A$2:$D$277,3,0)," ")</f>
        <v>Superficie</v>
      </c>
      <c r="J45" s="97" t="s">
        <v>23</v>
      </c>
      <c r="K45" s="97" t="s">
        <v>745</v>
      </c>
      <c r="L45" s="14" t="str">
        <f t="shared" si="0"/>
        <v>Despachado</v>
      </c>
      <c r="M45" s="99" t="s">
        <v>735</v>
      </c>
      <c r="N45" s="98" t="s">
        <v>798</v>
      </c>
      <c r="O45" s="86">
        <v>46042</v>
      </c>
      <c r="P45" s="86">
        <v>46043</v>
      </c>
      <c r="Q45" s="101" t="str">
        <f t="shared" si="1"/>
        <v>Entregado</v>
      </c>
      <c r="R45" s="99">
        <f>IF(L45="Despachado",NETWORKDAYS.INTL(A45,O45,11,Valores!$A$2:$A$19)-1,"PTE")</f>
        <v>2</v>
      </c>
      <c r="S45" s="99">
        <f>IF(Q45="Entregado",NETWORKDAYS.INTL(A45,P45,11,Valores!$A$2:$A$19)-1,"PTE")</f>
        <v>3</v>
      </c>
      <c r="T45" s="99" t="str">
        <f>IF(Q45="Entregado",IFERROR(IF(I45=VLOOKUP(I45,Valores!$K$1:$K$4,1,0),IF(S45&lt;=VLOOKUP(I45,Valores!$K$1:$L$4,2,0),"Cumple","No cumple")),IF(S45&lt;=VLOOKUP(K45,Valores!E:F,2,0),"Cumple","No cumple")))</f>
        <v>Cumple</v>
      </c>
      <c r="U45" s="99">
        <f>IFERROR(IF(T45="no cumple",S45-VLOOKUP(I45,Valores!$K$1:$L$4,2,0),0),S45-VLOOKUP(K45,Valores!E:F,2,0))</f>
        <v>0</v>
      </c>
      <c r="V45" s="99"/>
      <c r="W45" s="115">
        <v>39235</v>
      </c>
      <c r="X45" s="122"/>
      <c r="Y45" s="115"/>
      <c r="Z45" s="104"/>
    </row>
    <row r="46" spans="1:26" x14ac:dyDescent="0.3">
      <c r="A46" s="116">
        <v>46039</v>
      </c>
      <c r="B46" s="99" t="s">
        <v>95</v>
      </c>
      <c r="C46" s="97">
        <v>100270</v>
      </c>
      <c r="D46" s="14" t="s">
        <v>19</v>
      </c>
      <c r="E46" s="98" t="s">
        <v>797</v>
      </c>
      <c r="F46" s="30" t="s">
        <v>56</v>
      </c>
      <c r="G46" s="100" t="str">
        <f>IFERROR(VLOOKUP(F46,Productos!$A$2:$D$277,2,0)," ")</f>
        <v>Electric Standing Desk  En L Frame Negro 2.0</v>
      </c>
      <c r="H46" s="99">
        <v>1</v>
      </c>
      <c r="I46" s="100" t="str">
        <f>IFERROR(VLOOKUP(F46,Productos!$A$2:$D$277,3,0)," ")</f>
        <v>Standing Desk</v>
      </c>
      <c r="J46" s="97" t="s">
        <v>23</v>
      </c>
      <c r="K46" s="97" t="s">
        <v>745</v>
      </c>
      <c r="L46" s="14" t="str">
        <f t="shared" si="0"/>
        <v>Despachado</v>
      </c>
      <c r="M46" s="99" t="s">
        <v>742</v>
      </c>
      <c r="N46" s="98" t="s">
        <v>799</v>
      </c>
      <c r="O46" s="86">
        <v>46042</v>
      </c>
      <c r="P46" s="86">
        <v>46050</v>
      </c>
      <c r="Q46" s="101" t="str">
        <f t="shared" si="1"/>
        <v>Entregado</v>
      </c>
      <c r="R46" s="99">
        <f>IF(L46="Despachado",NETWORKDAYS.INTL(A46,O46,11,Valores!$A$2:$A$19)-1,"PTE")</f>
        <v>2</v>
      </c>
      <c r="S46" s="99">
        <f>IF(Q46="Entregado",NETWORKDAYS.INTL(A46,P46,11,Valores!$A$2:$A$19)-1,"PTE")</f>
        <v>9</v>
      </c>
      <c r="T46" s="99" t="str">
        <f>IF(Q46="Entregado",IFERROR(IF(I46=VLOOKUP(I46,Valores!$K$1:$K$4,1,0),IF(S46&lt;=VLOOKUP(I46,Valores!$K$1:$L$4,2,0),"Cumple","No cumple")),IF(S46&lt;=VLOOKUP(K46,Valores!E:F,2,0),"Cumple","No cumple")))</f>
        <v>No cumple</v>
      </c>
      <c r="U46" s="99">
        <f>IFERROR(IF(T46="no cumple",S46-VLOOKUP(I46,Valores!$K$1:$L$4,2,0),0),S46-VLOOKUP(K46,Valores!E:F,2,0))</f>
        <v>6</v>
      </c>
      <c r="V46" s="161" t="s">
        <v>963</v>
      </c>
      <c r="W46" s="120">
        <v>65353</v>
      </c>
      <c r="X46" s="123"/>
      <c r="Y46" s="155" t="s">
        <v>972</v>
      </c>
      <c r="Z46" s="104" t="s">
        <v>800</v>
      </c>
    </row>
    <row r="47" spans="1:26" x14ac:dyDescent="0.3">
      <c r="A47" s="116">
        <v>46042</v>
      </c>
      <c r="B47" s="99" t="s">
        <v>95</v>
      </c>
      <c r="C47" s="97">
        <v>100272</v>
      </c>
      <c r="D47" s="14" t="s">
        <v>19</v>
      </c>
      <c r="E47" s="98" t="s">
        <v>801</v>
      </c>
      <c r="F47" s="30" t="s">
        <v>122</v>
      </c>
      <c r="G47" s="100" t="str">
        <f>IFERROR(VLOOKUP(F47,Productos!$A$2:$D$277,2,0)," ")</f>
        <v>Electric Standing Desk GO Negro</v>
      </c>
      <c r="H47" s="99">
        <v>1</v>
      </c>
      <c r="I47" s="100" t="str">
        <f>IFERROR(VLOOKUP(F47,Productos!$A$2:$D$277,3,0)," ")</f>
        <v>Standing Desk</v>
      </c>
      <c r="J47" s="97" t="s">
        <v>23</v>
      </c>
      <c r="K47" s="97" t="s">
        <v>47</v>
      </c>
      <c r="L47" s="14" t="str">
        <f t="shared" si="0"/>
        <v>Despachado</v>
      </c>
      <c r="M47" s="99" t="s">
        <v>742</v>
      </c>
      <c r="N47" s="98" t="s">
        <v>802</v>
      </c>
      <c r="O47" s="86">
        <v>46043</v>
      </c>
      <c r="P47" s="86">
        <v>46044</v>
      </c>
      <c r="Q47" s="101" t="str">
        <f t="shared" si="1"/>
        <v>Entregado</v>
      </c>
      <c r="R47" s="99">
        <f>IF(L47="Despachado",NETWORKDAYS.INTL(A47,O47,11,Valores!$A$2:$A$19)-1,"PTE")</f>
        <v>1</v>
      </c>
      <c r="S47" s="99">
        <f>IF(Q47="Entregado",NETWORKDAYS.INTL(A47,P47,11,Valores!$A$2:$A$19)-1,"PTE")</f>
        <v>2</v>
      </c>
      <c r="T47" s="99" t="str">
        <f>IF(Q47="Entregado",IFERROR(IF(I47=VLOOKUP(I47,Valores!$K$1:$K$4,1,0),IF(S47&lt;=VLOOKUP(I47,Valores!$K$1:$L$4,2,0),"Cumple","No cumple")),IF(S47&lt;=VLOOKUP(K47,Valores!E:F,2,0),"Cumple","No cumple")))</f>
        <v>Cumple</v>
      </c>
      <c r="U47" s="99">
        <f>IFERROR(IF(T47="no cumple",S47-VLOOKUP(I47,Valores!$K$1:$L$4,2,0),0),S47-VLOOKUP(K47,Valores!E:F,2,0))</f>
        <v>0</v>
      </c>
      <c r="V47" s="99"/>
      <c r="W47" s="115">
        <v>33316</v>
      </c>
      <c r="X47" s="122"/>
      <c r="Y47" s="115"/>
      <c r="Z47" s="104"/>
    </row>
    <row r="48" spans="1:26" x14ac:dyDescent="0.3">
      <c r="A48" s="116">
        <v>46042</v>
      </c>
      <c r="B48" s="99" t="s">
        <v>95</v>
      </c>
      <c r="C48" s="97">
        <v>100272</v>
      </c>
      <c r="D48" s="14" t="s">
        <v>19</v>
      </c>
      <c r="E48" s="98" t="s">
        <v>801</v>
      </c>
      <c r="F48" s="30" t="s">
        <v>473</v>
      </c>
      <c r="G48" s="100" t="str">
        <f>IFERROR(VLOOKUP(F48,Productos!$A$2:$D$277,2,0)," ")</f>
        <v>Superficie Escritorio Roble Negro 120x60 Clasico Small</v>
      </c>
      <c r="H48" s="99">
        <v>1</v>
      </c>
      <c r="I48" s="100" t="str">
        <f>IFERROR(VLOOKUP(F48,Productos!$A$2:$D$277,3,0)," ")</f>
        <v>Superficie</v>
      </c>
      <c r="J48" s="97" t="s">
        <v>23</v>
      </c>
      <c r="K48" s="97" t="s">
        <v>47</v>
      </c>
      <c r="L48" s="14" t="str">
        <f t="shared" si="0"/>
        <v>Despachado</v>
      </c>
      <c r="M48" s="99" t="s">
        <v>742</v>
      </c>
      <c r="N48" s="98" t="s">
        <v>803</v>
      </c>
      <c r="O48" s="86">
        <v>46043</v>
      </c>
      <c r="P48" s="86">
        <v>46045</v>
      </c>
      <c r="Q48" s="101" t="str">
        <f t="shared" si="1"/>
        <v>Entregado</v>
      </c>
      <c r="R48" s="99">
        <f>IF(L48="Despachado",NETWORKDAYS.INTL(A48,O48,11,Valores!$A$2:$A$19)-1,"PTE")</f>
        <v>1</v>
      </c>
      <c r="S48" s="99">
        <f>IF(Q48="Entregado",NETWORKDAYS.INTL(A48,P48,11,Valores!$A$2:$A$19)-1,"PTE")</f>
        <v>3</v>
      </c>
      <c r="T48" s="99" t="str">
        <f>IF(Q48="Entregado",IFERROR(IF(I48=VLOOKUP(I48,Valores!$K$1:$K$4,1,0),IF(S48&lt;=VLOOKUP(I48,Valores!$K$1:$L$4,2,0),"Cumple","No cumple")),IF(S48&lt;=VLOOKUP(K48,Valores!E:F,2,0),"Cumple","No cumple")))</f>
        <v>Cumple</v>
      </c>
      <c r="U48" s="99">
        <f>IFERROR(IF(T48="no cumple",S48-VLOOKUP(I48,Valores!$K$1:$L$4,2,0),0),S48-VLOOKUP(K48,Valores!E:F,2,0))</f>
        <v>0</v>
      </c>
      <c r="V48" s="99"/>
      <c r="W48" s="115">
        <v>43114</v>
      </c>
      <c r="X48" s="122"/>
      <c r="Y48" s="115"/>
      <c r="Z48" s="104"/>
    </row>
    <row r="49" spans="1:26" x14ac:dyDescent="0.3">
      <c r="A49" s="116">
        <v>46043</v>
      </c>
      <c r="B49" s="99" t="s">
        <v>95</v>
      </c>
      <c r="C49" s="97">
        <v>100273</v>
      </c>
      <c r="D49" s="14" t="s">
        <v>19</v>
      </c>
      <c r="E49" s="98" t="s">
        <v>810</v>
      </c>
      <c r="F49" s="30" t="s">
        <v>294</v>
      </c>
      <c r="G49" s="100" t="str">
        <f>IFERROR(VLOOKUP(F49,Productos!$A$2:$D$277,2,0)," ")</f>
        <v>Superficie  Fresno Europeo 170x70 Clasico</v>
      </c>
      <c r="H49" s="99">
        <v>1</v>
      </c>
      <c r="I49" s="100" t="str">
        <f>IFERROR(VLOOKUP(F49,Productos!$A$2:$D$277,3,0)," ")</f>
        <v>Superficie</v>
      </c>
      <c r="J49" s="97" t="s">
        <v>41</v>
      </c>
      <c r="K49" s="97" t="s">
        <v>40</v>
      </c>
      <c r="L49" s="14" t="str">
        <f t="shared" si="0"/>
        <v>Despachado</v>
      </c>
      <c r="M49" s="99" t="s">
        <v>735</v>
      </c>
      <c r="N49" s="98" t="s">
        <v>811</v>
      </c>
      <c r="O49" s="86">
        <v>46049</v>
      </c>
      <c r="P49" s="86">
        <v>46050</v>
      </c>
      <c r="Q49" s="101" t="str">
        <f t="shared" si="1"/>
        <v>Entregado</v>
      </c>
      <c r="R49" s="99">
        <f>IF(L49="Despachado",NETWORKDAYS.INTL(A49,O49,11,Valores!$A$2:$A$19)-1,"PTE")</f>
        <v>5</v>
      </c>
      <c r="S49" s="99">
        <f>IF(Q49="Entregado",NETWORKDAYS.INTL(A49,P49,11,Valores!$A$2:$A$19)-1,"PTE")</f>
        <v>6</v>
      </c>
      <c r="T49" s="99" t="str">
        <f>IF(Q49="Entregado",IFERROR(IF(I49=VLOOKUP(I49,Valores!$K$1:$K$4,1,0),IF(S49&lt;=VLOOKUP(I49,Valores!$K$1:$L$4,2,0),"Cumple","No cumple")),IF(S49&lt;=VLOOKUP(K49,Valores!E:F,2,0),"Cumple","No cumple")))</f>
        <v>No cumple</v>
      </c>
      <c r="U49" s="99">
        <f>IFERROR(IF(T49="no cumple",S49-VLOOKUP(I49,Valores!$K$1:$L$4,2,0),0),S49-VLOOKUP(K49,Valores!E:F,2,0))</f>
        <v>3</v>
      </c>
      <c r="V49" s="161" t="s">
        <v>952</v>
      </c>
      <c r="W49" s="120">
        <v>35290</v>
      </c>
      <c r="X49" s="123"/>
      <c r="Y49" s="155" t="s">
        <v>964</v>
      </c>
      <c r="Z49" s="104"/>
    </row>
    <row r="50" spans="1:26" x14ac:dyDescent="0.3">
      <c r="A50" s="116">
        <v>46043</v>
      </c>
      <c r="B50" s="99" t="s">
        <v>95</v>
      </c>
      <c r="C50" s="97">
        <v>100273</v>
      </c>
      <c r="D50" s="14" t="s">
        <v>19</v>
      </c>
      <c r="E50" s="98" t="s">
        <v>810</v>
      </c>
      <c r="F50" s="30" t="s">
        <v>122</v>
      </c>
      <c r="G50" s="100" t="str">
        <f>IFERROR(VLOOKUP(F50,Productos!$A$2:$D$277,2,0)," ")</f>
        <v>Electric Standing Desk GO Negro</v>
      </c>
      <c r="H50" s="99">
        <v>1</v>
      </c>
      <c r="I50" s="100" t="str">
        <f>IFERROR(VLOOKUP(F50,Productos!$A$2:$D$277,3,0)," ")</f>
        <v>Standing Desk</v>
      </c>
      <c r="J50" s="97" t="s">
        <v>41</v>
      </c>
      <c r="K50" s="97" t="s">
        <v>40</v>
      </c>
      <c r="L50" s="14" t="str">
        <f t="shared" si="0"/>
        <v>Despachado</v>
      </c>
      <c r="M50" s="99" t="s">
        <v>742</v>
      </c>
      <c r="N50" s="98" t="s">
        <v>812</v>
      </c>
      <c r="O50" s="86">
        <v>46049</v>
      </c>
      <c r="P50" s="86">
        <v>46050</v>
      </c>
      <c r="Q50" s="101" t="str">
        <f t="shared" si="1"/>
        <v>Entregado</v>
      </c>
      <c r="R50" s="99">
        <f>IF(L50="Despachado",NETWORKDAYS.INTL(A50,O50,11,Valores!$A$2:$A$19)-1,"PTE")</f>
        <v>5</v>
      </c>
      <c r="S50" s="99">
        <f>IF(Q50="Entregado",NETWORKDAYS.INTL(A50,P50,11,Valores!$A$2:$A$19)-1,"PTE")</f>
        <v>6</v>
      </c>
      <c r="T50" s="99" t="str">
        <f>IF(Q50="Entregado",IFERROR(IF(I50=VLOOKUP(I50,Valores!$K$1:$K$4,1,0),IF(S50&lt;=VLOOKUP(I50,Valores!$K$1:$L$4,2,0),"Cumple","No cumple")),IF(S50&lt;=VLOOKUP(K50,Valores!E:F,2,0),"Cumple","No cumple")))</f>
        <v>No cumple</v>
      </c>
      <c r="U50" s="99">
        <f>IFERROR(IF(T50="no cumple",S50-VLOOKUP(I50,Valores!$K$1:$L$4,2,0),0),S50-VLOOKUP(K50,Valores!E:F,2,0))</f>
        <v>3</v>
      </c>
      <c r="V50" s="161" t="s">
        <v>952</v>
      </c>
      <c r="W50" s="115">
        <v>43114</v>
      </c>
      <c r="X50" s="122"/>
      <c r="Y50" s="159" t="s">
        <v>964</v>
      </c>
      <c r="Z50" s="104"/>
    </row>
    <row r="51" spans="1:26" x14ac:dyDescent="0.3">
      <c r="A51" s="116">
        <v>46043</v>
      </c>
      <c r="B51" s="99" t="s">
        <v>95</v>
      </c>
      <c r="C51" s="97">
        <v>100274</v>
      </c>
      <c r="D51" s="14" t="s">
        <v>19</v>
      </c>
      <c r="E51" s="98" t="s">
        <v>813</v>
      </c>
      <c r="F51" s="102" t="s">
        <v>289</v>
      </c>
      <c r="G51" s="100" t="str">
        <f>IFERROR(VLOOKUP(F51,Productos!$A$2:$D$277,2,0)," ")</f>
        <v>Superficie  Fresno Europeo 120x70 Clasico Small</v>
      </c>
      <c r="H51" s="99">
        <v>1</v>
      </c>
      <c r="I51" s="100" t="str">
        <f>IFERROR(VLOOKUP(F51,Productos!$A$2:$D$277,3,0)," ")</f>
        <v>Superficie</v>
      </c>
      <c r="J51" s="97" t="s">
        <v>20</v>
      </c>
      <c r="K51" s="97" t="s">
        <v>749</v>
      </c>
      <c r="L51" s="14" t="str">
        <f t="shared" si="0"/>
        <v>Despachado</v>
      </c>
      <c r="M51" s="99" t="s">
        <v>742</v>
      </c>
      <c r="N51" s="98" t="s">
        <v>816</v>
      </c>
      <c r="O51" s="86">
        <v>46048</v>
      </c>
      <c r="P51" s="86">
        <v>46051</v>
      </c>
      <c r="Q51" s="101" t="str">
        <f t="shared" si="1"/>
        <v>Entregado</v>
      </c>
      <c r="R51" s="99">
        <f>IF(L51="Despachado",NETWORKDAYS.INTL(A51,O51,11,Valores!$A$2:$A$19)-1,"PTE")</f>
        <v>4</v>
      </c>
      <c r="S51" s="99">
        <f>IF(Q51="Entregado",NETWORKDAYS.INTL(A51,P51,11,Valores!$A$2:$A$19)-1,"PTE")</f>
        <v>7</v>
      </c>
      <c r="T51" s="99" t="str">
        <f>IF(Q51="Entregado",IFERROR(IF(I51=VLOOKUP(I51,Valores!$K$1:$K$4,1,0),IF(S51&lt;=VLOOKUP(I51,Valores!$K$1:$L$4,2,0),"Cumple","No cumple")),IF(S51&lt;=VLOOKUP(K51,Valores!E:F,2,0),"Cumple","No cumple")))</f>
        <v>No cumple</v>
      </c>
      <c r="U51" s="99">
        <f>IFERROR(IF(T51="no cumple",S51-VLOOKUP(I51,Valores!$K$1:$L$4,2,0),0),S51-VLOOKUP(K51,Valores!E:F,2,0))</f>
        <v>4</v>
      </c>
      <c r="V51" s="161" t="s">
        <v>966</v>
      </c>
      <c r="W51" s="120">
        <v>25952</v>
      </c>
      <c r="X51" s="123"/>
      <c r="Y51" s="155" t="s">
        <v>967</v>
      </c>
      <c r="Z51" s="104" t="s">
        <v>965</v>
      </c>
    </row>
    <row r="52" spans="1:26" x14ac:dyDescent="0.3">
      <c r="A52" s="116">
        <v>46043</v>
      </c>
      <c r="B52" s="99" t="s">
        <v>95</v>
      </c>
      <c r="C52" s="97">
        <v>100274</v>
      </c>
      <c r="D52" s="14" t="s">
        <v>19</v>
      </c>
      <c r="E52" s="98" t="s">
        <v>813</v>
      </c>
      <c r="F52" s="30" t="s">
        <v>626</v>
      </c>
      <c r="G52" s="100" t="str">
        <f>IFERROR(VLOOKUP(F52,Productos!$A$2:$D$277,2,0)," ")</f>
        <v>Repisa Escritorio Fresno Europeo x 80cm</v>
      </c>
      <c r="H52" s="99">
        <v>1</v>
      </c>
      <c r="I52" s="100" t="str">
        <f>IFERROR(VLOOKUP(F52,Productos!$A$2:$D$277,3,0)," ")</f>
        <v>Repisa</v>
      </c>
      <c r="J52" s="97" t="s">
        <v>20</v>
      </c>
      <c r="K52" s="97" t="s">
        <v>749</v>
      </c>
      <c r="L52" s="14" t="str">
        <f t="shared" si="0"/>
        <v>Despachado</v>
      </c>
      <c r="M52" s="99" t="s">
        <v>742</v>
      </c>
      <c r="N52" s="98" t="s">
        <v>816</v>
      </c>
      <c r="O52" s="86">
        <v>46048</v>
      </c>
      <c r="P52" s="86">
        <v>46051</v>
      </c>
      <c r="Q52" s="101" t="str">
        <f t="shared" si="1"/>
        <v>Entregado</v>
      </c>
      <c r="R52" s="99">
        <f>IF(L52="Despachado",NETWORKDAYS.INTL(A52,O52,11,Valores!$A$2:$A$19)-1,"PTE")</f>
        <v>4</v>
      </c>
      <c r="S52" s="99">
        <f>IF(Q52="Entregado",NETWORKDAYS.INTL(A52,P52,11,Valores!$A$2:$A$19)-1,"PTE")</f>
        <v>7</v>
      </c>
      <c r="T52" s="99" t="str">
        <f>IF(Q52="Entregado",IFERROR(IF(I52=VLOOKUP(I52,Valores!$K$1:$K$4,1,0),IF(S52&lt;=VLOOKUP(I52,Valores!$K$1:$L$4,2,0),"Cumple","No cumple")),IF(S52&lt;=VLOOKUP(K52,Valores!E:F,2,0),"Cumple","No cumple")))</f>
        <v>No cumple</v>
      </c>
      <c r="U52" s="99">
        <f>IFERROR(IF(T52="no cumple",S52-VLOOKUP(I52,Valores!$K$1:$L$4,2,0),0),S52-VLOOKUP(K52,Valores!E:F,2,0))</f>
        <v>4</v>
      </c>
      <c r="V52" s="161" t="s">
        <v>966</v>
      </c>
      <c r="W52" s="120">
        <v>0</v>
      </c>
      <c r="X52" s="123"/>
      <c r="Y52" s="155" t="s">
        <v>964</v>
      </c>
      <c r="Z52" s="104"/>
    </row>
    <row r="53" spans="1:26" x14ac:dyDescent="0.3">
      <c r="A53" s="116">
        <v>46043</v>
      </c>
      <c r="B53" s="99" t="s">
        <v>95</v>
      </c>
      <c r="C53" s="97">
        <v>100274</v>
      </c>
      <c r="D53" s="14" t="s">
        <v>19</v>
      </c>
      <c r="E53" s="98" t="s">
        <v>813</v>
      </c>
      <c r="F53" s="102" t="s">
        <v>122</v>
      </c>
      <c r="G53" s="100" t="str">
        <f>IFERROR(VLOOKUP(F53,Productos!$A$2:$D$277,2,0)," ")</f>
        <v>Electric Standing Desk GO Negro</v>
      </c>
      <c r="H53" s="99">
        <v>1</v>
      </c>
      <c r="I53" s="100" t="str">
        <f>IFERROR(VLOOKUP(F53,Productos!$A$2:$D$277,3,0)," ")</f>
        <v>Standing Desk</v>
      </c>
      <c r="J53" s="97" t="s">
        <v>20</v>
      </c>
      <c r="K53" s="97" t="s">
        <v>749</v>
      </c>
      <c r="L53" s="14" t="str">
        <f t="shared" si="0"/>
        <v>Despachado</v>
      </c>
      <c r="M53" s="99" t="s">
        <v>742</v>
      </c>
      <c r="N53" s="98" t="s">
        <v>815</v>
      </c>
      <c r="O53" s="86">
        <v>46048</v>
      </c>
      <c r="P53" s="86">
        <v>46049</v>
      </c>
      <c r="Q53" s="101" t="str">
        <f t="shared" si="1"/>
        <v>Entregado</v>
      </c>
      <c r="R53" s="99">
        <f>IF(L53="Despachado",NETWORKDAYS.INTL(A53,O53,11,Valores!$A$2:$A$19)-1,"PTE")</f>
        <v>4</v>
      </c>
      <c r="S53" s="99">
        <f>IF(Q53="Entregado",NETWORKDAYS.INTL(A53,P53,11,Valores!$A$2:$A$19)-1,"PTE")</f>
        <v>5</v>
      </c>
      <c r="T53" s="99" t="str">
        <f>IF(Q53="Entregado",IFERROR(IF(I53=VLOOKUP(I53,Valores!$K$1:$K$4,1,0),IF(S53&lt;=VLOOKUP(I53,Valores!$K$1:$L$4,2,0),"Cumple","No cumple")),IF(S53&lt;=VLOOKUP(K53,Valores!E:F,2,0),"Cumple","No cumple")))</f>
        <v>No cumple</v>
      </c>
      <c r="U53" s="99">
        <f>IFERROR(IF(T53="no cumple",S53-VLOOKUP(I53,Valores!$K$1:$L$4,2,0),0),S53-VLOOKUP(K53,Valores!E:F,2,0))</f>
        <v>2</v>
      </c>
      <c r="V53" s="161" t="s">
        <v>952</v>
      </c>
      <c r="W53" s="120">
        <v>43114</v>
      </c>
      <c r="X53" s="123"/>
      <c r="Y53" s="155" t="s">
        <v>951</v>
      </c>
      <c r="Z53" s="104"/>
    </row>
    <row r="54" spans="1:26" x14ac:dyDescent="0.3">
      <c r="A54" s="116">
        <v>46043</v>
      </c>
      <c r="B54" s="99" t="s">
        <v>95</v>
      </c>
      <c r="C54" s="97">
        <v>100274</v>
      </c>
      <c r="D54" s="14" t="s">
        <v>19</v>
      </c>
      <c r="E54" s="98" t="s">
        <v>813</v>
      </c>
      <c r="F54" s="30" t="s">
        <v>235</v>
      </c>
      <c r="G54" s="100" t="str">
        <f>IFERROR(VLOOKUP(F54,Productos!$A$2:$D$277,2,0)," ")</f>
        <v>Bandeja de cables</v>
      </c>
      <c r="H54" s="99">
        <v>1</v>
      </c>
      <c r="I54" s="100" t="str">
        <f>IFERROR(VLOOKUP(F54,Productos!$A$2:$D$277,3,0)," ")</f>
        <v>Accesorio</v>
      </c>
      <c r="J54" s="97" t="s">
        <v>20</v>
      </c>
      <c r="K54" s="97" t="s">
        <v>749</v>
      </c>
      <c r="L54" s="14" t="str">
        <f t="shared" si="0"/>
        <v>Despachado</v>
      </c>
      <c r="M54" s="99" t="s">
        <v>742</v>
      </c>
      <c r="N54" s="98" t="s">
        <v>814</v>
      </c>
      <c r="O54" s="86">
        <v>46048</v>
      </c>
      <c r="P54" s="86">
        <v>46049</v>
      </c>
      <c r="Q54" s="101" t="str">
        <f t="shared" si="1"/>
        <v>Entregado</v>
      </c>
      <c r="R54" s="99">
        <f>IF(L54="Despachado",NETWORKDAYS.INTL(A54,O54,11,Valores!$A$2:$A$19)-1,"PTE")</f>
        <v>4</v>
      </c>
      <c r="S54" s="99">
        <f>IF(Q54="Entregado",NETWORKDAYS.INTL(A54,P54,11,Valores!$A$2:$A$19)-1,"PTE")</f>
        <v>5</v>
      </c>
      <c r="T54" s="99" t="str">
        <f>IF(Q54="Entregado",IFERROR(IF(I54=VLOOKUP(I54,Valores!$K$1:$K$4,1,0),IF(S54&lt;=VLOOKUP(I54,Valores!$K$1:$L$4,2,0),"Cumple","No cumple")),IF(S54&lt;=VLOOKUP(K54,Valores!E:F,2,0),"Cumple","No cumple")))</f>
        <v>No cumple</v>
      </c>
      <c r="U54" s="99">
        <f>IFERROR(IF(T54="no cumple",S54-VLOOKUP(I54,Valores!$K$1:$L$4,2,0),0),S54-VLOOKUP(K54,Valores!E:F,2,0))</f>
        <v>2</v>
      </c>
      <c r="V54" s="161" t="s">
        <v>952</v>
      </c>
      <c r="W54" s="115">
        <v>26681</v>
      </c>
      <c r="X54" s="122"/>
      <c r="Y54" s="155" t="s">
        <v>951</v>
      </c>
      <c r="Z54" s="104"/>
    </row>
    <row r="55" spans="1:26" x14ac:dyDescent="0.3">
      <c r="A55" s="116">
        <v>46044</v>
      </c>
      <c r="B55" s="99" t="s">
        <v>95</v>
      </c>
      <c r="C55" s="97">
        <v>100275</v>
      </c>
      <c r="D55" s="14" t="s">
        <v>19</v>
      </c>
      <c r="E55" s="98" t="s">
        <v>817</v>
      </c>
      <c r="F55" s="30" t="s">
        <v>235</v>
      </c>
      <c r="G55" s="100" t="str">
        <f>IFERROR(VLOOKUP(F55,Productos!$A$2:$D$277,2,0)," ")</f>
        <v>Bandeja de cables</v>
      </c>
      <c r="H55" s="99">
        <v>1</v>
      </c>
      <c r="I55" s="100" t="str">
        <f>IFERROR(VLOOKUP(F55,Productos!$A$2:$D$277,3,0)," ")</f>
        <v>Accesorio</v>
      </c>
      <c r="J55" s="97" t="s">
        <v>20</v>
      </c>
      <c r="K55" s="97" t="s">
        <v>749</v>
      </c>
      <c r="L55" s="14" t="str">
        <f t="shared" si="0"/>
        <v>Despachado</v>
      </c>
      <c r="M55" s="99" t="s">
        <v>742</v>
      </c>
      <c r="N55" s="98" t="s">
        <v>818</v>
      </c>
      <c r="O55" s="86">
        <v>46044</v>
      </c>
      <c r="P55" s="86">
        <v>46045</v>
      </c>
      <c r="Q55" s="101" t="str">
        <f t="shared" si="1"/>
        <v>Entregado</v>
      </c>
      <c r="R55" s="99">
        <f>IF(L55="Despachado",NETWORKDAYS.INTL(A55,O55,11,Valores!$A$2:$A$19)-1,"PTE")</f>
        <v>0</v>
      </c>
      <c r="S55" s="99">
        <f>IF(Q55="Entregado",NETWORKDAYS.INTL(A55,P55,11,Valores!$A$2:$A$19)-1,"PTE")</f>
        <v>1</v>
      </c>
      <c r="T55" s="99" t="str">
        <f>IF(Q55="Entregado",IFERROR(IF(I55=VLOOKUP(I55,Valores!$K$1:$K$4,1,0),IF(S55&lt;=VLOOKUP(I55,Valores!$K$1:$L$4,2,0),"Cumple","No cumple")),IF(S55&lt;=VLOOKUP(K55,Valores!E:F,2,0),"Cumple","No cumple")))</f>
        <v>Cumple</v>
      </c>
      <c r="U55" s="99">
        <f>IFERROR(IF(T55="no cumple",S55-VLOOKUP(I55,Valores!$K$1:$L$4,2,0),0),S55-VLOOKUP(K55,Valores!E:F,2,0))</f>
        <v>0</v>
      </c>
      <c r="V55" s="99"/>
      <c r="W55" s="115">
        <v>26681</v>
      </c>
      <c r="X55" s="122"/>
      <c r="Y55" s="115"/>
      <c r="Z55" s="104"/>
    </row>
    <row r="56" spans="1:26" x14ac:dyDescent="0.3">
      <c r="A56" s="116">
        <v>46049</v>
      </c>
      <c r="B56" s="99" t="s">
        <v>95</v>
      </c>
      <c r="C56" s="97">
        <v>100276</v>
      </c>
      <c r="D56" s="14" t="s">
        <v>19</v>
      </c>
      <c r="E56" s="98" t="s">
        <v>819</v>
      </c>
      <c r="F56" s="30" t="s">
        <v>128</v>
      </c>
      <c r="G56" s="100" t="str">
        <f>IFERROR(VLOOKUP(F56,Productos!$A$2:$D$277,2,0)," ")</f>
        <v>Electric Standing Desk  PRO Negro</v>
      </c>
      <c r="H56" s="99">
        <v>1</v>
      </c>
      <c r="I56" s="100" t="str">
        <f>IFERROR(VLOOKUP(F56,Productos!$A$2:$D$277,3,0)," ")</f>
        <v>Standing Desk</v>
      </c>
      <c r="J56" s="97" t="s">
        <v>23</v>
      </c>
      <c r="K56" s="97" t="s">
        <v>820</v>
      </c>
      <c r="L56" s="14" t="str">
        <f t="shared" si="0"/>
        <v>Despachado</v>
      </c>
      <c r="M56" s="99" t="s">
        <v>742</v>
      </c>
      <c r="N56" s="98" t="s">
        <v>821</v>
      </c>
      <c r="O56" s="86">
        <v>46049</v>
      </c>
      <c r="P56" s="86">
        <v>46066</v>
      </c>
      <c r="Q56" s="101" t="str">
        <f t="shared" si="1"/>
        <v>Entregado</v>
      </c>
      <c r="R56" s="99">
        <f>IF(L56="Despachado",NETWORKDAYS.INTL(A56,O56,11,Valores!$A$2:$A$19)-1,"PTE")</f>
        <v>0</v>
      </c>
      <c r="S56" s="99">
        <f>IF(Q56="Entregado",NETWORKDAYS.INTL(A56,P56,11,Valores!$A$2:$A$19)-1,"PTE")</f>
        <v>15</v>
      </c>
      <c r="T56" s="99" t="str">
        <f>IF(Q56="Entregado",IFERROR(IF(I56=VLOOKUP(I56,Valores!$K$1:$K$4,1,0),IF(S56&lt;=VLOOKUP(I56,Valores!$K$1:$L$4,2,0),"Cumple","No cumple")),IF(S56&lt;=VLOOKUP(K56,Valores!E:F,2,0),"Cumple","No cumple")))</f>
        <v>No cumple</v>
      </c>
      <c r="U56" s="99">
        <f>IFERROR(IF(T56="no cumple",S56-VLOOKUP(I56,Valores!$K$1:$L$4,2,0),0),S56-VLOOKUP(K56,Valores!E:F,2,0))</f>
        <v>10</v>
      </c>
      <c r="V56" s="161" t="s">
        <v>963</v>
      </c>
      <c r="W56" s="120">
        <v>36550</v>
      </c>
      <c r="X56" s="123"/>
      <c r="Y56" s="155" t="s">
        <v>972</v>
      </c>
      <c r="Z56" s="104" t="s">
        <v>822</v>
      </c>
    </row>
    <row r="57" spans="1:26" x14ac:dyDescent="0.3">
      <c r="A57" s="116">
        <v>46051</v>
      </c>
      <c r="B57" s="99" t="s">
        <v>95</v>
      </c>
      <c r="C57" s="97">
        <v>100277</v>
      </c>
      <c r="D57" s="14" t="s">
        <v>19</v>
      </c>
      <c r="E57" s="98" t="s">
        <v>823</v>
      </c>
      <c r="F57" s="30" t="s">
        <v>398</v>
      </c>
      <c r="G57" s="100" t="str">
        <f>IFERROR(VLOOKUP(F57,Productos!$A$2:$D$277,2,0)," ")</f>
        <v>Electric Standing Desk  PRO Negro circular</v>
      </c>
      <c r="H57" s="99">
        <v>1</v>
      </c>
      <c r="I57" s="100" t="str">
        <f>IFERROR(VLOOKUP(F57,Productos!$A$2:$D$277,3,0)," ")</f>
        <v>Standing Desk</v>
      </c>
      <c r="J57" s="97" t="s">
        <v>757</v>
      </c>
      <c r="K57" s="97" t="s">
        <v>194</v>
      </c>
      <c r="L57" s="14" t="str">
        <f t="shared" si="0"/>
        <v>Despachado</v>
      </c>
      <c r="M57" s="99" t="s">
        <v>758</v>
      </c>
      <c r="N57" s="98" t="s">
        <v>753</v>
      </c>
      <c r="O57" s="86">
        <v>46051</v>
      </c>
      <c r="P57" s="86">
        <v>46051</v>
      </c>
      <c r="Q57" s="101" t="str">
        <f t="shared" si="1"/>
        <v>Entregado</v>
      </c>
      <c r="R57" s="99">
        <f>IF(L57="Despachado",NETWORKDAYS.INTL(A57,O57,11,Valores!$A$2:$A$19)-1,"PTE")</f>
        <v>0</v>
      </c>
      <c r="S57" s="99">
        <f>IF(Q57="Entregado",NETWORKDAYS.INTL(A57,P57,11,Valores!$A$2:$A$19)-1,"PTE")</f>
        <v>0</v>
      </c>
      <c r="T57" s="99" t="str">
        <f>IF(Q57="Entregado",IFERROR(IF(I57=VLOOKUP(I57,Valores!$K$1:$K$4,1,0),IF(S57&lt;=VLOOKUP(I57,Valores!$K$1:$L$4,2,0),"Cumple","No cumple")),IF(S57&lt;=VLOOKUP(K57,Valores!E:F,2,0),"Cumple","No cumple")))</f>
        <v>Cumple</v>
      </c>
      <c r="U57" s="99">
        <f>IFERROR(IF(T57="no cumple",S57-VLOOKUP(I57,Valores!$K$1:$L$4,2,0),0),S57-VLOOKUP(K57,Valores!E:F,2,0))</f>
        <v>0</v>
      </c>
      <c r="V57" s="99"/>
      <c r="W57" s="115">
        <v>50000</v>
      </c>
      <c r="X57" s="122"/>
      <c r="Y57" s="115"/>
      <c r="Z57" s="104"/>
    </row>
    <row r="58" spans="1:26" x14ac:dyDescent="0.3">
      <c r="A58" s="116">
        <v>46051</v>
      </c>
      <c r="B58" s="99" t="s">
        <v>95</v>
      </c>
      <c r="C58" s="97">
        <v>100277</v>
      </c>
      <c r="D58" s="14" t="s">
        <v>19</v>
      </c>
      <c r="E58" s="98" t="s">
        <v>823</v>
      </c>
      <c r="F58" s="30" t="s">
        <v>398</v>
      </c>
      <c r="G58" s="100" t="str">
        <f>IFERROR(VLOOKUP(F58,Productos!$A$2:$D$277,2,0)," ")</f>
        <v>Electric Standing Desk  PRO Negro circular</v>
      </c>
      <c r="H58" s="99">
        <v>1</v>
      </c>
      <c r="I58" s="100" t="str">
        <f>IFERROR(VLOOKUP(F58,Productos!$A$2:$D$277,3,0)," ")</f>
        <v>Standing Desk</v>
      </c>
      <c r="J58" s="97" t="s">
        <v>757</v>
      </c>
      <c r="K58" s="97" t="s">
        <v>194</v>
      </c>
      <c r="L58" s="14" t="str">
        <f t="shared" si="0"/>
        <v>Despachado</v>
      </c>
      <c r="M58" s="99" t="s">
        <v>758</v>
      </c>
      <c r="N58" s="98" t="s">
        <v>753</v>
      </c>
      <c r="O58" s="86">
        <v>46051</v>
      </c>
      <c r="P58" s="86">
        <v>46051</v>
      </c>
      <c r="Q58" s="101" t="str">
        <f t="shared" si="1"/>
        <v>Entregado</v>
      </c>
      <c r="R58" s="99">
        <f>IF(L58="Despachado",NETWORKDAYS.INTL(A58,O58,11,Valores!$A$2:$A$19)-1,"PTE")</f>
        <v>0</v>
      </c>
      <c r="S58" s="99">
        <f>IF(Q58="Entregado",NETWORKDAYS.INTL(A58,P58,11,Valores!$A$2:$A$19)-1,"PTE")</f>
        <v>0</v>
      </c>
      <c r="T58" s="99" t="str">
        <f>IF(Q58="Entregado",IFERROR(IF(I58=VLOOKUP(I58,Valores!$K$1:$K$4,1,0),IF(S58&lt;=VLOOKUP(I58,Valores!$K$1:$L$4,2,0),"Cumple","No cumple")),IF(S58&lt;=VLOOKUP(K58,Valores!E:F,2,0),"Cumple","No cumple")))</f>
        <v>Cumple</v>
      </c>
      <c r="U58" s="99">
        <f>IFERROR(IF(T58="no cumple",S58-VLOOKUP(I58,Valores!$K$1:$L$4,2,0),0),S58-VLOOKUP(K58,Valores!E:F,2,0))</f>
        <v>0</v>
      </c>
      <c r="V58" s="99"/>
      <c r="W58" s="115">
        <v>0</v>
      </c>
      <c r="X58" s="122"/>
      <c r="Y58" s="115"/>
      <c r="Z58" s="104"/>
    </row>
    <row r="59" spans="1:26" x14ac:dyDescent="0.3">
      <c r="A59" s="116">
        <v>46051</v>
      </c>
      <c r="B59" s="99" t="s">
        <v>95</v>
      </c>
      <c r="C59" s="97">
        <v>100277</v>
      </c>
      <c r="D59" s="14" t="s">
        <v>19</v>
      </c>
      <c r="E59" s="98" t="s">
        <v>823</v>
      </c>
      <c r="F59" s="30" t="s">
        <v>25</v>
      </c>
      <c r="G59" s="100" t="str">
        <f>IFERROR(VLOOKUP(F59,Productos!$A$2:$D$277,2,0)," ")</f>
        <v>Superficie Caramelo 150x70 Clasico</v>
      </c>
      <c r="H59" s="99">
        <v>1</v>
      </c>
      <c r="I59" s="100" t="str">
        <f>IFERROR(VLOOKUP(F59,Productos!$A$2:$D$277,3,0)," ")</f>
        <v>Superficie</v>
      </c>
      <c r="J59" s="97" t="s">
        <v>757</v>
      </c>
      <c r="K59" s="97" t="s">
        <v>194</v>
      </c>
      <c r="L59" s="14" t="str">
        <f t="shared" si="0"/>
        <v>Despachado</v>
      </c>
      <c r="M59" s="99" t="s">
        <v>758</v>
      </c>
      <c r="N59" s="98" t="s">
        <v>753</v>
      </c>
      <c r="O59" s="86">
        <v>46051</v>
      </c>
      <c r="P59" s="86">
        <v>46051</v>
      </c>
      <c r="Q59" s="101" t="str">
        <f t="shared" si="1"/>
        <v>Entregado</v>
      </c>
      <c r="R59" s="99">
        <f>IF(L59="Despachado",NETWORKDAYS.INTL(A59,O59,11,Valores!$A$2:$A$19)-1,"PTE")</f>
        <v>0</v>
      </c>
      <c r="S59" s="99">
        <f>IF(Q59="Entregado",NETWORKDAYS.INTL(A59,P59,11,Valores!$A$2:$A$19)-1,"PTE")</f>
        <v>0</v>
      </c>
      <c r="T59" s="99" t="str">
        <f>IF(Q59="Entregado",IFERROR(IF(I59=VLOOKUP(I59,Valores!$K$1:$K$4,1,0),IF(S59&lt;=VLOOKUP(I59,Valores!$K$1:$L$4,2,0),"Cumple","No cumple")),IF(S59&lt;=VLOOKUP(K59,Valores!E:F,2,0),"Cumple","No cumple")))</f>
        <v>Cumple</v>
      </c>
      <c r="U59" s="99">
        <f>IFERROR(IF(T59="no cumple",S59-VLOOKUP(I59,Valores!$K$1:$L$4,2,0),0),S59-VLOOKUP(K59,Valores!E:F,2,0))</f>
        <v>0</v>
      </c>
      <c r="V59" s="99"/>
      <c r="W59" s="115">
        <v>0</v>
      </c>
      <c r="X59" s="122"/>
      <c r="Y59" s="115"/>
      <c r="Z59" s="104"/>
    </row>
    <row r="60" spans="1:26" x14ac:dyDescent="0.3">
      <c r="A60" s="116">
        <v>46051</v>
      </c>
      <c r="B60" s="99" t="s">
        <v>95</v>
      </c>
      <c r="C60" s="97">
        <v>100277</v>
      </c>
      <c r="D60" s="14" t="s">
        <v>19</v>
      </c>
      <c r="E60" s="98" t="s">
        <v>823</v>
      </c>
      <c r="F60" s="30" t="s">
        <v>25</v>
      </c>
      <c r="G60" s="100" t="str">
        <f>IFERROR(VLOOKUP(F60,Productos!$A$2:$D$277,2,0)," ")</f>
        <v>Superficie Caramelo 150x70 Clasico</v>
      </c>
      <c r="H60" s="99">
        <v>1</v>
      </c>
      <c r="I60" s="100" t="str">
        <f>IFERROR(VLOOKUP(F60,Productos!$A$2:$D$277,3,0)," ")</f>
        <v>Superficie</v>
      </c>
      <c r="J60" s="97" t="s">
        <v>757</v>
      </c>
      <c r="K60" s="97" t="s">
        <v>194</v>
      </c>
      <c r="L60" s="14" t="str">
        <f t="shared" si="0"/>
        <v>Despachado</v>
      </c>
      <c r="M60" s="99" t="s">
        <v>758</v>
      </c>
      <c r="N60" s="98" t="s">
        <v>753</v>
      </c>
      <c r="O60" s="86">
        <v>46051</v>
      </c>
      <c r="P60" s="86">
        <v>46051</v>
      </c>
      <c r="Q60" s="101" t="str">
        <f t="shared" si="1"/>
        <v>Entregado</v>
      </c>
      <c r="R60" s="99">
        <f>IF(L60="Despachado",NETWORKDAYS.INTL(A60,O60,11,Valores!$A$2:$A$19)-1,"PTE")</f>
        <v>0</v>
      </c>
      <c r="S60" s="99">
        <f>IF(Q60="Entregado",NETWORKDAYS.INTL(A60,P60,11,Valores!$A$2:$A$19)-1,"PTE")</f>
        <v>0</v>
      </c>
      <c r="T60" s="99" t="str">
        <f>IF(Q60="Entregado",IFERROR(IF(I60=VLOOKUP(I60,Valores!$K$1:$K$4,1,0),IF(S60&lt;=VLOOKUP(I60,Valores!$K$1:$L$4,2,0),"Cumple","No cumple")),IF(S60&lt;=VLOOKUP(K60,Valores!E:F,2,0),"Cumple","No cumple")))</f>
        <v>Cumple</v>
      </c>
      <c r="U60" s="99">
        <f>IFERROR(IF(T60="no cumple",S60-VLOOKUP(I60,Valores!$K$1:$L$4,2,0),0),S60-VLOOKUP(K60,Valores!E:F,2,0))</f>
        <v>0</v>
      </c>
      <c r="V60" s="99"/>
      <c r="W60" s="115">
        <v>0</v>
      </c>
      <c r="X60" s="122"/>
      <c r="Y60" s="115"/>
      <c r="Z60" s="104"/>
    </row>
    <row r="61" spans="1:26" x14ac:dyDescent="0.3">
      <c r="A61" s="116">
        <v>46051</v>
      </c>
      <c r="B61" s="99" t="s">
        <v>95</v>
      </c>
      <c r="C61" s="97">
        <v>100278</v>
      </c>
      <c r="D61" s="14" t="s">
        <v>19</v>
      </c>
      <c r="E61" s="98" t="s">
        <v>827</v>
      </c>
      <c r="F61" s="30" t="s">
        <v>140</v>
      </c>
      <c r="G61" s="100" t="str">
        <f>IFERROR(VLOOKUP(F61,Productos!$A$2:$D$277,2,0)," ")</f>
        <v>Superficie Caramelo 130x70 Clasico</v>
      </c>
      <c r="H61" s="99">
        <v>1</v>
      </c>
      <c r="I61" s="100" t="str">
        <f>IFERROR(VLOOKUP(F61,Productos!$A$2:$D$277,3,0)," ")</f>
        <v>Superficie</v>
      </c>
      <c r="J61" s="97" t="s">
        <v>20</v>
      </c>
      <c r="K61" s="97" t="s">
        <v>749</v>
      </c>
      <c r="L61" s="14" t="str">
        <f t="shared" si="0"/>
        <v>Despachado</v>
      </c>
      <c r="M61" s="99" t="s">
        <v>742</v>
      </c>
      <c r="N61" s="98" t="s">
        <v>828</v>
      </c>
      <c r="O61" s="86">
        <v>46052</v>
      </c>
      <c r="P61" s="86">
        <v>46053</v>
      </c>
      <c r="Q61" s="101" t="str">
        <f t="shared" si="1"/>
        <v>Entregado</v>
      </c>
      <c r="R61" s="99">
        <f>IF(L61="Despachado",NETWORKDAYS.INTL(A61,O61,11,Valores!$A$2:$A$19)-1,"PTE")</f>
        <v>1</v>
      </c>
      <c r="S61" s="99">
        <f>IF(Q61="Entregado",NETWORKDAYS.INTL(A61,P61,11,Valores!$A$2:$A$19)-1,"PTE")</f>
        <v>2</v>
      </c>
      <c r="T61" s="99" t="str">
        <f>IF(Q61="Entregado",IFERROR(IF(I61=VLOOKUP(I61,Valores!$K$1:$K$4,1,0),IF(S61&lt;=VLOOKUP(I61,Valores!$K$1:$L$4,2,0),"Cumple","No cumple")),IF(S61&lt;=VLOOKUP(K61,Valores!E:F,2,0),"Cumple","No cumple")))</f>
        <v>Cumple</v>
      </c>
      <c r="U61" s="99">
        <f>IFERROR(IF(T61="no cumple",S61-VLOOKUP(I61,Valores!$K$1:$L$4,2,0),0),S61-VLOOKUP(K61,Valores!E:F,2,0))</f>
        <v>0</v>
      </c>
      <c r="V61" s="99"/>
      <c r="W61" s="115">
        <v>25952</v>
      </c>
      <c r="X61" s="122"/>
      <c r="Y61" s="115"/>
      <c r="Z61" s="104"/>
    </row>
    <row r="62" spans="1:26" x14ac:dyDescent="0.3">
      <c r="A62" s="116">
        <v>46051</v>
      </c>
      <c r="B62" s="99" t="s">
        <v>95</v>
      </c>
      <c r="C62" s="97">
        <v>100278</v>
      </c>
      <c r="D62" s="14" t="s">
        <v>19</v>
      </c>
      <c r="E62" s="98" t="s">
        <v>827</v>
      </c>
      <c r="F62" s="30" t="s">
        <v>303</v>
      </c>
      <c r="G62" s="100" t="str">
        <f>IFERROR(VLOOKUP(F62,Productos!$A$2:$D$277,2,0)," ")</f>
        <v>Bandeja de teclado</v>
      </c>
      <c r="H62" s="99">
        <v>1</v>
      </c>
      <c r="I62" s="100" t="str">
        <f>IFERROR(VLOOKUP(F62,Productos!$A$2:$D$277,3,0)," ")</f>
        <v>Accesorio</v>
      </c>
      <c r="J62" s="97" t="s">
        <v>20</v>
      </c>
      <c r="K62" s="97" t="s">
        <v>749</v>
      </c>
      <c r="L62" s="14" t="str">
        <f t="shared" si="0"/>
        <v>Despachado</v>
      </c>
      <c r="M62" s="99" t="s">
        <v>742</v>
      </c>
      <c r="N62" s="98" t="s">
        <v>828</v>
      </c>
      <c r="O62" s="86">
        <v>46052</v>
      </c>
      <c r="P62" s="86">
        <v>46053</v>
      </c>
      <c r="Q62" s="101" t="str">
        <f t="shared" si="1"/>
        <v>Entregado</v>
      </c>
      <c r="R62" s="99">
        <f>IF(L62="Despachado",NETWORKDAYS.INTL(A62,O62,11,Valores!$A$2:$A$19)-1,"PTE")</f>
        <v>1</v>
      </c>
      <c r="S62" s="99">
        <f>IF(Q62="Entregado",NETWORKDAYS.INTL(A62,P62,11,Valores!$A$2:$A$19)-1,"PTE")</f>
        <v>2</v>
      </c>
      <c r="T62" s="99" t="str">
        <f>IF(Q62="Entregado",IFERROR(IF(I62=VLOOKUP(I62,Valores!$K$1:$K$4,1,0),IF(S62&lt;=VLOOKUP(I62,Valores!$K$1:$L$4,2,0),"Cumple","No cumple")),IF(S62&lt;=VLOOKUP(K62,Valores!E:F,2,0),"Cumple","No cumple")))</f>
        <v>Cumple</v>
      </c>
      <c r="U62" s="99">
        <f>IFERROR(IF(T62="no cumple",S62-VLOOKUP(I62,Valores!$K$1:$L$4,2,0),0),S62-VLOOKUP(K62,Valores!E:F,2,0))</f>
        <v>0</v>
      </c>
      <c r="V62" s="99"/>
      <c r="W62" s="115">
        <v>0</v>
      </c>
      <c r="X62" s="122"/>
      <c r="Y62" s="115"/>
      <c r="Z62" s="104"/>
    </row>
    <row r="63" spans="1:26" x14ac:dyDescent="0.3">
      <c r="A63" s="116">
        <v>46051</v>
      </c>
      <c r="B63" s="99" t="s">
        <v>95</v>
      </c>
      <c r="C63" s="97">
        <v>100278</v>
      </c>
      <c r="D63" s="14" t="s">
        <v>19</v>
      </c>
      <c r="E63" s="98" t="s">
        <v>827</v>
      </c>
      <c r="F63" s="30" t="s">
        <v>128</v>
      </c>
      <c r="G63" s="100" t="str">
        <f>IFERROR(VLOOKUP(F63,Productos!$A$2:$D$277,2,0)," ")</f>
        <v>Electric Standing Desk  PRO Negro</v>
      </c>
      <c r="H63" s="99">
        <v>1</v>
      </c>
      <c r="I63" s="100" t="str">
        <f>IFERROR(VLOOKUP(F63,Productos!$A$2:$D$277,3,0)," ")</f>
        <v>Standing Desk</v>
      </c>
      <c r="J63" s="97" t="s">
        <v>20</v>
      </c>
      <c r="K63" s="97" t="s">
        <v>749</v>
      </c>
      <c r="L63" s="14" t="str">
        <f t="shared" si="0"/>
        <v>Despachado</v>
      </c>
      <c r="M63" s="99" t="s">
        <v>742</v>
      </c>
      <c r="N63" s="98" t="s">
        <v>829</v>
      </c>
      <c r="O63" s="86">
        <v>46052</v>
      </c>
      <c r="P63" s="86">
        <v>46053</v>
      </c>
      <c r="Q63" s="101" t="str">
        <f t="shared" si="1"/>
        <v>Entregado</v>
      </c>
      <c r="R63" s="99">
        <f>IF(L63="Despachado",NETWORKDAYS.INTL(A63,O63,11,Valores!$A$2:$A$19)-1,"PTE")</f>
        <v>1</v>
      </c>
      <c r="S63" s="99">
        <f>IF(Q63="Entregado",NETWORKDAYS.INTL(A63,P63,11,Valores!$A$2:$A$19)-1,"PTE")</f>
        <v>2</v>
      </c>
      <c r="T63" s="99" t="str">
        <f>IF(Q63="Entregado",IFERROR(IF(I63=VLOOKUP(I63,Valores!$K$1:$K$4,1,0),IF(S63&lt;=VLOOKUP(I63,Valores!$K$1:$L$4,2,0),"Cumple","No cumple")),IF(S63&lt;=VLOOKUP(K63,Valores!E:F,2,0),"Cumple","No cumple")))</f>
        <v>Cumple</v>
      </c>
      <c r="U63" s="99">
        <f>IFERROR(IF(T63="no cumple",S63-VLOOKUP(I63,Valores!$K$1:$L$4,2,0),0),S63-VLOOKUP(K63,Valores!E:F,2,0))</f>
        <v>0</v>
      </c>
      <c r="V63" s="99"/>
      <c r="W63" s="115">
        <v>43114</v>
      </c>
      <c r="X63" s="122"/>
      <c r="Y63" s="115"/>
      <c r="Z63" s="104"/>
    </row>
    <row r="64" spans="1:26" x14ac:dyDescent="0.3">
      <c r="A64" s="116">
        <v>46051</v>
      </c>
      <c r="B64" s="99" t="s">
        <v>95</v>
      </c>
      <c r="C64" s="97">
        <v>100278</v>
      </c>
      <c r="D64" s="14" t="s">
        <v>19</v>
      </c>
      <c r="E64" s="98" t="s">
        <v>827</v>
      </c>
      <c r="F64" s="30" t="s">
        <v>235</v>
      </c>
      <c r="G64" s="100" t="str">
        <f>IFERROR(VLOOKUP(F64,Productos!$A$2:$D$277,2,0)," ")</f>
        <v>Bandeja de cables</v>
      </c>
      <c r="H64" s="99">
        <v>1</v>
      </c>
      <c r="I64" s="100" t="str">
        <f>IFERROR(VLOOKUP(F64,Productos!$A$2:$D$277,3,0)," ")</f>
        <v>Accesorio</v>
      </c>
      <c r="J64" s="97" t="s">
        <v>20</v>
      </c>
      <c r="K64" s="97" t="s">
        <v>749</v>
      </c>
      <c r="L64" s="14" t="str">
        <f t="shared" si="0"/>
        <v>Despachado</v>
      </c>
      <c r="M64" s="99" t="s">
        <v>742</v>
      </c>
      <c r="N64" s="98" t="s">
        <v>830</v>
      </c>
      <c r="O64" s="86">
        <v>46052</v>
      </c>
      <c r="P64" s="86">
        <v>46053</v>
      </c>
      <c r="Q64" s="101" t="str">
        <f t="shared" si="1"/>
        <v>Entregado</v>
      </c>
      <c r="R64" s="99">
        <f>IF(L64="Despachado",NETWORKDAYS.INTL(A64,O64,11,Valores!$A$2:$A$19)-1,"PTE")</f>
        <v>1</v>
      </c>
      <c r="S64" s="99">
        <f>IF(Q64="Entregado",NETWORKDAYS.INTL(A64,P64,11,Valores!$A$2:$A$19)-1,"PTE")</f>
        <v>2</v>
      </c>
      <c r="T64" s="99" t="str">
        <f>IF(Q64="Entregado",IFERROR(IF(I64=VLOOKUP(I64,Valores!$K$1:$K$4,1,0),IF(S64&lt;=VLOOKUP(I64,Valores!$K$1:$L$4,2,0),"Cumple","No cumple")),IF(S64&lt;=VLOOKUP(K64,Valores!E:F,2,0),"Cumple","No cumple")))</f>
        <v>Cumple</v>
      </c>
      <c r="U64" s="99">
        <f>IFERROR(IF(T64="no cumple",S64-VLOOKUP(I64,Valores!$K$1:$L$4,2,0),0),S64-VLOOKUP(K64,Valores!E:F,2,0))</f>
        <v>0</v>
      </c>
      <c r="V64" s="99"/>
      <c r="W64" s="115">
        <v>26681</v>
      </c>
      <c r="X64" s="122"/>
      <c r="Y64" s="115"/>
      <c r="Z64" s="104"/>
    </row>
    <row r="65" spans="1:26" x14ac:dyDescent="0.3">
      <c r="A65" s="116">
        <v>46051</v>
      </c>
      <c r="B65" s="99" t="s">
        <v>95</v>
      </c>
      <c r="C65" s="97">
        <v>100278</v>
      </c>
      <c r="D65" s="14" t="s">
        <v>19</v>
      </c>
      <c r="E65" s="98" t="s">
        <v>827</v>
      </c>
      <c r="F65" s="102"/>
      <c r="G65" s="100" t="s">
        <v>824</v>
      </c>
      <c r="H65" s="99">
        <v>1</v>
      </c>
      <c r="I65" s="100" t="s">
        <v>825</v>
      </c>
      <c r="J65" s="97" t="s">
        <v>20</v>
      </c>
      <c r="K65" s="97" t="s">
        <v>749</v>
      </c>
      <c r="L65" s="14" t="str">
        <f t="shared" si="0"/>
        <v>Despachado</v>
      </c>
      <c r="M65" s="99"/>
      <c r="N65" s="98">
        <v>0</v>
      </c>
      <c r="O65" s="86" t="s">
        <v>753</v>
      </c>
      <c r="P65" s="86" t="s">
        <v>753</v>
      </c>
      <c r="Q65" s="101" t="str">
        <f t="shared" si="1"/>
        <v>Entregado</v>
      </c>
      <c r="R65" s="99">
        <v>0</v>
      </c>
      <c r="S65" s="99">
        <v>0</v>
      </c>
      <c r="T65" s="99">
        <v>0</v>
      </c>
      <c r="U65" s="99">
        <f>IFERROR(IF(T65="no cumple",S65-VLOOKUP(I65,Valores!$K$1:$L$4,2,0),0),S65-VLOOKUP(K65,Valores!E:F,2,0))</f>
        <v>0</v>
      </c>
      <c r="V65" s="99"/>
      <c r="W65" s="120"/>
      <c r="X65" s="123"/>
      <c r="Y65" s="120"/>
      <c r="Z65" s="104"/>
    </row>
    <row r="66" spans="1:26" x14ac:dyDescent="0.3">
      <c r="A66" s="116">
        <v>46051</v>
      </c>
      <c r="B66" s="99" t="s">
        <v>95</v>
      </c>
      <c r="C66" s="97">
        <v>100279</v>
      </c>
      <c r="D66" s="14" t="s">
        <v>19</v>
      </c>
      <c r="E66" s="98" t="s">
        <v>831</v>
      </c>
      <c r="F66" s="30" t="s">
        <v>122</v>
      </c>
      <c r="G66" s="100" t="str">
        <f>IFERROR(VLOOKUP(F66,Productos!$A$2:$D$277,2,0)," ")</f>
        <v>Electric Standing Desk GO Negro</v>
      </c>
      <c r="H66" s="99">
        <v>1</v>
      </c>
      <c r="I66" s="100" t="str">
        <f>IFERROR(VLOOKUP(F66,Productos!$A$2:$D$277,3,0)," ")</f>
        <v>Standing Desk</v>
      </c>
      <c r="J66" s="97" t="s">
        <v>36</v>
      </c>
      <c r="K66" s="97" t="s">
        <v>204</v>
      </c>
      <c r="L66" s="14" t="str">
        <f t="shared" si="0"/>
        <v>Despachado</v>
      </c>
      <c r="M66" s="99" t="s">
        <v>742</v>
      </c>
      <c r="N66" s="98" t="s">
        <v>832</v>
      </c>
      <c r="O66" s="86">
        <v>46051</v>
      </c>
      <c r="P66" s="86">
        <v>46052</v>
      </c>
      <c r="Q66" s="101" t="str">
        <f t="shared" si="1"/>
        <v>Entregado</v>
      </c>
      <c r="R66" s="99">
        <f>IF(L66="Despachado",NETWORKDAYS.INTL(A66,O66,11,Valores!$A$2:$A$19)-1,"PTE")</f>
        <v>0</v>
      </c>
      <c r="S66" s="99">
        <f>IF(Q66="Entregado",NETWORKDAYS.INTL(A66,P66,11,Valores!$A$2:$A$19)-1,"PTE")</f>
        <v>1</v>
      </c>
      <c r="T66" s="99" t="str">
        <f>IF(Q66="Entregado",IFERROR(IF(I66=VLOOKUP(I66,Valores!$K$1:$K$4,1,0),IF(S66&lt;=VLOOKUP(I66,Valores!$K$1:$L$4,2,0),"Cumple","No cumple")),IF(S66&lt;=VLOOKUP(K66,Valores!E:F,2,0),"Cumple","No cumple")))</f>
        <v>Cumple</v>
      </c>
      <c r="U66" s="99">
        <f>IFERROR(IF(T66="no cumple",S66-VLOOKUP(I66,Valores!$K$1:$L$4,2,0),0),S66-VLOOKUP(K66,Valores!E:F,2,0))</f>
        <v>0</v>
      </c>
      <c r="V66" s="99"/>
      <c r="W66" s="115">
        <v>35044</v>
      </c>
      <c r="X66" s="122"/>
      <c r="Y66" s="115"/>
      <c r="Z66" s="104"/>
    </row>
    <row r="67" spans="1:26" x14ac:dyDescent="0.3">
      <c r="A67" s="116">
        <v>46051</v>
      </c>
      <c r="B67" s="99" t="s">
        <v>95</v>
      </c>
      <c r="C67" s="97">
        <v>100280</v>
      </c>
      <c r="D67" s="14" t="s">
        <v>19</v>
      </c>
      <c r="E67" s="98" t="s">
        <v>833</v>
      </c>
      <c r="F67" s="30" t="s">
        <v>32</v>
      </c>
      <c r="G67" s="100" t="str">
        <f>IFERROR(VLOOKUP(F67,Productos!$A$2:$D$277,2,0)," ")</f>
        <v>Superficie  Caramelo 180x70 Clasico</v>
      </c>
      <c r="H67" s="99">
        <v>1</v>
      </c>
      <c r="I67" s="100" t="str">
        <f>IFERROR(VLOOKUP(F67,Productos!$A$2:$D$277,3,0)," ")</f>
        <v>Superficie</v>
      </c>
      <c r="J67" s="97" t="s">
        <v>20</v>
      </c>
      <c r="K67" s="97" t="s">
        <v>749</v>
      </c>
      <c r="L67" s="14" t="str">
        <f t="shared" si="0"/>
        <v>Despachado</v>
      </c>
      <c r="M67" s="99" t="s">
        <v>735</v>
      </c>
      <c r="N67" s="98" t="s">
        <v>834</v>
      </c>
      <c r="O67" s="86">
        <v>46052</v>
      </c>
      <c r="P67" s="86">
        <v>46053</v>
      </c>
      <c r="Q67" s="101" t="str">
        <f t="shared" si="1"/>
        <v>Entregado</v>
      </c>
      <c r="R67" s="99">
        <f>IF(L67="Despachado",NETWORKDAYS.INTL(A67,O67,11,Valores!$A$2:$A$19)-1,"PTE")</f>
        <v>1</v>
      </c>
      <c r="S67" s="99">
        <f>IF(Q67="Entregado",NETWORKDAYS.INTL(A67,P67,11,Valores!$A$2:$A$19)-1,"PTE")</f>
        <v>2</v>
      </c>
      <c r="T67" s="99" t="str">
        <f>IF(Q67="Entregado",IFERROR(IF(I67=VLOOKUP(I67,Valores!$K$1:$K$4,1,0),IF(S67&lt;=VLOOKUP(I67,Valores!$K$1:$L$4,2,0),"Cumple","No cumple")),IF(S67&lt;=VLOOKUP(K67,Valores!E:F,2,0),"Cumple","No cumple")))</f>
        <v>Cumple</v>
      </c>
      <c r="U67" s="99">
        <f>IFERROR(IF(T67="no cumple",S67-VLOOKUP(I67,Valores!$K$1:$L$4,2,0),0),S67-VLOOKUP(K67,Valores!E:F,2,0))</f>
        <v>0</v>
      </c>
      <c r="V67" s="99"/>
      <c r="W67" s="115">
        <v>32253</v>
      </c>
      <c r="X67" s="122"/>
      <c r="Y67" s="115"/>
      <c r="Z67" s="104"/>
    </row>
    <row r="68" spans="1:26" x14ac:dyDescent="0.3">
      <c r="A68" s="116">
        <v>46051</v>
      </c>
      <c r="B68" s="99" t="s">
        <v>95</v>
      </c>
      <c r="C68" s="97">
        <v>100280</v>
      </c>
      <c r="D68" s="14" t="s">
        <v>19</v>
      </c>
      <c r="E68" s="98" t="s">
        <v>833</v>
      </c>
      <c r="F68" s="30" t="s">
        <v>128</v>
      </c>
      <c r="G68" s="100" t="str">
        <f>IFERROR(VLOOKUP(F68,Productos!$A$2:$D$277,2,0)," ")</f>
        <v>Electric Standing Desk  PRO Negro</v>
      </c>
      <c r="H68" s="99">
        <v>1</v>
      </c>
      <c r="I68" s="100" t="str">
        <f>IFERROR(VLOOKUP(F68,Productos!$A$2:$D$277,3,0)," ")</f>
        <v>Standing Desk</v>
      </c>
      <c r="J68" s="97" t="s">
        <v>20</v>
      </c>
      <c r="K68" s="97" t="s">
        <v>749</v>
      </c>
      <c r="L68" s="14" t="str">
        <f t="shared" si="0"/>
        <v>Despachado</v>
      </c>
      <c r="M68" s="99" t="s">
        <v>742</v>
      </c>
      <c r="N68" s="98" t="s">
        <v>835</v>
      </c>
      <c r="O68" s="86">
        <v>46052</v>
      </c>
      <c r="P68" s="86">
        <v>46055</v>
      </c>
      <c r="Q68" s="101" t="str">
        <f t="shared" si="1"/>
        <v>Entregado</v>
      </c>
      <c r="R68" s="99">
        <f>IF(L68="Despachado",NETWORKDAYS.INTL(A68,O68,11,Valores!$A$2:$A$19)-1,"PTE")</f>
        <v>1</v>
      </c>
      <c r="S68" s="99">
        <f>IF(Q68="Entregado",NETWORKDAYS.INTL(A68,P68,11,Valores!$A$2:$A$19)-1,"PTE")</f>
        <v>3</v>
      </c>
      <c r="T68" s="99" t="str">
        <f>IF(Q68="Entregado",IFERROR(IF(I68=VLOOKUP(I68,Valores!$K$1:$K$4,1,0),IF(S68&lt;=VLOOKUP(I68,Valores!$K$1:$L$4,2,0),"Cumple","No cumple")),IF(S68&lt;=VLOOKUP(K68,Valores!E:F,2,0),"Cumple","No cumple")))</f>
        <v>Cumple</v>
      </c>
      <c r="U68" s="99">
        <f>IFERROR(IF(T68="no cumple",S68-VLOOKUP(I68,Valores!$K$1:$L$4,2,0),0),S68-VLOOKUP(K68,Valores!E:F,2,0))</f>
        <v>0</v>
      </c>
      <c r="V68" s="99"/>
      <c r="W68" s="115">
        <v>44550</v>
      </c>
      <c r="X68" s="122"/>
      <c r="Y68" s="115"/>
      <c r="Z68" s="104"/>
    </row>
    <row r="69" spans="1:26" x14ac:dyDescent="0.3">
      <c r="A69" s="116">
        <v>46051</v>
      </c>
      <c r="B69" s="99" t="s">
        <v>95</v>
      </c>
      <c r="C69" s="97">
        <v>100280</v>
      </c>
      <c r="D69" s="14" t="s">
        <v>19</v>
      </c>
      <c r="E69" s="98" t="s">
        <v>833</v>
      </c>
      <c r="F69" s="30" t="s">
        <v>235</v>
      </c>
      <c r="G69" s="100" t="str">
        <f>IFERROR(VLOOKUP(F69,Productos!$A$2:$D$277,2,0)," ")</f>
        <v>Bandeja de cables</v>
      </c>
      <c r="H69" s="99">
        <v>1</v>
      </c>
      <c r="I69" s="100" t="str">
        <f>IFERROR(VLOOKUP(F69,Productos!$A$2:$D$277,3,0)," ")</f>
        <v>Accesorio</v>
      </c>
      <c r="J69" s="97" t="s">
        <v>20</v>
      </c>
      <c r="K69" s="97" t="s">
        <v>749</v>
      </c>
      <c r="L69" s="14" t="str">
        <f t="shared" si="0"/>
        <v>Despachado</v>
      </c>
      <c r="M69" s="99" t="s">
        <v>742</v>
      </c>
      <c r="N69" s="98" t="s">
        <v>836</v>
      </c>
      <c r="O69" s="86">
        <v>46052</v>
      </c>
      <c r="P69" s="86">
        <v>46055</v>
      </c>
      <c r="Q69" s="101" t="str">
        <f t="shared" si="1"/>
        <v>Entregado</v>
      </c>
      <c r="R69" s="99">
        <f>IF(L69="Despachado",NETWORKDAYS.INTL(A69,O69,11,Valores!$A$2:$A$19)-1,"PTE")</f>
        <v>1</v>
      </c>
      <c r="S69" s="99">
        <f>IF(Q69="Entregado",NETWORKDAYS.INTL(A69,P69,11,Valores!$A$2:$A$19)-1,"PTE")</f>
        <v>3</v>
      </c>
      <c r="T69" s="99" t="str">
        <f>IF(Q69="Entregado",IFERROR(IF(I69=VLOOKUP(I69,Valores!$K$1:$K$4,1,0),IF(S69&lt;=VLOOKUP(I69,Valores!$K$1:$L$4,2,0),"Cumple","No cumple")),IF(S69&lt;=VLOOKUP(K69,Valores!E:F,2,0),"Cumple","No cumple")))</f>
        <v>Cumple</v>
      </c>
      <c r="U69" s="99">
        <f>IFERROR(IF(T69="no cumple",S69-VLOOKUP(I69,Valores!$K$1:$L$4,2,0),0),S69-VLOOKUP(K69,Valores!E:F,2,0))</f>
        <v>0</v>
      </c>
      <c r="V69" s="99"/>
      <c r="W69" s="115">
        <v>26681</v>
      </c>
      <c r="X69" s="122"/>
      <c r="Y69" s="115"/>
      <c r="Z69" s="104"/>
    </row>
    <row r="70" spans="1:26" x14ac:dyDescent="0.3">
      <c r="A70" s="116">
        <v>46051</v>
      </c>
      <c r="B70" s="99" t="s">
        <v>95</v>
      </c>
      <c r="C70" s="97">
        <v>100280</v>
      </c>
      <c r="D70" s="14" t="s">
        <v>19</v>
      </c>
      <c r="E70" s="98" t="s">
        <v>833</v>
      </c>
      <c r="F70" s="30" t="s">
        <v>624</v>
      </c>
      <c r="G70" s="100" t="str">
        <f>IFERROR(VLOOKUP(F70,Productos!$A$2:$D$277,2,0)," ")</f>
        <v>Repisa Escritorio Caramelo x 80cm</v>
      </c>
      <c r="H70" s="99">
        <v>1</v>
      </c>
      <c r="I70" s="100" t="str">
        <f>IFERROR(VLOOKUP(F70,Productos!$A$2:$D$277,3,0)," ")</f>
        <v>Repisa</v>
      </c>
      <c r="J70" s="97" t="s">
        <v>20</v>
      </c>
      <c r="K70" s="97" t="s">
        <v>749</v>
      </c>
      <c r="L70" s="14" t="str">
        <f t="shared" si="0"/>
        <v>Despachado</v>
      </c>
      <c r="M70" s="99" t="s">
        <v>742</v>
      </c>
      <c r="N70" s="98" t="s">
        <v>837</v>
      </c>
      <c r="O70" s="86">
        <v>46055</v>
      </c>
      <c r="P70" s="86">
        <v>46058</v>
      </c>
      <c r="Q70" s="101" t="str">
        <f t="shared" si="1"/>
        <v>Entregado</v>
      </c>
      <c r="R70" s="99">
        <f>IF(L70="Despachado",NETWORKDAYS.INTL(A70,O70,11,Valores!$A$2:$A$19)-1,"PTE")</f>
        <v>3</v>
      </c>
      <c r="S70" s="99">
        <f>IF(Q70="Entregado",NETWORKDAYS.INTL(A70,P70,11,Valores!$A$2:$A$19)-1,"PTE")</f>
        <v>6</v>
      </c>
      <c r="T70" s="99" t="str">
        <f>IF(Q70="Entregado",IFERROR(IF(I70=VLOOKUP(I70,Valores!$K$1:$K$4,1,0),IF(S70&lt;=VLOOKUP(I70,Valores!$K$1:$L$4,2,0),"Cumple","No cumple")),IF(S70&lt;=VLOOKUP(K70,Valores!E:F,2,0),"Cumple","No cumple")))</f>
        <v>No cumple</v>
      </c>
      <c r="U70" s="99">
        <f>IFERROR(IF(T70="no cumple",S70-VLOOKUP(I70,Valores!$K$1:$L$4,2,0),0),S70-VLOOKUP(K70,Valores!E:F,2,0))</f>
        <v>3</v>
      </c>
      <c r="V70" s="161" t="s">
        <v>952</v>
      </c>
      <c r="W70" s="120">
        <v>26233</v>
      </c>
      <c r="X70" s="123"/>
      <c r="Y70" s="155" t="s">
        <v>964</v>
      </c>
      <c r="Z70" s="104" t="s">
        <v>965</v>
      </c>
    </row>
    <row r="71" spans="1:26" x14ac:dyDescent="0.3">
      <c r="A71" s="116">
        <v>46051</v>
      </c>
      <c r="B71" s="99" t="s">
        <v>95</v>
      </c>
      <c r="C71" s="97">
        <v>100280</v>
      </c>
      <c r="D71" s="14" t="s">
        <v>19</v>
      </c>
      <c r="E71" s="98" t="s">
        <v>833</v>
      </c>
      <c r="F71" s="30"/>
      <c r="G71" s="100" t="s">
        <v>824</v>
      </c>
      <c r="H71" s="99">
        <v>1</v>
      </c>
      <c r="I71" s="100" t="s">
        <v>825</v>
      </c>
      <c r="J71" s="97" t="s">
        <v>20</v>
      </c>
      <c r="K71" s="97" t="s">
        <v>749</v>
      </c>
      <c r="L71" s="14" t="str">
        <f t="shared" ref="L71:L135" si="4">IF(O71&gt;0,"Despachado","En alistamiento")</f>
        <v>Despachado</v>
      </c>
      <c r="M71" s="99" t="s">
        <v>753</v>
      </c>
      <c r="N71" s="98" t="s">
        <v>753</v>
      </c>
      <c r="O71" s="86" t="s">
        <v>753</v>
      </c>
      <c r="P71" s="86" t="s">
        <v>753</v>
      </c>
      <c r="Q71" s="101" t="str">
        <f t="shared" ref="Q71:Q135" si="5">IF(P71&gt;0,"Entregado","En transito")</f>
        <v>Entregado</v>
      </c>
      <c r="R71" s="99">
        <v>0</v>
      </c>
      <c r="S71" s="99">
        <v>0</v>
      </c>
      <c r="T71" s="99">
        <v>0</v>
      </c>
      <c r="U71" s="99">
        <f>IFERROR(IF(T71="no cumple",S71-VLOOKUP(I71,Valores!$K$1:$L$4,2,0),0),S71-VLOOKUP(K71,Valores!E:F,2,0))</f>
        <v>0</v>
      </c>
      <c r="V71" s="99"/>
      <c r="W71" s="120">
        <v>0</v>
      </c>
      <c r="X71" s="123"/>
      <c r="Y71" s="120"/>
      <c r="Z71" s="104"/>
    </row>
    <row r="72" spans="1:26" x14ac:dyDescent="0.3">
      <c r="A72" s="116">
        <v>46052</v>
      </c>
      <c r="B72" s="99" t="s">
        <v>95</v>
      </c>
      <c r="C72" s="97">
        <v>100281</v>
      </c>
      <c r="D72" s="14" t="s">
        <v>19</v>
      </c>
      <c r="E72" s="98" t="s">
        <v>838</v>
      </c>
      <c r="F72" s="30" t="s">
        <v>290</v>
      </c>
      <c r="G72" s="100" t="str">
        <f>IFERROR(VLOOKUP(F72,Productos!$A$2:$D$277,2,0)," ")</f>
        <v>Superficie  Fresno Europeo 130x70 Clasico</v>
      </c>
      <c r="H72" s="99">
        <v>1</v>
      </c>
      <c r="I72" s="100" t="str">
        <f>IFERROR(VLOOKUP(F72,Productos!$A$2:$D$277,3,0)," ")</f>
        <v>Superficie</v>
      </c>
      <c r="J72" s="97" t="s">
        <v>41</v>
      </c>
      <c r="K72" s="97" t="s">
        <v>839</v>
      </c>
      <c r="L72" s="14" t="str">
        <f t="shared" si="4"/>
        <v>Despachado</v>
      </c>
      <c r="M72" s="99" t="s">
        <v>742</v>
      </c>
      <c r="N72" s="98" t="s">
        <v>840</v>
      </c>
      <c r="O72" s="86">
        <v>46055</v>
      </c>
      <c r="P72" s="86">
        <v>46056</v>
      </c>
      <c r="Q72" s="101" t="str">
        <f t="shared" si="5"/>
        <v>Entregado</v>
      </c>
      <c r="R72" s="99">
        <f>IF(L72="Despachado",NETWORKDAYS.INTL(A72,O72,11,Valores!$A$2:$A$19)-1,"PTE")</f>
        <v>2</v>
      </c>
      <c r="S72" s="99">
        <f>IF(Q72="Entregado",NETWORKDAYS.INTL(A72,P72,11,Valores!$A$2:$A$19)-1,"PTE")</f>
        <v>3</v>
      </c>
      <c r="T72" s="99" t="str">
        <f>IF(Q72="Entregado",IFERROR(IF(I72=VLOOKUP(I72,Valores!$K$1:$K$4,1,0),IF(S72&lt;=VLOOKUP(I72,Valores!$K$1:$L$4,2,0),"Cumple","No cumple")),IF(S72&lt;=VLOOKUP(K72,Valores!E:F,2,0),"Cumple","No cumple")))</f>
        <v>Cumple</v>
      </c>
      <c r="U72" s="99">
        <f>IFERROR(IF(T72="no cumple",S72-VLOOKUP(I72,Valores!$K$1:$L$4,2,0),0),S72-VLOOKUP(K72,Valores!E:F,2,0))</f>
        <v>0</v>
      </c>
      <c r="V72" s="99"/>
      <c r="W72" s="115">
        <v>25952</v>
      </c>
      <c r="X72" s="122"/>
      <c r="Y72" s="115"/>
      <c r="Z72" s="104"/>
    </row>
    <row r="73" spans="1:26" x14ac:dyDescent="0.3">
      <c r="A73" s="116">
        <v>46052</v>
      </c>
      <c r="B73" s="99" t="s">
        <v>95</v>
      </c>
      <c r="C73" s="97">
        <v>100281</v>
      </c>
      <c r="D73" s="14" t="s">
        <v>19</v>
      </c>
      <c r="E73" s="98" t="s">
        <v>838</v>
      </c>
      <c r="F73" s="30" t="s">
        <v>618</v>
      </c>
      <c r="G73" s="100" t="str">
        <f>IFERROR(VLOOKUP(F73,Productos!$A$2:$D$277,2,0)," ")</f>
        <v>Repisa Escritorio Fresno Europeo x 110cm</v>
      </c>
      <c r="H73" s="99">
        <v>1</v>
      </c>
      <c r="I73" s="100" t="str">
        <f>IFERROR(VLOOKUP(F73,Productos!$A$2:$D$277,3,0)," ")</f>
        <v>Repisa</v>
      </c>
      <c r="J73" s="97" t="s">
        <v>41</v>
      </c>
      <c r="K73" s="97" t="s">
        <v>839</v>
      </c>
      <c r="L73" s="14" t="str">
        <f t="shared" si="4"/>
        <v>Despachado</v>
      </c>
      <c r="M73" s="99" t="s">
        <v>742</v>
      </c>
      <c r="N73" s="98" t="s">
        <v>840</v>
      </c>
      <c r="O73" s="86">
        <v>46055</v>
      </c>
      <c r="P73" s="86">
        <v>46056</v>
      </c>
      <c r="Q73" s="101" t="str">
        <f t="shared" si="5"/>
        <v>Entregado</v>
      </c>
      <c r="R73" s="99">
        <f>IF(L73="Despachado",NETWORKDAYS.INTL(A73,O73,11,Valores!$A$2:$A$19)-1,"PTE")</f>
        <v>2</v>
      </c>
      <c r="S73" s="99">
        <f>IF(Q73="Entregado",NETWORKDAYS.INTL(A73,P73,11,Valores!$A$2:$A$19)-1,"PTE")</f>
        <v>3</v>
      </c>
      <c r="T73" s="99" t="str">
        <f>IF(Q73="Entregado",IFERROR(IF(I73=VLOOKUP(I73,Valores!$K$1:$K$4,1,0),IF(S73&lt;=VLOOKUP(I73,Valores!$K$1:$L$4,2,0),"Cumple","No cumple")),IF(S73&lt;=VLOOKUP(K73,Valores!E:F,2,0),"Cumple","No cumple")))</f>
        <v>Cumple</v>
      </c>
      <c r="U73" s="99">
        <f>IFERROR(IF(T73="no cumple",S73-VLOOKUP(I73,Valores!$K$1:$L$4,2,0),0),S73-VLOOKUP(K73,Valores!E:F,2,0))</f>
        <v>0</v>
      </c>
      <c r="V73" s="99"/>
      <c r="W73" s="115">
        <v>0</v>
      </c>
      <c r="X73" s="122"/>
      <c r="Y73" s="115"/>
      <c r="Z73" s="104"/>
    </row>
    <row r="74" spans="1:26" x14ac:dyDescent="0.3">
      <c r="A74" s="116">
        <v>46052</v>
      </c>
      <c r="B74" s="99" t="s">
        <v>95</v>
      </c>
      <c r="C74" s="97">
        <v>100281</v>
      </c>
      <c r="D74" s="14" t="s">
        <v>19</v>
      </c>
      <c r="E74" s="98" t="s">
        <v>838</v>
      </c>
      <c r="F74" s="30" t="s">
        <v>128</v>
      </c>
      <c r="G74" s="100" t="str">
        <f>IFERROR(VLOOKUP(F74,Productos!$A$2:$D$277,2,0)," ")</f>
        <v>Electric Standing Desk  PRO Negro</v>
      </c>
      <c r="H74" s="99">
        <v>1</v>
      </c>
      <c r="I74" s="100" t="str">
        <f>IFERROR(VLOOKUP(F74,Productos!$A$2:$D$277,3,0)," ")</f>
        <v>Standing Desk</v>
      </c>
      <c r="J74" s="97" t="s">
        <v>41</v>
      </c>
      <c r="K74" s="97" t="s">
        <v>839</v>
      </c>
      <c r="L74" s="14" t="str">
        <f t="shared" si="4"/>
        <v>Despachado</v>
      </c>
      <c r="M74" s="99" t="s">
        <v>742</v>
      </c>
      <c r="N74" s="98" t="s">
        <v>841</v>
      </c>
      <c r="O74" s="86">
        <v>46055</v>
      </c>
      <c r="P74" s="86">
        <v>46056</v>
      </c>
      <c r="Q74" s="101" t="str">
        <f t="shared" si="5"/>
        <v>Entregado</v>
      </c>
      <c r="R74" s="99">
        <f>IF(L74="Despachado",NETWORKDAYS.INTL(A74,O74,11,Valores!$A$2:$A$19)-1,"PTE")</f>
        <v>2</v>
      </c>
      <c r="S74" s="99">
        <f>IF(Q74="Entregado",NETWORKDAYS.INTL(A74,P74,11,Valores!$A$2:$A$19)-1,"PTE")</f>
        <v>3</v>
      </c>
      <c r="T74" s="99" t="str">
        <f>IF(Q74="Entregado",IFERROR(IF(I74=VLOOKUP(I74,Valores!$K$1:$K$4,1,0),IF(S74&lt;=VLOOKUP(I74,Valores!$K$1:$L$4,2,0),"Cumple","No cumple")),IF(S74&lt;=VLOOKUP(K74,Valores!E:F,2,0),"Cumple","No cumple")))</f>
        <v>Cumple</v>
      </c>
      <c r="U74" s="99">
        <f>IFERROR(IF(T74="no cumple",S74-VLOOKUP(I74,Valores!$K$1:$L$4,2,0),0),S74-VLOOKUP(K74,Valores!E:F,2,0))</f>
        <v>0</v>
      </c>
      <c r="V74" s="99"/>
      <c r="W74" s="115">
        <v>43114</v>
      </c>
      <c r="X74" s="122"/>
      <c r="Y74" s="115"/>
      <c r="Z74" s="104"/>
    </row>
    <row r="75" spans="1:26" x14ac:dyDescent="0.3">
      <c r="A75" s="116">
        <v>46052</v>
      </c>
      <c r="B75" s="99" t="s">
        <v>95</v>
      </c>
      <c r="C75" s="97">
        <v>100281</v>
      </c>
      <c r="D75" s="14" t="s">
        <v>19</v>
      </c>
      <c r="E75" s="98" t="s">
        <v>838</v>
      </c>
      <c r="F75" s="30" t="s">
        <v>235</v>
      </c>
      <c r="G75" s="100" t="str">
        <f>IFERROR(VLOOKUP(F75,Productos!$A$2:$D$277,2,0)," ")</f>
        <v>Bandeja de cables</v>
      </c>
      <c r="H75" s="99">
        <v>1</v>
      </c>
      <c r="I75" s="100" t="str">
        <f>IFERROR(VLOOKUP(F75,Productos!$A$2:$D$277,3,0)," ")</f>
        <v>Accesorio</v>
      </c>
      <c r="J75" s="97" t="s">
        <v>41</v>
      </c>
      <c r="K75" s="97" t="s">
        <v>839</v>
      </c>
      <c r="L75" s="14" t="str">
        <f t="shared" si="4"/>
        <v>Despachado</v>
      </c>
      <c r="M75" s="99" t="s">
        <v>742</v>
      </c>
      <c r="N75" s="98" t="s">
        <v>842</v>
      </c>
      <c r="O75" s="86">
        <v>46055</v>
      </c>
      <c r="P75" s="86">
        <v>46056</v>
      </c>
      <c r="Q75" s="101" t="str">
        <f t="shared" si="5"/>
        <v>Entregado</v>
      </c>
      <c r="R75" s="99">
        <f>IF(L75="Despachado",NETWORKDAYS.INTL(A75,O75,11,Valores!$A$2:$A$19)-1,"PTE")</f>
        <v>2</v>
      </c>
      <c r="S75" s="99">
        <f>IF(Q75="Entregado",NETWORKDAYS.INTL(A75,P75,11,Valores!$A$2:$A$19)-1,"PTE")</f>
        <v>3</v>
      </c>
      <c r="T75" s="99" t="str">
        <f>IF(Q75="Entregado",IFERROR(IF(I75=VLOOKUP(I75,Valores!$K$1:$K$4,1,0),IF(S75&lt;=VLOOKUP(I75,Valores!$K$1:$L$4,2,0),"Cumple","No cumple")),IF(S75&lt;=VLOOKUP(K75,Valores!E:F,2,0),"Cumple","No cumple")))</f>
        <v>Cumple</v>
      </c>
      <c r="U75" s="99">
        <f>IFERROR(IF(T75="no cumple",S75-VLOOKUP(I75,Valores!$K$1:$L$4,2,0),0),S75-VLOOKUP(K75,Valores!E:F,2,0))</f>
        <v>0</v>
      </c>
      <c r="V75" s="99"/>
      <c r="W75" s="115">
        <v>26681</v>
      </c>
      <c r="X75" s="122"/>
      <c r="Y75" s="115"/>
      <c r="Z75" s="104"/>
    </row>
    <row r="76" spans="1:26" x14ac:dyDescent="0.3">
      <c r="A76" s="116">
        <v>46052</v>
      </c>
      <c r="B76" s="99" t="s">
        <v>95</v>
      </c>
      <c r="C76" s="97">
        <v>100282</v>
      </c>
      <c r="D76" s="14" t="s">
        <v>19</v>
      </c>
      <c r="E76" s="98" t="s">
        <v>843</v>
      </c>
      <c r="F76" s="30" t="s">
        <v>405</v>
      </c>
      <c r="G76" s="100" t="str">
        <f>IFERROR(VLOOKUP(F76,Productos!$A$2:$D$277,2,0)," ")</f>
        <v>Superficie Escritorio Caramelo 120x60 Clasico Small</v>
      </c>
      <c r="H76" s="99">
        <v>1</v>
      </c>
      <c r="I76" s="100" t="str">
        <f>IFERROR(VLOOKUP(F76,Productos!$A$2:$D$277,3,0)," ")</f>
        <v>Superficie</v>
      </c>
      <c r="J76" s="97" t="s">
        <v>757</v>
      </c>
      <c r="K76" s="97" t="s">
        <v>194</v>
      </c>
      <c r="L76" s="14" t="str">
        <f t="shared" si="4"/>
        <v>Despachado</v>
      </c>
      <c r="M76" s="99" t="s">
        <v>758</v>
      </c>
      <c r="N76" s="98" t="s">
        <v>753</v>
      </c>
      <c r="O76" s="86">
        <v>46055</v>
      </c>
      <c r="P76" s="86">
        <v>46055</v>
      </c>
      <c r="Q76" s="101" t="str">
        <f t="shared" si="5"/>
        <v>Entregado</v>
      </c>
      <c r="R76" s="99">
        <f>IF(L76="Despachado",NETWORKDAYS.INTL(A76,O76,11,Valores!$A$2:$A$19)-1,"PTE")</f>
        <v>2</v>
      </c>
      <c r="S76" s="99">
        <f>IF(Q76="Entregado",NETWORKDAYS.INTL(A76,P76,11,Valores!$A$2:$A$19)-1,"PTE")</f>
        <v>2</v>
      </c>
      <c r="T76" s="99" t="str">
        <f>IF(Q76="Entregado",IFERROR(IF(I76=VLOOKUP(I76,Valores!$K$1:$K$4,1,0),IF(S76&lt;=VLOOKUP(I76,Valores!$K$1:$L$4,2,0),"Cumple","No cumple")),IF(S76&lt;=VLOOKUP(K76,Valores!E:F,2,0),"Cumple","No cumple")))</f>
        <v>Cumple</v>
      </c>
      <c r="U76" s="99">
        <f>IFERROR(IF(T76="no cumple",S76-VLOOKUP(I76,Valores!$K$1:$L$4,2,0),0),S76-VLOOKUP(K76,Valores!E:F,2,0))</f>
        <v>0</v>
      </c>
      <c r="V76" s="99"/>
      <c r="W76" s="115">
        <v>40000</v>
      </c>
      <c r="X76" s="122"/>
      <c r="Y76" s="115"/>
      <c r="Z76" s="104"/>
    </row>
    <row r="77" spans="1:26" x14ac:dyDescent="0.3">
      <c r="A77" s="116">
        <v>46052</v>
      </c>
      <c r="B77" s="99" t="s">
        <v>95</v>
      </c>
      <c r="C77" s="97">
        <v>100282</v>
      </c>
      <c r="D77" s="14" t="s">
        <v>19</v>
      </c>
      <c r="E77" s="98" t="s">
        <v>843</v>
      </c>
      <c r="F77" s="30" t="s">
        <v>122</v>
      </c>
      <c r="G77" s="100" t="str">
        <f>IFERROR(VLOOKUP(F77,Productos!$A$2:$D$277,2,0)," ")</f>
        <v>Electric Standing Desk GO Negro</v>
      </c>
      <c r="H77" s="99">
        <v>1</v>
      </c>
      <c r="I77" s="100" t="str">
        <f>IFERROR(VLOOKUP(F77,Productos!$A$2:$D$277,3,0)," ")</f>
        <v>Standing Desk</v>
      </c>
      <c r="J77" s="97" t="s">
        <v>757</v>
      </c>
      <c r="K77" s="97" t="s">
        <v>194</v>
      </c>
      <c r="L77" s="14" t="str">
        <f t="shared" si="4"/>
        <v>Despachado</v>
      </c>
      <c r="M77" s="99" t="s">
        <v>758</v>
      </c>
      <c r="N77" s="98" t="s">
        <v>753</v>
      </c>
      <c r="O77" s="86">
        <v>46055</v>
      </c>
      <c r="P77" s="86">
        <v>46055</v>
      </c>
      <c r="Q77" s="101" t="str">
        <f t="shared" si="5"/>
        <v>Entregado</v>
      </c>
      <c r="R77" s="99">
        <f>IF(L77="Despachado",NETWORKDAYS.INTL(A77,O77,11,Valores!$A$2:$A$19)-1,"PTE")</f>
        <v>2</v>
      </c>
      <c r="S77" s="99">
        <f>IF(Q77="Entregado",NETWORKDAYS.INTL(A77,P77,11,Valores!$A$2:$A$19)-1,"PTE")</f>
        <v>2</v>
      </c>
      <c r="T77" s="99" t="str">
        <f>IF(Q77="Entregado",IFERROR(IF(I77=VLOOKUP(I77,Valores!$K$1:$K$4,1,0),IF(S77&lt;=VLOOKUP(I77,Valores!$K$1:$L$4,2,0),"Cumple","No cumple")),IF(S77&lt;=VLOOKUP(K77,Valores!E:F,2,0),"Cumple","No cumple")))</f>
        <v>Cumple</v>
      </c>
      <c r="U77" s="99">
        <f>IFERROR(IF(T77="no cumple",S77-VLOOKUP(I77,Valores!$K$1:$L$4,2,0),0),S77-VLOOKUP(K77,Valores!E:F,2,0))</f>
        <v>0</v>
      </c>
      <c r="V77" s="99"/>
      <c r="W77" s="115">
        <v>0</v>
      </c>
      <c r="X77" s="122"/>
      <c r="Y77" s="115"/>
      <c r="Z77" s="104"/>
    </row>
    <row r="78" spans="1:26" x14ac:dyDescent="0.3">
      <c r="A78" s="116">
        <v>46053</v>
      </c>
      <c r="B78" s="99" t="s">
        <v>95</v>
      </c>
      <c r="C78" s="97">
        <v>100283</v>
      </c>
      <c r="D78" s="14" t="s">
        <v>19</v>
      </c>
      <c r="E78" s="98" t="s">
        <v>844</v>
      </c>
      <c r="F78" s="30" t="s">
        <v>142</v>
      </c>
      <c r="G78" s="100" t="str">
        <f>IFERROR(VLOOKUP(F78,Productos!$A$2:$D$277,2,0)," ")</f>
        <v>Superficie  Caramelo 160x70 Clasico</v>
      </c>
      <c r="H78" s="99">
        <v>1</v>
      </c>
      <c r="I78" s="100" t="str">
        <f>IFERROR(VLOOKUP(F78,Productos!$A$2:$D$277,3,0)," ")</f>
        <v>Superficie</v>
      </c>
      <c r="J78" s="97" t="s">
        <v>20</v>
      </c>
      <c r="K78" s="97" t="s">
        <v>749</v>
      </c>
      <c r="L78" s="14" t="str">
        <f t="shared" si="4"/>
        <v>Despachado</v>
      </c>
      <c r="M78" s="99" t="s">
        <v>735</v>
      </c>
      <c r="N78" s="98" t="s">
        <v>845</v>
      </c>
      <c r="O78" s="86">
        <v>46056</v>
      </c>
      <c r="P78" s="86">
        <v>46057</v>
      </c>
      <c r="Q78" s="101" t="str">
        <f t="shared" si="5"/>
        <v>Entregado</v>
      </c>
      <c r="R78" s="99">
        <f>IF(L78="Despachado",NETWORKDAYS.INTL(A78,O78,11,Valores!$A$2:$A$19)-1,"PTE")</f>
        <v>2</v>
      </c>
      <c r="S78" s="99">
        <f>IF(Q78="Entregado",NETWORKDAYS.INTL(A78,P78,11,Valores!$A$2:$A$19)-1,"PTE")</f>
        <v>3</v>
      </c>
      <c r="T78" s="99" t="str">
        <f>IF(Q78="Entregado",IFERROR(IF(I78=VLOOKUP(I78,Valores!$K$1:$K$4,1,0),IF(S78&lt;=VLOOKUP(I78,Valores!$K$1:$L$4,2,0),"Cumple","No cumple")),IF(S78&lt;=VLOOKUP(K78,Valores!E:F,2,0),"Cumple","No cumple")))</f>
        <v>Cumple</v>
      </c>
      <c r="U78" s="99">
        <f>IFERROR(IF(T78="no cumple",S78-VLOOKUP(I78,Valores!$K$1:$L$4,2,0),0),S78-VLOOKUP(K78,Valores!E:F,2,0))</f>
        <v>0</v>
      </c>
      <c r="V78" s="99"/>
      <c r="W78" s="115">
        <v>32253</v>
      </c>
      <c r="X78" s="122"/>
      <c r="Y78" s="115"/>
      <c r="Z78" s="104"/>
    </row>
    <row r="79" spans="1:26" x14ac:dyDescent="0.3">
      <c r="A79" s="116">
        <v>46053</v>
      </c>
      <c r="B79" s="99" t="s">
        <v>95</v>
      </c>
      <c r="C79" s="97">
        <v>100283</v>
      </c>
      <c r="D79" s="14" t="s">
        <v>19</v>
      </c>
      <c r="E79" s="98" t="s">
        <v>844</v>
      </c>
      <c r="F79" s="30" t="s">
        <v>398</v>
      </c>
      <c r="G79" s="100" t="str">
        <f>IFERROR(VLOOKUP(F79,Productos!$A$2:$D$277,2,0)," ")</f>
        <v>Electric Standing Desk  PRO Negro circular</v>
      </c>
      <c r="H79" s="99">
        <v>1</v>
      </c>
      <c r="I79" s="100" t="str">
        <f>IFERROR(VLOOKUP(F79,Productos!$A$2:$D$277,3,0)," ")</f>
        <v>Standing Desk</v>
      </c>
      <c r="J79" s="97" t="s">
        <v>20</v>
      </c>
      <c r="K79" s="97" t="s">
        <v>749</v>
      </c>
      <c r="L79" s="14" t="str">
        <f t="shared" si="4"/>
        <v>Despachado</v>
      </c>
      <c r="M79" s="99" t="s">
        <v>742</v>
      </c>
      <c r="N79" s="98" t="s">
        <v>846</v>
      </c>
      <c r="O79" s="86">
        <v>46056</v>
      </c>
      <c r="P79" s="86">
        <v>46058</v>
      </c>
      <c r="Q79" s="101" t="str">
        <f t="shared" si="5"/>
        <v>Entregado</v>
      </c>
      <c r="R79" s="99">
        <f>IF(L79="Despachado",NETWORKDAYS.INTL(A79,O79,11,Valores!$A$2:$A$19)-1,"PTE")</f>
        <v>2</v>
      </c>
      <c r="S79" s="99">
        <f>IF(Q79="Entregado",NETWORKDAYS.INTL(A79,P79,11,Valores!$A$2:$A$19)-1,"PTE")</f>
        <v>4</v>
      </c>
      <c r="T79" s="99" t="str">
        <f>IF(Q79="Entregado",IFERROR(IF(I79=VLOOKUP(I79,Valores!$K$1:$K$4,1,0),IF(S79&lt;=VLOOKUP(I79,Valores!$K$1:$L$4,2,0),"Cumple","No cumple")),IF(S79&lt;=VLOOKUP(K79,Valores!E:F,2,0),"Cumple","No cumple")))</f>
        <v>No cumple</v>
      </c>
      <c r="U79" s="99">
        <f>IFERROR(IF(T79="no cumple",S79-VLOOKUP(I79,Valores!$K$1:$L$4,2,0),0),S79-VLOOKUP(K79,Valores!E:F,2,0))</f>
        <v>1</v>
      </c>
      <c r="V79" s="161" t="s">
        <v>966</v>
      </c>
      <c r="W79" s="120">
        <v>44550</v>
      </c>
      <c r="X79" s="123"/>
      <c r="Y79" s="155" t="s">
        <v>973</v>
      </c>
      <c r="Z79" s="104"/>
    </row>
    <row r="80" spans="1:26" x14ac:dyDescent="0.3">
      <c r="A80" s="116">
        <v>46053</v>
      </c>
      <c r="B80" s="99" t="s">
        <v>95</v>
      </c>
      <c r="C80" s="97">
        <v>100284</v>
      </c>
      <c r="D80" s="14" t="s">
        <v>19</v>
      </c>
      <c r="E80" s="98" t="s">
        <v>844</v>
      </c>
      <c r="F80" s="30" t="s">
        <v>235</v>
      </c>
      <c r="G80" s="100" t="str">
        <f>IFERROR(VLOOKUP(F80,Productos!$A$2:$D$277,2,0)," ")</f>
        <v>Bandeja de cables</v>
      </c>
      <c r="H80" s="99">
        <v>1</v>
      </c>
      <c r="I80" s="100" t="str">
        <f>IFERROR(VLOOKUP(F80,Productos!$A$2:$D$277,3,0)," ")</f>
        <v>Accesorio</v>
      </c>
      <c r="J80" s="97" t="s">
        <v>20</v>
      </c>
      <c r="K80" s="97" t="s">
        <v>749</v>
      </c>
      <c r="L80" s="14" t="str">
        <f t="shared" si="4"/>
        <v>Despachado</v>
      </c>
      <c r="M80" s="99" t="s">
        <v>742</v>
      </c>
      <c r="N80" s="98" t="s">
        <v>847</v>
      </c>
      <c r="O80" s="86">
        <v>46056</v>
      </c>
      <c r="P80" s="86">
        <v>46058</v>
      </c>
      <c r="Q80" s="101" t="str">
        <f t="shared" si="5"/>
        <v>Entregado</v>
      </c>
      <c r="R80" s="99">
        <f>IF(L80="Despachado",NETWORKDAYS.INTL(A80,O80,11,Valores!$A$2:$A$19)-1,"PTE")</f>
        <v>2</v>
      </c>
      <c r="S80" s="99">
        <f>IF(Q80="Entregado",NETWORKDAYS.INTL(A80,P80,11,Valores!$A$2:$A$19)-1,"PTE")</f>
        <v>4</v>
      </c>
      <c r="T80" s="99" t="str">
        <f>IF(Q80="Entregado",IFERROR(IF(I80=VLOOKUP(I80,Valores!$K$1:$K$4,1,0),IF(S80&lt;=VLOOKUP(I80,Valores!$K$1:$L$4,2,0),"Cumple","No cumple")),IF(S80&lt;=VLOOKUP(K80,Valores!E:F,2,0),"Cumple","No cumple")))</f>
        <v>No cumple</v>
      </c>
      <c r="U80" s="99">
        <f>IFERROR(IF(T80="no cumple",S80-VLOOKUP(I80,Valores!$K$1:$L$4,2,0),0),S80-VLOOKUP(K80,Valores!E:F,2,0))</f>
        <v>1</v>
      </c>
      <c r="V80" s="161" t="s">
        <v>966</v>
      </c>
      <c r="W80" s="120">
        <v>26681</v>
      </c>
      <c r="X80" s="123"/>
      <c r="Y80" s="155" t="s">
        <v>973</v>
      </c>
      <c r="Z80" s="104"/>
    </row>
    <row r="81" spans="1:26" x14ac:dyDescent="0.3">
      <c r="A81" s="116">
        <v>46055</v>
      </c>
      <c r="B81" s="99" t="s">
        <v>96</v>
      </c>
      <c r="C81" s="97">
        <v>100285</v>
      </c>
      <c r="D81" s="14" t="s">
        <v>19</v>
      </c>
      <c r="E81" s="98" t="s">
        <v>848</v>
      </c>
      <c r="F81" s="30" t="s">
        <v>252</v>
      </c>
      <c r="G81" s="100" t="str">
        <f>IFERROR(VLOOKUP(F81,Productos!$A$2:$D$277,2,0)," ")</f>
        <v>Superficie  Caramelo 160x70 Moderno</v>
      </c>
      <c r="H81" s="99">
        <v>1</v>
      </c>
      <c r="I81" s="100" t="str">
        <f>IFERROR(VLOOKUP(F81,Productos!$A$2:$D$277,3,0)," ")</f>
        <v>Superficie</v>
      </c>
      <c r="J81" s="97" t="s">
        <v>20</v>
      </c>
      <c r="K81" s="97" t="s">
        <v>749</v>
      </c>
      <c r="L81" s="14" t="str">
        <f t="shared" si="4"/>
        <v>Despachado</v>
      </c>
      <c r="M81" s="99" t="s">
        <v>735</v>
      </c>
      <c r="N81" s="98" t="s">
        <v>849</v>
      </c>
      <c r="O81" s="86">
        <v>46056</v>
      </c>
      <c r="P81" s="86">
        <v>46057</v>
      </c>
      <c r="Q81" s="101" t="str">
        <f t="shared" si="5"/>
        <v>Entregado</v>
      </c>
      <c r="R81" s="99">
        <f>IF(L81="Despachado",NETWORKDAYS.INTL(A81,O81,11,Valores!$A$2:$A$19)-1,"PTE")</f>
        <v>1</v>
      </c>
      <c r="S81" s="99">
        <f>IF(Q81="Entregado",NETWORKDAYS.INTL(A81,P81,11,Valores!$A$2:$A$19)-1,"PTE")</f>
        <v>2</v>
      </c>
      <c r="T81" s="99" t="str">
        <f>IF(Q81="Entregado",IFERROR(IF(I81=VLOOKUP(I81,Valores!$K$1:$K$4,1,0),IF(S81&lt;=VLOOKUP(I81,Valores!$K$1:$L$4,2,0),"Cumple","No cumple")),IF(S81&lt;=VLOOKUP(K81,Valores!E:F,2,0),"Cumple","No cumple")))</f>
        <v>Cumple</v>
      </c>
      <c r="U81" s="99">
        <f>IFERROR(IF(T81="no cumple",S81-VLOOKUP(I81,Valores!$K$1:$L$4,2,0),0),S81-VLOOKUP(K81,Valores!E:F,2,0))</f>
        <v>0</v>
      </c>
      <c r="V81" s="99"/>
      <c r="W81" s="120">
        <v>32253</v>
      </c>
      <c r="X81" s="123"/>
      <c r="Y81" s="120"/>
      <c r="Z81" s="104"/>
    </row>
    <row r="82" spans="1:26" x14ac:dyDescent="0.3">
      <c r="A82" s="116">
        <v>46055</v>
      </c>
      <c r="B82" s="99" t="s">
        <v>96</v>
      </c>
      <c r="C82" s="97">
        <v>100285</v>
      </c>
      <c r="D82" s="14" t="s">
        <v>19</v>
      </c>
      <c r="E82" s="98" t="s">
        <v>848</v>
      </c>
      <c r="F82" s="30" t="s">
        <v>128</v>
      </c>
      <c r="G82" s="100" t="str">
        <f>IFERROR(VLOOKUP(F82,Productos!$A$2:$D$277,2,0)," ")</f>
        <v>Electric Standing Desk  PRO Negro</v>
      </c>
      <c r="H82" s="99">
        <v>1</v>
      </c>
      <c r="I82" s="100" t="str">
        <f>IFERROR(VLOOKUP(F82,Productos!$A$2:$D$277,3,0)," ")</f>
        <v>Standing Desk</v>
      </c>
      <c r="J82" s="97" t="s">
        <v>20</v>
      </c>
      <c r="K82" s="97" t="s">
        <v>749</v>
      </c>
      <c r="L82" s="14" t="str">
        <f t="shared" si="4"/>
        <v>Despachado</v>
      </c>
      <c r="M82" s="99" t="s">
        <v>742</v>
      </c>
      <c r="N82" s="98" t="s">
        <v>850</v>
      </c>
      <c r="O82" s="86">
        <v>46056</v>
      </c>
      <c r="P82" s="86">
        <v>46058</v>
      </c>
      <c r="Q82" s="101" t="str">
        <f t="shared" si="5"/>
        <v>Entregado</v>
      </c>
      <c r="R82" s="99">
        <f>IF(L82="Despachado",NETWORKDAYS.INTL(A82,O82,11,Valores!$A$2:$A$19)-1,"PTE")</f>
        <v>1</v>
      </c>
      <c r="S82" s="99">
        <f>IF(Q82="Entregado",NETWORKDAYS.INTL(A82,P82,11,Valores!$A$2:$A$19)-1,"PTE")</f>
        <v>3</v>
      </c>
      <c r="T82" s="99" t="str">
        <f>IF(Q82="Entregado",IFERROR(IF(I82=VLOOKUP(I82,Valores!$K$1:$K$4,1,0),IF(S82&lt;=VLOOKUP(I82,Valores!$K$1:$L$4,2,0),"Cumple","No cumple")),IF(S82&lt;=VLOOKUP(K82,Valores!E:F,2,0),"Cumple","No cumple")))</f>
        <v>Cumple</v>
      </c>
      <c r="U82" s="99">
        <f>IFERROR(IF(T82="no cumple",S82-VLOOKUP(I82,Valores!$K$1:$L$4,2,0),0),S82-VLOOKUP(K82,Valores!E:F,2,0))</f>
        <v>0</v>
      </c>
      <c r="V82" s="99"/>
      <c r="W82" s="115">
        <v>44550</v>
      </c>
      <c r="X82" s="122"/>
      <c r="Y82" s="115"/>
      <c r="Z82" s="104"/>
    </row>
    <row r="83" spans="1:26" x14ac:dyDescent="0.3">
      <c r="A83" s="116">
        <v>46055</v>
      </c>
      <c r="B83" s="99" t="s">
        <v>96</v>
      </c>
      <c r="C83" s="97">
        <v>100286</v>
      </c>
      <c r="D83" s="14" t="s">
        <v>19</v>
      </c>
      <c r="E83" s="98" t="s">
        <v>851</v>
      </c>
      <c r="F83" s="102" t="s">
        <v>85</v>
      </c>
      <c r="G83" s="100" t="str">
        <f>IFERROR(VLOOKUP(F83,Productos!$A$2:$D$277,2,0)," ")</f>
        <v>Laptop Stand B</v>
      </c>
      <c r="H83" s="99">
        <v>1</v>
      </c>
      <c r="I83" s="100" t="str">
        <f>IFERROR(VLOOKUP(F83,Productos!$A$2:$D$277,3,0)," ")</f>
        <v>Accesorio</v>
      </c>
      <c r="J83" s="97" t="s">
        <v>20</v>
      </c>
      <c r="K83" s="97" t="s">
        <v>749</v>
      </c>
      <c r="L83" s="14" t="str">
        <f t="shared" si="4"/>
        <v>Despachado</v>
      </c>
      <c r="M83" s="99" t="s">
        <v>742</v>
      </c>
      <c r="N83" s="98" t="s">
        <v>852</v>
      </c>
      <c r="O83" s="86">
        <v>46056</v>
      </c>
      <c r="P83" s="86">
        <v>46058</v>
      </c>
      <c r="Q83" s="101" t="str">
        <f t="shared" si="5"/>
        <v>Entregado</v>
      </c>
      <c r="R83" s="99">
        <f>IF(L83="Despachado",NETWORKDAYS.INTL(A83,O83,11,Valores!$A$2:$A$19)-1,"PTE")</f>
        <v>1</v>
      </c>
      <c r="S83" s="99">
        <f>IF(Q83="Entregado",NETWORKDAYS.INTL(A83,P83,11,Valores!$A$2:$A$19)-1,"PTE")</f>
        <v>3</v>
      </c>
      <c r="T83" s="99" t="str">
        <f>IF(Q83="Entregado",IFERROR(IF(I83=VLOOKUP(I83,Valores!$K$1:$K$4,1,0),IF(S83&lt;=VLOOKUP(I83,Valores!$K$1:$L$4,2,0),"Cumple","No cumple")),IF(S83&lt;=VLOOKUP(K83,Valores!E:F,2,0),"Cumple","No cumple")))</f>
        <v>Cumple</v>
      </c>
      <c r="U83" s="99">
        <f>IFERROR(IF(T83="no cumple",S83-VLOOKUP(I83,Valores!$K$1:$L$4,2,0),0),S83-VLOOKUP(K83,Valores!E:F,2,0))</f>
        <v>0</v>
      </c>
      <c r="V83" s="99"/>
      <c r="W83" s="120">
        <v>26681</v>
      </c>
      <c r="X83" s="123"/>
      <c r="Y83" s="120"/>
      <c r="Z83" s="104"/>
    </row>
    <row r="84" spans="1:26" x14ac:dyDescent="0.3">
      <c r="A84" s="116">
        <v>46056</v>
      </c>
      <c r="B84" s="99" t="s">
        <v>96</v>
      </c>
      <c r="C84" s="97">
        <v>100287</v>
      </c>
      <c r="D84" s="14" t="s">
        <v>19</v>
      </c>
      <c r="E84" s="98" t="s">
        <v>853</v>
      </c>
      <c r="F84" s="30" t="s">
        <v>626</v>
      </c>
      <c r="G84" s="100" t="str">
        <f>IFERROR(VLOOKUP(F84,Productos!$A$2:$D$277,2,0)," ")</f>
        <v>Repisa Escritorio Fresno Europeo x 80cm</v>
      </c>
      <c r="H84" s="99">
        <v>1</v>
      </c>
      <c r="I84" s="100" t="str">
        <f>IFERROR(VLOOKUP(F84,Productos!$A$2:$D$277,3,0)," ")</f>
        <v>Repisa</v>
      </c>
      <c r="J84" s="97" t="s">
        <v>20</v>
      </c>
      <c r="K84" s="97" t="s">
        <v>749</v>
      </c>
      <c r="L84" s="14" t="str">
        <f t="shared" si="4"/>
        <v>Despachado</v>
      </c>
      <c r="M84" s="99" t="s">
        <v>742</v>
      </c>
      <c r="N84" s="98" t="s">
        <v>854</v>
      </c>
      <c r="O84" s="86">
        <v>46059</v>
      </c>
      <c r="P84" s="86">
        <v>46060</v>
      </c>
      <c r="Q84" s="101" t="str">
        <f t="shared" si="5"/>
        <v>Entregado</v>
      </c>
      <c r="R84" s="99">
        <f>IF(L84="Despachado",NETWORKDAYS.INTL(A84,O84,11,Valores!$A$2:$A$19)-1,"PTE")</f>
        <v>3</v>
      </c>
      <c r="S84" s="99">
        <f>IF(Q84="Entregado",NETWORKDAYS.INTL(A84,P84,11,Valores!$A$2:$A$19)-1,"PTE")</f>
        <v>4</v>
      </c>
      <c r="T84" s="99" t="str">
        <f>IF(Q84="Entregado",IFERROR(IF(I84=VLOOKUP(I84,Valores!$K$1:$K$4,1,0),IF(S84&lt;=VLOOKUP(I84,Valores!$K$1:$L$4,2,0),"Cumple","No cumple")),IF(S84&lt;=VLOOKUP(K84,Valores!E:F,2,0),"Cumple","No cumple")))</f>
        <v>No cumple</v>
      </c>
      <c r="U84" s="99">
        <f>IFERROR(IF(T84="no cumple",S84-VLOOKUP(I84,Valores!$K$1:$L$4,2,0),0),S84-VLOOKUP(K84,Valores!E:F,2,0))</f>
        <v>1</v>
      </c>
      <c r="V84" s="161" t="s">
        <v>952</v>
      </c>
      <c r="W84" s="120">
        <v>25233</v>
      </c>
      <c r="X84" s="123"/>
      <c r="Y84" s="155" t="s">
        <v>964</v>
      </c>
      <c r="Z84" s="104" t="s">
        <v>969</v>
      </c>
    </row>
    <row r="85" spans="1:26" x14ac:dyDescent="0.3">
      <c r="A85" s="116">
        <v>46059</v>
      </c>
      <c r="B85" s="99" t="s">
        <v>96</v>
      </c>
      <c r="C85" s="97">
        <v>100288</v>
      </c>
      <c r="D85" s="14" t="s">
        <v>19</v>
      </c>
      <c r="E85" s="98" t="s">
        <v>855</v>
      </c>
      <c r="F85" s="30" t="s">
        <v>548</v>
      </c>
      <c r="G85" s="100" t="str">
        <f>IFERROR(VLOOKUP(F85,Productos!$A$2:$D$277,2,0)," ")</f>
        <v>Cajonero 2.0 Bicolor Caramelo x65cm</v>
      </c>
      <c r="H85" s="99">
        <v>1</v>
      </c>
      <c r="I85" s="100" t="str">
        <f>IFERROR(VLOOKUP(F85,Productos!$A$2:$D$277,3,0)," ")</f>
        <v>Archivador</v>
      </c>
      <c r="J85" s="97" t="s">
        <v>757</v>
      </c>
      <c r="K85" s="97" t="s">
        <v>194</v>
      </c>
      <c r="L85" s="14" t="str">
        <f t="shared" si="4"/>
        <v>Despachado</v>
      </c>
      <c r="M85" s="99" t="s">
        <v>758</v>
      </c>
      <c r="N85" s="98" t="s">
        <v>753</v>
      </c>
      <c r="O85" s="86">
        <v>46063</v>
      </c>
      <c r="P85" s="86">
        <v>46063</v>
      </c>
      <c r="Q85" s="101" t="str">
        <f t="shared" si="5"/>
        <v>Entregado</v>
      </c>
      <c r="R85" s="99">
        <f>IF(L85="Despachado",NETWORKDAYS.INTL(A85,O85,11,Valores!$A$2:$A$19)-1,"PTE")</f>
        <v>3</v>
      </c>
      <c r="S85" s="99">
        <f>IF(Q85="Entregado",NETWORKDAYS.INTL(A85,P85,11,Valores!$A$2:$A$19)-1,"PTE")</f>
        <v>3</v>
      </c>
      <c r="T85" s="99" t="str">
        <f>IF(Q85="Entregado",IFERROR(IF(I85=VLOOKUP(I85,Valores!$K$1:$K$4,1,0),IF(S85&lt;=VLOOKUP(I85,Valores!$K$1:$L$4,2,0),"Cumple","No cumple")),IF(S85&lt;=VLOOKUP(K85,Valores!E:F,2,0),"Cumple","No cumple")))</f>
        <v>Cumple</v>
      </c>
      <c r="U85" s="99">
        <f>IFERROR(IF(T85="no cumple",S85-VLOOKUP(I85,Valores!$K$1:$L$4,2,0),0),S85-VLOOKUP(K85,Valores!E:F,2,0))</f>
        <v>0</v>
      </c>
      <c r="V85" s="99"/>
      <c r="W85" s="115">
        <v>50000</v>
      </c>
      <c r="X85" s="122"/>
      <c r="Y85" s="115"/>
      <c r="Z85" s="104"/>
    </row>
    <row r="86" spans="1:26" x14ac:dyDescent="0.3">
      <c r="A86" s="116">
        <v>46059</v>
      </c>
      <c r="B86" s="99" t="s">
        <v>96</v>
      </c>
      <c r="C86" s="97">
        <v>100288</v>
      </c>
      <c r="D86" s="14" t="s">
        <v>19</v>
      </c>
      <c r="E86" s="98" t="s">
        <v>855</v>
      </c>
      <c r="F86" s="30" t="s">
        <v>548</v>
      </c>
      <c r="G86" s="100" t="str">
        <f>IFERROR(VLOOKUP(F86,Productos!$A$2:$D$277,2,0)," ")</f>
        <v>Cajonero 2.0 Bicolor Caramelo x65cm</v>
      </c>
      <c r="H86" s="99">
        <v>1</v>
      </c>
      <c r="I86" s="100" t="str">
        <f>IFERROR(VLOOKUP(F86,Productos!$A$2:$D$277,3,0)," ")</f>
        <v>Archivador</v>
      </c>
      <c r="J86" s="97" t="s">
        <v>757</v>
      </c>
      <c r="K86" s="97" t="s">
        <v>194</v>
      </c>
      <c r="L86" s="14" t="str">
        <f t="shared" si="4"/>
        <v>Despachado</v>
      </c>
      <c r="M86" s="99" t="s">
        <v>758</v>
      </c>
      <c r="N86" s="98" t="s">
        <v>753</v>
      </c>
      <c r="O86" s="86">
        <v>46063</v>
      </c>
      <c r="P86" s="86">
        <v>46063</v>
      </c>
      <c r="Q86" s="101" t="str">
        <f t="shared" si="5"/>
        <v>Entregado</v>
      </c>
      <c r="R86" s="99">
        <f>IF(L86="Despachado",NETWORKDAYS.INTL(A86,O86,11,Valores!$A$2:$A$19)-1,"PTE")</f>
        <v>3</v>
      </c>
      <c r="S86" s="99">
        <f>IF(Q86="Entregado",NETWORKDAYS.INTL(A86,P86,11,Valores!$A$2:$A$19)-1,"PTE")</f>
        <v>3</v>
      </c>
      <c r="T86" s="99" t="str">
        <f>IF(Q86="Entregado",IFERROR(IF(I86=VLOOKUP(I86,Valores!$K$1:$K$4,1,0),IF(S86&lt;=VLOOKUP(I86,Valores!$K$1:$L$4,2,0),"Cumple","No cumple")),IF(S86&lt;=VLOOKUP(K86,Valores!E:F,2,0),"Cumple","No cumple")))</f>
        <v>Cumple</v>
      </c>
      <c r="U86" s="99">
        <f>IFERROR(IF(T86="no cumple",S86-VLOOKUP(I86,Valores!$K$1:$L$4,2,0),0),S86-VLOOKUP(K86,Valores!E:F,2,0))</f>
        <v>0</v>
      </c>
      <c r="V86" s="99"/>
      <c r="W86" s="120">
        <v>0</v>
      </c>
      <c r="X86" s="123"/>
      <c r="Y86" s="120"/>
      <c r="Z86" s="104"/>
    </row>
    <row r="87" spans="1:26" x14ac:dyDescent="0.3">
      <c r="A87" s="116">
        <v>46061</v>
      </c>
      <c r="B87" s="99" t="s">
        <v>96</v>
      </c>
      <c r="C87" s="97">
        <v>100289</v>
      </c>
      <c r="D87" s="14" t="s">
        <v>19</v>
      </c>
      <c r="E87" s="98" t="s">
        <v>856</v>
      </c>
      <c r="F87" s="30" t="s">
        <v>857</v>
      </c>
      <c r="G87" s="100" t="str">
        <f>IFERROR(VLOOKUP(F87,Productos!$A$2:$D$277,2,0)," ")</f>
        <v>Superficie Escritorio Roble Negro 180x80 Clasico</v>
      </c>
      <c r="H87" s="99">
        <v>1</v>
      </c>
      <c r="I87" s="100" t="str">
        <f>IFERROR(VLOOKUP(F87,Productos!$A$2:$D$277,3,0)," ")</f>
        <v>Superficie</v>
      </c>
      <c r="J87" s="97" t="s">
        <v>186</v>
      </c>
      <c r="K87" s="97" t="s">
        <v>860</v>
      </c>
      <c r="L87" s="14" t="str">
        <f t="shared" si="4"/>
        <v>Despachado</v>
      </c>
      <c r="M87" s="99" t="s">
        <v>735</v>
      </c>
      <c r="N87" s="98" t="s">
        <v>861</v>
      </c>
      <c r="O87" s="86">
        <v>46063</v>
      </c>
      <c r="P87" s="86">
        <v>46065</v>
      </c>
      <c r="Q87" s="101" t="str">
        <f t="shared" si="5"/>
        <v>Entregado</v>
      </c>
      <c r="R87" s="99">
        <f>IF(L87="Despachado",NETWORKDAYS.INTL(A87,O87,11,Valores!$A$2:$A$19)-1,"PTE")</f>
        <v>1</v>
      </c>
      <c r="S87" s="99">
        <f>IF(Q87="Entregado",NETWORKDAYS.INTL(A87,P87,11,Valores!$A$2:$A$19)-1,"PTE")</f>
        <v>3</v>
      </c>
      <c r="T87" s="99" t="str">
        <f>IF(Q87="Entregado",IFERROR(IF(I87=VLOOKUP(I87,Valores!$K$1:$K$4,1,0),IF(S87&lt;=VLOOKUP(I87,Valores!$K$1:$L$4,2,0),"Cumple","No cumple")),IF(S87&lt;=VLOOKUP(K87,Valores!E:F,2,0),"Cumple","No cumple")))</f>
        <v>Cumple</v>
      </c>
      <c r="U87" s="99">
        <f>IFERROR(IF(T87="no cumple",S87-VLOOKUP(I87,Valores!$K$1:$L$4,2,0),0),S87-VLOOKUP(K87,Valores!E:F,2,0))</f>
        <v>0</v>
      </c>
      <c r="V87" s="99"/>
      <c r="W87" s="120">
        <v>63431</v>
      </c>
      <c r="X87" s="123"/>
      <c r="Y87" s="120"/>
      <c r="Z87" s="104"/>
    </row>
    <row r="88" spans="1:26" x14ac:dyDescent="0.3">
      <c r="A88" s="116">
        <v>46061</v>
      </c>
      <c r="B88" s="99" t="s">
        <v>96</v>
      </c>
      <c r="C88" s="97">
        <v>100289</v>
      </c>
      <c r="D88" s="14" t="s">
        <v>19</v>
      </c>
      <c r="E88" s="98" t="s">
        <v>856</v>
      </c>
      <c r="F88" s="102" t="s">
        <v>398</v>
      </c>
      <c r="G88" s="100" t="str">
        <f>IFERROR(VLOOKUP(F88,Productos!$A$2:$D$277,2,0)," ")</f>
        <v>Electric Standing Desk  PRO Negro circular</v>
      </c>
      <c r="H88" s="99">
        <v>1</v>
      </c>
      <c r="I88" s="100" t="str">
        <f>IFERROR(VLOOKUP(F88,Productos!$A$2:$D$277,3,0)," ")</f>
        <v>Standing Desk</v>
      </c>
      <c r="J88" s="97" t="s">
        <v>186</v>
      </c>
      <c r="K88" s="97" t="s">
        <v>860</v>
      </c>
      <c r="L88" s="14" t="str">
        <f t="shared" si="4"/>
        <v>Despachado</v>
      </c>
      <c r="M88" s="99" t="s">
        <v>742</v>
      </c>
      <c r="N88" s="98" t="s">
        <v>862</v>
      </c>
      <c r="O88" s="86">
        <v>46063</v>
      </c>
      <c r="P88" s="86">
        <v>46065</v>
      </c>
      <c r="Q88" s="101" t="str">
        <f t="shared" si="5"/>
        <v>Entregado</v>
      </c>
      <c r="R88" s="99">
        <f>IF(L88="Despachado",NETWORKDAYS.INTL(A88,O88,11,Valores!$A$2:$A$19)-1,"PTE")</f>
        <v>1</v>
      </c>
      <c r="S88" s="99">
        <f>IF(Q88="Entregado",NETWORKDAYS.INTL(A88,P88,11,Valores!$A$2:$A$19)-1,"PTE")</f>
        <v>3</v>
      </c>
      <c r="T88" s="99" t="str">
        <f>IF(Q88="Entregado",IFERROR(IF(I88=VLOOKUP(I88,Valores!$K$1:$K$4,1,0),IF(S88&lt;=VLOOKUP(I88,Valores!$K$1:$L$4,2,0),"Cumple","No cumple")),IF(S88&lt;=VLOOKUP(K88,Valores!E:F,2,0),"Cumple","No cumple")))</f>
        <v>Cumple</v>
      </c>
      <c r="U88" s="99">
        <f>IFERROR(IF(T88="no cumple",S88-VLOOKUP(I88,Valores!$K$1:$L$4,2,0),0),S88-VLOOKUP(K88,Valores!E:F,2,0))</f>
        <v>0</v>
      </c>
      <c r="V88" s="99"/>
      <c r="W88" s="120">
        <v>65599</v>
      </c>
      <c r="X88" s="123"/>
      <c r="Y88" s="120"/>
      <c r="Z88" s="104"/>
    </row>
    <row r="89" spans="1:26" x14ac:dyDescent="0.3">
      <c r="A89" s="116">
        <v>46063</v>
      </c>
      <c r="B89" s="99" t="s">
        <v>96</v>
      </c>
      <c r="C89" s="97">
        <v>100290</v>
      </c>
      <c r="D89" s="14" t="s">
        <v>19</v>
      </c>
      <c r="E89" s="98" t="s">
        <v>863</v>
      </c>
      <c r="F89" s="30" t="s">
        <v>405</v>
      </c>
      <c r="G89" s="100" t="str">
        <f>IFERROR(VLOOKUP(F89,Productos!$A$2:$D$277,2,0)," ")</f>
        <v>Superficie Escritorio Caramelo 120x60 Clasico Small</v>
      </c>
      <c r="H89" s="99">
        <v>1</v>
      </c>
      <c r="I89" s="100" t="str">
        <f>IFERROR(VLOOKUP(F89,Productos!$A$2:$D$277,3,0)," ")</f>
        <v>Superficie</v>
      </c>
      <c r="J89" s="97" t="s">
        <v>20</v>
      </c>
      <c r="K89" s="97" t="s">
        <v>749</v>
      </c>
      <c r="L89" s="14" t="str">
        <f t="shared" si="4"/>
        <v>Despachado</v>
      </c>
      <c r="M89" s="99" t="s">
        <v>742</v>
      </c>
      <c r="N89" s="105" t="s">
        <v>864</v>
      </c>
      <c r="O89" s="86">
        <v>46064</v>
      </c>
      <c r="P89" s="86">
        <v>46067</v>
      </c>
      <c r="Q89" s="101" t="str">
        <f t="shared" si="5"/>
        <v>Entregado</v>
      </c>
      <c r="R89" s="99">
        <f>IF(L89="Despachado",NETWORKDAYS.INTL(A89,O89,11,Valores!$A$2:$A$19)-1,"PTE")</f>
        <v>1</v>
      </c>
      <c r="S89" s="99">
        <f>IF(Q89="Entregado",NETWORKDAYS.INTL(A89,P89,11,Valores!$A$2:$A$19)-1,"PTE")</f>
        <v>4</v>
      </c>
      <c r="T89" s="99" t="str">
        <f>IF(Q89="Entregado",IFERROR(IF(I89=VLOOKUP(I89,Valores!$K$1:$K$4,1,0),IF(S89&lt;=VLOOKUP(I89,Valores!$K$1:$L$4,2,0),"Cumple","No cumple")),IF(S89&lt;=VLOOKUP(K89,Valores!E:F,2,0),"Cumple","No cumple")))</f>
        <v>No cumple</v>
      </c>
      <c r="U89" s="99">
        <f>IFERROR(IF(T89="no cumple",S89-VLOOKUP(I89,Valores!$K$1:$L$4,2,0),0),S89-VLOOKUP(K89,Valores!E:F,2,0))</f>
        <v>1</v>
      </c>
      <c r="V89" s="161" t="s">
        <v>960</v>
      </c>
      <c r="W89" s="120">
        <v>25952</v>
      </c>
      <c r="X89" s="123"/>
      <c r="Y89" s="155" t="s">
        <v>973</v>
      </c>
      <c r="Z89" s="104"/>
    </row>
    <row r="90" spans="1:26" x14ac:dyDescent="0.3">
      <c r="A90" s="116">
        <v>46063</v>
      </c>
      <c r="B90" s="99" t="s">
        <v>96</v>
      </c>
      <c r="C90" s="97">
        <v>100290</v>
      </c>
      <c r="D90" s="14" t="s">
        <v>19</v>
      </c>
      <c r="E90" s="98" t="s">
        <v>863</v>
      </c>
      <c r="F90" s="102" t="s">
        <v>122</v>
      </c>
      <c r="G90" s="100" t="str">
        <f>IFERROR(VLOOKUP(F90,Productos!$A$2:$D$277,2,0)," ")</f>
        <v>Electric Standing Desk GO Negro</v>
      </c>
      <c r="H90" s="99">
        <v>1</v>
      </c>
      <c r="I90" s="100" t="str">
        <f>IFERROR(VLOOKUP(F90,Productos!$A$2:$D$277,3,0)," ")</f>
        <v>Standing Desk</v>
      </c>
      <c r="J90" s="97" t="s">
        <v>20</v>
      </c>
      <c r="K90" s="113" t="s">
        <v>749</v>
      </c>
      <c r="L90" s="14" t="str">
        <f t="shared" si="4"/>
        <v>Despachado</v>
      </c>
      <c r="M90" s="99" t="s">
        <v>742</v>
      </c>
      <c r="N90" s="98" t="s">
        <v>865</v>
      </c>
      <c r="O90" s="86">
        <v>46064</v>
      </c>
      <c r="P90" s="86">
        <v>46065</v>
      </c>
      <c r="Q90" s="101" t="str">
        <f t="shared" si="5"/>
        <v>Entregado</v>
      </c>
      <c r="R90" s="99">
        <f>IF(L90="Despachado",NETWORKDAYS.INTL(A90,O90,11,Valores!$A$2:$A$19)-1,"PTE")</f>
        <v>1</v>
      </c>
      <c r="S90" s="99">
        <f>IF(Q90="Entregado",NETWORKDAYS.INTL(A90,P90,11,Valores!$A$2:$A$19)-1,"PTE")</f>
        <v>2</v>
      </c>
      <c r="T90" s="99" t="str">
        <f>IF(Q90="Entregado",IFERROR(IF(I90=VLOOKUP(I90,Valores!$K$1:$K$4,1,0),IF(S90&lt;=VLOOKUP(I90,Valores!$K$1:$L$4,2,0),"Cumple","No cumple")),IF(S90&lt;=VLOOKUP(K90,Valores!E:F,2,0),"Cumple","No cumple")))</f>
        <v>Cumple</v>
      </c>
      <c r="U90" s="99">
        <f>IFERROR(IF(T90="no cumple",S90-VLOOKUP(I90,Valores!$K$1:$L$4,2,0),0),S90-VLOOKUP(K90,Valores!E:F,2,0))</f>
        <v>0</v>
      </c>
      <c r="V90" s="99"/>
      <c r="W90" s="120">
        <v>43114</v>
      </c>
      <c r="X90" s="123"/>
      <c r="Y90" s="120"/>
      <c r="Z90" s="104"/>
    </row>
    <row r="91" spans="1:26" x14ac:dyDescent="0.3">
      <c r="A91" s="116">
        <v>46063</v>
      </c>
      <c r="B91" s="99" t="s">
        <v>96</v>
      </c>
      <c r="C91" s="97">
        <v>100291</v>
      </c>
      <c r="D91" s="14" t="s">
        <v>19</v>
      </c>
      <c r="E91" s="98" t="s">
        <v>866</v>
      </c>
      <c r="F91" s="102" t="s">
        <v>106</v>
      </c>
      <c r="G91" s="100" t="str">
        <f>IFERROR(VLOOKUP(F91,Productos!$A$2:$D$277,2,0)," ")</f>
        <v>Superficie  Caramelo 120x70 Clasico Small</v>
      </c>
      <c r="H91" s="99">
        <v>1</v>
      </c>
      <c r="I91" s="100" t="str">
        <f>IFERROR(VLOOKUP(F91,Productos!$A$2:$D$277,3,0)," ")</f>
        <v>Superficie</v>
      </c>
      <c r="J91" s="97" t="s">
        <v>20</v>
      </c>
      <c r="K91" s="113" t="s">
        <v>749</v>
      </c>
      <c r="L91" s="14" t="str">
        <f t="shared" si="4"/>
        <v>Despachado</v>
      </c>
      <c r="M91" s="99" t="s">
        <v>742</v>
      </c>
      <c r="N91" s="98" t="s">
        <v>867</v>
      </c>
      <c r="O91" s="86">
        <v>46064</v>
      </c>
      <c r="P91" s="86">
        <v>46065</v>
      </c>
      <c r="Q91" s="101" t="str">
        <f t="shared" si="5"/>
        <v>Entregado</v>
      </c>
      <c r="R91" s="99">
        <f>IF(L91="Despachado",NETWORKDAYS.INTL(A91,O91,11,Valores!$A$2:$A$19)-1,"PTE")</f>
        <v>1</v>
      </c>
      <c r="S91" s="99">
        <f>IF(Q91="Entregado",NETWORKDAYS.INTL(A91,P91,11,Valores!$A$2:$A$19)-1,"PTE")</f>
        <v>2</v>
      </c>
      <c r="T91" s="99" t="str">
        <f>IF(Q91="Entregado",IFERROR(IF(I91=VLOOKUP(I91,Valores!$K$1:$K$4,1,0),IF(S91&lt;=VLOOKUP(I91,Valores!$K$1:$L$4,2,0),"Cumple","No cumple")),IF(S91&lt;=VLOOKUP(K91,Valores!E:F,2,0),"Cumple","No cumple")))</f>
        <v>Cumple</v>
      </c>
      <c r="U91" s="99">
        <f>IFERROR(IF(T91="no cumple",S91-VLOOKUP(I91,Valores!$K$1:$L$4,2,0),0),S91-VLOOKUP(K91,Valores!E:F,2,0))</f>
        <v>0</v>
      </c>
      <c r="V91" s="99"/>
      <c r="W91" s="120">
        <v>25952</v>
      </c>
      <c r="X91" s="123"/>
      <c r="Y91" s="120"/>
      <c r="Z91" s="104"/>
    </row>
    <row r="92" spans="1:26" x14ac:dyDescent="0.3">
      <c r="A92" s="116">
        <v>46063</v>
      </c>
      <c r="B92" s="99" t="s">
        <v>96</v>
      </c>
      <c r="C92" s="97">
        <v>100291</v>
      </c>
      <c r="D92" s="14" t="s">
        <v>19</v>
      </c>
      <c r="E92" s="98" t="s">
        <v>866</v>
      </c>
      <c r="F92" s="30" t="s">
        <v>122</v>
      </c>
      <c r="G92" s="100" t="str">
        <f>IFERROR(VLOOKUP(F92,Productos!$A$2:$D$277,2,0)," ")</f>
        <v>Electric Standing Desk GO Negro</v>
      </c>
      <c r="H92" s="99">
        <v>1</v>
      </c>
      <c r="I92" s="100" t="str">
        <f>IFERROR(VLOOKUP(F92,Productos!$A$2:$D$277,3,0)," ")</f>
        <v>Standing Desk</v>
      </c>
      <c r="J92" s="97" t="s">
        <v>20</v>
      </c>
      <c r="K92" s="113" t="s">
        <v>749</v>
      </c>
      <c r="L92" s="14" t="str">
        <f t="shared" si="4"/>
        <v>Despachado</v>
      </c>
      <c r="M92" s="99" t="s">
        <v>742</v>
      </c>
      <c r="N92" s="98" t="s">
        <v>868</v>
      </c>
      <c r="O92" s="86">
        <v>46064</v>
      </c>
      <c r="P92" s="86">
        <v>46065</v>
      </c>
      <c r="Q92" s="101" t="str">
        <f t="shared" si="5"/>
        <v>Entregado</v>
      </c>
      <c r="R92" s="99">
        <f>IF(L92="Despachado",NETWORKDAYS.INTL(A92,O92,11,Valores!$A$2:$A$19)-1,"PTE")</f>
        <v>1</v>
      </c>
      <c r="S92" s="99">
        <f>IF(Q92="Entregado",NETWORKDAYS.INTL(A92,P92,11,Valores!$A$2:$A$19)-1,"PTE")</f>
        <v>2</v>
      </c>
      <c r="T92" s="99" t="str">
        <f>IF(Q92="Entregado",IFERROR(IF(I92=VLOOKUP(I92,Valores!$K$1:$K$4,1,0),IF(S92&lt;=VLOOKUP(I92,Valores!$K$1:$L$4,2,0),"Cumple","No cumple")),IF(S92&lt;=VLOOKUP(K92,Valores!E:F,2,0),"Cumple","No cumple")))</f>
        <v>Cumple</v>
      </c>
      <c r="U92" s="99">
        <f>IFERROR(IF(T92="no cumple",S92-VLOOKUP(I92,Valores!$K$1:$L$4,2,0),0),S92-VLOOKUP(K92,Valores!E:F,2,0))</f>
        <v>0</v>
      </c>
      <c r="V92" s="99"/>
      <c r="W92" s="120">
        <v>43114</v>
      </c>
      <c r="X92" s="123"/>
      <c r="Y92" s="120"/>
      <c r="Z92" s="104"/>
    </row>
    <row r="93" spans="1:26" x14ac:dyDescent="0.3">
      <c r="A93" s="116">
        <v>46063</v>
      </c>
      <c r="B93" s="99" t="s">
        <v>96</v>
      </c>
      <c r="C93" s="97">
        <v>100292</v>
      </c>
      <c r="D93" s="14" t="s">
        <v>19</v>
      </c>
      <c r="E93" s="98" t="s">
        <v>869</v>
      </c>
      <c r="F93" s="30" t="s">
        <v>235</v>
      </c>
      <c r="G93" s="100" t="str">
        <f>IFERROR(VLOOKUP(F93,Productos!$A$2:$D$277,2,0)," ")</f>
        <v>Bandeja de cables</v>
      </c>
      <c r="H93" s="99">
        <v>1</v>
      </c>
      <c r="I93" s="100" t="str">
        <f>IFERROR(VLOOKUP(F93,Productos!$A$2:$D$277,3,0)," ")</f>
        <v>Accesorio</v>
      </c>
      <c r="J93" s="97" t="s">
        <v>20</v>
      </c>
      <c r="K93" s="113" t="s">
        <v>749</v>
      </c>
      <c r="L93" s="14" t="str">
        <f t="shared" si="4"/>
        <v>Despachado</v>
      </c>
      <c r="M93" s="99" t="s">
        <v>742</v>
      </c>
      <c r="N93" s="98" t="s">
        <v>870</v>
      </c>
      <c r="O93" s="86">
        <v>46064</v>
      </c>
      <c r="P93" s="86">
        <v>46065</v>
      </c>
      <c r="Q93" s="101" t="str">
        <f t="shared" si="5"/>
        <v>Entregado</v>
      </c>
      <c r="R93" s="99">
        <f>IF(L93="Despachado",NETWORKDAYS.INTL(A93,O93,11,Valores!$A$2:$A$19)-1,"PTE")</f>
        <v>1</v>
      </c>
      <c r="S93" s="99">
        <f>IF(Q93="Entregado",NETWORKDAYS.INTL(A93,P93,11,Valores!$A$2:$A$19)-1,"PTE")</f>
        <v>2</v>
      </c>
      <c r="T93" s="99" t="str">
        <f>IF(Q93="Entregado",IFERROR(IF(I93=VLOOKUP(I93,Valores!$K$1:$K$4,1,0),IF(S93&lt;=VLOOKUP(I93,Valores!$K$1:$L$4,2,0),"Cumple","No cumple")),IF(S93&lt;=VLOOKUP(K93,Valores!E:F,2,0),"Cumple","No cumple")))</f>
        <v>Cumple</v>
      </c>
      <c r="U93" s="99">
        <f>IFERROR(IF(T93="no cumple",S93-VLOOKUP(I93,Valores!$K$1:$L$4,2,0),0),S93-VLOOKUP(K93,Valores!E:F,2,0))</f>
        <v>0</v>
      </c>
      <c r="V93" s="99"/>
      <c r="W93" s="115">
        <v>26681</v>
      </c>
      <c r="X93" s="122"/>
      <c r="Y93" s="115"/>
      <c r="Z93" s="104"/>
    </row>
    <row r="94" spans="1:26" x14ac:dyDescent="0.3">
      <c r="A94" s="116">
        <v>46065</v>
      </c>
      <c r="B94" s="99" t="s">
        <v>96</v>
      </c>
      <c r="C94" s="97">
        <v>100293</v>
      </c>
      <c r="D94" s="14" t="s">
        <v>19</v>
      </c>
      <c r="E94" s="98" t="s">
        <v>871</v>
      </c>
      <c r="F94" s="30" t="s">
        <v>503</v>
      </c>
      <c r="G94" s="100" t="str">
        <f>IFERROR(VLOOKUP(F94,Productos!$A$2:$D$277,2,0)," ")</f>
        <v>Superficie Escritorio Roble Negro 200x80 Clasico</v>
      </c>
      <c r="H94" s="99">
        <v>1</v>
      </c>
      <c r="I94" s="100" t="str">
        <f>IFERROR(VLOOKUP(F94,Productos!$A$2:$D$277,3,0)," ")</f>
        <v>Superficie</v>
      </c>
      <c r="J94" s="97" t="s">
        <v>23</v>
      </c>
      <c r="K94" s="97" t="s">
        <v>745</v>
      </c>
      <c r="L94" s="14" t="str">
        <f t="shared" si="4"/>
        <v>Despachado</v>
      </c>
      <c r="M94" s="99" t="s">
        <v>735</v>
      </c>
      <c r="N94" s="98" t="s">
        <v>872</v>
      </c>
      <c r="O94" s="86">
        <v>46065</v>
      </c>
      <c r="P94" s="86">
        <v>46066</v>
      </c>
      <c r="Q94" s="101" t="str">
        <f t="shared" si="5"/>
        <v>Entregado</v>
      </c>
      <c r="R94" s="99">
        <f>IF(L94="Despachado",NETWORKDAYS.INTL(A94,O94,11,Valores!$A$2:$A$19)-1,"PTE")</f>
        <v>0</v>
      </c>
      <c r="S94" s="99">
        <f>IF(Q94="Entregado",NETWORKDAYS.INTL(A94,P94,11,Valores!$A$2:$A$19)-1,"PTE")</f>
        <v>1</v>
      </c>
      <c r="T94" s="99" t="str">
        <f>IF(Q94="Entregado",IFERROR(IF(I94=VLOOKUP(I94,Valores!$K$1:$K$4,1,0),IF(S94&lt;=VLOOKUP(I94,Valores!$K$1:$L$4,2,0),"Cumple","No cumple")),IF(S94&lt;=VLOOKUP(K94,Valores!E:F,2,0),"Cumple","No cumple")))</f>
        <v>Cumple</v>
      </c>
      <c r="U94" s="99">
        <f>IFERROR(IF(T94="no cumple",S94-VLOOKUP(I94,Valores!$K$1:$L$4,2,0),0),S94-VLOOKUP(K94,Valores!E:F,2,0))</f>
        <v>0</v>
      </c>
      <c r="V94" s="99"/>
      <c r="W94" s="115">
        <v>45071</v>
      </c>
      <c r="X94" s="122"/>
      <c r="Y94" s="115"/>
      <c r="Z94" s="104"/>
    </row>
    <row r="95" spans="1:26" x14ac:dyDescent="0.3">
      <c r="A95" s="116">
        <v>46065</v>
      </c>
      <c r="B95" s="99" t="s">
        <v>96</v>
      </c>
      <c r="C95" s="97">
        <v>100293</v>
      </c>
      <c r="D95" s="14" t="s">
        <v>19</v>
      </c>
      <c r="E95" s="98" t="s">
        <v>871</v>
      </c>
      <c r="F95" s="30" t="s">
        <v>128</v>
      </c>
      <c r="G95" s="100" t="str">
        <f>IFERROR(VLOOKUP(F95,Productos!$A$2:$D$277,2,0)," ")</f>
        <v>Electric Standing Desk  PRO Negro</v>
      </c>
      <c r="H95" s="99">
        <v>1</v>
      </c>
      <c r="I95" s="100" t="str">
        <f>IFERROR(VLOOKUP(F95,Productos!$A$2:$D$277,3,0)," ")</f>
        <v>Standing Desk</v>
      </c>
      <c r="J95" s="97" t="s">
        <v>23</v>
      </c>
      <c r="K95" s="97" t="s">
        <v>745</v>
      </c>
      <c r="L95" s="14" t="str">
        <f t="shared" si="4"/>
        <v>Despachado</v>
      </c>
      <c r="M95" s="99" t="s">
        <v>742</v>
      </c>
      <c r="N95" s="98" t="s">
        <v>873</v>
      </c>
      <c r="O95" s="86">
        <v>46065</v>
      </c>
      <c r="P95" s="86">
        <v>46066</v>
      </c>
      <c r="Q95" s="101" t="str">
        <f t="shared" si="5"/>
        <v>Entregado</v>
      </c>
      <c r="R95" s="99">
        <f>IF(L95="Despachado",NETWORKDAYS.INTL(A95,O95,11,Valores!$A$2:$A$19)-1,"PTE")</f>
        <v>0</v>
      </c>
      <c r="S95" s="99">
        <f>IF(Q95="Entregado",NETWORKDAYS.INTL(A95,P95,11,Valores!$A$2:$A$19)-1,"PTE")</f>
        <v>1</v>
      </c>
      <c r="T95" s="99" t="str">
        <f>IF(Q95="Entregado",IFERROR(IF(I95=VLOOKUP(I95,Valores!$K$1:$K$4,1,0),IF(S95&lt;=VLOOKUP(I95,Valores!$K$1:$L$4,2,0),"Cumple","No cumple")),IF(S95&lt;=VLOOKUP(K95,Valores!E:F,2,0),"Cumple","No cumple")))</f>
        <v>Cumple</v>
      </c>
      <c r="U95" s="99">
        <f>IFERROR(IF(T95="no cumple",S95-VLOOKUP(I95,Valores!$K$1:$L$4,2,0),0),S95-VLOOKUP(K95,Valores!E:F,2,0))</f>
        <v>0</v>
      </c>
      <c r="V95" s="99"/>
      <c r="W95" s="115">
        <v>44550</v>
      </c>
      <c r="X95" s="122"/>
      <c r="Y95" s="115"/>
      <c r="Z95" s="104"/>
    </row>
    <row r="96" spans="1:26" x14ac:dyDescent="0.3">
      <c r="A96" s="116">
        <v>46065</v>
      </c>
      <c r="B96" s="99" t="s">
        <v>96</v>
      </c>
      <c r="C96" s="97">
        <v>100293</v>
      </c>
      <c r="D96" s="14" t="s">
        <v>19</v>
      </c>
      <c r="E96" s="98" t="s">
        <v>871</v>
      </c>
      <c r="F96" s="102"/>
      <c r="G96" s="100" t="s">
        <v>824</v>
      </c>
      <c r="H96" s="99">
        <v>1</v>
      </c>
      <c r="I96" s="100" t="s">
        <v>825</v>
      </c>
      <c r="J96" s="97" t="s">
        <v>23</v>
      </c>
      <c r="K96" s="97" t="s">
        <v>745</v>
      </c>
      <c r="L96" s="14" t="str">
        <f t="shared" si="4"/>
        <v>Despachado</v>
      </c>
      <c r="M96" s="99" t="s">
        <v>753</v>
      </c>
      <c r="N96" s="98" t="s">
        <v>753</v>
      </c>
      <c r="O96" s="86" t="s">
        <v>753</v>
      </c>
      <c r="P96" s="86" t="s">
        <v>753</v>
      </c>
      <c r="Q96" s="101" t="str">
        <f t="shared" si="5"/>
        <v>Entregado</v>
      </c>
      <c r="R96" s="99">
        <v>0</v>
      </c>
      <c r="S96" s="99">
        <v>0</v>
      </c>
      <c r="T96" s="99">
        <v>0</v>
      </c>
      <c r="U96" s="99">
        <f>IFERROR(IF(T96="no cumple",S96-VLOOKUP(I96,Valores!$K$1:$L$4,2,0),0),S96-VLOOKUP(K96,Valores!E:F,2,0))</f>
        <v>0</v>
      </c>
      <c r="V96" s="99"/>
      <c r="W96" s="120">
        <v>0</v>
      </c>
      <c r="X96" s="123"/>
      <c r="Y96" s="120"/>
      <c r="Z96" s="104"/>
    </row>
    <row r="97" spans="1:26" x14ac:dyDescent="0.3">
      <c r="A97" s="116">
        <v>46065</v>
      </c>
      <c r="B97" s="99" t="s">
        <v>96</v>
      </c>
      <c r="C97" s="97">
        <v>100294</v>
      </c>
      <c r="D97" s="14" t="s">
        <v>19</v>
      </c>
      <c r="E97" s="98" t="s">
        <v>874</v>
      </c>
      <c r="F97" s="30" t="s">
        <v>391</v>
      </c>
      <c r="G97" s="100" t="str">
        <f>IFERROR(VLOOKUP(F97,Productos!$A$2:$D$277,2,0)," ")</f>
        <v>Archivador TECU Fresno Europeo</v>
      </c>
      <c r="H97" s="99">
        <v>1</v>
      </c>
      <c r="I97" s="100" t="str">
        <f>IFERROR(VLOOKUP(F97,Productos!$A$2:$D$277,3,0)," ")</f>
        <v>Archivador</v>
      </c>
      <c r="J97" s="97" t="s">
        <v>20</v>
      </c>
      <c r="K97" s="97" t="s">
        <v>749</v>
      </c>
      <c r="L97" s="14" t="str">
        <f t="shared" si="4"/>
        <v>Despachado</v>
      </c>
      <c r="M97" s="99" t="s">
        <v>735</v>
      </c>
      <c r="N97" s="98" t="s">
        <v>875</v>
      </c>
      <c r="O97" s="86">
        <v>46066</v>
      </c>
      <c r="P97" s="86">
        <v>46067</v>
      </c>
      <c r="Q97" s="101" t="str">
        <f t="shared" si="5"/>
        <v>Entregado</v>
      </c>
      <c r="R97" s="99">
        <f>IF(L97="Despachado",NETWORKDAYS.INTL(A97,O97,11,Valores!$A$2:$A$19)-1,"PTE")</f>
        <v>1</v>
      </c>
      <c r="S97" s="99">
        <f>IF(Q97="Entregado",NETWORKDAYS.INTL(A97,P97,11,Valores!$A$2:$A$19)-1,"PTE")</f>
        <v>2</v>
      </c>
      <c r="T97" s="99" t="str">
        <f>IF(Q97="Entregado",IFERROR(IF(I97=VLOOKUP(I97,Valores!$K$1:$K$4,1,0),IF(S97&lt;=VLOOKUP(I97,Valores!$K$1:$L$4,2,0),"Cumple","No cumple")),IF(S97&lt;=VLOOKUP(K97,Valores!E:F,2,0),"Cumple","No cumple")))</f>
        <v>Cumple</v>
      </c>
      <c r="U97" s="99">
        <f>IFERROR(IF(T97="no cumple",S97-VLOOKUP(I97,Valores!$K$1:$L$4,2,0),0),S97-VLOOKUP(K97,Valores!E:F,2,0))</f>
        <v>0</v>
      </c>
      <c r="V97" s="99"/>
      <c r="W97" s="115">
        <v>57135</v>
      </c>
      <c r="X97" s="122"/>
      <c r="Y97" s="115"/>
      <c r="Z97" s="104"/>
    </row>
    <row r="98" spans="1:26" x14ac:dyDescent="0.3">
      <c r="A98" s="116">
        <v>46065</v>
      </c>
      <c r="B98" s="99" t="s">
        <v>96</v>
      </c>
      <c r="C98" s="97">
        <v>100295</v>
      </c>
      <c r="D98" s="14" t="s">
        <v>19</v>
      </c>
      <c r="E98" s="98" t="s">
        <v>876</v>
      </c>
      <c r="F98" s="30" t="s">
        <v>82</v>
      </c>
      <c r="G98" s="100" t="str">
        <f>IFERROR(VLOOKUP(F98,Productos!$A$2:$D$277,2,0)," ")</f>
        <v>Desk Pad B Negro Azul</v>
      </c>
      <c r="H98" s="99">
        <v>1</v>
      </c>
      <c r="I98" s="100" t="str">
        <f>IFERROR(VLOOKUP(F98,Productos!$A$2:$D$277,3,0)," ")</f>
        <v>Accesorio</v>
      </c>
      <c r="J98" s="97" t="s">
        <v>23</v>
      </c>
      <c r="K98" s="97" t="s">
        <v>197</v>
      </c>
      <c r="L98" s="14" t="str">
        <f t="shared" si="4"/>
        <v>Despachado</v>
      </c>
      <c r="M98" s="99" t="s">
        <v>742</v>
      </c>
      <c r="N98" s="98" t="s">
        <v>877</v>
      </c>
      <c r="O98" s="103">
        <v>46065</v>
      </c>
      <c r="P98" s="103">
        <v>46067</v>
      </c>
      <c r="Q98" s="101" t="str">
        <f t="shared" si="5"/>
        <v>Entregado</v>
      </c>
      <c r="R98" s="99">
        <f>IF(L98="Despachado",NETWORKDAYS.INTL(A98,O98,11,Valores!$A$2:$A$19)-1,"PTE")</f>
        <v>0</v>
      </c>
      <c r="S98" s="99">
        <f>IF(Q98="Entregado",NETWORKDAYS.INTL(A98,P98,11,Valores!$A$2:$A$19)-1,"PTE")</f>
        <v>2</v>
      </c>
      <c r="T98" s="99" t="str">
        <f>IF(Q98="Entregado",IFERROR(IF(I98=VLOOKUP(I98,Valores!$K$1:$K$4,1,0),IF(S98&lt;=VLOOKUP(I98,Valores!$K$1:$L$4,2,0),"Cumple","No cumple")),IF(S98&lt;=VLOOKUP(K98,Valores!E:F,2,0),"Cumple","No cumple")))</f>
        <v>Cumple</v>
      </c>
      <c r="U98" s="99">
        <f>IFERROR(IF(T98="no cumple",S98-VLOOKUP(I98,Valores!$K$1:$L$4,2,0),0),S98-VLOOKUP(K98,Valores!E:F,2,0))</f>
        <v>0</v>
      </c>
      <c r="V98" s="99"/>
      <c r="W98" s="115">
        <v>17787</v>
      </c>
      <c r="X98" s="122"/>
      <c r="Y98" s="115"/>
      <c r="Z98" s="104"/>
    </row>
    <row r="99" spans="1:26" x14ac:dyDescent="0.3">
      <c r="A99" s="116">
        <v>46066</v>
      </c>
      <c r="B99" s="99" t="s">
        <v>96</v>
      </c>
      <c r="C99" s="97">
        <v>100296</v>
      </c>
      <c r="D99" s="14" t="s">
        <v>19</v>
      </c>
      <c r="E99" s="98" t="s">
        <v>878</v>
      </c>
      <c r="F99" s="30" t="s">
        <v>445</v>
      </c>
      <c r="G99" s="100" t="str">
        <f>IFERROR(VLOOKUP(F99,Productos!$A$2:$D$277,2,0)," ")</f>
        <v>Superficie Escritorio Fresno Europeo 140x60 Clasico</v>
      </c>
      <c r="H99" s="99">
        <v>1</v>
      </c>
      <c r="I99" s="100" t="str">
        <f>IFERROR(VLOOKUP(F99,Productos!$A$2:$D$277,3,0)," ")</f>
        <v>Superficie</v>
      </c>
      <c r="J99" s="97" t="s">
        <v>23</v>
      </c>
      <c r="K99" s="97" t="s">
        <v>38</v>
      </c>
      <c r="L99" s="14" t="str">
        <f t="shared" si="4"/>
        <v>Despachado</v>
      </c>
      <c r="M99" s="99" t="s">
        <v>742</v>
      </c>
      <c r="N99" s="98" t="s">
        <v>879</v>
      </c>
      <c r="O99" s="103">
        <v>46069</v>
      </c>
      <c r="P99" s="103">
        <v>46070</v>
      </c>
      <c r="Q99" s="101" t="str">
        <f t="shared" si="5"/>
        <v>Entregado</v>
      </c>
      <c r="R99" s="99">
        <f>IF(L99="Despachado",NETWORKDAYS.INTL(A99,O99,11,Valores!$A$2:$A$19)-1,"PTE")</f>
        <v>2</v>
      </c>
      <c r="S99" s="99">
        <f>IF(Q99="Entregado",NETWORKDAYS.INTL(A99,P99,11,Valores!$A$2:$A$19)-1,"PTE")</f>
        <v>3</v>
      </c>
      <c r="T99" s="99" t="str">
        <f>IF(Q99="Entregado",IFERROR(IF(I99=VLOOKUP(I99,Valores!$K$1:$K$4,1,0),IF(S99&lt;=VLOOKUP(I99,Valores!$K$1:$L$4,2,0),"Cumple","No cumple")),IF(S99&lt;=VLOOKUP(K99,Valores!E:F,2,0),"Cumple","No cumple")))</f>
        <v>Cumple</v>
      </c>
      <c r="U99" s="99">
        <f>IFERROR(IF(T99="no cumple",S99-VLOOKUP(I99,Valores!$K$1:$L$4,2,0),0),S99-VLOOKUP(K99,Valores!E:F,2,0))</f>
        <v>0</v>
      </c>
      <c r="V99" s="99"/>
      <c r="W99" s="115">
        <v>25952</v>
      </c>
      <c r="X99" s="122"/>
      <c r="Y99" s="115"/>
      <c r="Z99" s="104"/>
    </row>
    <row r="100" spans="1:26" x14ac:dyDescent="0.3">
      <c r="A100" s="116">
        <v>46066</v>
      </c>
      <c r="B100" s="99" t="s">
        <v>96</v>
      </c>
      <c r="C100" s="97">
        <v>100296</v>
      </c>
      <c r="D100" s="14" t="s">
        <v>19</v>
      </c>
      <c r="E100" s="98" t="s">
        <v>878</v>
      </c>
      <c r="F100" s="30" t="s">
        <v>122</v>
      </c>
      <c r="G100" s="100" t="str">
        <f>IFERROR(VLOOKUP(F100,Productos!$A$2:$D$277,2,0)," ")</f>
        <v>Electric Standing Desk GO Negro</v>
      </c>
      <c r="H100" s="99">
        <v>1</v>
      </c>
      <c r="I100" s="100" t="str">
        <f>IFERROR(VLOOKUP(F100,Productos!$A$2:$D$277,3,0)," ")</f>
        <v>Standing Desk</v>
      </c>
      <c r="J100" s="97" t="s">
        <v>23</v>
      </c>
      <c r="K100" s="97" t="s">
        <v>38</v>
      </c>
      <c r="L100" s="14" t="str">
        <f t="shared" si="4"/>
        <v>Despachado</v>
      </c>
      <c r="M100" s="99" t="s">
        <v>742</v>
      </c>
      <c r="N100" s="98" t="s">
        <v>880</v>
      </c>
      <c r="O100" s="103">
        <v>46069</v>
      </c>
      <c r="P100" s="103">
        <v>46070</v>
      </c>
      <c r="Q100" s="101" t="str">
        <f t="shared" si="5"/>
        <v>Entregado</v>
      </c>
      <c r="R100" s="99">
        <f>IF(L100="Despachado",NETWORKDAYS.INTL(A100,O100,11,Valores!$A$2:$A$19)-1,"PTE")</f>
        <v>2</v>
      </c>
      <c r="S100" s="99">
        <f>IF(Q100="Entregado",NETWORKDAYS.INTL(A100,P100,11,Valores!$A$2:$A$19)-1,"PTE")</f>
        <v>3</v>
      </c>
      <c r="T100" s="99" t="str">
        <f>IF(Q100="Entregado",IFERROR(IF(I100=VLOOKUP(I100,Valores!$K$1:$K$4,1,0),IF(S100&lt;=VLOOKUP(I100,Valores!$K$1:$L$4,2,0),"Cumple","No cumple")),IF(S100&lt;=VLOOKUP(K100,Valores!E:F,2,0),"Cumple","No cumple")))</f>
        <v>Cumple</v>
      </c>
      <c r="U100" s="99">
        <f>IFERROR(IF(T100="no cumple",S100-VLOOKUP(I100,Valores!$K$1:$L$4,2,0),0),S100-VLOOKUP(K100,Valores!E:F,2,0))</f>
        <v>0</v>
      </c>
      <c r="V100" s="99"/>
      <c r="W100" s="115">
        <v>43114</v>
      </c>
      <c r="X100" s="122"/>
      <c r="Y100" s="115"/>
      <c r="Z100" s="104"/>
    </row>
    <row r="101" spans="1:26" x14ac:dyDescent="0.3">
      <c r="A101" s="116">
        <v>46066</v>
      </c>
      <c r="B101" s="99" t="s">
        <v>96</v>
      </c>
      <c r="C101" s="97">
        <v>100297</v>
      </c>
      <c r="D101" s="14" t="s">
        <v>19</v>
      </c>
      <c r="E101" s="98" t="s">
        <v>881</v>
      </c>
      <c r="F101" s="102" t="s">
        <v>256</v>
      </c>
      <c r="G101" s="100" t="str">
        <f>IFERROR(VLOOKUP(F101,Productos!$A$2:$D$277,2,0)," ")</f>
        <v>Superficie Roble Miel 180x75 Clasico</v>
      </c>
      <c r="H101" s="99">
        <v>1</v>
      </c>
      <c r="I101" s="100" t="str">
        <f>IFERROR(VLOOKUP(F101,Productos!$A$2:$D$277,3,0)," ")</f>
        <v>Superficie</v>
      </c>
      <c r="J101" s="97" t="s">
        <v>20</v>
      </c>
      <c r="K101" s="97" t="s">
        <v>749</v>
      </c>
      <c r="L101" s="14" t="str">
        <f t="shared" si="4"/>
        <v>Despachado</v>
      </c>
      <c r="M101" s="99" t="s">
        <v>735</v>
      </c>
      <c r="N101" s="98" t="s">
        <v>882</v>
      </c>
      <c r="O101" s="86">
        <v>46077</v>
      </c>
      <c r="P101" s="86">
        <v>46078</v>
      </c>
      <c r="Q101" s="101" t="str">
        <f t="shared" si="5"/>
        <v>Entregado</v>
      </c>
      <c r="R101" s="99">
        <f>IF(L101="Despachado",NETWORKDAYS.INTL(A101,O101,11,Valores!$A$2:$A$19)-1,"PTE")</f>
        <v>9</v>
      </c>
      <c r="S101" s="99">
        <f>IF(Q101="Entregado",NETWORKDAYS.INTL(A101,P101,11,Valores!$A$2:$A$19)-1,"PTE")</f>
        <v>10</v>
      </c>
      <c r="T101" s="99" t="str">
        <f>IF(Q101="Entregado",IFERROR(IF(I101=VLOOKUP(I101,Valores!$K$1:$K$4,1,0),IF(S101&lt;=VLOOKUP(I101,Valores!$K$1:$L$4,2,0),"Cumple","No cumple")),IF(S101&lt;=VLOOKUP(K101,Valores!E:F,2,0),"Cumple","No cumple")))</f>
        <v>No cumple</v>
      </c>
      <c r="U101" s="99">
        <f>IFERROR(IF(T101="no cumple",S101-VLOOKUP(I101,Valores!$K$1:$L$4,2,0),0),S101-VLOOKUP(K101,Valores!E:F,2,0))</f>
        <v>7</v>
      </c>
      <c r="V101" s="161" t="s">
        <v>952</v>
      </c>
      <c r="W101" s="120">
        <v>35290</v>
      </c>
      <c r="X101" s="123"/>
      <c r="Y101" s="155" t="s">
        <v>951</v>
      </c>
      <c r="Z101" s="104"/>
    </row>
    <row r="102" spans="1:26" x14ac:dyDescent="0.3">
      <c r="A102" s="116">
        <v>46066</v>
      </c>
      <c r="B102" s="99" t="s">
        <v>96</v>
      </c>
      <c r="C102" s="97">
        <v>100297</v>
      </c>
      <c r="D102" s="14" t="s">
        <v>19</v>
      </c>
      <c r="E102" s="98" t="s">
        <v>881</v>
      </c>
      <c r="F102" s="102" t="s">
        <v>128</v>
      </c>
      <c r="G102" s="100" t="str">
        <f>IFERROR(VLOOKUP(F102,Productos!$A$2:$D$277,2,0)," ")</f>
        <v>Electric Standing Desk  PRO Negro</v>
      </c>
      <c r="H102" s="99">
        <v>1</v>
      </c>
      <c r="I102" s="100" t="str">
        <f>IFERROR(VLOOKUP(F102,Productos!$A$2:$D$277,3,0)," ")</f>
        <v>Standing Desk</v>
      </c>
      <c r="J102" s="97" t="s">
        <v>20</v>
      </c>
      <c r="K102" s="97" t="s">
        <v>749</v>
      </c>
      <c r="L102" s="14" t="str">
        <f t="shared" si="4"/>
        <v>Despachado</v>
      </c>
      <c r="M102" s="99" t="s">
        <v>742</v>
      </c>
      <c r="N102" s="98" t="s">
        <v>883</v>
      </c>
      <c r="O102" s="86">
        <v>46077</v>
      </c>
      <c r="P102" s="86">
        <v>46078</v>
      </c>
      <c r="Q102" s="101" t="str">
        <f t="shared" si="5"/>
        <v>Entregado</v>
      </c>
      <c r="R102" s="99">
        <f>IF(L102="Despachado",NETWORKDAYS.INTL(A102,O102,11,Valores!$A$2:$A$19)-1,"PTE")</f>
        <v>9</v>
      </c>
      <c r="S102" s="99">
        <f>IF(Q102="Entregado",NETWORKDAYS.INTL(A102,P102,11,Valores!$A$2:$A$19)-1,"PTE")</f>
        <v>10</v>
      </c>
      <c r="T102" s="99" t="str">
        <f>IF(Q102="Entregado",IFERROR(IF(I102=VLOOKUP(I102,Valores!$K$1:$K$4,1,0),IF(S102&lt;=VLOOKUP(I102,Valores!$K$1:$L$4,2,0),"Cumple","No cumple")),IF(S102&lt;=VLOOKUP(K102,Valores!E:F,2,0),"Cumple","No cumple")))</f>
        <v>No cumple</v>
      </c>
      <c r="U102" s="99">
        <f>IFERROR(IF(T102="no cumple",S102-VLOOKUP(I102,Valores!$K$1:$L$4,2,0),0),S102-VLOOKUP(K102,Valores!E:F,2,0))</f>
        <v>7</v>
      </c>
      <c r="V102" s="161" t="s">
        <v>952</v>
      </c>
      <c r="W102" s="115">
        <v>44550</v>
      </c>
      <c r="X102" s="122"/>
      <c r="Y102" s="155" t="s">
        <v>951</v>
      </c>
      <c r="Z102" s="104"/>
    </row>
    <row r="103" spans="1:26" x14ac:dyDescent="0.3">
      <c r="A103" s="116">
        <v>46066</v>
      </c>
      <c r="B103" s="99" t="s">
        <v>96</v>
      </c>
      <c r="C103" s="97">
        <v>100297</v>
      </c>
      <c r="D103" s="14" t="s">
        <v>19</v>
      </c>
      <c r="E103" s="98" t="s">
        <v>881</v>
      </c>
      <c r="F103" s="30" t="s">
        <v>235</v>
      </c>
      <c r="G103" s="100" t="str">
        <f>IFERROR(VLOOKUP(F103,Productos!$A$2:$D$277,2,0)," ")</f>
        <v>Bandeja de cables</v>
      </c>
      <c r="H103" s="99">
        <v>1</v>
      </c>
      <c r="I103" s="100" t="str">
        <f>IFERROR(VLOOKUP(F103,Productos!$A$2:$D$277,3,0)," ")</f>
        <v>Accesorio</v>
      </c>
      <c r="J103" s="97" t="s">
        <v>20</v>
      </c>
      <c r="K103" s="97" t="s">
        <v>749</v>
      </c>
      <c r="L103" s="14" t="str">
        <f t="shared" si="4"/>
        <v>Despachado</v>
      </c>
      <c r="M103" s="99" t="s">
        <v>742</v>
      </c>
      <c r="N103" s="98" t="s">
        <v>884</v>
      </c>
      <c r="O103" s="86">
        <v>46077</v>
      </c>
      <c r="P103" s="86">
        <v>46078</v>
      </c>
      <c r="Q103" s="101" t="str">
        <f t="shared" si="5"/>
        <v>Entregado</v>
      </c>
      <c r="R103" s="99">
        <f>IF(L103="Despachado",NETWORKDAYS.INTL(A103,O103,11,Valores!$A$2:$A$19)-1,"PTE")</f>
        <v>9</v>
      </c>
      <c r="S103" s="99">
        <f>IF(Q103="Entregado",NETWORKDAYS.INTL(A103,P103,11,Valores!$A$2:$A$19)-1,"PTE")</f>
        <v>10</v>
      </c>
      <c r="T103" s="99" t="str">
        <f>IF(Q103="Entregado",IFERROR(IF(I103=VLOOKUP(I103,Valores!$K$1:$K$4,1,0),IF(S103&lt;=VLOOKUP(I103,Valores!$K$1:$L$4,2,0),"Cumple","No cumple")),IF(S103&lt;=VLOOKUP(K103,Valores!E:F,2,0),"Cumple","No cumple")))</f>
        <v>No cumple</v>
      </c>
      <c r="U103" s="99">
        <f>IFERROR(IF(T103="no cumple",S103-VLOOKUP(I103,Valores!$K$1:$L$4,2,0),0),S103-VLOOKUP(K103,Valores!E:F,2,0))</f>
        <v>7</v>
      </c>
      <c r="V103" s="161" t="s">
        <v>952</v>
      </c>
      <c r="W103" s="115">
        <v>26681</v>
      </c>
      <c r="X103" s="122"/>
      <c r="Y103" s="155" t="s">
        <v>951</v>
      </c>
      <c r="Z103" s="104"/>
    </row>
    <row r="104" spans="1:26" x14ac:dyDescent="0.3">
      <c r="A104" s="116">
        <v>46067</v>
      </c>
      <c r="B104" s="99" t="s">
        <v>96</v>
      </c>
      <c r="C104" s="97">
        <v>100298</v>
      </c>
      <c r="D104" s="14" t="s">
        <v>19</v>
      </c>
      <c r="E104" s="98" t="s">
        <v>885</v>
      </c>
      <c r="F104" s="30" t="s">
        <v>106</v>
      </c>
      <c r="G104" s="100" t="str">
        <f>IFERROR(VLOOKUP(F104,Productos!$A$2:$D$277,2,0)," ")</f>
        <v>Superficie  Caramelo 120x70 Clasico Small</v>
      </c>
      <c r="H104" s="99">
        <v>1</v>
      </c>
      <c r="I104" s="100" t="str">
        <f>IFERROR(VLOOKUP(F104,Productos!$A$2:$D$277,3,0)," ")</f>
        <v>Superficie</v>
      </c>
      <c r="J104" s="97" t="s">
        <v>20</v>
      </c>
      <c r="K104" s="97" t="s">
        <v>749</v>
      </c>
      <c r="L104" s="14" t="str">
        <f t="shared" si="4"/>
        <v>Despachado</v>
      </c>
      <c r="M104" s="99" t="s">
        <v>742</v>
      </c>
      <c r="N104" s="98" t="s">
        <v>886</v>
      </c>
      <c r="O104" s="86">
        <v>46069</v>
      </c>
      <c r="P104" s="86">
        <v>46071</v>
      </c>
      <c r="Q104" s="101" t="str">
        <f t="shared" si="5"/>
        <v>Entregado</v>
      </c>
      <c r="R104" s="99">
        <f>IF(L104="Despachado",NETWORKDAYS.INTL(A104,O104,11,Valores!$A$2:$A$19)-1,"PTE")</f>
        <v>1</v>
      </c>
      <c r="S104" s="99">
        <f>IF(Q104="Entregado",NETWORKDAYS.INTL(A104,P104,11,Valores!$A$2:$A$19)-1,"PTE")</f>
        <v>3</v>
      </c>
      <c r="T104" s="99" t="str">
        <f>IF(Q104="Entregado",IFERROR(IF(I104=VLOOKUP(I104,Valores!$K$1:$K$4,1,0),IF(S104&lt;=VLOOKUP(I104,Valores!$K$1:$L$4,2,0),"Cumple","No cumple")),IF(S104&lt;=VLOOKUP(K104,Valores!E:F,2,0),"Cumple","No cumple")))</f>
        <v>Cumple</v>
      </c>
      <c r="U104" s="99">
        <f>IFERROR(IF(T104="no cumple",S104-VLOOKUP(I104,Valores!$K$1:$L$4,2,0),0),S104-VLOOKUP(K104,Valores!E:F,2,0))</f>
        <v>0</v>
      </c>
      <c r="V104" s="99"/>
      <c r="W104" s="115">
        <v>25952</v>
      </c>
      <c r="X104" s="122"/>
      <c r="Y104" s="115"/>
      <c r="Z104" s="152"/>
    </row>
    <row r="105" spans="1:26" x14ac:dyDescent="0.3">
      <c r="A105" s="116">
        <v>46067</v>
      </c>
      <c r="B105" s="99" t="s">
        <v>96</v>
      </c>
      <c r="C105" s="97">
        <v>100298</v>
      </c>
      <c r="D105" s="14" t="s">
        <v>19</v>
      </c>
      <c r="E105" s="98" t="s">
        <v>885</v>
      </c>
      <c r="F105" s="30" t="s">
        <v>122</v>
      </c>
      <c r="G105" s="100" t="str">
        <f>IFERROR(VLOOKUP(F105,Productos!$A$2:$D$277,2,0)," ")</f>
        <v>Electric Standing Desk GO Negro</v>
      </c>
      <c r="H105" s="99">
        <v>1</v>
      </c>
      <c r="I105" s="100" t="str">
        <f>IFERROR(VLOOKUP(F105,Productos!$A$2:$D$277,3,0)," ")</f>
        <v>Standing Desk</v>
      </c>
      <c r="J105" s="97" t="s">
        <v>20</v>
      </c>
      <c r="K105" s="97" t="s">
        <v>749</v>
      </c>
      <c r="L105" s="14" t="str">
        <f t="shared" si="4"/>
        <v>Despachado</v>
      </c>
      <c r="M105" s="99" t="s">
        <v>742</v>
      </c>
      <c r="N105" s="98" t="s">
        <v>887</v>
      </c>
      <c r="O105" s="86">
        <v>46069</v>
      </c>
      <c r="P105" s="86">
        <v>46071</v>
      </c>
      <c r="Q105" s="101" t="str">
        <f t="shared" si="5"/>
        <v>Entregado</v>
      </c>
      <c r="R105" s="99">
        <f>IF(L105="Despachado",NETWORKDAYS.INTL(A105,O105,11,Valores!$A$2:$A$19)-1,"PTE")</f>
        <v>1</v>
      </c>
      <c r="S105" s="99">
        <f>IF(Q105="Entregado",NETWORKDAYS.INTL(A105,P105,11,Valores!$A$2:$A$19)-1,"PTE")</f>
        <v>3</v>
      </c>
      <c r="T105" s="99" t="str">
        <f>IF(Q105="Entregado",IFERROR(IF(I105=VLOOKUP(I105,Valores!$K$1:$K$4,1,0),IF(S105&lt;=VLOOKUP(I105,Valores!$K$1:$L$4,2,0),"Cumple","No cumple")),IF(S105&lt;=VLOOKUP(K105,Valores!E:F,2,0),"Cumple","No cumple")))</f>
        <v>Cumple</v>
      </c>
      <c r="U105" s="99">
        <f>IFERROR(IF(T105="no cumple",S105-VLOOKUP(I105,Valores!$K$1:$L$4,2,0),0),S105-VLOOKUP(K105,Valores!E:F,2,0))</f>
        <v>0</v>
      </c>
      <c r="V105" s="99"/>
      <c r="W105" s="115">
        <v>43114</v>
      </c>
      <c r="X105" s="122"/>
      <c r="Y105" s="115"/>
      <c r="Z105" s="152"/>
    </row>
    <row r="106" spans="1:26" x14ac:dyDescent="0.3">
      <c r="A106" s="116">
        <v>46069</v>
      </c>
      <c r="B106" s="99" t="s">
        <v>96</v>
      </c>
      <c r="C106" s="97">
        <v>100299</v>
      </c>
      <c r="D106" s="14" t="s">
        <v>19</v>
      </c>
      <c r="E106" s="98" t="s">
        <v>888</v>
      </c>
      <c r="F106" s="30" t="s">
        <v>289</v>
      </c>
      <c r="G106" s="100" t="str">
        <f>IFERROR(VLOOKUP(F106,Productos!$A$2:$D$277,2,0)," ")</f>
        <v>Superficie  Fresno Europeo 120x70 Clasico Small</v>
      </c>
      <c r="H106" s="99">
        <v>1</v>
      </c>
      <c r="I106" s="100" t="str">
        <f>IFERROR(VLOOKUP(F106,Productos!$A$2:$D$277,3,0)," ")</f>
        <v>Superficie</v>
      </c>
      <c r="J106" s="97" t="s">
        <v>20</v>
      </c>
      <c r="K106" s="97" t="s">
        <v>749</v>
      </c>
      <c r="L106" s="14" t="str">
        <f t="shared" si="4"/>
        <v>Despachado</v>
      </c>
      <c r="M106" s="99" t="s">
        <v>742</v>
      </c>
      <c r="N106" s="98" t="s">
        <v>889</v>
      </c>
      <c r="O106" s="86">
        <v>46070</v>
      </c>
      <c r="P106" s="86">
        <v>46072</v>
      </c>
      <c r="Q106" s="101" t="str">
        <f t="shared" si="5"/>
        <v>Entregado</v>
      </c>
      <c r="R106" s="99">
        <f>IF(L106="Despachado",NETWORKDAYS.INTL(A106,O106,11,Valores!$A$2:$A$19)-1,"PTE")</f>
        <v>1</v>
      </c>
      <c r="S106" s="99">
        <f>IF(Q106="Entregado",NETWORKDAYS.INTL(A106,P106,11,Valores!$A$2:$A$19)-1,"PTE")</f>
        <v>3</v>
      </c>
      <c r="T106" s="99" t="str">
        <f>IF(Q106="Entregado",IFERROR(IF(I106=VLOOKUP(I106,Valores!$K$1:$K$4,1,0),IF(S106&lt;=VLOOKUP(I106,Valores!$K$1:$L$4,2,0),"Cumple","No cumple")),IF(S106&lt;=VLOOKUP(K106,Valores!E:F,2,0),"Cumple","No cumple")))</f>
        <v>Cumple</v>
      </c>
      <c r="U106" s="99">
        <f>IFERROR(IF(T106="no cumple",S106-VLOOKUP(I106,Valores!$K$1:$L$4,2,0),0),S106-VLOOKUP(K106,Valores!E:F,2,0))</f>
        <v>0</v>
      </c>
      <c r="V106" s="99"/>
      <c r="W106" s="115">
        <v>25952</v>
      </c>
      <c r="X106" s="122"/>
      <c r="Y106" s="115"/>
      <c r="Z106" s="152"/>
    </row>
    <row r="107" spans="1:26" x14ac:dyDescent="0.3">
      <c r="A107" s="116">
        <v>46069</v>
      </c>
      <c r="B107" s="99" t="s">
        <v>96</v>
      </c>
      <c r="C107" s="97">
        <v>100299</v>
      </c>
      <c r="D107" s="14" t="s">
        <v>19</v>
      </c>
      <c r="E107" s="98" t="s">
        <v>888</v>
      </c>
      <c r="F107" s="30" t="s">
        <v>126</v>
      </c>
      <c r="G107" s="100" t="str">
        <f>IFERROR(VLOOKUP(F107,Productos!$A$2:$D$277,2,0)," ")</f>
        <v>Electric Standing Desk GO Blanco</v>
      </c>
      <c r="H107" s="99">
        <v>1</v>
      </c>
      <c r="I107" s="100" t="str">
        <f>IFERROR(VLOOKUP(F107,Productos!$A$2:$D$277,3,0)," ")</f>
        <v>Standing Desk</v>
      </c>
      <c r="J107" s="97" t="s">
        <v>20</v>
      </c>
      <c r="K107" s="97" t="s">
        <v>749</v>
      </c>
      <c r="L107" s="14" t="str">
        <f t="shared" si="4"/>
        <v>Despachado</v>
      </c>
      <c r="M107" s="99" t="s">
        <v>742</v>
      </c>
      <c r="N107" s="98" t="s">
        <v>890</v>
      </c>
      <c r="O107" s="86">
        <v>46070</v>
      </c>
      <c r="P107" s="86">
        <v>46071</v>
      </c>
      <c r="Q107" s="101" t="str">
        <f t="shared" si="5"/>
        <v>Entregado</v>
      </c>
      <c r="R107" s="99">
        <f>IF(L107="Despachado",NETWORKDAYS.INTL(A107,O107,11,Valores!$A$2:$A$19)-1,"PTE")</f>
        <v>1</v>
      </c>
      <c r="S107" s="99">
        <f>IF(Q107="Entregado",NETWORKDAYS.INTL(A107,P107,11,Valores!$A$2:$A$19)-1,"PTE")</f>
        <v>2</v>
      </c>
      <c r="T107" s="99" t="str">
        <f>IF(Q107="Entregado",IFERROR(IF(I107=VLOOKUP(I107,Valores!$K$1:$K$4,1,0),IF(S107&lt;=VLOOKUP(I107,Valores!$K$1:$L$4,2,0),"Cumple","No cumple")),IF(S107&lt;=VLOOKUP(K107,Valores!E:F,2,0),"Cumple","No cumple")))</f>
        <v>Cumple</v>
      </c>
      <c r="U107" s="99">
        <f>IFERROR(IF(T107="no cumple",S107-VLOOKUP(I107,Valores!$K$1:$L$4,2,0),0),S107-VLOOKUP(K107,Valores!E:F,2,0))</f>
        <v>0</v>
      </c>
      <c r="V107" s="99"/>
      <c r="W107" s="115">
        <v>43114</v>
      </c>
      <c r="X107" s="122"/>
      <c r="Y107" s="115"/>
      <c r="Z107" s="152"/>
    </row>
    <row r="108" spans="1:26" x14ac:dyDescent="0.3">
      <c r="A108" s="116">
        <v>46069</v>
      </c>
      <c r="B108" s="99" t="s">
        <v>96</v>
      </c>
      <c r="C108" s="97">
        <v>100300</v>
      </c>
      <c r="D108" s="14" t="s">
        <v>19</v>
      </c>
      <c r="E108" s="98" t="s">
        <v>891</v>
      </c>
      <c r="F108" s="30" t="s">
        <v>616</v>
      </c>
      <c r="G108" s="100" t="str">
        <f>IFERROR(VLOOKUP(F108,Productos!$A$2:$D$277,2,0)," ")</f>
        <v>Repisa Escritorio Caramelo x 110cm</v>
      </c>
      <c r="H108" s="99">
        <v>1</v>
      </c>
      <c r="I108" s="100" t="str">
        <f>IFERROR(VLOOKUP(F108,Productos!$A$2:$D$277,3,0)," ")</f>
        <v>Repisa</v>
      </c>
      <c r="J108" s="97" t="s">
        <v>20</v>
      </c>
      <c r="K108" s="97" t="s">
        <v>749</v>
      </c>
      <c r="L108" s="14" t="str">
        <f t="shared" si="4"/>
        <v>Despachado</v>
      </c>
      <c r="M108" s="99" t="s">
        <v>742</v>
      </c>
      <c r="N108" s="98" t="s">
        <v>892</v>
      </c>
      <c r="O108" s="86">
        <v>46071</v>
      </c>
      <c r="P108" s="86">
        <v>46072</v>
      </c>
      <c r="Q108" s="101" t="str">
        <f t="shared" si="5"/>
        <v>Entregado</v>
      </c>
      <c r="R108" s="99">
        <f>IF(L108="Despachado",NETWORKDAYS.INTL(A108,O108,11,Valores!$A$2:$A$19)-1,"PTE")</f>
        <v>2</v>
      </c>
      <c r="S108" s="99">
        <f>IF(Q108="Entregado",NETWORKDAYS.INTL(A108,P108,11,Valores!$A$2:$A$19)-1,"PTE")</f>
        <v>3</v>
      </c>
      <c r="T108" s="99" t="str">
        <f>IF(Q108="Entregado",IFERROR(IF(I108=VLOOKUP(I108,Valores!$K$1:$K$4,1,0),IF(S108&lt;=VLOOKUP(I108,Valores!$K$1:$L$4,2,0),"Cumple","No cumple")),IF(S108&lt;=VLOOKUP(K108,Valores!E:F,2,0),"Cumple","No cumple")))</f>
        <v>Cumple</v>
      </c>
      <c r="U108" s="99">
        <f>IFERROR(IF(T108="no cumple",S108-VLOOKUP(I108,Valores!$K$1:$L$4,2,0),0),S108-VLOOKUP(K108,Valores!E:F,2,0))</f>
        <v>0</v>
      </c>
      <c r="V108" s="99"/>
      <c r="W108" s="115">
        <v>25233</v>
      </c>
      <c r="X108" s="122"/>
      <c r="Y108" s="115"/>
      <c r="Z108" s="152"/>
    </row>
    <row r="109" spans="1:26" x14ac:dyDescent="0.3">
      <c r="A109" s="116">
        <v>46072</v>
      </c>
      <c r="B109" s="99" t="s">
        <v>96</v>
      </c>
      <c r="C109" s="97">
        <v>100301</v>
      </c>
      <c r="D109" s="14" t="s">
        <v>19</v>
      </c>
      <c r="E109" s="98" t="s">
        <v>893</v>
      </c>
      <c r="F109" s="30" t="s">
        <v>255</v>
      </c>
      <c r="G109" s="100" t="str">
        <f>IFERROR(VLOOKUP(F109,Productos!$A$2:$D$277,2,0)," ")</f>
        <v>Superficie Roble Miel 150x75 Clasico</v>
      </c>
      <c r="H109" s="99">
        <v>1</v>
      </c>
      <c r="I109" s="100" t="str">
        <f>IFERROR(VLOOKUP(F109,Productos!$A$2:$D$277,3,0)," ")</f>
        <v>Superficie</v>
      </c>
      <c r="J109" s="97" t="s">
        <v>23</v>
      </c>
      <c r="K109" s="97" t="s">
        <v>745</v>
      </c>
      <c r="L109" s="14" t="str">
        <f t="shared" si="4"/>
        <v>Despachado</v>
      </c>
      <c r="M109" s="99" t="s">
        <v>735</v>
      </c>
      <c r="N109" s="98" t="s">
        <v>894</v>
      </c>
      <c r="O109" s="86">
        <v>46079</v>
      </c>
      <c r="P109" s="86">
        <v>46080</v>
      </c>
      <c r="Q109" s="101" t="str">
        <f t="shared" si="5"/>
        <v>Entregado</v>
      </c>
      <c r="R109" s="99">
        <f>IF(L109="Despachado",NETWORKDAYS.INTL(A109,O109,11,Valores!$A$2:$A$19)-1,"PTE")</f>
        <v>6</v>
      </c>
      <c r="S109" s="99">
        <f>IF(Q109="Entregado",NETWORKDAYS.INTL(A109,P109,11,Valores!$A$2:$A$19)-1,"PTE")</f>
        <v>7</v>
      </c>
      <c r="T109" s="99" t="str">
        <f>IF(Q109="Entregado",IFERROR(IF(I109=VLOOKUP(I109,Valores!$K$1:$K$4,1,0),IF(S109&lt;=VLOOKUP(I109,Valores!$K$1:$L$4,2,0),"Cumple","No cumple")),IF(S109&lt;=VLOOKUP(K109,Valores!E:F,2,0),"Cumple","No cumple")))</f>
        <v>No cumple</v>
      </c>
      <c r="U109" s="99">
        <f>IFERROR(IF(T109="no cumple",S109-VLOOKUP(I109,Valores!$K$1:$L$4,2,0),0),S109-VLOOKUP(K109,Valores!E:F,2,0))</f>
        <v>4</v>
      </c>
      <c r="V109" s="161" t="s">
        <v>952</v>
      </c>
      <c r="W109" s="120">
        <v>35344</v>
      </c>
      <c r="X109" s="123"/>
      <c r="Y109" s="155" t="s">
        <v>951</v>
      </c>
      <c r="Z109" s="152"/>
    </row>
    <row r="110" spans="1:26" x14ac:dyDescent="0.3">
      <c r="A110" s="116">
        <v>46072</v>
      </c>
      <c r="B110" s="99" t="s">
        <v>96</v>
      </c>
      <c r="C110" s="97">
        <v>100301</v>
      </c>
      <c r="D110" s="14" t="s">
        <v>19</v>
      </c>
      <c r="E110" s="98" t="s">
        <v>893</v>
      </c>
      <c r="F110" s="30" t="s">
        <v>128</v>
      </c>
      <c r="G110" s="100" t="str">
        <f>IFERROR(VLOOKUP(F110,Productos!$A$2:$D$277,2,0)," ")</f>
        <v>Electric Standing Desk  PRO Negro</v>
      </c>
      <c r="H110" s="99">
        <v>1</v>
      </c>
      <c r="I110" s="100" t="str">
        <f>IFERROR(VLOOKUP(F110,Productos!$A$2:$D$277,3,0)," ")</f>
        <v>Standing Desk</v>
      </c>
      <c r="J110" s="97" t="s">
        <v>23</v>
      </c>
      <c r="K110" s="97" t="s">
        <v>745</v>
      </c>
      <c r="L110" s="14" t="str">
        <f t="shared" si="4"/>
        <v>Despachado</v>
      </c>
      <c r="M110" s="99" t="s">
        <v>742</v>
      </c>
      <c r="N110" s="98" t="s">
        <v>895</v>
      </c>
      <c r="O110" s="86">
        <v>46079</v>
      </c>
      <c r="P110" s="86">
        <v>46080</v>
      </c>
      <c r="Q110" s="101" t="str">
        <f t="shared" si="5"/>
        <v>Entregado</v>
      </c>
      <c r="R110" s="99">
        <f>IF(L110="Despachado",NETWORKDAYS.INTL(A110,O110,11,Valores!$A$2:$A$19)-1,"PTE")</f>
        <v>6</v>
      </c>
      <c r="S110" s="99">
        <f>IF(Q110="Entregado",NETWORKDAYS.INTL(A110,P110,11,Valores!$A$2:$A$19)-1,"PTE")</f>
        <v>7</v>
      </c>
      <c r="T110" s="99" t="str">
        <f>IF(Q110="Entregado",IFERROR(IF(I110=VLOOKUP(I110,Valores!$K$1:$K$4,1,0),IF(S110&lt;=VLOOKUP(I110,Valores!$K$1:$L$4,2,0),"Cumple","No cumple")),IF(S110&lt;=VLOOKUP(K110,Valores!E:F,2,0),"Cumple","No cumple")))</f>
        <v>No cumple</v>
      </c>
      <c r="U110" s="99">
        <f>IFERROR(IF(T110="no cumple",S110-VLOOKUP(I110,Valores!$K$1:$L$4,2,0),0),S110-VLOOKUP(K110,Valores!E:F,2,0))</f>
        <v>4</v>
      </c>
      <c r="V110" s="161" t="s">
        <v>952</v>
      </c>
      <c r="W110" s="120">
        <v>44550</v>
      </c>
      <c r="X110" s="123"/>
      <c r="Y110" s="155" t="s">
        <v>951</v>
      </c>
      <c r="Z110" s="152"/>
    </row>
    <row r="111" spans="1:26" x14ac:dyDescent="0.3">
      <c r="A111" s="116">
        <v>46072</v>
      </c>
      <c r="B111" s="99" t="s">
        <v>96</v>
      </c>
      <c r="C111" s="97">
        <v>100301</v>
      </c>
      <c r="D111" s="14" t="s">
        <v>19</v>
      </c>
      <c r="E111" s="98" t="s">
        <v>893</v>
      </c>
      <c r="F111" s="30" t="s">
        <v>235</v>
      </c>
      <c r="G111" s="100" t="str">
        <f>IFERROR(VLOOKUP(F111,Productos!$A$2:$D$277,2,0)," ")</f>
        <v>Bandeja de cables</v>
      </c>
      <c r="H111" s="99">
        <v>1</v>
      </c>
      <c r="I111" s="100" t="str">
        <f>IFERROR(VLOOKUP(F111,Productos!$A$2:$D$277,3,0)," ")</f>
        <v>Accesorio</v>
      </c>
      <c r="J111" s="97" t="s">
        <v>23</v>
      </c>
      <c r="K111" s="97" t="s">
        <v>745</v>
      </c>
      <c r="L111" s="14" t="str">
        <f t="shared" si="4"/>
        <v>Despachado</v>
      </c>
      <c r="M111" s="99" t="s">
        <v>742</v>
      </c>
      <c r="N111" s="98" t="s">
        <v>896</v>
      </c>
      <c r="O111" s="86">
        <v>46079</v>
      </c>
      <c r="P111" s="86">
        <v>46080</v>
      </c>
      <c r="Q111" s="101" t="str">
        <f t="shared" si="5"/>
        <v>Entregado</v>
      </c>
      <c r="R111" s="99">
        <f>IF(L111="Despachado",NETWORKDAYS.INTL(A111,O111,11,Valores!$A$2:$A$19)-1,"PTE")</f>
        <v>6</v>
      </c>
      <c r="S111" s="99">
        <f>IF(Q111="Entregado",NETWORKDAYS.INTL(A111,P111,11,Valores!$A$2:$A$19)-1,"PTE")</f>
        <v>7</v>
      </c>
      <c r="T111" s="99" t="str">
        <f>IF(Q111="Entregado",IFERROR(IF(I111=VLOOKUP(I111,Valores!$K$1:$K$4,1,0),IF(S111&lt;=VLOOKUP(I111,Valores!$K$1:$L$4,2,0),"Cumple","No cumple")),IF(S111&lt;=VLOOKUP(K111,Valores!E:F,2,0),"Cumple","No cumple")))</f>
        <v>No cumple</v>
      </c>
      <c r="U111" s="99">
        <f>IFERROR(IF(T111="no cumple",S111-VLOOKUP(I111,Valores!$K$1:$L$4,2,0),0),S111-VLOOKUP(K111,Valores!E:F,2,0))</f>
        <v>4</v>
      </c>
      <c r="V111" s="161" t="s">
        <v>952</v>
      </c>
      <c r="W111" s="120">
        <v>26681</v>
      </c>
      <c r="X111" s="123"/>
      <c r="Y111" s="155" t="s">
        <v>951</v>
      </c>
      <c r="Z111" s="152"/>
    </row>
    <row r="112" spans="1:26" x14ac:dyDescent="0.3">
      <c r="A112" s="116">
        <v>46072</v>
      </c>
      <c r="B112" s="99" t="s">
        <v>96</v>
      </c>
      <c r="C112" s="97">
        <v>100302</v>
      </c>
      <c r="D112" s="14" t="s">
        <v>19</v>
      </c>
      <c r="E112" s="98" t="s">
        <v>897</v>
      </c>
      <c r="F112" s="30" t="s">
        <v>405</v>
      </c>
      <c r="G112" s="100" t="str">
        <f>IFERROR(VLOOKUP(F112,Productos!$A$2:$D$277,2,0)," ")</f>
        <v>Superficie Escritorio Caramelo 120x60 Clasico Small</v>
      </c>
      <c r="H112" s="99">
        <v>1</v>
      </c>
      <c r="I112" s="100" t="str">
        <f>IFERROR(VLOOKUP(F112,Productos!$A$2:$D$277,3,0)," ")</f>
        <v>Superficie</v>
      </c>
      <c r="J112" s="97" t="s">
        <v>20</v>
      </c>
      <c r="K112" s="97" t="s">
        <v>749</v>
      </c>
      <c r="L112" s="14" t="str">
        <f t="shared" si="4"/>
        <v>Despachado</v>
      </c>
      <c r="M112" s="99" t="s">
        <v>742</v>
      </c>
      <c r="N112" s="98" t="s">
        <v>898</v>
      </c>
      <c r="O112" s="86">
        <v>46072</v>
      </c>
      <c r="P112" s="86">
        <v>46074</v>
      </c>
      <c r="Q112" s="101" t="str">
        <f t="shared" si="5"/>
        <v>Entregado</v>
      </c>
      <c r="R112" s="99">
        <f>IF(L112="Despachado",NETWORKDAYS.INTL(A112,O112,11,Valores!$A$2:$A$19)-1,"PTE")</f>
        <v>0</v>
      </c>
      <c r="S112" s="99">
        <f>IF(Q112="Entregado",NETWORKDAYS.INTL(A112,P112,11,Valores!$A$2:$A$19)-1,"PTE")</f>
        <v>2</v>
      </c>
      <c r="T112" s="99" t="str">
        <f>IF(Q112="Entregado",IFERROR(IF(I112=VLOOKUP(I112,Valores!$K$1:$K$4,1,0),IF(S112&lt;=VLOOKUP(I112,Valores!$K$1:$L$4,2,0),"Cumple","No cumple")),IF(S112&lt;=VLOOKUP(K112,Valores!E:F,2,0),"Cumple","No cumple")))</f>
        <v>Cumple</v>
      </c>
      <c r="U112" s="99">
        <f>IFERROR(IF(T112="no cumple",S112-VLOOKUP(I112,Valores!$K$1:$L$4,2,0),0),S112-VLOOKUP(K112,Valores!E:F,2,0))</f>
        <v>0</v>
      </c>
      <c r="V112" s="99"/>
      <c r="W112" s="115">
        <v>25952</v>
      </c>
      <c r="X112" s="122"/>
      <c r="Y112" s="115"/>
      <c r="Z112" s="152"/>
    </row>
    <row r="113" spans="1:26" x14ac:dyDescent="0.3">
      <c r="A113" s="116">
        <v>46072</v>
      </c>
      <c r="B113" s="99" t="s">
        <v>96</v>
      </c>
      <c r="C113" s="97">
        <v>100302</v>
      </c>
      <c r="D113" s="14" t="s">
        <v>19</v>
      </c>
      <c r="E113" s="98" t="s">
        <v>897</v>
      </c>
      <c r="F113" s="30" t="s">
        <v>128</v>
      </c>
      <c r="G113" s="100" t="str">
        <f>IFERROR(VLOOKUP(F113,Productos!$A$2:$D$277,2,0)," ")</f>
        <v>Electric Standing Desk  PRO Negro</v>
      </c>
      <c r="H113" s="99">
        <v>1</v>
      </c>
      <c r="I113" s="100" t="str">
        <f>IFERROR(VLOOKUP(F113,Productos!$A$2:$D$277,3,0)," ")</f>
        <v>Standing Desk</v>
      </c>
      <c r="J113" s="97" t="s">
        <v>20</v>
      </c>
      <c r="K113" s="97" t="s">
        <v>749</v>
      </c>
      <c r="L113" s="14" t="str">
        <f t="shared" si="4"/>
        <v>Despachado</v>
      </c>
      <c r="M113" s="99" t="s">
        <v>742</v>
      </c>
      <c r="N113" s="98" t="s">
        <v>899</v>
      </c>
      <c r="O113" s="86">
        <v>46072</v>
      </c>
      <c r="P113" s="86">
        <v>46074</v>
      </c>
      <c r="Q113" s="101" t="str">
        <f t="shared" si="5"/>
        <v>Entregado</v>
      </c>
      <c r="R113" s="99">
        <f>IF(L113="Despachado",NETWORKDAYS.INTL(A113,O113,11,Valores!$A$2:$A$19)-1,"PTE")</f>
        <v>0</v>
      </c>
      <c r="S113" s="99">
        <f>IF(Q113="Entregado",NETWORKDAYS.INTL(A113,P113,11,Valores!$A$2:$A$19)-1,"PTE")</f>
        <v>2</v>
      </c>
      <c r="T113" s="99" t="str">
        <f>IF(Q113="Entregado",IFERROR(IF(I113=VLOOKUP(I113,Valores!$K$1:$K$4,1,0),IF(S113&lt;=VLOOKUP(I113,Valores!$K$1:$L$4,2,0),"Cumple","No cumple")),IF(S113&lt;=VLOOKUP(K113,Valores!E:F,2,0),"Cumple","No cumple")))</f>
        <v>Cumple</v>
      </c>
      <c r="U113" s="99">
        <f>IFERROR(IF(T113="no cumple",S113-VLOOKUP(I113,Valores!$K$1:$L$4,2,0),0),S113-VLOOKUP(K113,Valores!E:F,2,0))</f>
        <v>0</v>
      </c>
      <c r="V113" s="99"/>
      <c r="W113" s="115">
        <v>43114</v>
      </c>
      <c r="X113" s="122"/>
      <c r="Y113" s="115"/>
      <c r="Z113" s="152"/>
    </row>
    <row r="114" spans="1:26" x14ac:dyDescent="0.3">
      <c r="A114" s="116">
        <v>46073</v>
      </c>
      <c r="B114" s="99" t="s">
        <v>96</v>
      </c>
      <c r="C114" s="97">
        <v>100303</v>
      </c>
      <c r="D114" s="14" t="s">
        <v>19</v>
      </c>
      <c r="E114" s="98" t="s">
        <v>900</v>
      </c>
      <c r="F114" s="30" t="s">
        <v>142</v>
      </c>
      <c r="G114" s="100" t="str">
        <f>IFERROR(VLOOKUP(F114,Productos!$A$2:$D$277,2,0)," ")</f>
        <v>Superficie  Caramelo 160x70 Clasico</v>
      </c>
      <c r="H114" s="99">
        <v>1</v>
      </c>
      <c r="I114" s="100" t="str">
        <f>IFERROR(VLOOKUP(F114,Productos!$A$2:$D$277,3,0)," ")</f>
        <v>Superficie</v>
      </c>
      <c r="J114" s="97" t="s">
        <v>23</v>
      </c>
      <c r="K114" s="97" t="s">
        <v>745</v>
      </c>
      <c r="L114" s="14" t="str">
        <f t="shared" si="4"/>
        <v>Despachado</v>
      </c>
      <c r="M114" s="99" t="s">
        <v>735</v>
      </c>
      <c r="N114" s="98" t="s">
        <v>901</v>
      </c>
      <c r="O114" s="86">
        <v>46073</v>
      </c>
      <c r="P114" s="86">
        <v>46074</v>
      </c>
      <c r="Q114" s="101" t="str">
        <f t="shared" si="5"/>
        <v>Entregado</v>
      </c>
      <c r="R114" s="99">
        <f>IF(L114="Despachado",NETWORKDAYS.INTL(A114,O114,11,Valores!$A$2:$A$19)-1,"PTE")</f>
        <v>0</v>
      </c>
      <c r="S114" s="99">
        <f>IF(Q114="Entregado",NETWORKDAYS.INTL(A114,P114,11,Valores!$A$2:$A$19)-1,"PTE")</f>
        <v>1</v>
      </c>
      <c r="T114" s="99" t="str">
        <f>IF(Q114="Entregado",IFERROR(IF(I114=VLOOKUP(I114,Valores!$K$1:$K$4,1,0),IF(S114&lt;=VLOOKUP(I114,Valores!$K$1:$L$4,2,0),"Cumple","No cumple")),IF(S114&lt;=VLOOKUP(K114,Valores!E:F,2,0),"Cumple","No cumple")))</f>
        <v>Cumple</v>
      </c>
      <c r="U114" s="99">
        <f>IFERROR(IF(T114="no cumple",S114-VLOOKUP(I114,Valores!$K$1:$L$4,2,0),0),S114-VLOOKUP(K114,Valores!E:F,2,0))</f>
        <v>0</v>
      </c>
      <c r="V114" s="99"/>
      <c r="W114" s="115">
        <v>33344</v>
      </c>
      <c r="X114" s="122"/>
      <c r="Y114" s="115"/>
      <c r="Z114" s="152"/>
    </row>
    <row r="115" spans="1:26" x14ac:dyDescent="0.3">
      <c r="A115" s="116">
        <v>46073</v>
      </c>
      <c r="B115" s="99" t="s">
        <v>96</v>
      </c>
      <c r="C115" s="97">
        <v>100303</v>
      </c>
      <c r="D115" s="14" t="s">
        <v>19</v>
      </c>
      <c r="E115" s="98" t="s">
        <v>900</v>
      </c>
      <c r="F115" s="30" t="s">
        <v>303</v>
      </c>
      <c r="G115" s="100" t="str">
        <f>IFERROR(VLOOKUP(F115,Productos!$A$2:$D$277,2,0)," ")</f>
        <v>Bandeja de teclado</v>
      </c>
      <c r="H115" s="99">
        <v>1</v>
      </c>
      <c r="I115" s="100" t="str">
        <f>IFERROR(VLOOKUP(F115,Productos!$A$2:$D$277,3,0)," ")</f>
        <v>Accesorio</v>
      </c>
      <c r="J115" s="97" t="s">
        <v>23</v>
      </c>
      <c r="K115" s="97" t="s">
        <v>745</v>
      </c>
      <c r="L115" s="14" t="str">
        <f t="shared" si="4"/>
        <v>Despachado</v>
      </c>
      <c r="M115" s="99" t="s">
        <v>735</v>
      </c>
      <c r="N115" s="98" t="s">
        <v>901</v>
      </c>
      <c r="O115" s="86">
        <v>46073</v>
      </c>
      <c r="P115" s="86">
        <v>46074</v>
      </c>
      <c r="Q115" s="101" t="str">
        <f t="shared" si="5"/>
        <v>Entregado</v>
      </c>
      <c r="R115" s="99">
        <f>IF(L115="Despachado",NETWORKDAYS.INTL(A115,O115,11,Valores!$A$2:$A$19)-1,"PTE")</f>
        <v>0</v>
      </c>
      <c r="S115" s="99">
        <f>IF(Q115="Entregado",NETWORKDAYS.INTL(A115,P115,11,Valores!$A$2:$A$19)-1,"PTE")</f>
        <v>1</v>
      </c>
      <c r="T115" s="99" t="str">
        <f>IF(Q115="Entregado",IFERROR(IF(I115=VLOOKUP(I115,Valores!$K$1:$K$4,1,0),IF(S115&lt;=VLOOKUP(I115,Valores!$K$1:$L$4,2,0),"Cumple","No cumple")),IF(S115&lt;=VLOOKUP(K115,Valores!E:F,2,0),"Cumple","No cumple")))</f>
        <v>Cumple</v>
      </c>
      <c r="U115" s="99">
        <f>IFERROR(IF(T115="no cumple",S115-VLOOKUP(I115,Valores!$K$1:$L$4,2,0),0),S115-VLOOKUP(K115,Valores!E:F,2,0))</f>
        <v>0</v>
      </c>
      <c r="V115" s="99"/>
      <c r="W115" s="115">
        <v>0</v>
      </c>
      <c r="X115" s="122"/>
      <c r="Y115" s="115"/>
      <c r="Z115" s="152"/>
    </row>
    <row r="116" spans="1:26" x14ac:dyDescent="0.3">
      <c r="A116" s="116">
        <v>46073</v>
      </c>
      <c r="B116" s="99" t="s">
        <v>96</v>
      </c>
      <c r="C116" s="97">
        <v>100303</v>
      </c>
      <c r="D116" s="14" t="s">
        <v>19</v>
      </c>
      <c r="E116" s="98" t="s">
        <v>900</v>
      </c>
      <c r="F116" s="30" t="s">
        <v>128</v>
      </c>
      <c r="G116" s="100" t="str">
        <f>IFERROR(VLOOKUP(F116,Productos!$A$2:$D$277,2,0)," ")</f>
        <v>Electric Standing Desk  PRO Negro</v>
      </c>
      <c r="H116" s="99">
        <v>1</v>
      </c>
      <c r="I116" s="100" t="str">
        <f>IFERROR(VLOOKUP(F116,Productos!$A$2:$D$277,3,0)," ")</f>
        <v>Standing Desk</v>
      </c>
      <c r="J116" s="97" t="s">
        <v>23</v>
      </c>
      <c r="K116" s="97" t="s">
        <v>745</v>
      </c>
      <c r="L116" s="14" t="str">
        <f t="shared" si="4"/>
        <v>Despachado</v>
      </c>
      <c r="M116" s="99" t="s">
        <v>742</v>
      </c>
      <c r="N116" s="98" t="s">
        <v>902</v>
      </c>
      <c r="O116" s="86">
        <v>46073</v>
      </c>
      <c r="P116" s="86">
        <v>46074</v>
      </c>
      <c r="Q116" s="101" t="str">
        <f t="shared" si="5"/>
        <v>Entregado</v>
      </c>
      <c r="R116" s="99">
        <f>IF(L116="Despachado",NETWORKDAYS.INTL(A116,O116,11,Valores!$A$2:$A$19)-1,"PTE")</f>
        <v>0</v>
      </c>
      <c r="S116" s="99">
        <f>IF(Q116="Entregado",NETWORKDAYS.INTL(A116,P116,11,Valores!$A$2:$A$19)-1,"PTE")</f>
        <v>1</v>
      </c>
      <c r="T116" s="99" t="str">
        <f>IF(Q116="Entregado",IFERROR(IF(I116=VLOOKUP(I116,Valores!$K$1:$K$4,1,0),IF(S116&lt;=VLOOKUP(I116,Valores!$K$1:$L$4,2,0),"Cumple","No cumple")),IF(S116&lt;=VLOOKUP(K116,Valores!E:F,2,0),"Cumple","No cumple")))</f>
        <v>Cumple</v>
      </c>
      <c r="U116" s="99">
        <f>IFERROR(IF(T116="no cumple",S116-VLOOKUP(I116,Valores!$K$1:$L$4,2,0),0),S116-VLOOKUP(K116,Valores!E:F,2,0))</f>
        <v>0</v>
      </c>
      <c r="V116" s="99"/>
      <c r="W116" s="115">
        <v>44550</v>
      </c>
      <c r="X116" s="122"/>
      <c r="Y116" s="115"/>
      <c r="Z116" s="152"/>
    </row>
    <row r="117" spans="1:26" x14ac:dyDescent="0.3">
      <c r="A117" s="116">
        <v>46073</v>
      </c>
      <c r="B117" s="99" t="s">
        <v>96</v>
      </c>
      <c r="C117" s="97">
        <v>100304</v>
      </c>
      <c r="D117" s="14" t="s">
        <v>19</v>
      </c>
      <c r="E117" s="98" t="s">
        <v>903</v>
      </c>
      <c r="F117" s="30" t="s">
        <v>128</v>
      </c>
      <c r="G117" s="100" t="str">
        <f>IFERROR(VLOOKUP(F117,Productos!$A$2:$D$277,2,0)," ")</f>
        <v>Electric Standing Desk  PRO Negro</v>
      </c>
      <c r="H117" s="99">
        <v>1</v>
      </c>
      <c r="I117" s="100" t="str">
        <f>IFERROR(VLOOKUP(F117,Productos!$A$2:$D$277,3,0)," ")</f>
        <v>Standing Desk</v>
      </c>
      <c r="J117" s="97" t="s">
        <v>20</v>
      </c>
      <c r="K117" s="97" t="s">
        <v>749</v>
      </c>
      <c r="L117" s="14" t="str">
        <f t="shared" si="4"/>
        <v>Despachado</v>
      </c>
      <c r="M117" s="99" t="s">
        <v>742</v>
      </c>
      <c r="N117" s="98" t="s">
        <v>904</v>
      </c>
      <c r="O117" s="86">
        <v>46073</v>
      </c>
      <c r="P117" s="86">
        <v>46074</v>
      </c>
      <c r="Q117" s="101" t="str">
        <f t="shared" si="5"/>
        <v>Entregado</v>
      </c>
      <c r="R117" s="99">
        <f>IF(L117="Despachado",NETWORKDAYS.INTL(A117,O117,11,Valores!$A$2:$A$19)-1,"PTE")</f>
        <v>0</v>
      </c>
      <c r="S117" s="99">
        <f>IF(Q117="Entregado",NETWORKDAYS.INTL(A117,P117,11,Valores!$A$2:$A$19)-1,"PTE")</f>
        <v>1</v>
      </c>
      <c r="T117" s="99" t="str">
        <f>IF(Q117="Entregado",IFERROR(IF(I117=VLOOKUP(I117,Valores!$K$1:$K$4,1,0),IF(S117&lt;=VLOOKUP(I117,Valores!$K$1:$L$4,2,0),"Cumple","No cumple")),IF(S117&lt;=VLOOKUP(K117,Valores!E:F,2,0),"Cumple","No cumple")))</f>
        <v>Cumple</v>
      </c>
      <c r="U117" s="99">
        <f>IFERROR(IF(T117="no cumple",S117-VLOOKUP(I117,Valores!$K$1:$L$4,2,0),0),S117-VLOOKUP(K117,Valores!E:F,2,0))</f>
        <v>0</v>
      </c>
      <c r="V117" s="99"/>
      <c r="W117" s="115">
        <v>44550</v>
      </c>
      <c r="X117" s="122"/>
      <c r="Y117" s="115"/>
      <c r="Z117" s="152"/>
    </row>
    <row r="118" spans="1:26" x14ac:dyDescent="0.3">
      <c r="A118" s="116">
        <v>46074</v>
      </c>
      <c r="B118" s="99" t="s">
        <v>96</v>
      </c>
      <c r="C118" s="97">
        <v>100305</v>
      </c>
      <c r="D118" s="14" t="s">
        <v>19</v>
      </c>
      <c r="E118" s="98" t="s">
        <v>905</v>
      </c>
      <c r="F118" s="30" t="s">
        <v>113</v>
      </c>
      <c r="G118" s="100" t="str">
        <f>IFERROR(VLOOKUP(F118,Productos!$A$2:$D$277,2,0)," ")</f>
        <v>Superficie  Roble Negro 120x70 Clasico Small</v>
      </c>
      <c r="H118" s="99">
        <v>1</v>
      </c>
      <c r="I118" s="100" t="str">
        <f>IFERROR(VLOOKUP(F118,Productos!$A$2:$D$277,3,0)," ")</f>
        <v>Superficie</v>
      </c>
      <c r="J118" s="97" t="s">
        <v>20</v>
      </c>
      <c r="K118" s="97" t="s">
        <v>749</v>
      </c>
      <c r="L118" s="14" t="str">
        <f t="shared" si="4"/>
        <v>Despachado</v>
      </c>
      <c r="M118" s="99" t="s">
        <v>742</v>
      </c>
      <c r="N118" s="98" t="s">
        <v>906</v>
      </c>
      <c r="O118" s="86">
        <v>46076</v>
      </c>
      <c r="P118" s="86">
        <v>46077</v>
      </c>
      <c r="Q118" s="101" t="str">
        <f t="shared" si="5"/>
        <v>Entregado</v>
      </c>
      <c r="R118" s="99">
        <f>IF(L118="Despachado",NETWORKDAYS.INTL(A118,O118,11,Valores!$A$2:$A$19)-1,"PTE")</f>
        <v>1</v>
      </c>
      <c r="S118" s="99">
        <f>IF(Q118="Entregado",NETWORKDAYS.INTL(A118,P118,11,Valores!$A$2:$A$19)-1,"PTE")</f>
        <v>2</v>
      </c>
      <c r="T118" s="99" t="str">
        <f>IF(Q118="Entregado",IFERROR(IF(I118=VLOOKUP(I118,Valores!$K$1:$K$4,1,0),IF(S118&lt;=VLOOKUP(I118,Valores!$K$1:$L$4,2,0),"Cumple","No cumple")),IF(S118&lt;=VLOOKUP(K118,Valores!E:F,2,0),"Cumple","No cumple")))</f>
        <v>Cumple</v>
      </c>
      <c r="U118" s="99">
        <f>IFERROR(IF(T118="no cumple",S118-VLOOKUP(I118,Valores!$K$1:$L$4,2,0),0),S118-VLOOKUP(K118,Valores!E:F,2,0))</f>
        <v>0</v>
      </c>
      <c r="V118" s="99"/>
      <c r="W118" s="115">
        <v>25952</v>
      </c>
      <c r="X118" s="122"/>
      <c r="Y118" s="115"/>
      <c r="Z118" s="152"/>
    </row>
    <row r="119" spans="1:26" x14ac:dyDescent="0.3">
      <c r="A119" s="116">
        <v>46074</v>
      </c>
      <c r="B119" s="99" t="s">
        <v>96</v>
      </c>
      <c r="C119" s="97">
        <v>100305</v>
      </c>
      <c r="D119" s="14" t="s">
        <v>19</v>
      </c>
      <c r="E119" s="98" t="s">
        <v>905</v>
      </c>
      <c r="F119" s="30" t="s">
        <v>122</v>
      </c>
      <c r="G119" s="100" t="str">
        <f>IFERROR(VLOOKUP(F119,Productos!$A$2:$D$277,2,0)," ")</f>
        <v>Electric Standing Desk GO Negro</v>
      </c>
      <c r="H119" s="99">
        <v>1</v>
      </c>
      <c r="I119" s="100" t="str">
        <f>IFERROR(VLOOKUP(F119,Productos!$A$2:$D$277,3,0)," ")</f>
        <v>Standing Desk</v>
      </c>
      <c r="J119" s="97" t="s">
        <v>20</v>
      </c>
      <c r="K119" s="97" t="s">
        <v>749</v>
      </c>
      <c r="L119" s="14" t="str">
        <f t="shared" si="4"/>
        <v>Despachado</v>
      </c>
      <c r="M119" s="99" t="s">
        <v>742</v>
      </c>
      <c r="N119" s="98" t="s">
        <v>907</v>
      </c>
      <c r="O119" s="86">
        <v>46076</v>
      </c>
      <c r="P119" s="86">
        <v>46077</v>
      </c>
      <c r="Q119" s="101" t="str">
        <f t="shared" si="5"/>
        <v>Entregado</v>
      </c>
      <c r="R119" s="99">
        <f>IF(L119="Despachado",NETWORKDAYS.INTL(A119,O119,11,Valores!$A$2:$A$19)-1,"PTE")</f>
        <v>1</v>
      </c>
      <c r="S119" s="99">
        <f>IF(Q119="Entregado",NETWORKDAYS.INTL(A119,P119,11,Valores!$A$2:$A$19)-1,"PTE")</f>
        <v>2</v>
      </c>
      <c r="T119" s="99" t="str">
        <f>IF(Q119="Entregado",IFERROR(IF(I119=VLOOKUP(I119,Valores!$K$1:$K$4,1,0),IF(S119&lt;=VLOOKUP(I119,Valores!$K$1:$L$4,2,0),"Cumple","No cumple")),IF(S119&lt;=VLOOKUP(K119,Valores!E:F,2,0),"Cumple","No cumple")))</f>
        <v>Cumple</v>
      </c>
      <c r="U119" s="99">
        <f>IFERROR(IF(T119="no cumple",S119-VLOOKUP(I119,Valores!$K$1:$L$4,2,0),0),S119-VLOOKUP(K119,Valores!E:F,2,0))</f>
        <v>0</v>
      </c>
      <c r="V119" s="99"/>
      <c r="W119" s="115">
        <v>43114</v>
      </c>
      <c r="X119" s="122"/>
      <c r="Y119" s="115"/>
      <c r="Z119" s="152"/>
    </row>
    <row r="120" spans="1:26" x14ac:dyDescent="0.3">
      <c r="A120" s="116">
        <v>46075</v>
      </c>
      <c r="B120" s="99" t="s">
        <v>96</v>
      </c>
      <c r="C120" s="97">
        <v>100306</v>
      </c>
      <c r="D120" s="14" t="s">
        <v>19</v>
      </c>
      <c r="E120" s="98" t="s">
        <v>908</v>
      </c>
      <c r="F120" s="30" t="s">
        <v>616</v>
      </c>
      <c r="G120" s="100" t="str">
        <f>IFERROR(VLOOKUP(F120,Productos!$A$2:$D$277,2,0)," ")</f>
        <v>Repisa Escritorio Caramelo x 110cm</v>
      </c>
      <c r="H120" s="99">
        <v>1</v>
      </c>
      <c r="I120" s="100" t="str">
        <f>IFERROR(VLOOKUP(F120,Productos!$A$2:$D$277,3,0)," ")</f>
        <v>Repisa</v>
      </c>
      <c r="J120" s="97" t="s">
        <v>20</v>
      </c>
      <c r="K120" s="97" t="s">
        <v>749</v>
      </c>
      <c r="L120" s="14" t="str">
        <f t="shared" si="4"/>
        <v>Despachado</v>
      </c>
      <c r="M120" s="99" t="s">
        <v>742</v>
      </c>
      <c r="N120" s="98" t="s">
        <v>909</v>
      </c>
      <c r="O120" s="86">
        <v>46077</v>
      </c>
      <c r="P120" s="86">
        <v>46078</v>
      </c>
      <c r="Q120" s="101" t="str">
        <f t="shared" si="5"/>
        <v>Entregado</v>
      </c>
      <c r="R120" s="99">
        <f>IF(L120="Despachado",NETWORKDAYS.INTL(A120,O120,11,Valores!$A$2:$A$19)-1,"PTE")</f>
        <v>1</v>
      </c>
      <c r="S120" s="99">
        <f>IF(Q120="Entregado",NETWORKDAYS.INTL(A120,P120,11,Valores!$A$2:$A$19)-1,"PTE")</f>
        <v>2</v>
      </c>
      <c r="T120" s="99" t="str">
        <f>IF(Q120="Entregado",IFERROR(IF(I120=VLOOKUP(I120,Valores!$K$1:$K$4,1,0),IF(S120&lt;=VLOOKUP(I120,Valores!$K$1:$L$4,2,0),"Cumple","No cumple")),IF(S120&lt;=VLOOKUP(K120,Valores!E:F,2,0),"Cumple","No cumple")))</f>
        <v>Cumple</v>
      </c>
      <c r="U120" s="99">
        <f>IFERROR(IF(T120="no cumple",S120-VLOOKUP(I120,Valores!$K$1:$L$4,2,0),0),S120-VLOOKUP(K120,Valores!E:F,2,0))</f>
        <v>0</v>
      </c>
      <c r="V120" s="99"/>
      <c r="W120" s="115">
        <v>25233</v>
      </c>
      <c r="X120" s="122"/>
      <c r="Y120" s="115"/>
      <c r="Z120" s="152"/>
    </row>
    <row r="121" spans="1:26" x14ac:dyDescent="0.3">
      <c r="A121" s="116">
        <v>46077</v>
      </c>
      <c r="B121" s="99" t="s">
        <v>96</v>
      </c>
      <c r="C121" s="97">
        <v>100307</v>
      </c>
      <c r="D121" s="14" t="s">
        <v>19</v>
      </c>
      <c r="E121" s="98" t="s">
        <v>910</v>
      </c>
      <c r="F121" s="30" t="s">
        <v>449</v>
      </c>
      <c r="G121" s="100" t="str">
        <f>IFERROR(VLOOKUP(F121,Productos!$A$2:$D$277,2,0)," ")</f>
        <v>Superficie Escritorio Fresno Europeo 160x60 Clasico</v>
      </c>
      <c r="H121" s="99">
        <v>1</v>
      </c>
      <c r="I121" s="100" t="s">
        <v>949</v>
      </c>
      <c r="J121" s="97" t="s">
        <v>20</v>
      </c>
      <c r="K121" s="97" t="s">
        <v>749</v>
      </c>
      <c r="L121" s="14" t="str">
        <f t="shared" si="4"/>
        <v>Despachado</v>
      </c>
      <c r="M121" s="99" t="s">
        <v>735</v>
      </c>
      <c r="N121" s="98" t="s">
        <v>957</v>
      </c>
      <c r="O121" s="86">
        <v>46091</v>
      </c>
      <c r="P121" s="86">
        <v>46092</v>
      </c>
      <c r="Q121" s="101" t="str">
        <f t="shared" si="5"/>
        <v>Entregado</v>
      </c>
      <c r="R121" s="99">
        <f>IF(L121="Despachado",NETWORKDAYS.INTL(A121,O121,11,Valores!$A$2:$A$19)-1,"PTE")</f>
        <v>12</v>
      </c>
      <c r="S121" s="99">
        <f>IF(Q121="Entregado",NETWORKDAYS.INTL(A121,P121,11,Valores!$A$2:$A$19)-1,"PTE")</f>
        <v>13</v>
      </c>
      <c r="T121" s="99" t="str">
        <f>IF(Q121="Entregado",IFERROR(IF(I121=VLOOKUP(I121,Valores!$K$1:$K$4,1,0),IF(S121&lt;=VLOOKUP(I121,Valores!$K$1:$L$4,2,0),"Cumple","No cumple")),IF(S121&lt;=VLOOKUP(K121,Valores!E:F,2,0),"Cumple","No cumple")))</f>
        <v>No cumple</v>
      </c>
      <c r="U121" s="99">
        <f>IFERROR(IF(T121="no cumple",S121-VLOOKUP(I121,Valores!$K$1:$L$4,2,0),0),S121-VLOOKUP(K121,Valores!E:F,2,0))</f>
        <v>3</v>
      </c>
      <c r="V121" s="161" t="s">
        <v>952</v>
      </c>
      <c r="W121" s="120">
        <v>34253</v>
      </c>
      <c r="X121" s="123"/>
      <c r="Y121" s="155" t="s">
        <v>964</v>
      </c>
      <c r="Z121" s="152" t="s">
        <v>961</v>
      </c>
    </row>
    <row r="122" spans="1:26" x14ac:dyDescent="0.3">
      <c r="A122" s="116">
        <v>46077</v>
      </c>
      <c r="B122" s="99" t="s">
        <v>96</v>
      </c>
      <c r="C122" s="97">
        <v>100307</v>
      </c>
      <c r="D122" s="14" t="s">
        <v>19</v>
      </c>
      <c r="E122" s="98" t="s">
        <v>942</v>
      </c>
      <c r="F122" s="30" t="s">
        <v>594</v>
      </c>
      <c r="G122" s="100" t="str">
        <f>IFERROR(VLOOKUP(F122,Productos!$A$2:$D$277,2,0)," ")</f>
        <v>Cajonero 2.0 Unicolor Fresno Europeo x77cm</v>
      </c>
      <c r="H122" s="99">
        <v>1</v>
      </c>
      <c r="I122" s="100" t="s">
        <v>949</v>
      </c>
      <c r="J122" s="97" t="s">
        <v>20</v>
      </c>
      <c r="K122" s="97" t="s">
        <v>749</v>
      </c>
      <c r="L122" s="14" t="str">
        <f t="shared" si="4"/>
        <v>Despachado</v>
      </c>
      <c r="M122" s="99" t="s">
        <v>735</v>
      </c>
      <c r="N122" s="98" t="s">
        <v>958</v>
      </c>
      <c r="O122" s="86">
        <v>46091</v>
      </c>
      <c r="P122" s="86">
        <v>46092</v>
      </c>
      <c r="Q122" s="101" t="str">
        <f t="shared" si="5"/>
        <v>Entregado</v>
      </c>
      <c r="R122" s="99">
        <f>IF(L122="Despachado",NETWORKDAYS.INTL(A122,O122,11,Valores!$A$2:$A$19)-1,"PTE")</f>
        <v>12</v>
      </c>
      <c r="S122" s="99">
        <f>IF(Q122="Entregado",NETWORKDAYS.INTL(A122,P122,11,Valores!$A$2:$A$19)-1,"PTE")</f>
        <v>13</v>
      </c>
      <c r="T122" s="99" t="str">
        <f>IF(Q122="Entregado",IFERROR(IF(I122=VLOOKUP(I122,Valores!$K$1:$K$4,1,0),IF(S122&lt;=VLOOKUP(I122,Valores!$K$1:$L$4,2,0),"Cumple","No cumple")),IF(S122&lt;=VLOOKUP(K122,Valores!E:F,2,0),"Cumple","No cumple")))</f>
        <v>No cumple</v>
      </c>
      <c r="U122" s="99">
        <f>IFERROR(IF(T122="no cumple",S122-VLOOKUP(I122,Valores!$K$1:$L$4,2,0),0),S122-VLOOKUP(K122,Valores!E:F,2,0))</f>
        <v>3</v>
      </c>
      <c r="V122" s="161" t="s">
        <v>952</v>
      </c>
      <c r="W122" s="120">
        <v>67823</v>
      </c>
      <c r="X122" s="123"/>
      <c r="Y122" s="155" t="s">
        <v>964</v>
      </c>
      <c r="Z122" s="152" t="s">
        <v>961</v>
      </c>
    </row>
    <row r="123" spans="1:26" ht="13.95" customHeight="1" x14ac:dyDescent="0.3">
      <c r="A123" s="116">
        <v>46077</v>
      </c>
      <c r="B123" s="99" t="s">
        <v>96</v>
      </c>
      <c r="C123" s="97">
        <v>100307</v>
      </c>
      <c r="D123" s="14" t="s">
        <v>19</v>
      </c>
      <c r="E123" s="98" t="s">
        <v>910</v>
      </c>
      <c r="F123" s="30" t="s">
        <v>546</v>
      </c>
      <c r="G123" s="100" t="str">
        <f>IFERROR(VLOOKUP(F123,Productos!$A$2:$D$277,2,0)," ")</f>
        <v>Escritorio FIjo Linea - T x 76,5 cm</v>
      </c>
      <c r="H123" s="99">
        <v>1</v>
      </c>
      <c r="I123" s="100" t="s">
        <v>949</v>
      </c>
      <c r="J123" s="97" t="s">
        <v>20</v>
      </c>
      <c r="K123" s="97" t="s">
        <v>749</v>
      </c>
      <c r="L123" s="14" t="str">
        <f t="shared" si="4"/>
        <v>Despachado</v>
      </c>
      <c r="M123" s="99" t="s">
        <v>742</v>
      </c>
      <c r="N123" s="98" t="s">
        <v>959</v>
      </c>
      <c r="O123" s="86">
        <v>46092</v>
      </c>
      <c r="P123" s="86">
        <v>46093</v>
      </c>
      <c r="Q123" s="101" t="str">
        <f t="shared" si="5"/>
        <v>Entregado</v>
      </c>
      <c r="R123" s="99">
        <f>IF(L123="Despachado",NETWORKDAYS.INTL(A123,O123,11,Valores!$A$2:$A$19)-1,"PTE")</f>
        <v>13</v>
      </c>
      <c r="S123" s="99">
        <f>IF(Q123="Entregado",NETWORKDAYS.INTL(A123,P123,11,Valores!$A$2:$A$19)-1,"PTE")</f>
        <v>14</v>
      </c>
      <c r="T123" s="99" t="str">
        <f>IF(Q123="Entregado",IFERROR(IF(I123=VLOOKUP(I123,Valores!$K$1:$K$4,1,0),IF(S123&lt;=VLOOKUP(I123,Valores!$K$1:$L$4,2,0),"Cumple","No cumple")),IF(S123&lt;=VLOOKUP(K123,Valores!E:F,2,0),"Cumple","No cumple")))</f>
        <v>No cumple</v>
      </c>
      <c r="U123" s="99">
        <f>IFERROR(IF(T123="no cumple",S123-VLOOKUP(I123,Valores!$K$1:$L$4,2,0),0),S123-VLOOKUP(K123,Valores!E:F,2,0))</f>
        <v>4</v>
      </c>
      <c r="V123" s="161" t="s">
        <v>952</v>
      </c>
      <c r="W123" s="120">
        <v>53100</v>
      </c>
      <c r="X123" s="123"/>
      <c r="Y123" s="155" t="s">
        <v>964</v>
      </c>
      <c r="Z123" s="152" t="s">
        <v>968</v>
      </c>
    </row>
    <row r="124" spans="1:26" x14ac:dyDescent="0.3">
      <c r="A124" s="117">
        <v>46077</v>
      </c>
      <c r="B124" s="99" t="s">
        <v>96</v>
      </c>
      <c r="C124" s="97">
        <v>100308</v>
      </c>
      <c r="D124" s="97" t="s">
        <v>19</v>
      </c>
      <c r="E124" s="98" t="s">
        <v>911</v>
      </c>
      <c r="F124" s="97" t="s">
        <v>235</v>
      </c>
      <c r="G124" s="100" t="str">
        <f>IFERROR(VLOOKUP(F124,Productos!$A$2:$D$277,2,0)," ")</f>
        <v>Bandeja de cables</v>
      </c>
      <c r="H124" s="97">
        <v>1</v>
      </c>
      <c r="I124" s="100" t="str">
        <f>IFERROR(VLOOKUP(F124,Productos!$A$2:$D$277,3,0)," ")</f>
        <v>Accesorio</v>
      </c>
      <c r="J124" s="97" t="s">
        <v>20</v>
      </c>
      <c r="K124" s="97" t="s">
        <v>749</v>
      </c>
      <c r="L124" s="14" t="str">
        <f t="shared" si="4"/>
        <v>Despachado</v>
      </c>
      <c r="M124" s="97" t="s">
        <v>742</v>
      </c>
      <c r="N124" s="98" t="s">
        <v>912</v>
      </c>
      <c r="O124" s="114">
        <v>46077</v>
      </c>
      <c r="P124" s="114">
        <v>46078</v>
      </c>
      <c r="Q124" s="101" t="str">
        <f t="shared" si="5"/>
        <v>Entregado</v>
      </c>
      <c r="R124" s="99">
        <f>IF(L124="Despachado",NETWORKDAYS.INTL(A124,O124,11,Valores!$A$2:$A$19)-1,"PTE")</f>
        <v>0</v>
      </c>
      <c r="S124" s="99">
        <f>IF(Q124="Entregado",NETWORKDAYS.INTL(A124,P124,11,Valores!$A$2:$A$19)-1,"PTE")</f>
        <v>1</v>
      </c>
      <c r="T124" s="99" t="str">
        <f>IF(Q124="Entregado",IFERROR(IF(I124=VLOOKUP(I124,Valores!$K$1:$K$4,1,0),IF(S124&lt;=VLOOKUP(I124,Valores!$K$1:$L$4,2,0),"Cumple","No cumple")),IF(S124&lt;=VLOOKUP(K124,Valores!E:F,2,0),"Cumple","No cumple")))</f>
        <v>Cumple</v>
      </c>
      <c r="U124" s="99">
        <f>IFERROR(IF(T124="no cumple",S124-VLOOKUP(I124,Valores!$K$1:$L$4,2,0),0),S124-VLOOKUP(K124,Valores!E:F,2,0))</f>
        <v>0</v>
      </c>
      <c r="V124" s="99"/>
      <c r="W124" s="120">
        <v>26681</v>
      </c>
      <c r="X124" s="120"/>
      <c r="Y124" s="120"/>
      <c r="Z124" s="152"/>
    </row>
    <row r="125" spans="1:26" x14ac:dyDescent="0.3">
      <c r="A125" s="117">
        <v>46078</v>
      </c>
      <c r="B125" s="97" t="s">
        <v>96</v>
      </c>
      <c r="C125" s="97">
        <v>100309</v>
      </c>
      <c r="D125" s="97" t="s">
        <v>19</v>
      </c>
      <c r="E125" s="98" t="s">
        <v>913</v>
      </c>
      <c r="F125" s="97" t="s">
        <v>441</v>
      </c>
      <c r="G125" s="100" t="str">
        <f>IFERROR(VLOOKUP(F125,Productos!$A$2:$D$277,2,0)," ")</f>
        <v>Superficie Escritorio Fresno Europeo 120x60 Clasico Small</v>
      </c>
      <c r="H125" s="97">
        <v>1</v>
      </c>
      <c r="I125" s="100" t="str">
        <f>IFERROR(VLOOKUP(F125,Productos!$A$2:$D$277,3,0)," ")</f>
        <v>Superficie</v>
      </c>
      <c r="J125" s="97" t="s">
        <v>20</v>
      </c>
      <c r="K125" s="97" t="s">
        <v>749</v>
      </c>
      <c r="L125" s="14" t="str">
        <f t="shared" si="4"/>
        <v>Despachado</v>
      </c>
      <c r="M125" s="97" t="s">
        <v>742</v>
      </c>
      <c r="N125" s="98" t="s">
        <v>914</v>
      </c>
      <c r="O125" s="114">
        <v>46078</v>
      </c>
      <c r="P125" s="114">
        <v>46080</v>
      </c>
      <c r="Q125" s="101" t="str">
        <f t="shared" si="5"/>
        <v>Entregado</v>
      </c>
      <c r="R125" s="99">
        <f>IF(L125="Despachado",NETWORKDAYS.INTL(A125,O125,11,Valores!$A$2:$A$19)-1,"PTE")</f>
        <v>0</v>
      </c>
      <c r="S125" s="99">
        <f>IF(Q125="Entregado",NETWORKDAYS.INTL(A125,P125,11,Valores!$A$2:$A$19)-1,"PTE")</f>
        <v>2</v>
      </c>
      <c r="T125" s="99" t="str">
        <f>IF(Q125="Entregado",IFERROR(IF(I125=VLOOKUP(I125,Valores!$K$1:$K$4,1,0),IF(S125&lt;=VLOOKUP(I125,Valores!$K$1:$L$4,2,0),"Cumple","No cumple")),IF(S125&lt;=VLOOKUP(K125,Valores!E:F,2,0),"Cumple","No cumple")))</f>
        <v>Cumple</v>
      </c>
      <c r="U125" s="99">
        <f>IFERROR(IF(T125="no cumple",S125-VLOOKUP(I125,Valores!$K$1:$L$4,2,0),0),S125-VLOOKUP(K125,Valores!E:F,2,0))</f>
        <v>0</v>
      </c>
      <c r="V125" s="99"/>
      <c r="W125" s="115">
        <v>25952</v>
      </c>
      <c r="X125" s="115"/>
      <c r="Y125" s="115"/>
      <c r="Z125" s="152"/>
    </row>
    <row r="126" spans="1:26" x14ac:dyDescent="0.3">
      <c r="A126" s="117">
        <v>46078</v>
      </c>
      <c r="B126" s="97" t="s">
        <v>96</v>
      </c>
      <c r="C126" s="97">
        <v>100309</v>
      </c>
      <c r="D126" s="97" t="s">
        <v>19</v>
      </c>
      <c r="E126" s="98" t="s">
        <v>913</v>
      </c>
      <c r="F126" s="97" t="s">
        <v>132</v>
      </c>
      <c r="G126" s="100" t="str">
        <f>IFERROR(VLOOKUP(F126,Productos!$A$2:$D$277,2,0)," ")</f>
        <v>Electric Standing Desk  PRO Blanco</v>
      </c>
      <c r="H126" s="97">
        <v>1</v>
      </c>
      <c r="I126" s="100" t="str">
        <f>IFERROR(VLOOKUP(F126,Productos!$A$2:$D$277,3,0)," ")</f>
        <v>Standing Desk</v>
      </c>
      <c r="J126" s="97" t="s">
        <v>20</v>
      </c>
      <c r="K126" s="97" t="s">
        <v>749</v>
      </c>
      <c r="L126" s="14" t="str">
        <f t="shared" si="4"/>
        <v>Despachado</v>
      </c>
      <c r="M126" s="97" t="s">
        <v>742</v>
      </c>
      <c r="N126" s="98" t="s">
        <v>915</v>
      </c>
      <c r="O126" s="114">
        <v>46078</v>
      </c>
      <c r="P126" s="114">
        <v>46080</v>
      </c>
      <c r="Q126" s="101" t="str">
        <f t="shared" si="5"/>
        <v>Entregado</v>
      </c>
      <c r="R126" s="99">
        <f>IF(L126="Despachado",NETWORKDAYS.INTL(A126,O126,11,Valores!$A$2:$A$19)-1,"PTE")</f>
        <v>0</v>
      </c>
      <c r="S126" s="99">
        <f>IF(Q126="Entregado",NETWORKDAYS.INTL(A126,P126,11,Valores!$A$2:$A$19)-1,"PTE")</f>
        <v>2</v>
      </c>
      <c r="T126" s="99" t="str">
        <f>IF(Q126="Entregado",IFERROR(IF(I126=VLOOKUP(I126,Valores!$K$1:$K$4,1,0),IF(S126&lt;=VLOOKUP(I126,Valores!$K$1:$L$4,2,0),"Cumple","No cumple")),IF(S126&lt;=VLOOKUP(K126,Valores!E:F,2,0),"Cumple","No cumple")))</f>
        <v>Cumple</v>
      </c>
      <c r="U126" s="99">
        <f>IFERROR(IF(T126="no cumple",S126-VLOOKUP(I126,Valores!$K$1:$L$4,2,0),0),S126-VLOOKUP(K126,Valores!E:F,2,0))</f>
        <v>0</v>
      </c>
      <c r="V126" s="99"/>
      <c r="W126" s="115">
        <v>43114</v>
      </c>
      <c r="X126" s="115"/>
      <c r="Y126" s="115"/>
      <c r="Z126" s="152"/>
    </row>
    <row r="127" spans="1:26" x14ac:dyDescent="0.3">
      <c r="A127" s="117">
        <v>46078</v>
      </c>
      <c r="B127" s="97" t="s">
        <v>96</v>
      </c>
      <c r="C127" s="97">
        <v>100310</v>
      </c>
      <c r="D127" s="97" t="s">
        <v>19</v>
      </c>
      <c r="E127" s="98" t="s">
        <v>916</v>
      </c>
      <c r="F127" s="97" t="s">
        <v>405</v>
      </c>
      <c r="G127" s="100" t="str">
        <f>IFERROR(VLOOKUP(F127,Productos!$A$2:$D$277,2,0)," ")</f>
        <v>Superficie Escritorio Caramelo 120x60 Clasico Small</v>
      </c>
      <c r="H127" s="97">
        <v>1</v>
      </c>
      <c r="I127" s="100" t="str">
        <f>IFERROR(VLOOKUP(F127,Productos!$A$2:$D$277,3,0)," ")</f>
        <v>Superficie</v>
      </c>
      <c r="J127" s="97" t="s">
        <v>20</v>
      </c>
      <c r="K127" s="97" t="s">
        <v>749</v>
      </c>
      <c r="L127" s="14" t="str">
        <f t="shared" si="4"/>
        <v>Despachado</v>
      </c>
      <c r="M127" s="97" t="s">
        <v>742</v>
      </c>
      <c r="N127" s="98" t="s">
        <v>917</v>
      </c>
      <c r="O127" s="114">
        <v>46078</v>
      </c>
      <c r="P127" s="114">
        <v>46079</v>
      </c>
      <c r="Q127" s="101" t="str">
        <f t="shared" si="5"/>
        <v>Entregado</v>
      </c>
      <c r="R127" s="99">
        <f>IF(L127="Despachado",NETWORKDAYS.INTL(A127,O127,11,Valores!$A$2:$A$19)-1,"PTE")</f>
        <v>0</v>
      </c>
      <c r="S127" s="99">
        <f>IF(Q127="Entregado",NETWORKDAYS.INTL(A127,P127,11,Valores!$A$2:$A$19)-1,"PTE")</f>
        <v>1</v>
      </c>
      <c r="T127" s="99" t="str">
        <f>IF(Q127="Entregado",IFERROR(IF(I127=VLOOKUP(I127,Valores!$K$1:$K$4,1,0),IF(S127&lt;=VLOOKUP(I127,Valores!$K$1:$L$4,2,0),"Cumple","No cumple")),IF(S127&lt;=VLOOKUP(K127,Valores!E:F,2,0),"Cumple","No cumple")))</f>
        <v>Cumple</v>
      </c>
      <c r="U127" s="99">
        <f>IFERROR(IF(T127="no cumple",S127-VLOOKUP(I127,Valores!$K$1:$L$4,2,0),0),S127-VLOOKUP(K127,Valores!E:F,2,0))</f>
        <v>0</v>
      </c>
      <c r="V127" s="99"/>
      <c r="W127" s="115">
        <v>25952</v>
      </c>
      <c r="X127" s="115"/>
      <c r="Y127" s="115"/>
      <c r="Z127" s="152"/>
    </row>
    <row r="128" spans="1:26" x14ac:dyDescent="0.3">
      <c r="A128" s="117">
        <v>46078</v>
      </c>
      <c r="B128" s="97" t="s">
        <v>96</v>
      </c>
      <c r="C128" s="97">
        <v>100310</v>
      </c>
      <c r="D128" s="97" t="s">
        <v>19</v>
      </c>
      <c r="E128" s="98" t="s">
        <v>916</v>
      </c>
      <c r="F128" s="97" t="s">
        <v>128</v>
      </c>
      <c r="G128" s="100" t="str">
        <f>IFERROR(VLOOKUP(F128,Productos!$A$2:$D$277,2,0)," ")</f>
        <v>Electric Standing Desk  PRO Negro</v>
      </c>
      <c r="H128" s="97">
        <v>1</v>
      </c>
      <c r="I128" s="100" t="str">
        <f>IFERROR(VLOOKUP(F128,Productos!$A$2:$D$277,3,0)," ")</f>
        <v>Standing Desk</v>
      </c>
      <c r="J128" s="97" t="s">
        <v>20</v>
      </c>
      <c r="K128" s="97" t="s">
        <v>749</v>
      </c>
      <c r="L128" s="14" t="str">
        <f t="shared" si="4"/>
        <v>Despachado</v>
      </c>
      <c r="M128" s="97" t="s">
        <v>742</v>
      </c>
      <c r="N128" s="98" t="s">
        <v>918</v>
      </c>
      <c r="O128" s="114">
        <v>46078</v>
      </c>
      <c r="P128" s="114">
        <v>46079</v>
      </c>
      <c r="Q128" s="101" t="str">
        <f t="shared" si="5"/>
        <v>Entregado</v>
      </c>
      <c r="R128" s="99">
        <f>IF(L128="Despachado",NETWORKDAYS.INTL(A128,O128,11,Valores!$A$2:$A$19)-1,"PTE")</f>
        <v>0</v>
      </c>
      <c r="S128" s="99">
        <f>IF(Q128="Entregado",NETWORKDAYS.INTL(A128,P128,11,Valores!$A$2:$A$19)-1,"PTE")</f>
        <v>1</v>
      </c>
      <c r="T128" s="99" t="str">
        <f>IF(Q128="Entregado",IFERROR(IF(I128=VLOOKUP(I128,Valores!$K$1:$K$4,1,0),IF(S128&lt;=VLOOKUP(I128,Valores!$K$1:$L$4,2,0),"Cumple","No cumple")),IF(S128&lt;=VLOOKUP(K128,Valores!E:F,2,0),"Cumple","No cumple")))</f>
        <v>Cumple</v>
      </c>
      <c r="U128" s="99">
        <f>IFERROR(IF(T128="no cumple",S128-VLOOKUP(I128,Valores!$K$1:$L$4,2,0),0),S128-VLOOKUP(K128,Valores!E:F,2,0))</f>
        <v>0</v>
      </c>
      <c r="V128" s="99"/>
      <c r="W128" s="115">
        <v>43114</v>
      </c>
      <c r="X128" s="115"/>
      <c r="Y128" s="115"/>
      <c r="Z128" s="152"/>
    </row>
    <row r="129" spans="1:26" x14ac:dyDescent="0.3">
      <c r="A129" s="117">
        <v>46079</v>
      </c>
      <c r="B129" s="97" t="s">
        <v>96</v>
      </c>
      <c r="C129" s="97">
        <v>100311</v>
      </c>
      <c r="D129" s="97" t="s">
        <v>19</v>
      </c>
      <c r="E129" s="98" t="s">
        <v>919</v>
      </c>
      <c r="F129" s="97" t="s">
        <v>405</v>
      </c>
      <c r="G129" s="100" t="str">
        <f>IFERROR(VLOOKUP(F129,Productos!$A$2:$D$277,2,0)," ")</f>
        <v>Superficie Escritorio Caramelo 120x60 Clasico Small</v>
      </c>
      <c r="H129" s="97">
        <v>1</v>
      </c>
      <c r="I129" s="100" t="str">
        <f>IFERROR(VLOOKUP(F129,Productos!$A$2:$D$277,3,0)," ")</f>
        <v>Superficie</v>
      </c>
      <c r="J129" s="97" t="s">
        <v>920</v>
      </c>
      <c r="K129" s="97" t="s">
        <v>921</v>
      </c>
      <c r="L129" s="14" t="str">
        <f t="shared" si="4"/>
        <v>Despachado</v>
      </c>
      <c r="M129" s="97" t="s">
        <v>742</v>
      </c>
      <c r="N129" s="98" t="s">
        <v>922</v>
      </c>
      <c r="O129" s="114">
        <v>46079</v>
      </c>
      <c r="P129" s="114">
        <v>46083</v>
      </c>
      <c r="Q129" s="101" t="str">
        <f t="shared" si="5"/>
        <v>Entregado</v>
      </c>
      <c r="R129" s="99">
        <f>IF(L129="Despachado",NETWORKDAYS.INTL(A129,O129,11,Valores!$A$2:$A$19)-1,"PTE")</f>
        <v>0</v>
      </c>
      <c r="S129" s="99">
        <f>IF(Q129="Entregado",NETWORKDAYS.INTL(A129,P129,11,Valores!$A$2:$A$19)-1,"PTE")</f>
        <v>3</v>
      </c>
      <c r="T129" s="99" t="str">
        <f>IF(Q129="Entregado",IFERROR(IF(I129=VLOOKUP(I129,Valores!$K$1:$K$4,1,0),IF(S129&lt;=VLOOKUP(I129,Valores!$K$1:$L$4,2,0),"Cumple","No cumple")),IF(S129&lt;=VLOOKUP(K129,Valores!E:F,2,0),"Cumple","No cumple")))</f>
        <v>Cumple</v>
      </c>
      <c r="U129" s="99">
        <f>IFERROR(IF(T129="no cumple",S129-VLOOKUP(I129,Valores!$K$1:$L$4,2,0),0),S129-VLOOKUP(K129,Valores!E:F,2,0))</f>
        <v>0</v>
      </c>
      <c r="V129" s="99"/>
      <c r="W129" s="115">
        <v>42089</v>
      </c>
      <c r="X129" s="115"/>
      <c r="Y129" s="115"/>
      <c r="Z129" s="152"/>
    </row>
    <row r="130" spans="1:26" x14ac:dyDescent="0.3">
      <c r="A130" s="117">
        <v>46079</v>
      </c>
      <c r="B130" s="97" t="s">
        <v>96</v>
      </c>
      <c r="C130" s="97">
        <v>100311</v>
      </c>
      <c r="D130" s="97" t="s">
        <v>19</v>
      </c>
      <c r="E130" s="98" t="s">
        <v>919</v>
      </c>
      <c r="F130" s="97" t="s">
        <v>624</v>
      </c>
      <c r="G130" s="100" t="str">
        <f>IFERROR(VLOOKUP(F130,Productos!$A$2:$D$277,2,0)," ")</f>
        <v>Repisa Escritorio Caramelo x 80cm</v>
      </c>
      <c r="H130" s="97">
        <v>1</v>
      </c>
      <c r="I130" s="100" t="str">
        <f>IFERROR(VLOOKUP(F130,Productos!$A$2:$D$277,3,0)," ")</f>
        <v>Repisa</v>
      </c>
      <c r="J130" s="97" t="s">
        <v>920</v>
      </c>
      <c r="K130" s="97" t="s">
        <v>921</v>
      </c>
      <c r="L130" s="14" t="str">
        <f t="shared" si="4"/>
        <v>Despachado</v>
      </c>
      <c r="M130" s="97" t="s">
        <v>742</v>
      </c>
      <c r="N130" s="98" t="s">
        <v>922</v>
      </c>
      <c r="O130" s="114">
        <v>46079</v>
      </c>
      <c r="P130" s="114">
        <v>46083</v>
      </c>
      <c r="Q130" s="101" t="str">
        <f t="shared" si="5"/>
        <v>Entregado</v>
      </c>
      <c r="R130" s="99">
        <f>IF(L130="Despachado",NETWORKDAYS.INTL(A130,O130,11,Valores!$A$2:$A$19)-1,"PTE")</f>
        <v>0</v>
      </c>
      <c r="S130" s="99">
        <f>IF(Q130="Entregado",NETWORKDAYS.INTL(A130,P130,11,Valores!$A$2:$A$19)-1,"PTE")</f>
        <v>3</v>
      </c>
      <c r="T130" s="99" t="str">
        <f>IF(Q130="Entregado",IFERROR(IF(I130=VLOOKUP(I130,Valores!$K$1:$K$4,1,0),IF(S130&lt;=VLOOKUP(I130,Valores!$K$1:$L$4,2,0),"Cumple","No cumple")),IF(S130&lt;=VLOOKUP(K130,Valores!E:F,2,0),"Cumple","No cumple")))</f>
        <v>Cumple</v>
      </c>
      <c r="U130" s="99">
        <f>IFERROR(IF(T130="no cumple",S130-VLOOKUP(I130,Valores!$K$1:$L$4,2,0),0),S130-VLOOKUP(K130,Valores!E:F,2,0))</f>
        <v>0</v>
      </c>
      <c r="V130" s="99"/>
      <c r="W130" s="115">
        <v>0</v>
      </c>
      <c r="X130" s="115"/>
      <c r="Y130" s="115"/>
      <c r="Z130" s="152"/>
    </row>
    <row r="131" spans="1:26" x14ac:dyDescent="0.3">
      <c r="A131" s="117">
        <v>46079</v>
      </c>
      <c r="B131" s="97" t="s">
        <v>96</v>
      </c>
      <c r="C131" s="97">
        <v>100311</v>
      </c>
      <c r="D131" s="97" t="s">
        <v>19</v>
      </c>
      <c r="E131" s="98" t="s">
        <v>919</v>
      </c>
      <c r="F131" s="97" t="s">
        <v>122</v>
      </c>
      <c r="G131" s="100" t="str">
        <f>IFERROR(VLOOKUP(F131,Productos!$A$2:$D$277,2,0)," ")</f>
        <v>Electric Standing Desk GO Negro</v>
      </c>
      <c r="H131" s="97">
        <v>1</v>
      </c>
      <c r="I131" s="100" t="str">
        <f>IFERROR(VLOOKUP(F131,Productos!$A$2:$D$277,3,0)," ")</f>
        <v>Standing Desk</v>
      </c>
      <c r="J131" s="97" t="s">
        <v>920</v>
      </c>
      <c r="K131" s="97" t="s">
        <v>921</v>
      </c>
      <c r="L131" s="14" t="str">
        <f t="shared" si="4"/>
        <v>Despachado</v>
      </c>
      <c r="M131" s="97" t="s">
        <v>742</v>
      </c>
      <c r="N131" s="98" t="s">
        <v>923</v>
      </c>
      <c r="O131" s="114">
        <v>46079</v>
      </c>
      <c r="P131" s="114">
        <v>46083</v>
      </c>
      <c r="Q131" s="101" t="str">
        <f t="shared" si="5"/>
        <v>Entregado</v>
      </c>
      <c r="R131" s="99">
        <f>IF(L131="Despachado",NETWORKDAYS.INTL(A131,O131,11,Valores!$A$2:$A$19)-1,"PTE")</f>
        <v>0</v>
      </c>
      <c r="S131" s="99">
        <f>IF(Q131="Entregado",NETWORKDAYS.INTL(A131,P131,11,Valores!$A$2:$A$19)-1,"PTE")</f>
        <v>3</v>
      </c>
      <c r="T131" s="99" t="str">
        <f>IF(Q131="Entregado",IFERROR(IF(I131=VLOOKUP(I131,Valores!$K$1:$K$4,1,0),IF(S131&lt;=VLOOKUP(I131,Valores!$K$1:$L$4,2,0),"Cumple","No cumple")),IF(S131&lt;=VLOOKUP(K131,Valores!E:F,2,0),"Cumple","No cumple")))</f>
        <v>Cumple</v>
      </c>
      <c r="U131" s="99">
        <f>IFERROR(IF(T131="no cumple",S131-VLOOKUP(I131,Valores!$K$1:$L$4,2,0),0),S131-VLOOKUP(K131,Valores!E:F,2,0))</f>
        <v>0</v>
      </c>
      <c r="V131" s="99"/>
      <c r="W131" s="115">
        <v>62759</v>
      </c>
      <c r="X131" s="115"/>
      <c r="Y131" s="115"/>
      <c r="Z131" s="152"/>
    </row>
    <row r="132" spans="1:26" x14ac:dyDescent="0.3">
      <c r="A132" s="117">
        <v>46081</v>
      </c>
      <c r="B132" s="97" t="s">
        <v>96</v>
      </c>
      <c r="C132" s="97">
        <v>100312</v>
      </c>
      <c r="D132" s="97" t="s">
        <v>19</v>
      </c>
      <c r="E132" s="98" t="s">
        <v>924</v>
      </c>
      <c r="F132" s="97" t="s">
        <v>235</v>
      </c>
      <c r="G132" s="100" t="str">
        <f>IFERROR(VLOOKUP(F132,Productos!$A$2:$D$277,2,0)," ")</f>
        <v>Bandeja de cables</v>
      </c>
      <c r="H132" s="97">
        <v>1</v>
      </c>
      <c r="I132" s="100" t="str">
        <f>IFERROR(VLOOKUP(F132,Productos!$A$2:$D$277,3,0)," ")</f>
        <v>Accesorio</v>
      </c>
      <c r="J132" s="97" t="s">
        <v>20</v>
      </c>
      <c r="K132" s="97" t="s">
        <v>925</v>
      </c>
      <c r="L132" s="14" t="str">
        <f t="shared" si="4"/>
        <v>Despachado</v>
      </c>
      <c r="M132" s="97" t="s">
        <v>742</v>
      </c>
      <c r="N132" s="98" t="s">
        <v>926</v>
      </c>
      <c r="O132" s="114">
        <v>46083</v>
      </c>
      <c r="P132" s="114">
        <v>46084</v>
      </c>
      <c r="Q132" s="101" t="str">
        <f t="shared" si="5"/>
        <v>Entregado</v>
      </c>
      <c r="R132" s="99">
        <f>IF(L132="Despachado",NETWORKDAYS.INTL(A132,O132,11,Valores!$A$2:$A$19)-1,"PTE")</f>
        <v>1</v>
      </c>
      <c r="S132" s="99">
        <f>IF(Q132="Entregado",NETWORKDAYS.INTL(A132,P132,11,Valores!$A$2:$A$19)-1,"PTE")</f>
        <v>2</v>
      </c>
      <c r="T132" s="99" t="str">
        <f>IF(Q132="Entregado",IFERROR(IF(I132=VLOOKUP(I132,Valores!$K$1:$K$4,1,0),IF(S132&lt;=VLOOKUP(I132,Valores!$K$1:$L$4,2,0),"Cumple","No cumple")),IF(S132&lt;=VLOOKUP(K132,Valores!E:F,2,0),"Cumple","No cumple")))</f>
        <v>Cumple</v>
      </c>
      <c r="U132" s="99">
        <f>IFERROR(IF(T132="no cumple",S132-VLOOKUP(I132,Valores!$K$1:$L$4,2,0),0),S132-VLOOKUP(K132,Valores!E:F,2,0))</f>
        <v>0</v>
      </c>
      <c r="V132" s="99"/>
      <c r="W132" s="115">
        <v>26681</v>
      </c>
      <c r="X132" s="115"/>
      <c r="Y132" s="115"/>
      <c r="Z132" s="152"/>
    </row>
    <row r="133" spans="1:26" x14ac:dyDescent="0.3">
      <c r="A133" s="117">
        <v>46081</v>
      </c>
      <c r="B133" s="97" t="s">
        <v>96</v>
      </c>
      <c r="C133" s="97">
        <v>100312</v>
      </c>
      <c r="D133" s="97" t="s">
        <v>19</v>
      </c>
      <c r="E133" s="98" t="s">
        <v>924</v>
      </c>
      <c r="F133" s="97" t="s">
        <v>82</v>
      </c>
      <c r="G133" s="100" t="str">
        <f>IFERROR(VLOOKUP(F133,Productos!$A$2:$D$277,2,0)," ")</f>
        <v>Desk Pad B Negro Azul</v>
      </c>
      <c r="H133" s="97">
        <v>1</v>
      </c>
      <c r="I133" s="100" t="str">
        <f>IFERROR(VLOOKUP(F133,Productos!$A$2:$D$277,3,0)," ")</f>
        <v>Accesorio</v>
      </c>
      <c r="J133" s="97" t="s">
        <v>20</v>
      </c>
      <c r="K133" s="97" t="s">
        <v>925</v>
      </c>
      <c r="L133" s="14" t="str">
        <f t="shared" si="4"/>
        <v>Despachado</v>
      </c>
      <c r="M133" s="97" t="s">
        <v>742</v>
      </c>
      <c r="N133" s="98" t="s">
        <v>927</v>
      </c>
      <c r="O133" s="114">
        <v>46083</v>
      </c>
      <c r="P133" s="114">
        <v>46084</v>
      </c>
      <c r="Q133" s="101" t="str">
        <f t="shared" si="5"/>
        <v>Entregado</v>
      </c>
      <c r="R133" s="99">
        <f>IF(L133="Despachado",NETWORKDAYS.INTL(A133,O133,11,Valores!$A$2:$A$19)-1,"PTE")</f>
        <v>1</v>
      </c>
      <c r="S133" s="99">
        <f>IF(Q133="Entregado",NETWORKDAYS.INTL(A133,P133,11,Valores!$A$2:$A$19)-1,"PTE")</f>
        <v>2</v>
      </c>
      <c r="T133" s="99" t="str">
        <f>IF(Q133="Entregado",IFERROR(IF(I133=VLOOKUP(I133,Valores!$K$1:$K$4,1,0),IF(S133&lt;=VLOOKUP(I133,Valores!$K$1:$L$4,2,0),"Cumple","No cumple")),IF(S133&lt;=VLOOKUP(K133,Valores!E:F,2,0),"Cumple","No cumple")))</f>
        <v>Cumple</v>
      </c>
      <c r="U133" s="99">
        <f>IFERROR(IF(T133="no cumple",S133-VLOOKUP(I133,Valores!$K$1:$L$4,2,0),0),S133-VLOOKUP(K133,Valores!E:F,2,0))</f>
        <v>0</v>
      </c>
      <c r="V133" s="99"/>
      <c r="W133" s="115">
        <v>17787</v>
      </c>
      <c r="X133" s="115"/>
      <c r="Y133" s="115"/>
      <c r="Z133" s="152"/>
    </row>
    <row r="134" spans="1:26" x14ac:dyDescent="0.3">
      <c r="A134" s="117">
        <v>46082</v>
      </c>
      <c r="B134" s="97" t="s">
        <v>243</v>
      </c>
      <c r="C134" s="97">
        <v>100313</v>
      </c>
      <c r="D134" s="97" t="s">
        <v>19</v>
      </c>
      <c r="E134" s="98" t="s">
        <v>928</v>
      </c>
      <c r="F134" s="97" t="s">
        <v>693</v>
      </c>
      <c r="G134" s="100" t="str">
        <f>IFERROR(VLOOKUP(F134,Productos!$A$2:$D$277,2,0)," ")</f>
        <v>Superficie  en L Fresno 180x150cm x60</v>
      </c>
      <c r="H134" s="97">
        <v>1</v>
      </c>
      <c r="I134" s="100" t="str">
        <f>IFERROR(VLOOKUP(F134,Productos!$A$2:$D$277,3,0)," ")</f>
        <v>Superficie</v>
      </c>
      <c r="J134" s="97" t="s">
        <v>20</v>
      </c>
      <c r="K134" s="97" t="s">
        <v>749</v>
      </c>
      <c r="L134" s="14" t="str">
        <f t="shared" si="4"/>
        <v>Despachado</v>
      </c>
      <c r="M134" s="97" t="s">
        <v>735</v>
      </c>
      <c r="N134" s="98" t="s">
        <v>929</v>
      </c>
      <c r="O134" s="114">
        <v>46083</v>
      </c>
      <c r="P134" s="114">
        <v>46084</v>
      </c>
      <c r="Q134" s="101" t="str">
        <f t="shared" si="5"/>
        <v>Entregado</v>
      </c>
      <c r="R134" s="99">
        <f>IF(L134="Despachado",NETWORKDAYS.INTL(A134,O134,11,Valores!$A$2:$A$19)-1,"PTE")</f>
        <v>0</v>
      </c>
      <c r="S134" s="99">
        <f>IF(Q134="Entregado",NETWORKDAYS.INTL(A134,P134,11,Valores!$A$2:$A$19)-1,"PTE")</f>
        <v>1</v>
      </c>
      <c r="T134" s="99" t="str">
        <f>IF(Q134="Entregado",IFERROR(IF(I134=VLOOKUP(I134,Valores!$K$1:$K$4,1,0),IF(S134&lt;=VLOOKUP(I134,Valores!$K$1:$L$4,2,0),"Cumple","No cumple")),IF(S134&lt;=VLOOKUP(K134,Valores!E:F,2,0),"Cumple","No cumple")))</f>
        <v>Cumple</v>
      </c>
      <c r="U134" s="99">
        <f>IFERROR(IF(T134="no cumple",S134-VLOOKUP(I134,Valores!$K$1:$L$4,2,0),0),S134-VLOOKUP(K134,Valores!E:F,2,0))</f>
        <v>0</v>
      </c>
      <c r="V134" s="99"/>
      <c r="W134" s="120">
        <v>35290</v>
      </c>
      <c r="X134" s="120"/>
      <c r="Y134" s="120"/>
      <c r="Z134" s="152"/>
    </row>
    <row r="135" spans="1:26" x14ac:dyDescent="0.3">
      <c r="A135" s="117">
        <v>46082</v>
      </c>
      <c r="B135" s="97" t="s">
        <v>243</v>
      </c>
      <c r="C135" s="97">
        <v>100313</v>
      </c>
      <c r="D135" s="97" t="s">
        <v>19</v>
      </c>
      <c r="E135" s="98" t="s">
        <v>928</v>
      </c>
      <c r="F135" s="97" t="s">
        <v>56</v>
      </c>
      <c r="G135" s="100" t="str">
        <f>IFERROR(VLOOKUP(F135,Productos!$A$2:$D$277,2,0)," ")</f>
        <v>Electric Standing Desk  En L Frame Negro 2.0</v>
      </c>
      <c r="H135" s="97">
        <v>1</v>
      </c>
      <c r="I135" s="100" t="str">
        <f>IFERROR(VLOOKUP(F135,Productos!$A$2:$D$277,3,0)," ")</f>
        <v>Standing Desk</v>
      </c>
      <c r="J135" s="97" t="s">
        <v>20</v>
      </c>
      <c r="K135" s="97" t="s">
        <v>749</v>
      </c>
      <c r="L135" s="14" t="str">
        <f t="shared" si="4"/>
        <v>Despachado</v>
      </c>
      <c r="M135" s="97" t="s">
        <v>742</v>
      </c>
      <c r="N135" s="153" t="s">
        <v>930</v>
      </c>
      <c r="O135" s="114">
        <v>46083</v>
      </c>
      <c r="P135" s="114">
        <v>46084</v>
      </c>
      <c r="Q135" s="101" t="str">
        <f t="shared" si="5"/>
        <v>Entregado</v>
      </c>
      <c r="R135" s="99">
        <f>IF(L135="Despachado",NETWORKDAYS.INTL(A135,O135,11,Valores!$A$2:$A$19)-1,"PTE")</f>
        <v>0</v>
      </c>
      <c r="S135" s="99">
        <f>IF(Q135="Entregado",NETWORKDAYS.INTL(A135,P135,11,Valores!$A$2:$A$19)-1,"PTE")</f>
        <v>1</v>
      </c>
      <c r="T135" s="99" t="str">
        <f>IF(Q135="Entregado",IFERROR(IF(I135=VLOOKUP(I135,Valores!$K$1:$K$4,1,0),IF(S135&lt;=VLOOKUP(I135,Valores!$K$1:$L$4,2,0),"Cumple","No cumple")),IF(S135&lt;=VLOOKUP(K135,Valores!E:F,2,0),"Cumple","No cumple")))</f>
        <v>Cumple</v>
      </c>
      <c r="U135" s="99">
        <f>IFERROR(IF(T135="no cumple",S135-VLOOKUP(I135,Valores!$K$1:$L$4,2,0),0),S135-VLOOKUP(K135,Valores!E:F,2,0))</f>
        <v>0</v>
      </c>
      <c r="V135" s="99"/>
      <c r="W135" s="120">
        <v>65353</v>
      </c>
      <c r="X135" s="120"/>
      <c r="Y135" s="120"/>
      <c r="Z135" s="152"/>
    </row>
    <row r="136" spans="1:26" x14ac:dyDescent="0.3">
      <c r="A136" s="117">
        <v>46082</v>
      </c>
      <c r="B136" s="97" t="s">
        <v>243</v>
      </c>
      <c r="C136" s="97">
        <v>100313</v>
      </c>
      <c r="D136" s="97" t="s">
        <v>19</v>
      </c>
      <c r="E136" s="98" t="s">
        <v>928</v>
      </c>
      <c r="F136" s="97" t="s">
        <v>391</v>
      </c>
      <c r="G136" s="100" t="str">
        <f>IFERROR(VLOOKUP(F136,Productos!$A$2:$D$277,2,0)," ")</f>
        <v>Archivador TECU Fresno Europeo</v>
      </c>
      <c r="H136" s="97">
        <v>1</v>
      </c>
      <c r="I136" s="100" t="str">
        <f>IFERROR(VLOOKUP(F136,Productos!$A$2:$D$277,3,0)," ")</f>
        <v>Archivador</v>
      </c>
      <c r="J136" s="97" t="s">
        <v>20</v>
      </c>
      <c r="K136" s="97" t="s">
        <v>749</v>
      </c>
      <c r="L136" s="14" t="str">
        <f t="shared" ref="L136:L188" si="6">IF(O136&gt;0,"Despachado","En alistamiento")</f>
        <v>Despachado</v>
      </c>
      <c r="M136" s="97" t="s">
        <v>735</v>
      </c>
      <c r="N136" s="98" t="s">
        <v>931</v>
      </c>
      <c r="O136" s="114">
        <v>46085</v>
      </c>
      <c r="P136" s="114">
        <v>46086</v>
      </c>
      <c r="Q136" s="101" t="str">
        <f t="shared" ref="Q136:Q188" si="7">IF(P136&gt;0,"Entregado","En transito")</f>
        <v>Entregado</v>
      </c>
      <c r="R136" s="99">
        <f>IF(L136="Despachado",NETWORKDAYS.INTL(A136,O136,11,Valores!$A$2:$A$19)-1,"PTE")</f>
        <v>2</v>
      </c>
      <c r="S136" s="99">
        <f>IF(Q136="Entregado",NETWORKDAYS.INTL(A136,P136,11,Valores!$A$2:$A$19)-1,"PTE")</f>
        <v>3</v>
      </c>
      <c r="T136" s="99" t="str">
        <f>IF(Q136="Entregado",IFERROR(IF(I136=VLOOKUP(I136,Valores!$K$1:$K$4,1,0),IF(S136&lt;=VLOOKUP(I136,Valores!$K$1:$L$4,2,0),"Cumple","No cumple")),IF(S136&lt;=VLOOKUP(K136,Valores!E:F,2,0),"Cumple","No cumple")))</f>
        <v>Cumple</v>
      </c>
      <c r="U136" s="99">
        <f>IFERROR(IF(T136="no cumple",S136-VLOOKUP(I136,Valores!$K$1:$L$4,2,0),0),S136-VLOOKUP(K136,Valores!E:F,2,0))</f>
        <v>0</v>
      </c>
      <c r="V136" s="99"/>
      <c r="W136" s="120">
        <v>53305</v>
      </c>
      <c r="X136" s="120"/>
      <c r="Y136" s="120"/>
      <c r="Z136" s="152"/>
    </row>
    <row r="137" spans="1:26" x14ac:dyDescent="0.3">
      <c r="A137" s="117">
        <v>46082</v>
      </c>
      <c r="B137" s="97" t="s">
        <v>243</v>
      </c>
      <c r="C137" s="97">
        <v>100313</v>
      </c>
      <c r="D137" s="97" t="s">
        <v>19</v>
      </c>
      <c r="E137" s="98" t="s">
        <v>928</v>
      </c>
      <c r="F137" s="97" t="s">
        <v>82</v>
      </c>
      <c r="G137" s="100" t="str">
        <f>IFERROR(VLOOKUP(F137,Productos!$A$2:$D$277,2,0)," ")</f>
        <v>Desk Pad B Negro Azul</v>
      </c>
      <c r="H137" s="97">
        <v>1</v>
      </c>
      <c r="I137" s="100" t="str">
        <f>IFERROR(VLOOKUP(F137,Productos!$A$2:$D$277,3,0)," ")</f>
        <v>Accesorio</v>
      </c>
      <c r="J137" s="97" t="s">
        <v>20</v>
      </c>
      <c r="K137" s="97" t="s">
        <v>749</v>
      </c>
      <c r="L137" s="14" t="str">
        <f t="shared" si="6"/>
        <v>Despachado</v>
      </c>
      <c r="M137" s="97" t="s">
        <v>742</v>
      </c>
      <c r="N137" s="153" t="s">
        <v>932</v>
      </c>
      <c r="O137" s="114">
        <v>46083</v>
      </c>
      <c r="P137" s="114">
        <v>46084</v>
      </c>
      <c r="Q137" s="101" t="str">
        <f t="shared" si="7"/>
        <v>Entregado</v>
      </c>
      <c r="R137" s="99">
        <f>IF(L137="Despachado",NETWORKDAYS.INTL(A137,O137,11,Valores!$A$2:$A$19)-1,"PTE")</f>
        <v>0</v>
      </c>
      <c r="S137" s="99">
        <f>IF(Q137="Entregado",NETWORKDAYS.INTL(A137,P137,11,Valores!$A$2:$A$19)-1,"PTE")</f>
        <v>1</v>
      </c>
      <c r="T137" s="99" t="str">
        <f>IF(Q137="Entregado",IFERROR(IF(I137=VLOOKUP(I137,Valores!$K$1:$K$4,1,0),IF(S137&lt;=VLOOKUP(I137,Valores!$K$1:$L$4,2,0),"Cumple","No cumple")),IF(S137&lt;=VLOOKUP(K137,Valores!E:F,2,0),"Cumple","No cumple")))</f>
        <v>Cumple</v>
      </c>
      <c r="U137" s="99">
        <f>IFERROR(IF(T137="no cumple",S137-VLOOKUP(I137,Valores!$K$1:$L$4,2,0),0),S137-VLOOKUP(K137,Valores!E:F,2,0))</f>
        <v>0</v>
      </c>
      <c r="V137" s="99"/>
      <c r="W137" s="120">
        <v>17787</v>
      </c>
      <c r="X137" s="120"/>
      <c r="Y137" s="120"/>
      <c r="Z137" s="152"/>
    </row>
    <row r="138" spans="1:26" x14ac:dyDescent="0.3">
      <c r="A138" s="117">
        <v>46082</v>
      </c>
      <c r="B138" s="97" t="s">
        <v>243</v>
      </c>
      <c r="C138" s="97">
        <v>100313</v>
      </c>
      <c r="D138" s="97" t="s">
        <v>19</v>
      </c>
      <c r="E138" s="98" t="s">
        <v>928</v>
      </c>
      <c r="F138" s="97" t="s">
        <v>235</v>
      </c>
      <c r="G138" s="100" t="str">
        <f>IFERROR(VLOOKUP(F138,Productos!$A$2:$D$277,2,0)," ")</f>
        <v>Bandeja de cables</v>
      </c>
      <c r="H138" s="97">
        <v>1</v>
      </c>
      <c r="I138" s="100" t="str">
        <f>IFERROR(VLOOKUP(F138,Productos!$A$2:$D$277,3,0)," ")</f>
        <v>Accesorio</v>
      </c>
      <c r="J138" s="97" t="s">
        <v>20</v>
      </c>
      <c r="K138" s="97" t="s">
        <v>749</v>
      </c>
      <c r="L138" s="14" t="str">
        <f t="shared" si="6"/>
        <v>Despachado</v>
      </c>
      <c r="M138" s="97" t="s">
        <v>742</v>
      </c>
      <c r="N138" s="98" t="s">
        <v>933</v>
      </c>
      <c r="O138" s="114">
        <v>46083</v>
      </c>
      <c r="P138" s="114">
        <v>46084</v>
      </c>
      <c r="Q138" s="101" t="str">
        <f t="shared" si="7"/>
        <v>Entregado</v>
      </c>
      <c r="R138" s="99">
        <f>IF(L138="Despachado",NETWORKDAYS.INTL(A138,O138,11,Valores!$A$2:$A$19)-1,"PTE")</f>
        <v>0</v>
      </c>
      <c r="S138" s="99">
        <f>IF(Q138="Entregado",NETWORKDAYS.INTL(A138,P138,11,Valores!$A$2:$A$19)-1,"PTE")</f>
        <v>1</v>
      </c>
      <c r="T138" s="99" t="str">
        <f>IF(Q138="Entregado",IFERROR(IF(I138=VLOOKUP(I138,Valores!$K$1:$K$4,1,0),IF(S138&lt;=VLOOKUP(I138,Valores!$K$1:$L$4,2,0),"Cumple","No cumple")),IF(S138&lt;=VLOOKUP(K138,Valores!E:F,2,0),"Cumple","No cumple")))</f>
        <v>Cumple</v>
      </c>
      <c r="U138" s="99">
        <f>IFERROR(IF(T138="no cumple",S138-VLOOKUP(I138,Valores!$K$1:$L$4,2,0),0),S138-VLOOKUP(K138,Valores!E:F,2,0))</f>
        <v>0</v>
      </c>
      <c r="V138" s="99"/>
      <c r="W138" s="120">
        <v>26681</v>
      </c>
      <c r="X138" s="120"/>
      <c r="Y138" s="120"/>
      <c r="Z138" s="152"/>
    </row>
    <row r="139" spans="1:26" x14ac:dyDescent="0.3">
      <c r="A139" s="117">
        <v>46082</v>
      </c>
      <c r="B139" s="97" t="s">
        <v>243</v>
      </c>
      <c r="C139" s="97">
        <v>100313</v>
      </c>
      <c r="D139" s="97" t="s">
        <v>19</v>
      </c>
      <c r="E139" s="98" t="s">
        <v>928</v>
      </c>
      <c r="F139" s="97"/>
      <c r="G139" s="100" t="s">
        <v>824</v>
      </c>
      <c r="H139" s="97">
        <v>1</v>
      </c>
      <c r="I139" s="100" t="s">
        <v>825</v>
      </c>
      <c r="J139" s="97" t="s">
        <v>20</v>
      </c>
      <c r="K139" s="97" t="s">
        <v>749</v>
      </c>
      <c r="L139" s="14" t="str">
        <f t="shared" si="6"/>
        <v>Despachado</v>
      </c>
      <c r="M139" s="97" t="s">
        <v>753</v>
      </c>
      <c r="N139" s="98" t="s">
        <v>753</v>
      </c>
      <c r="O139" s="114" t="s">
        <v>753</v>
      </c>
      <c r="P139" s="114" t="s">
        <v>753</v>
      </c>
      <c r="Q139" s="101" t="str">
        <f t="shared" si="7"/>
        <v>Entregado</v>
      </c>
      <c r="R139" s="99">
        <v>0</v>
      </c>
      <c r="S139" s="99">
        <v>0</v>
      </c>
      <c r="T139" s="99" t="str">
        <f>IF(Q139="Entregado",IFERROR(IF(I139=VLOOKUP(I139,Valores!$K$1:$K$4,1,0),IF(S139&lt;=VLOOKUP(I139,Valores!$K$1:$L$4,2,0),"Cumple","No cumple")),IF(S139&lt;=VLOOKUP(K139,Valores!E:F,2,0),"Cumple","No cumple")))</f>
        <v>Cumple</v>
      </c>
      <c r="U139" s="99">
        <f>IFERROR(IF(T139="no cumple",S139-VLOOKUP(I139,Valores!$K$1:$L$4,2,0),0),S139-VLOOKUP(K139,Valores!E:F,2,0))</f>
        <v>0</v>
      </c>
      <c r="V139" s="99"/>
      <c r="W139" s="120">
        <v>0</v>
      </c>
      <c r="X139" s="120"/>
      <c r="Y139" s="120"/>
      <c r="Z139" s="152"/>
    </row>
    <row r="140" spans="1:26" x14ac:dyDescent="0.3">
      <c r="A140" s="117">
        <v>46083</v>
      </c>
      <c r="B140" s="97" t="s">
        <v>243</v>
      </c>
      <c r="C140" s="97">
        <v>100314</v>
      </c>
      <c r="D140" s="97" t="s">
        <v>19</v>
      </c>
      <c r="E140" s="98" t="s">
        <v>934</v>
      </c>
      <c r="F140" s="97" t="s">
        <v>106</v>
      </c>
      <c r="G140" s="100" t="str">
        <f>IFERROR(VLOOKUP(F140,Productos!$A$2:$D$277,2,0)," ")</f>
        <v>Superficie  Caramelo 120x70 Clasico Small</v>
      </c>
      <c r="H140" s="97">
        <v>1</v>
      </c>
      <c r="I140" s="100" t="str">
        <f>IFERROR(VLOOKUP(F140,Productos!$A$2:$D$277,3,0)," ")</f>
        <v>Superficie</v>
      </c>
      <c r="J140" s="97" t="s">
        <v>23</v>
      </c>
      <c r="K140" s="97" t="s">
        <v>24</v>
      </c>
      <c r="L140" s="14" t="str">
        <f t="shared" si="6"/>
        <v>Despachado</v>
      </c>
      <c r="M140" s="97" t="s">
        <v>742</v>
      </c>
      <c r="N140" s="98" t="s">
        <v>935</v>
      </c>
      <c r="O140" s="114">
        <v>46084</v>
      </c>
      <c r="P140" s="114">
        <v>46085</v>
      </c>
      <c r="Q140" s="101" t="str">
        <f t="shared" si="7"/>
        <v>Entregado</v>
      </c>
      <c r="R140" s="99">
        <f>IF(L140="Despachado",NETWORKDAYS.INTL(A140,O140,11,Valores!$A$2:$A$19)-1,"PTE")</f>
        <v>1</v>
      </c>
      <c r="S140" s="99">
        <f>IF(Q140="Entregado",NETWORKDAYS.INTL(A140,P140,11,Valores!$A$2:$A$19)-1,"PTE")</f>
        <v>2</v>
      </c>
      <c r="T140" s="99" t="str">
        <f>IF(Q140="Entregado",IFERROR(IF(I140=VLOOKUP(I140,Valores!$K$1:$K$4,1,0),IF(S140&lt;=VLOOKUP(I140,Valores!$K$1:$L$4,2,0),"Cumple","No cumple")),IF(S140&lt;=VLOOKUP(K140,Valores!E:F,2,0),"Cumple","No cumple")))</f>
        <v>Cumple</v>
      </c>
      <c r="U140" s="99">
        <f>IFERROR(IF(T140="no cumple",S140-VLOOKUP(I140,Valores!$K$1:$L$4,2,0),0),S140-VLOOKUP(K140,Valores!E:F,2,0))</f>
        <v>0</v>
      </c>
      <c r="V140" s="99"/>
      <c r="W140" s="115">
        <v>25952</v>
      </c>
      <c r="X140" s="115"/>
      <c r="Y140" s="115"/>
      <c r="Z140" s="152"/>
    </row>
    <row r="141" spans="1:26" x14ac:dyDescent="0.3">
      <c r="A141" s="117">
        <v>46083</v>
      </c>
      <c r="B141" s="97" t="s">
        <v>243</v>
      </c>
      <c r="C141" s="97">
        <v>100314</v>
      </c>
      <c r="D141" s="97" t="s">
        <v>19</v>
      </c>
      <c r="E141" s="98" t="s">
        <v>934</v>
      </c>
      <c r="F141" s="97" t="s">
        <v>122</v>
      </c>
      <c r="G141" s="100" t="str">
        <f>IFERROR(VLOOKUP(F141,Productos!$A$2:$D$277,2,0)," ")</f>
        <v>Electric Standing Desk GO Negro</v>
      </c>
      <c r="H141" s="97">
        <v>1</v>
      </c>
      <c r="I141" s="100" t="str">
        <f>IFERROR(VLOOKUP(F141,Productos!$A$2:$D$277,3,0)," ")</f>
        <v>Standing Desk</v>
      </c>
      <c r="J141" s="97" t="s">
        <v>23</v>
      </c>
      <c r="K141" s="97" t="s">
        <v>24</v>
      </c>
      <c r="L141" s="14" t="str">
        <f t="shared" si="6"/>
        <v>Despachado</v>
      </c>
      <c r="M141" s="97" t="s">
        <v>742</v>
      </c>
      <c r="N141" s="98" t="s">
        <v>936</v>
      </c>
      <c r="O141" s="114">
        <v>46084</v>
      </c>
      <c r="P141" s="114">
        <v>46085</v>
      </c>
      <c r="Q141" s="101" t="str">
        <f t="shared" si="7"/>
        <v>Entregado</v>
      </c>
      <c r="R141" s="99">
        <f>IF(L141="Despachado",NETWORKDAYS.INTL(A141,O141,11,Valores!$A$2:$A$19)-1,"PTE")</f>
        <v>1</v>
      </c>
      <c r="S141" s="99">
        <f>IF(Q141="Entregado",NETWORKDAYS.INTL(A141,P141,11,Valores!$A$2:$A$19)-1,"PTE")</f>
        <v>2</v>
      </c>
      <c r="T141" s="99" t="str">
        <f>IF(Q141="Entregado",IFERROR(IF(I141=VLOOKUP(I141,Valores!$K$1:$K$4,1,0),IF(S141&lt;=VLOOKUP(I141,Valores!$K$1:$L$4,2,0),"Cumple","No cumple")),IF(S141&lt;=VLOOKUP(K141,Valores!E:F,2,0),"Cumple","No cumple")))</f>
        <v>Cumple</v>
      </c>
      <c r="U141" s="99">
        <f>IFERROR(IF(T141="no cumple",S141-VLOOKUP(I141,Valores!$K$1:$L$4,2,0),0),S141-VLOOKUP(K141,Valores!E:F,2,0))</f>
        <v>0</v>
      </c>
      <c r="V141" s="99"/>
      <c r="W141" s="115">
        <v>43114</v>
      </c>
      <c r="X141" s="115"/>
      <c r="Y141" s="115"/>
      <c r="Z141" s="152"/>
    </row>
    <row r="142" spans="1:26" x14ac:dyDescent="0.3">
      <c r="A142" s="117">
        <v>46083</v>
      </c>
      <c r="B142" s="97" t="s">
        <v>243</v>
      </c>
      <c r="C142" s="97">
        <v>100315</v>
      </c>
      <c r="D142" s="97" t="s">
        <v>19</v>
      </c>
      <c r="E142" s="98" t="s">
        <v>937</v>
      </c>
      <c r="F142" s="97" t="s">
        <v>443</v>
      </c>
      <c r="G142" s="100" t="str">
        <f>IFERROR(VLOOKUP(F142,Productos!$A$2:$D$277,2,0)," ")</f>
        <v>Superficie Escritorio Fresno Europeo 130x60 Clasico</v>
      </c>
      <c r="H142" s="97">
        <v>1</v>
      </c>
      <c r="I142" s="100" t="str">
        <f>IFERROR(VLOOKUP(F142,Productos!$A$2:$D$277,3,0)," ")</f>
        <v>Superficie</v>
      </c>
      <c r="J142" s="97" t="s">
        <v>23</v>
      </c>
      <c r="K142" s="97" t="s">
        <v>24</v>
      </c>
      <c r="L142" s="14" t="str">
        <f t="shared" si="6"/>
        <v>Despachado</v>
      </c>
      <c r="M142" s="97" t="s">
        <v>742</v>
      </c>
      <c r="N142" s="98" t="s">
        <v>939</v>
      </c>
      <c r="O142" s="114">
        <v>46084</v>
      </c>
      <c r="P142" s="114">
        <v>46086</v>
      </c>
      <c r="Q142" s="101" t="str">
        <f t="shared" si="7"/>
        <v>Entregado</v>
      </c>
      <c r="R142" s="99">
        <f>IF(L142="Despachado",NETWORKDAYS.INTL(A142,O142,11,Valores!$A$2:$A$19)-1,"PTE")</f>
        <v>1</v>
      </c>
      <c r="S142" s="99">
        <f>IF(Q142="Entregado",NETWORKDAYS.INTL(A142,P142,11,Valores!$A$2:$A$19)-1,"PTE")</f>
        <v>3</v>
      </c>
      <c r="T142" s="99" t="str">
        <f>IF(Q142="Entregado",IFERROR(IF(I142=VLOOKUP(I142,Valores!$K$1:$K$4,1,0),IF(S142&lt;=VLOOKUP(I142,Valores!$K$1:$L$4,2,0),"Cumple","No cumple")),IF(S142&lt;=VLOOKUP(K142,Valores!E:F,2,0),"Cumple","No cumple")))</f>
        <v>Cumple</v>
      </c>
      <c r="U142" s="99">
        <f>IFERROR(IF(T142="no cumple",S142-VLOOKUP(I142,Valores!$K$1:$L$4,2,0),0),S142-VLOOKUP(K142,Valores!E:F,2,0))</f>
        <v>0</v>
      </c>
      <c r="V142" s="99"/>
      <c r="W142" s="115">
        <v>25952</v>
      </c>
      <c r="X142" s="115"/>
      <c r="Y142" s="115"/>
      <c r="Z142" s="152"/>
    </row>
    <row r="143" spans="1:26" x14ac:dyDescent="0.3">
      <c r="A143" s="117">
        <v>46083</v>
      </c>
      <c r="B143" s="97" t="s">
        <v>243</v>
      </c>
      <c r="C143" s="97">
        <v>100315</v>
      </c>
      <c r="D143" s="97" t="s">
        <v>19</v>
      </c>
      <c r="E143" s="98" t="s">
        <v>937</v>
      </c>
      <c r="F143" s="97" t="s">
        <v>132</v>
      </c>
      <c r="G143" s="100" t="str">
        <f>IFERROR(VLOOKUP(F143,Productos!$A$2:$D$277,2,0)," ")</f>
        <v>Electric Standing Desk  PRO Blanco</v>
      </c>
      <c r="H143" s="97">
        <v>1</v>
      </c>
      <c r="I143" s="100" t="str">
        <f>IFERROR(VLOOKUP(F143,Productos!$A$2:$D$277,3,0)," ")</f>
        <v>Standing Desk</v>
      </c>
      <c r="J143" s="97" t="s">
        <v>23</v>
      </c>
      <c r="K143" s="97" t="s">
        <v>24</v>
      </c>
      <c r="L143" s="14" t="str">
        <f t="shared" si="6"/>
        <v>Despachado</v>
      </c>
      <c r="M143" s="97" t="s">
        <v>742</v>
      </c>
      <c r="N143" s="98" t="s">
        <v>940</v>
      </c>
      <c r="O143" s="114">
        <v>46084</v>
      </c>
      <c r="P143" s="114">
        <v>46086</v>
      </c>
      <c r="Q143" s="101" t="str">
        <f t="shared" si="7"/>
        <v>Entregado</v>
      </c>
      <c r="R143" s="99">
        <f>IF(L143="Despachado",NETWORKDAYS.INTL(A143,O143,11,Valores!$A$2:$A$19)-1,"PTE")</f>
        <v>1</v>
      </c>
      <c r="S143" s="99">
        <f>IF(Q143="Entregado",NETWORKDAYS.INTL(A143,P143,11,Valores!$A$2:$A$19)-1,"PTE")</f>
        <v>3</v>
      </c>
      <c r="T143" s="99" t="str">
        <f>IF(Q143="Entregado",IFERROR(IF(I143=VLOOKUP(I143,Valores!$K$1:$K$4,1,0),IF(S143&lt;=VLOOKUP(I143,Valores!$K$1:$L$4,2,0),"Cumple","No cumple")),IF(S143&lt;=VLOOKUP(K143,Valores!E:F,2,0),"Cumple","No cumple")))</f>
        <v>Cumple</v>
      </c>
      <c r="U143" s="99">
        <f>IFERROR(IF(T143="no cumple",S143-VLOOKUP(I143,Valores!$K$1:$L$4,2,0),0),S143-VLOOKUP(K143,Valores!E:F,2,0))</f>
        <v>0</v>
      </c>
      <c r="V143" s="99"/>
      <c r="W143" s="115">
        <v>43114</v>
      </c>
      <c r="X143" s="115"/>
      <c r="Y143" s="115"/>
      <c r="Z143" s="152"/>
    </row>
    <row r="144" spans="1:26" x14ac:dyDescent="0.3">
      <c r="A144" s="117">
        <v>46083</v>
      </c>
      <c r="B144" s="97" t="s">
        <v>243</v>
      </c>
      <c r="C144" s="97">
        <v>100315</v>
      </c>
      <c r="D144" s="97" t="s">
        <v>19</v>
      </c>
      <c r="E144" s="98" t="s">
        <v>938</v>
      </c>
      <c r="F144" s="97"/>
      <c r="G144" s="100" t="s">
        <v>824</v>
      </c>
      <c r="H144" s="97">
        <v>1</v>
      </c>
      <c r="I144" s="100" t="s">
        <v>825</v>
      </c>
      <c r="J144" s="97" t="s">
        <v>23</v>
      </c>
      <c r="K144" s="97" t="s">
        <v>24</v>
      </c>
      <c r="L144" s="14" t="str">
        <f t="shared" si="6"/>
        <v>Despachado</v>
      </c>
      <c r="M144" s="97" t="s">
        <v>753</v>
      </c>
      <c r="N144" s="98" t="s">
        <v>753</v>
      </c>
      <c r="O144" s="114" t="s">
        <v>753</v>
      </c>
      <c r="P144" s="114" t="s">
        <v>753</v>
      </c>
      <c r="Q144" s="101" t="str">
        <f t="shared" si="7"/>
        <v>Entregado</v>
      </c>
      <c r="R144" s="99">
        <v>0</v>
      </c>
      <c r="S144" s="99">
        <v>0</v>
      </c>
      <c r="T144" s="99" t="str">
        <f>IF(Q144="Entregado",IFERROR(IF(I144=VLOOKUP(I144,Valores!$K$1:$K$4,1,0),IF(S144&lt;=VLOOKUP(I144,Valores!$K$1:$L$4,2,0),"Cumple","No cumple")),IF(S144&lt;=VLOOKUP(K144,Valores!E:F,2,0),"Cumple","No cumple")))</f>
        <v>Cumple</v>
      </c>
      <c r="U144" s="99">
        <f>IFERROR(IF(T144="no cumple",S144-VLOOKUP(I144,Valores!$K$1:$L$4,2,0),0),S144-VLOOKUP(K144,Valores!E:F,2,0))</f>
        <v>0</v>
      </c>
      <c r="V144" s="99"/>
      <c r="W144" s="120">
        <v>0</v>
      </c>
      <c r="X144" s="120"/>
      <c r="Y144" s="120"/>
      <c r="Z144" s="152"/>
    </row>
    <row r="145" spans="1:26" x14ac:dyDescent="0.3">
      <c r="A145" s="117">
        <v>46088</v>
      </c>
      <c r="B145" s="97" t="s">
        <v>243</v>
      </c>
      <c r="C145" s="97">
        <v>100316</v>
      </c>
      <c r="D145" s="97" t="s">
        <v>19</v>
      </c>
      <c r="E145" s="98" t="s">
        <v>941</v>
      </c>
      <c r="F145" s="97" t="s">
        <v>298</v>
      </c>
      <c r="G145" s="100" t="str">
        <f>IFERROR(VLOOKUP(F145,Productos!$A$2:$D$277,2,0)," ")</f>
        <v>Superficie  Fresno Europeo 160x70 Moderno</v>
      </c>
      <c r="H145" s="97">
        <v>1</v>
      </c>
      <c r="I145" s="100" t="str">
        <f>IFERROR(VLOOKUP(F145,Productos!$A$2:$D$277,3,0)," ")</f>
        <v>Superficie</v>
      </c>
      <c r="J145" s="97" t="s">
        <v>20</v>
      </c>
      <c r="K145" s="97" t="s">
        <v>749</v>
      </c>
      <c r="L145" s="14" t="str">
        <f t="shared" si="6"/>
        <v>Despachado</v>
      </c>
      <c r="M145" s="97" t="s">
        <v>735</v>
      </c>
      <c r="N145" s="98" t="s">
        <v>988</v>
      </c>
      <c r="O145" s="114">
        <v>46092</v>
      </c>
      <c r="P145" s="114">
        <v>46093</v>
      </c>
      <c r="Q145" s="101" t="str">
        <f t="shared" si="7"/>
        <v>Entregado</v>
      </c>
      <c r="R145" s="99">
        <f>IF(L145="Despachado",NETWORKDAYS.INTL(A145,O145,11,Valores!$A$2:$A$19)-1,"PTE")</f>
        <v>3</v>
      </c>
      <c r="S145" s="99">
        <f>IF(Q145="Entregado",NETWORKDAYS.INTL(A145,P145,11,Valores!$A$2:$A$19)-1,"PTE")</f>
        <v>4</v>
      </c>
      <c r="T145" s="99" t="str">
        <f>IF(Q145="Entregado",IFERROR(IF(I145=VLOOKUP(I145,Valores!$K$1:$K$4,1,0),IF(S145&lt;=VLOOKUP(I145,Valores!$K$1:$L$4,2,0),"Cumple","No cumple")),IF(S145&lt;=VLOOKUP(K145,Valores!E:F,2,0),"Cumple","No cumple")))</f>
        <v>No cumple</v>
      </c>
      <c r="U145" s="99">
        <f>IFERROR(IF(T145="no cumple",S145-VLOOKUP(I145,Valores!$K$1:$L$4,2,0),0),S145-VLOOKUP(K145,Valores!E:F,2,0))</f>
        <v>1</v>
      </c>
      <c r="V145" s="161" t="s">
        <v>952</v>
      </c>
      <c r="W145" s="120">
        <v>33344</v>
      </c>
      <c r="X145" s="120"/>
      <c r="Y145" s="155" t="s">
        <v>964</v>
      </c>
      <c r="Z145" s="152"/>
    </row>
    <row r="146" spans="1:26" x14ac:dyDescent="0.3">
      <c r="A146" s="117">
        <v>46088</v>
      </c>
      <c r="B146" s="97" t="s">
        <v>243</v>
      </c>
      <c r="C146" s="97">
        <v>100316</v>
      </c>
      <c r="D146" s="97" t="s">
        <v>19</v>
      </c>
      <c r="E146" s="98" t="s">
        <v>941</v>
      </c>
      <c r="F146" s="97" t="s">
        <v>122</v>
      </c>
      <c r="G146" s="100" t="str">
        <f>IFERROR(VLOOKUP(F146,Productos!$A$2:$D$277,2,0)," ")</f>
        <v>Electric Standing Desk GO Negro</v>
      </c>
      <c r="H146" s="97">
        <v>1</v>
      </c>
      <c r="I146" s="100" t="str">
        <f>IFERROR(VLOOKUP(F146,Productos!$A$2:$D$277,3,0)," ")</f>
        <v>Standing Desk</v>
      </c>
      <c r="J146" s="97" t="s">
        <v>20</v>
      </c>
      <c r="K146" s="97" t="s">
        <v>749</v>
      </c>
      <c r="L146" s="14" t="str">
        <f t="shared" si="6"/>
        <v>Despachado</v>
      </c>
      <c r="M146" s="97" t="s">
        <v>742</v>
      </c>
      <c r="N146" s="98" t="s">
        <v>989</v>
      </c>
      <c r="O146" s="114">
        <v>46092</v>
      </c>
      <c r="P146" s="114">
        <v>46093</v>
      </c>
      <c r="Q146" s="101" t="str">
        <f t="shared" si="7"/>
        <v>Entregado</v>
      </c>
      <c r="R146" s="99">
        <f>IF(L146="Despachado",NETWORKDAYS.INTL(A146,O146,11,Valores!$A$2:$A$19)-1,"PTE")</f>
        <v>3</v>
      </c>
      <c r="S146" s="99">
        <f>IF(Q146="Entregado",NETWORKDAYS.INTL(A146,P146,11,Valores!$A$2:$A$19)-1,"PTE")</f>
        <v>4</v>
      </c>
      <c r="T146" s="99" t="str">
        <f>IF(Q146="Entregado",IFERROR(IF(I146=VLOOKUP(I146,Valores!$K$1:$K$4,1,0),IF(S146&lt;=VLOOKUP(I146,Valores!$K$1:$L$4,2,0),"Cumple","No cumple")),IF(S146&lt;=VLOOKUP(K146,Valores!E:F,2,0),"Cumple","No cumple")))</f>
        <v>No cumple</v>
      </c>
      <c r="U146" s="99">
        <f>IFERROR(IF(T146="no cumple",S146-VLOOKUP(I146,Valores!$K$1:$L$4,2,0),0),S146-VLOOKUP(K146,Valores!E:F,2,0))</f>
        <v>1</v>
      </c>
      <c r="V146" s="161" t="s">
        <v>952</v>
      </c>
      <c r="W146" s="120">
        <v>43114</v>
      </c>
      <c r="X146" s="120"/>
      <c r="Y146" s="155" t="s">
        <v>964</v>
      </c>
      <c r="Z146" s="152"/>
    </row>
    <row r="147" spans="1:26" s="232" customFormat="1" x14ac:dyDescent="0.3">
      <c r="A147" s="222">
        <v>46088</v>
      </c>
      <c r="B147" s="223" t="s">
        <v>243</v>
      </c>
      <c r="C147" s="223">
        <v>100317</v>
      </c>
      <c r="D147" s="223" t="s">
        <v>19</v>
      </c>
      <c r="E147" s="224" t="s">
        <v>944</v>
      </c>
      <c r="F147" s="223" t="s">
        <v>291</v>
      </c>
      <c r="G147" s="225" t="str">
        <f>IFERROR(VLOOKUP(F147,Productos!$A$2:$D$277,2,0)," ")</f>
        <v>Superficie  Fresno Europeo 140x70 Clasico</v>
      </c>
      <c r="H147" s="223">
        <v>1</v>
      </c>
      <c r="I147" s="225" t="str">
        <f>IFERROR(VLOOKUP(F147,Productos!$A$2:$D$277,3,0)," ")</f>
        <v>Superficie</v>
      </c>
      <c r="J147" s="223" t="s">
        <v>41</v>
      </c>
      <c r="K147" s="223" t="s">
        <v>839</v>
      </c>
      <c r="L147" s="226" t="str">
        <f t="shared" si="6"/>
        <v>Despachado</v>
      </c>
      <c r="M147" s="223" t="s">
        <v>742</v>
      </c>
      <c r="N147" s="224" t="s">
        <v>990</v>
      </c>
      <c r="O147" s="227">
        <v>46092</v>
      </c>
      <c r="P147" s="227">
        <v>46093</v>
      </c>
      <c r="Q147" s="228" t="str">
        <f t="shared" si="7"/>
        <v>Entregado</v>
      </c>
      <c r="R147" s="229">
        <f>IF(L147="Despachado",NETWORKDAYS.INTL(A147,O147,11,Valores!$A$2:$A$19)-1,"PTE")</f>
        <v>3</v>
      </c>
      <c r="S147" s="229">
        <f>IF(Q147="Entregado",NETWORKDAYS.INTL(A147,P147,11,Valores!$A$2:$A$19)-1,"PTE")</f>
        <v>4</v>
      </c>
      <c r="T147" s="99" t="str">
        <f>IF(Q147="Entregado",IFERROR(IF(I147=VLOOKUP(I147,Valores!$K$1:$K$4,1,0),IF(S147&lt;=VLOOKUP(I147,Valores!$K$1:$L$4,2,0),"Cumple","No cumple")),IF(S147&lt;=VLOOKUP(K147,Valores!E:F,2,0),"Cumple","No cumple")))</f>
        <v>No cumple</v>
      </c>
      <c r="U147" s="229">
        <f>IFERROR(IF(T147="no cumple",S147-VLOOKUP(I147,Valores!$K$1:$L$4,2,0),0),S147-VLOOKUP(K147,Valores!E:F,2,0))</f>
        <v>1</v>
      </c>
      <c r="V147" s="230" t="s">
        <v>952</v>
      </c>
      <c r="W147" s="120">
        <v>25952</v>
      </c>
      <c r="X147" s="120"/>
      <c r="Y147" s="120"/>
      <c r="Z147" s="231"/>
    </row>
    <row r="148" spans="1:26" s="232" customFormat="1" x14ac:dyDescent="0.3">
      <c r="A148" s="222">
        <v>46088</v>
      </c>
      <c r="B148" s="223" t="s">
        <v>243</v>
      </c>
      <c r="C148" s="223">
        <v>100317</v>
      </c>
      <c r="D148" s="223" t="s">
        <v>19</v>
      </c>
      <c r="E148" s="224" t="s">
        <v>944</v>
      </c>
      <c r="F148" s="223" t="s">
        <v>128</v>
      </c>
      <c r="G148" s="225" t="str">
        <f>IFERROR(VLOOKUP(F148,Productos!$A$2:$D$277,2,0)," ")</f>
        <v>Electric Standing Desk  PRO Negro</v>
      </c>
      <c r="H148" s="223">
        <v>1</v>
      </c>
      <c r="I148" s="225" t="str">
        <f>IFERROR(VLOOKUP(F148,Productos!$A$2:$D$277,3,0)," ")</f>
        <v>Standing Desk</v>
      </c>
      <c r="J148" s="223" t="s">
        <v>41</v>
      </c>
      <c r="K148" s="223" t="s">
        <v>839</v>
      </c>
      <c r="L148" s="226" t="str">
        <f t="shared" si="6"/>
        <v>Despachado</v>
      </c>
      <c r="M148" s="223" t="s">
        <v>742</v>
      </c>
      <c r="N148" s="224" t="s">
        <v>991</v>
      </c>
      <c r="O148" s="227">
        <v>46092</v>
      </c>
      <c r="P148" s="227">
        <v>46093</v>
      </c>
      <c r="Q148" s="228" t="str">
        <f t="shared" si="7"/>
        <v>Entregado</v>
      </c>
      <c r="R148" s="229">
        <f>IF(L148="Despachado",NETWORKDAYS.INTL(A148,O148,11,Valores!$A$2:$A$19)-1,"PTE")</f>
        <v>3</v>
      </c>
      <c r="S148" s="229">
        <f>IF(Q148="Entregado",NETWORKDAYS.INTL(A148,P148,11,Valores!$A$2:$A$19)-1,"PTE")</f>
        <v>4</v>
      </c>
      <c r="T148" s="99" t="str">
        <f>IF(Q148="Entregado",IFERROR(IF(I148=VLOOKUP(I148,Valores!$K$1:$K$4,1,0),IF(S148&lt;=VLOOKUP(I148,Valores!$K$1:$L$4,2,0),"Cumple","No cumple")),IF(S148&lt;=VLOOKUP(K148,Valores!E:F,2,0),"Cumple","No cumple")))</f>
        <v>No cumple</v>
      </c>
      <c r="U148" s="229">
        <f>IFERROR(IF(T148="no cumple",S148-VLOOKUP(I148,Valores!$K$1:$L$4,2,0),0),S148-VLOOKUP(K148,Valores!E:F,2,0))</f>
        <v>1</v>
      </c>
      <c r="V148" s="230" t="s">
        <v>952</v>
      </c>
      <c r="W148" s="120">
        <v>43114</v>
      </c>
      <c r="X148" s="120"/>
      <c r="Y148" s="120"/>
      <c r="Z148" s="231"/>
    </row>
    <row r="149" spans="1:26" s="248" customFormat="1" x14ac:dyDescent="0.3">
      <c r="A149" s="237">
        <v>46090</v>
      </c>
      <c r="B149" s="238" t="s">
        <v>243</v>
      </c>
      <c r="C149" s="238">
        <v>100318</v>
      </c>
      <c r="D149" s="238" t="s">
        <v>19</v>
      </c>
      <c r="E149" s="239" t="s">
        <v>945</v>
      </c>
      <c r="F149" s="238" t="s">
        <v>441</v>
      </c>
      <c r="G149" s="240" t="str">
        <f>IFERROR(VLOOKUP(F149,Productos!$A$2:$D$277,2,0)," ")</f>
        <v>Superficie Escritorio Fresno Europeo 120x60 Clasico Small</v>
      </c>
      <c r="H149" s="238">
        <v>1</v>
      </c>
      <c r="I149" s="240" t="str">
        <f>IFERROR(VLOOKUP(F149,Productos!$A$2:$D$277,3,0)," ")</f>
        <v>Superficie</v>
      </c>
      <c r="J149" s="238" t="s">
        <v>36</v>
      </c>
      <c r="K149" s="238" t="s">
        <v>946</v>
      </c>
      <c r="L149" s="241" t="str">
        <f>IF(O149&gt;0,"Despachado","En alistamiento")</f>
        <v>Despachado</v>
      </c>
      <c r="M149" s="238" t="s">
        <v>742</v>
      </c>
      <c r="N149" s="239" t="s">
        <v>992</v>
      </c>
      <c r="O149" s="242">
        <v>46092</v>
      </c>
      <c r="P149" s="242">
        <v>46093</v>
      </c>
      <c r="Q149" s="243" t="str">
        <f t="shared" si="7"/>
        <v>Entregado</v>
      </c>
      <c r="R149" s="244">
        <f>IF(L149="Despachado",NETWORKDAYS.INTL(A149,O149,11,Valores!$A$2:$A$19)-1,"PTE")</f>
        <v>2</v>
      </c>
      <c r="S149" s="244">
        <f>IF(Q149="Entregado",NETWORKDAYS.INTL(A149,P149,11,Valores!$A$2:$A$19)-1,"PTE")</f>
        <v>3</v>
      </c>
      <c r="T149" s="99" t="e">
        <f>IF(Q149="Entregado",IFERROR(IF(I149=VLOOKUP(I149,Valores!$K$1:$K$4,1,0),IF(S149&lt;=VLOOKUP(I149,Valores!$K$1:$L$4,2,0),"Cumple","No cumple")),IF(S149&lt;=VLOOKUP(K149,Valores!E:F,2,0),"Cumple","No cumple")))</f>
        <v>#N/A</v>
      </c>
      <c r="U149" s="244" t="e">
        <f>IFERROR(IF(T149="no cumple",S149-VLOOKUP(I149,Valores!$K$1:$L$4,2,0),0),S149-VLOOKUP(K149,Valores!E:F,2,0))</f>
        <v>#N/A</v>
      </c>
      <c r="V149" s="245" t="s">
        <v>952</v>
      </c>
      <c r="W149" s="246">
        <v>16323</v>
      </c>
      <c r="X149" s="246"/>
      <c r="Y149" s="246"/>
      <c r="Z149" s="247"/>
    </row>
    <row r="150" spans="1:26" s="248" customFormat="1" x14ac:dyDescent="0.3">
      <c r="A150" s="237">
        <v>46090</v>
      </c>
      <c r="B150" s="238" t="s">
        <v>243</v>
      </c>
      <c r="C150" s="238">
        <v>100318</v>
      </c>
      <c r="D150" s="238" t="s">
        <v>19</v>
      </c>
      <c r="E150" s="239" t="s">
        <v>945</v>
      </c>
      <c r="F150" s="238" t="s">
        <v>122</v>
      </c>
      <c r="G150" s="240" t="str">
        <f>IFERROR(VLOOKUP(F150,Productos!$A$2:$D$277,2,0)," ")</f>
        <v>Electric Standing Desk GO Negro</v>
      </c>
      <c r="H150" s="238">
        <v>1</v>
      </c>
      <c r="I150" s="240" t="str">
        <f>IFERROR(VLOOKUP(F150,Productos!$A$2:$D$277,3,0)," ")</f>
        <v>Standing Desk</v>
      </c>
      <c r="J150" s="238" t="s">
        <v>36</v>
      </c>
      <c r="K150" s="238" t="s">
        <v>946</v>
      </c>
      <c r="L150" s="241" t="str">
        <f>IF(O150&gt;0,"Despachado","En alistamiento")</f>
        <v>Despachado</v>
      </c>
      <c r="M150" s="238" t="s">
        <v>742</v>
      </c>
      <c r="N150" s="239" t="s">
        <v>993</v>
      </c>
      <c r="O150" s="242">
        <v>46092</v>
      </c>
      <c r="P150" s="242">
        <v>46093</v>
      </c>
      <c r="Q150" s="243" t="str">
        <f t="shared" si="7"/>
        <v>Entregado</v>
      </c>
      <c r="R150" s="244">
        <f>IF(L150="Despachado",NETWORKDAYS.INTL(A150,O150,11,Valores!$A$2:$A$19)-1,"PTE")</f>
        <v>2</v>
      </c>
      <c r="S150" s="244">
        <f>IF(Q150="Entregado",NETWORKDAYS.INTL(A150,P150,11,Valores!$A$2:$A$19)-1,"PTE")</f>
        <v>3</v>
      </c>
      <c r="T150" s="99" t="e">
        <f>IF(Q150="Entregado",IFERROR(IF(I150=VLOOKUP(I150,Valores!$K$1:$K$4,1,0),IF(S150&lt;=VLOOKUP(I150,Valores!$K$1:$L$4,2,0),"Cumple","No cumple")),IF(S150&lt;=VLOOKUP(K150,Valores!E:F,2,0),"Cumple","No cumple")))</f>
        <v>#N/A</v>
      </c>
      <c r="U150" s="244" t="e">
        <f>IFERROR(IF(T150="no cumple",S150-VLOOKUP(I150,Valores!$K$1:$L$4,2,0),0),S150-VLOOKUP(K150,Valores!E:F,2,0))</f>
        <v>#N/A</v>
      </c>
      <c r="V150" s="245" t="s">
        <v>952</v>
      </c>
      <c r="W150" s="246">
        <v>35044</v>
      </c>
      <c r="X150" s="246"/>
      <c r="Y150" s="246"/>
      <c r="Z150" s="247"/>
    </row>
    <row r="151" spans="1:26" s="136" customFormat="1" x14ac:dyDescent="0.3">
      <c r="A151" s="234">
        <v>46090</v>
      </c>
      <c r="B151" s="128" t="s">
        <v>243</v>
      </c>
      <c r="C151" s="128">
        <v>100319</v>
      </c>
      <c r="D151" s="128" t="s">
        <v>19</v>
      </c>
      <c r="E151" s="130" t="s">
        <v>947</v>
      </c>
      <c r="F151" s="128" t="s">
        <v>61</v>
      </c>
      <c r="G151" s="132" t="str">
        <f>IFERROR(VLOOKUP(F151,Productos!$A$2:$D$277,2,0)," ")</f>
        <v>Archivador TECU  Blanco (Niebla)</v>
      </c>
      <c r="H151" s="128">
        <v>1</v>
      </c>
      <c r="I151" s="132" t="str">
        <f>IFERROR(VLOOKUP(F151,Productos!$A$2:$D$277,3,0)," ")</f>
        <v>Archivador</v>
      </c>
      <c r="J151" s="128" t="s">
        <v>23</v>
      </c>
      <c r="K151" s="128" t="s">
        <v>745</v>
      </c>
      <c r="L151" s="129" t="str">
        <f t="shared" si="6"/>
        <v>Despachado</v>
      </c>
      <c r="M151" s="128" t="s">
        <v>735</v>
      </c>
      <c r="N151" s="130" t="s">
        <v>994</v>
      </c>
      <c r="O151" s="235">
        <v>46106</v>
      </c>
      <c r="P151" s="235">
        <v>46108</v>
      </c>
      <c r="Q151" s="134" t="str">
        <f t="shared" si="7"/>
        <v>Entregado</v>
      </c>
      <c r="R151" s="127">
        <f>IF(L151="Despachado",NETWORKDAYS.INTL(A151,O151,11,Valores!$A$2:$A$19)-1,"PTE")</f>
        <v>13</v>
      </c>
      <c r="S151" s="127">
        <f>IF(Q151="Entregado",NETWORKDAYS.INTL(A151,P151,11,Valores!$A$2:$A$19)-1,"PTE")</f>
        <v>15</v>
      </c>
      <c r="T151" s="127" t="str">
        <f>IF(Q151="Entregado",IFERROR(IF(I151=VLOOKUP(I151,Valores!$K$1:$K$4,1,0),IF(S151&lt;=VLOOKUP(I151,Valores!$K$1:$L$4,2,0),"Cumple","No cumple")),IF(S151&lt;=VLOOKUP(K151,Valores!E:F,2,0),"Cumple","No cumple")))</f>
        <v>No cumple</v>
      </c>
      <c r="U151" s="127">
        <f>IFERROR(IF(T151="no cumple",S151-VLOOKUP(I151,Valores!$K$1:$L$4,2,0),0),S151-VLOOKUP(K151,Valores!E:F,2,0))</f>
        <v>10</v>
      </c>
      <c r="V151" s="162" t="s">
        <v>952</v>
      </c>
      <c r="W151" s="119">
        <v>64497</v>
      </c>
      <c r="X151" s="119"/>
      <c r="Y151" s="119"/>
      <c r="Z151" s="236"/>
    </row>
    <row r="152" spans="1:26" x14ac:dyDescent="0.3">
      <c r="A152" s="234">
        <v>46090</v>
      </c>
      <c r="B152" s="139" t="s">
        <v>243</v>
      </c>
      <c r="C152" s="128">
        <v>100319</v>
      </c>
      <c r="D152" s="128" t="s">
        <v>19</v>
      </c>
      <c r="E152" s="130" t="s">
        <v>947</v>
      </c>
      <c r="F152" s="139"/>
      <c r="G152" s="141" t="s">
        <v>995</v>
      </c>
      <c r="H152" s="139">
        <v>1</v>
      </c>
      <c r="I152" s="141" t="str">
        <f>IFERROR(VLOOKUP(F152,Productos!$A$2:$D$277,3,0)," ")</f>
        <v xml:space="preserve"> </v>
      </c>
      <c r="J152" s="139"/>
      <c r="K152" s="139"/>
      <c r="L152" s="142" t="str">
        <f t="shared" si="6"/>
        <v>En alistamiento</v>
      </c>
      <c r="M152" s="139"/>
      <c r="N152" s="140"/>
      <c r="O152" s="143"/>
      <c r="P152" s="143"/>
      <c r="Q152" s="144" t="str">
        <f t="shared" si="7"/>
        <v>En transito</v>
      </c>
      <c r="R152" s="145" t="str">
        <f>IF(L152="Despachado",NETWORKDAYS.INTL(A152,O152,11,Valores!$A$2:$A$19)-1,"PTE")</f>
        <v>PTE</v>
      </c>
      <c r="S152" s="145" t="str">
        <f>IF(Q152="Entregado",NETWORKDAYS.INTL(A152,P152,11,Valores!$A$2:$A$19)-1,"PTE")</f>
        <v>PTE</v>
      </c>
      <c r="T152" s="229" t="b">
        <f>IF(Q152="Entregado",IFERROR(IF(I152=VLOOKUP(I152,Valores!$K$1:$K$4,1,0),IF(S152&lt;=VLOOKUP(I152,Valores!$K$1:$L$4,2,0),"Cumple","No cumple")),IF(S152&lt;=VLOOKUP(K152,Valores!E:F,2,0),"Cumple","No cumple")))</f>
        <v>0</v>
      </c>
      <c r="U152" s="145">
        <f>IFERROR(IF(T152="no cumple",S152-VLOOKUP(I152,Valores!$K$1:$L$4,2,0),0),S152-VLOOKUP(K152,Valores!E:F,2,0))</f>
        <v>0</v>
      </c>
      <c r="V152" s="145"/>
      <c r="W152" s="146"/>
      <c r="X152" s="146"/>
      <c r="Y152" s="138"/>
      <c r="Z152" s="147"/>
    </row>
    <row r="153" spans="1:26" s="233" customFormat="1" x14ac:dyDescent="0.3">
      <c r="A153" s="222">
        <v>46091</v>
      </c>
      <c r="B153" s="223" t="s">
        <v>243</v>
      </c>
      <c r="C153" s="223">
        <v>100320</v>
      </c>
      <c r="D153" s="223" t="s">
        <v>19</v>
      </c>
      <c r="E153" s="224" t="s">
        <v>996</v>
      </c>
      <c r="F153" s="223" t="s">
        <v>441</v>
      </c>
      <c r="G153" s="225" t="str">
        <f>IFERROR(VLOOKUP(F153,Productos!$A$2:$D$277,2,0)," ")</f>
        <v>Superficie Escritorio Fresno Europeo 120x60 Clasico Small</v>
      </c>
      <c r="H153" s="223">
        <v>1</v>
      </c>
      <c r="I153" s="225" t="str">
        <f>IFERROR(VLOOKUP(F153,Productos!$A$2:$D$277,3,0)," ")</f>
        <v>Superficie</v>
      </c>
      <c r="J153" s="223" t="s">
        <v>23</v>
      </c>
      <c r="K153" s="223" t="s">
        <v>745</v>
      </c>
      <c r="L153" s="226" t="str">
        <f t="shared" si="6"/>
        <v>Despachado</v>
      </c>
      <c r="M153" s="223" t="s">
        <v>742</v>
      </c>
      <c r="N153" s="224" t="s">
        <v>997</v>
      </c>
      <c r="O153" s="227">
        <v>46092</v>
      </c>
      <c r="P153" s="227">
        <v>46093</v>
      </c>
      <c r="Q153" s="228" t="str">
        <f t="shared" si="7"/>
        <v>Entregado</v>
      </c>
      <c r="R153" s="229">
        <f>IF(L153="Despachado",NETWORKDAYS.INTL(A153,O153,11,Valores!$A$2:$A$19)-1,"PTE")</f>
        <v>1</v>
      </c>
      <c r="S153" s="229">
        <f>IF(Q153="Entregado",NETWORKDAYS.INTL(A153,P153,11,Valores!$A$2:$A$19)-1,"PTE")</f>
        <v>2</v>
      </c>
      <c r="T153" s="229" t="str">
        <f>IF(Q153="Entregado",IFERROR(IF(I153=VLOOKUP(I153,Valores!$K$1:$K$4,1,0),IF(S153&lt;=VLOOKUP(I153,Valores!$K$1:$L$4,2,0),"Cumple","No cumple")),IF(S153&lt;=VLOOKUP(K153,Valores!E:F,2,0),"Cumple","No cumple")))</f>
        <v>Cumple</v>
      </c>
      <c r="U153" s="229">
        <f>IFERROR(IF(T153="no cumple",S153-VLOOKUP(I153,Valores!$K$1:$L$4,2,0),0),S153-VLOOKUP(K153,Valores!E:F,2,0))</f>
        <v>0</v>
      </c>
      <c r="V153" s="229"/>
      <c r="W153" s="120">
        <v>25952</v>
      </c>
      <c r="X153" s="120"/>
      <c r="Y153" s="249"/>
    </row>
    <row r="154" spans="1:26" s="233" customFormat="1" x14ac:dyDescent="0.3">
      <c r="A154" s="222">
        <v>46091</v>
      </c>
      <c r="B154" s="223" t="s">
        <v>243</v>
      </c>
      <c r="C154" s="223">
        <v>100320</v>
      </c>
      <c r="D154" s="223" t="s">
        <v>19</v>
      </c>
      <c r="E154" s="224" t="s">
        <v>996</v>
      </c>
      <c r="F154" s="223" t="s">
        <v>132</v>
      </c>
      <c r="G154" s="225" t="str">
        <f>IFERROR(VLOOKUP(F154,Productos!$A$2:$D$277,2,0)," ")</f>
        <v>Electric Standing Desk  PRO Blanco</v>
      </c>
      <c r="H154" s="223">
        <v>1</v>
      </c>
      <c r="I154" s="225" t="str">
        <f>IFERROR(VLOOKUP(F154,Productos!$A$2:$D$277,3,0)," ")</f>
        <v>Standing Desk</v>
      </c>
      <c r="J154" s="223" t="s">
        <v>23</v>
      </c>
      <c r="K154" s="223" t="s">
        <v>745</v>
      </c>
      <c r="L154" s="226" t="str">
        <f t="shared" si="6"/>
        <v>Despachado</v>
      </c>
      <c r="M154" s="223" t="s">
        <v>742</v>
      </c>
      <c r="N154" s="224" t="s">
        <v>998</v>
      </c>
      <c r="O154" s="227">
        <v>46092</v>
      </c>
      <c r="P154" s="227">
        <v>46093</v>
      </c>
      <c r="Q154" s="228" t="str">
        <f t="shared" si="7"/>
        <v>Entregado</v>
      </c>
      <c r="R154" s="229">
        <f>IF(L154="Despachado",NETWORKDAYS.INTL(A154,O154,11,Valores!$A$2:$A$19)-1,"PTE")</f>
        <v>1</v>
      </c>
      <c r="S154" s="229">
        <f>IF(Q154="Entregado",NETWORKDAYS.INTL(A154,P154,11,Valores!$A$2:$A$19)-1,"PTE")</f>
        <v>2</v>
      </c>
      <c r="T154" s="229" t="str">
        <f>IF(Q154="Entregado",IFERROR(IF(I154=VLOOKUP(I154,Valores!$K$1:$K$4,1,0),IF(S154&lt;=VLOOKUP(I154,Valores!$K$1:$L$4,2,0),"Cumple","No cumple")),IF(S154&lt;=VLOOKUP(K154,Valores!E:F,2,0),"Cumple","No cumple")))</f>
        <v>Cumple</v>
      </c>
      <c r="U154" s="229">
        <f>IFERROR(IF(T154="no cumple",S154-VLOOKUP(I154,Valores!$K$1:$L$4,2,0),0),S154-VLOOKUP(K154,Valores!E:F,2,0))</f>
        <v>0</v>
      </c>
      <c r="V154" s="229"/>
      <c r="W154" s="120">
        <v>43114</v>
      </c>
      <c r="X154" s="120"/>
      <c r="Y154" s="249"/>
    </row>
    <row r="155" spans="1:26" x14ac:dyDescent="0.3">
      <c r="A155" s="222">
        <v>46092</v>
      </c>
      <c r="B155" s="97" t="s">
        <v>243</v>
      </c>
      <c r="C155" s="97">
        <v>100321</v>
      </c>
      <c r="D155" s="223" t="s">
        <v>19</v>
      </c>
      <c r="E155" s="98" t="s">
        <v>999</v>
      </c>
      <c r="F155" s="223" t="s">
        <v>132</v>
      </c>
      <c r="G155" s="100" t="str">
        <f>IFERROR(VLOOKUP(F155,Productos!$A$2:$D$277,2,0)," ")</f>
        <v>Electric Standing Desk  PRO Blanco</v>
      </c>
      <c r="H155" s="97">
        <v>1</v>
      </c>
      <c r="I155" s="100" t="str">
        <f>IFERROR(VLOOKUP(F155,Productos!$A$2:$D$277,3,0)," ")</f>
        <v>Standing Desk</v>
      </c>
      <c r="J155" s="97" t="s">
        <v>20</v>
      </c>
      <c r="K155" s="97" t="s">
        <v>749</v>
      </c>
      <c r="L155" s="14" t="str">
        <f t="shared" si="6"/>
        <v>Despachado</v>
      </c>
      <c r="M155" s="223" t="s">
        <v>742</v>
      </c>
      <c r="N155" s="98" t="s">
        <v>1000</v>
      </c>
      <c r="O155" s="114">
        <v>46092</v>
      </c>
      <c r="P155" s="114">
        <v>46093</v>
      </c>
      <c r="Q155" s="101" t="str">
        <f t="shared" si="7"/>
        <v>Entregado</v>
      </c>
      <c r="R155" s="99">
        <f>IF(L155="Despachado",NETWORKDAYS.INTL(A155,O155,11,Valores!$A$2:$A$19)-1,"PTE")</f>
        <v>0</v>
      </c>
      <c r="S155" s="99">
        <f>IF(Q155="Entregado",NETWORKDAYS.INTL(A155,P155,11,Valores!$A$2:$A$19)-1,"PTE")</f>
        <v>1</v>
      </c>
      <c r="T155" s="229" t="str">
        <f>IF(Q155="Entregado",IFERROR(IF(I155=VLOOKUP(I155,Valores!$K$1:$K$4,1,0),IF(S155&lt;=VLOOKUP(I155,Valores!$K$1:$L$4,2,0),"Cumple","No cumple")),IF(S155&lt;=VLOOKUP(K155,Valores!E:F,2,0),"Cumple","No cumple")))</f>
        <v>Cumple</v>
      </c>
      <c r="U155" s="99">
        <f>IFERROR(IF(T155="no cumple",S155-VLOOKUP(I155,Valores!$K$1:$L$4,2,0),0),S155-VLOOKUP(K155,Valores!E:F,2,0))</f>
        <v>0</v>
      </c>
      <c r="V155" s="99"/>
      <c r="W155" s="115">
        <v>44550</v>
      </c>
      <c r="X155" s="115"/>
      <c r="Y155" s="138"/>
    </row>
    <row r="156" spans="1:26" x14ac:dyDescent="0.3">
      <c r="A156" s="222">
        <v>46092</v>
      </c>
      <c r="B156" s="97" t="s">
        <v>243</v>
      </c>
      <c r="C156" s="97">
        <v>100322</v>
      </c>
      <c r="D156" s="223" t="s">
        <v>19</v>
      </c>
      <c r="E156" s="98" t="s">
        <v>1001</v>
      </c>
      <c r="F156" s="97" t="s">
        <v>128</v>
      </c>
      <c r="G156" s="100" t="str">
        <f>IFERROR(VLOOKUP(F156,Productos!$A$2:$D$277,2,0)," ")</f>
        <v>Electric Standing Desk  PRO Negro</v>
      </c>
      <c r="H156" s="97">
        <v>1</v>
      </c>
      <c r="I156" s="100" t="str">
        <f>IFERROR(VLOOKUP(F156,Productos!$A$2:$D$277,3,0)," ")</f>
        <v>Standing Desk</v>
      </c>
      <c r="J156" s="97" t="s">
        <v>20</v>
      </c>
      <c r="K156" s="97" t="s">
        <v>749</v>
      </c>
      <c r="L156" s="14" t="str">
        <f t="shared" si="6"/>
        <v>Despachado</v>
      </c>
      <c r="M156" s="223" t="s">
        <v>742</v>
      </c>
      <c r="N156" s="98" t="s">
        <v>1004</v>
      </c>
      <c r="O156" s="114">
        <v>46093</v>
      </c>
      <c r="P156" s="114">
        <v>46095</v>
      </c>
      <c r="Q156" s="101" t="str">
        <f t="shared" si="7"/>
        <v>Entregado</v>
      </c>
      <c r="R156" s="99">
        <f>IF(L156="Despachado",NETWORKDAYS.INTL(A156,O156,11,Valores!$A$2:$A$19)-1,"PTE")</f>
        <v>1</v>
      </c>
      <c r="S156" s="99">
        <f>IF(Q156="Entregado",NETWORKDAYS.INTL(A156,P156,11,Valores!$A$2:$A$19)-1,"PTE")</f>
        <v>3</v>
      </c>
      <c r="T156" s="229" t="str">
        <f>IF(Q156="Entregado",IFERROR(IF(I156=VLOOKUP(I156,Valores!$K$1:$K$4,1,0),IF(S156&lt;=VLOOKUP(I156,Valores!$K$1:$L$4,2,0),"Cumple","No cumple")),IF(S156&lt;=VLOOKUP(K156,Valores!E:F,2,0),"Cumple","No cumple")))</f>
        <v>Cumple</v>
      </c>
      <c r="U156" s="99">
        <f>IFERROR(IF(T156="no cumple",S156-VLOOKUP(I156,Valores!$K$1:$L$4,2,0),0),S156-VLOOKUP(K156,Valores!E:F,2,0))</f>
        <v>0</v>
      </c>
      <c r="V156" s="99"/>
      <c r="W156" s="115">
        <v>44550</v>
      </c>
      <c r="X156" s="115"/>
      <c r="Y156" s="138"/>
    </row>
    <row r="157" spans="1:26" x14ac:dyDescent="0.3">
      <c r="A157" s="222">
        <v>46092</v>
      </c>
      <c r="B157" s="97" t="s">
        <v>243</v>
      </c>
      <c r="C157" s="97">
        <v>100322</v>
      </c>
      <c r="D157" s="223" t="s">
        <v>19</v>
      </c>
      <c r="E157" s="98" t="s">
        <v>1001</v>
      </c>
      <c r="F157" s="97" t="s">
        <v>1002</v>
      </c>
      <c r="G157" s="100" t="str">
        <f>IFERROR(VLOOKUP(F157,Productos!$A$2:$D$277,2,0)," ")</f>
        <v>Superficie Escritorio Fresno Europeo 170x80 Moderno</v>
      </c>
      <c r="H157" s="97">
        <v>1</v>
      </c>
      <c r="I157" s="100" t="str">
        <f>IFERROR(VLOOKUP(F157,Productos!$A$2:$D$277,3,0)," ")</f>
        <v>Superficie</v>
      </c>
      <c r="J157" s="97" t="s">
        <v>20</v>
      </c>
      <c r="K157" s="97" t="s">
        <v>749</v>
      </c>
      <c r="L157" s="14" t="str">
        <f t="shared" si="6"/>
        <v>Despachado</v>
      </c>
      <c r="M157" s="97" t="s">
        <v>735</v>
      </c>
      <c r="N157" s="98" t="s">
        <v>1005</v>
      </c>
      <c r="O157" s="114">
        <v>46093</v>
      </c>
      <c r="P157" s="114">
        <v>46094</v>
      </c>
      <c r="Q157" s="101" t="str">
        <f t="shared" si="7"/>
        <v>Entregado</v>
      </c>
      <c r="R157" s="99">
        <f>IF(L157="Despachado",NETWORKDAYS.INTL(A157,O157,11,Valores!$A$2:$A$19)-1,"PTE")</f>
        <v>1</v>
      </c>
      <c r="S157" s="99">
        <f>IF(Q157="Entregado",NETWORKDAYS.INTL(A157,P157,11,Valores!$A$2:$A$19)-1,"PTE")</f>
        <v>2</v>
      </c>
      <c r="T157" s="229" t="str">
        <f>IF(Q157="Entregado",IFERROR(IF(I157=VLOOKUP(I157,Valores!$K$1:$K$4,1,0),IF(S157&lt;=VLOOKUP(I157,Valores!$K$1:$L$4,2,0),"Cumple","No cumple")),IF(S157&lt;=VLOOKUP(K157,Valores!E:F,2,0),"Cumple","No cumple")))</f>
        <v>Cumple</v>
      </c>
      <c r="U157" s="99">
        <f>IFERROR(IF(T157="no cumple",S157-VLOOKUP(I157,Valores!$K$1:$L$4,2,0),0),S157-VLOOKUP(K157,Valores!E:F,2,0))</f>
        <v>0</v>
      </c>
      <c r="V157" s="99"/>
      <c r="W157" s="115">
        <v>34896</v>
      </c>
      <c r="X157" s="115"/>
      <c r="Y157" s="138"/>
    </row>
    <row r="158" spans="1:26" x14ac:dyDescent="0.3">
      <c r="A158" s="222">
        <v>46092</v>
      </c>
      <c r="B158" s="97" t="s">
        <v>243</v>
      </c>
      <c r="C158" s="97">
        <v>100322</v>
      </c>
      <c r="D158" s="223" t="s">
        <v>19</v>
      </c>
      <c r="E158" s="98" t="s">
        <v>1001</v>
      </c>
      <c r="F158" s="97" t="s">
        <v>235</v>
      </c>
      <c r="G158" s="100" t="str">
        <f>IFERROR(VLOOKUP(F158,Productos!$A$2:$D$277,2,0)," ")</f>
        <v>Bandeja de cables</v>
      </c>
      <c r="H158" s="97">
        <v>1</v>
      </c>
      <c r="I158" s="100" t="str">
        <f>IFERROR(VLOOKUP(F158,Productos!$A$2:$D$277,3,0)," ")</f>
        <v>Accesorio</v>
      </c>
      <c r="J158" s="97" t="s">
        <v>20</v>
      </c>
      <c r="K158" s="97" t="s">
        <v>749</v>
      </c>
      <c r="L158" s="14" t="str">
        <f t="shared" si="6"/>
        <v>Despachado</v>
      </c>
      <c r="M158" s="97" t="s">
        <v>742</v>
      </c>
      <c r="N158" s="98" t="s">
        <v>1006</v>
      </c>
      <c r="O158" s="114">
        <v>46093</v>
      </c>
      <c r="P158" s="114">
        <v>46094</v>
      </c>
      <c r="Q158" s="101" t="str">
        <f t="shared" si="7"/>
        <v>Entregado</v>
      </c>
      <c r="R158" s="99">
        <f>IF(L158="Despachado",NETWORKDAYS.INTL(A158,O158,11,Valores!$A$2:$A$19)-1,"PTE")</f>
        <v>1</v>
      </c>
      <c r="S158" s="99">
        <f>IF(Q158="Entregado",NETWORKDAYS.INTL(A158,P158,11,Valores!$A$2:$A$19)-1,"PTE")</f>
        <v>2</v>
      </c>
      <c r="T158" s="229" t="str">
        <f>IF(Q158="Entregado",IFERROR(IF(I158=VLOOKUP(I158,Valores!$K$1:$K$4,1,0),IF(S158&lt;=VLOOKUP(I158,Valores!$K$1:$L$4,2,0),"Cumple","No cumple")),IF(S158&lt;=VLOOKUP(K158,Valores!E:F,2,0),"Cumple","No cumple")))</f>
        <v>Cumple</v>
      </c>
      <c r="U158" s="99">
        <f>IFERROR(IF(T158="no cumple",S158-VLOOKUP(I158,Valores!$K$1:$L$4,2,0),0),S158-VLOOKUP(K158,Valores!E:F,2,0))</f>
        <v>0</v>
      </c>
      <c r="V158" s="99"/>
      <c r="W158" s="115">
        <v>26681</v>
      </c>
      <c r="X158" s="115"/>
      <c r="Y158" s="138"/>
    </row>
    <row r="159" spans="1:26" x14ac:dyDescent="0.3">
      <c r="A159" s="222">
        <v>46093</v>
      </c>
      <c r="B159" s="97" t="s">
        <v>243</v>
      </c>
      <c r="C159" s="97">
        <v>100323</v>
      </c>
      <c r="D159" s="223" t="s">
        <v>19</v>
      </c>
      <c r="E159" s="98" t="s">
        <v>1007</v>
      </c>
      <c r="F159" s="97" t="s">
        <v>503</v>
      </c>
      <c r="G159" s="100" t="str">
        <f>IFERROR(VLOOKUP(F159,Productos!$A$2:$D$277,2,0)," ")</f>
        <v>Superficie Escritorio Roble Negro 200x80 Clasico</v>
      </c>
      <c r="H159" s="97">
        <v>1</v>
      </c>
      <c r="I159" s="100" t="str">
        <f>IFERROR(VLOOKUP(F159,Productos!$A$2:$D$277,3,0)," ")</f>
        <v>Superficie</v>
      </c>
      <c r="J159" s="97" t="s">
        <v>20</v>
      </c>
      <c r="K159" s="97" t="s">
        <v>749</v>
      </c>
      <c r="L159" s="14" t="str">
        <f t="shared" si="6"/>
        <v>Despachado</v>
      </c>
      <c r="M159" s="97" t="s">
        <v>735</v>
      </c>
      <c r="N159" s="98" t="s">
        <v>1008</v>
      </c>
      <c r="O159" s="114">
        <v>46093</v>
      </c>
      <c r="P159" s="114">
        <v>46094</v>
      </c>
      <c r="Q159" s="101" t="str">
        <f t="shared" si="7"/>
        <v>Entregado</v>
      </c>
      <c r="R159" s="99">
        <f>IF(L159="Despachado",NETWORKDAYS.INTL(A159,O159,11,Valores!$A$2:$A$19)-1,"PTE")</f>
        <v>0</v>
      </c>
      <c r="S159" s="99">
        <f>IF(Q159="Entregado",NETWORKDAYS.INTL(A159,P159,11,Valores!$A$2:$A$19)-1,"PTE")</f>
        <v>1</v>
      </c>
      <c r="T159" s="229" t="str">
        <f>IF(Q159="Entregado",IFERROR(IF(I159=VLOOKUP(I159,Valores!$K$1:$K$4,1,0),IF(S159&lt;=VLOOKUP(I159,Valores!$K$1:$L$4,2,0),"Cumple","No cumple")),IF(S159&lt;=VLOOKUP(K159,Valores!E:F,2,0),"Cumple","No cumple")))</f>
        <v>Cumple</v>
      </c>
      <c r="U159" s="99">
        <f>IFERROR(IF(T159="no cumple",S159-VLOOKUP(I159,Valores!$K$1:$L$4,2,0),0),S159-VLOOKUP(K159,Valores!E:F,2,0))</f>
        <v>0</v>
      </c>
      <c r="V159" s="99"/>
      <c r="W159" s="115">
        <v>37306</v>
      </c>
      <c r="X159" s="115"/>
      <c r="Y159" s="138"/>
    </row>
    <row r="160" spans="1:26" s="258" customFormat="1" x14ac:dyDescent="0.3">
      <c r="A160" s="250">
        <v>46093</v>
      </c>
      <c r="B160" s="251" t="s">
        <v>243</v>
      </c>
      <c r="C160" s="251">
        <v>100324</v>
      </c>
      <c r="D160" s="251" t="s">
        <v>19</v>
      </c>
      <c r="E160" s="252" t="s">
        <v>1009</v>
      </c>
      <c r="F160" s="251" t="s">
        <v>122</v>
      </c>
      <c r="G160" s="253" t="str">
        <f>IFERROR(VLOOKUP(F160,Productos!$A$2:$D$277,2,0)," ")</f>
        <v>Electric Standing Desk GO Negro</v>
      </c>
      <c r="H160" s="251">
        <v>1</v>
      </c>
      <c r="I160" s="253" t="str">
        <f>IFERROR(VLOOKUP(F160,Productos!$A$2:$D$277,3,0)," ")</f>
        <v>Standing Desk</v>
      </c>
      <c r="J160" s="251" t="s">
        <v>45</v>
      </c>
      <c r="K160" s="251" t="s">
        <v>45</v>
      </c>
      <c r="L160" s="14" t="str">
        <f t="shared" si="6"/>
        <v>En alistamiento</v>
      </c>
      <c r="M160" s="251"/>
      <c r="N160" s="252"/>
      <c r="O160" s="254"/>
      <c r="P160" s="254"/>
      <c r="Q160" s="101" t="str">
        <f t="shared" si="7"/>
        <v>En transito</v>
      </c>
      <c r="R160" s="99" t="str">
        <f>IF(L160="Despachado",NETWORKDAYS.INTL(A160,O160,11,Valores!$A$2:$A$19)-1,"PTE")</f>
        <v>PTE</v>
      </c>
      <c r="S160" s="99" t="str">
        <f>IF(Q160="Entregado",NETWORKDAYS.INTL(A160,P160,11,Valores!$A$2:$A$19)-1,"PTE")</f>
        <v>PTE</v>
      </c>
      <c r="T160" s="229" t="b">
        <f>IF(Q160="Entregado",IFERROR(IF(I160=VLOOKUP(I160,Valores!$K$1:$K$4,1,0),IF(S160&lt;=VLOOKUP(I160,Valores!$K$1:$L$4,2,0),"Cumple","No cumple")),IF(S160&lt;=VLOOKUP(K160,Valores!E:F,2,0),"Cumple","No cumple")))</f>
        <v>0</v>
      </c>
      <c r="U160" s="99">
        <f>IFERROR(IF(T160="no cumple",S160-VLOOKUP(I160,Valores!$K$1:$L$4,2,0),0),S160-VLOOKUP(K160,Valores!E:F,2,0))</f>
        <v>0</v>
      </c>
      <c r="V160" s="255"/>
      <c r="W160" s="256"/>
      <c r="X160" s="256"/>
      <c r="Y160" s="257"/>
    </row>
    <row r="161" spans="1:25" x14ac:dyDescent="0.3">
      <c r="A161" s="222">
        <v>46093</v>
      </c>
      <c r="B161" s="97" t="s">
        <v>243</v>
      </c>
      <c r="C161" s="97">
        <v>100324</v>
      </c>
      <c r="D161" s="223" t="s">
        <v>19</v>
      </c>
      <c r="E161" s="98" t="s">
        <v>1009</v>
      </c>
      <c r="F161" s="97" t="s">
        <v>27</v>
      </c>
      <c r="G161" s="100" t="str">
        <f>IFERROR(VLOOKUP(F161,Productos!$A$2:$D$277,2,0)," ")</f>
        <v>Superficie  Caramelo 180x70 Moderno</v>
      </c>
      <c r="H161" s="97">
        <v>1</v>
      </c>
      <c r="I161" s="100" t="str">
        <f>IFERROR(VLOOKUP(F161,Productos!$A$2:$D$277,3,0)," ")</f>
        <v>Superficie</v>
      </c>
      <c r="J161" s="97" t="s">
        <v>45</v>
      </c>
      <c r="K161" s="97" t="s">
        <v>45</v>
      </c>
      <c r="L161" s="14" t="str">
        <f t="shared" si="6"/>
        <v>En alistamiento</v>
      </c>
      <c r="M161" s="97"/>
      <c r="N161" s="98"/>
      <c r="O161" s="114"/>
      <c r="P161" s="114"/>
      <c r="Q161" s="101" t="str">
        <f t="shared" si="7"/>
        <v>En transito</v>
      </c>
      <c r="R161" s="99" t="str">
        <f>IF(L161="Despachado",NETWORKDAYS.INTL(A161,O161,11,Valores!$A$2:$A$19)-1,"PTE")</f>
        <v>PTE</v>
      </c>
      <c r="S161" s="99" t="str">
        <f>IF(Q161="Entregado",NETWORKDAYS.INTL(A161,P161,11,Valores!$A$2:$A$19)-1,"PTE")</f>
        <v>PTE</v>
      </c>
      <c r="T161" s="229" t="b">
        <f>IF(Q161="Entregado",IFERROR(IF(I161=VLOOKUP(I161,Valores!$K$1:$K$4,1,0),IF(S161&lt;=VLOOKUP(I161,Valores!$K$1:$L$4,2,0),"Cumple","No cumple")),IF(S161&lt;=VLOOKUP(K161,Valores!E:F,2,0),"Cumple","No cumple")))</f>
        <v>0</v>
      </c>
      <c r="U161" s="99">
        <f>IFERROR(IF(T161="no cumple",S161-VLOOKUP(I161,Valores!$K$1:$L$4,2,0),0),S161-VLOOKUP(K161,Valores!E:F,2,0))</f>
        <v>0</v>
      </c>
      <c r="V161" s="99"/>
      <c r="W161" s="115"/>
      <c r="X161" s="115"/>
      <c r="Y161" s="138"/>
    </row>
    <row r="162" spans="1:25" x14ac:dyDescent="0.3">
      <c r="A162" s="222">
        <v>46093</v>
      </c>
      <c r="B162" s="97" t="s">
        <v>243</v>
      </c>
      <c r="C162" s="97">
        <v>100324</v>
      </c>
      <c r="D162" s="223" t="s">
        <v>19</v>
      </c>
      <c r="E162" s="98" t="s">
        <v>1009</v>
      </c>
      <c r="F162" s="97" t="s">
        <v>85</v>
      </c>
      <c r="G162" s="100" t="str">
        <f>IFERROR(VLOOKUP(F162,Productos!$A$2:$D$277,2,0)," ")</f>
        <v>Laptop Stand B</v>
      </c>
      <c r="H162" s="97">
        <v>1</v>
      </c>
      <c r="I162" s="100" t="str">
        <f>IFERROR(VLOOKUP(F162,Productos!$A$2:$D$277,3,0)," ")</f>
        <v>Accesorio</v>
      </c>
      <c r="J162" s="97" t="s">
        <v>45</v>
      </c>
      <c r="K162" s="97" t="s">
        <v>45</v>
      </c>
      <c r="L162" s="14" t="str">
        <f t="shared" si="6"/>
        <v>En alistamiento</v>
      </c>
      <c r="M162" s="97"/>
      <c r="N162" s="98"/>
      <c r="O162" s="114"/>
      <c r="P162" s="114"/>
      <c r="Q162" s="101" t="str">
        <f t="shared" si="7"/>
        <v>En transito</v>
      </c>
      <c r="R162" s="99" t="str">
        <f>IF(L162="Despachado",NETWORKDAYS.INTL(A162,O162,11,Valores!$A$2:$A$19)-1,"PTE")</f>
        <v>PTE</v>
      </c>
      <c r="S162" s="99" t="str">
        <f>IF(Q162="Entregado",NETWORKDAYS.INTL(A162,P162,11,Valores!$A$2:$A$19)-1,"PTE")</f>
        <v>PTE</v>
      </c>
      <c r="T162" s="229" t="b">
        <f>IF(Q162="Entregado",IFERROR(IF(I162=VLOOKUP(I162,Valores!$K$1:$K$4,1,0),IF(S162&lt;=VLOOKUP(I162,Valores!$K$1:$L$4,2,0),"Cumple","No cumple")),IF(S162&lt;=VLOOKUP(K162,Valores!E:F,2,0),"Cumple","No cumple")))</f>
        <v>0</v>
      </c>
      <c r="U162" s="99">
        <f>IFERROR(IF(T162="no cumple",S162-VLOOKUP(I162,Valores!$K$1:$L$4,2,0),0),S162-VLOOKUP(K162,Valores!E:F,2,0))</f>
        <v>0</v>
      </c>
      <c r="V162" s="99"/>
      <c r="W162" s="115"/>
      <c r="X162" s="115"/>
      <c r="Y162" s="138"/>
    </row>
    <row r="163" spans="1:25" x14ac:dyDescent="0.3">
      <c r="A163" s="222">
        <v>46094</v>
      </c>
      <c r="B163" s="97" t="s">
        <v>243</v>
      </c>
      <c r="C163" s="97">
        <v>100325</v>
      </c>
      <c r="D163" s="223" t="s">
        <v>19</v>
      </c>
      <c r="E163" s="98" t="s">
        <v>1010</v>
      </c>
      <c r="F163" s="97" t="s">
        <v>449</v>
      </c>
      <c r="G163" s="100" t="str">
        <f>IFERROR(VLOOKUP(F163,Productos!$A$2:$D$277,2,0)," ")</f>
        <v>Superficie Escritorio Fresno Europeo 160x60 Clasico</v>
      </c>
      <c r="H163" s="97">
        <v>1</v>
      </c>
      <c r="I163" s="100" t="s">
        <v>949</v>
      </c>
      <c r="J163" s="97" t="s">
        <v>192</v>
      </c>
      <c r="K163" s="97" t="s">
        <v>1011</v>
      </c>
      <c r="L163" s="14" t="str">
        <f t="shared" si="6"/>
        <v>En alistamiento</v>
      </c>
      <c r="M163" s="97"/>
      <c r="N163" s="98"/>
      <c r="O163" s="114"/>
      <c r="P163" s="114"/>
      <c r="Q163" s="101" t="str">
        <f t="shared" si="7"/>
        <v>En transito</v>
      </c>
      <c r="R163" s="99" t="str">
        <f>IF(L163="Despachado",NETWORKDAYS.INTL(A163,O163,11,Valores!$A$2:$A$19)-1,"PTE")</f>
        <v>PTE</v>
      </c>
      <c r="S163" s="99" t="str">
        <f>IF(Q163="Entregado",NETWORKDAYS.INTL(A163,P163,11,Valores!$A$2:$A$19)-1,"PTE")</f>
        <v>PTE</v>
      </c>
      <c r="T163" s="229" t="b">
        <f>IF(Q163="Entregado",IFERROR(IF(I163=VLOOKUP(I163,Valores!$K$1:$K$4,1,0),IF(S163&lt;=VLOOKUP(I163,Valores!$K$1:$L$4,2,0),"Cumple","No cumple")),IF(S163&lt;=VLOOKUP(K163,Valores!E:F,2,0),"Cumple","No cumple")))</f>
        <v>0</v>
      </c>
      <c r="U163" s="99">
        <f>IFERROR(IF(T163="no cumple",S163-VLOOKUP(I163,Valores!$K$1:$L$4,2,0),0),S163-VLOOKUP(K163,Valores!E:F,2,0))</f>
        <v>0</v>
      </c>
      <c r="V163" s="99"/>
      <c r="W163" s="115"/>
      <c r="X163" s="115"/>
      <c r="Y163" s="138"/>
    </row>
    <row r="164" spans="1:25" x14ac:dyDescent="0.3">
      <c r="A164" s="222">
        <v>46094</v>
      </c>
      <c r="B164" s="97" t="s">
        <v>243</v>
      </c>
      <c r="C164" s="97">
        <v>100325</v>
      </c>
      <c r="D164" s="223" t="s">
        <v>19</v>
      </c>
      <c r="E164" s="98" t="s">
        <v>1010</v>
      </c>
      <c r="F164" s="97" t="s">
        <v>546</v>
      </c>
      <c r="G164" s="100" t="str">
        <f>IFERROR(VLOOKUP(F164,Productos!$A$2:$D$277,2,0)," ")</f>
        <v>Escritorio FIjo Linea - T x 76,5 cm</v>
      </c>
      <c r="H164" s="97">
        <v>1</v>
      </c>
      <c r="I164" s="100" t="s">
        <v>949</v>
      </c>
      <c r="J164" s="97" t="s">
        <v>192</v>
      </c>
      <c r="K164" s="97" t="s">
        <v>1011</v>
      </c>
      <c r="L164" s="14" t="str">
        <f t="shared" si="6"/>
        <v>En alistamiento</v>
      </c>
      <c r="M164" s="97"/>
      <c r="N164" s="98"/>
      <c r="O164" s="114"/>
      <c r="P164" s="114"/>
      <c r="Q164" s="101" t="str">
        <f t="shared" si="7"/>
        <v>En transito</v>
      </c>
      <c r="R164" s="99" t="str">
        <f>IF(L164="Despachado",NETWORKDAYS.INTL(A164,O164,11,Valores!$A$2:$A$19)-1,"PTE")</f>
        <v>PTE</v>
      </c>
      <c r="S164" s="99" t="str">
        <f>IF(Q164="Entregado",NETWORKDAYS.INTL(A164,P164,11,Valores!$A$2:$A$19)-1,"PTE")</f>
        <v>PTE</v>
      </c>
      <c r="T164" s="229" t="b">
        <f>IF(Q164="Entregado",IFERROR(IF(I164=VLOOKUP(I164,Valores!$K$1:$K$4,1,0),IF(S164&lt;=VLOOKUP(I164,Valores!$K$1:$L$4,2,0),"Cumple","No cumple")),IF(S164&lt;=VLOOKUP(K164,Valores!E:F,2,0),"Cumple","No cumple")))</f>
        <v>0</v>
      </c>
      <c r="U164" s="99">
        <f>IFERROR(IF(T164="no cumple",S164-VLOOKUP(I164,Valores!$K$1:$L$4,2,0),0),S164-VLOOKUP(K164,Valores!E:F,2,0))</f>
        <v>0</v>
      </c>
      <c r="V164" s="99"/>
      <c r="W164" s="115"/>
      <c r="X164" s="115"/>
      <c r="Y164" s="138"/>
    </row>
    <row r="165" spans="1:25" x14ac:dyDescent="0.3">
      <c r="A165" s="222">
        <v>46094</v>
      </c>
      <c r="B165" s="97" t="s">
        <v>243</v>
      </c>
      <c r="C165" s="97">
        <v>100325</v>
      </c>
      <c r="D165" s="223" t="s">
        <v>19</v>
      </c>
      <c r="E165" s="98" t="s">
        <v>1010</v>
      </c>
      <c r="F165" s="97" t="s">
        <v>592</v>
      </c>
      <c r="G165" s="100" t="str">
        <f>IFERROR(VLOOKUP(F165,Productos!$A$2:$D$277,2,0)," ")</f>
        <v>Cajonero 2.0 Unicolor Fresno Europeo x73cm</v>
      </c>
      <c r="H165" s="97">
        <v>1</v>
      </c>
      <c r="I165" s="100" t="s">
        <v>949</v>
      </c>
      <c r="J165" s="97" t="s">
        <v>192</v>
      </c>
      <c r="K165" s="97" t="s">
        <v>1011</v>
      </c>
      <c r="L165" s="14" t="str">
        <f t="shared" si="6"/>
        <v>En alistamiento</v>
      </c>
      <c r="M165" s="97"/>
      <c r="N165" s="98"/>
      <c r="O165" s="114"/>
      <c r="P165" s="114"/>
      <c r="Q165" s="101" t="str">
        <f t="shared" si="7"/>
        <v>En transito</v>
      </c>
      <c r="R165" s="99" t="str">
        <f>IF(L165="Despachado",NETWORKDAYS.INTL(A165,O165,11,Valores!$A$2:$A$19)-1,"PTE")</f>
        <v>PTE</v>
      </c>
      <c r="S165" s="99" t="str">
        <f>IF(Q165="Entregado",NETWORKDAYS.INTL(A165,P165,11,Valores!$A$2:$A$19)-1,"PTE")</f>
        <v>PTE</v>
      </c>
      <c r="T165" s="229" t="b">
        <f>IF(Q165="Entregado",IFERROR(IF(I165=VLOOKUP(I165,Valores!$K$1:$K$4,1,0),IF(S165&lt;=VLOOKUP(I165,Valores!$K$1:$L$4,2,0),"Cumple","No cumple")),IF(S165&lt;=VLOOKUP(K165,Valores!E:F,2,0),"Cumple","No cumple")))</f>
        <v>0</v>
      </c>
      <c r="U165" s="99">
        <f>IFERROR(IF(T165="no cumple",S165-VLOOKUP(I165,Valores!$K$1:$L$4,2,0),0),S165-VLOOKUP(K165,Valores!E:F,2,0))</f>
        <v>0</v>
      </c>
      <c r="V165" s="99"/>
      <c r="W165" s="115"/>
      <c r="X165" s="115"/>
      <c r="Y165" s="138"/>
    </row>
    <row r="166" spans="1:25" x14ac:dyDescent="0.3">
      <c r="A166" s="222">
        <v>46094</v>
      </c>
      <c r="B166" s="97" t="s">
        <v>243</v>
      </c>
      <c r="C166" s="97">
        <v>100326</v>
      </c>
      <c r="D166" s="223" t="s">
        <v>19</v>
      </c>
      <c r="E166" s="98" t="s">
        <v>1012</v>
      </c>
      <c r="F166" s="97" t="s">
        <v>128</v>
      </c>
      <c r="G166" s="100" t="str">
        <f>IFERROR(VLOOKUP(F166,Productos!$A$2:$D$277,2,0)," ")</f>
        <v>Electric Standing Desk  PRO Negro</v>
      </c>
      <c r="H166" s="97">
        <v>1</v>
      </c>
      <c r="I166" s="100" t="str">
        <f>IFERROR(VLOOKUP(F166,Productos!$A$2:$D$277,3,0)," ")</f>
        <v>Standing Desk</v>
      </c>
      <c r="J166" s="97" t="s">
        <v>20</v>
      </c>
      <c r="K166" s="97" t="s">
        <v>749</v>
      </c>
      <c r="L166" s="14" t="str">
        <f t="shared" si="6"/>
        <v>En alistamiento</v>
      </c>
      <c r="M166" s="97" t="s">
        <v>742</v>
      </c>
      <c r="N166" s="98"/>
      <c r="O166" s="114"/>
      <c r="P166" s="114"/>
      <c r="Q166" s="101" t="str">
        <f t="shared" si="7"/>
        <v>En transito</v>
      </c>
      <c r="R166" s="99" t="str">
        <f>IF(L166="Despachado",NETWORKDAYS.INTL(A166,O166,11,Valores!$A$2:$A$19)-1,"PTE")</f>
        <v>PTE</v>
      </c>
      <c r="S166" s="99" t="str">
        <f>IF(Q166="Entregado",NETWORKDAYS.INTL(A166,P166,11,Valores!$A$2:$A$19)-1,"PTE")</f>
        <v>PTE</v>
      </c>
      <c r="T166" s="229" t="b">
        <f>IF(Q166="Entregado",IFERROR(IF(I166=VLOOKUP(I166,Valores!$K$1:$K$4,1,0),IF(S166&lt;=VLOOKUP(I166,Valores!$K$1:$L$4,2,0),"Cumple","No cumple")),IF(S166&lt;=VLOOKUP(K166,Valores!E:F,2,0),"Cumple","No cumple")))</f>
        <v>0</v>
      </c>
      <c r="U166" s="99">
        <f>IFERROR(IF(T166="no cumple",S166-VLOOKUP(I166,Valores!$K$1:$L$4,2,0),0),S166-VLOOKUP(K166,Valores!E:F,2,0))</f>
        <v>0</v>
      </c>
      <c r="V166" s="99"/>
      <c r="W166" s="115"/>
      <c r="X166" s="115"/>
      <c r="Y166" s="138"/>
    </row>
    <row r="167" spans="1:25" x14ac:dyDescent="0.3">
      <c r="A167" s="222">
        <v>46094</v>
      </c>
      <c r="B167" s="97" t="s">
        <v>243</v>
      </c>
      <c r="C167" s="97">
        <v>100327</v>
      </c>
      <c r="D167" s="223" t="s">
        <v>19</v>
      </c>
      <c r="E167" s="98" t="s">
        <v>1013</v>
      </c>
      <c r="F167" s="97" t="s">
        <v>447</v>
      </c>
      <c r="G167" s="100" t="str">
        <f>IFERROR(VLOOKUP(F167,Productos!$A$2:$D$277,2,0)," ")</f>
        <v>Superficie Escritorio Fresno Europeo 150x60 Clasico</v>
      </c>
      <c r="H167" s="97">
        <v>1</v>
      </c>
      <c r="I167" s="100" t="str">
        <f>IFERROR(VLOOKUP(F167,Productos!$A$2:$D$277,3,0)," ")</f>
        <v>Superficie</v>
      </c>
      <c r="J167" s="97" t="s">
        <v>20</v>
      </c>
      <c r="K167" s="97" t="s">
        <v>749</v>
      </c>
      <c r="L167" s="14" t="str">
        <f t="shared" si="6"/>
        <v>En alistamiento</v>
      </c>
      <c r="M167" s="97"/>
      <c r="N167" s="98"/>
      <c r="O167" s="114"/>
      <c r="P167" s="114"/>
      <c r="Q167" s="101" t="str">
        <f t="shared" si="7"/>
        <v>En transito</v>
      </c>
      <c r="R167" s="99" t="str">
        <f>IF(L167="Despachado",NETWORKDAYS.INTL(A167,O167,11,Valores!$A$2:$A$19)-1,"PTE")</f>
        <v>PTE</v>
      </c>
      <c r="S167" s="99" t="str">
        <f>IF(Q167="Entregado",NETWORKDAYS.INTL(A167,P167,11,Valores!$A$2:$A$19)-1,"PTE")</f>
        <v>PTE</v>
      </c>
      <c r="T167" s="229" t="b">
        <f>IF(Q167="Entregado",IFERROR(IF(I167=VLOOKUP(I167,Valores!$K$1:$K$4,1,0),IF(S167&lt;=VLOOKUP(I167,Valores!$K$1:$L$4,2,0),"Cumple","No cumple")),IF(S167&lt;=VLOOKUP(K167,Valores!E:F,2,0),"Cumple","No cumple")))</f>
        <v>0</v>
      </c>
      <c r="U167" s="99">
        <f>IFERROR(IF(T167="no cumple",S167-VLOOKUP(I167,Valores!$K$1:$L$4,2,0),0),S167-VLOOKUP(K167,Valores!E:F,2,0))</f>
        <v>0</v>
      </c>
      <c r="V167" s="99"/>
      <c r="W167" s="115"/>
      <c r="X167" s="115"/>
      <c r="Y167" s="138"/>
    </row>
    <row r="168" spans="1:25" x14ac:dyDescent="0.3">
      <c r="A168" s="222">
        <v>46094</v>
      </c>
      <c r="B168" s="97" t="s">
        <v>243</v>
      </c>
      <c r="C168" s="97">
        <v>100327</v>
      </c>
      <c r="D168" s="223" t="s">
        <v>19</v>
      </c>
      <c r="E168" s="98" t="s">
        <v>1013</v>
      </c>
      <c r="F168" s="97" t="s">
        <v>122</v>
      </c>
      <c r="G168" s="100" t="str">
        <f>IFERROR(VLOOKUP(F168,Productos!$A$2:$D$277,2,0)," ")</f>
        <v>Electric Standing Desk GO Negro</v>
      </c>
      <c r="H168" s="97">
        <v>1</v>
      </c>
      <c r="I168" s="100" t="str">
        <f>IFERROR(VLOOKUP(F168,Productos!$A$2:$D$277,3,0)," ")</f>
        <v>Standing Desk</v>
      </c>
      <c r="J168" s="97" t="s">
        <v>20</v>
      </c>
      <c r="K168" s="97" t="s">
        <v>749</v>
      </c>
      <c r="L168" s="14" t="str">
        <f t="shared" si="6"/>
        <v>En alistamiento</v>
      </c>
      <c r="M168" s="97"/>
      <c r="N168" s="98"/>
      <c r="O168" s="114"/>
      <c r="P168" s="114"/>
      <c r="Q168" s="101" t="str">
        <f t="shared" si="7"/>
        <v>En transito</v>
      </c>
      <c r="R168" s="99" t="str">
        <f>IF(L168="Despachado",NETWORKDAYS.INTL(A168,O168,11,Valores!$A$2:$A$19)-1,"PTE")</f>
        <v>PTE</v>
      </c>
      <c r="S168" s="99" t="str">
        <f>IF(Q168="Entregado",NETWORKDAYS.INTL(A168,P168,11,Valores!$A$2:$A$19)-1,"PTE")</f>
        <v>PTE</v>
      </c>
      <c r="T168" s="229" t="b">
        <f>IF(Q168="Entregado",IFERROR(IF(I168=VLOOKUP(I168,Valores!$K$1:$K$4,1,0),IF(S168&lt;=VLOOKUP(I168,Valores!$K$1:$L$4,2,0),"Cumple","No cumple")),IF(S168&lt;=VLOOKUP(K168,Valores!E:F,2,0),"Cumple","No cumple")))</f>
        <v>0</v>
      </c>
      <c r="U168" s="99">
        <f>IFERROR(IF(T168="no cumple",S168-VLOOKUP(I168,Valores!$K$1:$L$4,2,0),0),S168-VLOOKUP(K168,Valores!E:F,2,0))</f>
        <v>0</v>
      </c>
      <c r="V168" s="99"/>
      <c r="W168" s="115"/>
      <c r="X168" s="115"/>
      <c r="Y168" s="138"/>
    </row>
    <row r="169" spans="1:25" x14ac:dyDescent="0.3">
      <c r="A169" s="222">
        <v>46094</v>
      </c>
      <c r="B169" s="97" t="s">
        <v>243</v>
      </c>
      <c r="C169" s="97">
        <v>100327</v>
      </c>
      <c r="D169" s="223" t="s">
        <v>19</v>
      </c>
      <c r="E169" s="98" t="s">
        <v>1013</v>
      </c>
      <c r="F169" s="97" t="s">
        <v>235</v>
      </c>
      <c r="G169" s="100" t="str">
        <f>IFERROR(VLOOKUP(F169,Productos!$A$2:$D$277,2,0)," ")</f>
        <v>Bandeja de cables</v>
      </c>
      <c r="H169" s="97">
        <v>1</v>
      </c>
      <c r="I169" s="100" t="str">
        <f>IFERROR(VLOOKUP(F169,Productos!$A$2:$D$277,3,0)," ")</f>
        <v>Accesorio</v>
      </c>
      <c r="J169" s="97" t="s">
        <v>20</v>
      </c>
      <c r="K169" s="97" t="s">
        <v>749</v>
      </c>
      <c r="L169" s="14" t="str">
        <f t="shared" si="6"/>
        <v>Despachado</v>
      </c>
      <c r="M169" s="97" t="s">
        <v>753</v>
      </c>
      <c r="N169" s="98" t="s">
        <v>753</v>
      </c>
      <c r="O169" s="114" t="s">
        <v>753</v>
      </c>
      <c r="P169" s="114" t="s">
        <v>753</v>
      </c>
      <c r="Q169" s="101" t="str">
        <f t="shared" si="7"/>
        <v>Entregado</v>
      </c>
      <c r="R169" s="99">
        <v>0</v>
      </c>
      <c r="S169" s="99">
        <v>0</v>
      </c>
      <c r="T169" s="229" t="str">
        <f>IF(Q169="Entregado",IFERROR(IF(I169=VLOOKUP(I169,Valores!$K$1:$K$4,1,0),IF(S169&lt;=VLOOKUP(I169,Valores!$K$1:$L$4,2,0),"Cumple","No cumple")),IF(S169&lt;=VLOOKUP(K169,Valores!E:F,2,0),"Cumple","No cumple")))</f>
        <v>Cumple</v>
      </c>
      <c r="U169" s="99">
        <f>IFERROR(IF(T169="no cumple",S169-VLOOKUP(I169,Valores!$K$1:$L$4,2,0),0),S169-VLOOKUP(K169,Valores!E:F,2,0))</f>
        <v>0</v>
      </c>
      <c r="V169" s="99"/>
      <c r="W169" s="115">
        <v>0</v>
      </c>
      <c r="X169" s="115"/>
      <c r="Y169" s="138"/>
    </row>
    <row r="170" spans="1:25" x14ac:dyDescent="0.3">
      <c r="A170" s="222">
        <v>46094</v>
      </c>
      <c r="B170" s="97" t="s">
        <v>243</v>
      </c>
      <c r="C170" s="97">
        <v>100327</v>
      </c>
      <c r="D170" s="223" t="s">
        <v>19</v>
      </c>
      <c r="E170" s="98" t="s">
        <v>1013</v>
      </c>
      <c r="F170" s="97"/>
      <c r="G170" s="100" t="s">
        <v>824</v>
      </c>
      <c r="H170" s="97"/>
      <c r="I170" s="100" t="str">
        <f>IFERROR(VLOOKUP(F170,Productos!$A$2:$D$277,3,0)," ")</f>
        <v xml:space="preserve"> </v>
      </c>
      <c r="J170" s="97"/>
      <c r="K170" s="97"/>
      <c r="L170" s="14" t="str">
        <f t="shared" si="6"/>
        <v>En alistamiento</v>
      </c>
      <c r="M170" s="97"/>
      <c r="N170" s="98"/>
      <c r="O170" s="114"/>
      <c r="P170" s="114"/>
      <c r="Q170" s="101" t="str">
        <f t="shared" si="7"/>
        <v>En transito</v>
      </c>
      <c r="R170" s="99" t="str">
        <f>IF(L170="Despachado",NETWORKDAYS.INTL(A170,O170,11,Valores!$A$2:$A$19)-1,"PTE")</f>
        <v>PTE</v>
      </c>
      <c r="S170" s="99" t="str">
        <f>IF(Q170="Entregado",NETWORKDAYS.INTL(A170,P170,11,Valores!$A$2:$A$19)-1,"PTE")</f>
        <v>PTE</v>
      </c>
      <c r="T170" s="229" t="b">
        <f>IF(Q170="Entregado",IFERROR(IF(I170=VLOOKUP(I170,Valores!$K$1:$K$4,1,0),IF(S170&lt;=VLOOKUP(I170,Valores!$K$1:$L$4,2,0),"Cumple","No cumple")),IF(S170&lt;=VLOOKUP(K170,Valores!E:F,2,0),"Cumple","No cumple")))</f>
        <v>0</v>
      </c>
      <c r="U170" s="99">
        <f>IFERROR(IF(T170="no cumple",S170-VLOOKUP(I170,Valores!$K$1:$L$4,2,0),0),S170-VLOOKUP(K170,Valores!E:F,2,0))</f>
        <v>0</v>
      </c>
      <c r="V170" s="99"/>
      <c r="W170" s="115"/>
      <c r="X170" s="115"/>
      <c r="Y170" s="138"/>
    </row>
    <row r="171" spans="1:25" x14ac:dyDescent="0.3">
      <c r="A171" s="222"/>
      <c r="B171" s="97"/>
      <c r="C171" s="97"/>
      <c r="D171" s="97"/>
      <c r="E171" s="98"/>
      <c r="F171" s="97"/>
      <c r="G171" s="100" t="str">
        <f>IFERROR(VLOOKUP(F171,Productos!$A$2:$D$277,2,0)," ")</f>
        <v xml:space="preserve"> </v>
      </c>
      <c r="H171" s="97"/>
      <c r="I171" s="100" t="str">
        <f>IFERROR(VLOOKUP(F171,Productos!$A$2:$D$277,3,0)," ")</f>
        <v xml:space="preserve"> </v>
      </c>
      <c r="J171" s="97"/>
      <c r="K171" s="97"/>
      <c r="L171" s="14" t="str">
        <f t="shared" si="6"/>
        <v>En alistamiento</v>
      </c>
      <c r="M171" s="97"/>
      <c r="N171" s="98"/>
      <c r="O171" s="114"/>
      <c r="P171" s="114"/>
      <c r="Q171" s="101" t="str">
        <f t="shared" si="7"/>
        <v>En transito</v>
      </c>
      <c r="R171" s="99" t="str">
        <f>IF(L171="Despachado",NETWORKDAYS.INTL(A171,O171,11,Valores!$A$2:$A$19)-1,"PTE")</f>
        <v>PTE</v>
      </c>
      <c r="S171" s="99" t="str">
        <f>IF(Q171="Entregado",NETWORKDAYS.INTL(A171,P171,11,Valores!$A$2:$A$19)-1,"PTE")</f>
        <v>PTE</v>
      </c>
      <c r="T171" s="229" t="b">
        <f>IF(Q171="Entregado",IFERROR(IF(I171=VLOOKUP(I171,Valores!$K$1:$K$4,1,0),IF(S171&lt;=VLOOKUP(I171,Valores!$K$1:$L$4,2,0),"Cumple","No cumple")),IF(S171&lt;=VLOOKUP(K171,Valores!E:F,2,0),"Cumple","No cumple")))</f>
        <v>0</v>
      </c>
      <c r="U171" s="99">
        <f>IFERROR(IF(T171="no cumple",S171-VLOOKUP(I171,Valores!$K$1:$L$4,2,0),0),S171-VLOOKUP(K171,Valores!E:F,2,0))</f>
        <v>0</v>
      </c>
      <c r="V171" s="99"/>
      <c r="W171" s="115"/>
      <c r="X171" s="115"/>
      <c r="Y171" s="138"/>
    </row>
    <row r="172" spans="1:25" x14ac:dyDescent="0.3">
      <c r="A172" s="222"/>
      <c r="B172" s="97"/>
      <c r="C172" s="97"/>
      <c r="D172" s="97"/>
      <c r="E172" s="98"/>
      <c r="F172" s="97"/>
      <c r="G172" s="100" t="str">
        <f>IFERROR(VLOOKUP(F172,Productos!$A$2:$D$277,2,0)," ")</f>
        <v xml:space="preserve"> </v>
      </c>
      <c r="H172" s="97"/>
      <c r="I172" s="100" t="str">
        <f>IFERROR(VLOOKUP(F172,Productos!$A$2:$D$277,3,0)," ")</f>
        <v xml:space="preserve"> </v>
      </c>
      <c r="J172" s="97"/>
      <c r="K172" s="97"/>
      <c r="L172" s="14" t="str">
        <f t="shared" si="6"/>
        <v>En alistamiento</v>
      </c>
      <c r="M172" s="97"/>
      <c r="N172" s="98"/>
      <c r="O172" s="114"/>
      <c r="P172" s="114"/>
      <c r="Q172" s="101" t="str">
        <f t="shared" si="7"/>
        <v>En transito</v>
      </c>
      <c r="R172" s="99" t="str">
        <f>IF(L172="Despachado",NETWORKDAYS.INTL(A172,O172,11,Valores!$A$2:$A$19)-1,"PTE")</f>
        <v>PTE</v>
      </c>
      <c r="S172" s="99" t="str">
        <f>IF(Q172="Entregado",NETWORKDAYS.INTL(A172,P172,11,Valores!$A$2:$A$19)-1,"PTE")</f>
        <v>PTE</v>
      </c>
      <c r="T172" s="229" t="b">
        <f>IF(Q172="Entregado",IFERROR(IF(I172=VLOOKUP(I172,Valores!$K$1:$K$4,1,0),IF(S172&lt;=VLOOKUP(I172,Valores!$K$1:$L$4,2,0),"Cumple","No cumple")),IF(S172&lt;=VLOOKUP(K172,Valores!E:F,2,0),"Cumple","No cumple")))</f>
        <v>0</v>
      </c>
      <c r="U172" s="99">
        <f>IFERROR(IF(T172="no cumple",S172-VLOOKUP(I172,Valores!$K$1:$L$4,2,0),0),S172-VLOOKUP(K172,Valores!E:F,2,0))</f>
        <v>0</v>
      </c>
      <c r="V172" s="99"/>
      <c r="W172" s="115"/>
      <c r="X172" s="115"/>
      <c r="Y172" s="138"/>
    </row>
    <row r="173" spans="1:25" x14ac:dyDescent="0.3">
      <c r="A173" s="222"/>
      <c r="B173" s="97"/>
      <c r="C173" s="97"/>
      <c r="D173" s="97"/>
      <c r="E173" s="98"/>
      <c r="F173" s="97"/>
      <c r="G173" s="100" t="str">
        <f>IFERROR(VLOOKUP(F173,Productos!$A$2:$D$277,2,0)," ")</f>
        <v xml:space="preserve"> </v>
      </c>
      <c r="H173" s="97"/>
      <c r="I173" s="100" t="str">
        <f>IFERROR(VLOOKUP(F173,Productos!$A$2:$D$277,3,0)," ")</f>
        <v xml:space="preserve"> </v>
      </c>
      <c r="J173" s="97"/>
      <c r="K173" s="97"/>
      <c r="L173" s="14" t="str">
        <f t="shared" si="6"/>
        <v>En alistamiento</v>
      </c>
      <c r="M173" s="97"/>
      <c r="N173" s="98"/>
      <c r="O173" s="114"/>
      <c r="P173" s="114"/>
      <c r="Q173" s="101" t="str">
        <f t="shared" si="7"/>
        <v>En transito</v>
      </c>
      <c r="R173" s="99" t="str">
        <f>IF(L173="Despachado",NETWORKDAYS.INTL(A173,O173,11,Valores!$A$2:$A$19)-1,"PTE")</f>
        <v>PTE</v>
      </c>
      <c r="S173" s="99" t="str">
        <f>IF(Q173="Entregado",NETWORKDAYS.INTL(A173,P173,11,Valores!$A$2:$A$19)-1,"PTE")</f>
        <v>PTE</v>
      </c>
      <c r="T173" s="229" t="b">
        <f>IF(Q173="Entregado",IFERROR(IF(I173=VLOOKUP(I173,Valores!$K$1:$K$4,1,0),IF(S173&lt;=VLOOKUP(I173,Valores!$K$1:$L$4,2,0),"Cumple","No cumple")),IF(S173&lt;=VLOOKUP(K173,Valores!E:F,2,0),"Cumple","No cumple")))</f>
        <v>0</v>
      </c>
      <c r="U173" s="99">
        <f>IFERROR(IF(T173="no cumple",S173-VLOOKUP(I173,Valores!$K$1:$L$4,2,0),0),S173-VLOOKUP(K173,Valores!E:F,2,0))</f>
        <v>0</v>
      </c>
      <c r="V173" s="99"/>
      <c r="W173" s="115"/>
      <c r="X173" s="115"/>
      <c r="Y173" s="138"/>
    </row>
    <row r="174" spans="1:25" x14ac:dyDescent="0.3">
      <c r="A174" s="222"/>
      <c r="B174" s="97"/>
      <c r="C174" s="97"/>
      <c r="D174" s="97"/>
      <c r="E174" s="98"/>
      <c r="F174" s="97"/>
      <c r="G174" s="100" t="str">
        <f>IFERROR(VLOOKUP(F174,Productos!$A$2:$D$277,2,0)," ")</f>
        <v xml:space="preserve"> </v>
      </c>
      <c r="H174" s="97"/>
      <c r="I174" s="100" t="str">
        <f>IFERROR(VLOOKUP(F174,Productos!$A$2:$D$277,3,0)," ")</f>
        <v xml:space="preserve"> </v>
      </c>
      <c r="J174" s="97"/>
      <c r="K174" s="97"/>
      <c r="L174" s="14" t="str">
        <f t="shared" si="6"/>
        <v>En alistamiento</v>
      </c>
      <c r="M174" s="97"/>
      <c r="N174" s="98"/>
      <c r="O174" s="114"/>
      <c r="P174" s="114"/>
      <c r="Q174" s="101" t="str">
        <f t="shared" si="7"/>
        <v>En transito</v>
      </c>
      <c r="R174" s="99" t="str">
        <f>IF(L174="Despachado",NETWORKDAYS.INTL(A174,O174,11,Valores!$A$2:$A$19)-1,"PTE")</f>
        <v>PTE</v>
      </c>
      <c r="S174" s="99" t="str">
        <f>IF(Q174="Entregado",NETWORKDAYS.INTL(A174,P174,11,Valores!$A$2:$A$19)-1,"PTE")</f>
        <v>PTE</v>
      </c>
      <c r="T174" s="229" t="b">
        <f>IF(Q174="Entregado",IFERROR(IF(I174=VLOOKUP(I174,Valores!$K$1:$K$4,1,0),IF(S174&lt;=VLOOKUP(I174,Valores!$K$1:$L$4,2,0),"Cumple","No cumple")),IF(S174&lt;=VLOOKUP(K174,Valores!E:F,2,0),"Cumple","No cumple")))</f>
        <v>0</v>
      </c>
      <c r="U174" s="99">
        <f>IFERROR(IF(T174="no cumple",S174-VLOOKUP(I174,Valores!$K$1:$L$4,2,0),0),S174-VLOOKUP(K174,Valores!E:F,2,0))</f>
        <v>0</v>
      </c>
      <c r="V174" s="99"/>
      <c r="W174" s="115"/>
      <c r="X174" s="115"/>
      <c r="Y174" s="138"/>
    </row>
    <row r="175" spans="1:25" x14ac:dyDescent="0.3">
      <c r="A175" s="222"/>
      <c r="B175" s="97"/>
      <c r="C175" s="97"/>
      <c r="D175" s="97"/>
      <c r="E175" s="98"/>
      <c r="F175" s="97"/>
      <c r="G175" s="100" t="str">
        <f>IFERROR(VLOOKUP(F175,Productos!$A$2:$D$277,2,0)," ")</f>
        <v xml:space="preserve"> </v>
      </c>
      <c r="H175" s="97"/>
      <c r="I175" s="100" t="str">
        <f>IFERROR(VLOOKUP(F175,Productos!$A$2:$D$277,3,0)," ")</f>
        <v xml:space="preserve"> </v>
      </c>
      <c r="J175" s="97"/>
      <c r="K175" s="97"/>
      <c r="L175" s="14" t="str">
        <f t="shared" si="6"/>
        <v>En alistamiento</v>
      </c>
      <c r="M175" s="97"/>
      <c r="N175" s="98"/>
      <c r="O175" s="114"/>
      <c r="P175" s="114"/>
      <c r="Q175" s="101" t="str">
        <f t="shared" si="7"/>
        <v>En transito</v>
      </c>
      <c r="R175" s="99" t="str">
        <f>IF(L175="Despachado",NETWORKDAYS.INTL(A175,O175,11,Valores!$A$2:$A$19)-1,"PTE")</f>
        <v>PTE</v>
      </c>
      <c r="S175" s="99" t="str">
        <f>IF(Q175="Entregado",NETWORKDAYS.INTL(A175,P175,11,Valores!$A$2:$A$19)-1,"PTE")</f>
        <v>PTE</v>
      </c>
      <c r="T175" s="229" t="b">
        <f>IF(Q175="Entregado",IFERROR(IF(I175=VLOOKUP(I175,Valores!$K$1:$K$4,1,0),IF(S175&lt;=VLOOKUP(I175,Valores!$K$1:$L$4,2,0),"Cumple","No cumple")),IF(S175&lt;=VLOOKUP(K175,Valores!E:F,2,0),"Cumple","No cumple")))</f>
        <v>0</v>
      </c>
      <c r="U175" s="99">
        <f>IFERROR(IF(T175="no cumple",S175-VLOOKUP(I175,Valores!$K$1:$L$4,2,0),0),S175-VLOOKUP(K175,Valores!E:F,2,0))</f>
        <v>0</v>
      </c>
      <c r="V175" s="99"/>
      <c r="W175" s="115"/>
      <c r="X175" s="115"/>
      <c r="Y175" s="138"/>
    </row>
    <row r="176" spans="1:25" x14ac:dyDescent="0.3">
      <c r="A176" s="222"/>
      <c r="B176" s="97"/>
      <c r="C176" s="97"/>
      <c r="D176" s="97"/>
      <c r="E176" s="98"/>
      <c r="F176" s="97"/>
      <c r="G176" s="100" t="str">
        <f>IFERROR(VLOOKUP(F176,Productos!$A$2:$D$277,2,0)," ")</f>
        <v xml:space="preserve"> </v>
      </c>
      <c r="H176" s="97"/>
      <c r="I176" s="100" t="str">
        <f>IFERROR(VLOOKUP(F176,Productos!$A$2:$D$277,3,0)," ")</f>
        <v xml:space="preserve"> </v>
      </c>
      <c r="J176" s="97"/>
      <c r="K176" s="97"/>
      <c r="L176" s="14" t="str">
        <f t="shared" si="6"/>
        <v>En alistamiento</v>
      </c>
      <c r="M176" s="97"/>
      <c r="N176" s="98"/>
      <c r="O176" s="114"/>
      <c r="P176" s="114"/>
      <c r="Q176" s="101" t="str">
        <f t="shared" si="7"/>
        <v>En transito</v>
      </c>
      <c r="R176" s="99" t="str">
        <f>IF(L176="Despachado",NETWORKDAYS.INTL(A176,O176,11,Valores!$A$2:$A$19)-1,"PTE")</f>
        <v>PTE</v>
      </c>
      <c r="S176" s="99" t="str">
        <f>IF(Q176="Entregado",NETWORKDAYS.INTL(A176,P176,11,Valores!$A$2:$A$19)-1,"PTE")</f>
        <v>PTE</v>
      </c>
      <c r="T176" s="229" t="b">
        <f>IF(Q176="Entregado",IFERROR(IF(I176=VLOOKUP(I176,Valores!$K$1:$K$4,1,0),IF(S176&lt;=VLOOKUP(I176,Valores!$K$1:$L$4,2,0),"Cumple","No cumple")),IF(S176&lt;=VLOOKUP(K176,Valores!E:F,2,0),"Cumple","No cumple")))</f>
        <v>0</v>
      </c>
      <c r="U176" s="99">
        <f>IFERROR(IF(T176="no cumple",S176-VLOOKUP(I176,Valores!$K$1:$L$4,2,0),0),S176-VLOOKUP(K176,Valores!E:F,2,0))</f>
        <v>0</v>
      </c>
      <c r="V176" s="99"/>
      <c r="W176" s="115"/>
      <c r="X176" s="115"/>
      <c r="Y176" s="138"/>
    </row>
    <row r="177" spans="1:25" x14ac:dyDescent="0.3">
      <c r="A177" s="222"/>
      <c r="B177" s="97"/>
      <c r="C177" s="97"/>
      <c r="D177" s="97"/>
      <c r="E177" s="98"/>
      <c r="F177" s="97"/>
      <c r="G177" s="100" t="str">
        <f>IFERROR(VLOOKUP(F177,Productos!$A$2:$D$277,2,0)," ")</f>
        <v xml:space="preserve"> </v>
      </c>
      <c r="H177" s="97"/>
      <c r="I177" s="100" t="str">
        <f>IFERROR(VLOOKUP(F177,Productos!$A$2:$D$277,3,0)," ")</f>
        <v xml:space="preserve"> </v>
      </c>
      <c r="J177" s="97"/>
      <c r="K177" s="97"/>
      <c r="L177" s="14" t="str">
        <f t="shared" si="6"/>
        <v>En alistamiento</v>
      </c>
      <c r="M177" s="97"/>
      <c r="N177" s="98"/>
      <c r="O177" s="114"/>
      <c r="P177" s="114"/>
      <c r="Q177" s="101" t="str">
        <f t="shared" si="7"/>
        <v>En transito</v>
      </c>
      <c r="R177" s="99" t="str">
        <f>IF(L177="Despachado",NETWORKDAYS.INTL(A177,O177,11,Valores!$A$2:$A$19)-1,"PTE")</f>
        <v>PTE</v>
      </c>
      <c r="S177" s="99" t="str">
        <f>IF(Q177="Entregado",NETWORKDAYS.INTL(A177,P177,11,Valores!$A$2:$A$19)-1,"PTE")</f>
        <v>PTE</v>
      </c>
      <c r="T177" s="229" t="b">
        <f>IF(Q177="Entregado",IFERROR(IF(I177=VLOOKUP(I177,Valores!$K$1:$K$4,1,0),IF(S177&lt;=VLOOKUP(I177,Valores!$K$1:$L$4,2,0),"Cumple","No cumple")),IF(S177&lt;=VLOOKUP(K177,Valores!E:F,2,0),"Cumple","No cumple")))</f>
        <v>0</v>
      </c>
      <c r="U177" s="99">
        <f>IFERROR(IF(T177="no cumple",S177-VLOOKUP(I177,Valores!$K$1:$L$4,2,0),0),S177-VLOOKUP(K177,Valores!E:F,2,0))</f>
        <v>0</v>
      </c>
      <c r="V177" s="99"/>
      <c r="W177" s="115"/>
      <c r="X177" s="115"/>
      <c r="Y177" s="138"/>
    </row>
    <row r="178" spans="1:25" x14ac:dyDescent="0.3">
      <c r="A178" s="222"/>
      <c r="B178" s="97"/>
      <c r="C178" s="97"/>
      <c r="D178" s="97"/>
      <c r="E178" s="98"/>
      <c r="F178" s="97"/>
      <c r="G178" s="100" t="str">
        <f>IFERROR(VLOOKUP(F178,Productos!$A$2:$D$277,2,0)," ")</f>
        <v xml:space="preserve"> </v>
      </c>
      <c r="H178" s="97"/>
      <c r="I178" s="100" t="str">
        <f>IFERROR(VLOOKUP(F178,Productos!$A$2:$D$277,3,0)," ")</f>
        <v xml:space="preserve"> </v>
      </c>
      <c r="J178" s="97"/>
      <c r="K178" s="97"/>
      <c r="L178" s="14" t="str">
        <f t="shared" si="6"/>
        <v>En alistamiento</v>
      </c>
      <c r="M178" s="97"/>
      <c r="N178" s="98"/>
      <c r="O178" s="114"/>
      <c r="P178" s="114"/>
      <c r="Q178" s="101" t="str">
        <f t="shared" si="7"/>
        <v>En transito</v>
      </c>
      <c r="R178" s="99" t="str">
        <f>IF(L178="Despachado",NETWORKDAYS.INTL(A178,O178,11,Valores!$A$2:$A$19)-1,"PTE")</f>
        <v>PTE</v>
      </c>
      <c r="S178" s="99" t="str">
        <f>IF(Q178="Entregado",NETWORKDAYS.INTL(A178,P178,11,Valores!$A$2:$A$19)-1,"PTE")</f>
        <v>PTE</v>
      </c>
      <c r="T178" s="229" t="b">
        <f>IF(Q178="Entregado",IFERROR(IF(I178=VLOOKUP(I178,Valores!$K$1:$K$4,1,0),IF(S178&lt;=VLOOKUP(I178,Valores!$K$1:$L$4,2,0),"Cumple","No cumple")),IF(S178&lt;=VLOOKUP(K178,Valores!E:F,2,0),"Cumple","No cumple")))</f>
        <v>0</v>
      </c>
      <c r="U178" s="99">
        <f>IFERROR(IF(T178="no cumple",S178-VLOOKUP(I178,Valores!$K$1:$L$4,2,0),0),S178-VLOOKUP(K178,Valores!E:F,2,0))</f>
        <v>0</v>
      </c>
      <c r="V178" s="99"/>
      <c r="W178" s="115"/>
      <c r="X178" s="115"/>
      <c r="Y178" s="138"/>
    </row>
    <row r="179" spans="1:25" x14ac:dyDescent="0.3">
      <c r="A179" s="222"/>
      <c r="B179" s="97"/>
      <c r="C179" s="97"/>
      <c r="D179" s="97"/>
      <c r="E179" s="98"/>
      <c r="F179" s="97"/>
      <c r="G179" s="100" t="str">
        <f>IFERROR(VLOOKUP(F179,Productos!$A$2:$D$277,2,0)," ")</f>
        <v xml:space="preserve"> </v>
      </c>
      <c r="H179" s="97"/>
      <c r="I179" s="100" t="str">
        <f>IFERROR(VLOOKUP(F179,Productos!$A$2:$D$277,3,0)," ")</f>
        <v xml:space="preserve"> </v>
      </c>
      <c r="J179" s="97"/>
      <c r="K179" s="97"/>
      <c r="L179" s="14" t="str">
        <f t="shared" si="6"/>
        <v>En alistamiento</v>
      </c>
      <c r="M179" s="97"/>
      <c r="N179" s="98"/>
      <c r="O179" s="114"/>
      <c r="P179" s="114"/>
      <c r="Q179" s="101" t="str">
        <f t="shared" si="7"/>
        <v>En transito</v>
      </c>
      <c r="R179" s="99" t="str">
        <f>IF(L179="Despachado",NETWORKDAYS.INTL(A179,O179,11,Valores!$A$2:$A$19)-1,"PTE")</f>
        <v>PTE</v>
      </c>
      <c r="S179" s="99" t="str">
        <f>IF(Q179="Entregado",NETWORKDAYS.INTL(A179,P179,11,Valores!$A$2:$A$19)-1,"PTE")</f>
        <v>PTE</v>
      </c>
      <c r="T179" s="229" t="b">
        <f>IF(Q179="Entregado",IFERROR(IF(I179=VLOOKUP(I179,Valores!$K$1:$K$4,1,0),IF(S179&lt;=VLOOKUP(I179,Valores!$K$1:$L$4,2,0),"Cumple","No cumple")),IF(S179&lt;=VLOOKUP(K179,Valores!E:F,2,0),"Cumple","No cumple")))</f>
        <v>0</v>
      </c>
      <c r="U179" s="99">
        <f>IFERROR(IF(T179="no cumple",S179-VLOOKUP(I179,Valores!$K$1:$L$4,2,0),0),S179-VLOOKUP(K179,Valores!E:F,2,0))</f>
        <v>0</v>
      </c>
      <c r="V179" s="99"/>
      <c r="W179" s="115"/>
      <c r="X179" s="115"/>
      <c r="Y179" s="138"/>
    </row>
    <row r="180" spans="1:25" x14ac:dyDescent="0.3">
      <c r="A180" s="222"/>
      <c r="B180" s="97"/>
      <c r="C180" s="97"/>
      <c r="D180" s="97"/>
      <c r="E180" s="98"/>
      <c r="F180" s="97"/>
      <c r="G180" s="100" t="str">
        <f>IFERROR(VLOOKUP(F180,Productos!$A$2:$D$277,2,0)," ")</f>
        <v xml:space="preserve"> </v>
      </c>
      <c r="H180" s="97"/>
      <c r="I180" s="100" t="str">
        <f>IFERROR(VLOOKUP(F180,Productos!$A$2:$D$277,3,0)," ")</f>
        <v xml:space="preserve"> </v>
      </c>
      <c r="J180" s="97"/>
      <c r="K180" s="97"/>
      <c r="L180" s="14" t="str">
        <f t="shared" si="6"/>
        <v>En alistamiento</v>
      </c>
      <c r="M180" s="97"/>
      <c r="N180" s="98"/>
      <c r="O180" s="114"/>
      <c r="P180" s="114"/>
      <c r="Q180" s="101" t="str">
        <f t="shared" si="7"/>
        <v>En transito</v>
      </c>
      <c r="R180" s="99" t="str">
        <f>IF(L180="Despachado",NETWORKDAYS.INTL(A180,O180,11,Valores!$A$2:$A$19)-1,"PTE")</f>
        <v>PTE</v>
      </c>
      <c r="S180" s="99" t="str">
        <f>IF(Q180="Entregado",NETWORKDAYS.INTL(A180,P180,11,Valores!$A$2:$A$19)-1,"PTE")</f>
        <v>PTE</v>
      </c>
      <c r="T180" s="229" t="b">
        <f>IF(Q180="Entregado",IFERROR(IF(I180=VLOOKUP(I180,Valores!$K$1:$K$4,1,0),IF(S180&lt;=VLOOKUP(I180,Valores!$K$1:$L$4,2,0),"Cumple","No cumple")),IF(S180&lt;=VLOOKUP(K180,Valores!E:F,2,0),"Cumple","No cumple")))</f>
        <v>0</v>
      </c>
      <c r="U180" s="99">
        <f>IFERROR(IF(T180="no cumple",S180-VLOOKUP(I180,Valores!$K$1:$L$4,2,0),0),S180-VLOOKUP(K180,Valores!E:F,2,0))</f>
        <v>0</v>
      </c>
      <c r="V180" s="99"/>
      <c r="W180" s="115"/>
      <c r="X180" s="115"/>
      <c r="Y180" s="138"/>
    </row>
    <row r="181" spans="1:25" x14ac:dyDescent="0.3">
      <c r="A181" s="222"/>
      <c r="B181" s="97"/>
      <c r="C181" s="97"/>
      <c r="D181" s="97"/>
      <c r="E181" s="98"/>
      <c r="F181" s="97"/>
      <c r="G181" s="100" t="str">
        <f>IFERROR(VLOOKUP(F181,Productos!$A$2:$D$277,2,0)," ")</f>
        <v xml:space="preserve"> </v>
      </c>
      <c r="H181" s="97"/>
      <c r="I181" s="100" t="str">
        <f>IFERROR(VLOOKUP(F181,Productos!$A$2:$D$277,3,0)," ")</f>
        <v xml:space="preserve"> </v>
      </c>
      <c r="J181" s="97"/>
      <c r="K181" s="97"/>
      <c r="L181" s="14" t="str">
        <f t="shared" si="6"/>
        <v>En alistamiento</v>
      </c>
      <c r="M181" s="97"/>
      <c r="N181" s="98"/>
      <c r="O181" s="114"/>
      <c r="P181" s="114"/>
      <c r="Q181" s="101" t="str">
        <f t="shared" si="7"/>
        <v>En transito</v>
      </c>
      <c r="R181" s="99" t="str">
        <f>IF(L181="Despachado",NETWORKDAYS.INTL(A181,O181,11,Valores!$A$2:$A$19)-1,"PTE")</f>
        <v>PTE</v>
      </c>
      <c r="S181" s="99" t="str">
        <f>IF(Q181="Entregado",NETWORKDAYS.INTL(A181,P181,11,Valores!$A$2:$A$19)-1,"PTE")</f>
        <v>PTE</v>
      </c>
      <c r="T181" s="229" t="b">
        <f>IF(Q181="Entregado",IFERROR(IF(I181=VLOOKUP(I181,Valores!$K$1:$K$4,1,0),IF(S181&lt;=VLOOKUP(I181,Valores!$K$1:$L$4,2,0),"Cumple","No cumple")),IF(S181&lt;=VLOOKUP(K181,Valores!E:F,2,0),"Cumple","No cumple")))</f>
        <v>0</v>
      </c>
      <c r="U181" s="99">
        <f>IFERROR(IF(T181="no cumple",S181-VLOOKUP(I181,Valores!$K$1:$L$4,2,0),0),S181-VLOOKUP(K181,Valores!E:F,2,0))</f>
        <v>0</v>
      </c>
      <c r="V181" s="99"/>
      <c r="W181" s="115"/>
      <c r="X181" s="115"/>
      <c r="Y181" s="138"/>
    </row>
    <row r="182" spans="1:25" x14ac:dyDescent="0.3">
      <c r="A182" s="104"/>
      <c r="B182" s="97"/>
      <c r="C182" s="97"/>
      <c r="D182" s="97"/>
      <c r="E182" s="98"/>
      <c r="F182" s="97"/>
      <c r="G182" s="100" t="str">
        <f>IFERROR(VLOOKUP(F182,Productos!$A$2:$D$277,2,0)," ")</f>
        <v xml:space="preserve"> </v>
      </c>
      <c r="H182" s="97"/>
      <c r="I182" s="100" t="str">
        <f>IFERROR(VLOOKUP(F182,Productos!$A$2:$D$277,3,0)," ")</f>
        <v xml:space="preserve"> </v>
      </c>
      <c r="J182" s="97"/>
      <c r="K182" s="97"/>
      <c r="L182" s="14" t="str">
        <f t="shared" si="6"/>
        <v>En alistamiento</v>
      </c>
      <c r="M182" s="97"/>
      <c r="N182" s="98"/>
      <c r="O182" s="114"/>
      <c r="P182" s="114"/>
      <c r="Q182" s="101" t="str">
        <f t="shared" si="7"/>
        <v>En transito</v>
      </c>
      <c r="R182" s="99" t="str">
        <f>IF(L182="Despachado",NETWORKDAYS.INTL(A182,O182,11,Valores!$A$2:$A$19)-1,"PTE")</f>
        <v>PTE</v>
      </c>
      <c r="S182" s="99" t="str">
        <f>IF(Q182="Entregado",NETWORKDAYS.INTL(A182,P182,11,Valores!$A$2:$A$19)-1,"PTE")</f>
        <v>PTE</v>
      </c>
      <c r="T182" s="229" t="b">
        <f>IF(Q182="Entregado",IFERROR(IF(I182=VLOOKUP(I182,Valores!$K$1:$K$4,1,0),IF(S182&lt;=VLOOKUP(I182,Valores!$K$1:$L$4,2,0),"Cumple","No cumple")),IF(S182&lt;=VLOOKUP(K182,Valores!E:F,2,0),"Cumple","No cumple")))</f>
        <v>0</v>
      </c>
      <c r="U182" s="99">
        <f>IFERROR(IF(T182="no cumple",S182-VLOOKUP(I182,Valores!$K$1:$L$4,2,0),0),S182-VLOOKUP(K182,Valores!E:F,2,0))</f>
        <v>0</v>
      </c>
      <c r="V182" s="99"/>
      <c r="W182" s="115"/>
      <c r="X182" s="115"/>
      <c r="Y182" s="138"/>
    </row>
    <row r="183" spans="1:25" x14ac:dyDescent="0.3">
      <c r="A183" s="104"/>
      <c r="B183" s="97"/>
      <c r="C183" s="97"/>
      <c r="D183" s="97"/>
      <c r="E183" s="98"/>
      <c r="F183" s="97"/>
      <c r="G183" s="100" t="str">
        <f>IFERROR(VLOOKUP(F183,Productos!$A$2:$D$277,2,0)," ")</f>
        <v xml:space="preserve"> </v>
      </c>
      <c r="H183" s="97"/>
      <c r="I183" s="100" t="str">
        <f>IFERROR(VLOOKUP(F183,Productos!$A$2:$D$277,3,0)," ")</f>
        <v xml:space="preserve"> </v>
      </c>
      <c r="J183" s="97"/>
      <c r="K183" s="97"/>
      <c r="L183" s="14" t="str">
        <f t="shared" si="6"/>
        <v>En alistamiento</v>
      </c>
      <c r="M183" s="97"/>
      <c r="N183" s="98"/>
      <c r="O183" s="114"/>
      <c r="P183" s="114"/>
      <c r="Q183" s="101" t="str">
        <f t="shared" si="7"/>
        <v>En transito</v>
      </c>
      <c r="R183" s="99" t="str">
        <f>IF(L183="Despachado",NETWORKDAYS.INTL(A183,O183,11,Valores!$A$2:$A$19)-1,"PTE")</f>
        <v>PTE</v>
      </c>
      <c r="S183" s="99" t="str">
        <f>IF(Q183="Entregado",NETWORKDAYS.INTL(A183,P183,11,Valores!$A$2:$A$19)-1,"PTE")</f>
        <v>PTE</v>
      </c>
      <c r="T183" s="229" t="b">
        <f>IF(Q183="Entregado",IFERROR(IF(I183=VLOOKUP(I183,Valores!$K$1:$K$4,1,0),IF(S183&lt;=VLOOKUP(I183,Valores!$K$1:$L$4,2,0),"Cumple","No cumple")),IF(S183&lt;=VLOOKUP(K183,Valores!E:F,2,0),"Cumple","No cumple")))</f>
        <v>0</v>
      </c>
      <c r="U183" s="99">
        <f>IFERROR(IF(T183="no cumple",S183-VLOOKUP(I183,Valores!$K$1:$L$4,2,0),0),S183-VLOOKUP(K183,Valores!E:F,2,0))</f>
        <v>0</v>
      </c>
      <c r="V183" s="99"/>
      <c r="W183" s="115"/>
      <c r="X183" s="115"/>
      <c r="Y183" s="138"/>
    </row>
    <row r="184" spans="1:25" x14ac:dyDescent="0.3">
      <c r="A184" s="104"/>
      <c r="B184" s="97"/>
      <c r="C184" s="97"/>
      <c r="D184" s="97"/>
      <c r="E184" s="98"/>
      <c r="F184" s="97"/>
      <c r="G184" s="100" t="str">
        <f>IFERROR(VLOOKUP(F184,Productos!$A$2:$D$277,2,0)," ")</f>
        <v xml:space="preserve"> </v>
      </c>
      <c r="H184" s="97"/>
      <c r="I184" s="100" t="str">
        <f>IFERROR(VLOOKUP(F184,Productos!$A$2:$D$277,3,0)," ")</f>
        <v xml:space="preserve"> </v>
      </c>
      <c r="J184" s="97"/>
      <c r="K184" s="97"/>
      <c r="L184" s="14" t="str">
        <f t="shared" si="6"/>
        <v>En alistamiento</v>
      </c>
      <c r="M184" s="97"/>
      <c r="N184" s="98"/>
      <c r="O184" s="114"/>
      <c r="P184" s="114"/>
      <c r="Q184" s="101" t="str">
        <f t="shared" si="7"/>
        <v>En transito</v>
      </c>
      <c r="R184" s="99" t="str">
        <f>IF(L184="Despachado",NETWORKDAYS.INTL(A184,O184,11,Valores!$A$2:$A$19)-1,"PTE")</f>
        <v>PTE</v>
      </c>
      <c r="S184" s="99" t="str">
        <f>IF(Q184="Entregado",NETWORKDAYS.INTL(A184,P184,11,Valores!$A$2:$A$19)-1,"PTE")</f>
        <v>PTE</v>
      </c>
      <c r="T184" s="229" t="b">
        <f>IF(Q184="Entregado",IFERROR(IF(I184=VLOOKUP(I184,Valores!$K$1:$K$4,1,0),IF(S184&lt;=VLOOKUP(I184,Valores!$K$1:$L$4,2,0),"Cumple","No cumple")),IF(S184&lt;=VLOOKUP(K184,Valores!E:F,2,0),"Cumple","No cumple")))</f>
        <v>0</v>
      </c>
      <c r="U184" s="99">
        <f>IFERROR(IF(T184="no cumple",S184-VLOOKUP(I184,Valores!$K$1:$L$4,2,0),0),S184-VLOOKUP(K184,Valores!E:F,2,0))</f>
        <v>0</v>
      </c>
      <c r="V184" s="99"/>
      <c r="W184" s="115"/>
      <c r="X184" s="115"/>
      <c r="Y184" s="138"/>
    </row>
    <row r="185" spans="1:25" x14ac:dyDescent="0.3">
      <c r="A185" s="104"/>
      <c r="B185" s="97"/>
      <c r="C185" s="97"/>
      <c r="D185" s="97"/>
      <c r="E185" s="98"/>
      <c r="F185" s="97"/>
      <c r="G185" s="100" t="str">
        <f>IFERROR(VLOOKUP(F185,Productos!$A$2:$D$277,2,0)," ")</f>
        <v xml:space="preserve"> </v>
      </c>
      <c r="H185" s="97"/>
      <c r="I185" s="100" t="str">
        <f>IFERROR(VLOOKUP(F185,Productos!$A$2:$D$277,3,0)," ")</f>
        <v xml:space="preserve"> </v>
      </c>
      <c r="J185" s="97"/>
      <c r="K185" s="97"/>
      <c r="L185" s="14" t="str">
        <f t="shared" si="6"/>
        <v>En alistamiento</v>
      </c>
      <c r="M185" s="97"/>
      <c r="N185" s="98"/>
      <c r="O185" s="114"/>
      <c r="P185" s="114"/>
      <c r="Q185" s="101" t="str">
        <f t="shared" si="7"/>
        <v>En transito</v>
      </c>
      <c r="R185" s="99" t="str">
        <f>IF(L185="Despachado",NETWORKDAYS.INTL(A185,O185,11,Valores!$A$2:$A$19)-1,"PTE")</f>
        <v>PTE</v>
      </c>
      <c r="S185" s="99" t="str">
        <f>IF(Q185="Entregado",NETWORKDAYS.INTL(A185,P185,11,Valores!$A$2:$A$19)-1,"PTE")</f>
        <v>PTE</v>
      </c>
      <c r="T185" s="229" t="b">
        <f>IF(Q185="Entregado",IFERROR(IF(I185=VLOOKUP(I185,Valores!$K$1:$K$4,1,0),IF(S185&lt;=VLOOKUP(I185,Valores!$K$1:$L$4,2,0),"Cumple","No cumple")),IF(S185&lt;=VLOOKUP(K185,Valores!E:F,2,0),"Cumple","No cumple")))</f>
        <v>0</v>
      </c>
      <c r="U185" s="99">
        <f>IFERROR(IF(T185="no cumple",S185-VLOOKUP(I185,Valores!$K$1:$L$4,2,0),0),S185-VLOOKUP(K185,Valores!E:F,2,0))</f>
        <v>0</v>
      </c>
      <c r="V185" s="99"/>
      <c r="W185" s="115"/>
      <c r="X185" s="115"/>
      <c r="Y185" s="138"/>
    </row>
    <row r="186" spans="1:25" x14ac:dyDescent="0.3">
      <c r="A186" s="104"/>
      <c r="B186" s="97"/>
      <c r="C186" s="97"/>
      <c r="D186" s="97"/>
      <c r="E186" s="98"/>
      <c r="F186" s="97"/>
      <c r="G186" s="100" t="str">
        <f>IFERROR(VLOOKUP(F186,Productos!$A$2:$D$277,2,0)," ")</f>
        <v xml:space="preserve"> </v>
      </c>
      <c r="H186" s="97"/>
      <c r="I186" s="100" t="str">
        <f>IFERROR(VLOOKUP(F186,Productos!$A$2:$D$277,3,0)," ")</f>
        <v xml:space="preserve"> </v>
      </c>
      <c r="J186" s="97"/>
      <c r="K186" s="97"/>
      <c r="L186" s="14" t="str">
        <f t="shared" si="6"/>
        <v>En alistamiento</v>
      </c>
      <c r="M186" s="97"/>
      <c r="N186" s="98"/>
      <c r="O186" s="114"/>
      <c r="P186" s="114"/>
      <c r="Q186" s="101" t="str">
        <f t="shared" si="7"/>
        <v>En transito</v>
      </c>
      <c r="R186" s="99" t="str">
        <f>IF(L186="Despachado",NETWORKDAYS.INTL(A186,O186,11,Valores!$A$2:$A$19)-1,"PTE")</f>
        <v>PTE</v>
      </c>
      <c r="S186" s="99" t="str">
        <f>IF(Q186="Entregado",NETWORKDAYS.INTL(A186,P186,11,Valores!$A$2:$A$19)-1,"PTE")</f>
        <v>PTE</v>
      </c>
      <c r="T186" s="229" t="b">
        <f>IF(Q186="Entregado",IFERROR(IF(I186=VLOOKUP(I186,Valores!$K$1:$K$4,1,0),IF(S186&lt;=VLOOKUP(I186,Valores!$K$1:$L$4,2,0),"Cumple","No cumple")),IF(S186&lt;=VLOOKUP(K186,Valores!E:F,2,0),"Cumple","No cumple")))</f>
        <v>0</v>
      </c>
      <c r="U186" s="99">
        <f>IFERROR(IF(T186="no cumple",S186-VLOOKUP(I186,Valores!$K$1:$L$4,2,0),0),S186-VLOOKUP(K186,Valores!E:F,2,0))</f>
        <v>0</v>
      </c>
      <c r="V186" s="99"/>
      <c r="W186" s="115"/>
      <c r="X186" s="115"/>
      <c r="Y186" s="138"/>
    </row>
    <row r="187" spans="1:25" x14ac:dyDescent="0.3">
      <c r="A187" s="104"/>
      <c r="B187" s="97"/>
      <c r="C187" s="97"/>
      <c r="D187" s="97"/>
      <c r="E187" s="98"/>
      <c r="F187" s="97"/>
      <c r="G187" s="100" t="str">
        <f>IFERROR(VLOOKUP(F187,Productos!$A$2:$D$277,2,0)," ")</f>
        <v xml:space="preserve"> </v>
      </c>
      <c r="H187" s="97"/>
      <c r="I187" s="100" t="str">
        <f>IFERROR(VLOOKUP(F187,Productos!$A$2:$D$277,3,0)," ")</f>
        <v xml:space="preserve"> </v>
      </c>
      <c r="J187" s="97"/>
      <c r="K187" s="97"/>
      <c r="L187" s="14" t="str">
        <f t="shared" si="6"/>
        <v>En alistamiento</v>
      </c>
      <c r="M187" s="97"/>
      <c r="N187" s="98"/>
      <c r="O187" s="114"/>
      <c r="P187" s="114"/>
      <c r="Q187" s="101" t="str">
        <f t="shared" si="7"/>
        <v>En transito</v>
      </c>
      <c r="R187" s="99" t="str">
        <f>IF(L187="Despachado",NETWORKDAYS.INTL(A187,O187,11,Valores!$A$2:$A$19)-1,"PTE")</f>
        <v>PTE</v>
      </c>
      <c r="S187" s="99" t="str">
        <f>IF(Q187="Entregado",NETWORKDAYS.INTL(A187,P187,11,Valores!$A$2:$A$19)-1,"PTE")</f>
        <v>PTE</v>
      </c>
      <c r="T187" s="229" t="b">
        <f>IF(Q187="Entregado",IFERROR(IF(I187=VLOOKUP(I187,Valores!$K$1:$K$4,1,0),IF(S187&lt;=VLOOKUP(I187,Valores!$K$1:$L$4,2,0),"Cumple","No cumple")),IF(S187&lt;=VLOOKUP(K187,Valores!E:F,2,0),"Cumple","No cumple")))</f>
        <v>0</v>
      </c>
      <c r="U187" s="99">
        <f>IFERROR(IF(T187="no cumple",S187-VLOOKUP(I187,Valores!$K$1:$L$4,2,0),0),S187-VLOOKUP(K187,Valores!E:F,2,0))</f>
        <v>0</v>
      </c>
      <c r="V187" s="99"/>
      <c r="W187" s="115"/>
      <c r="X187" s="115"/>
      <c r="Y187" s="138"/>
    </row>
    <row r="188" spans="1:25" x14ac:dyDescent="0.3">
      <c r="A188" s="104"/>
      <c r="B188" s="97"/>
      <c r="C188" s="97"/>
      <c r="D188" s="97"/>
      <c r="E188" s="98"/>
      <c r="F188" s="97"/>
      <c r="G188" s="100" t="str">
        <f>IFERROR(VLOOKUP(F188,Productos!$A$2:$D$277,2,0)," ")</f>
        <v xml:space="preserve"> </v>
      </c>
      <c r="H188" s="97"/>
      <c r="I188" s="100" t="str">
        <f>IFERROR(VLOOKUP(F188,Productos!$A$2:$D$277,3,0)," ")</f>
        <v xml:space="preserve"> </v>
      </c>
      <c r="J188" s="97"/>
      <c r="K188" s="97"/>
      <c r="L188" s="14" t="str">
        <f t="shared" si="6"/>
        <v>En alistamiento</v>
      </c>
      <c r="M188" s="97"/>
      <c r="N188" s="98"/>
      <c r="O188" s="114"/>
      <c r="P188" s="114"/>
      <c r="Q188" s="101" t="str">
        <f t="shared" si="7"/>
        <v>En transito</v>
      </c>
      <c r="R188" s="99" t="str">
        <f>IF(L188="Despachado",NETWORKDAYS.INTL(A188,O188,11,Valores!$A$2:$A$19)-1,"PTE")</f>
        <v>PTE</v>
      </c>
      <c r="S188" s="99" t="str">
        <f>IF(Q188="Entregado",NETWORKDAYS.INTL(A188,P188,11,Valores!$A$2:$A$19)-1,"PTE")</f>
        <v>PTE</v>
      </c>
      <c r="T188" s="229" t="b">
        <f>IF(Q188="Entregado",IFERROR(IF(I188=VLOOKUP(I188,Valores!$K$1:$K$4,1,0),IF(S188&lt;=VLOOKUP(I188,Valores!$K$1:$L$4,2,0),"Cumple","No cumple")),IF(S188&lt;=VLOOKUP(K188,Valores!E:F,2,0),"Cumple","No cumple")))</f>
        <v>0</v>
      </c>
      <c r="U188" s="99">
        <f>IFERROR(IF(T188="no cumple",S188-VLOOKUP(I188,Valores!$K$1:$L$4,2,0),0),S188-VLOOKUP(K188,Valores!E:F,2,0))</f>
        <v>0</v>
      </c>
      <c r="V188" s="99"/>
      <c r="W188" s="115"/>
      <c r="X188" s="115"/>
      <c r="Y188" s="138"/>
    </row>
    <row r="189" spans="1:25" x14ac:dyDescent="0.3">
      <c r="T189" s="229" t="b">
        <f>IF(Q189="Entregado",IFERROR(IF(I189=VLOOKUP(I189,Valores!$K$1:$K$4,1,0),IF(S189&lt;=VLOOKUP(I189,Valores!$K$1:$L$4,2,0),"Cumple","No cumple")),IF(S189&lt;=VLOOKUP(K189,Valores!E:F,2,0),"Cumple","No cumple")))</f>
        <v>0</v>
      </c>
      <c r="U189" s="125"/>
      <c r="V189" s="163"/>
    </row>
    <row r="190" spans="1:25" x14ac:dyDescent="0.3">
      <c r="T190" s="229" t="b">
        <f>IF(Q190="Entregado",IFERROR(IF(I190=VLOOKUP(I190,Valores!$K$1:$K$4,1,0),IF(S190&lt;=VLOOKUP(I190,Valores!$K$1:$L$4,2,0),"Cumple","No cumple")),IF(S190&lt;=VLOOKUP(K190,Valores!E:F,2,0),"Cumple","No cumple")))</f>
        <v>0</v>
      </c>
      <c r="U190" s="125"/>
      <c r="V190" s="163"/>
    </row>
  </sheetData>
  <autoFilter ref="A4:Z188" xr:uid="{00000000-0001-0000-0000-000000000000}"/>
  <phoneticPr fontId="36" type="noConversion"/>
  <conditionalFormatting sqref="X5:Y123">
    <cfRule type="cellIs" dxfId="1" priority="39" operator="lessThan">
      <formula>0</formula>
    </cfRule>
    <cfRule type="cellIs" dxfId="0" priority="40" operator="greaterThan">
      <formula>0</formula>
    </cfRule>
  </conditionalFormatting>
  <pageMargins left="0.7" right="0.7" top="0.75" bottom="0.75" header="0.3" footer="0.3"/>
  <pageSetup scale="1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004631-4DE5-484D-8B8F-B5CBB5C03F7C}">
          <x14:formula1>
            <xm:f>Valores!$H$2:$H$5</xm:f>
          </x14:formula1>
          <xm:sqref>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9"/>
  <sheetViews>
    <sheetView showGridLines="0" topLeftCell="A49" zoomScale="115" zoomScaleNormal="115" workbookViewId="0">
      <selection activeCell="A58" sqref="A58"/>
    </sheetView>
  </sheetViews>
  <sheetFormatPr baseColWidth="10" defaultRowHeight="14.4" x14ac:dyDescent="0.3"/>
  <cols>
    <col min="1" max="1" width="15.109375" style="16" bestFit="1" customWidth="1"/>
    <col min="2" max="2" width="54" style="16" bestFit="1" customWidth="1"/>
    <col min="3" max="3" width="14.44140625" style="16" bestFit="1" customWidth="1"/>
    <col min="4" max="4" width="18.44140625" style="16" bestFit="1" customWidth="1"/>
  </cols>
  <sheetData>
    <row r="1" spans="1:23" ht="47.25" customHeight="1" x14ac:dyDescent="0.3">
      <c r="A1" s="208" t="s">
        <v>51</v>
      </c>
      <c r="B1" s="208"/>
      <c r="C1" s="208"/>
      <c r="D1" s="2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5.5" customHeight="1" x14ac:dyDescent="0.3">
      <c r="A2" s="94" t="s">
        <v>52</v>
      </c>
      <c r="B2" s="95" t="s">
        <v>53</v>
      </c>
      <c r="C2" s="96" t="s">
        <v>7</v>
      </c>
      <c r="D2" s="96" t="s">
        <v>121</v>
      </c>
      <c r="E2" s="1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">
      <c r="A3" s="13" t="s">
        <v>404</v>
      </c>
      <c r="B3" s="13" t="s">
        <v>806</v>
      </c>
      <c r="C3" s="13" t="s">
        <v>48</v>
      </c>
      <c r="D3" s="24">
        <v>35000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13" t="s">
        <v>256</v>
      </c>
      <c r="B4" s="13" t="s">
        <v>804</v>
      </c>
      <c r="C4" s="13" t="s">
        <v>48</v>
      </c>
      <c r="D4" s="24">
        <v>35000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110" t="s">
        <v>255</v>
      </c>
      <c r="B5" s="111" t="s">
        <v>805</v>
      </c>
      <c r="C5" s="110" t="s">
        <v>48</v>
      </c>
      <c r="D5" s="112">
        <v>35000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13" t="s">
        <v>259</v>
      </c>
      <c r="B6" s="13" t="s">
        <v>260</v>
      </c>
      <c r="C6" s="13" t="s">
        <v>48</v>
      </c>
      <c r="D6" s="24">
        <v>35000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13" t="s">
        <v>257</v>
      </c>
      <c r="B7" s="13" t="s">
        <v>258</v>
      </c>
      <c r="C7" s="13" t="s">
        <v>48</v>
      </c>
      <c r="D7" s="24">
        <v>35000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13" t="s">
        <v>76</v>
      </c>
      <c r="B8" s="13" t="s">
        <v>77</v>
      </c>
      <c r="C8" s="13" t="s">
        <v>48</v>
      </c>
      <c r="D8" s="26">
        <v>35000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13" t="s">
        <v>80</v>
      </c>
      <c r="B9" s="13" t="s">
        <v>81</v>
      </c>
      <c r="C9" s="13" t="s">
        <v>48</v>
      </c>
      <c r="D9" s="26">
        <v>35000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13" t="s">
        <v>74</v>
      </c>
      <c r="B10" s="13" t="s">
        <v>75</v>
      </c>
      <c r="C10" s="13" t="s">
        <v>48</v>
      </c>
      <c r="D10" s="26">
        <v>35000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13" t="s">
        <v>78</v>
      </c>
      <c r="B11" s="13" t="s">
        <v>79</v>
      </c>
      <c r="C11" s="13" t="s">
        <v>48</v>
      </c>
      <c r="D11" s="26">
        <v>35000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13" t="s">
        <v>151</v>
      </c>
      <c r="B12" s="25" t="s">
        <v>383</v>
      </c>
      <c r="C12" s="13" t="s">
        <v>48</v>
      </c>
      <c r="D12" s="24">
        <v>35000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13" t="s">
        <v>150</v>
      </c>
      <c r="B13" s="25" t="s">
        <v>382</v>
      </c>
      <c r="C13" s="13" t="s">
        <v>48</v>
      </c>
      <c r="D13" s="24">
        <v>35000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13" t="s">
        <v>59</v>
      </c>
      <c r="B14" s="25" t="s">
        <v>381</v>
      </c>
      <c r="C14" s="13" t="s">
        <v>48</v>
      </c>
      <c r="D14" s="24">
        <v>35000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13" t="s">
        <v>43</v>
      </c>
      <c r="B15" s="25" t="s">
        <v>386</v>
      </c>
      <c r="C15" s="13" t="s">
        <v>48</v>
      </c>
      <c r="D15" s="24">
        <v>35000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13" t="s">
        <v>247</v>
      </c>
      <c r="B16" s="25" t="s">
        <v>380</v>
      </c>
      <c r="C16" s="13" t="s">
        <v>48</v>
      </c>
      <c r="D16" s="24">
        <v>35000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13" t="s">
        <v>149</v>
      </c>
      <c r="B17" s="25" t="s">
        <v>379</v>
      </c>
      <c r="C17" s="13" t="s">
        <v>48</v>
      </c>
      <c r="D17" s="24">
        <v>35000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13" t="s">
        <v>148</v>
      </c>
      <c r="B18" s="25" t="s">
        <v>378</v>
      </c>
      <c r="C18" s="13" t="s">
        <v>48</v>
      </c>
      <c r="D18" s="24">
        <v>35000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13" t="s">
        <v>50</v>
      </c>
      <c r="B19" s="25" t="s">
        <v>385</v>
      </c>
      <c r="C19" s="13" t="s">
        <v>48</v>
      </c>
      <c r="D19" s="24">
        <v>35000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13" t="s">
        <v>35</v>
      </c>
      <c r="B20" s="13" t="s">
        <v>384</v>
      </c>
      <c r="C20" s="13" t="s">
        <v>48</v>
      </c>
      <c r="D20" s="24">
        <v>35000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13" t="s">
        <v>147</v>
      </c>
      <c r="B21" s="25" t="s">
        <v>377</v>
      </c>
      <c r="C21" s="13" t="s">
        <v>48</v>
      </c>
      <c r="D21" s="24">
        <v>35000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13" t="s">
        <v>146</v>
      </c>
      <c r="B22" s="25" t="s">
        <v>376</v>
      </c>
      <c r="C22" s="13" t="s">
        <v>48</v>
      </c>
      <c r="D22" s="24">
        <v>35000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13" t="s">
        <v>107</v>
      </c>
      <c r="B23" s="25" t="s">
        <v>375</v>
      </c>
      <c r="C23" s="13" t="s">
        <v>48</v>
      </c>
      <c r="D23" s="24">
        <v>35000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13" t="s">
        <v>57</v>
      </c>
      <c r="B24" s="25" t="s">
        <v>316</v>
      </c>
      <c r="C24" s="13" t="s">
        <v>48</v>
      </c>
      <c r="D24" s="24">
        <v>35000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13" t="s">
        <v>22</v>
      </c>
      <c r="B25" s="25" t="s">
        <v>314</v>
      </c>
      <c r="C25" s="13" t="s">
        <v>48</v>
      </c>
      <c r="D25" s="24">
        <v>35000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13" t="s">
        <v>31</v>
      </c>
      <c r="B26" s="25" t="s">
        <v>315</v>
      </c>
      <c r="C26" s="13" t="s">
        <v>48</v>
      </c>
      <c r="D26" s="24">
        <v>35000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13" t="s">
        <v>29</v>
      </c>
      <c r="B27" s="25" t="s">
        <v>313</v>
      </c>
      <c r="C27" s="13" t="s">
        <v>48</v>
      </c>
      <c r="D27" s="24">
        <v>35000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13" t="s">
        <v>134</v>
      </c>
      <c r="B28" s="25" t="s">
        <v>318</v>
      </c>
      <c r="C28" s="13" t="s">
        <v>48</v>
      </c>
      <c r="D28" s="24">
        <v>35000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13" t="s">
        <v>105</v>
      </c>
      <c r="B29" s="25" t="s">
        <v>317</v>
      </c>
      <c r="C29" s="13" t="s">
        <v>48</v>
      </c>
      <c r="D29" s="24">
        <v>35000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13" t="s">
        <v>503</v>
      </c>
      <c r="B30" s="13" t="s">
        <v>504</v>
      </c>
      <c r="C30" s="13" t="s">
        <v>48</v>
      </c>
      <c r="D30" s="24">
        <v>35000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13" t="s">
        <v>487</v>
      </c>
      <c r="B31" s="13" t="s">
        <v>488</v>
      </c>
      <c r="C31" s="13" t="s">
        <v>48</v>
      </c>
      <c r="D31" s="24">
        <v>35000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13" t="s">
        <v>501</v>
      </c>
      <c r="B32" s="13" t="s">
        <v>502</v>
      </c>
      <c r="C32" s="13" t="s">
        <v>48</v>
      </c>
      <c r="D32" s="24">
        <v>35000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13" t="s">
        <v>485</v>
      </c>
      <c r="B33" s="13" t="s">
        <v>486</v>
      </c>
      <c r="C33" s="13" t="s">
        <v>48</v>
      </c>
      <c r="D33" s="24">
        <v>35000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107" t="s">
        <v>857</v>
      </c>
      <c r="B34" s="107" t="s">
        <v>859</v>
      </c>
      <c r="C34" s="107" t="s">
        <v>48</v>
      </c>
      <c r="D34" s="24">
        <v>35000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107" t="s">
        <v>857</v>
      </c>
      <c r="B35" s="107" t="s">
        <v>858</v>
      </c>
      <c r="C35" s="107" t="s">
        <v>48</v>
      </c>
      <c r="D35" s="24">
        <v>35000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107" t="s">
        <v>499</v>
      </c>
      <c r="B36" s="107" t="s">
        <v>500</v>
      </c>
      <c r="C36" s="107" t="s">
        <v>48</v>
      </c>
      <c r="D36" s="24">
        <v>35000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13" t="s">
        <v>483</v>
      </c>
      <c r="B37" s="13" t="s">
        <v>484</v>
      </c>
      <c r="C37" s="13" t="s">
        <v>48</v>
      </c>
      <c r="D37" s="24">
        <v>35000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13" t="s">
        <v>497</v>
      </c>
      <c r="B38" s="13" t="s">
        <v>498</v>
      </c>
      <c r="C38" s="13" t="s">
        <v>48</v>
      </c>
      <c r="D38" s="24">
        <v>35000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13" t="s">
        <v>481</v>
      </c>
      <c r="B39" s="13" t="s">
        <v>482</v>
      </c>
      <c r="C39" s="13" t="s">
        <v>48</v>
      </c>
      <c r="D39" s="24">
        <v>35000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13" t="s">
        <v>495</v>
      </c>
      <c r="B40" s="13" t="s">
        <v>496</v>
      </c>
      <c r="C40" s="29" t="s">
        <v>48</v>
      </c>
      <c r="D40" s="24">
        <v>35000</v>
      </c>
      <c r="E40" s="3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13" t="s">
        <v>479</v>
      </c>
      <c r="B41" s="13" t="s">
        <v>480</v>
      </c>
      <c r="C41" s="13" t="s">
        <v>48</v>
      </c>
      <c r="D41" s="24">
        <v>35000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13" t="s">
        <v>493</v>
      </c>
      <c r="B42" s="13" t="s">
        <v>494</v>
      </c>
      <c r="C42" s="13" t="s">
        <v>48</v>
      </c>
      <c r="D42" s="24">
        <v>35000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13" t="s">
        <v>477</v>
      </c>
      <c r="B43" s="13" t="s">
        <v>478</v>
      </c>
      <c r="C43" s="13" t="s">
        <v>48</v>
      </c>
      <c r="D43" s="24">
        <v>35000</v>
      </c>
    </row>
    <row r="44" spans="1:23" x14ac:dyDescent="0.3">
      <c r="A44" s="13" t="s">
        <v>491</v>
      </c>
      <c r="B44" s="13" t="s">
        <v>492</v>
      </c>
      <c r="C44" s="13" t="s">
        <v>48</v>
      </c>
      <c r="D44" s="24">
        <v>35000</v>
      </c>
    </row>
    <row r="45" spans="1:23" x14ac:dyDescent="0.3">
      <c r="A45" s="13" t="s">
        <v>475</v>
      </c>
      <c r="B45" s="13" t="s">
        <v>476</v>
      </c>
      <c r="C45" s="13" t="s">
        <v>48</v>
      </c>
      <c r="D45" s="24">
        <v>35000</v>
      </c>
    </row>
    <row r="46" spans="1:23" x14ac:dyDescent="0.3">
      <c r="A46" s="13" t="s">
        <v>489</v>
      </c>
      <c r="B46" s="13" t="s">
        <v>490</v>
      </c>
      <c r="C46" s="13" t="s">
        <v>48</v>
      </c>
      <c r="D46" s="24">
        <v>35000</v>
      </c>
    </row>
    <row r="47" spans="1:23" x14ac:dyDescent="0.3">
      <c r="A47" s="13" t="s">
        <v>473</v>
      </c>
      <c r="B47" s="13" t="s">
        <v>474</v>
      </c>
      <c r="C47" s="13" t="s">
        <v>48</v>
      </c>
      <c r="D47" s="24">
        <v>35000</v>
      </c>
    </row>
    <row r="48" spans="1:23" x14ac:dyDescent="0.3">
      <c r="A48" s="13" t="s">
        <v>471</v>
      </c>
      <c r="B48" s="13" t="s">
        <v>472</v>
      </c>
      <c r="C48" s="13" t="s">
        <v>48</v>
      </c>
      <c r="D48" s="24">
        <v>35000</v>
      </c>
    </row>
    <row r="49" spans="1:4" x14ac:dyDescent="0.3">
      <c r="A49" s="13" t="s">
        <v>455</v>
      </c>
      <c r="B49" s="13" t="s">
        <v>456</v>
      </c>
      <c r="C49" s="13" t="s">
        <v>48</v>
      </c>
      <c r="D49" s="24">
        <v>35000</v>
      </c>
    </row>
    <row r="50" spans="1:4" x14ac:dyDescent="0.3">
      <c r="A50" s="87" t="s">
        <v>662</v>
      </c>
      <c r="B50" s="87" t="s">
        <v>663</v>
      </c>
      <c r="C50" s="87" t="s">
        <v>48</v>
      </c>
      <c r="D50" s="88">
        <v>35000</v>
      </c>
    </row>
    <row r="51" spans="1:4" x14ac:dyDescent="0.3">
      <c r="A51" s="13" t="s">
        <v>469</v>
      </c>
      <c r="B51" s="13" t="s">
        <v>470</v>
      </c>
      <c r="C51" s="13" t="s">
        <v>48</v>
      </c>
      <c r="D51" s="24">
        <v>35000</v>
      </c>
    </row>
    <row r="52" spans="1:4" x14ac:dyDescent="0.3">
      <c r="A52" s="13" t="s">
        <v>453</v>
      </c>
      <c r="B52" s="13" t="s">
        <v>454</v>
      </c>
      <c r="C52" s="13" t="s">
        <v>48</v>
      </c>
      <c r="D52" s="24">
        <v>35000</v>
      </c>
    </row>
    <row r="53" spans="1:4" x14ac:dyDescent="0.3">
      <c r="A53" s="13" t="s">
        <v>467</v>
      </c>
      <c r="B53" s="13" t="s">
        <v>468</v>
      </c>
      <c r="C53" s="13" t="s">
        <v>48</v>
      </c>
      <c r="D53" s="24">
        <v>35000</v>
      </c>
    </row>
    <row r="54" spans="1:4" x14ac:dyDescent="0.3">
      <c r="A54" s="13" t="s">
        <v>451</v>
      </c>
      <c r="B54" s="13" t="s">
        <v>452</v>
      </c>
      <c r="C54" s="13" t="s">
        <v>48</v>
      </c>
      <c r="D54" s="24">
        <v>35000</v>
      </c>
    </row>
    <row r="55" spans="1:4" x14ac:dyDescent="0.3">
      <c r="A55" s="13" t="s">
        <v>465</v>
      </c>
      <c r="B55" s="13" t="s">
        <v>466</v>
      </c>
      <c r="C55" s="13" t="s">
        <v>48</v>
      </c>
      <c r="D55" s="24">
        <v>35000</v>
      </c>
    </row>
    <row r="56" spans="1:4" x14ac:dyDescent="0.3">
      <c r="A56" s="13" t="s">
        <v>449</v>
      </c>
      <c r="B56" s="13" t="s">
        <v>450</v>
      </c>
      <c r="C56" s="13" t="s">
        <v>48</v>
      </c>
      <c r="D56" s="24">
        <v>35000</v>
      </c>
    </row>
    <row r="57" spans="1:4" x14ac:dyDescent="0.3">
      <c r="A57" s="13" t="s">
        <v>463</v>
      </c>
      <c r="B57" s="13" t="s">
        <v>464</v>
      </c>
      <c r="C57" s="13" t="s">
        <v>48</v>
      </c>
      <c r="D57" s="24">
        <v>35000</v>
      </c>
    </row>
    <row r="58" spans="1:4" x14ac:dyDescent="0.3">
      <c r="A58" s="13" t="s">
        <v>447</v>
      </c>
      <c r="B58" s="13" t="s">
        <v>448</v>
      </c>
      <c r="C58" s="13" t="s">
        <v>48</v>
      </c>
      <c r="D58" s="24">
        <v>35000</v>
      </c>
    </row>
    <row r="59" spans="1:4" x14ac:dyDescent="0.3">
      <c r="A59" s="13" t="s">
        <v>461</v>
      </c>
      <c r="B59" s="13" t="s">
        <v>462</v>
      </c>
      <c r="C59" s="13" t="s">
        <v>48</v>
      </c>
      <c r="D59" s="24">
        <v>35000</v>
      </c>
    </row>
    <row r="60" spans="1:4" x14ac:dyDescent="0.3">
      <c r="A60" s="13" t="s">
        <v>445</v>
      </c>
      <c r="B60" s="13" t="s">
        <v>446</v>
      </c>
      <c r="C60" s="13" t="s">
        <v>48</v>
      </c>
      <c r="D60" s="24">
        <v>35000</v>
      </c>
    </row>
    <row r="61" spans="1:4" x14ac:dyDescent="0.3">
      <c r="A61" s="13" t="s">
        <v>459</v>
      </c>
      <c r="B61" s="13" t="s">
        <v>460</v>
      </c>
      <c r="C61" s="13" t="s">
        <v>48</v>
      </c>
      <c r="D61" s="24">
        <v>35000</v>
      </c>
    </row>
    <row r="62" spans="1:4" x14ac:dyDescent="0.3">
      <c r="A62" s="13" t="s">
        <v>443</v>
      </c>
      <c r="B62" s="13" t="s">
        <v>444</v>
      </c>
      <c r="C62" s="13" t="s">
        <v>48</v>
      </c>
      <c r="D62" s="24">
        <v>35000</v>
      </c>
    </row>
    <row r="63" spans="1:4" x14ac:dyDescent="0.3">
      <c r="A63" s="13" t="s">
        <v>457</v>
      </c>
      <c r="B63" s="13" t="s">
        <v>458</v>
      </c>
      <c r="C63" s="13" t="s">
        <v>48</v>
      </c>
      <c r="D63" s="24">
        <v>35000</v>
      </c>
    </row>
    <row r="64" spans="1:4" x14ac:dyDescent="0.3">
      <c r="A64" s="13" t="s">
        <v>441</v>
      </c>
      <c r="B64" s="13" t="s">
        <v>442</v>
      </c>
      <c r="C64" s="13" t="s">
        <v>48</v>
      </c>
      <c r="D64" s="24">
        <v>35000</v>
      </c>
    </row>
    <row r="65" spans="1:23" x14ac:dyDescent="0.3">
      <c r="A65" s="13" t="s">
        <v>439</v>
      </c>
      <c r="B65" s="13" t="s">
        <v>440</v>
      </c>
      <c r="C65" s="13" t="s">
        <v>48</v>
      </c>
      <c r="D65" s="24">
        <v>35000</v>
      </c>
    </row>
    <row r="66" spans="1:23" x14ac:dyDescent="0.3">
      <c r="A66" s="13" t="s">
        <v>421</v>
      </c>
      <c r="B66" s="13" t="s">
        <v>422</v>
      </c>
      <c r="C66" s="29" t="s">
        <v>48</v>
      </c>
      <c r="D66" s="24">
        <v>35000</v>
      </c>
    </row>
    <row r="67" spans="1:23" x14ac:dyDescent="0.3">
      <c r="A67" s="13" t="s">
        <v>437</v>
      </c>
      <c r="B67" s="13" t="s">
        <v>438</v>
      </c>
      <c r="C67" s="13" t="s">
        <v>48</v>
      </c>
      <c r="D67" s="24">
        <v>35000</v>
      </c>
    </row>
    <row r="68" spans="1:23" x14ac:dyDescent="0.3">
      <c r="A68" s="13" t="s">
        <v>419</v>
      </c>
      <c r="B68" s="13" t="s">
        <v>420</v>
      </c>
      <c r="C68" s="13" t="s">
        <v>48</v>
      </c>
      <c r="D68" s="24">
        <v>35000</v>
      </c>
    </row>
    <row r="69" spans="1:23" x14ac:dyDescent="0.3">
      <c r="A69" s="13" t="s">
        <v>435</v>
      </c>
      <c r="B69" s="13" t="s">
        <v>436</v>
      </c>
      <c r="C69" s="13" t="s">
        <v>48</v>
      </c>
      <c r="D69" s="24">
        <v>35000</v>
      </c>
    </row>
    <row r="70" spans="1:23" ht="15.75" customHeight="1" x14ac:dyDescent="0.3">
      <c r="A70" s="13" t="s">
        <v>417</v>
      </c>
      <c r="B70" s="13" t="s">
        <v>418</v>
      </c>
      <c r="C70" s="13" t="s">
        <v>48</v>
      </c>
      <c r="D70" s="24">
        <v>35000</v>
      </c>
    </row>
    <row r="71" spans="1:23" x14ac:dyDescent="0.3">
      <c r="A71" s="13" t="s">
        <v>433</v>
      </c>
      <c r="B71" s="13" t="s">
        <v>434</v>
      </c>
      <c r="C71" s="13" t="s">
        <v>48</v>
      </c>
      <c r="D71" s="24">
        <v>35000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3">
      <c r="A72" s="13" t="s">
        <v>415</v>
      </c>
      <c r="B72" s="13" t="s">
        <v>416</v>
      </c>
      <c r="C72" s="13" t="s">
        <v>48</v>
      </c>
      <c r="D72" s="24">
        <v>35000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3">
      <c r="A73" s="13" t="s">
        <v>431</v>
      </c>
      <c r="B73" s="13" t="s">
        <v>432</v>
      </c>
      <c r="C73" s="33" t="s">
        <v>48</v>
      </c>
      <c r="D73" s="27">
        <v>35000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3">
      <c r="A74" s="13" t="s">
        <v>413</v>
      </c>
      <c r="B74" s="29" t="s">
        <v>414</v>
      </c>
      <c r="C74" s="13" t="s">
        <v>48</v>
      </c>
      <c r="D74" s="24">
        <v>35000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3">
      <c r="A75" s="13" t="s">
        <v>429</v>
      </c>
      <c r="B75" s="29" t="s">
        <v>430</v>
      </c>
      <c r="C75" s="13" t="s">
        <v>48</v>
      </c>
      <c r="D75" s="24">
        <v>35000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3">
      <c r="A76" s="13" t="s">
        <v>411</v>
      </c>
      <c r="B76" s="13" t="s">
        <v>412</v>
      </c>
      <c r="C76" s="34" t="s">
        <v>48</v>
      </c>
      <c r="D76" s="28">
        <v>35000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3">
      <c r="A77" s="13" t="s">
        <v>427</v>
      </c>
      <c r="B77" s="13" t="s">
        <v>428</v>
      </c>
      <c r="C77" s="13" t="s">
        <v>48</v>
      </c>
      <c r="D77" s="24">
        <v>35000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3">
      <c r="A78" s="13" t="s">
        <v>409</v>
      </c>
      <c r="B78" s="13" t="s">
        <v>410</v>
      </c>
      <c r="C78" s="29" t="s">
        <v>48</v>
      </c>
      <c r="D78" s="24">
        <v>35000</v>
      </c>
    </row>
    <row r="79" spans="1:23" x14ac:dyDescent="0.3">
      <c r="A79" s="13" t="s">
        <v>425</v>
      </c>
      <c r="B79" s="13" t="s">
        <v>426</v>
      </c>
      <c r="C79" s="29" t="s">
        <v>48</v>
      </c>
      <c r="D79" s="24">
        <v>35000</v>
      </c>
    </row>
    <row r="80" spans="1:23" x14ac:dyDescent="0.3">
      <c r="A80" s="13" t="s">
        <v>407</v>
      </c>
      <c r="B80" s="13" t="s">
        <v>408</v>
      </c>
      <c r="C80" s="29" t="s">
        <v>48</v>
      </c>
      <c r="D80" s="24">
        <v>35000</v>
      </c>
    </row>
    <row r="81" spans="1:23" x14ac:dyDescent="0.3">
      <c r="A81" s="13" t="s">
        <v>423</v>
      </c>
      <c r="B81" s="13" t="s">
        <v>424</v>
      </c>
      <c r="C81" s="29" t="s">
        <v>48</v>
      </c>
      <c r="D81" s="24">
        <v>35000</v>
      </c>
    </row>
    <row r="82" spans="1:23" x14ac:dyDescent="0.3">
      <c r="A82" s="13" t="s">
        <v>405</v>
      </c>
      <c r="B82" s="13" t="s">
        <v>406</v>
      </c>
      <c r="C82" s="29" t="s">
        <v>48</v>
      </c>
      <c r="D82" s="24">
        <v>35000</v>
      </c>
    </row>
    <row r="83" spans="1:23" x14ac:dyDescent="0.3">
      <c r="A83" s="107" t="s">
        <v>1002</v>
      </c>
      <c r="B83" s="107" t="s">
        <v>1003</v>
      </c>
      <c r="C83" s="107" t="s">
        <v>48</v>
      </c>
      <c r="D83" s="112">
        <v>35000</v>
      </c>
    </row>
    <row r="84" spans="1:23" x14ac:dyDescent="0.3">
      <c r="A84" s="13" t="s">
        <v>58</v>
      </c>
      <c r="B84" s="25" t="s">
        <v>390</v>
      </c>
      <c r="C84" s="13" t="s">
        <v>48</v>
      </c>
      <c r="D84" s="24">
        <v>35000</v>
      </c>
    </row>
    <row r="85" spans="1:23" x14ac:dyDescent="0.3">
      <c r="A85" s="13" t="s">
        <v>25</v>
      </c>
      <c r="B85" s="25" t="s">
        <v>389</v>
      </c>
      <c r="C85" s="13" t="s">
        <v>48</v>
      </c>
      <c r="D85" s="24">
        <v>35000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3">
      <c r="A86" s="13" t="s">
        <v>141</v>
      </c>
      <c r="B86" s="25" t="s">
        <v>387</v>
      </c>
      <c r="C86" s="13" t="s">
        <v>48</v>
      </c>
      <c r="D86" s="24">
        <v>35000</v>
      </c>
    </row>
    <row r="87" spans="1:23" x14ac:dyDescent="0.3">
      <c r="A87" s="13" t="s">
        <v>140</v>
      </c>
      <c r="B87" s="25" t="s">
        <v>388</v>
      </c>
      <c r="C87" s="13" t="s">
        <v>48</v>
      </c>
      <c r="D87" s="24">
        <v>35000</v>
      </c>
    </row>
    <row r="88" spans="1:23" x14ac:dyDescent="0.3">
      <c r="A88" s="13" t="s">
        <v>28</v>
      </c>
      <c r="B88" s="25" t="s">
        <v>664</v>
      </c>
      <c r="C88" s="29" t="s">
        <v>48</v>
      </c>
      <c r="D88" s="26">
        <v>35000</v>
      </c>
    </row>
    <row r="89" spans="1:23" x14ac:dyDescent="0.3">
      <c r="A89" s="89" t="s">
        <v>679</v>
      </c>
      <c r="B89" s="89" t="s">
        <v>678</v>
      </c>
      <c r="C89" s="90" t="s">
        <v>48</v>
      </c>
      <c r="D89" s="91">
        <v>35000</v>
      </c>
    </row>
    <row r="90" spans="1:23" x14ac:dyDescent="0.3">
      <c r="A90" s="89" t="s">
        <v>674</v>
      </c>
      <c r="B90" s="89" t="s">
        <v>670</v>
      </c>
      <c r="C90" s="90" t="s">
        <v>48</v>
      </c>
      <c r="D90" s="91">
        <v>35000</v>
      </c>
    </row>
    <row r="91" spans="1:23" x14ac:dyDescent="0.3">
      <c r="A91" s="13" t="s">
        <v>145</v>
      </c>
      <c r="B91" s="25" t="s">
        <v>331</v>
      </c>
      <c r="C91" s="29" t="s">
        <v>48</v>
      </c>
      <c r="D91" s="24">
        <v>35000</v>
      </c>
    </row>
    <row r="92" spans="1:23" x14ac:dyDescent="0.3">
      <c r="A92" s="13" t="s">
        <v>144</v>
      </c>
      <c r="B92" s="25" t="s">
        <v>330</v>
      </c>
      <c r="C92" s="29" t="s">
        <v>48</v>
      </c>
      <c r="D92" s="24">
        <v>35000</v>
      </c>
    </row>
    <row r="93" spans="1:23" x14ac:dyDescent="0.3">
      <c r="A93" s="13" t="s">
        <v>27</v>
      </c>
      <c r="B93" s="25" t="s">
        <v>326</v>
      </c>
      <c r="C93" s="29" t="s">
        <v>48</v>
      </c>
      <c r="D93" s="24">
        <v>35000</v>
      </c>
    </row>
    <row r="94" spans="1:23" x14ac:dyDescent="0.3">
      <c r="A94" s="13" t="s">
        <v>32</v>
      </c>
      <c r="B94" s="25" t="s">
        <v>347</v>
      </c>
      <c r="C94" s="29" t="s">
        <v>48</v>
      </c>
      <c r="D94" s="24">
        <v>35000</v>
      </c>
    </row>
    <row r="95" spans="1:23" x14ac:dyDescent="0.3">
      <c r="A95" s="13" t="s">
        <v>182</v>
      </c>
      <c r="B95" s="13" t="s">
        <v>343</v>
      </c>
      <c r="C95" s="29" t="s">
        <v>48</v>
      </c>
      <c r="D95" s="24">
        <v>35000</v>
      </c>
    </row>
    <row r="96" spans="1:23" x14ac:dyDescent="0.3">
      <c r="A96" s="13" t="s">
        <v>143</v>
      </c>
      <c r="B96" s="25" t="s">
        <v>329</v>
      </c>
      <c r="C96" s="29" t="s">
        <v>48</v>
      </c>
      <c r="D96" s="24">
        <v>35000</v>
      </c>
    </row>
    <row r="97" spans="1:23" x14ac:dyDescent="0.3">
      <c r="A97" s="13" t="s">
        <v>252</v>
      </c>
      <c r="B97" s="13" t="s">
        <v>346</v>
      </c>
      <c r="C97" s="29" t="s">
        <v>48</v>
      </c>
      <c r="D97" s="24">
        <v>35000</v>
      </c>
    </row>
    <row r="98" spans="1:23" x14ac:dyDescent="0.3">
      <c r="A98" s="13" t="s">
        <v>142</v>
      </c>
      <c r="B98" s="25" t="s">
        <v>328</v>
      </c>
      <c r="C98" s="29" t="s">
        <v>48</v>
      </c>
      <c r="D98" s="24">
        <v>35000</v>
      </c>
    </row>
    <row r="99" spans="1:23" x14ac:dyDescent="0.3">
      <c r="A99" s="13" t="s">
        <v>274</v>
      </c>
      <c r="B99" s="25" t="s">
        <v>325</v>
      </c>
      <c r="C99" s="29" t="s">
        <v>48</v>
      </c>
      <c r="D99" s="24">
        <v>35000</v>
      </c>
    </row>
    <row r="100" spans="1:23" x14ac:dyDescent="0.3">
      <c r="A100" s="13" t="s">
        <v>106</v>
      </c>
      <c r="B100" s="25" t="s">
        <v>327</v>
      </c>
      <c r="C100" s="29" t="s">
        <v>48</v>
      </c>
      <c r="D100" s="24">
        <v>35000</v>
      </c>
    </row>
    <row r="101" spans="1:23" x14ac:dyDescent="0.3">
      <c r="A101" s="13" t="s">
        <v>527</v>
      </c>
      <c r="B101" s="13" t="s">
        <v>528</v>
      </c>
      <c r="C101" s="29" t="s">
        <v>48</v>
      </c>
      <c r="D101" s="24">
        <v>35000</v>
      </c>
    </row>
    <row r="102" spans="1:23" x14ac:dyDescent="0.3">
      <c r="A102" s="13" t="s">
        <v>511</v>
      </c>
      <c r="B102" s="13" t="s">
        <v>512</v>
      </c>
      <c r="C102" s="13" t="s">
        <v>48</v>
      </c>
      <c r="D102" s="24">
        <v>35000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3">
      <c r="A103" s="13" t="s">
        <v>537</v>
      </c>
      <c r="B103" s="13" t="s">
        <v>538</v>
      </c>
      <c r="C103" s="13" t="s">
        <v>48</v>
      </c>
      <c r="D103" s="24">
        <v>35000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3">
      <c r="A104" s="13" t="s">
        <v>519</v>
      </c>
      <c r="B104" s="13" t="s">
        <v>520</v>
      </c>
      <c r="C104" s="13" t="s">
        <v>48</v>
      </c>
      <c r="D104" s="24">
        <v>35000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3">
      <c r="A105" s="13" t="s">
        <v>535</v>
      </c>
      <c r="B105" s="13" t="s">
        <v>536</v>
      </c>
      <c r="C105" s="33" t="s">
        <v>48</v>
      </c>
      <c r="D105" s="27">
        <v>35000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3">
      <c r="A106" s="13" t="s">
        <v>517</v>
      </c>
      <c r="B106" s="13" t="s">
        <v>518</v>
      </c>
      <c r="C106" s="13" t="s">
        <v>48</v>
      </c>
      <c r="D106" s="24">
        <v>35000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3">
      <c r="A107" s="13" t="s">
        <v>533</v>
      </c>
      <c r="B107" s="13" t="s">
        <v>534</v>
      </c>
      <c r="C107" s="13" t="s">
        <v>48</v>
      </c>
      <c r="D107" s="24">
        <v>35000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3">
      <c r="A108" s="13" t="s">
        <v>531</v>
      </c>
      <c r="B108" s="13" t="s">
        <v>532</v>
      </c>
      <c r="C108" s="13" t="s">
        <v>48</v>
      </c>
      <c r="D108" s="24">
        <v>35000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3">
      <c r="A109" s="13" t="s">
        <v>515</v>
      </c>
      <c r="B109" s="13" t="s">
        <v>516</v>
      </c>
      <c r="C109" s="13" t="s">
        <v>48</v>
      </c>
      <c r="D109" s="24">
        <v>35000</v>
      </c>
    </row>
    <row r="110" spans="1:23" x14ac:dyDescent="0.3">
      <c r="A110" s="13" t="s">
        <v>529</v>
      </c>
      <c r="B110" s="13" t="s">
        <v>530</v>
      </c>
      <c r="C110" s="13" t="s">
        <v>48</v>
      </c>
      <c r="D110" s="24">
        <v>35000</v>
      </c>
    </row>
    <row r="111" spans="1:23" x14ac:dyDescent="0.3">
      <c r="A111" s="13" t="s">
        <v>513</v>
      </c>
      <c r="B111" s="13" t="s">
        <v>514</v>
      </c>
      <c r="C111" s="13" t="s">
        <v>48</v>
      </c>
      <c r="D111" s="24">
        <v>35000</v>
      </c>
    </row>
    <row r="112" spans="1:23" x14ac:dyDescent="0.3">
      <c r="A112" s="13" t="s">
        <v>525</v>
      </c>
      <c r="B112" s="13" t="s">
        <v>526</v>
      </c>
      <c r="C112" s="13" t="s">
        <v>48</v>
      </c>
      <c r="D112" s="24">
        <v>35000</v>
      </c>
    </row>
    <row r="113" spans="1:4" x14ac:dyDescent="0.3">
      <c r="A113" s="13" t="s">
        <v>509</v>
      </c>
      <c r="B113" s="13" t="s">
        <v>510</v>
      </c>
      <c r="C113" s="13" t="s">
        <v>48</v>
      </c>
      <c r="D113" s="24">
        <v>35000</v>
      </c>
    </row>
    <row r="114" spans="1:4" x14ac:dyDescent="0.3">
      <c r="A114" s="13" t="s">
        <v>523</v>
      </c>
      <c r="B114" s="13" t="s">
        <v>524</v>
      </c>
      <c r="C114" s="13" t="s">
        <v>48</v>
      </c>
      <c r="D114" s="24">
        <v>35000</v>
      </c>
    </row>
    <row r="115" spans="1:4" x14ac:dyDescent="0.3">
      <c r="A115" s="13" t="s">
        <v>507</v>
      </c>
      <c r="B115" s="13" t="s">
        <v>508</v>
      </c>
      <c r="C115" s="13" t="s">
        <v>48</v>
      </c>
      <c r="D115" s="24">
        <v>35000</v>
      </c>
    </row>
    <row r="116" spans="1:4" x14ac:dyDescent="0.3">
      <c r="A116" s="13" t="s">
        <v>521</v>
      </c>
      <c r="B116" s="13" t="s">
        <v>522</v>
      </c>
      <c r="C116" s="13" t="s">
        <v>48</v>
      </c>
      <c r="D116" s="24">
        <v>35000</v>
      </c>
    </row>
    <row r="117" spans="1:4" x14ac:dyDescent="0.3">
      <c r="A117" s="13" t="s">
        <v>505</v>
      </c>
      <c r="B117" s="13" t="s">
        <v>506</v>
      </c>
      <c r="C117" s="13" t="s">
        <v>48</v>
      </c>
      <c r="D117" s="24">
        <v>35000</v>
      </c>
    </row>
    <row r="118" spans="1:4" x14ac:dyDescent="0.3">
      <c r="A118" s="13" t="s">
        <v>114</v>
      </c>
      <c r="B118" s="25" t="s">
        <v>669</v>
      </c>
      <c r="C118" s="13" t="s">
        <v>48</v>
      </c>
      <c r="D118" s="26">
        <v>35000</v>
      </c>
    </row>
    <row r="119" spans="1:4" x14ac:dyDescent="0.3">
      <c r="A119" s="13" t="s">
        <v>288</v>
      </c>
      <c r="B119" s="25" t="s">
        <v>668</v>
      </c>
      <c r="C119" s="13" t="s">
        <v>48</v>
      </c>
      <c r="D119" s="24">
        <v>35000</v>
      </c>
    </row>
    <row r="120" spans="1:4" x14ac:dyDescent="0.3">
      <c r="A120" s="13" t="s">
        <v>157</v>
      </c>
      <c r="B120" s="25" t="s">
        <v>342</v>
      </c>
      <c r="C120" s="13" t="s">
        <v>48</v>
      </c>
      <c r="D120" s="26">
        <v>35000</v>
      </c>
    </row>
    <row r="121" spans="1:4" x14ac:dyDescent="0.3">
      <c r="A121" s="13" t="s">
        <v>156</v>
      </c>
      <c r="B121" s="25" t="s">
        <v>341</v>
      </c>
      <c r="C121" s="13" t="s">
        <v>48</v>
      </c>
      <c r="D121" s="26">
        <v>35000</v>
      </c>
    </row>
    <row r="122" spans="1:4" x14ac:dyDescent="0.3">
      <c r="A122" s="13" t="s">
        <v>112</v>
      </c>
      <c r="B122" s="25" t="s">
        <v>335</v>
      </c>
      <c r="C122" s="29" t="s">
        <v>48</v>
      </c>
      <c r="D122" s="26">
        <v>35000</v>
      </c>
    </row>
    <row r="123" spans="1:4" x14ac:dyDescent="0.3">
      <c r="A123" s="13" t="s">
        <v>110</v>
      </c>
      <c r="B123" s="25" t="s">
        <v>333</v>
      </c>
      <c r="C123" s="29" t="s">
        <v>48</v>
      </c>
      <c r="D123" s="24">
        <v>35000</v>
      </c>
    </row>
    <row r="124" spans="1:4" x14ac:dyDescent="0.3">
      <c r="A124" s="13" t="s">
        <v>251</v>
      </c>
      <c r="B124" s="13" t="s">
        <v>345</v>
      </c>
      <c r="C124" s="29" t="s">
        <v>48</v>
      </c>
      <c r="D124" s="24">
        <v>35000</v>
      </c>
    </row>
    <row r="125" spans="1:4" x14ac:dyDescent="0.3">
      <c r="A125" s="13" t="s">
        <v>155</v>
      </c>
      <c r="B125" s="25" t="s">
        <v>340</v>
      </c>
      <c r="C125" s="29" t="s">
        <v>48</v>
      </c>
      <c r="D125" s="26">
        <v>35000</v>
      </c>
    </row>
    <row r="126" spans="1:4" x14ac:dyDescent="0.3">
      <c r="A126" s="13" t="s">
        <v>180</v>
      </c>
      <c r="B126" s="13" t="s">
        <v>344</v>
      </c>
      <c r="C126" s="29" t="s">
        <v>48</v>
      </c>
      <c r="D126" s="24">
        <v>35000</v>
      </c>
    </row>
    <row r="127" spans="1:4" x14ac:dyDescent="0.3">
      <c r="A127" s="13" t="s">
        <v>154</v>
      </c>
      <c r="B127" s="25" t="s">
        <v>339</v>
      </c>
      <c r="C127" s="29" t="s">
        <v>48</v>
      </c>
      <c r="D127" s="26">
        <v>35000</v>
      </c>
    </row>
    <row r="128" spans="1:4" x14ac:dyDescent="0.3">
      <c r="A128" s="13" t="s">
        <v>111</v>
      </c>
      <c r="B128" s="25" t="s">
        <v>334</v>
      </c>
      <c r="C128" s="29" t="s">
        <v>48</v>
      </c>
      <c r="D128" s="26">
        <v>35000</v>
      </c>
    </row>
    <row r="129" spans="1:5" x14ac:dyDescent="0.3">
      <c r="A129" s="13" t="s">
        <v>109</v>
      </c>
      <c r="B129" s="25" t="s">
        <v>332</v>
      </c>
      <c r="C129" s="29" t="s">
        <v>48</v>
      </c>
      <c r="D129" s="24">
        <v>35000</v>
      </c>
    </row>
    <row r="130" spans="1:5" x14ac:dyDescent="0.3">
      <c r="A130" s="13" t="s">
        <v>153</v>
      </c>
      <c r="B130" s="25" t="s">
        <v>338</v>
      </c>
      <c r="C130" s="29" t="s">
        <v>48</v>
      </c>
      <c r="D130" s="26">
        <v>35000</v>
      </c>
    </row>
    <row r="131" spans="1:5" x14ac:dyDescent="0.3">
      <c r="A131" s="13" t="s">
        <v>152</v>
      </c>
      <c r="B131" s="25" t="s">
        <v>337</v>
      </c>
      <c r="C131" s="29" t="s">
        <v>48</v>
      </c>
      <c r="D131" s="26">
        <v>35000</v>
      </c>
      <c r="E131" s="30"/>
    </row>
    <row r="132" spans="1:5" x14ac:dyDescent="0.3">
      <c r="A132" s="13" t="s">
        <v>113</v>
      </c>
      <c r="B132" s="25" t="s">
        <v>336</v>
      </c>
      <c r="C132" s="29" t="s">
        <v>48</v>
      </c>
      <c r="D132" s="26">
        <v>35000</v>
      </c>
    </row>
    <row r="133" spans="1:5" x14ac:dyDescent="0.3">
      <c r="A133" s="13" t="s">
        <v>281</v>
      </c>
      <c r="B133" s="25" t="s">
        <v>351</v>
      </c>
      <c r="C133" s="29" t="s">
        <v>48</v>
      </c>
      <c r="D133" s="24">
        <v>35000</v>
      </c>
    </row>
    <row r="134" spans="1:5" x14ac:dyDescent="0.3">
      <c r="A134" s="13" t="s">
        <v>280</v>
      </c>
      <c r="B134" s="25" t="s">
        <v>350</v>
      </c>
      <c r="C134" s="29" t="s">
        <v>48</v>
      </c>
      <c r="D134" s="24">
        <v>35000</v>
      </c>
    </row>
    <row r="135" spans="1:5" x14ac:dyDescent="0.3">
      <c r="A135" s="13" t="s">
        <v>279</v>
      </c>
      <c r="B135" s="25" t="s">
        <v>349</v>
      </c>
      <c r="C135" s="29" t="s">
        <v>48</v>
      </c>
      <c r="D135" s="24">
        <v>35000</v>
      </c>
    </row>
    <row r="136" spans="1:5" x14ac:dyDescent="0.3">
      <c r="A136" s="13" t="s">
        <v>278</v>
      </c>
      <c r="B136" s="25" t="s">
        <v>348</v>
      </c>
      <c r="C136" s="29" t="s">
        <v>48</v>
      </c>
      <c r="D136" s="24">
        <v>35000</v>
      </c>
    </row>
    <row r="137" spans="1:5" x14ac:dyDescent="0.3">
      <c r="A137" s="13" t="s">
        <v>139</v>
      </c>
      <c r="B137" s="25" t="s">
        <v>323</v>
      </c>
      <c r="C137" s="29" t="s">
        <v>48</v>
      </c>
      <c r="D137" s="24">
        <v>35000</v>
      </c>
    </row>
    <row r="138" spans="1:5" x14ac:dyDescent="0.3">
      <c r="A138" s="13" t="s">
        <v>138</v>
      </c>
      <c r="B138" s="25" t="s">
        <v>322</v>
      </c>
      <c r="C138" s="29" t="s">
        <v>48</v>
      </c>
      <c r="D138" s="24">
        <v>35000</v>
      </c>
    </row>
    <row r="139" spans="1:5" x14ac:dyDescent="0.3">
      <c r="A139" s="13" t="s">
        <v>137</v>
      </c>
      <c r="B139" s="25" t="s">
        <v>321</v>
      </c>
      <c r="C139" s="29" t="s">
        <v>48</v>
      </c>
      <c r="D139" s="24">
        <v>35000</v>
      </c>
    </row>
    <row r="140" spans="1:5" x14ac:dyDescent="0.3">
      <c r="A140" s="13" t="s">
        <v>181</v>
      </c>
      <c r="B140" s="25" t="s">
        <v>324</v>
      </c>
      <c r="C140" s="29" t="s">
        <v>48</v>
      </c>
      <c r="D140" s="24">
        <v>35000</v>
      </c>
    </row>
    <row r="141" spans="1:5" x14ac:dyDescent="0.3">
      <c r="A141" s="13" t="s">
        <v>136</v>
      </c>
      <c r="B141" s="25" t="s">
        <v>320</v>
      </c>
      <c r="C141" s="29" t="s">
        <v>48</v>
      </c>
      <c r="D141" s="24">
        <v>35000</v>
      </c>
    </row>
    <row r="142" spans="1:5" x14ac:dyDescent="0.3">
      <c r="A142" s="13" t="s">
        <v>135</v>
      </c>
      <c r="B142" s="25" t="s">
        <v>319</v>
      </c>
      <c r="C142" s="29" t="s">
        <v>48</v>
      </c>
      <c r="D142" s="24">
        <v>35000</v>
      </c>
    </row>
    <row r="143" spans="1:5" x14ac:dyDescent="0.3">
      <c r="A143" s="13" t="s">
        <v>287</v>
      </c>
      <c r="B143" s="25" t="s">
        <v>359</v>
      </c>
      <c r="C143" s="29" t="s">
        <v>48</v>
      </c>
      <c r="D143" s="24">
        <v>35000</v>
      </c>
    </row>
    <row r="144" spans="1:5" x14ac:dyDescent="0.3">
      <c r="A144" s="13" t="s">
        <v>660</v>
      </c>
      <c r="B144" s="25" t="s">
        <v>661</v>
      </c>
      <c r="C144" s="29" t="s">
        <v>48</v>
      </c>
      <c r="D144" s="24">
        <v>35000</v>
      </c>
    </row>
    <row r="145" spans="1:4" x14ac:dyDescent="0.3">
      <c r="A145" s="13" t="s">
        <v>300</v>
      </c>
      <c r="B145" s="25" t="s">
        <v>363</v>
      </c>
      <c r="C145" s="29" t="s">
        <v>48</v>
      </c>
      <c r="D145" s="24">
        <v>35000</v>
      </c>
    </row>
    <row r="146" spans="1:4" x14ac:dyDescent="0.3">
      <c r="A146" s="13" t="s">
        <v>295</v>
      </c>
      <c r="B146" s="25" t="s">
        <v>358</v>
      </c>
      <c r="C146" s="29" t="s">
        <v>48</v>
      </c>
      <c r="D146" s="24">
        <v>35000</v>
      </c>
    </row>
    <row r="147" spans="1:4" x14ac:dyDescent="0.3">
      <c r="A147" s="13" t="s">
        <v>299</v>
      </c>
      <c r="B147" s="25" t="s">
        <v>362</v>
      </c>
      <c r="C147" s="29" t="s">
        <v>48</v>
      </c>
      <c r="D147" s="24">
        <v>35000</v>
      </c>
    </row>
    <row r="148" spans="1:4" x14ac:dyDescent="0.3">
      <c r="A148" s="13" t="s">
        <v>294</v>
      </c>
      <c r="B148" s="25" t="s">
        <v>357</v>
      </c>
      <c r="C148" s="29" t="s">
        <v>48</v>
      </c>
      <c r="D148" s="24">
        <v>35000</v>
      </c>
    </row>
    <row r="149" spans="1:4" x14ac:dyDescent="0.3">
      <c r="A149" s="13" t="s">
        <v>298</v>
      </c>
      <c r="B149" s="25" t="s">
        <v>361</v>
      </c>
      <c r="C149" s="29" t="s">
        <v>48</v>
      </c>
      <c r="D149" s="24">
        <v>35000</v>
      </c>
    </row>
    <row r="150" spans="1:4" x14ac:dyDescent="0.3">
      <c r="A150" s="13" t="s">
        <v>293</v>
      </c>
      <c r="B150" s="25" t="s">
        <v>356</v>
      </c>
      <c r="C150" s="29" t="s">
        <v>48</v>
      </c>
      <c r="D150" s="24">
        <v>35000</v>
      </c>
    </row>
    <row r="151" spans="1:4" x14ac:dyDescent="0.3">
      <c r="A151" s="13" t="s">
        <v>305</v>
      </c>
      <c r="B151" s="25" t="s">
        <v>360</v>
      </c>
      <c r="C151" s="29" t="s">
        <v>48</v>
      </c>
      <c r="D151" s="24">
        <v>35000</v>
      </c>
    </row>
    <row r="152" spans="1:4" x14ac:dyDescent="0.3">
      <c r="A152" s="13" t="s">
        <v>292</v>
      </c>
      <c r="B152" s="25" t="s">
        <v>355</v>
      </c>
      <c r="C152" s="29" t="s">
        <v>48</v>
      </c>
      <c r="D152" s="24">
        <v>35000</v>
      </c>
    </row>
    <row r="153" spans="1:4" x14ac:dyDescent="0.3">
      <c r="A153" s="13" t="s">
        <v>291</v>
      </c>
      <c r="B153" s="25" t="s">
        <v>354</v>
      </c>
      <c r="C153" s="29" t="s">
        <v>48</v>
      </c>
      <c r="D153" s="24">
        <v>35000</v>
      </c>
    </row>
    <row r="154" spans="1:4" x14ac:dyDescent="0.3">
      <c r="A154" s="13" t="s">
        <v>290</v>
      </c>
      <c r="B154" s="25" t="s">
        <v>353</v>
      </c>
      <c r="C154" s="29" t="s">
        <v>48</v>
      </c>
      <c r="D154" s="24">
        <v>35000</v>
      </c>
    </row>
    <row r="155" spans="1:4" x14ac:dyDescent="0.3">
      <c r="A155" s="13" t="s">
        <v>289</v>
      </c>
      <c r="B155" s="25" t="s">
        <v>352</v>
      </c>
      <c r="C155" s="29" t="s">
        <v>48</v>
      </c>
      <c r="D155" s="24">
        <v>35000</v>
      </c>
    </row>
    <row r="156" spans="1:4" x14ac:dyDescent="0.3">
      <c r="A156" s="89" t="s">
        <v>691</v>
      </c>
      <c r="B156" s="89" t="s">
        <v>687</v>
      </c>
      <c r="C156" s="90" t="s">
        <v>48</v>
      </c>
      <c r="D156" s="91">
        <v>35000</v>
      </c>
    </row>
    <row r="157" spans="1:4" x14ac:dyDescent="0.3">
      <c r="A157" s="89" t="s">
        <v>680</v>
      </c>
      <c r="B157" s="89" t="s">
        <v>681</v>
      </c>
      <c r="C157" s="90" t="s">
        <v>48</v>
      </c>
      <c r="D157" s="91">
        <v>35000</v>
      </c>
    </row>
    <row r="158" spans="1:4" x14ac:dyDescent="0.3">
      <c r="A158" s="89" t="s">
        <v>675</v>
      </c>
      <c r="B158" s="89" t="s">
        <v>671</v>
      </c>
      <c r="C158" s="90" t="s">
        <v>48</v>
      </c>
      <c r="D158" s="91">
        <v>35000</v>
      </c>
    </row>
    <row r="159" spans="1:4" x14ac:dyDescent="0.3">
      <c r="A159" s="89" t="s">
        <v>692</v>
      </c>
      <c r="B159" s="89" t="s">
        <v>688</v>
      </c>
      <c r="C159" s="90" t="s">
        <v>48</v>
      </c>
      <c r="D159" s="91">
        <v>35000</v>
      </c>
    </row>
    <row r="160" spans="1:4" x14ac:dyDescent="0.3">
      <c r="A160" s="13" t="s">
        <v>46</v>
      </c>
      <c r="B160" s="25" t="s">
        <v>667</v>
      </c>
      <c r="C160" s="29" t="s">
        <v>48</v>
      </c>
      <c r="D160" s="26">
        <v>35000</v>
      </c>
    </row>
    <row r="161" spans="1:4" x14ac:dyDescent="0.3">
      <c r="A161" s="89" t="s">
        <v>684</v>
      </c>
      <c r="B161" s="89" t="s">
        <v>682</v>
      </c>
      <c r="C161" s="90" t="s">
        <v>48</v>
      </c>
      <c r="D161" s="91">
        <v>35000</v>
      </c>
    </row>
    <row r="162" spans="1:4" x14ac:dyDescent="0.3">
      <c r="A162" s="89" t="s">
        <v>676</v>
      </c>
      <c r="B162" s="89" t="s">
        <v>672</v>
      </c>
      <c r="C162" s="90" t="s">
        <v>48</v>
      </c>
      <c r="D162" s="91">
        <v>35000</v>
      </c>
    </row>
    <row r="163" spans="1:4" x14ac:dyDescent="0.3">
      <c r="A163" s="13" t="s">
        <v>60</v>
      </c>
      <c r="B163" s="25" t="s">
        <v>666</v>
      </c>
      <c r="C163" s="29" t="s">
        <v>48</v>
      </c>
      <c r="D163" s="26">
        <v>35000</v>
      </c>
    </row>
    <row r="164" spans="1:4" x14ac:dyDescent="0.3">
      <c r="A164" s="13" t="s">
        <v>30</v>
      </c>
      <c r="B164" s="25" t="s">
        <v>665</v>
      </c>
      <c r="C164" s="29" t="s">
        <v>48</v>
      </c>
      <c r="D164" s="26">
        <v>35000</v>
      </c>
    </row>
    <row r="165" spans="1:4" x14ac:dyDescent="0.3">
      <c r="A165" s="89" t="s">
        <v>693</v>
      </c>
      <c r="B165" s="89" t="s">
        <v>689</v>
      </c>
      <c r="C165" s="90" t="s">
        <v>48</v>
      </c>
      <c r="D165" s="91">
        <v>35000</v>
      </c>
    </row>
    <row r="166" spans="1:4" x14ac:dyDescent="0.3">
      <c r="A166" s="89" t="s">
        <v>685</v>
      </c>
      <c r="B166" s="89" t="s">
        <v>683</v>
      </c>
      <c r="C166" s="90" t="s">
        <v>48</v>
      </c>
      <c r="D166" s="91">
        <v>35000</v>
      </c>
    </row>
    <row r="167" spans="1:4" x14ac:dyDescent="0.3">
      <c r="A167" s="89" t="s">
        <v>677</v>
      </c>
      <c r="B167" s="89" t="s">
        <v>673</v>
      </c>
      <c r="C167" s="90" t="s">
        <v>48</v>
      </c>
      <c r="D167" s="91">
        <v>35000</v>
      </c>
    </row>
    <row r="168" spans="1:4" x14ac:dyDescent="0.3">
      <c r="A168" s="89" t="s">
        <v>690</v>
      </c>
      <c r="B168" s="89" t="s">
        <v>686</v>
      </c>
      <c r="C168" s="90" t="s">
        <v>48</v>
      </c>
      <c r="D168" s="91">
        <v>35000</v>
      </c>
    </row>
    <row r="169" spans="1:4" x14ac:dyDescent="0.3">
      <c r="A169" s="13" t="s">
        <v>310</v>
      </c>
      <c r="B169" s="13" t="s">
        <v>311</v>
      </c>
      <c r="C169" s="29" t="s">
        <v>273</v>
      </c>
      <c r="D169" s="24">
        <v>35000</v>
      </c>
    </row>
    <row r="170" spans="1:4" x14ac:dyDescent="0.3">
      <c r="A170" s="13" t="s">
        <v>270</v>
      </c>
      <c r="B170" s="13" t="s">
        <v>271</v>
      </c>
      <c r="C170" s="29" t="s">
        <v>273</v>
      </c>
      <c r="D170" s="24">
        <v>35000</v>
      </c>
    </row>
    <row r="171" spans="1:4" x14ac:dyDescent="0.3">
      <c r="A171" s="13" t="s">
        <v>296</v>
      </c>
      <c r="B171" s="25" t="s">
        <v>297</v>
      </c>
      <c r="C171" s="29" t="s">
        <v>70</v>
      </c>
      <c r="D171" s="24">
        <v>25000</v>
      </c>
    </row>
    <row r="172" spans="1:4" x14ac:dyDescent="0.3">
      <c r="A172" s="13" t="s">
        <v>261</v>
      </c>
      <c r="B172" s="13" t="s">
        <v>262</v>
      </c>
      <c r="C172" s="29" t="s">
        <v>70</v>
      </c>
      <c r="D172" s="24">
        <v>25000</v>
      </c>
    </row>
    <row r="173" spans="1:4" x14ac:dyDescent="0.3">
      <c r="A173" s="13" t="s">
        <v>263</v>
      </c>
      <c r="B173" s="13" t="s">
        <v>264</v>
      </c>
      <c r="C173" s="29" t="s">
        <v>70</v>
      </c>
      <c r="D173" s="24">
        <v>25000</v>
      </c>
    </row>
    <row r="174" spans="1:4" x14ac:dyDescent="0.3">
      <c r="A174" s="13" t="s">
        <v>69</v>
      </c>
      <c r="B174" s="25" t="s">
        <v>364</v>
      </c>
      <c r="C174" s="29" t="s">
        <v>70</v>
      </c>
      <c r="D174" s="26">
        <v>25000</v>
      </c>
    </row>
    <row r="175" spans="1:4" x14ac:dyDescent="0.3">
      <c r="A175" s="13" t="s">
        <v>71</v>
      </c>
      <c r="B175" s="25" t="s">
        <v>365</v>
      </c>
      <c r="C175" s="29" t="s">
        <v>70</v>
      </c>
      <c r="D175" s="26">
        <v>25000</v>
      </c>
    </row>
    <row r="176" spans="1:4" x14ac:dyDescent="0.3">
      <c r="A176" s="13" t="s">
        <v>72</v>
      </c>
      <c r="B176" s="25" t="s">
        <v>366</v>
      </c>
      <c r="C176" s="29" t="s">
        <v>70</v>
      </c>
      <c r="D176" s="26">
        <v>25000</v>
      </c>
    </row>
    <row r="177" spans="1:4" x14ac:dyDescent="0.3">
      <c r="A177" s="13" t="s">
        <v>636</v>
      </c>
      <c r="B177" s="13" t="s">
        <v>637</v>
      </c>
      <c r="C177" s="29" t="s">
        <v>70</v>
      </c>
      <c r="D177" s="24"/>
    </row>
    <row r="178" spans="1:4" x14ac:dyDescent="0.3">
      <c r="A178" s="13" t="s">
        <v>644</v>
      </c>
      <c r="B178" s="13" t="s">
        <v>645</v>
      </c>
      <c r="C178" s="29" t="s">
        <v>70</v>
      </c>
      <c r="D178" s="24"/>
    </row>
    <row r="179" spans="1:4" x14ac:dyDescent="0.3">
      <c r="A179" s="13" t="s">
        <v>652</v>
      </c>
      <c r="B179" s="13" t="s">
        <v>653</v>
      </c>
      <c r="C179" s="29" t="s">
        <v>70</v>
      </c>
      <c r="D179" s="24"/>
    </row>
    <row r="180" spans="1:4" x14ac:dyDescent="0.3">
      <c r="A180" s="13" t="s">
        <v>638</v>
      </c>
      <c r="B180" s="13" t="s">
        <v>639</v>
      </c>
      <c r="C180" s="29" t="s">
        <v>70</v>
      </c>
      <c r="D180" s="24"/>
    </row>
    <row r="181" spans="1:4" x14ac:dyDescent="0.3">
      <c r="A181" s="13" t="s">
        <v>646</v>
      </c>
      <c r="B181" s="13" t="s">
        <v>647</v>
      </c>
      <c r="C181" s="29" t="s">
        <v>70</v>
      </c>
      <c r="D181" s="24"/>
    </row>
    <row r="182" spans="1:4" x14ac:dyDescent="0.3">
      <c r="A182" s="13" t="s">
        <v>654</v>
      </c>
      <c r="B182" s="13" t="s">
        <v>655</v>
      </c>
      <c r="C182" s="29" t="s">
        <v>70</v>
      </c>
      <c r="D182" s="24"/>
    </row>
    <row r="183" spans="1:4" x14ac:dyDescent="0.3">
      <c r="A183" s="13" t="s">
        <v>642</v>
      </c>
      <c r="B183" s="13" t="s">
        <v>643</v>
      </c>
      <c r="C183" s="29" t="s">
        <v>70</v>
      </c>
      <c r="D183" s="24"/>
    </row>
    <row r="184" spans="1:4" x14ac:dyDescent="0.3">
      <c r="A184" s="13" t="s">
        <v>650</v>
      </c>
      <c r="B184" s="13" t="s">
        <v>651</v>
      </c>
      <c r="C184" s="29" t="s">
        <v>70</v>
      </c>
      <c r="D184" s="24"/>
    </row>
    <row r="185" spans="1:4" x14ac:dyDescent="0.3">
      <c r="A185" s="13" t="s">
        <v>658</v>
      </c>
      <c r="B185" s="13" t="s">
        <v>659</v>
      </c>
      <c r="C185" s="29" t="s">
        <v>70</v>
      </c>
      <c r="D185" s="24"/>
    </row>
    <row r="186" spans="1:4" x14ac:dyDescent="0.3">
      <c r="A186" s="13" t="s">
        <v>640</v>
      </c>
      <c r="B186" s="13" t="s">
        <v>641</v>
      </c>
      <c r="C186" s="29" t="s">
        <v>70</v>
      </c>
      <c r="D186" s="24"/>
    </row>
    <row r="187" spans="1:4" x14ac:dyDescent="0.3">
      <c r="A187" s="13" t="s">
        <v>648</v>
      </c>
      <c r="B187" s="13" t="s">
        <v>649</v>
      </c>
      <c r="C187" s="29" t="s">
        <v>70</v>
      </c>
      <c r="D187" s="24"/>
    </row>
    <row r="188" spans="1:4" x14ac:dyDescent="0.3">
      <c r="A188" s="13" t="s">
        <v>656</v>
      </c>
      <c r="B188" s="13" t="s">
        <v>657</v>
      </c>
      <c r="C188" s="29" t="s">
        <v>70</v>
      </c>
      <c r="D188" s="24"/>
    </row>
    <row r="189" spans="1:4" x14ac:dyDescent="0.3">
      <c r="A189" s="13" t="s">
        <v>620</v>
      </c>
      <c r="B189" s="13" t="s">
        <v>621</v>
      </c>
      <c r="C189" s="29" t="s">
        <v>70</v>
      </c>
      <c r="D189" s="24"/>
    </row>
    <row r="190" spans="1:4" x14ac:dyDescent="0.3">
      <c r="A190" s="13" t="s">
        <v>628</v>
      </c>
      <c r="B190" s="13" t="s">
        <v>629</v>
      </c>
      <c r="C190" s="29" t="s">
        <v>70</v>
      </c>
      <c r="D190" s="24"/>
    </row>
    <row r="191" spans="1:4" x14ac:dyDescent="0.3">
      <c r="A191" s="13" t="s">
        <v>612</v>
      </c>
      <c r="B191" s="13" t="s">
        <v>613</v>
      </c>
      <c r="C191" s="29" t="s">
        <v>70</v>
      </c>
      <c r="D191" s="24"/>
    </row>
    <row r="192" spans="1:4" x14ac:dyDescent="0.3">
      <c r="A192" s="13" t="s">
        <v>622</v>
      </c>
      <c r="B192" s="13" t="s">
        <v>623</v>
      </c>
      <c r="C192" s="29" t="s">
        <v>70</v>
      </c>
      <c r="D192" s="24"/>
    </row>
    <row r="193" spans="1:4" x14ac:dyDescent="0.3">
      <c r="A193" s="13" t="s">
        <v>630</v>
      </c>
      <c r="B193" s="13" t="s">
        <v>631</v>
      </c>
      <c r="C193" s="29" t="s">
        <v>70</v>
      </c>
      <c r="D193" s="24"/>
    </row>
    <row r="194" spans="1:4" x14ac:dyDescent="0.3">
      <c r="A194" s="13" t="s">
        <v>614</v>
      </c>
      <c r="B194" s="13" t="s">
        <v>615</v>
      </c>
      <c r="C194" s="29" t="s">
        <v>70</v>
      </c>
      <c r="D194" s="24"/>
    </row>
    <row r="195" spans="1:4" x14ac:dyDescent="0.3">
      <c r="A195" s="13" t="s">
        <v>626</v>
      </c>
      <c r="B195" s="13" t="s">
        <v>627</v>
      </c>
      <c r="C195" s="29" t="s">
        <v>70</v>
      </c>
      <c r="D195" s="24"/>
    </row>
    <row r="196" spans="1:4" x14ac:dyDescent="0.3">
      <c r="A196" s="13" t="s">
        <v>634</v>
      </c>
      <c r="B196" s="13" t="s">
        <v>635</v>
      </c>
      <c r="C196" s="29" t="s">
        <v>70</v>
      </c>
      <c r="D196" s="24"/>
    </row>
    <row r="197" spans="1:4" x14ac:dyDescent="0.3">
      <c r="A197" s="13" t="s">
        <v>618</v>
      </c>
      <c r="B197" s="13" t="s">
        <v>619</v>
      </c>
      <c r="C197" s="29" t="s">
        <v>70</v>
      </c>
      <c r="D197" s="24"/>
    </row>
    <row r="198" spans="1:4" x14ac:dyDescent="0.3">
      <c r="A198" s="13" t="s">
        <v>624</v>
      </c>
      <c r="B198" s="13" t="s">
        <v>625</v>
      </c>
      <c r="C198" s="29" t="s">
        <v>70</v>
      </c>
      <c r="D198" s="24"/>
    </row>
    <row r="199" spans="1:4" x14ac:dyDescent="0.3">
      <c r="A199" s="13" t="s">
        <v>632</v>
      </c>
      <c r="B199" s="13" t="s">
        <v>633</v>
      </c>
      <c r="C199" s="29" t="s">
        <v>70</v>
      </c>
      <c r="D199" s="24"/>
    </row>
    <row r="200" spans="1:4" x14ac:dyDescent="0.3">
      <c r="A200" s="13" t="s">
        <v>616</v>
      </c>
      <c r="B200" s="13" t="s">
        <v>617</v>
      </c>
      <c r="C200" s="29" t="s">
        <v>70</v>
      </c>
      <c r="D200" s="24"/>
    </row>
    <row r="201" spans="1:4" x14ac:dyDescent="0.3">
      <c r="A201" s="13" t="s">
        <v>73</v>
      </c>
      <c r="B201" s="25" t="s">
        <v>367</v>
      </c>
      <c r="C201" s="29" t="s">
        <v>70</v>
      </c>
      <c r="D201" s="26">
        <v>25000</v>
      </c>
    </row>
    <row r="202" spans="1:4" x14ac:dyDescent="0.3">
      <c r="A202" s="22" t="s">
        <v>85</v>
      </c>
      <c r="B202" s="23" t="s">
        <v>371</v>
      </c>
      <c r="C202" s="35" t="s">
        <v>83</v>
      </c>
      <c r="D202" s="24">
        <v>50000</v>
      </c>
    </row>
    <row r="203" spans="1:4" x14ac:dyDescent="0.3">
      <c r="A203" s="107" t="s">
        <v>546</v>
      </c>
      <c r="B203" s="107" t="s">
        <v>547</v>
      </c>
      <c r="C203" s="109" t="s">
        <v>541</v>
      </c>
      <c r="D203" s="24"/>
    </row>
    <row r="204" spans="1:4" x14ac:dyDescent="0.3">
      <c r="A204" s="13" t="s">
        <v>544</v>
      </c>
      <c r="B204" s="13" t="s">
        <v>545</v>
      </c>
      <c r="C204" s="29" t="s">
        <v>541</v>
      </c>
      <c r="D204" s="24"/>
    </row>
    <row r="205" spans="1:4" x14ac:dyDescent="0.3">
      <c r="A205" s="13" t="s">
        <v>542</v>
      </c>
      <c r="B205" s="13" t="s">
        <v>543</v>
      </c>
      <c r="C205" s="29" t="s">
        <v>541</v>
      </c>
      <c r="D205" s="24"/>
    </row>
    <row r="206" spans="1:4" x14ac:dyDescent="0.3">
      <c r="A206" s="13" t="s">
        <v>539</v>
      </c>
      <c r="B206" s="13" t="s">
        <v>540</v>
      </c>
      <c r="C206" s="29" t="s">
        <v>541</v>
      </c>
      <c r="D206" s="24"/>
    </row>
    <row r="207" spans="1:4" x14ac:dyDescent="0.3">
      <c r="A207" s="22" t="s">
        <v>122</v>
      </c>
      <c r="B207" s="23" t="s">
        <v>123</v>
      </c>
      <c r="C207" s="35" t="s">
        <v>54</v>
      </c>
      <c r="D207" s="24">
        <v>40000</v>
      </c>
    </row>
    <row r="208" spans="1:4" x14ac:dyDescent="0.3">
      <c r="A208" s="22" t="s">
        <v>124</v>
      </c>
      <c r="B208" s="22" t="s">
        <v>125</v>
      </c>
      <c r="C208" s="35" t="s">
        <v>54</v>
      </c>
      <c r="D208" s="24">
        <v>40000</v>
      </c>
    </row>
    <row r="209" spans="1:4" x14ac:dyDescent="0.3">
      <c r="A209" s="22" t="s">
        <v>126</v>
      </c>
      <c r="B209" s="22" t="s">
        <v>127</v>
      </c>
      <c r="C209" s="35" t="s">
        <v>54</v>
      </c>
      <c r="D209" s="24">
        <v>40000</v>
      </c>
    </row>
    <row r="210" spans="1:4" x14ac:dyDescent="0.3">
      <c r="A210" s="13" t="s">
        <v>254</v>
      </c>
      <c r="B210" s="25" t="s">
        <v>374</v>
      </c>
      <c r="C210" s="29" t="s">
        <v>54</v>
      </c>
      <c r="D210" s="24">
        <v>40000</v>
      </c>
    </row>
    <row r="211" spans="1:4" x14ac:dyDescent="0.3">
      <c r="A211" s="13" t="s">
        <v>398</v>
      </c>
      <c r="B211" s="25" t="s">
        <v>399</v>
      </c>
      <c r="C211" s="29" t="s">
        <v>54</v>
      </c>
      <c r="D211" s="24">
        <v>40000</v>
      </c>
    </row>
    <row r="212" spans="1:4" x14ac:dyDescent="0.3">
      <c r="A212" s="22" t="s">
        <v>128</v>
      </c>
      <c r="B212" s="23" t="s">
        <v>129</v>
      </c>
      <c r="C212" s="35" t="s">
        <v>54</v>
      </c>
      <c r="D212" s="24">
        <v>40000</v>
      </c>
    </row>
    <row r="213" spans="1:4" x14ac:dyDescent="0.3">
      <c r="A213" s="22" t="s">
        <v>130</v>
      </c>
      <c r="B213" s="23" t="s">
        <v>131</v>
      </c>
      <c r="C213" s="35" t="s">
        <v>54</v>
      </c>
      <c r="D213" s="24">
        <v>40000</v>
      </c>
    </row>
    <row r="214" spans="1:4" x14ac:dyDescent="0.3">
      <c r="A214" s="13" t="s">
        <v>396</v>
      </c>
      <c r="B214" s="25" t="s">
        <v>397</v>
      </c>
      <c r="C214" s="29" t="s">
        <v>54</v>
      </c>
      <c r="D214" s="24">
        <v>40000</v>
      </c>
    </row>
    <row r="215" spans="1:4" x14ac:dyDescent="0.3">
      <c r="A215" s="22" t="s">
        <v>132</v>
      </c>
      <c r="B215" s="23" t="s">
        <v>133</v>
      </c>
      <c r="C215" s="35" t="s">
        <v>54</v>
      </c>
      <c r="D215" s="24">
        <v>40000</v>
      </c>
    </row>
    <row r="216" spans="1:4" x14ac:dyDescent="0.3">
      <c r="A216" s="22" t="s">
        <v>56</v>
      </c>
      <c r="B216" s="23" t="s">
        <v>312</v>
      </c>
      <c r="C216" s="35" t="s">
        <v>54</v>
      </c>
      <c r="D216" s="24">
        <v>40000</v>
      </c>
    </row>
    <row r="217" spans="1:4" x14ac:dyDescent="0.3">
      <c r="A217" s="22" t="s">
        <v>86</v>
      </c>
      <c r="B217" s="23" t="s">
        <v>372</v>
      </c>
      <c r="C217" s="35" t="s">
        <v>87</v>
      </c>
      <c r="D217" s="24">
        <v>25000</v>
      </c>
    </row>
    <row r="218" spans="1:4" x14ac:dyDescent="0.3">
      <c r="A218" s="22" t="s">
        <v>88</v>
      </c>
      <c r="B218" s="23" t="s">
        <v>373</v>
      </c>
      <c r="C218" s="35" t="s">
        <v>87</v>
      </c>
      <c r="D218" s="24">
        <v>25000</v>
      </c>
    </row>
    <row r="219" spans="1:4" x14ac:dyDescent="0.3">
      <c r="A219" s="22" t="s">
        <v>49</v>
      </c>
      <c r="B219" s="23" t="s">
        <v>369</v>
      </c>
      <c r="C219" s="35" t="s">
        <v>83</v>
      </c>
      <c r="D219" s="24">
        <v>50000</v>
      </c>
    </row>
    <row r="220" spans="1:4" x14ac:dyDescent="0.3">
      <c r="A220" s="22" t="s">
        <v>84</v>
      </c>
      <c r="B220" s="23" t="s">
        <v>370</v>
      </c>
      <c r="C220" s="35" t="s">
        <v>83</v>
      </c>
      <c r="D220" s="24">
        <v>50000</v>
      </c>
    </row>
    <row r="221" spans="1:4" x14ac:dyDescent="0.3">
      <c r="A221" s="22" t="s">
        <v>82</v>
      </c>
      <c r="B221" s="23" t="s">
        <v>368</v>
      </c>
      <c r="C221" s="35" t="s">
        <v>83</v>
      </c>
      <c r="D221" s="24">
        <v>50000</v>
      </c>
    </row>
    <row r="222" spans="1:4" x14ac:dyDescent="0.3">
      <c r="A222" s="13" t="s">
        <v>602</v>
      </c>
      <c r="B222" s="13" t="s">
        <v>603</v>
      </c>
      <c r="C222" s="29" t="s">
        <v>63</v>
      </c>
      <c r="D222" s="24"/>
    </row>
    <row r="223" spans="1:4" x14ac:dyDescent="0.3">
      <c r="A223" s="13" t="s">
        <v>600</v>
      </c>
      <c r="B223" s="13" t="s">
        <v>601</v>
      </c>
      <c r="C223" s="29" t="s">
        <v>63</v>
      </c>
      <c r="D223" s="24"/>
    </row>
    <row r="224" spans="1:4" x14ac:dyDescent="0.3">
      <c r="A224" s="13" t="s">
        <v>598</v>
      </c>
      <c r="B224" s="13" t="s">
        <v>599</v>
      </c>
      <c r="C224" s="29" t="s">
        <v>63</v>
      </c>
      <c r="D224" s="24"/>
    </row>
    <row r="225" spans="1:4" x14ac:dyDescent="0.3">
      <c r="A225" s="13" t="s">
        <v>596</v>
      </c>
      <c r="B225" s="13" t="s">
        <v>597</v>
      </c>
      <c r="C225" s="29" t="s">
        <v>63</v>
      </c>
      <c r="D225" s="24"/>
    </row>
    <row r="226" spans="1:4" x14ac:dyDescent="0.3">
      <c r="A226" s="13" t="s">
        <v>610</v>
      </c>
      <c r="B226" s="13" t="s">
        <v>611</v>
      </c>
      <c r="C226" s="29" t="s">
        <v>63</v>
      </c>
      <c r="D226" s="24"/>
    </row>
    <row r="227" spans="1:4" x14ac:dyDescent="0.3">
      <c r="A227" s="13" t="s">
        <v>608</v>
      </c>
      <c r="B227" s="13" t="s">
        <v>609</v>
      </c>
      <c r="C227" s="29" t="s">
        <v>63</v>
      </c>
      <c r="D227" s="24"/>
    </row>
    <row r="228" spans="1:4" x14ac:dyDescent="0.3">
      <c r="A228" s="13" t="s">
        <v>606</v>
      </c>
      <c r="B228" s="13" t="s">
        <v>607</v>
      </c>
      <c r="C228" s="29" t="s">
        <v>63</v>
      </c>
      <c r="D228" s="24"/>
    </row>
    <row r="229" spans="1:4" x14ac:dyDescent="0.3">
      <c r="A229" s="13" t="s">
        <v>604</v>
      </c>
      <c r="B229" s="13" t="s">
        <v>605</v>
      </c>
      <c r="C229" s="29" t="s">
        <v>63</v>
      </c>
      <c r="D229" s="24"/>
    </row>
    <row r="230" spans="1:4" x14ac:dyDescent="0.3">
      <c r="A230" s="13" t="s">
        <v>594</v>
      </c>
      <c r="B230" s="13" t="s">
        <v>595</v>
      </c>
      <c r="C230" s="29" t="s">
        <v>63</v>
      </c>
      <c r="D230" s="24"/>
    </row>
    <row r="231" spans="1:4" x14ac:dyDescent="0.3">
      <c r="A231" s="13" t="s">
        <v>592</v>
      </c>
      <c r="B231" s="13" t="s">
        <v>593</v>
      </c>
      <c r="C231" s="29" t="s">
        <v>63</v>
      </c>
      <c r="D231" s="24"/>
    </row>
    <row r="232" spans="1:4" x14ac:dyDescent="0.3">
      <c r="A232" s="13" t="s">
        <v>590</v>
      </c>
      <c r="B232" s="13" t="s">
        <v>591</v>
      </c>
      <c r="C232" s="29" t="s">
        <v>63</v>
      </c>
      <c r="D232" s="24"/>
    </row>
    <row r="233" spans="1:4" x14ac:dyDescent="0.3">
      <c r="A233" s="13" t="s">
        <v>588</v>
      </c>
      <c r="B233" s="13" t="s">
        <v>589</v>
      </c>
      <c r="C233" s="29" t="s">
        <v>63</v>
      </c>
      <c r="D233" s="24"/>
    </row>
    <row r="234" spans="1:4" x14ac:dyDescent="0.3">
      <c r="A234" s="13" t="s">
        <v>586</v>
      </c>
      <c r="B234" s="13" t="s">
        <v>587</v>
      </c>
      <c r="C234" s="29" t="s">
        <v>63</v>
      </c>
      <c r="D234" s="24"/>
    </row>
    <row r="235" spans="1:4" x14ac:dyDescent="0.3">
      <c r="A235" s="107" t="s">
        <v>584</v>
      </c>
      <c r="B235" s="107" t="s">
        <v>585</v>
      </c>
      <c r="C235" s="109" t="s">
        <v>63</v>
      </c>
      <c r="D235" s="24"/>
    </row>
    <row r="236" spans="1:4" x14ac:dyDescent="0.3">
      <c r="A236" s="13" t="s">
        <v>582</v>
      </c>
      <c r="B236" s="13" t="s">
        <v>583</v>
      </c>
      <c r="C236" s="29" t="s">
        <v>63</v>
      </c>
      <c r="D236" s="24"/>
    </row>
    <row r="237" spans="1:4" x14ac:dyDescent="0.3">
      <c r="A237" s="13" t="s">
        <v>580</v>
      </c>
      <c r="B237" s="13" t="s">
        <v>581</v>
      </c>
      <c r="C237" s="29" t="s">
        <v>63</v>
      </c>
      <c r="D237" s="24"/>
    </row>
    <row r="238" spans="1:4" x14ac:dyDescent="0.3">
      <c r="A238" s="13" t="s">
        <v>570</v>
      </c>
      <c r="B238" s="13" t="s">
        <v>571</v>
      </c>
      <c r="C238" s="29" t="s">
        <v>63</v>
      </c>
      <c r="D238" s="24"/>
    </row>
    <row r="239" spans="1:4" x14ac:dyDescent="0.3">
      <c r="A239" s="13" t="s">
        <v>568</v>
      </c>
      <c r="B239" s="13" t="s">
        <v>569</v>
      </c>
      <c r="C239" s="29" t="s">
        <v>63</v>
      </c>
      <c r="D239" s="24"/>
    </row>
    <row r="240" spans="1:4" x14ac:dyDescent="0.3">
      <c r="A240" s="13" t="s">
        <v>566</v>
      </c>
      <c r="B240" s="13" t="s">
        <v>567</v>
      </c>
      <c r="C240" s="29" t="s">
        <v>63</v>
      </c>
      <c r="D240" s="24"/>
    </row>
    <row r="241" spans="1:4" x14ac:dyDescent="0.3">
      <c r="A241" s="13" t="s">
        <v>564</v>
      </c>
      <c r="B241" s="13" t="s">
        <v>565</v>
      </c>
      <c r="C241" s="29" t="s">
        <v>63</v>
      </c>
      <c r="D241" s="24"/>
    </row>
    <row r="242" spans="1:4" x14ac:dyDescent="0.3">
      <c r="A242" s="13" t="s">
        <v>578</v>
      </c>
      <c r="B242" s="13" t="s">
        <v>579</v>
      </c>
      <c r="C242" s="29" t="s">
        <v>63</v>
      </c>
      <c r="D242" s="24"/>
    </row>
    <row r="243" spans="1:4" x14ac:dyDescent="0.3">
      <c r="A243" s="13" t="s">
        <v>576</v>
      </c>
      <c r="B243" s="13" t="s">
        <v>577</v>
      </c>
      <c r="C243" s="29" t="s">
        <v>63</v>
      </c>
      <c r="D243" s="24"/>
    </row>
    <row r="244" spans="1:4" x14ac:dyDescent="0.3">
      <c r="A244" s="13" t="s">
        <v>574</v>
      </c>
      <c r="B244" s="13" t="s">
        <v>575</v>
      </c>
      <c r="C244" s="29" t="s">
        <v>63</v>
      </c>
      <c r="D244" s="24"/>
    </row>
    <row r="245" spans="1:4" x14ac:dyDescent="0.3">
      <c r="A245" s="13" t="s">
        <v>572</v>
      </c>
      <c r="B245" s="13" t="s">
        <v>573</v>
      </c>
      <c r="C245" s="29" t="s">
        <v>63</v>
      </c>
      <c r="D245" s="24"/>
    </row>
    <row r="246" spans="1:4" x14ac:dyDescent="0.3">
      <c r="A246" s="13" t="s">
        <v>562</v>
      </c>
      <c r="B246" s="13" t="s">
        <v>563</v>
      </c>
      <c r="C246" s="29" t="s">
        <v>63</v>
      </c>
      <c r="D246" s="24"/>
    </row>
    <row r="247" spans="1:4" x14ac:dyDescent="0.3">
      <c r="A247" s="13" t="s">
        <v>560</v>
      </c>
      <c r="B247" s="13" t="s">
        <v>561</v>
      </c>
      <c r="C247" s="29" t="s">
        <v>63</v>
      </c>
      <c r="D247" s="24"/>
    </row>
    <row r="248" spans="1:4" x14ac:dyDescent="0.3">
      <c r="A248" s="13" t="s">
        <v>558</v>
      </c>
      <c r="B248" s="13" t="s">
        <v>559</v>
      </c>
      <c r="C248" s="29" t="s">
        <v>63</v>
      </c>
      <c r="D248" s="24"/>
    </row>
    <row r="249" spans="1:4" x14ac:dyDescent="0.3">
      <c r="A249" s="13" t="s">
        <v>556</v>
      </c>
      <c r="B249" s="13" t="s">
        <v>557</v>
      </c>
      <c r="C249" s="29" t="s">
        <v>63</v>
      </c>
      <c r="D249" s="24"/>
    </row>
    <row r="250" spans="1:4" x14ac:dyDescent="0.3">
      <c r="A250" s="13" t="s">
        <v>554</v>
      </c>
      <c r="B250" s="13" t="s">
        <v>555</v>
      </c>
      <c r="C250" s="29" t="s">
        <v>63</v>
      </c>
      <c r="D250" s="24"/>
    </row>
    <row r="251" spans="1:4" x14ac:dyDescent="0.3">
      <c r="A251" s="107" t="s">
        <v>552</v>
      </c>
      <c r="B251" s="107" t="s">
        <v>553</v>
      </c>
      <c r="C251" s="109" t="s">
        <v>63</v>
      </c>
      <c r="D251" s="24"/>
    </row>
    <row r="252" spans="1:4" x14ac:dyDescent="0.3">
      <c r="A252" s="13" t="s">
        <v>550</v>
      </c>
      <c r="B252" s="13" t="s">
        <v>551</v>
      </c>
      <c r="C252" s="29" t="s">
        <v>63</v>
      </c>
      <c r="D252" s="24"/>
    </row>
    <row r="253" spans="1:4" x14ac:dyDescent="0.3">
      <c r="A253" s="13" t="s">
        <v>548</v>
      </c>
      <c r="B253" s="13" t="s">
        <v>549</v>
      </c>
      <c r="C253" s="29" t="s">
        <v>63</v>
      </c>
      <c r="D253" s="24"/>
    </row>
    <row r="254" spans="1:4" x14ac:dyDescent="0.3">
      <c r="A254" s="13" t="s">
        <v>301</v>
      </c>
      <c r="B254" s="25" t="s">
        <v>302</v>
      </c>
      <c r="C254" s="29" t="s">
        <v>83</v>
      </c>
      <c r="D254" s="24">
        <v>35000</v>
      </c>
    </row>
    <row r="255" spans="1:4" x14ac:dyDescent="0.3">
      <c r="A255" s="13" t="s">
        <v>303</v>
      </c>
      <c r="B255" s="25" t="s">
        <v>304</v>
      </c>
      <c r="C255" s="29" t="s">
        <v>83</v>
      </c>
      <c r="D255" s="24">
        <v>35000</v>
      </c>
    </row>
    <row r="256" spans="1:4" x14ac:dyDescent="0.3">
      <c r="A256" s="22" t="s">
        <v>235</v>
      </c>
      <c r="B256" s="23" t="s">
        <v>267</v>
      </c>
      <c r="C256" s="35" t="s">
        <v>83</v>
      </c>
      <c r="D256" s="24">
        <v>25000</v>
      </c>
    </row>
    <row r="257" spans="1:4" x14ac:dyDescent="0.3">
      <c r="A257" s="13" t="s">
        <v>391</v>
      </c>
      <c r="B257" s="25" t="s">
        <v>392</v>
      </c>
      <c r="C257" s="29" t="s">
        <v>63</v>
      </c>
      <c r="D257" s="26">
        <v>50000</v>
      </c>
    </row>
    <row r="258" spans="1:4" x14ac:dyDescent="0.3">
      <c r="A258" s="13" t="s">
        <v>64</v>
      </c>
      <c r="B258" s="25" t="s">
        <v>119</v>
      </c>
      <c r="C258" s="29" t="s">
        <v>63</v>
      </c>
      <c r="D258" s="26">
        <v>50000</v>
      </c>
    </row>
    <row r="259" spans="1:4" x14ac:dyDescent="0.3">
      <c r="A259" s="13" t="s">
        <v>65</v>
      </c>
      <c r="B259" s="25" t="s">
        <v>66</v>
      </c>
      <c r="C259" s="29" t="s">
        <v>63</v>
      </c>
      <c r="D259" s="26">
        <v>50000</v>
      </c>
    </row>
    <row r="260" spans="1:4" x14ac:dyDescent="0.3">
      <c r="A260" s="13" t="s">
        <v>67</v>
      </c>
      <c r="B260" s="25" t="s">
        <v>68</v>
      </c>
      <c r="C260" s="29" t="s">
        <v>63</v>
      </c>
      <c r="D260" s="26">
        <v>50000</v>
      </c>
    </row>
    <row r="261" spans="1:4" x14ac:dyDescent="0.3">
      <c r="A261" s="13" t="s">
        <v>61</v>
      </c>
      <c r="B261" s="25" t="s">
        <v>62</v>
      </c>
      <c r="C261" s="29" t="s">
        <v>63</v>
      </c>
      <c r="D261" s="26">
        <v>50000</v>
      </c>
    </row>
    <row r="262" spans="1:4" x14ac:dyDescent="0.3">
      <c r="A262" s="13" t="s">
        <v>695</v>
      </c>
      <c r="B262" s="25" t="s">
        <v>696</v>
      </c>
      <c r="C262" s="29" t="s">
        <v>48</v>
      </c>
      <c r="D262" s="26"/>
    </row>
    <row r="263" spans="1:4" x14ac:dyDescent="0.3">
      <c r="A263" s="13" t="s">
        <v>697</v>
      </c>
      <c r="B263" s="25" t="s">
        <v>698</v>
      </c>
      <c r="C263" s="29" t="s">
        <v>48</v>
      </c>
      <c r="D263" s="26"/>
    </row>
    <row r="264" spans="1:4" x14ac:dyDescent="0.3">
      <c r="A264" s="13" t="s">
        <v>699</v>
      </c>
      <c r="B264" s="25" t="s">
        <v>700</v>
      </c>
      <c r="C264" s="29" t="s">
        <v>48</v>
      </c>
      <c r="D264" s="26"/>
    </row>
    <row r="265" spans="1:4" x14ac:dyDescent="0.3">
      <c r="A265" s="13" t="s">
        <v>701</v>
      </c>
      <c r="B265" s="25" t="s">
        <v>702</v>
      </c>
      <c r="C265" s="29" t="s">
        <v>48</v>
      </c>
      <c r="D265" s="26"/>
    </row>
    <row r="266" spans="1:4" x14ac:dyDescent="0.3">
      <c r="A266" s="13" t="s">
        <v>703</v>
      </c>
      <c r="B266" s="25" t="s">
        <v>704</v>
      </c>
      <c r="C266" s="29" t="s">
        <v>48</v>
      </c>
      <c r="D266" s="26"/>
    </row>
    <row r="267" spans="1:4" x14ac:dyDescent="0.3">
      <c r="A267" s="13" t="s">
        <v>705</v>
      </c>
      <c r="B267" s="25" t="s">
        <v>706</v>
      </c>
      <c r="C267" s="29" t="s">
        <v>48</v>
      </c>
      <c r="D267" s="26"/>
    </row>
    <row r="268" spans="1:4" x14ac:dyDescent="0.3">
      <c r="A268" s="13" t="s">
        <v>707</v>
      </c>
      <c r="B268" s="25" t="s">
        <v>708</v>
      </c>
      <c r="C268" s="29" t="s">
        <v>48</v>
      </c>
      <c r="D268" s="26"/>
    </row>
    <row r="269" spans="1:4" x14ac:dyDescent="0.3">
      <c r="A269" s="13" t="s">
        <v>709</v>
      </c>
      <c r="B269" s="25" t="s">
        <v>710</v>
      </c>
      <c r="C269" s="29" t="s">
        <v>48</v>
      </c>
      <c r="D269" s="26"/>
    </row>
    <row r="270" spans="1:4" x14ac:dyDescent="0.3">
      <c r="A270" s="13" t="s">
        <v>711</v>
      </c>
      <c r="B270" s="25" t="s">
        <v>712</v>
      </c>
      <c r="C270" s="29" t="s">
        <v>48</v>
      </c>
      <c r="D270" s="26"/>
    </row>
    <row r="271" spans="1:4" x14ac:dyDescent="0.3">
      <c r="A271" s="13" t="s">
        <v>694</v>
      </c>
      <c r="B271" s="25" t="s">
        <v>713</v>
      </c>
      <c r="C271" s="29" t="s">
        <v>48</v>
      </c>
      <c r="D271" s="26"/>
    </row>
    <row r="272" spans="1:4" x14ac:dyDescent="0.3">
      <c r="A272" s="13" t="s">
        <v>714</v>
      </c>
      <c r="B272" s="25" t="s">
        <v>715</v>
      </c>
      <c r="C272" s="29" t="s">
        <v>48</v>
      </c>
      <c r="D272" s="26"/>
    </row>
    <row r="273" spans="1:4" x14ac:dyDescent="0.3">
      <c r="A273" s="107" t="s">
        <v>716</v>
      </c>
      <c r="B273" s="108" t="s">
        <v>717</v>
      </c>
      <c r="C273" s="29" t="s">
        <v>48</v>
      </c>
      <c r="D273" s="26"/>
    </row>
    <row r="274" spans="1:4" x14ac:dyDescent="0.3">
      <c r="A274" s="13" t="s">
        <v>718</v>
      </c>
      <c r="B274" s="25" t="s">
        <v>719</v>
      </c>
      <c r="C274" s="29" t="s">
        <v>541</v>
      </c>
      <c r="D274" s="26"/>
    </row>
    <row r="275" spans="1:4" x14ac:dyDescent="0.3">
      <c r="A275" s="13" t="s">
        <v>720</v>
      </c>
      <c r="B275" s="25" t="s">
        <v>721</v>
      </c>
      <c r="C275" s="29" t="s">
        <v>541</v>
      </c>
      <c r="D275" s="26"/>
    </row>
    <row r="276" spans="1:4" x14ac:dyDescent="0.3">
      <c r="A276" s="13" t="s">
        <v>722</v>
      </c>
      <c r="B276" s="25" t="s">
        <v>723</v>
      </c>
      <c r="C276" s="29" t="s">
        <v>541</v>
      </c>
      <c r="D276" s="26"/>
    </row>
    <row r="277" spans="1:4" x14ac:dyDescent="0.3">
      <c r="A277" s="13" t="s">
        <v>724</v>
      </c>
      <c r="B277" s="25" t="s">
        <v>725</v>
      </c>
      <c r="C277" s="29" t="s">
        <v>541</v>
      </c>
      <c r="D277" s="26"/>
    </row>
    <row r="278" spans="1:4" x14ac:dyDescent="0.3">
      <c r="D278"/>
    </row>
    <row r="279" spans="1:4" x14ac:dyDescent="0.3">
      <c r="D279"/>
    </row>
  </sheetData>
  <autoFilter ref="A2:D277" xr:uid="{00000000-0001-0000-0100-000000000000}"/>
  <mergeCells count="1"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11"/>
  <sheetViews>
    <sheetView showGridLines="0" topLeftCell="A11" zoomScale="85" zoomScaleNormal="85" workbookViewId="0">
      <selection activeCell="L14" sqref="L14"/>
    </sheetView>
  </sheetViews>
  <sheetFormatPr baseColWidth="10" defaultRowHeight="14.4" x14ac:dyDescent="0.3"/>
  <cols>
    <col min="1" max="1" width="25.33203125" bestFit="1" customWidth="1"/>
    <col min="2" max="2" width="16.44140625" bestFit="1" customWidth="1"/>
    <col min="3" max="3" width="9.6640625" bestFit="1" customWidth="1"/>
    <col min="4" max="4" width="9.109375" bestFit="1" customWidth="1"/>
    <col min="5" max="5" width="10.5546875" bestFit="1" customWidth="1"/>
    <col min="6" max="6" width="6.88671875" bestFit="1" customWidth="1"/>
    <col min="7" max="7" width="4.88671875" bestFit="1" customWidth="1"/>
    <col min="8" max="8" width="8.5546875" bestFit="1" customWidth="1"/>
    <col min="9" max="9" width="12.33203125" bestFit="1" customWidth="1"/>
    <col min="10" max="10" width="12.5546875" bestFit="1" customWidth="1"/>
    <col min="11" max="11" width="10" bestFit="1" customWidth="1"/>
    <col min="12" max="12" width="38.88671875" bestFit="1" customWidth="1"/>
    <col min="13" max="13" width="15.44140625" bestFit="1" customWidth="1"/>
    <col min="14" max="14" width="11.44140625" bestFit="1" customWidth="1"/>
    <col min="15" max="15" width="11.109375" bestFit="1" customWidth="1"/>
    <col min="16" max="16" width="12.5546875" bestFit="1" customWidth="1"/>
    <col min="17" max="17" width="8" bestFit="1" customWidth="1"/>
    <col min="18" max="18" width="5.6640625" bestFit="1" customWidth="1"/>
    <col min="19" max="19" width="8.5546875" bestFit="1" customWidth="1"/>
    <col min="20" max="20" width="12.33203125" bestFit="1" customWidth="1"/>
  </cols>
  <sheetData>
    <row r="1" spans="1:30" ht="21" x14ac:dyDescent="0.3">
      <c r="A1" s="209" t="s">
        <v>89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30" ht="16.5" customHeight="1" x14ac:dyDescent="0.3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30" ht="21" x14ac:dyDescent="0.3">
      <c r="A3" s="209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30" x14ac:dyDescent="0.3"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s="213" customFormat="1" ht="27.75" customHeight="1" x14ac:dyDescent="0.3">
      <c r="A5" s="210" t="s">
        <v>732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2"/>
    </row>
    <row r="6" spans="1:30" x14ac:dyDescent="0.3">
      <c r="K6" s="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s="38" customFormat="1" ht="20.399999999999999" x14ac:dyDescent="0.25">
      <c r="A7" s="36" t="s">
        <v>0</v>
      </c>
      <c r="B7" s="37" t="s">
        <v>253</v>
      </c>
      <c r="L7" s="36" t="s">
        <v>0</v>
      </c>
      <c r="M7" s="37" t="s">
        <v>253</v>
      </c>
      <c r="N7" s="39"/>
      <c r="O7" s="40"/>
      <c r="P7" s="40"/>
    </row>
    <row r="8" spans="1:30" s="38" customFormat="1" ht="13.8" x14ac:dyDescent="0.25">
      <c r="A8" s="36" t="s">
        <v>10</v>
      </c>
      <c r="B8" s="37" t="s">
        <v>238</v>
      </c>
      <c r="L8" s="36" t="s">
        <v>15</v>
      </c>
      <c r="M8" s="37" t="s">
        <v>90</v>
      </c>
    </row>
    <row r="9" spans="1:30" s="38" customFormat="1" ht="13.8" x14ac:dyDescent="0.25">
      <c r="B9" s="41"/>
      <c r="M9" s="41"/>
    </row>
    <row r="10" spans="1:30" s="38" customFormat="1" ht="27.6" x14ac:dyDescent="0.3">
      <c r="A10" s="45" t="s">
        <v>91</v>
      </c>
      <c r="B10" s="36" t="s">
        <v>7</v>
      </c>
      <c r="C10" s="37"/>
      <c r="D10" s="37"/>
      <c r="E10" s="37"/>
      <c r="F10" s="37"/>
      <c r="G10" s="37"/>
      <c r="H10" s="37"/>
      <c r="I10"/>
      <c r="J10" s="37"/>
      <c r="L10" s="45" t="s">
        <v>116</v>
      </c>
      <c r="M10" s="36" t="s">
        <v>7</v>
      </c>
      <c r="N10" s="37"/>
      <c r="O10" s="37"/>
      <c r="P10" s="37"/>
      <c r="Q10" s="37"/>
      <c r="R10" s="37"/>
      <c r="S10" s="37"/>
      <c r="T10"/>
    </row>
    <row r="11" spans="1:30" s="38" customFormat="1" x14ac:dyDescent="0.3">
      <c r="A11" s="36" t="s">
        <v>8</v>
      </c>
      <c r="B11" s="43" t="s">
        <v>54</v>
      </c>
      <c r="C11" s="43" t="s">
        <v>48</v>
      </c>
      <c r="D11" s="43" t="s">
        <v>83</v>
      </c>
      <c r="E11" s="43" t="s">
        <v>63</v>
      </c>
      <c r="F11" s="43" t="s">
        <v>70</v>
      </c>
      <c r="G11" s="43" t="s">
        <v>87</v>
      </c>
      <c r="H11" s="37" t="s">
        <v>273</v>
      </c>
      <c r="I11"/>
      <c r="J11" s="37"/>
      <c r="L11" s="36" t="s">
        <v>8</v>
      </c>
      <c r="M11" s="37" t="s">
        <v>54</v>
      </c>
      <c r="N11" s="37" t="s">
        <v>48</v>
      </c>
      <c r="O11" s="37" t="s">
        <v>83</v>
      </c>
      <c r="P11" s="37" t="s">
        <v>63</v>
      </c>
      <c r="Q11" s="37" t="s">
        <v>70</v>
      </c>
      <c r="R11" s="37" t="s">
        <v>87</v>
      </c>
      <c r="S11" s="37" t="s">
        <v>273</v>
      </c>
      <c r="T11"/>
    </row>
    <row r="12" spans="1:30" s="38" customFormat="1" x14ac:dyDescent="0.3">
      <c r="A12" s="37" t="s">
        <v>20</v>
      </c>
      <c r="B12" s="42">
        <v>0.625</v>
      </c>
      <c r="C12" s="42">
        <v>0.6</v>
      </c>
      <c r="D12" s="42">
        <v>1</v>
      </c>
      <c r="E12" s="42">
        <v>2.6666666666666665</v>
      </c>
      <c r="F12" s="42">
        <v>0</v>
      </c>
      <c r="G12" s="42">
        <v>0</v>
      </c>
      <c r="H12" s="42">
        <v>0</v>
      </c>
      <c r="I12"/>
      <c r="J12" s="42"/>
      <c r="L12" s="37" t="s">
        <v>20</v>
      </c>
      <c r="M12" s="42">
        <v>2</v>
      </c>
      <c r="N12" s="42">
        <v>2.5333333333333332</v>
      </c>
      <c r="O12" s="42">
        <v>2.4285714285714284</v>
      </c>
      <c r="P12" s="42">
        <v>4</v>
      </c>
      <c r="Q12" s="42">
        <v>2</v>
      </c>
      <c r="R12" s="42">
        <v>1</v>
      </c>
      <c r="S12" s="42">
        <v>1</v>
      </c>
      <c r="T12"/>
    </row>
    <row r="13" spans="1:30" s="38" customFormat="1" x14ac:dyDescent="0.3">
      <c r="A13" s="37" t="s">
        <v>23</v>
      </c>
      <c r="B13" s="42">
        <v>0.5</v>
      </c>
      <c r="C13" s="42">
        <v>0.66666666666666663</v>
      </c>
      <c r="D13" s="42">
        <v>1</v>
      </c>
      <c r="E13" s="42"/>
      <c r="F13" s="42"/>
      <c r="G13" s="42"/>
      <c r="H13" s="42">
        <v>0</v>
      </c>
      <c r="I13"/>
      <c r="J13" s="42"/>
      <c r="L13" s="37" t="s">
        <v>23</v>
      </c>
      <c r="M13" s="42">
        <v>1.5</v>
      </c>
      <c r="N13" s="42">
        <v>1.6666666666666667</v>
      </c>
      <c r="O13" s="42">
        <v>2</v>
      </c>
      <c r="P13" s="42"/>
      <c r="Q13" s="42"/>
      <c r="R13" s="42"/>
      <c r="S13" s="42">
        <v>1</v>
      </c>
      <c r="T13"/>
    </row>
    <row r="14" spans="1:30" s="38" customFormat="1" x14ac:dyDescent="0.3">
      <c r="A14" s="37" t="s">
        <v>41</v>
      </c>
      <c r="B14" s="42">
        <v>0</v>
      </c>
      <c r="C14" s="42">
        <v>0</v>
      </c>
      <c r="D14" s="42"/>
      <c r="E14" s="42"/>
      <c r="F14" s="42"/>
      <c r="G14" s="42"/>
      <c r="H14" s="42"/>
      <c r="I14"/>
      <c r="J14" s="42"/>
      <c r="L14" s="37" t="s">
        <v>41</v>
      </c>
      <c r="M14" s="42">
        <v>1</v>
      </c>
      <c r="N14" s="42">
        <v>1</v>
      </c>
      <c r="O14" s="42"/>
      <c r="P14" s="42"/>
      <c r="Q14" s="42"/>
      <c r="R14" s="42"/>
      <c r="S14" s="42"/>
      <c r="T14"/>
    </row>
    <row r="15" spans="1:30" s="38" customFormat="1" x14ac:dyDescent="0.3">
      <c r="A15" s="37" t="s">
        <v>187</v>
      </c>
      <c r="B15" s="42"/>
      <c r="C15" s="42"/>
      <c r="D15" s="42">
        <v>0</v>
      </c>
      <c r="E15" s="42"/>
      <c r="F15" s="42"/>
      <c r="G15" s="42">
        <v>0</v>
      </c>
      <c r="H15" s="42"/>
      <c r="I15"/>
      <c r="J15" s="42"/>
      <c r="L15" s="37" t="s">
        <v>187</v>
      </c>
      <c r="M15" s="42"/>
      <c r="N15" s="42"/>
      <c r="O15" s="42">
        <v>2</v>
      </c>
      <c r="P15" s="42"/>
      <c r="Q15" s="42"/>
      <c r="R15" s="42">
        <v>2</v>
      </c>
      <c r="S15" s="42"/>
      <c r="T15"/>
    </row>
    <row r="16" spans="1:30" s="38" customFormat="1" x14ac:dyDescent="0.3">
      <c r="A16" s="37" t="s">
        <v>192</v>
      </c>
      <c r="B16" s="42">
        <v>0</v>
      </c>
      <c r="C16" s="42">
        <v>0</v>
      </c>
      <c r="D16" s="42"/>
      <c r="E16" s="42"/>
      <c r="F16" s="42"/>
      <c r="G16" s="42"/>
      <c r="H16" s="42"/>
      <c r="I16"/>
      <c r="J16" s="42"/>
      <c r="L16" s="37" t="s">
        <v>192</v>
      </c>
      <c r="M16" s="42">
        <v>2</v>
      </c>
      <c r="N16" s="42">
        <v>2</v>
      </c>
      <c r="O16" s="42"/>
      <c r="P16" s="42"/>
      <c r="Q16" s="42"/>
      <c r="R16" s="42"/>
      <c r="S16" s="42"/>
      <c r="T16"/>
    </row>
    <row r="17" spans="1:30" s="38" customFormat="1" x14ac:dyDescent="0.3">
      <c r="A17" s="37" t="s">
        <v>36</v>
      </c>
      <c r="B17" s="42">
        <v>1</v>
      </c>
      <c r="C17" s="42">
        <v>1</v>
      </c>
      <c r="D17" s="42"/>
      <c r="E17" s="42"/>
      <c r="F17" s="42"/>
      <c r="G17" s="42"/>
      <c r="H17" s="42"/>
      <c r="I17"/>
      <c r="J17" s="42"/>
      <c r="L17" s="37" t="s">
        <v>36</v>
      </c>
      <c r="M17" s="42">
        <v>10</v>
      </c>
      <c r="N17" s="42">
        <v>11</v>
      </c>
      <c r="O17" s="42"/>
      <c r="P17" s="42"/>
      <c r="Q17" s="42"/>
      <c r="R17" s="42"/>
      <c r="S17" s="42"/>
      <c r="T17"/>
    </row>
    <row r="18" spans="1:30" s="38" customFormat="1" x14ac:dyDescent="0.3">
      <c r="A18"/>
      <c r="B18"/>
      <c r="C18"/>
      <c r="D18"/>
      <c r="E18"/>
      <c r="F18"/>
      <c r="G18"/>
      <c r="H18"/>
      <c r="I18"/>
      <c r="J18" s="42"/>
      <c r="L18"/>
      <c r="M18"/>
      <c r="N18"/>
      <c r="O18"/>
      <c r="P18"/>
      <c r="Q18"/>
      <c r="R18"/>
      <c r="S18"/>
      <c r="T18"/>
    </row>
    <row r="19" spans="1:30" s="38" customFormat="1" x14ac:dyDescent="0.3">
      <c r="A19"/>
      <c r="B19"/>
      <c r="C19"/>
      <c r="D19"/>
      <c r="E19"/>
      <c r="F19"/>
      <c r="G19"/>
      <c r="H19"/>
      <c r="I19"/>
      <c r="J19" s="42"/>
      <c r="L19"/>
      <c r="M19"/>
      <c r="N19"/>
      <c r="O19"/>
      <c r="P19"/>
      <c r="Q19"/>
      <c r="R19"/>
      <c r="S19"/>
      <c r="T19"/>
    </row>
    <row r="20" spans="1:30" s="38" customFormat="1" x14ac:dyDescent="0.3">
      <c r="A20"/>
      <c r="B20"/>
      <c r="C20"/>
      <c r="D20"/>
      <c r="E20"/>
      <c r="F20"/>
      <c r="G20"/>
      <c r="H20"/>
      <c r="I20"/>
      <c r="J20" s="42"/>
      <c r="L20"/>
      <c r="M20"/>
      <c r="N20"/>
      <c r="O20"/>
      <c r="P20"/>
      <c r="Q20"/>
      <c r="R20"/>
      <c r="S20"/>
      <c r="T20"/>
    </row>
    <row r="21" spans="1:30" s="38" customFormat="1" x14ac:dyDescent="0.3">
      <c r="A21"/>
      <c r="B21"/>
      <c r="C21"/>
      <c r="D21"/>
      <c r="E21"/>
      <c r="F21"/>
      <c r="G21"/>
      <c r="H21"/>
      <c r="I21"/>
      <c r="L21"/>
      <c r="M21"/>
      <c r="N21"/>
      <c r="O21"/>
      <c r="P21"/>
      <c r="Q21"/>
      <c r="R21"/>
      <c r="S21"/>
      <c r="T21"/>
    </row>
    <row r="22" spans="1:30" s="38" customFormat="1" x14ac:dyDescent="0.3">
      <c r="A22"/>
      <c r="B22"/>
      <c r="C22"/>
      <c r="D22"/>
      <c r="E22"/>
      <c r="F22"/>
      <c r="G22"/>
      <c r="H22"/>
      <c r="I22"/>
      <c r="L22"/>
      <c r="M22"/>
      <c r="N22"/>
      <c r="O22"/>
      <c r="P22"/>
      <c r="Q22"/>
      <c r="R22"/>
      <c r="S22"/>
    </row>
    <row r="23" spans="1:30" s="38" customFormat="1" x14ac:dyDescent="0.3">
      <c r="A23"/>
      <c r="B23"/>
      <c r="C23"/>
      <c r="D23"/>
      <c r="E23"/>
      <c r="F23"/>
      <c r="G23"/>
    </row>
    <row r="24" spans="1:30" s="38" customFormat="1" ht="13.8" x14ac:dyDescent="0.25"/>
    <row r="25" spans="1:30" s="38" customFormat="1" ht="13.8" x14ac:dyDescent="0.25"/>
    <row r="26" spans="1:30" s="38" customFormat="1" ht="13.8" x14ac:dyDescent="0.25"/>
    <row r="27" spans="1:30" s="38" customFormat="1" ht="13.8" x14ac:dyDescent="0.25"/>
    <row r="28" spans="1:30" s="217" customFormat="1" ht="27.75" customHeight="1" x14ac:dyDescent="0.3">
      <c r="A28" s="214" t="s">
        <v>230</v>
      </c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6"/>
    </row>
    <row r="29" spans="1:30" s="38" customFormat="1" ht="13.8" x14ac:dyDescent="0.25"/>
    <row r="30" spans="1:30" s="38" customFormat="1" ht="13.8" x14ac:dyDescent="0.25"/>
    <row r="31" spans="1:30" s="38" customFormat="1" ht="13.8" x14ac:dyDescent="0.25">
      <c r="A31" s="36" t="s">
        <v>0</v>
      </c>
      <c r="B31" s="37" t="s">
        <v>253</v>
      </c>
    </row>
    <row r="32" spans="1:30" s="38" customFormat="1" ht="13.8" x14ac:dyDescent="0.25">
      <c r="A32" s="36" t="s">
        <v>15</v>
      </c>
      <c r="B32" s="37" t="s">
        <v>90</v>
      </c>
    </row>
    <row r="33" spans="1:9" s="38" customFormat="1" ht="13.8" x14ac:dyDescent="0.25">
      <c r="B33" s="41"/>
    </row>
    <row r="34" spans="1:9" s="38" customFormat="1" ht="27.6" x14ac:dyDescent="0.25">
      <c r="A34" s="45" t="s">
        <v>116</v>
      </c>
      <c r="B34" s="36" t="s">
        <v>7</v>
      </c>
      <c r="C34" s="37"/>
      <c r="D34" s="37"/>
      <c r="E34" s="37"/>
      <c r="F34" s="37"/>
      <c r="G34" s="37"/>
      <c r="H34" s="37"/>
      <c r="I34" s="37"/>
    </row>
    <row r="35" spans="1:9" s="38" customFormat="1" ht="13.8" x14ac:dyDescent="0.25">
      <c r="A35" s="36" t="s">
        <v>8</v>
      </c>
      <c r="B35" s="43" t="s">
        <v>54</v>
      </c>
      <c r="C35" s="43" t="s">
        <v>48</v>
      </c>
      <c r="D35" s="43" t="s">
        <v>83</v>
      </c>
      <c r="E35" s="43" t="s">
        <v>63</v>
      </c>
      <c r="F35" s="43" t="s">
        <v>70</v>
      </c>
      <c r="G35" s="43" t="s">
        <v>87</v>
      </c>
      <c r="H35" s="37" t="s">
        <v>273</v>
      </c>
      <c r="I35" s="37" t="s">
        <v>309</v>
      </c>
    </row>
    <row r="36" spans="1:9" s="38" customFormat="1" ht="13.8" x14ac:dyDescent="0.25">
      <c r="A36" s="37" t="s">
        <v>20</v>
      </c>
      <c r="B36" s="42">
        <v>2</v>
      </c>
      <c r="C36" s="42">
        <v>2.5333333333333332</v>
      </c>
      <c r="D36" s="42">
        <v>2.4285714285714284</v>
      </c>
      <c r="E36" s="42">
        <v>4</v>
      </c>
      <c r="F36" s="42">
        <v>2</v>
      </c>
      <c r="G36" s="42">
        <v>1</v>
      </c>
      <c r="H36" s="42">
        <v>1</v>
      </c>
      <c r="I36" s="42" t="e">
        <v>#VALUE!</v>
      </c>
    </row>
    <row r="37" spans="1:9" s="38" customFormat="1" ht="13.8" x14ac:dyDescent="0.25">
      <c r="A37" s="37" t="s">
        <v>23</v>
      </c>
      <c r="B37" s="42">
        <v>1.5</v>
      </c>
      <c r="C37" s="42">
        <v>1.6666666666666667</v>
      </c>
      <c r="D37" s="42">
        <v>2</v>
      </c>
      <c r="E37" s="42"/>
      <c r="F37" s="42"/>
      <c r="G37" s="42"/>
      <c r="H37" s="42">
        <v>1</v>
      </c>
      <c r="I37" s="42" t="e">
        <v>#VALUE!</v>
      </c>
    </row>
    <row r="38" spans="1:9" s="38" customFormat="1" ht="13.8" x14ac:dyDescent="0.25">
      <c r="A38" s="37" t="s">
        <v>41</v>
      </c>
      <c r="B38" s="42">
        <v>1</v>
      </c>
      <c r="C38" s="42">
        <v>1</v>
      </c>
      <c r="D38" s="42"/>
      <c r="E38" s="42"/>
      <c r="F38" s="42"/>
      <c r="G38" s="42"/>
      <c r="H38" s="42"/>
      <c r="I38" s="42"/>
    </row>
    <row r="39" spans="1:9" s="38" customFormat="1" ht="13.8" x14ac:dyDescent="0.25">
      <c r="A39" s="37" t="s">
        <v>187</v>
      </c>
      <c r="B39" s="42"/>
      <c r="C39" s="42"/>
      <c r="D39" s="42">
        <v>2</v>
      </c>
      <c r="E39" s="42"/>
      <c r="F39" s="42"/>
      <c r="G39" s="42">
        <v>2</v>
      </c>
      <c r="H39" s="42"/>
      <c r="I39" s="42"/>
    </row>
    <row r="40" spans="1:9" s="38" customFormat="1" ht="13.8" x14ac:dyDescent="0.25">
      <c r="A40" s="37" t="s">
        <v>192</v>
      </c>
      <c r="B40" s="42">
        <v>2</v>
      </c>
      <c r="C40" s="42">
        <v>2</v>
      </c>
      <c r="D40" s="42"/>
      <c r="E40" s="42"/>
      <c r="F40" s="42"/>
      <c r="G40" s="42"/>
      <c r="H40" s="42"/>
      <c r="I40" s="42"/>
    </row>
    <row r="41" spans="1:9" s="38" customFormat="1" ht="13.8" x14ac:dyDescent="0.25">
      <c r="A41" s="37" t="s">
        <v>36</v>
      </c>
      <c r="B41" s="42">
        <v>10</v>
      </c>
      <c r="C41" s="42">
        <v>11</v>
      </c>
      <c r="D41" s="42"/>
      <c r="E41" s="42"/>
      <c r="F41" s="42"/>
      <c r="G41" s="42"/>
      <c r="H41" s="42"/>
      <c r="I41" s="42"/>
    </row>
    <row r="42" spans="1:9" s="38" customFormat="1" x14ac:dyDescent="0.3">
      <c r="A42"/>
      <c r="B42"/>
      <c r="C42"/>
      <c r="D42"/>
      <c r="E42"/>
      <c r="F42"/>
      <c r="G42"/>
      <c r="H42"/>
      <c r="I42"/>
    </row>
    <row r="43" spans="1:9" s="38" customFormat="1" x14ac:dyDescent="0.3">
      <c r="A43"/>
      <c r="B43"/>
      <c r="C43"/>
      <c r="D43"/>
      <c r="E43"/>
      <c r="F43"/>
      <c r="G43"/>
      <c r="H43"/>
      <c r="I43"/>
    </row>
    <row r="44" spans="1:9" s="38" customFormat="1" x14ac:dyDescent="0.3">
      <c r="A44"/>
      <c r="B44"/>
      <c r="C44"/>
      <c r="D44"/>
      <c r="E44"/>
      <c r="F44"/>
      <c r="G44"/>
      <c r="H44"/>
      <c r="I44"/>
    </row>
    <row r="45" spans="1:9" s="38" customFormat="1" x14ac:dyDescent="0.3">
      <c r="A45"/>
      <c r="B45"/>
      <c r="C45"/>
      <c r="D45"/>
      <c r="E45"/>
      <c r="F45"/>
      <c r="G45"/>
      <c r="H45"/>
      <c r="I45"/>
    </row>
    <row r="46" spans="1:9" s="38" customFormat="1" x14ac:dyDescent="0.3">
      <c r="A46"/>
      <c r="B46"/>
      <c r="C46"/>
      <c r="D46"/>
      <c r="E46"/>
      <c r="F46"/>
      <c r="G46"/>
      <c r="H46"/>
      <c r="I46"/>
    </row>
    <row r="47" spans="1:9" s="38" customFormat="1" x14ac:dyDescent="0.3">
      <c r="A47"/>
      <c r="B47"/>
      <c r="C47"/>
      <c r="D47"/>
      <c r="E47"/>
      <c r="F47"/>
      <c r="G47"/>
    </row>
    <row r="48" spans="1:9" s="38" customFormat="1" ht="13.8" x14ac:dyDescent="0.25"/>
    <row r="49" s="38" customFormat="1" ht="13.8" x14ac:dyDescent="0.25"/>
    <row r="50" s="38" customFormat="1" ht="13.8" x14ac:dyDescent="0.25"/>
    <row r="51" s="38" customFormat="1" ht="13.8" x14ac:dyDescent="0.25"/>
    <row r="52" s="38" customFormat="1" ht="13.8" x14ac:dyDescent="0.25"/>
    <row r="53" s="38" customFormat="1" ht="13.8" x14ac:dyDescent="0.25"/>
    <row r="54" s="38" customFormat="1" ht="13.8" x14ac:dyDescent="0.25"/>
    <row r="55" s="38" customFormat="1" ht="13.8" x14ac:dyDescent="0.25"/>
    <row r="56" s="38" customFormat="1" ht="13.8" x14ac:dyDescent="0.25"/>
    <row r="57" s="38" customFormat="1" ht="13.8" x14ac:dyDescent="0.25"/>
    <row r="58" s="38" customFormat="1" ht="13.8" x14ac:dyDescent="0.25"/>
    <row r="59" s="38" customFormat="1" ht="13.8" x14ac:dyDescent="0.25"/>
    <row r="60" s="38" customFormat="1" ht="13.8" x14ac:dyDescent="0.25"/>
    <row r="61" s="38" customFormat="1" ht="13.8" x14ac:dyDescent="0.25"/>
    <row r="62" s="38" customFormat="1" ht="13.8" x14ac:dyDescent="0.25"/>
    <row r="63" s="38" customFormat="1" ht="13.8" x14ac:dyDescent="0.25"/>
    <row r="64" s="38" customFormat="1" ht="13.8" x14ac:dyDescent="0.25"/>
    <row r="65" s="38" customFormat="1" ht="13.8" x14ac:dyDescent="0.25"/>
    <row r="66" s="38" customFormat="1" ht="13.8" x14ac:dyDescent="0.25"/>
    <row r="67" s="38" customFormat="1" ht="13.8" x14ac:dyDescent="0.25"/>
    <row r="68" s="38" customFormat="1" ht="13.8" x14ac:dyDescent="0.25"/>
    <row r="69" s="38" customFormat="1" ht="13.8" x14ac:dyDescent="0.25"/>
    <row r="70" s="38" customFormat="1" ht="13.8" x14ac:dyDescent="0.25"/>
    <row r="71" s="38" customFormat="1" ht="13.8" x14ac:dyDescent="0.25"/>
    <row r="72" s="38" customFormat="1" ht="13.8" x14ac:dyDescent="0.25"/>
    <row r="73" s="38" customFormat="1" ht="13.8" x14ac:dyDescent="0.25"/>
    <row r="74" s="38" customFormat="1" ht="13.8" x14ac:dyDescent="0.25"/>
    <row r="75" s="38" customFormat="1" ht="13.8" x14ac:dyDescent="0.25"/>
    <row r="76" s="38" customFormat="1" ht="13.8" x14ac:dyDescent="0.25"/>
    <row r="77" s="38" customFormat="1" ht="13.8" x14ac:dyDescent="0.25"/>
    <row r="78" s="38" customFormat="1" ht="13.8" x14ac:dyDescent="0.25"/>
    <row r="79" s="38" customFormat="1" ht="13.8" x14ac:dyDescent="0.25"/>
    <row r="80" s="38" customFormat="1" ht="13.8" x14ac:dyDescent="0.25"/>
    <row r="81" s="38" customFormat="1" ht="13.8" x14ac:dyDescent="0.25"/>
    <row r="82" s="38" customFormat="1" ht="13.8" x14ac:dyDescent="0.25"/>
    <row r="83" s="38" customFormat="1" ht="13.8" x14ac:dyDescent="0.25"/>
    <row r="84" s="38" customFormat="1" ht="13.8" x14ac:dyDescent="0.25"/>
    <row r="85" s="38" customFormat="1" ht="13.8" x14ac:dyDescent="0.25"/>
    <row r="86" s="38" customFormat="1" ht="13.8" x14ac:dyDescent="0.25"/>
    <row r="87" s="38" customFormat="1" ht="13.8" x14ac:dyDescent="0.25"/>
    <row r="88" s="38" customFormat="1" ht="13.8" x14ac:dyDescent="0.25"/>
    <row r="89" s="38" customFormat="1" ht="13.8" x14ac:dyDescent="0.25"/>
    <row r="90" s="38" customFormat="1" ht="13.8" x14ac:dyDescent="0.25"/>
    <row r="91" s="38" customFormat="1" ht="13.8" x14ac:dyDescent="0.25"/>
    <row r="92" s="38" customFormat="1" ht="13.8" x14ac:dyDescent="0.25"/>
    <row r="93" s="38" customFormat="1" ht="13.8" x14ac:dyDescent="0.25"/>
    <row r="94" s="38" customFormat="1" ht="13.8" x14ac:dyDescent="0.25"/>
    <row r="95" s="38" customFormat="1" ht="13.8" x14ac:dyDescent="0.25"/>
    <row r="96" s="38" customFormat="1" ht="13.8" x14ac:dyDescent="0.25"/>
    <row r="97" s="38" customFormat="1" ht="13.8" x14ac:dyDescent="0.25"/>
    <row r="98" s="38" customFormat="1" ht="13.8" x14ac:dyDescent="0.25"/>
    <row r="99" s="38" customFormat="1" ht="13.8" x14ac:dyDescent="0.25"/>
    <row r="100" s="38" customFormat="1" ht="13.8" x14ac:dyDescent="0.25"/>
    <row r="101" s="38" customFormat="1" ht="13.8" x14ac:dyDescent="0.25"/>
    <row r="102" s="38" customFormat="1" ht="13.8" x14ac:dyDescent="0.25"/>
    <row r="103" s="38" customFormat="1" ht="13.8" x14ac:dyDescent="0.25"/>
    <row r="104" s="38" customFormat="1" ht="13.8" x14ac:dyDescent="0.25"/>
    <row r="105" s="38" customFormat="1" ht="13.8" x14ac:dyDescent="0.25"/>
    <row r="106" s="38" customFormat="1" ht="13.8" x14ac:dyDescent="0.25"/>
    <row r="107" s="38" customFormat="1" ht="13.8" x14ac:dyDescent="0.25"/>
    <row r="108" s="38" customFormat="1" ht="13.8" x14ac:dyDescent="0.25"/>
    <row r="109" s="38" customFormat="1" ht="13.8" x14ac:dyDescent="0.25"/>
    <row r="110" s="38" customFormat="1" ht="13.8" x14ac:dyDescent="0.25"/>
    <row r="111" s="38" customFormat="1" ht="13.8" x14ac:dyDescent="0.25"/>
    <row r="112" s="38" customFormat="1" ht="13.8" x14ac:dyDescent="0.25"/>
    <row r="113" s="38" customFormat="1" ht="13.8" x14ac:dyDescent="0.25"/>
    <row r="114" s="38" customFormat="1" ht="13.8" x14ac:dyDescent="0.25"/>
    <row r="115" s="38" customFormat="1" ht="13.8" x14ac:dyDescent="0.25"/>
    <row r="116" s="38" customFormat="1" ht="13.8" x14ac:dyDescent="0.25"/>
    <row r="117" s="38" customFormat="1" ht="13.8" x14ac:dyDescent="0.25"/>
    <row r="118" s="38" customFormat="1" ht="13.8" x14ac:dyDescent="0.25"/>
    <row r="119" s="38" customFormat="1" ht="13.8" x14ac:dyDescent="0.25"/>
    <row r="120" s="38" customFormat="1" ht="13.8" x14ac:dyDescent="0.25"/>
    <row r="121" s="38" customFormat="1" ht="13.8" x14ac:dyDescent="0.25"/>
    <row r="122" s="38" customFormat="1" ht="13.8" x14ac:dyDescent="0.25"/>
    <row r="123" s="38" customFormat="1" ht="13.8" x14ac:dyDescent="0.25"/>
    <row r="124" s="38" customFormat="1" ht="13.8" x14ac:dyDescent="0.25"/>
    <row r="125" s="38" customFormat="1" ht="13.8" x14ac:dyDescent="0.25"/>
    <row r="126" s="38" customFormat="1" ht="13.8" x14ac:dyDescent="0.25"/>
    <row r="127" s="38" customFormat="1" ht="13.8" x14ac:dyDescent="0.25"/>
    <row r="128" s="38" customFormat="1" ht="13.8" x14ac:dyDescent="0.25"/>
    <row r="129" s="38" customFormat="1" ht="13.8" x14ac:dyDescent="0.25"/>
    <row r="130" s="38" customFormat="1" ht="13.8" x14ac:dyDescent="0.25"/>
    <row r="131" s="38" customFormat="1" ht="13.8" x14ac:dyDescent="0.25"/>
    <row r="132" s="38" customFormat="1" ht="13.8" x14ac:dyDescent="0.25"/>
    <row r="133" s="38" customFormat="1" ht="13.8" x14ac:dyDescent="0.25"/>
    <row r="134" s="38" customFormat="1" ht="13.8" x14ac:dyDescent="0.25"/>
    <row r="135" s="38" customFormat="1" ht="13.8" x14ac:dyDescent="0.25"/>
    <row r="136" s="38" customFormat="1" ht="13.8" x14ac:dyDescent="0.25"/>
    <row r="137" s="38" customFormat="1" ht="13.8" x14ac:dyDescent="0.25"/>
    <row r="138" s="38" customFormat="1" ht="13.8" x14ac:dyDescent="0.25"/>
    <row r="139" s="38" customFormat="1" ht="13.8" x14ac:dyDescent="0.25"/>
    <row r="140" s="38" customFormat="1" ht="13.8" x14ac:dyDescent="0.25"/>
    <row r="141" s="38" customFormat="1" ht="13.8" x14ac:dyDescent="0.25"/>
    <row r="142" s="38" customFormat="1" ht="13.8" x14ac:dyDescent="0.25"/>
    <row r="143" s="38" customFormat="1" ht="13.8" x14ac:dyDescent="0.25"/>
    <row r="144" s="38" customFormat="1" ht="13.8" x14ac:dyDescent="0.25"/>
    <row r="145" s="38" customFormat="1" ht="13.8" x14ac:dyDescent="0.25"/>
    <row r="146" s="38" customFormat="1" ht="13.8" x14ac:dyDescent="0.25"/>
    <row r="147" s="38" customFormat="1" ht="13.8" x14ac:dyDescent="0.25"/>
    <row r="148" s="38" customFormat="1" ht="13.8" x14ac:dyDescent="0.25"/>
    <row r="149" s="38" customFormat="1" ht="13.8" x14ac:dyDescent="0.25"/>
    <row r="150" s="38" customFormat="1" ht="13.8" x14ac:dyDescent="0.25"/>
    <row r="151" s="38" customFormat="1" ht="13.8" x14ac:dyDescent="0.25"/>
    <row r="152" s="38" customFormat="1" ht="13.8" x14ac:dyDescent="0.25"/>
    <row r="153" s="38" customFormat="1" ht="13.8" x14ac:dyDescent="0.25"/>
    <row r="154" s="38" customFormat="1" ht="13.8" x14ac:dyDescent="0.25"/>
    <row r="155" s="38" customFormat="1" ht="13.8" x14ac:dyDescent="0.25"/>
    <row r="156" s="38" customFormat="1" ht="13.8" x14ac:dyDescent="0.25"/>
    <row r="157" s="38" customFormat="1" ht="13.8" x14ac:dyDescent="0.25"/>
    <row r="158" s="38" customFormat="1" ht="13.8" x14ac:dyDescent="0.25"/>
    <row r="159" s="38" customFormat="1" ht="13.8" x14ac:dyDescent="0.25"/>
    <row r="160" s="38" customFormat="1" ht="13.8" x14ac:dyDescent="0.25"/>
    <row r="161" s="38" customFormat="1" ht="13.8" x14ac:dyDescent="0.25"/>
    <row r="162" s="38" customFormat="1" ht="13.8" x14ac:dyDescent="0.25"/>
    <row r="163" s="38" customFormat="1" ht="13.8" x14ac:dyDescent="0.25"/>
    <row r="164" s="38" customFormat="1" ht="13.8" x14ac:dyDescent="0.25"/>
    <row r="165" s="38" customFormat="1" ht="13.8" x14ac:dyDescent="0.25"/>
    <row r="166" s="38" customFormat="1" ht="13.8" x14ac:dyDescent="0.25"/>
    <row r="167" s="38" customFormat="1" ht="13.8" x14ac:dyDescent="0.25"/>
    <row r="168" s="38" customFormat="1" ht="13.8" x14ac:dyDescent="0.25"/>
    <row r="169" s="38" customFormat="1" ht="13.8" x14ac:dyDescent="0.25"/>
    <row r="170" s="38" customFormat="1" ht="13.8" x14ac:dyDescent="0.25"/>
    <row r="171" s="38" customFormat="1" ht="13.8" x14ac:dyDescent="0.25"/>
    <row r="172" s="38" customFormat="1" ht="13.8" x14ac:dyDescent="0.25"/>
    <row r="173" s="38" customFormat="1" ht="13.8" x14ac:dyDescent="0.25"/>
    <row r="174" s="38" customFormat="1" ht="13.8" x14ac:dyDescent="0.25"/>
    <row r="175" s="38" customFormat="1" ht="13.8" x14ac:dyDescent="0.25"/>
    <row r="176" s="38" customFormat="1" ht="13.8" x14ac:dyDescent="0.25"/>
    <row r="177" s="38" customFormat="1" ht="13.8" x14ac:dyDescent="0.25"/>
    <row r="178" s="38" customFormat="1" ht="13.8" x14ac:dyDescent="0.25"/>
    <row r="179" s="38" customFormat="1" ht="13.8" x14ac:dyDescent="0.25"/>
    <row r="180" s="38" customFormat="1" ht="13.8" x14ac:dyDescent="0.25"/>
    <row r="181" s="38" customFormat="1" ht="13.8" x14ac:dyDescent="0.25"/>
    <row r="182" s="38" customFormat="1" ht="13.8" x14ac:dyDescent="0.25"/>
    <row r="183" s="38" customFormat="1" ht="13.8" x14ac:dyDescent="0.25"/>
    <row r="184" s="38" customFormat="1" ht="13.8" x14ac:dyDescent="0.25"/>
    <row r="185" s="38" customFormat="1" ht="13.8" x14ac:dyDescent="0.25"/>
    <row r="186" s="38" customFormat="1" ht="13.8" x14ac:dyDescent="0.25"/>
    <row r="187" s="38" customFormat="1" ht="13.8" x14ac:dyDescent="0.25"/>
    <row r="188" s="38" customFormat="1" ht="13.8" x14ac:dyDescent="0.25"/>
    <row r="189" s="38" customFormat="1" ht="13.8" x14ac:dyDescent="0.25"/>
    <row r="190" s="38" customFormat="1" ht="13.8" x14ac:dyDescent="0.25"/>
    <row r="191" s="38" customFormat="1" ht="13.8" x14ac:dyDescent="0.25"/>
    <row r="192" s="38" customFormat="1" ht="13.8" x14ac:dyDescent="0.25"/>
    <row r="193" spans="1:27" s="38" customFormat="1" ht="13.8" x14ac:dyDescent="0.25"/>
    <row r="194" spans="1:27" s="38" customFormat="1" ht="13.8" x14ac:dyDescent="0.25"/>
    <row r="195" spans="1:27" s="38" customFormat="1" ht="13.8" x14ac:dyDescent="0.25"/>
    <row r="196" spans="1:27" s="38" customFormat="1" ht="13.8" x14ac:dyDescent="0.25"/>
    <row r="197" spans="1:27" s="38" customFormat="1" ht="13.8" x14ac:dyDescent="0.25"/>
    <row r="198" spans="1:27" s="38" customFormat="1" ht="13.8" x14ac:dyDescent="0.25"/>
    <row r="199" spans="1:27" s="38" customFormat="1" ht="13.8" x14ac:dyDescent="0.25"/>
    <row r="200" spans="1:27" s="38" customFormat="1" ht="13.8" x14ac:dyDescent="0.25"/>
    <row r="201" spans="1:27" s="38" customFormat="1" ht="13.8" x14ac:dyDescent="0.25"/>
    <row r="202" spans="1:27" s="38" customFormat="1" ht="13.8" x14ac:dyDescent="0.25"/>
    <row r="203" spans="1:27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</sheetData>
  <mergeCells count="3">
    <mergeCell ref="A1:L3"/>
    <mergeCell ref="A5:XFD5"/>
    <mergeCell ref="A28:XFD28"/>
  </mergeCells>
  <pageMargins left="0.7" right="0.7" top="0.75" bottom="0.75" header="0.3" footer="0.3"/>
  <pageSetup orientation="portrait" horizontalDpi="300" verticalDpi="30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6"/>
  <sheetViews>
    <sheetView showGridLines="0" topLeftCell="A76" zoomScaleNormal="100" workbookViewId="0">
      <selection activeCell="E4" sqref="E4"/>
    </sheetView>
  </sheetViews>
  <sheetFormatPr baseColWidth="10" defaultColWidth="11.44140625" defaultRowHeight="13.2" x14ac:dyDescent="0.25"/>
  <cols>
    <col min="1" max="1" width="19.33203125" style="51" bestFit="1" customWidth="1"/>
    <col min="2" max="2" width="11.88671875" style="51" bestFit="1" customWidth="1"/>
    <col min="3" max="6" width="17.109375" style="51" bestFit="1" customWidth="1"/>
    <col min="7" max="7" width="13.33203125" style="51" bestFit="1" customWidth="1"/>
    <col min="8" max="8" width="17.5546875" style="51" bestFit="1" customWidth="1"/>
    <col min="9" max="16384" width="11.44140625" style="51"/>
  </cols>
  <sheetData>
    <row r="1" spans="1:11" s="48" customFormat="1" ht="25.5" customHeight="1" x14ac:dyDescent="0.3">
      <c r="A1" s="220" t="s">
        <v>234</v>
      </c>
      <c r="B1" s="220"/>
      <c r="C1" s="220"/>
      <c r="D1" s="220"/>
      <c r="E1" s="46">
        <f>D2*E31</f>
        <v>961.97777777777776</v>
      </c>
      <c r="F1" s="47"/>
      <c r="G1" s="47"/>
      <c r="H1" s="47"/>
    </row>
    <row r="2" spans="1:11" s="43" customFormat="1" ht="31.5" customHeight="1" x14ac:dyDescent="0.3">
      <c r="A2" s="218" t="s">
        <v>231</v>
      </c>
      <c r="B2" s="219"/>
      <c r="C2" s="219"/>
      <c r="D2" s="50">
        <f>B13/(B13+C13)</f>
        <v>0.81111111111111112</v>
      </c>
      <c r="E2" s="49" t="s">
        <v>233</v>
      </c>
      <c r="F2" s="49"/>
      <c r="G2" s="49"/>
      <c r="H2" s="49"/>
    </row>
    <row r="3" spans="1:11" x14ac:dyDescent="0.25">
      <c r="J3" s="51" t="s">
        <v>727</v>
      </c>
      <c r="K3" s="51">
        <v>36</v>
      </c>
    </row>
    <row r="4" spans="1:11" x14ac:dyDescent="0.25">
      <c r="A4" s="44" t="s">
        <v>2</v>
      </c>
      <c r="B4" s="43" t="s">
        <v>19</v>
      </c>
      <c r="J4" s="51" t="s">
        <v>232</v>
      </c>
      <c r="K4" s="51">
        <v>6</v>
      </c>
    </row>
    <row r="5" spans="1:11" x14ac:dyDescent="0.25">
      <c r="A5" s="44" t="s">
        <v>15</v>
      </c>
      <c r="B5" s="43" t="s">
        <v>90</v>
      </c>
      <c r="J5" s="51" t="s">
        <v>730</v>
      </c>
      <c r="K5" s="51">
        <v>20</v>
      </c>
    </row>
    <row r="6" spans="1:11" x14ac:dyDescent="0.25">
      <c r="J6" s="51" t="s">
        <v>728</v>
      </c>
      <c r="K6" s="52">
        <f>(K3-K4)/K3</f>
        <v>0.83333333333333337</v>
      </c>
    </row>
    <row r="7" spans="1:11" x14ac:dyDescent="0.25">
      <c r="A7" s="44" t="s">
        <v>94</v>
      </c>
      <c r="B7" s="44" t="s">
        <v>229</v>
      </c>
      <c r="C7" s="43"/>
      <c r="D7" s="43"/>
      <c r="E7" s="43"/>
      <c r="F7" s="43"/>
      <c r="G7" s="43"/>
    </row>
    <row r="8" spans="1:11" x14ac:dyDescent="0.25">
      <c r="A8" s="44" t="s">
        <v>0</v>
      </c>
      <c r="B8" s="43" t="s">
        <v>103</v>
      </c>
      <c r="C8" s="43" t="s">
        <v>104</v>
      </c>
      <c r="D8" s="43" t="s">
        <v>306</v>
      </c>
      <c r="E8" s="43" t="s">
        <v>275</v>
      </c>
      <c r="F8" s="43" t="s">
        <v>307</v>
      </c>
      <c r="G8" s="43" t="s">
        <v>101</v>
      </c>
      <c r="J8" s="51" t="s">
        <v>729</v>
      </c>
      <c r="K8" s="52">
        <f>(K3-K4-K5)/K3</f>
        <v>0.27777777777777779</v>
      </c>
    </row>
    <row r="9" spans="1:11" x14ac:dyDescent="0.25">
      <c r="A9" s="43" t="s">
        <v>95</v>
      </c>
      <c r="B9" s="43">
        <v>70</v>
      </c>
      <c r="C9" s="43">
        <v>25</v>
      </c>
      <c r="D9" s="43"/>
      <c r="E9" s="43"/>
      <c r="F9" s="43"/>
      <c r="G9" s="43">
        <v>95</v>
      </c>
      <c r="H9" s="52"/>
    </row>
    <row r="10" spans="1:11" x14ac:dyDescent="0.25">
      <c r="A10" s="43" t="s">
        <v>96</v>
      </c>
      <c r="B10" s="43">
        <v>86</v>
      </c>
      <c r="C10" s="43">
        <v>5</v>
      </c>
      <c r="D10" s="43"/>
      <c r="E10" s="43"/>
      <c r="F10" s="43"/>
      <c r="G10" s="43">
        <v>91</v>
      </c>
      <c r="H10" s="52"/>
    </row>
    <row r="11" spans="1:11" x14ac:dyDescent="0.25">
      <c r="A11" s="43" t="s">
        <v>243</v>
      </c>
      <c r="B11" s="43">
        <v>60</v>
      </c>
      <c r="C11" s="43">
        <v>5</v>
      </c>
      <c r="D11" s="43"/>
      <c r="E11" s="43"/>
      <c r="F11" s="43"/>
      <c r="G11" s="43">
        <v>65</v>
      </c>
      <c r="H11" s="52"/>
    </row>
    <row r="12" spans="1:11" x14ac:dyDescent="0.25">
      <c r="A12" s="43" t="s">
        <v>248</v>
      </c>
      <c r="B12" s="43">
        <v>111</v>
      </c>
      <c r="C12" s="43">
        <v>24</v>
      </c>
      <c r="D12" s="43"/>
      <c r="E12" s="43">
        <v>3</v>
      </c>
      <c r="F12" s="43"/>
      <c r="G12" s="43">
        <v>138</v>
      </c>
      <c r="H12" s="52"/>
    </row>
    <row r="13" spans="1:11" x14ac:dyDescent="0.25">
      <c r="A13" s="43" t="s">
        <v>253</v>
      </c>
      <c r="B13" s="43">
        <v>73</v>
      </c>
      <c r="C13" s="43">
        <v>17</v>
      </c>
      <c r="D13" s="43"/>
      <c r="E13" s="43">
        <v>12</v>
      </c>
      <c r="F13" s="43"/>
      <c r="G13" s="43">
        <v>102</v>
      </c>
      <c r="H13" s="52"/>
    </row>
    <row r="14" spans="1:11" x14ac:dyDescent="0.25">
      <c r="A14" s="43" t="s">
        <v>268</v>
      </c>
      <c r="B14" s="43">
        <v>80</v>
      </c>
      <c r="C14" s="43">
        <v>8</v>
      </c>
      <c r="D14" s="43"/>
      <c r="E14" s="43">
        <v>5</v>
      </c>
      <c r="F14" s="43"/>
      <c r="G14" s="43">
        <v>93</v>
      </c>
      <c r="H14" s="52"/>
    </row>
    <row r="15" spans="1:11" x14ac:dyDescent="0.25">
      <c r="A15" s="43" t="s">
        <v>269</v>
      </c>
      <c r="B15" s="43">
        <v>80</v>
      </c>
      <c r="C15" s="43">
        <v>16</v>
      </c>
      <c r="D15" s="43"/>
      <c r="E15" s="43">
        <v>9</v>
      </c>
      <c r="F15" s="43"/>
      <c r="G15" s="43">
        <v>105</v>
      </c>
      <c r="H15" s="52"/>
    </row>
    <row r="16" spans="1:11" x14ac:dyDescent="0.25">
      <c r="A16" s="43" t="s">
        <v>272</v>
      </c>
      <c r="B16" s="43">
        <v>44</v>
      </c>
      <c r="C16" s="43">
        <v>19</v>
      </c>
      <c r="D16" s="43"/>
      <c r="E16" s="43">
        <v>6</v>
      </c>
      <c r="F16" s="43"/>
      <c r="G16" s="43">
        <v>69</v>
      </c>
      <c r="H16" s="52"/>
    </row>
    <row r="17" spans="1:10" x14ac:dyDescent="0.25">
      <c r="A17" s="43" t="s">
        <v>277</v>
      </c>
      <c r="B17" s="43">
        <v>50</v>
      </c>
      <c r="C17" s="43">
        <v>12</v>
      </c>
      <c r="D17" s="43"/>
      <c r="E17" s="43">
        <v>3</v>
      </c>
      <c r="F17" s="43">
        <v>2</v>
      </c>
      <c r="G17" s="43">
        <v>67</v>
      </c>
      <c r="H17" s="52"/>
    </row>
    <row r="18" spans="1:10" x14ac:dyDescent="0.25">
      <c r="A18" s="43" t="s">
        <v>282</v>
      </c>
      <c r="B18" s="43">
        <v>76</v>
      </c>
      <c r="C18" s="43">
        <v>12</v>
      </c>
      <c r="D18" s="43"/>
      <c r="E18" s="43">
        <v>12</v>
      </c>
      <c r="F18" s="43">
        <v>1</v>
      </c>
      <c r="G18" s="43">
        <v>101</v>
      </c>
      <c r="H18" s="52"/>
    </row>
    <row r="19" spans="1:10" x14ac:dyDescent="0.25">
      <c r="A19" s="43" t="s">
        <v>283</v>
      </c>
      <c r="B19" s="43">
        <v>115</v>
      </c>
      <c r="C19" s="43">
        <v>31</v>
      </c>
      <c r="D19" s="43"/>
      <c r="E19" s="43">
        <v>12</v>
      </c>
      <c r="F19" s="43"/>
      <c r="G19" s="43">
        <v>158</v>
      </c>
      <c r="H19" s="52"/>
    </row>
    <row r="20" spans="1:10" x14ac:dyDescent="0.25">
      <c r="A20" s="43" t="s">
        <v>286</v>
      </c>
      <c r="B20" s="43">
        <v>49</v>
      </c>
      <c r="C20" s="43">
        <v>30</v>
      </c>
      <c r="D20" s="43">
        <v>1</v>
      </c>
      <c r="E20" s="43">
        <v>3</v>
      </c>
      <c r="F20" s="43"/>
      <c r="G20" s="43">
        <v>83</v>
      </c>
      <c r="H20" s="52"/>
    </row>
    <row r="21" spans="1:10" x14ac:dyDescent="0.25">
      <c r="A21" s="43" t="s">
        <v>101</v>
      </c>
      <c r="B21" s="43">
        <v>894</v>
      </c>
      <c r="C21" s="43">
        <v>204</v>
      </c>
      <c r="D21" s="43">
        <v>1</v>
      </c>
      <c r="E21" s="43">
        <v>65</v>
      </c>
      <c r="F21" s="43">
        <v>3</v>
      </c>
      <c r="G21" s="43">
        <v>1167</v>
      </c>
      <c r="H21" s="52"/>
    </row>
    <row r="22" spans="1:10" ht="13.8" x14ac:dyDescent="0.25">
      <c r="A22" s="43"/>
      <c r="B22" s="43"/>
      <c r="C22" s="43"/>
      <c r="D22" s="43"/>
      <c r="E22" s="38"/>
      <c r="F22" s="38"/>
      <c r="G22" s="38"/>
      <c r="H22" s="52"/>
    </row>
    <row r="23" spans="1:10" ht="13.8" x14ac:dyDescent="0.25">
      <c r="A23" s="43"/>
      <c r="B23" s="43"/>
      <c r="C23" s="43"/>
      <c r="D23" s="43"/>
      <c r="E23" s="38"/>
      <c r="F23" s="38"/>
      <c r="G23" s="38"/>
      <c r="H23" s="52"/>
    </row>
    <row r="24" spans="1:10" ht="13.8" x14ac:dyDescent="0.25">
      <c r="A24" s="43"/>
      <c r="B24" s="43"/>
      <c r="C24" s="43"/>
      <c r="D24" s="43"/>
      <c r="E24" s="38"/>
      <c r="F24" s="38"/>
      <c r="G24" s="38"/>
      <c r="H24" s="52"/>
    </row>
    <row r="25" spans="1:10" ht="13.8" x14ac:dyDescent="0.25">
      <c r="A25" s="43"/>
      <c r="B25" s="43"/>
      <c r="C25" s="43"/>
      <c r="D25" s="43"/>
      <c r="E25" s="38"/>
      <c r="F25" s="38"/>
      <c r="G25" s="38"/>
      <c r="H25" s="52"/>
    </row>
    <row r="26" spans="1:10" ht="13.8" x14ac:dyDescent="0.25">
      <c r="A26" s="43"/>
      <c r="B26" s="43"/>
      <c r="C26" s="43"/>
      <c r="D26" s="43"/>
      <c r="E26" s="38"/>
      <c r="F26" s="38"/>
      <c r="G26" s="38"/>
      <c r="H26" s="52"/>
    </row>
    <row r="27" spans="1:10" ht="13.8" x14ac:dyDescent="0.25">
      <c r="A27" s="43"/>
      <c r="B27" s="43"/>
      <c r="C27" s="43"/>
      <c r="D27" s="43"/>
      <c r="E27" s="38"/>
      <c r="F27" s="38"/>
      <c r="G27" s="38"/>
      <c r="H27" s="52"/>
    </row>
    <row r="28" spans="1:10" ht="13.8" x14ac:dyDescent="0.25">
      <c r="A28" s="43"/>
      <c r="B28" s="43"/>
      <c r="C28" s="43"/>
      <c r="D28" s="43"/>
      <c r="E28" s="38"/>
      <c r="F28" s="38"/>
      <c r="G28" s="38"/>
      <c r="H28" s="52"/>
    </row>
    <row r="29" spans="1:10" ht="13.8" x14ac:dyDescent="0.25">
      <c r="A29" s="43"/>
      <c r="B29" s="43"/>
      <c r="C29" s="43"/>
      <c r="D29" s="43"/>
      <c r="E29" s="38"/>
      <c r="F29" s="38"/>
      <c r="G29" s="38"/>
      <c r="H29" s="52"/>
    </row>
    <row r="30" spans="1:10" ht="13.8" x14ac:dyDescent="0.25">
      <c r="A30" s="38"/>
      <c r="B30" s="38"/>
      <c r="C30" s="38"/>
      <c r="D30" s="38"/>
      <c r="E30" s="38"/>
      <c r="F30" s="38"/>
      <c r="G30" s="38"/>
      <c r="H30" s="52"/>
    </row>
    <row r="31" spans="1:10" s="48" customFormat="1" ht="25.5" customHeight="1" x14ac:dyDescent="0.3">
      <c r="A31" s="219" t="s">
        <v>232</v>
      </c>
      <c r="B31" s="219"/>
      <c r="C31" s="219"/>
      <c r="D31" s="219"/>
      <c r="E31" s="53">
        <f>B37/$B$38</f>
        <v>1186</v>
      </c>
      <c r="F31" s="49"/>
      <c r="G31" s="49"/>
      <c r="H31" s="49"/>
      <c r="J31" s="54"/>
    </row>
    <row r="32" spans="1:10" ht="13.8" x14ac:dyDescent="0.25">
      <c r="A32" s="44" t="s">
        <v>0</v>
      </c>
      <c r="B32" s="43" t="s">
        <v>102</v>
      </c>
      <c r="F32" s="38"/>
      <c r="G32" s="38"/>
      <c r="H32" s="55"/>
    </row>
    <row r="33" spans="1:8" ht="13.8" x14ac:dyDescent="0.25">
      <c r="F33" s="38"/>
      <c r="G33" s="38"/>
      <c r="H33" s="55"/>
    </row>
    <row r="34" spans="1:8" ht="13.8" x14ac:dyDescent="0.25">
      <c r="A34" s="44" t="s">
        <v>94</v>
      </c>
      <c r="B34" s="43"/>
      <c r="C34" s="38"/>
      <c r="D34" s="38"/>
      <c r="E34" s="38"/>
      <c r="F34" s="38"/>
      <c r="G34" s="38"/>
      <c r="H34" s="55"/>
    </row>
    <row r="35" spans="1:8" ht="13.8" x14ac:dyDescent="0.25">
      <c r="A35" s="44" t="s">
        <v>2</v>
      </c>
      <c r="B35" s="43" t="s">
        <v>98</v>
      </c>
      <c r="C35" s="38"/>
      <c r="D35" s="38"/>
      <c r="E35" s="38"/>
      <c r="F35" s="38"/>
      <c r="G35" s="38"/>
      <c r="H35" s="55"/>
    </row>
    <row r="36" spans="1:8" ht="13.8" x14ac:dyDescent="0.25">
      <c r="A36" s="43" t="s">
        <v>34</v>
      </c>
      <c r="B36" s="43">
        <v>13</v>
      </c>
      <c r="C36" s="38"/>
      <c r="D36" s="38"/>
      <c r="E36" s="38"/>
      <c r="F36" s="38"/>
      <c r="G36" s="43"/>
      <c r="H36" s="55"/>
    </row>
    <row r="37" spans="1:8" ht="13.8" x14ac:dyDescent="0.25">
      <c r="A37" s="43" t="s">
        <v>19</v>
      </c>
      <c r="B37" s="43">
        <v>1186</v>
      </c>
      <c r="C37" s="38"/>
      <c r="D37" s="38"/>
      <c r="E37" s="38"/>
      <c r="F37" s="38"/>
      <c r="G37" s="52"/>
    </row>
    <row r="38" spans="1:8" ht="13.8" x14ac:dyDescent="0.25">
      <c r="A38" s="43" t="s">
        <v>246</v>
      </c>
      <c r="B38" s="43">
        <v>1</v>
      </c>
      <c r="C38" s="38"/>
      <c r="D38" s="38"/>
      <c r="E38" s="38"/>
      <c r="F38" s="38"/>
      <c r="G38" s="52"/>
    </row>
    <row r="39" spans="1:8" ht="13.8" x14ac:dyDescent="0.25">
      <c r="A39" s="43" t="s">
        <v>265</v>
      </c>
      <c r="B39" s="43">
        <v>4</v>
      </c>
      <c r="C39" s="38"/>
      <c r="D39" s="43"/>
      <c r="E39" s="43"/>
      <c r="F39" s="43"/>
      <c r="G39" s="52"/>
    </row>
    <row r="40" spans="1:8" ht="13.8" x14ac:dyDescent="0.25">
      <c r="A40" s="43" t="s">
        <v>266</v>
      </c>
      <c r="B40" s="43">
        <v>4</v>
      </c>
      <c r="C40" s="38"/>
      <c r="D40" s="43"/>
      <c r="E40" s="43"/>
      <c r="F40" s="43"/>
      <c r="G40" s="52"/>
    </row>
    <row r="41" spans="1:8" ht="13.8" x14ac:dyDescent="0.25">
      <c r="A41" s="43" t="s">
        <v>276</v>
      </c>
      <c r="B41" s="43">
        <v>1</v>
      </c>
      <c r="C41" s="38"/>
      <c r="D41" s="43"/>
      <c r="E41" s="43"/>
      <c r="F41" s="43"/>
      <c r="G41" s="52"/>
    </row>
    <row r="42" spans="1:8" x14ac:dyDescent="0.25">
      <c r="A42" s="43" t="s">
        <v>285</v>
      </c>
      <c r="B42" s="43">
        <v>1</v>
      </c>
      <c r="C42" s="52"/>
    </row>
    <row r="43" spans="1:8" x14ac:dyDescent="0.25">
      <c r="A43" s="43" t="s">
        <v>101</v>
      </c>
      <c r="B43" s="43">
        <v>1210</v>
      </c>
    </row>
    <row r="44" spans="1:8" x14ac:dyDescent="0.25">
      <c r="A44" s="43"/>
      <c r="B44" s="43"/>
    </row>
    <row r="45" spans="1:8" x14ac:dyDescent="0.25">
      <c r="A45" s="43"/>
      <c r="B45" s="43"/>
    </row>
    <row r="46" spans="1:8" x14ac:dyDescent="0.25">
      <c r="A46" s="43"/>
      <c r="B46" s="43"/>
    </row>
    <row r="47" spans="1:8" x14ac:dyDescent="0.25">
      <c r="C47" s="56" t="s">
        <v>108</v>
      </c>
    </row>
    <row r="48" spans="1:8" ht="26.4" x14ac:dyDescent="0.25">
      <c r="A48" s="57" t="s">
        <v>5</v>
      </c>
      <c r="B48" s="56" t="s">
        <v>99</v>
      </c>
      <c r="C48" s="56" t="s">
        <v>118</v>
      </c>
      <c r="D48" s="56" t="s">
        <v>100</v>
      </c>
      <c r="E48" s="58" t="s">
        <v>164</v>
      </c>
      <c r="F48" s="58" t="s">
        <v>163</v>
      </c>
      <c r="G48" s="58" t="s">
        <v>162</v>
      </c>
      <c r="H48" s="58" t="s">
        <v>165</v>
      </c>
    </row>
    <row r="49" spans="1:8" s="64" customFormat="1" ht="26.4" x14ac:dyDescent="0.25">
      <c r="A49" s="59" t="s">
        <v>123</v>
      </c>
      <c r="B49" s="60">
        <v>17</v>
      </c>
      <c r="C49" s="60">
        <f t="shared" ref="C49:C58" si="0">B49*4</f>
        <v>68</v>
      </c>
      <c r="D49" s="59">
        <v>79</v>
      </c>
      <c r="E49" s="61">
        <v>122</v>
      </c>
      <c r="F49" s="61">
        <v>1.46</v>
      </c>
      <c r="G49" s="62">
        <v>4444.3599999999997</v>
      </c>
      <c r="H49" s="63">
        <f t="shared" ref="H49:H55" si="1">((E49*F49)*G49)*D49</f>
        <v>62538722.852799997</v>
      </c>
    </row>
    <row r="50" spans="1:8" s="64" customFormat="1" ht="26.4" x14ac:dyDescent="0.25">
      <c r="A50" s="59" t="s">
        <v>158</v>
      </c>
      <c r="B50" s="60">
        <v>2</v>
      </c>
      <c r="C50" s="60">
        <f t="shared" si="0"/>
        <v>8</v>
      </c>
      <c r="D50" s="59">
        <v>0</v>
      </c>
      <c r="E50" s="61">
        <v>122</v>
      </c>
      <c r="F50" s="61">
        <v>1.46</v>
      </c>
      <c r="G50" s="62">
        <v>4444.3599999999997</v>
      </c>
      <c r="H50" s="63">
        <f t="shared" si="1"/>
        <v>0</v>
      </c>
    </row>
    <row r="51" spans="1:8" s="64" customFormat="1" ht="26.4" x14ac:dyDescent="0.25">
      <c r="A51" s="59" t="s">
        <v>127</v>
      </c>
      <c r="B51" s="60">
        <v>4</v>
      </c>
      <c r="C51" s="60">
        <f t="shared" si="0"/>
        <v>16</v>
      </c>
      <c r="D51" s="59">
        <v>21</v>
      </c>
      <c r="E51" s="61">
        <v>122</v>
      </c>
      <c r="F51" s="61">
        <v>1.46</v>
      </c>
      <c r="G51" s="62">
        <v>4444.3599999999997</v>
      </c>
      <c r="H51" s="63">
        <f t="shared" si="1"/>
        <v>16624217.467199998</v>
      </c>
    </row>
    <row r="52" spans="1:8" s="64" customFormat="1" ht="26.4" x14ac:dyDescent="0.25">
      <c r="A52" s="59" t="s">
        <v>159</v>
      </c>
      <c r="B52" s="60">
        <v>15</v>
      </c>
      <c r="C52" s="60">
        <v>60</v>
      </c>
      <c r="D52" s="65">
        <v>58</v>
      </c>
      <c r="E52" s="61">
        <v>125</v>
      </c>
      <c r="F52" s="61">
        <v>1.46</v>
      </c>
      <c r="G52" s="62">
        <v>4444.3599999999997</v>
      </c>
      <c r="H52" s="63">
        <f t="shared" si="1"/>
        <v>47043550.599999994</v>
      </c>
    </row>
    <row r="53" spans="1:8" s="64" customFormat="1" ht="26.4" x14ac:dyDescent="0.25">
      <c r="A53" s="59" t="s">
        <v>394</v>
      </c>
      <c r="B53" s="60">
        <v>15</v>
      </c>
      <c r="C53" s="60">
        <v>60</v>
      </c>
      <c r="D53" s="65">
        <v>15</v>
      </c>
      <c r="E53" s="61">
        <v>125</v>
      </c>
      <c r="F53" s="61">
        <v>1.46</v>
      </c>
      <c r="G53" s="62">
        <v>4444.3599999999997</v>
      </c>
      <c r="H53" s="63">
        <f>((E53*F53)*G53)*D53</f>
        <v>12166435.5</v>
      </c>
    </row>
    <row r="54" spans="1:8" s="64" customFormat="1" ht="26.4" x14ac:dyDescent="0.25">
      <c r="A54" s="59" t="s">
        <v>160</v>
      </c>
      <c r="B54" s="60">
        <v>3.3333333333333335</v>
      </c>
      <c r="C54" s="60">
        <v>13</v>
      </c>
      <c r="D54" s="65">
        <v>0</v>
      </c>
      <c r="E54" s="61">
        <v>125</v>
      </c>
      <c r="F54" s="61">
        <v>1.46</v>
      </c>
      <c r="G54" s="62">
        <v>4444.3599999999997</v>
      </c>
      <c r="H54" s="63">
        <f t="shared" si="1"/>
        <v>0</v>
      </c>
    </row>
    <row r="55" spans="1:8" s="64" customFormat="1" ht="26.4" x14ac:dyDescent="0.25">
      <c r="A55" s="59" t="s">
        <v>161</v>
      </c>
      <c r="B55" s="60">
        <v>4</v>
      </c>
      <c r="C55" s="60">
        <f t="shared" si="0"/>
        <v>16</v>
      </c>
      <c r="D55" s="59">
        <v>17</v>
      </c>
      <c r="E55" s="61">
        <v>125</v>
      </c>
      <c r="F55" s="61">
        <v>1.46</v>
      </c>
      <c r="G55" s="62">
        <v>4444.3599999999997</v>
      </c>
      <c r="H55" s="63">
        <f t="shared" si="1"/>
        <v>13788626.899999999</v>
      </c>
    </row>
    <row r="56" spans="1:8" s="64" customFormat="1" ht="26.4" x14ac:dyDescent="0.25">
      <c r="A56" s="59" t="s">
        <v>395</v>
      </c>
      <c r="B56" s="60">
        <v>4</v>
      </c>
      <c r="C56" s="60">
        <f>B56*4</f>
        <v>16</v>
      </c>
      <c r="D56" s="59">
        <v>5</v>
      </c>
      <c r="E56" s="61">
        <v>125</v>
      </c>
      <c r="F56" s="61">
        <v>1.46</v>
      </c>
      <c r="G56" s="62">
        <v>4444.3599999999997</v>
      </c>
      <c r="H56" s="63">
        <f>((E56*F56)*G56)*D56</f>
        <v>4055478.5</v>
      </c>
    </row>
    <row r="57" spans="1:8" s="64" customFormat="1" ht="39.6" x14ac:dyDescent="0.25">
      <c r="A57" s="59" t="s">
        <v>55</v>
      </c>
      <c r="B57" s="60">
        <v>3</v>
      </c>
      <c r="C57" s="60">
        <f t="shared" si="0"/>
        <v>12</v>
      </c>
      <c r="D57" s="59">
        <v>31</v>
      </c>
      <c r="E57" s="61">
        <v>125</v>
      </c>
      <c r="F57" s="61">
        <v>1.46</v>
      </c>
      <c r="G57" s="62">
        <v>4444.3599999999997</v>
      </c>
      <c r="H57" s="63">
        <f>((E57*F57)*G57)*D57</f>
        <v>25143966.699999999</v>
      </c>
    </row>
    <row r="58" spans="1:8" x14ac:dyDescent="0.25">
      <c r="A58" s="66"/>
      <c r="B58" s="67">
        <f>SUM(B49:B57)</f>
        <v>67.333333333333343</v>
      </c>
      <c r="C58" s="67">
        <f t="shared" si="0"/>
        <v>269.33333333333337</v>
      </c>
      <c r="D58" s="67">
        <f>SUM(D49:D57)</f>
        <v>226</v>
      </c>
      <c r="E58" s="68"/>
      <c r="F58" s="68"/>
      <c r="G58" s="68"/>
      <c r="H58" s="69">
        <f>SUM(H49:H57)</f>
        <v>181360998.51999998</v>
      </c>
    </row>
    <row r="59" spans="1:8" x14ac:dyDescent="0.25">
      <c r="H59" s="70">
        <f>D76</f>
        <v>4508229</v>
      </c>
    </row>
    <row r="60" spans="1:8" x14ac:dyDescent="0.25">
      <c r="H60" s="71">
        <f>SUM(H58:H59)</f>
        <v>185869227.51999998</v>
      </c>
    </row>
    <row r="62" spans="1:8" ht="26.4" x14ac:dyDescent="0.25">
      <c r="A62" s="72" t="s">
        <v>48</v>
      </c>
      <c r="B62" s="73" t="s">
        <v>100</v>
      </c>
      <c r="C62" s="73" t="s">
        <v>165</v>
      </c>
      <c r="D62" s="73" t="s">
        <v>179</v>
      </c>
    </row>
    <row r="63" spans="1:8" x14ac:dyDescent="0.25">
      <c r="A63" s="74" t="s">
        <v>167</v>
      </c>
      <c r="B63" s="75">
        <v>3</v>
      </c>
      <c r="C63" s="76">
        <v>195840</v>
      </c>
      <c r="D63" s="70">
        <f t="shared" ref="D63:D74" si="2">C63*B63</f>
        <v>587520</v>
      </c>
    </row>
    <row r="64" spans="1:8" x14ac:dyDescent="0.25">
      <c r="A64" s="75" t="s">
        <v>168</v>
      </c>
      <c r="B64" s="75">
        <v>1</v>
      </c>
      <c r="C64" s="76">
        <v>195840</v>
      </c>
      <c r="D64" s="70">
        <f t="shared" si="2"/>
        <v>195840</v>
      </c>
    </row>
    <row r="65" spans="1:7" x14ac:dyDescent="0.25">
      <c r="A65" s="75" t="s">
        <v>169</v>
      </c>
      <c r="B65" s="75">
        <v>5</v>
      </c>
      <c r="C65" s="76">
        <v>249154</v>
      </c>
      <c r="D65" s="70">
        <f t="shared" si="2"/>
        <v>1245770</v>
      </c>
    </row>
    <row r="66" spans="1:7" x14ac:dyDescent="0.25">
      <c r="A66" s="75" t="s">
        <v>170</v>
      </c>
      <c r="B66" s="75">
        <v>2</v>
      </c>
      <c r="C66" s="76">
        <v>249154</v>
      </c>
      <c r="D66" s="70">
        <f t="shared" si="2"/>
        <v>498308</v>
      </c>
    </row>
    <row r="67" spans="1:7" x14ac:dyDescent="0.25">
      <c r="A67" s="74" t="s">
        <v>171</v>
      </c>
      <c r="B67" s="75">
        <v>0</v>
      </c>
      <c r="C67" s="76">
        <v>167849</v>
      </c>
      <c r="D67" s="70">
        <f t="shared" si="2"/>
        <v>0</v>
      </c>
    </row>
    <row r="68" spans="1:7" x14ac:dyDescent="0.25">
      <c r="A68" s="75" t="s">
        <v>172</v>
      </c>
      <c r="B68" s="75">
        <v>1</v>
      </c>
      <c r="C68" s="76">
        <v>167849</v>
      </c>
      <c r="D68" s="70">
        <f t="shared" si="2"/>
        <v>167849</v>
      </c>
    </row>
    <row r="69" spans="1:7" x14ac:dyDescent="0.25">
      <c r="A69" s="75" t="s">
        <v>173</v>
      </c>
      <c r="B69" s="75">
        <v>5</v>
      </c>
      <c r="C69" s="76">
        <v>220988</v>
      </c>
      <c r="D69" s="70">
        <f t="shared" si="2"/>
        <v>1104940</v>
      </c>
    </row>
    <row r="70" spans="1:7" x14ac:dyDescent="0.25">
      <c r="A70" s="75" t="s">
        <v>174</v>
      </c>
      <c r="B70" s="75">
        <v>0</v>
      </c>
      <c r="C70" s="76">
        <v>220988</v>
      </c>
      <c r="D70" s="70">
        <f t="shared" si="2"/>
        <v>0</v>
      </c>
    </row>
    <row r="71" spans="1:7" x14ac:dyDescent="0.25">
      <c r="A71" s="74" t="s">
        <v>175</v>
      </c>
      <c r="B71" s="75">
        <v>1</v>
      </c>
      <c r="C71" s="76">
        <v>218349</v>
      </c>
      <c r="D71" s="70">
        <f t="shared" si="2"/>
        <v>218349</v>
      </c>
    </row>
    <row r="72" spans="1:7" x14ac:dyDescent="0.25">
      <c r="A72" s="75" t="s">
        <v>176</v>
      </c>
      <c r="B72" s="77">
        <v>1</v>
      </c>
      <c r="C72" s="76">
        <v>218349</v>
      </c>
      <c r="D72" s="70">
        <f t="shared" si="2"/>
        <v>218349</v>
      </c>
    </row>
    <row r="73" spans="1:7" x14ac:dyDescent="0.25">
      <c r="A73" s="75" t="s">
        <v>177</v>
      </c>
      <c r="B73" s="77">
        <v>1</v>
      </c>
      <c r="C73" s="76">
        <v>271304</v>
      </c>
      <c r="D73" s="70">
        <f t="shared" si="2"/>
        <v>271304</v>
      </c>
      <c r="F73" s="51" t="s">
        <v>240</v>
      </c>
    </row>
    <row r="74" spans="1:7" x14ac:dyDescent="0.25">
      <c r="A74" s="75" t="s">
        <v>178</v>
      </c>
      <c r="B74" s="75">
        <v>0</v>
      </c>
      <c r="C74" s="76">
        <v>271304</v>
      </c>
      <c r="D74" s="70">
        <f t="shared" si="2"/>
        <v>0</v>
      </c>
    </row>
    <row r="75" spans="1:7" x14ac:dyDescent="0.25">
      <c r="A75" s="75"/>
      <c r="B75" s="75"/>
      <c r="C75" s="76"/>
      <c r="D75" s="70"/>
    </row>
    <row r="76" spans="1:7" x14ac:dyDescent="0.25">
      <c r="A76" s="72" t="s">
        <v>98</v>
      </c>
      <c r="B76" s="73">
        <f>SUM(B63:B74)</f>
        <v>20</v>
      </c>
      <c r="C76" s="73"/>
      <c r="D76" s="78">
        <f>SUM(D63:D74)</f>
        <v>4508229</v>
      </c>
    </row>
    <row r="77" spans="1:7" x14ac:dyDescent="0.25">
      <c r="A77" s="79"/>
      <c r="B77" s="43"/>
      <c r="C77" s="43"/>
      <c r="D77" s="75"/>
      <c r="E77" s="80"/>
      <c r="G77" s="52"/>
    </row>
    <row r="82" spans="1:4" ht="26.4" x14ac:dyDescent="0.25">
      <c r="A82" s="72" t="s">
        <v>48</v>
      </c>
      <c r="B82" s="73" t="s">
        <v>100</v>
      </c>
      <c r="C82" s="73" t="s">
        <v>165</v>
      </c>
      <c r="D82" s="73" t="s">
        <v>179</v>
      </c>
    </row>
    <row r="83" spans="1:4" x14ac:dyDescent="0.25">
      <c r="A83" s="74" t="s">
        <v>249</v>
      </c>
      <c r="B83" s="75">
        <v>3</v>
      </c>
      <c r="C83" s="76">
        <v>195840</v>
      </c>
      <c r="D83" s="70">
        <f t="shared" ref="D83:D94" si="3">C83*B83</f>
        <v>587520</v>
      </c>
    </row>
    <row r="84" spans="1:4" x14ac:dyDescent="0.25">
      <c r="A84" s="74" t="s">
        <v>250</v>
      </c>
      <c r="B84" s="75">
        <v>1</v>
      </c>
      <c r="C84" s="76">
        <v>195840</v>
      </c>
      <c r="D84" s="70">
        <f t="shared" si="3"/>
        <v>195840</v>
      </c>
    </row>
    <row r="85" spans="1:4" x14ac:dyDescent="0.25">
      <c r="A85" s="75" t="s">
        <v>169</v>
      </c>
      <c r="B85" s="75">
        <v>5</v>
      </c>
      <c r="C85" s="76">
        <v>249154</v>
      </c>
      <c r="D85" s="70">
        <f t="shared" si="3"/>
        <v>1245770</v>
      </c>
    </row>
    <row r="86" spans="1:4" x14ac:dyDescent="0.25">
      <c r="A86" s="75" t="s">
        <v>170</v>
      </c>
      <c r="B86" s="75">
        <v>2</v>
      </c>
      <c r="C86" s="76">
        <v>249154</v>
      </c>
      <c r="D86" s="70">
        <f t="shared" si="3"/>
        <v>498308</v>
      </c>
    </row>
    <row r="87" spans="1:4" x14ac:dyDescent="0.25">
      <c r="A87" s="74" t="s">
        <v>171</v>
      </c>
      <c r="B87" s="75">
        <v>0</v>
      </c>
      <c r="C87" s="76">
        <v>167849</v>
      </c>
      <c r="D87" s="70">
        <f t="shared" si="3"/>
        <v>0</v>
      </c>
    </row>
    <row r="88" spans="1:4" x14ac:dyDescent="0.25">
      <c r="A88" s="75" t="s">
        <v>172</v>
      </c>
      <c r="B88" s="75">
        <v>1</v>
      </c>
      <c r="C88" s="76">
        <v>167849</v>
      </c>
      <c r="D88" s="70">
        <f t="shared" si="3"/>
        <v>167849</v>
      </c>
    </row>
    <row r="89" spans="1:4" x14ac:dyDescent="0.25">
      <c r="A89" s="75" t="s">
        <v>173</v>
      </c>
      <c r="B89" s="75">
        <v>5</v>
      </c>
      <c r="C89" s="76">
        <v>220988</v>
      </c>
      <c r="D89" s="70">
        <f t="shared" si="3"/>
        <v>1104940</v>
      </c>
    </row>
    <row r="90" spans="1:4" x14ac:dyDescent="0.25">
      <c r="A90" s="75" t="s">
        <v>174</v>
      </c>
      <c r="B90" s="75">
        <v>0</v>
      </c>
      <c r="C90" s="76">
        <v>220988</v>
      </c>
      <c r="D90" s="70">
        <f t="shared" si="3"/>
        <v>0</v>
      </c>
    </row>
    <row r="91" spans="1:4" x14ac:dyDescent="0.25">
      <c r="A91" s="74" t="s">
        <v>175</v>
      </c>
      <c r="B91" s="75">
        <v>1</v>
      </c>
      <c r="C91" s="76">
        <v>218349</v>
      </c>
      <c r="D91" s="70">
        <f t="shared" si="3"/>
        <v>218349</v>
      </c>
    </row>
    <row r="92" spans="1:4" x14ac:dyDescent="0.25">
      <c r="A92" s="75" t="s">
        <v>176</v>
      </c>
      <c r="B92" s="77">
        <v>1</v>
      </c>
      <c r="C92" s="76">
        <v>218349</v>
      </c>
      <c r="D92" s="70">
        <f t="shared" si="3"/>
        <v>218349</v>
      </c>
    </row>
    <row r="93" spans="1:4" x14ac:dyDescent="0.25">
      <c r="A93" s="75" t="s">
        <v>177</v>
      </c>
      <c r="B93" s="77">
        <v>1</v>
      </c>
      <c r="C93" s="76">
        <v>271304</v>
      </c>
      <c r="D93" s="70">
        <f t="shared" si="3"/>
        <v>271304</v>
      </c>
    </row>
    <row r="94" spans="1:4" x14ac:dyDescent="0.25">
      <c r="A94" s="75" t="s">
        <v>178</v>
      </c>
      <c r="B94" s="75">
        <v>0</v>
      </c>
      <c r="C94" s="76">
        <v>271304</v>
      </c>
      <c r="D94" s="70">
        <f t="shared" si="3"/>
        <v>0</v>
      </c>
    </row>
    <row r="95" spans="1:4" x14ac:dyDescent="0.25">
      <c r="A95" s="75"/>
      <c r="B95" s="75"/>
      <c r="C95" s="76"/>
      <c r="D95" s="70"/>
    </row>
    <row r="96" spans="1:4" x14ac:dyDescent="0.25">
      <c r="A96" s="72" t="s">
        <v>98</v>
      </c>
      <c r="B96" s="73">
        <f>SUM(B83:B94)</f>
        <v>20</v>
      </c>
      <c r="C96" s="73"/>
      <c r="D96" s="78">
        <f>SUM(D83:D94)</f>
        <v>4508229</v>
      </c>
    </row>
  </sheetData>
  <mergeCells count="3">
    <mergeCell ref="A2:C2"/>
    <mergeCell ref="A1:D1"/>
    <mergeCell ref="A31:D31"/>
  </mergeCells>
  <pageMargins left="0.7" right="0.7" top="0.75" bottom="0.75" header="0.3" footer="0.3"/>
  <pageSetup scale="73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51"/>
  <sheetViews>
    <sheetView showGridLines="0" topLeftCell="A18" zoomScale="120" zoomScaleNormal="120" zoomScaleSheetLayoutView="96" workbookViewId="0">
      <selection activeCell="J30" sqref="J30:J32"/>
    </sheetView>
  </sheetViews>
  <sheetFormatPr baseColWidth="10" defaultRowHeight="14.4" x14ac:dyDescent="0.3"/>
  <cols>
    <col min="1" max="1" width="24.33203125" bestFit="1" customWidth="1"/>
    <col min="2" max="9" width="15.44140625" bestFit="1" customWidth="1"/>
    <col min="10" max="10" width="14.5546875" bestFit="1" customWidth="1"/>
    <col min="11" max="11" width="14" bestFit="1" customWidth="1"/>
    <col min="12" max="12" width="12.5546875" bestFit="1" customWidth="1"/>
    <col min="13" max="13" width="11.33203125" bestFit="1" customWidth="1"/>
    <col min="14" max="14" width="12.5546875" bestFit="1" customWidth="1"/>
    <col min="15" max="15" width="17" style="12" bestFit="1" customWidth="1"/>
    <col min="16" max="16" width="14.5546875" bestFit="1" customWidth="1"/>
    <col min="17" max="22" width="12.33203125" bestFit="1" customWidth="1"/>
    <col min="23" max="23" width="12.5546875" bestFit="1" customWidth="1"/>
    <col min="24" max="24" width="11.33203125" bestFit="1" customWidth="1"/>
    <col min="25" max="25" width="12.5546875" bestFit="1" customWidth="1"/>
    <col min="26" max="26" width="11.33203125" bestFit="1" customWidth="1"/>
    <col min="27" max="27" width="12.5546875" bestFit="1" customWidth="1"/>
  </cols>
  <sheetData>
    <row r="1" spans="1:15" x14ac:dyDescent="0.3">
      <c r="I1" s="3"/>
    </row>
    <row r="2" spans="1:15" ht="21" x14ac:dyDescent="0.3">
      <c r="A2" s="3"/>
      <c r="B2" s="221" t="s">
        <v>92</v>
      </c>
      <c r="C2" s="221"/>
      <c r="D2" s="221"/>
      <c r="E2" s="221"/>
      <c r="F2" s="221"/>
      <c r="G2" s="221"/>
      <c r="H2" s="221"/>
      <c r="I2" s="3"/>
    </row>
    <row r="3" spans="1:15" x14ac:dyDescent="0.3">
      <c r="A3" s="3"/>
      <c r="I3" s="3"/>
    </row>
    <row r="4" spans="1:15" ht="21" customHeight="1" x14ac:dyDescent="0.3">
      <c r="A4" s="214" t="s">
        <v>93</v>
      </c>
      <c r="B4" s="215"/>
      <c r="C4" s="215"/>
      <c r="D4" s="215"/>
      <c r="E4" s="215"/>
      <c r="F4" s="215"/>
      <c r="G4" s="215"/>
      <c r="H4" s="216"/>
      <c r="I4" s="5"/>
    </row>
    <row r="5" spans="1:15" x14ac:dyDescent="0.3">
      <c r="A5" s="11" t="s">
        <v>2</v>
      </c>
      <c r="B5" s="12" t="s">
        <v>19</v>
      </c>
      <c r="C5" s="10"/>
      <c r="D5" s="10"/>
      <c r="E5" s="10"/>
      <c r="F5" s="10"/>
      <c r="G5" s="10"/>
      <c r="H5" s="10"/>
      <c r="I5" s="10"/>
    </row>
    <row r="6" spans="1:15" x14ac:dyDescent="0.3">
      <c r="A6" s="3"/>
      <c r="B6" s="7"/>
      <c r="C6" s="6"/>
      <c r="D6" s="6"/>
      <c r="E6" s="6"/>
      <c r="F6" s="6"/>
      <c r="G6" s="6"/>
      <c r="H6" s="3"/>
      <c r="I6" s="3"/>
    </row>
    <row r="7" spans="1:15" x14ac:dyDescent="0.3">
      <c r="A7" s="11" t="s">
        <v>115</v>
      </c>
      <c r="B7" s="11" t="s">
        <v>7</v>
      </c>
      <c r="C7" s="12"/>
      <c r="D7" s="12"/>
      <c r="E7" s="12"/>
      <c r="F7" s="12"/>
      <c r="G7" s="12"/>
      <c r="H7" s="12"/>
      <c r="I7" s="12"/>
      <c r="J7" s="12"/>
      <c r="O7"/>
    </row>
    <row r="8" spans="1:15" x14ac:dyDescent="0.3">
      <c r="A8" s="11" t="s">
        <v>0</v>
      </c>
      <c r="B8" s="12" t="s">
        <v>54</v>
      </c>
      <c r="C8" s="12" t="s">
        <v>48</v>
      </c>
      <c r="D8" s="12" t="s">
        <v>83</v>
      </c>
      <c r="E8" s="12" t="s">
        <v>63</v>
      </c>
      <c r="F8" s="12" t="s">
        <v>70</v>
      </c>
      <c r="G8" s="12" t="s">
        <v>87</v>
      </c>
      <c r="H8" s="12" t="s">
        <v>825</v>
      </c>
      <c r="I8" s="12" t="s">
        <v>949</v>
      </c>
      <c r="J8" s="12" t="s">
        <v>101</v>
      </c>
      <c r="O8"/>
    </row>
    <row r="9" spans="1:15" x14ac:dyDescent="0.3">
      <c r="A9" s="12" t="s">
        <v>95</v>
      </c>
      <c r="B9" s="12">
        <v>23</v>
      </c>
      <c r="C9" s="12">
        <v>21</v>
      </c>
      <c r="D9" s="12">
        <v>15</v>
      </c>
      <c r="E9" s="12">
        <v>7</v>
      </c>
      <c r="F9" s="12">
        <v>7</v>
      </c>
      <c r="G9" s="12">
        <v>1</v>
      </c>
      <c r="H9" s="12">
        <v>4</v>
      </c>
      <c r="I9" s="12"/>
      <c r="J9" s="12">
        <v>78</v>
      </c>
      <c r="O9"/>
    </row>
    <row r="10" spans="1:15" x14ac:dyDescent="0.3">
      <c r="A10" s="12" t="s">
        <v>96</v>
      </c>
      <c r="B10" s="12">
        <v>17</v>
      </c>
      <c r="C10" s="12">
        <v>16</v>
      </c>
      <c r="D10" s="12">
        <v>9</v>
      </c>
      <c r="E10" s="12">
        <v>3</v>
      </c>
      <c r="F10" s="12">
        <v>4</v>
      </c>
      <c r="G10" s="12"/>
      <c r="H10" s="12">
        <v>1</v>
      </c>
      <c r="I10" s="12">
        <v>3</v>
      </c>
      <c r="J10" s="12">
        <v>53</v>
      </c>
      <c r="O10"/>
    </row>
    <row r="11" spans="1:15" x14ac:dyDescent="0.3">
      <c r="A11" s="12" t="s">
        <v>101</v>
      </c>
      <c r="B11" s="12">
        <v>40</v>
      </c>
      <c r="C11" s="12">
        <v>37</v>
      </c>
      <c r="D11" s="12">
        <v>24</v>
      </c>
      <c r="E11" s="12">
        <v>10</v>
      </c>
      <c r="F11" s="12">
        <v>11</v>
      </c>
      <c r="G11" s="12">
        <v>1</v>
      </c>
      <c r="H11" s="12">
        <v>5</v>
      </c>
      <c r="I11" s="12">
        <v>3</v>
      </c>
      <c r="J11" s="12">
        <v>131</v>
      </c>
      <c r="O11"/>
    </row>
    <row r="12" spans="1:15" x14ac:dyDescent="0.3">
      <c r="E12" t="s">
        <v>975</v>
      </c>
      <c r="O12"/>
    </row>
    <row r="13" spans="1:15" x14ac:dyDescent="0.3">
      <c r="B13" s="168">
        <f t="shared" ref="B13:D13" si="0">(B10-B9)/B9</f>
        <v>-0.2608695652173913</v>
      </c>
      <c r="C13" s="168">
        <f t="shared" si="0"/>
        <v>-0.23809523809523808</v>
      </c>
      <c r="D13" s="168">
        <f t="shared" si="0"/>
        <v>-0.4</v>
      </c>
      <c r="E13" s="168">
        <f>(E10-E9)/E9</f>
        <v>-0.5714285714285714</v>
      </c>
      <c r="F13" s="168">
        <f t="shared" ref="F13:J13" si="1">(F10-F9)/F9</f>
        <v>-0.42857142857142855</v>
      </c>
      <c r="G13" s="168">
        <f t="shared" si="1"/>
        <v>-1</v>
      </c>
      <c r="H13" s="168">
        <f t="shared" si="1"/>
        <v>-0.75</v>
      </c>
      <c r="I13" s="168" t="e">
        <f t="shared" si="1"/>
        <v>#DIV/0!</v>
      </c>
      <c r="J13" s="168">
        <f t="shared" si="1"/>
        <v>-0.32051282051282054</v>
      </c>
      <c r="O13"/>
    </row>
    <row r="14" spans="1:15" x14ac:dyDescent="0.3">
      <c r="O14"/>
    </row>
    <row r="15" spans="1:15" x14ac:dyDescent="0.3">
      <c r="O15"/>
    </row>
    <row r="16" spans="1:15" x14ac:dyDescent="0.3">
      <c r="O16"/>
    </row>
    <row r="17" spans="1:15" x14ac:dyDescent="0.3">
      <c r="O17"/>
    </row>
    <row r="18" spans="1:15" x14ac:dyDescent="0.3">
      <c r="O18"/>
    </row>
    <row r="19" spans="1:15" x14ac:dyDescent="0.3">
      <c r="O19"/>
    </row>
    <row r="20" spans="1:15" x14ac:dyDescent="0.3">
      <c r="O20"/>
    </row>
    <row r="21" spans="1:15" x14ac:dyDescent="0.3">
      <c r="G21" s="6"/>
      <c r="H21" s="3"/>
      <c r="I21" s="3"/>
      <c r="O21"/>
    </row>
    <row r="22" spans="1:15" x14ac:dyDescent="0.3">
      <c r="G22" s="6"/>
      <c r="H22" s="3"/>
      <c r="I22" s="3"/>
      <c r="O22"/>
    </row>
    <row r="23" spans="1:15" x14ac:dyDescent="0.3">
      <c r="O23"/>
    </row>
    <row r="24" spans="1:15" x14ac:dyDescent="0.3">
      <c r="O24"/>
    </row>
    <row r="25" spans="1:15" x14ac:dyDescent="0.3">
      <c r="A25" s="11" t="s">
        <v>0</v>
      </c>
      <c r="B25" s="12" t="s">
        <v>102</v>
      </c>
      <c r="O25"/>
    </row>
    <row r="26" spans="1:15" x14ac:dyDescent="0.3">
      <c r="A26" s="11" t="s">
        <v>2</v>
      </c>
      <c r="B26" s="12" t="s">
        <v>19</v>
      </c>
      <c r="O26"/>
    </row>
    <row r="27" spans="1:15" x14ac:dyDescent="0.3">
      <c r="O27"/>
    </row>
    <row r="28" spans="1:15" x14ac:dyDescent="0.3">
      <c r="A28" s="11" t="s">
        <v>115</v>
      </c>
      <c r="B28" s="11" t="s">
        <v>7</v>
      </c>
      <c r="C28" s="12"/>
      <c r="D28" s="12"/>
      <c r="E28" s="12"/>
      <c r="F28" s="12"/>
      <c r="G28" s="12"/>
      <c r="H28" s="12"/>
      <c r="I28" s="12"/>
      <c r="J28" s="12"/>
      <c r="O28"/>
    </row>
    <row r="29" spans="1:15" x14ac:dyDescent="0.3">
      <c r="A29" s="11" t="s">
        <v>8</v>
      </c>
      <c r="B29" s="12" t="s">
        <v>54</v>
      </c>
      <c r="C29" s="12" t="s">
        <v>48</v>
      </c>
      <c r="D29" s="12" t="s">
        <v>70</v>
      </c>
      <c r="E29" s="12" t="s">
        <v>83</v>
      </c>
      <c r="F29" s="12" t="s">
        <v>63</v>
      </c>
      <c r="G29" s="12" t="s">
        <v>87</v>
      </c>
      <c r="H29" s="12" t="s">
        <v>825</v>
      </c>
      <c r="I29" s="12" t="s">
        <v>949</v>
      </c>
      <c r="J29" s="12" t="s">
        <v>101</v>
      </c>
      <c r="O29"/>
    </row>
    <row r="30" spans="1:15" x14ac:dyDescent="0.3">
      <c r="A30" s="12" t="s">
        <v>20</v>
      </c>
      <c r="B30" s="12">
        <v>21</v>
      </c>
      <c r="C30" s="12">
        <v>20</v>
      </c>
      <c r="D30" s="12">
        <v>6</v>
      </c>
      <c r="E30" s="12">
        <v>13</v>
      </c>
      <c r="F30" s="12">
        <v>4</v>
      </c>
      <c r="G30" s="12"/>
      <c r="H30" s="12">
        <v>4</v>
      </c>
      <c r="I30" s="12">
        <v>3</v>
      </c>
      <c r="J30" s="12">
        <v>71</v>
      </c>
      <c r="O30"/>
    </row>
    <row r="31" spans="1:15" x14ac:dyDescent="0.3">
      <c r="A31" s="12" t="s">
        <v>23</v>
      </c>
      <c r="B31" s="12">
        <v>9</v>
      </c>
      <c r="C31" s="12">
        <v>8</v>
      </c>
      <c r="D31" s="12"/>
      <c r="E31" s="12">
        <v>4</v>
      </c>
      <c r="F31" s="12">
        <v>2</v>
      </c>
      <c r="G31" s="12"/>
      <c r="H31" s="12">
        <v>1</v>
      </c>
      <c r="I31" s="12"/>
      <c r="J31" s="12">
        <v>24</v>
      </c>
      <c r="O31"/>
    </row>
    <row r="32" spans="1:15" x14ac:dyDescent="0.3">
      <c r="A32" s="12" t="s">
        <v>763</v>
      </c>
      <c r="B32" s="12">
        <v>1</v>
      </c>
      <c r="C32" s="12">
        <v>1</v>
      </c>
      <c r="D32" s="12">
        <v>2</v>
      </c>
      <c r="E32" s="12">
        <v>5</v>
      </c>
      <c r="F32" s="12"/>
      <c r="G32" s="12">
        <v>1</v>
      </c>
      <c r="H32" s="12"/>
      <c r="I32" s="12"/>
      <c r="J32" s="12">
        <v>10</v>
      </c>
      <c r="O32"/>
    </row>
    <row r="33" spans="1:15" x14ac:dyDescent="0.3">
      <c r="A33" s="12" t="s">
        <v>757</v>
      </c>
      <c r="B33" s="12">
        <v>3</v>
      </c>
      <c r="C33" s="12">
        <v>3</v>
      </c>
      <c r="D33" s="12"/>
      <c r="E33" s="12"/>
      <c r="F33" s="12">
        <v>3</v>
      </c>
      <c r="G33" s="12"/>
      <c r="H33" s="12"/>
      <c r="I33" s="12"/>
      <c r="J33" s="12">
        <v>9</v>
      </c>
      <c r="O33"/>
    </row>
    <row r="34" spans="1:15" x14ac:dyDescent="0.3">
      <c r="A34" s="12" t="s">
        <v>41</v>
      </c>
      <c r="B34" s="12">
        <v>2</v>
      </c>
      <c r="C34" s="12">
        <v>2</v>
      </c>
      <c r="D34" s="12">
        <v>1</v>
      </c>
      <c r="E34" s="12">
        <v>1</v>
      </c>
      <c r="F34" s="12">
        <v>1</v>
      </c>
      <c r="G34" s="12"/>
      <c r="H34" s="12"/>
      <c r="I34" s="12"/>
      <c r="J34" s="12">
        <v>7</v>
      </c>
      <c r="O34"/>
    </row>
    <row r="35" spans="1:15" x14ac:dyDescent="0.3">
      <c r="A35" s="12" t="s">
        <v>920</v>
      </c>
      <c r="B35" s="12">
        <v>1</v>
      </c>
      <c r="C35" s="12">
        <v>1</v>
      </c>
      <c r="D35" s="12">
        <v>1</v>
      </c>
      <c r="E35" s="12"/>
      <c r="F35" s="12"/>
      <c r="G35" s="12"/>
      <c r="H35" s="12"/>
      <c r="I35" s="12"/>
      <c r="J35" s="12">
        <v>3</v>
      </c>
      <c r="O35"/>
    </row>
    <row r="36" spans="1:15" x14ac:dyDescent="0.3">
      <c r="A36" s="12" t="s">
        <v>186</v>
      </c>
      <c r="B36" s="12">
        <v>1</v>
      </c>
      <c r="C36" s="12">
        <v>1</v>
      </c>
      <c r="D36" s="12"/>
      <c r="E36" s="12"/>
      <c r="F36" s="12"/>
      <c r="G36" s="12"/>
      <c r="H36" s="12"/>
      <c r="I36" s="12"/>
      <c r="J36" s="12">
        <v>2</v>
      </c>
      <c r="O36"/>
    </row>
    <row r="37" spans="1:15" x14ac:dyDescent="0.3">
      <c r="A37" s="12" t="s">
        <v>771</v>
      </c>
      <c r="B37" s="12">
        <v>1</v>
      </c>
      <c r="C37" s="12">
        <v>1</v>
      </c>
      <c r="D37" s="12"/>
      <c r="E37" s="12"/>
      <c r="F37" s="12"/>
      <c r="G37" s="12"/>
      <c r="H37" s="12"/>
      <c r="I37" s="12"/>
      <c r="J37" s="12">
        <v>2</v>
      </c>
      <c r="O37"/>
    </row>
    <row r="38" spans="1:15" x14ac:dyDescent="0.3">
      <c r="A38" s="12" t="s">
        <v>781</v>
      </c>
      <c r="B38" s="12"/>
      <c r="C38" s="12"/>
      <c r="D38" s="12">
        <v>1</v>
      </c>
      <c r="E38" s="12"/>
      <c r="F38" s="12"/>
      <c r="G38" s="12"/>
      <c r="H38" s="12"/>
      <c r="I38" s="12"/>
      <c r="J38" s="12">
        <v>1</v>
      </c>
      <c r="O38"/>
    </row>
    <row r="39" spans="1:15" x14ac:dyDescent="0.3">
      <c r="A39" s="12" t="s">
        <v>741</v>
      </c>
      <c r="B39" s="12"/>
      <c r="C39" s="12"/>
      <c r="D39" s="12"/>
      <c r="E39" s="12">
        <v>1</v>
      </c>
      <c r="F39" s="12"/>
      <c r="G39" s="12"/>
      <c r="H39" s="12"/>
      <c r="I39" s="12"/>
      <c r="J39" s="12">
        <v>1</v>
      </c>
      <c r="O39"/>
    </row>
    <row r="40" spans="1:15" x14ac:dyDescent="0.3">
      <c r="A40" s="12" t="s">
        <v>36</v>
      </c>
      <c r="B40" s="12">
        <v>1</v>
      </c>
      <c r="C40" s="12"/>
      <c r="D40" s="12"/>
      <c r="E40" s="12"/>
      <c r="F40" s="12"/>
      <c r="G40" s="12"/>
      <c r="H40" s="12"/>
      <c r="I40" s="12"/>
      <c r="J40" s="12">
        <v>1</v>
      </c>
      <c r="O40"/>
    </row>
    <row r="41" spans="1:15" x14ac:dyDescent="0.3">
      <c r="A41" s="12" t="s">
        <v>101</v>
      </c>
      <c r="B41" s="12">
        <v>40</v>
      </c>
      <c r="C41" s="12">
        <v>37</v>
      </c>
      <c r="D41" s="12">
        <v>11</v>
      </c>
      <c r="E41" s="12">
        <v>24</v>
      </c>
      <c r="F41" s="12">
        <v>10</v>
      </c>
      <c r="G41" s="12">
        <v>1</v>
      </c>
      <c r="H41" s="12">
        <v>5</v>
      </c>
      <c r="I41" s="12">
        <v>3</v>
      </c>
      <c r="J41" s="12">
        <v>131</v>
      </c>
      <c r="O41"/>
    </row>
    <row r="42" spans="1:15" x14ac:dyDescent="0.3">
      <c r="O42"/>
    </row>
    <row r="43" spans="1:15" x14ac:dyDescent="0.3">
      <c r="O43"/>
    </row>
    <row r="44" spans="1:15" x14ac:dyDescent="0.3">
      <c r="O44"/>
    </row>
    <row r="45" spans="1:15" x14ac:dyDescent="0.3">
      <c r="O45"/>
    </row>
    <row r="46" spans="1:15" x14ac:dyDescent="0.3">
      <c r="O46"/>
    </row>
    <row r="47" spans="1:15" x14ac:dyDescent="0.3">
      <c r="O47"/>
    </row>
    <row r="48" spans="1:15" x14ac:dyDescent="0.3">
      <c r="O48"/>
    </row>
    <row r="49" spans="15:15" x14ac:dyDescent="0.3">
      <c r="O49"/>
    </row>
    <row r="50" spans="15:15" x14ac:dyDescent="0.3">
      <c r="O50"/>
    </row>
    <row r="51" spans="15:15" x14ac:dyDescent="0.3">
      <c r="O51"/>
    </row>
    <row r="52" spans="15:15" x14ac:dyDescent="0.3">
      <c r="O52"/>
    </row>
    <row r="53" spans="15:15" x14ac:dyDescent="0.3">
      <c r="O53"/>
    </row>
    <row r="54" spans="15:15" x14ac:dyDescent="0.3">
      <c r="O54"/>
    </row>
    <row r="55" spans="15:15" x14ac:dyDescent="0.3">
      <c r="O55"/>
    </row>
    <row r="56" spans="15:15" x14ac:dyDescent="0.3">
      <c r="O56"/>
    </row>
    <row r="57" spans="15:15" x14ac:dyDescent="0.3">
      <c r="O57"/>
    </row>
    <row r="58" spans="15:15" x14ac:dyDescent="0.3">
      <c r="O58"/>
    </row>
    <row r="59" spans="15:15" x14ac:dyDescent="0.3">
      <c r="O59"/>
    </row>
    <row r="60" spans="15:15" x14ac:dyDescent="0.3">
      <c r="O60"/>
    </row>
    <row r="61" spans="15:15" x14ac:dyDescent="0.3">
      <c r="O61"/>
    </row>
    <row r="62" spans="15:15" x14ac:dyDescent="0.3">
      <c r="O62"/>
    </row>
    <row r="63" spans="15:15" x14ac:dyDescent="0.3">
      <c r="O63"/>
    </row>
    <row r="64" spans="15:15" x14ac:dyDescent="0.3">
      <c r="O64"/>
    </row>
    <row r="65" spans="1:15" x14ac:dyDescent="0.3">
      <c r="O65"/>
    </row>
    <row r="66" spans="1:15" x14ac:dyDescent="0.3">
      <c r="O66"/>
    </row>
    <row r="67" spans="1:15" x14ac:dyDescent="0.3">
      <c r="O67"/>
    </row>
    <row r="68" spans="1:15" x14ac:dyDescent="0.3">
      <c r="O68"/>
    </row>
    <row r="69" spans="1:15" x14ac:dyDescent="0.3">
      <c r="O69"/>
    </row>
    <row r="70" spans="1:15" x14ac:dyDescent="0.3">
      <c r="O70"/>
    </row>
    <row r="71" spans="1:15" x14ac:dyDescent="0.3">
      <c r="O71"/>
    </row>
    <row r="72" spans="1:15" x14ac:dyDescent="0.3">
      <c r="O72"/>
    </row>
    <row r="73" spans="1:15" x14ac:dyDescent="0.3">
      <c r="O73"/>
    </row>
    <row r="74" spans="1:15" x14ac:dyDescent="0.3">
      <c r="O74"/>
    </row>
    <row r="75" spans="1:15" x14ac:dyDescent="0.3">
      <c r="O75"/>
    </row>
    <row r="76" spans="1:15" x14ac:dyDescent="0.3">
      <c r="O76"/>
    </row>
    <row r="77" spans="1:15" x14ac:dyDescent="0.3">
      <c r="O77"/>
    </row>
    <row r="78" spans="1:15" x14ac:dyDescent="0.3">
      <c r="A78" s="11" t="s">
        <v>0</v>
      </c>
      <c r="B78" s="12" t="s">
        <v>102</v>
      </c>
      <c r="O78"/>
    </row>
    <row r="79" spans="1:15" x14ac:dyDescent="0.3">
      <c r="A79" s="11" t="s">
        <v>2</v>
      </c>
      <c r="B79" s="12" t="s">
        <v>19</v>
      </c>
      <c r="O79"/>
    </row>
    <row r="80" spans="1:15" x14ac:dyDescent="0.3">
      <c r="O80"/>
    </row>
    <row r="81" spans="1:15" x14ac:dyDescent="0.3">
      <c r="A81" s="11" t="s">
        <v>115</v>
      </c>
      <c r="B81" s="11" t="s">
        <v>7</v>
      </c>
      <c r="C81" s="12"/>
      <c r="D81" s="12"/>
      <c r="E81" s="12"/>
      <c r="F81" s="12"/>
      <c r="G81" s="12"/>
      <c r="H81" s="12"/>
      <c r="I81" s="12"/>
      <c r="J81" s="12"/>
      <c r="O81"/>
    </row>
    <row r="82" spans="1:15" x14ac:dyDescent="0.3">
      <c r="A82" s="11" t="s">
        <v>9</v>
      </c>
      <c r="B82" s="12" t="s">
        <v>54</v>
      </c>
      <c r="C82" s="12" t="s">
        <v>48</v>
      </c>
      <c r="D82" s="12" t="s">
        <v>70</v>
      </c>
      <c r="E82" s="12" t="s">
        <v>83</v>
      </c>
      <c r="F82" s="12" t="s">
        <v>63</v>
      </c>
      <c r="G82" s="12" t="s">
        <v>87</v>
      </c>
      <c r="H82" s="12" t="s">
        <v>825</v>
      </c>
      <c r="I82" s="12" t="s">
        <v>949</v>
      </c>
      <c r="J82" s="12" t="s">
        <v>101</v>
      </c>
      <c r="O82"/>
    </row>
    <row r="83" spans="1:15" x14ac:dyDescent="0.3">
      <c r="A83" s="12" t="s">
        <v>749</v>
      </c>
      <c r="B83" s="12">
        <v>21</v>
      </c>
      <c r="C83" s="12">
        <v>20</v>
      </c>
      <c r="D83" s="12">
        <v>6</v>
      </c>
      <c r="E83" s="12">
        <v>11</v>
      </c>
      <c r="F83" s="12">
        <v>4</v>
      </c>
      <c r="G83" s="12"/>
      <c r="H83" s="12">
        <v>4</v>
      </c>
      <c r="I83" s="12">
        <v>3</v>
      </c>
      <c r="J83" s="12">
        <v>69</v>
      </c>
      <c r="O83"/>
    </row>
    <row r="84" spans="1:15" x14ac:dyDescent="0.3">
      <c r="A84" s="12" t="s">
        <v>745</v>
      </c>
      <c r="B84" s="12">
        <v>5</v>
      </c>
      <c r="C84" s="12">
        <v>5</v>
      </c>
      <c r="D84" s="12"/>
      <c r="E84" s="12">
        <v>2</v>
      </c>
      <c r="F84" s="12"/>
      <c r="G84" s="12"/>
      <c r="H84" s="12">
        <v>1</v>
      </c>
      <c r="I84" s="12"/>
      <c r="J84" s="12">
        <v>13</v>
      </c>
      <c r="O84"/>
    </row>
    <row r="85" spans="1:15" x14ac:dyDescent="0.3">
      <c r="A85" s="12" t="s">
        <v>764</v>
      </c>
      <c r="B85" s="12">
        <v>1</v>
      </c>
      <c r="C85" s="12">
        <v>1</v>
      </c>
      <c r="D85" s="12">
        <v>2</v>
      </c>
      <c r="E85" s="12">
        <v>5</v>
      </c>
      <c r="F85" s="12"/>
      <c r="G85" s="12">
        <v>1</v>
      </c>
      <c r="H85" s="12"/>
      <c r="I85" s="12"/>
      <c r="J85" s="12">
        <v>10</v>
      </c>
      <c r="O85"/>
    </row>
    <row r="86" spans="1:15" x14ac:dyDescent="0.3">
      <c r="A86" s="12" t="s">
        <v>194</v>
      </c>
      <c r="B86" s="12">
        <v>3</v>
      </c>
      <c r="C86" s="12">
        <v>3</v>
      </c>
      <c r="D86" s="12"/>
      <c r="E86" s="12"/>
      <c r="F86" s="12">
        <v>3</v>
      </c>
      <c r="G86" s="12"/>
      <c r="H86" s="12"/>
      <c r="I86" s="12"/>
      <c r="J86" s="12">
        <v>9</v>
      </c>
      <c r="O86"/>
    </row>
    <row r="87" spans="1:15" x14ac:dyDescent="0.3">
      <c r="A87" s="12" t="s">
        <v>839</v>
      </c>
      <c r="B87" s="12">
        <v>1</v>
      </c>
      <c r="C87" s="12">
        <v>1</v>
      </c>
      <c r="D87" s="12">
        <v>1</v>
      </c>
      <c r="E87" s="12">
        <v>1</v>
      </c>
      <c r="F87" s="12"/>
      <c r="G87" s="12"/>
      <c r="H87" s="12"/>
      <c r="I87" s="12"/>
      <c r="J87" s="12">
        <v>4</v>
      </c>
      <c r="O87"/>
    </row>
    <row r="88" spans="1:15" x14ac:dyDescent="0.3">
      <c r="A88" s="12" t="s">
        <v>38</v>
      </c>
      <c r="B88" s="12">
        <v>1</v>
      </c>
      <c r="C88" s="12">
        <v>1</v>
      </c>
      <c r="D88" s="12"/>
      <c r="E88" s="12"/>
      <c r="F88" s="12">
        <v>2</v>
      </c>
      <c r="G88" s="12"/>
      <c r="H88" s="12"/>
      <c r="I88" s="12"/>
      <c r="J88" s="12">
        <v>4</v>
      </c>
      <c r="O88"/>
    </row>
    <row r="89" spans="1:15" x14ac:dyDescent="0.3">
      <c r="A89" s="12" t="s">
        <v>921</v>
      </c>
      <c r="B89" s="12">
        <v>1</v>
      </c>
      <c r="C89" s="12">
        <v>1</v>
      </c>
      <c r="D89" s="12">
        <v>1</v>
      </c>
      <c r="E89" s="12"/>
      <c r="F89" s="12"/>
      <c r="G89" s="12"/>
      <c r="H89" s="12"/>
      <c r="I89" s="12"/>
      <c r="J89" s="12">
        <v>3</v>
      </c>
      <c r="O89"/>
    </row>
    <row r="90" spans="1:15" x14ac:dyDescent="0.3">
      <c r="A90" s="12" t="s">
        <v>793</v>
      </c>
      <c r="B90" s="12">
        <v>1</v>
      </c>
      <c r="C90" s="12">
        <v>1</v>
      </c>
      <c r="D90" s="12"/>
      <c r="E90" s="12">
        <v>1</v>
      </c>
      <c r="F90" s="12"/>
      <c r="G90" s="12"/>
      <c r="H90" s="12"/>
      <c r="I90" s="12"/>
      <c r="J90" s="12">
        <v>3</v>
      </c>
      <c r="O90"/>
    </row>
    <row r="91" spans="1:15" x14ac:dyDescent="0.3">
      <c r="A91" s="12" t="s">
        <v>925</v>
      </c>
      <c r="B91" s="12"/>
      <c r="C91" s="12"/>
      <c r="D91" s="12"/>
      <c r="E91" s="12">
        <v>2</v>
      </c>
      <c r="F91" s="12"/>
      <c r="G91" s="12"/>
      <c r="H91" s="12"/>
      <c r="I91" s="12"/>
      <c r="J91" s="12">
        <v>2</v>
      </c>
      <c r="O91"/>
    </row>
    <row r="92" spans="1:15" x14ac:dyDescent="0.3">
      <c r="A92" s="12" t="s">
        <v>47</v>
      </c>
      <c r="B92" s="12">
        <v>1</v>
      </c>
      <c r="C92" s="12">
        <v>1</v>
      </c>
      <c r="D92" s="12"/>
      <c r="E92" s="12"/>
      <c r="F92" s="12"/>
      <c r="G92" s="12"/>
      <c r="H92" s="12"/>
      <c r="I92" s="12"/>
      <c r="J92" s="12">
        <v>2</v>
      </c>
      <c r="O92"/>
    </row>
    <row r="93" spans="1:15" x14ac:dyDescent="0.3">
      <c r="A93" s="12" t="s">
        <v>860</v>
      </c>
      <c r="B93" s="12">
        <v>1</v>
      </c>
      <c r="C93" s="12">
        <v>1</v>
      </c>
      <c r="D93" s="12"/>
      <c r="E93" s="12"/>
      <c r="F93" s="12"/>
      <c r="G93" s="12"/>
      <c r="H93" s="12"/>
      <c r="I93" s="12"/>
      <c r="J93" s="12">
        <v>2</v>
      </c>
      <c r="O93"/>
    </row>
    <row r="94" spans="1:15" x14ac:dyDescent="0.3">
      <c r="A94" s="12" t="s">
        <v>40</v>
      </c>
      <c r="B94" s="12">
        <v>1</v>
      </c>
      <c r="C94" s="12">
        <v>1</v>
      </c>
      <c r="D94" s="12"/>
      <c r="E94" s="12"/>
      <c r="F94" s="12"/>
      <c r="G94" s="12"/>
      <c r="H94" s="12"/>
      <c r="I94" s="12"/>
      <c r="J94" s="12">
        <v>2</v>
      </c>
      <c r="O94"/>
    </row>
    <row r="95" spans="1:15" x14ac:dyDescent="0.3">
      <c r="A95" s="12" t="s">
        <v>772</v>
      </c>
      <c r="B95" s="12">
        <v>1</v>
      </c>
      <c r="C95" s="12">
        <v>1</v>
      </c>
      <c r="D95" s="12"/>
      <c r="E95" s="12"/>
      <c r="F95" s="12"/>
      <c r="G95" s="12"/>
      <c r="H95" s="12"/>
      <c r="I95" s="12"/>
      <c r="J95" s="12">
        <v>2</v>
      </c>
      <c r="O95"/>
    </row>
    <row r="96" spans="1:15" x14ac:dyDescent="0.3">
      <c r="A96" s="12" t="s">
        <v>39</v>
      </c>
      <c r="B96" s="12"/>
      <c r="C96" s="12"/>
      <c r="D96" s="12">
        <v>1</v>
      </c>
      <c r="E96" s="12"/>
      <c r="F96" s="12"/>
      <c r="G96" s="12"/>
      <c r="H96" s="12"/>
      <c r="I96" s="12"/>
      <c r="J96" s="12">
        <v>1</v>
      </c>
      <c r="O96"/>
    </row>
    <row r="97" spans="1:15" x14ac:dyDescent="0.3">
      <c r="A97" s="12" t="s">
        <v>734</v>
      </c>
      <c r="B97" s="12"/>
      <c r="C97" s="12"/>
      <c r="D97" s="12"/>
      <c r="E97" s="12"/>
      <c r="F97" s="12">
        <v>1</v>
      </c>
      <c r="G97" s="12"/>
      <c r="H97" s="12"/>
      <c r="I97" s="12"/>
      <c r="J97" s="12">
        <v>1</v>
      </c>
      <c r="O97"/>
    </row>
    <row r="98" spans="1:15" x14ac:dyDescent="0.3">
      <c r="A98" s="12" t="s">
        <v>197</v>
      </c>
      <c r="B98" s="12"/>
      <c r="C98" s="12"/>
      <c r="D98" s="12"/>
      <c r="E98" s="12">
        <v>1</v>
      </c>
      <c r="F98" s="12"/>
      <c r="G98" s="12"/>
      <c r="H98" s="12"/>
      <c r="I98" s="12"/>
      <c r="J98" s="12">
        <v>1</v>
      </c>
      <c r="O98"/>
    </row>
    <row r="99" spans="1:15" x14ac:dyDescent="0.3">
      <c r="A99" s="12" t="s">
        <v>820</v>
      </c>
      <c r="B99" s="12">
        <v>1</v>
      </c>
      <c r="C99" s="12"/>
      <c r="D99" s="12"/>
      <c r="E99" s="12"/>
      <c r="F99" s="12"/>
      <c r="G99" s="12"/>
      <c r="H99" s="12"/>
      <c r="I99" s="12"/>
      <c r="J99" s="12">
        <v>1</v>
      </c>
      <c r="O99"/>
    </row>
    <row r="100" spans="1:15" x14ac:dyDescent="0.3">
      <c r="A100" s="12" t="s">
        <v>204</v>
      </c>
      <c r="B100" s="12">
        <v>1</v>
      </c>
      <c r="C100" s="12"/>
      <c r="D100" s="12"/>
      <c r="E100" s="12"/>
      <c r="F100" s="12"/>
      <c r="G100" s="12"/>
      <c r="H100" s="12"/>
      <c r="I100" s="12"/>
      <c r="J100" s="12">
        <v>1</v>
      </c>
      <c r="O100"/>
    </row>
    <row r="101" spans="1:15" x14ac:dyDescent="0.3">
      <c r="A101" s="12" t="s">
        <v>210</v>
      </c>
      <c r="B101" s="12"/>
      <c r="C101" s="12"/>
      <c r="D101" s="12"/>
      <c r="E101" s="12">
        <v>1</v>
      </c>
      <c r="F101" s="12"/>
      <c r="G101" s="12"/>
      <c r="H101" s="12"/>
      <c r="I101" s="12"/>
      <c r="J101" s="12">
        <v>1</v>
      </c>
      <c r="O101"/>
    </row>
    <row r="102" spans="1:15" x14ac:dyDescent="0.3">
      <c r="A102" s="12" t="s">
        <v>101</v>
      </c>
      <c r="B102" s="12">
        <v>40</v>
      </c>
      <c r="C102" s="12">
        <v>37</v>
      </c>
      <c r="D102" s="12">
        <v>11</v>
      </c>
      <c r="E102" s="12">
        <v>24</v>
      </c>
      <c r="F102" s="12">
        <v>10</v>
      </c>
      <c r="G102" s="12">
        <v>1</v>
      </c>
      <c r="H102" s="12">
        <v>5</v>
      </c>
      <c r="I102" s="12">
        <v>3</v>
      </c>
      <c r="J102" s="12">
        <v>131</v>
      </c>
      <c r="O102"/>
    </row>
    <row r="103" spans="1:15" x14ac:dyDescent="0.3">
      <c r="O103"/>
    </row>
    <row r="104" spans="1:15" x14ac:dyDescent="0.3">
      <c r="O104"/>
    </row>
    <row r="105" spans="1:15" x14ac:dyDescent="0.3">
      <c r="O105"/>
    </row>
    <row r="106" spans="1:15" x14ac:dyDescent="0.3">
      <c r="O106"/>
    </row>
    <row r="107" spans="1:15" x14ac:dyDescent="0.3">
      <c r="A107" s="12"/>
      <c r="B107" s="12"/>
      <c r="C107" s="12"/>
      <c r="O107"/>
    </row>
    <row r="108" spans="1:15" x14ac:dyDescent="0.3">
      <c r="A108" s="12"/>
      <c r="B108" s="12"/>
      <c r="C108" s="12"/>
      <c r="O108"/>
    </row>
    <row r="109" spans="1:15" x14ac:dyDescent="0.3">
      <c r="O109"/>
    </row>
    <row r="110" spans="1:15" x14ac:dyDescent="0.3">
      <c r="O110"/>
    </row>
    <row r="111" spans="1:15" x14ac:dyDescent="0.3">
      <c r="A111" s="19" t="s">
        <v>0</v>
      </c>
      <c r="B111" s="20" t="s">
        <v>102</v>
      </c>
      <c r="C111" s="18"/>
      <c r="D111" s="18"/>
      <c r="E111" s="18"/>
      <c r="F111" s="18"/>
      <c r="G111" s="18"/>
      <c r="O111"/>
    </row>
    <row r="112" spans="1:15" x14ac:dyDescent="0.3">
      <c r="A112" s="18"/>
      <c r="B112" s="18"/>
      <c r="C112" s="18"/>
      <c r="D112" s="18"/>
      <c r="E112" s="18"/>
      <c r="F112" s="18"/>
      <c r="G112" s="18"/>
      <c r="O112"/>
    </row>
    <row r="113" spans="1:15" x14ac:dyDescent="0.3">
      <c r="A113" s="19" t="s">
        <v>236</v>
      </c>
      <c r="B113" s="19" t="s">
        <v>7</v>
      </c>
      <c r="C113" s="20"/>
      <c r="D113" s="20"/>
      <c r="E113" s="20"/>
      <c r="F113" s="20"/>
      <c r="G113" s="20"/>
      <c r="H113" s="20"/>
      <c r="I113" s="20"/>
      <c r="J113" s="20"/>
      <c r="O113"/>
    </row>
    <row r="114" spans="1:15" x14ac:dyDescent="0.3">
      <c r="A114" s="19" t="s">
        <v>8</v>
      </c>
      <c r="B114" s="20" t="s">
        <v>54</v>
      </c>
      <c r="C114" s="20" t="s">
        <v>48</v>
      </c>
      <c r="D114" s="20" t="s">
        <v>70</v>
      </c>
      <c r="E114" s="20" t="s">
        <v>83</v>
      </c>
      <c r="F114" s="20" t="s">
        <v>63</v>
      </c>
      <c r="G114" s="20" t="s">
        <v>87</v>
      </c>
      <c r="H114" s="20" t="s">
        <v>825</v>
      </c>
      <c r="I114" s="20" t="s">
        <v>949</v>
      </c>
      <c r="J114" s="20" t="s">
        <v>101</v>
      </c>
      <c r="O114"/>
    </row>
    <row r="115" spans="1:15" x14ac:dyDescent="0.3">
      <c r="A115" s="20" t="s">
        <v>20</v>
      </c>
      <c r="B115" s="20">
        <v>959924</v>
      </c>
      <c r="C115" s="20">
        <v>580793</v>
      </c>
      <c r="D115" s="20">
        <v>101932</v>
      </c>
      <c r="E115" s="20">
        <v>311278</v>
      </c>
      <c r="F115" s="20">
        <v>239228</v>
      </c>
      <c r="G115" s="20"/>
      <c r="H115" s="20">
        <v>0</v>
      </c>
      <c r="I115" s="20">
        <v>155176</v>
      </c>
      <c r="J115" s="20">
        <v>2348331</v>
      </c>
      <c r="O115"/>
    </row>
    <row r="116" spans="1:15" x14ac:dyDescent="0.3">
      <c r="A116" s="20" t="s">
        <v>23</v>
      </c>
      <c r="B116" s="20">
        <v>399647</v>
      </c>
      <c r="C116" s="20">
        <v>291790</v>
      </c>
      <c r="D116" s="20"/>
      <c r="E116" s="20">
        <v>70201</v>
      </c>
      <c r="F116" s="20">
        <v>136654</v>
      </c>
      <c r="G116" s="20"/>
      <c r="H116" s="20">
        <v>0</v>
      </c>
      <c r="I116" s="20"/>
      <c r="J116" s="20">
        <v>898292</v>
      </c>
      <c r="O116"/>
    </row>
    <row r="117" spans="1:15" x14ac:dyDescent="0.3">
      <c r="A117" s="20" t="s">
        <v>41</v>
      </c>
      <c r="B117" s="20">
        <v>86228</v>
      </c>
      <c r="C117" s="20">
        <v>61242</v>
      </c>
      <c r="D117" s="20">
        <v>0</v>
      </c>
      <c r="E117" s="20">
        <v>26681</v>
      </c>
      <c r="F117" s="20">
        <v>71906</v>
      </c>
      <c r="G117" s="20"/>
      <c r="H117" s="20"/>
      <c r="I117" s="20"/>
      <c r="J117" s="20">
        <v>246057</v>
      </c>
      <c r="O117"/>
    </row>
    <row r="118" spans="1:15" x14ac:dyDescent="0.3">
      <c r="A118" s="20" t="s">
        <v>763</v>
      </c>
      <c r="B118" s="20">
        <v>65353</v>
      </c>
      <c r="C118" s="20">
        <v>40366</v>
      </c>
      <c r="D118" s="20">
        <v>0</v>
      </c>
      <c r="E118" s="20">
        <v>44468</v>
      </c>
      <c r="F118" s="20"/>
      <c r="G118" s="20">
        <v>27803</v>
      </c>
      <c r="H118" s="20"/>
      <c r="I118" s="20"/>
      <c r="J118" s="20">
        <v>177990</v>
      </c>
      <c r="O118"/>
    </row>
    <row r="119" spans="1:15" x14ac:dyDescent="0.3">
      <c r="A119" s="20" t="s">
        <v>771</v>
      </c>
      <c r="B119" s="20">
        <v>47674</v>
      </c>
      <c r="C119" s="20">
        <v>63014</v>
      </c>
      <c r="D119" s="20"/>
      <c r="E119" s="20"/>
      <c r="F119" s="20"/>
      <c r="G119" s="20"/>
      <c r="H119" s="20"/>
      <c r="I119" s="20"/>
      <c r="J119" s="20">
        <v>110688</v>
      </c>
      <c r="O119"/>
    </row>
    <row r="120" spans="1:15" x14ac:dyDescent="0.3">
      <c r="A120" s="20" t="s">
        <v>36</v>
      </c>
      <c r="B120" s="20">
        <v>35044</v>
      </c>
      <c r="C120" s="20"/>
      <c r="D120" s="20"/>
      <c r="E120" s="20"/>
      <c r="F120" s="20"/>
      <c r="G120" s="20"/>
      <c r="H120" s="20"/>
      <c r="I120" s="20"/>
      <c r="J120" s="20">
        <v>35044</v>
      </c>
      <c r="O120"/>
    </row>
    <row r="121" spans="1:15" x14ac:dyDescent="0.3">
      <c r="A121" s="20" t="s">
        <v>741</v>
      </c>
      <c r="B121" s="20"/>
      <c r="C121" s="20"/>
      <c r="D121" s="20"/>
      <c r="E121" s="20">
        <v>26681</v>
      </c>
      <c r="F121" s="20"/>
      <c r="G121" s="20"/>
      <c r="H121" s="20"/>
      <c r="I121" s="20"/>
      <c r="J121" s="20">
        <v>26681</v>
      </c>
      <c r="O121"/>
    </row>
    <row r="122" spans="1:15" x14ac:dyDescent="0.3">
      <c r="A122" s="20" t="s">
        <v>757</v>
      </c>
      <c r="B122" s="20">
        <v>50000</v>
      </c>
      <c r="C122" s="20">
        <v>40000</v>
      </c>
      <c r="D122" s="20"/>
      <c r="E122" s="20"/>
      <c r="F122" s="20">
        <v>100000</v>
      </c>
      <c r="G122" s="20"/>
      <c r="H122" s="20"/>
      <c r="I122" s="20"/>
      <c r="J122" s="20">
        <v>190000</v>
      </c>
      <c r="O122"/>
    </row>
    <row r="123" spans="1:15" x14ac:dyDescent="0.3">
      <c r="A123" s="20" t="s">
        <v>781</v>
      </c>
      <c r="B123" s="20"/>
      <c r="C123" s="20"/>
      <c r="D123" s="20">
        <v>40669</v>
      </c>
      <c r="E123" s="20"/>
      <c r="F123" s="20"/>
      <c r="G123" s="20"/>
      <c r="H123" s="20"/>
      <c r="I123" s="20"/>
      <c r="J123" s="20">
        <v>40669</v>
      </c>
      <c r="O123"/>
    </row>
    <row r="124" spans="1:15" x14ac:dyDescent="0.3">
      <c r="A124" s="20" t="s">
        <v>186</v>
      </c>
      <c r="B124" s="20">
        <v>65599</v>
      </c>
      <c r="C124" s="20">
        <v>63431</v>
      </c>
      <c r="D124" s="20"/>
      <c r="E124" s="20"/>
      <c r="F124" s="20"/>
      <c r="G124" s="20"/>
      <c r="H124" s="20"/>
      <c r="I124" s="20"/>
      <c r="J124" s="20">
        <v>129030</v>
      </c>
    </row>
    <row r="125" spans="1:15" x14ac:dyDescent="0.3">
      <c r="A125" s="20" t="s">
        <v>920</v>
      </c>
      <c r="B125" s="20">
        <v>62759</v>
      </c>
      <c r="C125" s="20">
        <v>42089</v>
      </c>
      <c r="D125" s="20">
        <v>0</v>
      </c>
      <c r="E125" s="20"/>
      <c r="F125" s="20"/>
      <c r="G125" s="20"/>
      <c r="H125" s="20"/>
      <c r="I125" s="20"/>
      <c r="J125" s="20">
        <v>104848</v>
      </c>
    </row>
    <row r="126" spans="1:15" x14ac:dyDescent="0.3">
      <c r="A126" s="20" t="s">
        <v>101</v>
      </c>
      <c r="B126" s="20">
        <v>1772228</v>
      </c>
      <c r="C126" s="20">
        <v>1182725</v>
      </c>
      <c r="D126" s="20">
        <v>142601</v>
      </c>
      <c r="E126" s="20">
        <v>479309</v>
      </c>
      <c r="F126" s="20">
        <v>547788</v>
      </c>
      <c r="G126" s="20">
        <v>27803</v>
      </c>
      <c r="H126" s="20">
        <v>0</v>
      </c>
      <c r="I126" s="20">
        <v>155176</v>
      </c>
      <c r="J126" s="20">
        <v>4307630</v>
      </c>
    </row>
    <row r="128" spans="1:15" x14ac:dyDescent="0.3">
      <c r="A128" s="20"/>
      <c r="B128" s="20"/>
      <c r="C128" s="20"/>
      <c r="D128" s="20"/>
      <c r="E128" s="20"/>
      <c r="F128" s="20"/>
      <c r="G128" s="20"/>
      <c r="H128" s="20"/>
      <c r="I128" s="20"/>
    </row>
    <row r="129" spans="1:9" x14ac:dyDescent="0.3">
      <c r="A129" s="20"/>
      <c r="B129" s="20"/>
      <c r="C129" s="20"/>
      <c r="D129" s="20"/>
      <c r="E129" s="20"/>
      <c r="F129" s="20"/>
      <c r="G129" s="20"/>
      <c r="H129" s="20"/>
      <c r="I129" s="20"/>
    </row>
    <row r="130" spans="1:9" x14ac:dyDescent="0.3">
      <c r="A130" s="20"/>
      <c r="B130" s="20"/>
      <c r="C130" s="20"/>
      <c r="D130" s="20"/>
      <c r="E130" s="20"/>
      <c r="F130" s="20"/>
      <c r="G130" s="20"/>
      <c r="H130" s="20"/>
      <c r="I130" s="20"/>
    </row>
    <row r="131" spans="1:9" x14ac:dyDescent="0.3">
      <c r="A131" s="20"/>
      <c r="B131" s="20"/>
      <c r="C131" s="20"/>
      <c r="D131" s="20"/>
      <c r="E131" s="20"/>
      <c r="F131" s="20"/>
      <c r="G131" s="20"/>
      <c r="H131" s="20"/>
      <c r="I131" s="20"/>
    </row>
    <row r="132" spans="1:9" x14ac:dyDescent="0.3">
      <c r="A132" s="20"/>
      <c r="B132" s="20"/>
      <c r="C132" s="20"/>
      <c r="D132" s="20"/>
      <c r="E132" s="20"/>
      <c r="F132" s="20"/>
      <c r="G132" s="20"/>
      <c r="H132" s="20"/>
      <c r="I132" s="20"/>
    </row>
    <row r="133" spans="1:9" x14ac:dyDescent="0.3">
      <c r="A133" s="20"/>
      <c r="B133" s="20"/>
      <c r="C133" s="20"/>
      <c r="D133" s="20"/>
      <c r="E133" s="20"/>
      <c r="F133" s="20"/>
      <c r="G133" s="20"/>
      <c r="H133" s="20"/>
      <c r="I133" s="20"/>
    </row>
    <row r="134" spans="1:9" x14ac:dyDescent="0.3">
      <c r="A134" s="20"/>
      <c r="B134" s="20"/>
      <c r="C134" s="20"/>
      <c r="D134" s="20"/>
      <c r="E134" s="20"/>
      <c r="F134" s="20"/>
      <c r="G134" s="20"/>
      <c r="H134" s="20"/>
      <c r="I134" s="20"/>
    </row>
    <row r="135" spans="1:9" x14ac:dyDescent="0.3">
      <c r="A135" s="20"/>
      <c r="B135" s="20"/>
      <c r="C135" s="20"/>
      <c r="D135" s="20"/>
      <c r="E135" s="20"/>
      <c r="F135" s="20"/>
      <c r="G135" s="20"/>
      <c r="H135" s="20"/>
      <c r="I135" s="20"/>
    </row>
    <row r="136" spans="1:9" x14ac:dyDescent="0.3">
      <c r="A136" s="20"/>
      <c r="B136" s="20"/>
      <c r="C136" s="20"/>
      <c r="D136" s="20"/>
      <c r="E136" s="20"/>
      <c r="F136" s="20"/>
      <c r="G136" s="20"/>
      <c r="H136" s="20"/>
      <c r="I136" s="20"/>
    </row>
    <row r="137" spans="1:9" x14ac:dyDescent="0.3">
      <c r="A137" s="18"/>
      <c r="B137" s="18"/>
      <c r="C137" s="18"/>
      <c r="D137" s="18"/>
      <c r="E137" s="18"/>
      <c r="F137" s="18"/>
      <c r="G137" s="18"/>
      <c r="H137" s="3"/>
      <c r="I137" s="3"/>
    </row>
    <row r="138" spans="1:9" x14ac:dyDescent="0.3">
      <c r="A138" s="20"/>
      <c r="B138" s="19" t="s">
        <v>284</v>
      </c>
      <c r="C138" s="20"/>
      <c r="H138" s="3"/>
      <c r="I138" s="3"/>
    </row>
    <row r="139" spans="1:9" ht="28.8" x14ac:dyDescent="0.3">
      <c r="A139" s="19" t="s">
        <v>0</v>
      </c>
      <c r="B139" s="31" t="s">
        <v>236</v>
      </c>
      <c r="C139" s="20" t="s">
        <v>115</v>
      </c>
      <c r="H139" s="3"/>
      <c r="I139" s="3"/>
    </row>
    <row r="140" spans="1:9" x14ac:dyDescent="0.3">
      <c r="A140" s="20" t="s">
        <v>95</v>
      </c>
      <c r="B140" s="20">
        <v>4094684</v>
      </c>
      <c r="C140" s="32">
        <v>120</v>
      </c>
      <c r="H140" s="3"/>
      <c r="I140" s="8"/>
    </row>
    <row r="141" spans="1:9" x14ac:dyDescent="0.3">
      <c r="A141" s="20" t="s">
        <v>101</v>
      </c>
      <c r="B141" s="20">
        <v>4094684</v>
      </c>
      <c r="C141" s="32">
        <v>120</v>
      </c>
      <c r="H141" s="3"/>
      <c r="I141" s="8"/>
    </row>
    <row r="142" spans="1:9" x14ac:dyDescent="0.3">
      <c r="H142" s="3"/>
      <c r="I142" s="8"/>
    </row>
    <row r="143" spans="1:9" x14ac:dyDescent="0.3">
      <c r="H143" s="3"/>
      <c r="I143" s="8"/>
    </row>
    <row r="144" spans="1:9" x14ac:dyDescent="0.3">
      <c r="H144" s="8"/>
      <c r="I144" s="8"/>
    </row>
    <row r="145" spans="2:9" x14ac:dyDescent="0.3">
      <c r="H145" s="8"/>
      <c r="I145" s="8"/>
    </row>
    <row r="146" spans="2:9" x14ac:dyDescent="0.3">
      <c r="H146" s="8"/>
      <c r="I146" s="8"/>
    </row>
    <row r="147" spans="2:9" x14ac:dyDescent="0.3">
      <c r="D147" s="8"/>
      <c r="E147" s="1"/>
      <c r="F147" s="1"/>
      <c r="G147" s="1"/>
      <c r="H147" s="8"/>
      <c r="I147" s="8"/>
    </row>
    <row r="148" spans="2:9" x14ac:dyDescent="0.3">
      <c r="D148" s="8"/>
      <c r="E148" s="1"/>
      <c r="F148" s="1"/>
      <c r="G148" s="1"/>
      <c r="H148" s="8"/>
      <c r="I148" s="8"/>
    </row>
    <row r="149" spans="2:9" x14ac:dyDescent="0.3">
      <c r="D149" s="8"/>
      <c r="E149" s="1"/>
      <c r="F149" s="1"/>
      <c r="G149" s="1"/>
      <c r="H149" s="8"/>
      <c r="I149" s="8"/>
    </row>
    <row r="150" spans="2:9" x14ac:dyDescent="0.3">
      <c r="D150" s="8"/>
      <c r="E150" s="1"/>
      <c r="F150" s="1"/>
      <c r="G150" s="1"/>
      <c r="H150" s="8"/>
      <c r="I150" s="8"/>
    </row>
    <row r="151" spans="2:9" x14ac:dyDescent="0.3">
      <c r="D151" s="8"/>
      <c r="E151" s="1"/>
      <c r="F151" s="1"/>
      <c r="G151" s="1"/>
      <c r="H151" s="8"/>
      <c r="I151" s="8"/>
    </row>
    <row r="152" spans="2:9" x14ac:dyDescent="0.3">
      <c r="D152" s="8"/>
      <c r="E152" s="1"/>
      <c r="F152" s="1"/>
      <c r="G152" s="1"/>
      <c r="H152" s="8"/>
      <c r="I152" s="8"/>
    </row>
    <row r="153" spans="2:9" x14ac:dyDescent="0.3">
      <c r="B153" s="8"/>
      <c r="C153" s="8"/>
      <c r="D153" s="8"/>
      <c r="E153" s="1"/>
      <c r="F153" s="1"/>
      <c r="G153" s="1"/>
      <c r="H153" s="8"/>
      <c r="I153" s="8"/>
    </row>
    <row r="154" spans="2:9" x14ac:dyDescent="0.3">
      <c r="B154" s="8"/>
      <c r="C154" s="8"/>
      <c r="D154" s="8"/>
      <c r="E154" s="1"/>
      <c r="F154" s="1"/>
      <c r="G154" s="1"/>
      <c r="H154" s="8"/>
      <c r="I154" s="8"/>
    </row>
    <row r="155" spans="2:9" x14ac:dyDescent="0.3">
      <c r="B155" s="8"/>
      <c r="C155" s="8"/>
      <c r="D155" s="8"/>
      <c r="E155" s="1"/>
      <c r="F155" s="1"/>
      <c r="G155" s="1"/>
      <c r="H155" s="8"/>
      <c r="I155" s="8"/>
    </row>
    <row r="156" spans="2:9" x14ac:dyDescent="0.3">
      <c r="B156" s="8"/>
      <c r="C156" s="8"/>
      <c r="D156" s="8"/>
      <c r="E156" s="1"/>
      <c r="F156" s="1"/>
      <c r="G156" s="1"/>
      <c r="H156" s="8"/>
      <c r="I156" s="8"/>
    </row>
    <row r="157" spans="2:9" x14ac:dyDescent="0.3">
      <c r="B157" s="8"/>
      <c r="C157" s="8"/>
      <c r="D157" s="8"/>
      <c r="E157" s="1"/>
      <c r="F157" s="1"/>
      <c r="G157" s="1"/>
      <c r="H157" s="8"/>
      <c r="I157" s="8"/>
    </row>
    <row r="158" spans="2:9" x14ac:dyDescent="0.3">
      <c r="B158" s="8"/>
      <c r="C158" s="8"/>
      <c r="D158" s="8"/>
      <c r="E158" s="1"/>
      <c r="F158" s="1"/>
      <c r="G158" s="1"/>
      <c r="H158" s="8"/>
      <c r="I158" s="8"/>
    </row>
    <row r="159" spans="2:9" x14ac:dyDescent="0.3">
      <c r="B159" s="8"/>
      <c r="C159" s="8"/>
      <c r="D159" s="8"/>
      <c r="E159" s="1"/>
      <c r="F159" s="1"/>
      <c r="G159" s="1"/>
      <c r="H159" s="8"/>
      <c r="I159" s="8"/>
    </row>
    <row r="160" spans="2:9" x14ac:dyDescent="0.3">
      <c r="B160" s="8"/>
      <c r="C160" s="8"/>
      <c r="D160" s="8"/>
      <c r="E160" s="1"/>
      <c r="F160" s="1"/>
      <c r="G160" s="1"/>
      <c r="H160" s="8"/>
      <c r="I160" s="8"/>
    </row>
    <row r="161" spans="1:15" x14ac:dyDescent="0.3">
      <c r="A161" s="15" t="s">
        <v>2</v>
      </c>
      <c r="B161" t="s">
        <v>102</v>
      </c>
      <c r="C161" s="1"/>
      <c r="D161" s="1"/>
      <c r="E161" s="1"/>
      <c r="F161" s="1"/>
      <c r="G161" s="1"/>
      <c r="H161" s="8"/>
      <c r="I161" s="8"/>
    </row>
    <row r="162" spans="1:15" x14ac:dyDescent="0.3">
      <c r="B162" s="9"/>
      <c r="C162" s="1"/>
      <c r="D162" s="1"/>
      <c r="E162" s="1"/>
      <c r="F162" s="1"/>
      <c r="G162" s="1"/>
      <c r="H162" s="8"/>
      <c r="I162" s="8"/>
    </row>
    <row r="163" spans="1:15" x14ac:dyDescent="0.3">
      <c r="A163" s="15" t="s">
        <v>115</v>
      </c>
      <c r="C163" s="15" t="s">
        <v>0</v>
      </c>
      <c r="O163"/>
    </row>
    <row r="164" spans="1:15" x14ac:dyDescent="0.3">
      <c r="A164" s="15" t="s">
        <v>7</v>
      </c>
      <c r="B164" s="15" t="s">
        <v>5</v>
      </c>
      <c r="C164" t="s">
        <v>282</v>
      </c>
      <c r="D164" t="s">
        <v>283</v>
      </c>
      <c r="E164" t="s">
        <v>101</v>
      </c>
      <c r="O164"/>
    </row>
    <row r="165" spans="1:15" x14ac:dyDescent="0.3">
      <c r="A165" t="s">
        <v>63</v>
      </c>
      <c r="B165" t="s">
        <v>549</v>
      </c>
      <c r="D165">
        <v>2</v>
      </c>
      <c r="E165">
        <v>2</v>
      </c>
      <c r="O165"/>
    </row>
    <row r="166" spans="1:15" x14ac:dyDescent="0.3">
      <c r="B166" t="s">
        <v>553</v>
      </c>
      <c r="C166">
        <v>1</v>
      </c>
      <c r="D166">
        <v>1</v>
      </c>
      <c r="E166">
        <v>2</v>
      </c>
      <c r="O166"/>
    </row>
    <row r="167" spans="1:15" x14ac:dyDescent="0.3">
      <c r="B167" t="s">
        <v>555</v>
      </c>
      <c r="C167">
        <v>1</v>
      </c>
      <c r="E167">
        <v>1</v>
      </c>
      <c r="O167"/>
    </row>
    <row r="168" spans="1:15" x14ac:dyDescent="0.3">
      <c r="B168" t="s">
        <v>561</v>
      </c>
      <c r="D168">
        <v>1</v>
      </c>
      <c r="E168">
        <v>1</v>
      </c>
      <c r="O168"/>
    </row>
    <row r="169" spans="1:15" x14ac:dyDescent="0.3">
      <c r="A169" t="s">
        <v>726</v>
      </c>
      <c r="C169">
        <v>2</v>
      </c>
      <c r="D169">
        <v>4</v>
      </c>
      <c r="E169">
        <v>6</v>
      </c>
      <c r="O169"/>
    </row>
    <row r="170" spans="1:15" x14ac:dyDescent="0.3">
      <c r="A170" t="s">
        <v>101</v>
      </c>
      <c r="C170">
        <v>2</v>
      </c>
      <c r="D170">
        <v>4</v>
      </c>
      <c r="E170">
        <v>6</v>
      </c>
      <c r="O170"/>
    </row>
    <row r="171" spans="1:15" x14ac:dyDescent="0.3">
      <c r="O171"/>
    </row>
    <row r="172" spans="1:15" x14ac:dyDescent="0.3">
      <c r="O172"/>
    </row>
    <row r="173" spans="1:15" x14ac:dyDescent="0.3">
      <c r="O173"/>
    </row>
    <row r="174" spans="1:15" x14ac:dyDescent="0.3">
      <c r="O174"/>
    </row>
    <row r="175" spans="1:15" x14ac:dyDescent="0.3">
      <c r="O175"/>
    </row>
    <row r="176" spans="1:15" x14ac:dyDescent="0.3">
      <c r="O176"/>
    </row>
    <row r="177" spans="15:15" x14ac:dyDescent="0.3">
      <c r="O177"/>
    </row>
    <row r="178" spans="15:15" x14ac:dyDescent="0.3">
      <c r="O178"/>
    </row>
    <row r="179" spans="15:15" x14ac:dyDescent="0.3">
      <c r="O179"/>
    </row>
    <row r="180" spans="15:15" x14ac:dyDescent="0.3">
      <c r="O180"/>
    </row>
    <row r="181" spans="15:15" x14ac:dyDescent="0.3">
      <c r="O181"/>
    </row>
    <row r="182" spans="15:15" x14ac:dyDescent="0.3">
      <c r="O182"/>
    </row>
    <row r="183" spans="15:15" x14ac:dyDescent="0.3">
      <c r="O183"/>
    </row>
    <row r="184" spans="15:15" x14ac:dyDescent="0.3">
      <c r="O184"/>
    </row>
    <row r="185" spans="15:15" x14ac:dyDescent="0.3">
      <c r="O185"/>
    </row>
    <row r="186" spans="15:15" x14ac:dyDescent="0.3">
      <c r="O186"/>
    </row>
    <row r="187" spans="15:15" x14ac:dyDescent="0.3">
      <c r="O187"/>
    </row>
    <row r="188" spans="15:15" x14ac:dyDescent="0.3">
      <c r="O188"/>
    </row>
    <row r="189" spans="15:15" x14ac:dyDescent="0.3">
      <c r="O189"/>
    </row>
    <row r="190" spans="15:15" x14ac:dyDescent="0.3">
      <c r="O190"/>
    </row>
    <row r="191" spans="15:15" x14ac:dyDescent="0.3">
      <c r="O191"/>
    </row>
    <row r="192" spans="15:15" x14ac:dyDescent="0.3">
      <c r="O192"/>
    </row>
    <row r="193" spans="15:15" x14ac:dyDescent="0.3">
      <c r="O193"/>
    </row>
    <row r="194" spans="15:15" x14ac:dyDescent="0.3">
      <c r="O194"/>
    </row>
    <row r="195" spans="15:15" x14ac:dyDescent="0.3">
      <c r="O195"/>
    </row>
    <row r="196" spans="15:15" x14ac:dyDescent="0.3">
      <c r="O196"/>
    </row>
    <row r="197" spans="15:15" x14ac:dyDescent="0.3">
      <c r="O197"/>
    </row>
    <row r="198" spans="15:15" x14ac:dyDescent="0.3">
      <c r="O198"/>
    </row>
    <row r="199" spans="15:15" x14ac:dyDescent="0.3">
      <c r="O199"/>
    </row>
    <row r="200" spans="15:15" x14ac:dyDescent="0.3">
      <c r="O200"/>
    </row>
    <row r="201" spans="15:15" x14ac:dyDescent="0.3">
      <c r="O201"/>
    </row>
    <row r="202" spans="15:15" x14ac:dyDescent="0.3">
      <c r="O202"/>
    </row>
    <row r="203" spans="15:15" x14ac:dyDescent="0.3">
      <c r="O203"/>
    </row>
    <row r="204" spans="15:15" x14ac:dyDescent="0.3">
      <c r="O204"/>
    </row>
    <row r="205" spans="15:15" x14ac:dyDescent="0.3">
      <c r="O205"/>
    </row>
    <row r="206" spans="15:15" x14ac:dyDescent="0.3">
      <c r="O206"/>
    </row>
    <row r="207" spans="15:15" x14ac:dyDescent="0.3">
      <c r="O207"/>
    </row>
    <row r="208" spans="15:15" x14ac:dyDescent="0.3">
      <c r="O208"/>
    </row>
    <row r="209" spans="15:15" x14ac:dyDescent="0.3">
      <c r="O209"/>
    </row>
    <row r="210" spans="15:15" x14ac:dyDescent="0.3">
      <c r="O210"/>
    </row>
    <row r="211" spans="15:15" x14ac:dyDescent="0.3">
      <c r="O211"/>
    </row>
    <row r="212" spans="15:15" x14ac:dyDescent="0.3">
      <c r="O212"/>
    </row>
    <row r="213" spans="15:15" x14ac:dyDescent="0.3">
      <c r="O213"/>
    </row>
    <row r="214" spans="15:15" x14ac:dyDescent="0.3">
      <c r="O214"/>
    </row>
    <row r="215" spans="15:15" x14ac:dyDescent="0.3">
      <c r="O215"/>
    </row>
    <row r="216" spans="15:15" x14ac:dyDescent="0.3">
      <c r="O216"/>
    </row>
    <row r="217" spans="15:15" x14ac:dyDescent="0.3">
      <c r="O217"/>
    </row>
    <row r="218" spans="15:15" x14ac:dyDescent="0.3">
      <c r="O218"/>
    </row>
    <row r="219" spans="15:15" x14ac:dyDescent="0.3">
      <c r="O219"/>
    </row>
    <row r="220" spans="15:15" x14ac:dyDescent="0.3">
      <c r="O220"/>
    </row>
    <row r="221" spans="15:15" x14ac:dyDescent="0.3">
      <c r="O221"/>
    </row>
    <row r="222" spans="15:15" x14ac:dyDescent="0.3">
      <c r="O222"/>
    </row>
    <row r="223" spans="15:15" x14ac:dyDescent="0.3">
      <c r="O223"/>
    </row>
    <row r="224" spans="15:15" x14ac:dyDescent="0.3">
      <c r="O224"/>
    </row>
    <row r="225" spans="15:15" x14ac:dyDescent="0.3">
      <c r="O225"/>
    </row>
    <row r="226" spans="15:15" x14ac:dyDescent="0.3">
      <c r="O226"/>
    </row>
    <row r="227" spans="15:15" x14ac:dyDescent="0.3">
      <c r="O227"/>
    </row>
    <row r="228" spans="15:15" x14ac:dyDescent="0.3">
      <c r="O228"/>
    </row>
    <row r="229" spans="15:15" x14ac:dyDescent="0.3">
      <c r="O229"/>
    </row>
    <row r="230" spans="15:15" x14ac:dyDescent="0.3">
      <c r="O230"/>
    </row>
    <row r="231" spans="15:15" x14ac:dyDescent="0.3">
      <c r="O231"/>
    </row>
    <row r="232" spans="15:15" x14ac:dyDescent="0.3">
      <c r="O232"/>
    </row>
    <row r="233" spans="15:15" x14ac:dyDescent="0.3">
      <c r="O233"/>
    </row>
    <row r="234" spans="15:15" x14ac:dyDescent="0.3">
      <c r="O234"/>
    </row>
    <row r="235" spans="15:15" x14ac:dyDescent="0.3">
      <c r="O235"/>
    </row>
    <row r="236" spans="15:15" x14ac:dyDescent="0.3">
      <c r="O236"/>
    </row>
    <row r="237" spans="15:15" x14ac:dyDescent="0.3">
      <c r="O237"/>
    </row>
    <row r="238" spans="15:15" x14ac:dyDescent="0.3">
      <c r="O238"/>
    </row>
    <row r="239" spans="15:15" x14ac:dyDescent="0.3">
      <c r="O239"/>
    </row>
    <row r="240" spans="15:15" x14ac:dyDescent="0.3">
      <c r="O240"/>
    </row>
    <row r="241" spans="15:15" x14ac:dyDescent="0.3">
      <c r="O241"/>
    </row>
    <row r="242" spans="15:15" x14ac:dyDescent="0.3">
      <c r="O242"/>
    </row>
    <row r="243" spans="15:15" x14ac:dyDescent="0.3">
      <c r="O243"/>
    </row>
    <row r="244" spans="15:15" x14ac:dyDescent="0.3">
      <c r="O244"/>
    </row>
    <row r="245" spans="15:15" x14ac:dyDescent="0.3">
      <c r="O245"/>
    </row>
    <row r="246" spans="15:15" x14ac:dyDescent="0.3">
      <c r="O246"/>
    </row>
    <row r="247" spans="15:15" x14ac:dyDescent="0.3">
      <c r="O247"/>
    </row>
    <row r="248" spans="15:15" x14ac:dyDescent="0.3">
      <c r="O248"/>
    </row>
    <row r="249" spans="15:15" x14ac:dyDescent="0.3">
      <c r="O249"/>
    </row>
    <row r="250" spans="15:15" x14ac:dyDescent="0.3">
      <c r="O250"/>
    </row>
    <row r="251" spans="15:15" x14ac:dyDescent="0.3">
      <c r="O251"/>
    </row>
    <row r="252" spans="15:15" x14ac:dyDescent="0.3">
      <c r="O252"/>
    </row>
    <row r="253" spans="15:15" x14ac:dyDescent="0.3">
      <c r="O253"/>
    </row>
    <row r="254" spans="15:15" x14ac:dyDescent="0.3">
      <c r="O254"/>
    </row>
    <row r="255" spans="15:15" x14ac:dyDescent="0.3">
      <c r="O255"/>
    </row>
    <row r="256" spans="15:15" x14ac:dyDescent="0.3">
      <c r="O256"/>
    </row>
    <row r="257" spans="15:15" x14ac:dyDescent="0.3">
      <c r="O257"/>
    </row>
    <row r="258" spans="15:15" x14ac:dyDescent="0.3">
      <c r="O258"/>
    </row>
    <row r="259" spans="15:15" x14ac:dyDescent="0.3">
      <c r="O259"/>
    </row>
    <row r="260" spans="15:15" x14ac:dyDescent="0.3">
      <c r="O260"/>
    </row>
    <row r="261" spans="15:15" x14ac:dyDescent="0.3">
      <c r="O261"/>
    </row>
    <row r="262" spans="15:15" x14ac:dyDescent="0.3">
      <c r="O262"/>
    </row>
    <row r="263" spans="15:15" x14ac:dyDescent="0.3">
      <c r="O263"/>
    </row>
    <row r="264" spans="15:15" x14ac:dyDescent="0.3">
      <c r="O264"/>
    </row>
    <row r="265" spans="15:15" x14ac:dyDescent="0.3">
      <c r="O265"/>
    </row>
    <row r="266" spans="15:15" x14ac:dyDescent="0.3">
      <c r="O266"/>
    </row>
    <row r="267" spans="15:15" x14ac:dyDescent="0.3">
      <c r="O267"/>
    </row>
    <row r="268" spans="15:15" x14ac:dyDescent="0.3">
      <c r="O268"/>
    </row>
    <row r="269" spans="15:15" x14ac:dyDescent="0.3">
      <c r="O269"/>
    </row>
    <row r="270" spans="15:15" x14ac:dyDescent="0.3">
      <c r="O270"/>
    </row>
    <row r="271" spans="15:15" x14ac:dyDescent="0.3">
      <c r="O271"/>
    </row>
    <row r="272" spans="15:15" x14ac:dyDescent="0.3">
      <c r="O272"/>
    </row>
    <row r="273" spans="15:15" x14ac:dyDescent="0.3">
      <c r="O273"/>
    </row>
    <row r="274" spans="15:15" x14ac:dyDescent="0.3">
      <c r="O274"/>
    </row>
    <row r="275" spans="15:15" x14ac:dyDescent="0.3">
      <c r="O275"/>
    </row>
    <row r="276" spans="15:15" x14ac:dyDescent="0.3">
      <c r="O276"/>
    </row>
    <row r="277" spans="15:15" x14ac:dyDescent="0.3">
      <c r="O277"/>
    </row>
    <row r="278" spans="15:15" x14ac:dyDescent="0.3">
      <c r="O278"/>
    </row>
    <row r="279" spans="15:15" x14ac:dyDescent="0.3">
      <c r="O279"/>
    </row>
    <row r="280" spans="15:15" x14ac:dyDescent="0.3">
      <c r="O280"/>
    </row>
    <row r="281" spans="15:15" x14ac:dyDescent="0.3">
      <c r="O281"/>
    </row>
    <row r="282" spans="15:15" x14ac:dyDescent="0.3">
      <c r="O282"/>
    </row>
    <row r="283" spans="15:15" x14ac:dyDescent="0.3">
      <c r="O283"/>
    </row>
    <row r="284" spans="15:15" x14ac:dyDescent="0.3">
      <c r="O284"/>
    </row>
    <row r="285" spans="15:15" x14ac:dyDescent="0.3">
      <c r="O285"/>
    </row>
    <row r="286" spans="15:15" x14ac:dyDescent="0.3">
      <c r="O286"/>
    </row>
    <row r="287" spans="15:15" x14ac:dyDescent="0.3">
      <c r="O287"/>
    </row>
    <row r="288" spans="15:15" x14ac:dyDescent="0.3">
      <c r="O288"/>
    </row>
    <row r="289" spans="15:15" x14ac:dyDescent="0.3">
      <c r="O289"/>
    </row>
    <row r="290" spans="15:15" x14ac:dyDescent="0.3">
      <c r="O290"/>
    </row>
    <row r="291" spans="15:15" x14ac:dyDescent="0.3">
      <c r="O291"/>
    </row>
    <row r="292" spans="15:15" x14ac:dyDescent="0.3">
      <c r="O292"/>
    </row>
    <row r="293" spans="15:15" x14ac:dyDescent="0.3">
      <c r="O293"/>
    </row>
    <row r="294" spans="15:15" x14ac:dyDescent="0.3">
      <c r="O294"/>
    </row>
    <row r="295" spans="15:15" x14ac:dyDescent="0.3">
      <c r="O295"/>
    </row>
    <row r="296" spans="15:15" x14ac:dyDescent="0.3">
      <c r="O296"/>
    </row>
    <row r="297" spans="15:15" x14ac:dyDescent="0.3">
      <c r="O297"/>
    </row>
    <row r="298" spans="15:15" x14ac:dyDescent="0.3">
      <c r="O298"/>
    </row>
    <row r="299" spans="15:15" x14ac:dyDescent="0.3">
      <c r="O299"/>
    </row>
    <row r="300" spans="15:15" x14ac:dyDescent="0.3">
      <c r="O300"/>
    </row>
    <row r="301" spans="15:15" x14ac:dyDescent="0.3">
      <c r="O301"/>
    </row>
    <row r="302" spans="15:15" x14ac:dyDescent="0.3">
      <c r="O302"/>
    </row>
    <row r="303" spans="15:15" x14ac:dyDescent="0.3">
      <c r="O303"/>
    </row>
    <row r="304" spans="15:15" x14ac:dyDescent="0.3">
      <c r="O304"/>
    </row>
    <row r="305" spans="15:15" x14ac:dyDescent="0.3">
      <c r="O305"/>
    </row>
    <row r="306" spans="15:15" x14ac:dyDescent="0.3">
      <c r="O306"/>
    </row>
    <row r="307" spans="15:15" x14ac:dyDescent="0.3">
      <c r="O307"/>
    </row>
    <row r="308" spans="15:15" x14ac:dyDescent="0.3">
      <c r="O308"/>
    </row>
    <row r="309" spans="15:15" x14ac:dyDescent="0.3">
      <c r="O309"/>
    </row>
    <row r="310" spans="15:15" x14ac:dyDescent="0.3">
      <c r="O310"/>
    </row>
    <row r="311" spans="15:15" x14ac:dyDescent="0.3">
      <c r="O311"/>
    </row>
    <row r="312" spans="15:15" x14ac:dyDescent="0.3">
      <c r="O312"/>
    </row>
    <row r="313" spans="15:15" x14ac:dyDescent="0.3">
      <c r="O313"/>
    </row>
    <row r="314" spans="15:15" x14ac:dyDescent="0.3">
      <c r="O314"/>
    </row>
    <row r="315" spans="15:15" x14ac:dyDescent="0.3">
      <c r="O315"/>
    </row>
    <row r="316" spans="15:15" x14ac:dyDescent="0.3">
      <c r="O316"/>
    </row>
    <row r="317" spans="15:15" x14ac:dyDescent="0.3">
      <c r="O317"/>
    </row>
    <row r="318" spans="15:15" x14ac:dyDescent="0.3">
      <c r="O318"/>
    </row>
    <row r="319" spans="15:15" x14ac:dyDescent="0.3">
      <c r="O319"/>
    </row>
    <row r="320" spans="15:15" x14ac:dyDescent="0.3">
      <c r="O320"/>
    </row>
    <row r="321" spans="15:15" x14ac:dyDescent="0.3">
      <c r="O321"/>
    </row>
    <row r="322" spans="15:15" x14ac:dyDescent="0.3">
      <c r="O322"/>
    </row>
    <row r="323" spans="15:15" x14ac:dyDescent="0.3">
      <c r="O323"/>
    </row>
    <row r="324" spans="15:15" x14ac:dyDescent="0.3">
      <c r="O324"/>
    </row>
    <row r="325" spans="15:15" x14ac:dyDescent="0.3">
      <c r="O325"/>
    </row>
    <row r="326" spans="15:15" x14ac:dyDescent="0.3">
      <c r="O326"/>
    </row>
    <row r="327" spans="15:15" x14ac:dyDescent="0.3">
      <c r="O327"/>
    </row>
    <row r="328" spans="15:15" x14ac:dyDescent="0.3">
      <c r="O328"/>
    </row>
    <row r="329" spans="15:15" x14ac:dyDescent="0.3">
      <c r="O329"/>
    </row>
    <row r="330" spans="15:15" x14ac:dyDescent="0.3">
      <c r="O330"/>
    </row>
    <row r="331" spans="15:15" x14ac:dyDescent="0.3">
      <c r="O331"/>
    </row>
    <row r="332" spans="15:15" x14ac:dyDescent="0.3">
      <c r="O332"/>
    </row>
    <row r="333" spans="15:15" x14ac:dyDescent="0.3">
      <c r="O333"/>
    </row>
    <row r="334" spans="15:15" x14ac:dyDescent="0.3">
      <c r="O334"/>
    </row>
    <row r="335" spans="15:15" x14ac:dyDescent="0.3">
      <c r="O335"/>
    </row>
    <row r="336" spans="15:15" x14ac:dyDescent="0.3">
      <c r="O336"/>
    </row>
    <row r="337" spans="1:15" x14ac:dyDescent="0.3">
      <c r="O337"/>
    </row>
    <row r="338" spans="1:15" x14ac:dyDescent="0.3">
      <c r="O338"/>
    </row>
    <row r="339" spans="1:15" x14ac:dyDescent="0.3">
      <c r="C339" s="18"/>
      <c r="D339" s="18"/>
      <c r="E339" s="18"/>
      <c r="F339" s="18"/>
      <c r="G339" s="18"/>
      <c r="O339"/>
    </row>
    <row r="340" spans="1:15" x14ac:dyDescent="0.3">
      <c r="A340" s="18"/>
      <c r="B340" s="18"/>
      <c r="C340" s="18"/>
      <c r="D340" s="18"/>
      <c r="E340" s="18"/>
      <c r="F340" s="18"/>
      <c r="G340" s="18"/>
      <c r="O340"/>
    </row>
    <row r="341" spans="1:15" x14ac:dyDescent="0.3">
      <c r="A341" s="19" t="s">
        <v>236</v>
      </c>
      <c r="B341" s="20"/>
      <c r="O341"/>
    </row>
    <row r="342" spans="1:15" x14ac:dyDescent="0.3">
      <c r="A342" s="19" t="s">
        <v>0</v>
      </c>
      <c r="B342" s="20" t="s">
        <v>98</v>
      </c>
      <c r="O342"/>
    </row>
    <row r="343" spans="1:15" x14ac:dyDescent="0.3">
      <c r="A343" s="20" t="s">
        <v>95</v>
      </c>
      <c r="B343" s="20">
        <v>4094684</v>
      </c>
      <c r="O343"/>
    </row>
    <row r="344" spans="1:15" x14ac:dyDescent="0.3">
      <c r="A344" s="20" t="s">
        <v>96</v>
      </c>
      <c r="B344" s="20">
        <v>2281360</v>
      </c>
      <c r="O344"/>
    </row>
    <row r="345" spans="1:15" x14ac:dyDescent="0.3">
      <c r="A345" s="20" t="s">
        <v>243</v>
      </c>
      <c r="B345" s="20">
        <v>3070108</v>
      </c>
      <c r="O345"/>
    </row>
    <row r="346" spans="1:15" x14ac:dyDescent="0.3">
      <c r="A346" s="20" t="s">
        <v>248</v>
      </c>
      <c r="B346" s="20">
        <v>2942555</v>
      </c>
      <c r="O346"/>
    </row>
    <row r="347" spans="1:15" x14ac:dyDescent="0.3">
      <c r="A347" s="20" t="s">
        <v>253</v>
      </c>
      <c r="B347" s="20">
        <v>2329766</v>
      </c>
      <c r="O347"/>
    </row>
    <row r="348" spans="1:15" x14ac:dyDescent="0.3">
      <c r="A348" s="20" t="s">
        <v>101</v>
      </c>
      <c r="B348" s="20">
        <v>14718473</v>
      </c>
      <c r="O348"/>
    </row>
    <row r="349" spans="1:15" x14ac:dyDescent="0.3">
      <c r="O349"/>
    </row>
    <row r="350" spans="1:15" x14ac:dyDescent="0.3">
      <c r="O350"/>
    </row>
    <row r="351" spans="1:15" x14ac:dyDescent="0.3">
      <c r="O351"/>
    </row>
    <row r="352" spans="1:15" x14ac:dyDescent="0.3">
      <c r="O352"/>
    </row>
    <row r="353" spans="1:15" x14ac:dyDescent="0.3">
      <c r="O353"/>
    </row>
    <row r="354" spans="1:15" x14ac:dyDescent="0.3">
      <c r="O354"/>
    </row>
    <row r="355" spans="1:15" x14ac:dyDescent="0.3">
      <c r="O355"/>
    </row>
    <row r="356" spans="1:15" x14ac:dyDescent="0.3">
      <c r="O356"/>
    </row>
    <row r="357" spans="1:15" x14ac:dyDescent="0.3">
      <c r="O357"/>
    </row>
    <row r="358" spans="1:15" x14ac:dyDescent="0.3">
      <c r="O358"/>
    </row>
    <row r="359" spans="1:15" x14ac:dyDescent="0.3">
      <c r="O359"/>
    </row>
    <row r="360" spans="1:15" x14ac:dyDescent="0.3">
      <c r="O360"/>
    </row>
    <row r="361" spans="1:15" x14ac:dyDescent="0.3">
      <c r="A361" s="19" t="s">
        <v>0</v>
      </c>
      <c r="B361" s="20" t="s">
        <v>253</v>
      </c>
      <c r="C361" s="18"/>
      <c r="D361" s="18"/>
      <c r="E361" s="18"/>
      <c r="F361" s="18"/>
      <c r="G361" s="18"/>
      <c r="O361"/>
    </row>
    <row r="362" spans="1:15" x14ac:dyDescent="0.3">
      <c r="A362" s="18"/>
      <c r="B362" s="18"/>
      <c r="C362" s="18"/>
      <c r="D362" s="18"/>
      <c r="E362" s="18"/>
      <c r="F362" s="18"/>
      <c r="G362" s="18"/>
      <c r="O362"/>
    </row>
    <row r="363" spans="1:15" x14ac:dyDescent="0.3">
      <c r="A363" s="19" t="s">
        <v>236</v>
      </c>
      <c r="B363" s="19" t="s">
        <v>7</v>
      </c>
      <c r="C363" s="20"/>
      <c r="D363" s="20"/>
      <c r="E363" s="20"/>
      <c r="F363" s="20"/>
      <c r="G363" s="20"/>
      <c r="H363" s="20"/>
      <c r="I363" s="20"/>
      <c r="J363" s="20"/>
      <c r="O363"/>
    </row>
    <row r="364" spans="1:15" x14ac:dyDescent="0.3">
      <c r="A364" s="19" t="s">
        <v>8</v>
      </c>
      <c r="B364" s="20" t="s">
        <v>54</v>
      </c>
      <c r="C364" s="20" t="s">
        <v>48</v>
      </c>
      <c r="D364" s="20" t="s">
        <v>70</v>
      </c>
      <c r="E364" s="20" t="s">
        <v>83</v>
      </c>
      <c r="F364" s="20" t="s">
        <v>63</v>
      </c>
      <c r="G364" s="20" t="s">
        <v>87</v>
      </c>
      <c r="H364" s="20" t="s">
        <v>273</v>
      </c>
      <c r="I364" s="20" t="s">
        <v>309</v>
      </c>
      <c r="J364" s="20" t="s">
        <v>101</v>
      </c>
      <c r="O364"/>
    </row>
    <row r="365" spans="1:15" x14ac:dyDescent="0.3">
      <c r="A365" s="20" t="s">
        <v>20</v>
      </c>
      <c r="B365" s="20">
        <v>741579</v>
      </c>
      <c r="C365" s="20">
        <v>383971</v>
      </c>
      <c r="D365" s="20">
        <v>23429</v>
      </c>
      <c r="E365" s="20">
        <v>157659</v>
      </c>
      <c r="F365" s="20">
        <v>175540</v>
      </c>
      <c r="G365" s="20">
        <v>53218</v>
      </c>
      <c r="H365" s="20">
        <v>23875</v>
      </c>
      <c r="I365" s="20">
        <v>0</v>
      </c>
      <c r="J365" s="20">
        <v>1559271</v>
      </c>
      <c r="O365"/>
    </row>
    <row r="366" spans="1:15" x14ac:dyDescent="0.3">
      <c r="A366" s="20" t="s">
        <v>23</v>
      </c>
      <c r="B366" s="20">
        <v>176684</v>
      </c>
      <c r="C366" s="20">
        <v>81427</v>
      </c>
      <c r="D366" s="20"/>
      <c r="E366" s="20">
        <v>27929</v>
      </c>
      <c r="F366" s="20"/>
      <c r="G366" s="20"/>
      <c r="H366" s="20">
        <v>23875</v>
      </c>
      <c r="I366" s="20">
        <v>0</v>
      </c>
      <c r="J366" s="20">
        <v>309915</v>
      </c>
      <c r="O366"/>
    </row>
    <row r="367" spans="1:15" x14ac:dyDescent="0.3">
      <c r="A367" s="20" t="s">
        <v>41</v>
      </c>
      <c r="B367" s="20">
        <v>128763</v>
      </c>
      <c r="C367" s="20">
        <v>76927</v>
      </c>
      <c r="D367" s="20"/>
      <c r="E367" s="20"/>
      <c r="F367" s="20"/>
      <c r="G367" s="20"/>
      <c r="H367" s="20"/>
      <c r="I367" s="20"/>
      <c r="J367" s="20">
        <v>205690</v>
      </c>
      <c r="O367"/>
    </row>
    <row r="368" spans="1:15" x14ac:dyDescent="0.3">
      <c r="A368" s="20" t="s">
        <v>187</v>
      </c>
      <c r="B368" s="20"/>
      <c r="C368" s="20"/>
      <c r="D368" s="20"/>
      <c r="E368" s="20">
        <v>24885</v>
      </c>
      <c r="F368" s="20"/>
      <c r="G368" s="20">
        <v>81884</v>
      </c>
      <c r="H368" s="20"/>
      <c r="I368" s="20"/>
      <c r="J368" s="20">
        <v>106769</v>
      </c>
      <c r="O368"/>
    </row>
    <row r="369" spans="1:15" x14ac:dyDescent="0.3">
      <c r="A369" s="20" t="s">
        <v>192</v>
      </c>
      <c r="B369" s="20">
        <v>56077</v>
      </c>
      <c r="C369" s="20">
        <v>41897</v>
      </c>
      <c r="D369" s="20"/>
      <c r="E369" s="20"/>
      <c r="F369" s="20"/>
      <c r="G369" s="20"/>
      <c r="H369" s="20"/>
      <c r="I369" s="20"/>
      <c r="J369" s="20">
        <v>97974</v>
      </c>
      <c r="O369"/>
    </row>
    <row r="370" spans="1:15" x14ac:dyDescent="0.3">
      <c r="A370" s="20" t="s">
        <v>36</v>
      </c>
      <c r="B370" s="20">
        <v>34953</v>
      </c>
      <c r="C370" s="20">
        <v>15194</v>
      </c>
      <c r="D370" s="20"/>
      <c r="E370" s="20"/>
      <c r="F370" s="20"/>
      <c r="G370" s="20"/>
      <c r="H370" s="20"/>
      <c r="I370" s="20"/>
      <c r="J370" s="20">
        <v>50147</v>
      </c>
      <c r="O370"/>
    </row>
    <row r="371" spans="1:15" x14ac:dyDescent="0.3">
      <c r="A371" s="20" t="s">
        <v>101</v>
      </c>
      <c r="B371" s="20">
        <v>1138056</v>
      </c>
      <c r="C371" s="20">
        <v>599416</v>
      </c>
      <c r="D371" s="20">
        <v>23429</v>
      </c>
      <c r="E371" s="20">
        <v>210473</v>
      </c>
      <c r="F371" s="20">
        <v>175540</v>
      </c>
      <c r="G371" s="20">
        <v>135102</v>
      </c>
      <c r="H371" s="20">
        <v>47750</v>
      </c>
      <c r="I371" s="20">
        <v>0</v>
      </c>
      <c r="J371" s="20">
        <v>2329766</v>
      </c>
      <c r="O371"/>
    </row>
    <row r="372" spans="1:15" x14ac:dyDescent="0.3">
      <c r="O372"/>
    </row>
    <row r="373" spans="1:15" x14ac:dyDescent="0.3">
      <c r="O373"/>
    </row>
    <row r="374" spans="1:15" x14ac:dyDescent="0.3">
      <c r="O374"/>
    </row>
    <row r="375" spans="1:15" x14ac:dyDescent="0.3">
      <c r="O375"/>
    </row>
    <row r="376" spans="1:15" x14ac:dyDescent="0.3">
      <c r="O376"/>
    </row>
    <row r="377" spans="1:15" x14ac:dyDescent="0.3">
      <c r="O377"/>
    </row>
    <row r="378" spans="1:15" x14ac:dyDescent="0.3">
      <c r="O378"/>
    </row>
    <row r="379" spans="1:15" x14ac:dyDescent="0.3">
      <c r="O379"/>
    </row>
    <row r="380" spans="1:15" x14ac:dyDescent="0.3">
      <c r="O380"/>
    </row>
    <row r="381" spans="1:15" x14ac:dyDescent="0.3">
      <c r="O381"/>
    </row>
    <row r="382" spans="1:15" x14ac:dyDescent="0.3">
      <c r="O382"/>
    </row>
    <row r="383" spans="1:15" x14ac:dyDescent="0.3">
      <c r="O383"/>
    </row>
    <row r="384" spans="1:15" x14ac:dyDescent="0.3">
      <c r="A384" s="18"/>
      <c r="B384" s="18"/>
      <c r="C384" s="18"/>
      <c r="D384" s="18"/>
      <c r="E384" s="18"/>
      <c r="F384" s="18"/>
      <c r="G384" s="18"/>
      <c r="O384"/>
    </row>
    <row r="385" spans="1:15" x14ac:dyDescent="0.3">
      <c r="A385" s="19" t="s">
        <v>236</v>
      </c>
      <c r="B385" s="20"/>
      <c r="O385"/>
    </row>
    <row r="386" spans="1:15" x14ac:dyDescent="0.3">
      <c r="A386" s="19" t="s">
        <v>0</v>
      </c>
      <c r="B386" s="20" t="s">
        <v>98</v>
      </c>
      <c r="O386"/>
    </row>
    <row r="387" spans="1:15" x14ac:dyDescent="0.3">
      <c r="A387" s="20" t="s">
        <v>95</v>
      </c>
      <c r="B387" s="20">
        <v>4094684</v>
      </c>
      <c r="O387"/>
    </row>
    <row r="388" spans="1:15" x14ac:dyDescent="0.3">
      <c r="A388" s="20" t="s">
        <v>96</v>
      </c>
      <c r="B388" s="20">
        <v>2032202</v>
      </c>
      <c r="O388"/>
    </row>
    <row r="389" spans="1:15" x14ac:dyDescent="0.3">
      <c r="A389" s="20" t="s">
        <v>101</v>
      </c>
      <c r="B389" s="20">
        <v>6126886</v>
      </c>
      <c r="O389"/>
    </row>
    <row r="390" spans="1:15" x14ac:dyDescent="0.3">
      <c r="O390"/>
    </row>
    <row r="391" spans="1:15" x14ac:dyDescent="0.3">
      <c r="O391"/>
    </row>
    <row r="392" spans="1:15" x14ac:dyDescent="0.3">
      <c r="O392"/>
    </row>
    <row r="393" spans="1:15" x14ac:dyDescent="0.3">
      <c r="O393"/>
    </row>
    <row r="394" spans="1:15" x14ac:dyDescent="0.3">
      <c r="O394"/>
    </row>
    <row r="395" spans="1:15" x14ac:dyDescent="0.3">
      <c r="O395"/>
    </row>
    <row r="396" spans="1:15" x14ac:dyDescent="0.3">
      <c r="O396"/>
    </row>
    <row r="397" spans="1:15" x14ac:dyDescent="0.3">
      <c r="O397"/>
    </row>
    <row r="398" spans="1:15" x14ac:dyDescent="0.3">
      <c r="O398"/>
    </row>
    <row r="399" spans="1:15" x14ac:dyDescent="0.3">
      <c r="O399"/>
    </row>
    <row r="400" spans="1:15" x14ac:dyDescent="0.3">
      <c r="O400"/>
    </row>
    <row r="401" spans="15:15" x14ac:dyDescent="0.3">
      <c r="O401"/>
    </row>
    <row r="402" spans="15:15" x14ac:dyDescent="0.3">
      <c r="O402"/>
    </row>
    <row r="403" spans="15:15" x14ac:dyDescent="0.3">
      <c r="O403"/>
    </row>
    <row r="404" spans="15:15" x14ac:dyDescent="0.3">
      <c r="O404"/>
    </row>
    <row r="405" spans="15:15" x14ac:dyDescent="0.3">
      <c r="O405"/>
    </row>
    <row r="406" spans="15:15" x14ac:dyDescent="0.3">
      <c r="O406"/>
    </row>
    <row r="407" spans="15:15" x14ac:dyDescent="0.3">
      <c r="O407"/>
    </row>
    <row r="408" spans="15:15" x14ac:dyDescent="0.3">
      <c r="O408"/>
    </row>
    <row r="409" spans="15:15" x14ac:dyDescent="0.3">
      <c r="O409"/>
    </row>
    <row r="410" spans="15:15" x14ac:dyDescent="0.3">
      <c r="O410"/>
    </row>
    <row r="411" spans="15:15" x14ac:dyDescent="0.3">
      <c r="O411"/>
    </row>
    <row r="412" spans="15:15" x14ac:dyDescent="0.3">
      <c r="O412"/>
    </row>
    <row r="413" spans="15:15" x14ac:dyDescent="0.3">
      <c r="O413"/>
    </row>
    <row r="414" spans="15:15" x14ac:dyDescent="0.3">
      <c r="O414"/>
    </row>
    <row r="415" spans="15:15" x14ac:dyDescent="0.3">
      <c r="O415"/>
    </row>
    <row r="416" spans="15:15" x14ac:dyDescent="0.3">
      <c r="O416"/>
    </row>
    <row r="417" spans="15:15" x14ac:dyDescent="0.3">
      <c r="O417"/>
    </row>
    <row r="418" spans="15:15" x14ac:dyDescent="0.3">
      <c r="O418"/>
    </row>
    <row r="419" spans="15:15" x14ac:dyDescent="0.3">
      <c r="O419"/>
    </row>
    <row r="420" spans="15:15" x14ac:dyDescent="0.3">
      <c r="O420"/>
    </row>
    <row r="421" spans="15:15" x14ac:dyDescent="0.3">
      <c r="O421"/>
    </row>
    <row r="422" spans="15:15" x14ac:dyDescent="0.3">
      <c r="O422"/>
    </row>
    <row r="423" spans="15:15" x14ac:dyDescent="0.3">
      <c r="O423"/>
    </row>
    <row r="424" spans="15:15" x14ac:dyDescent="0.3">
      <c r="O424"/>
    </row>
    <row r="425" spans="15:15" x14ac:dyDescent="0.3">
      <c r="O425"/>
    </row>
    <row r="426" spans="15:15" x14ac:dyDescent="0.3">
      <c r="O426"/>
    </row>
    <row r="427" spans="15:15" x14ac:dyDescent="0.3">
      <c r="O427"/>
    </row>
    <row r="428" spans="15:15" x14ac:dyDescent="0.3">
      <c r="O428"/>
    </row>
    <row r="429" spans="15:15" x14ac:dyDescent="0.3">
      <c r="O429"/>
    </row>
    <row r="430" spans="15:15" x14ac:dyDescent="0.3">
      <c r="O430"/>
    </row>
    <row r="431" spans="15:15" x14ac:dyDescent="0.3">
      <c r="O431"/>
    </row>
    <row r="432" spans="15:15" x14ac:dyDescent="0.3">
      <c r="O432"/>
    </row>
    <row r="433" spans="2:15" x14ac:dyDescent="0.3">
      <c r="O433"/>
    </row>
    <row r="439" spans="2:15" x14ac:dyDescent="0.3">
      <c r="B439" s="9"/>
      <c r="C439" s="1"/>
      <c r="D439" s="1"/>
      <c r="E439" s="1"/>
      <c r="F439" s="1"/>
      <c r="G439" s="1"/>
      <c r="H439" s="8"/>
      <c r="I439" s="8"/>
    </row>
    <row r="440" spans="2:15" x14ac:dyDescent="0.3">
      <c r="B440" s="9"/>
      <c r="C440" s="1"/>
      <c r="D440" s="1"/>
      <c r="E440" s="1"/>
      <c r="F440" s="1"/>
      <c r="G440" s="1"/>
      <c r="H440" s="8"/>
      <c r="I440" s="8"/>
    </row>
    <row r="441" spans="2:15" x14ac:dyDescent="0.3">
      <c r="B441" s="9"/>
      <c r="C441" s="1"/>
      <c r="D441" s="1"/>
      <c r="E441" s="1"/>
      <c r="F441" s="1"/>
      <c r="G441" s="1"/>
      <c r="H441" s="8"/>
      <c r="I441" s="8"/>
    </row>
    <row r="442" spans="2:15" x14ac:dyDescent="0.3">
      <c r="B442" s="9"/>
      <c r="C442" s="1"/>
      <c r="D442" s="1"/>
      <c r="E442" s="1"/>
      <c r="F442" s="1"/>
      <c r="G442" s="1"/>
      <c r="H442" s="8"/>
      <c r="I442" s="8"/>
    </row>
    <row r="443" spans="2:15" x14ac:dyDescent="0.3">
      <c r="B443" s="9"/>
      <c r="C443" s="1"/>
      <c r="D443" s="1"/>
      <c r="E443" s="1"/>
      <c r="F443" s="1"/>
      <c r="G443" s="1"/>
      <c r="H443" s="8"/>
      <c r="I443" s="8"/>
    </row>
    <row r="444" spans="2:15" x14ac:dyDescent="0.3">
      <c r="B444" s="9"/>
      <c r="C444" s="1"/>
      <c r="D444" s="1"/>
      <c r="E444" s="1"/>
      <c r="F444" s="1"/>
      <c r="G444" s="1"/>
      <c r="H444" s="8"/>
      <c r="I444" s="8"/>
    </row>
    <row r="445" spans="2:15" x14ac:dyDescent="0.3">
      <c r="B445" s="9"/>
      <c r="C445" s="1"/>
      <c r="D445" s="1"/>
      <c r="E445" s="1"/>
      <c r="F445" s="1"/>
      <c r="G445" s="1"/>
      <c r="H445" s="8"/>
      <c r="I445" s="8"/>
    </row>
    <row r="446" spans="2:15" x14ac:dyDescent="0.3">
      <c r="B446" s="9"/>
      <c r="C446" s="1"/>
      <c r="D446" s="1"/>
      <c r="E446" s="1"/>
      <c r="F446" s="1"/>
      <c r="G446" s="1"/>
      <c r="H446" s="8"/>
      <c r="I446" s="8"/>
    </row>
    <row r="447" spans="2:15" x14ac:dyDescent="0.3">
      <c r="B447" s="9"/>
      <c r="C447" s="1"/>
      <c r="D447" s="1"/>
      <c r="E447" s="1"/>
      <c r="F447" s="1"/>
      <c r="G447" s="1"/>
      <c r="H447" s="8"/>
      <c r="I447" s="8"/>
    </row>
    <row r="448" spans="2:15" x14ac:dyDescent="0.3">
      <c r="B448" s="9"/>
      <c r="C448" s="1"/>
      <c r="D448" s="1"/>
      <c r="E448" s="1"/>
      <c r="F448" s="1"/>
      <c r="G448" s="1"/>
      <c r="H448" s="8"/>
      <c r="I448" s="8"/>
    </row>
    <row r="449" spans="2:9" x14ac:dyDescent="0.3">
      <c r="B449" s="9"/>
      <c r="C449" s="1"/>
      <c r="D449" s="1"/>
      <c r="E449" s="1"/>
      <c r="F449" s="1"/>
      <c r="G449" s="1"/>
      <c r="H449" s="8"/>
      <c r="I449" s="8"/>
    </row>
    <row r="450" spans="2:9" x14ac:dyDescent="0.3">
      <c r="B450" s="9"/>
      <c r="C450" s="1"/>
      <c r="D450" s="1"/>
      <c r="E450" s="1"/>
      <c r="F450" s="1"/>
      <c r="G450" s="1"/>
      <c r="H450" s="8"/>
      <c r="I450" s="8"/>
    </row>
    <row r="451" spans="2:9" x14ac:dyDescent="0.3">
      <c r="B451" s="9"/>
      <c r="C451" s="1"/>
      <c r="D451" s="1"/>
      <c r="E451" s="1"/>
      <c r="F451" s="1"/>
      <c r="G451" s="1"/>
      <c r="H451" s="8"/>
      <c r="I451" s="8"/>
    </row>
    <row r="452" spans="2:9" x14ac:dyDescent="0.3">
      <c r="B452" s="9"/>
      <c r="C452" s="1"/>
      <c r="D452" s="1"/>
      <c r="E452" s="1"/>
      <c r="F452" s="1"/>
      <c r="G452" s="1"/>
      <c r="H452" s="8"/>
      <c r="I452" s="8"/>
    </row>
    <row r="453" spans="2:9" x14ac:dyDescent="0.3">
      <c r="B453" s="9"/>
      <c r="C453" s="1"/>
      <c r="D453" s="1"/>
      <c r="E453" s="1"/>
      <c r="F453" s="1"/>
      <c r="G453" s="1"/>
      <c r="H453" s="8"/>
      <c r="I453" s="8"/>
    </row>
    <row r="454" spans="2:9" x14ac:dyDescent="0.3">
      <c r="B454" s="9"/>
      <c r="C454" s="1"/>
      <c r="D454" s="1"/>
      <c r="E454" s="1"/>
      <c r="F454" s="1"/>
      <c r="G454" s="1"/>
      <c r="H454" s="8"/>
      <c r="I454" s="8"/>
    </row>
    <row r="455" spans="2:9" x14ac:dyDescent="0.3">
      <c r="B455" s="9"/>
      <c r="C455" s="1"/>
      <c r="D455" s="1"/>
      <c r="E455" s="1"/>
      <c r="F455" s="1"/>
      <c r="G455" s="1"/>
      <c r="H455" s="8"/>
      <c r="I455" s="8"/>
    </row>
    <row r="456" spans="2:9" x14ac:dyDescent="0.3">
      <c r="B456" s="9"/>
      <c r="C456" s="1"/>
      <c r="D456" s="1"/>
      <c r="E456" s="1"/>
      <c r="F456" s="1"/>
      <c r="G456" s="1"/>
      <c r="H456" s="8"/>
      <c r="I456" s="8"/>
    </row>
    <row r="457" spans="2:9" x14ac:dyDescent="0.3">
      <c r="B457" s="9"/>
      <c r="C457" s="1"/>
      <c r="D457" s="1"/>
      <c r="E457" s="1"/>
      <c r="F457" s="1"/>
      <c r="G457" s="1"/>
      <c r="H457" s="8"/>
      <c r="I457" s="8"/>
    </row>
    <row r="458" spans="2:9" x14ac:dyDescent="0.3">
      <c r="B458" s="9"/>
      <c r="C458" s="1"/>
      <c r="D458" s="1"/>
      <c r="E458" s="1"/>
      <c r="F458" s="1"/>
      <c r="G458" s="1"/>
      <c r="H458" s="8"/>
      <c r="I458" s="8"/>
    </row>
    <row r="459" spans="2:9" x14ac:dyDescent="0.3">
      <c r="B459" s="9"/>
      <c r="C459" s="1"/>
      <c r="D459" s="1"/>
      <c r="E459" s="1"/>
      <c r="F459" s="1"/>
      <c r="G459" s="1"/>
      <c r="H459" s="8"/>
      <c r="I459" s="8"/>
    </row>
    <row r="460" spans="2:9" x14ac:dyDescent="0.3">
      <c r="B460" s="9"/>
      <c r="C460" s="1"/>
      <c r="D460" s="1"/>
      <c r="E460" s="1"/>
      <c r="F460" s="1"/>
      <c r="G460" s="1"/>
      <c r="H460" s="8"/>
      <c r="I460" s="8"/>
    </row>
    <row r="461" spans="2:9" x14ac:dyDescent="0.3">
      <c r="B461" s="9"/>
      <c r="C461" s="1"/>
      <c r="D461" s="1"/>
      <c r="E461" s="1"/>
      <c r="F461" s="1"/>
      <c r="G461" s="1"/>
      <c r="H461" s="8"/>
      <c r="I461" s="8"/>
    </row>
    <row r="462" spans="2:9" x14ac:dyDescent="0.3">
      <c r="B462" s="9"/>
      <c r="C462" s="1"/>
      <c r="D462" s="1"/>
      <c r="E462" s="1"/>
      <c r="F462" s="1"/>
      <c r="G462" s="1"/>
      <c r="H462" s="8"/>
      <c r="I462" s="8"/>
    </row>
    <row r="463" spans="2:9" x14ac:dyDescent="0.3">
      <c r="B463" s="9"/>
      <c r="C463" s="1"/>
      <c r="D463" s="1"/>
      <c r="E463" s="1"/>
      <c r="F463" s="1"/>
      <c r="G463" s="1"/>
      <c r="H463" s="8"/>
      <c r="I463" s="8"/>
    </row>
    <row r="464" spans="2:9" x14ac:dyDescent="0.3">
      <c r="B464" s="9"/>
      <c r="C464" s="1"/>
      <c r="D464" s="1"/>
      <c r="E464" s="1"/>
      <c r="F464" s="1"/>
      <c r="G464" s="1"/>
      <c r="H464" s="8"/>
      <c r="I464" s="8"/>
    </row>
    <row r="465" spans="2:9" x14ac:dyDescent="0.3">
      <c r="B465" s="9"/>
      <c r="C465" s="1"/>
      <c r="D465" s="1"/>
      <c r="E465" s="1"/>
      <c r="F465" s="1"/>
      <c r="G465" s="1"/>
      <c r="H465" s="8"/>
      <c r="I465" s="8"/>
    </row>
    <row r="466" spans="2:9" x14ac:dyDescent="0.3">
      <c r="B466" s="9"/>
      <c r="C466" s="1"/>
      <c r="D466" s="1"/>
      <c r="E466" s="1"/>
      <c r="F466" s="1"/>
      <c r="G466" s="1"/>
      <c r="H466" s="8"/>
      <c r="I466" s="8"/>
    </row>
    <row r="467" spans="2:9" x14ac:dyDescent="0.3">
      <c r="B467" s="9"/>
      <c r="C467" s="1"/>
      <c r="D467" s="1"/>
      <c r="E467" s="1"/>
      <c r="F467" s="1"/>
      <c r="G467" s="1"/>
      <c r="H467" s="8"/>
      <c r="I467" s="8"/>
    </row>
    <row r="468" spans="2:9" x14ac:dyDescent="0.3">
      <c r="B468" s="9"/>
      <c r="C468" s="1"/>
      <c r="D468" s="1"/>
      <c r="E468" s="1"/>
      <c r="F468" s="1"/>
      <c r="G468" s="1"/>
      <c r="H468" s="8"/>
      <c r="I468" s="8"/>
    </row>
    <row r="469" spans="2:9" x14ac:dyDescent="0.3">
      <c r="B469" s="9"/>
      <c r="C469" s="1"/>
      <c r="D469" s="1"/>
      <c r="E469" s="1"/>
      <c r="F469" s="1"/>
      <c r="G469" s="1"/>
      <c r="H469" s="8"/>
      <c r="I469" s="8"/>
    </row>
    <row r="470" spans="2:9" x14ac:dyDescent="0.3">
      <c r="B470" s="9"/>
      <c r="C470" s="1"/>
      <c r="D470" s="1"/>
      <c r="E470" s="1"/>
      <c r="F470" s="1"/>
      <c r="G470" s="1"/>
      <c r="H470" s="8"/>
      <c r="I470" s="8"/>
    </row>
    <row r="471" spans="2:9" x14ac:dyDescent="0.3">
      <c r="B471" s="9"/>
      <c r="C471" s="1"/>
      <c r="D471" s="1"/>
      <c r="E471" s="1"/>
      <c r="F471" s="1"/>
      <c r="G471" s="1"/>
      <c r="H471" s="8"/>
      <c r="I471" s="8"/>
    </row>
    <row r="472" spans="2:9" x14ac:dyDescent="0.3">
      <c r="B472" s="9"/>
      <c r="C472" s="1"/>
      <c r="D472" s="1"/>
      <c r="E472" s="1"/>
      <c r="F472" s="1"/>
      <c r="G472" s="1"/>
      <c r="H472" s="8"/>
      <c r="I472" s="8"/>
    </row>
    <row r="473" spans="2:9" x14ac:dyDescent="0.3">
      <c r="B473" s="9"/>
      <c r="C473" s="1"/>
      <c r="D473" s="1"/>
      <c r="E473" s="1"/>
      <c r="F473" s="1"/>
      <c r="G473" s="1"/>
      <c r="H473" s="8"/>
      <c r="I473" s="8"/>
    </row>
    <row r="474" spans="2:9" x14ac:dyDescent="0.3">
      <c r="B474" s="9"/>
      <c r="C474" s="1"/>
      <c r="D474" s="1"/>
      <c r="E474" s="1"/>
      <c r="F474" s="1"/>
      <c r="G474" s="1"/>
      <c r="H474" s="8"/>
      <c r="I474" s="8"/>
    </row>
    <row r="475" spans="2:9" x14ac:dyDescent="0.3">
      <c r="B475" s="9"/>
      <c r="C475" s="1"/>
      <c r="D475" s="1"/>
      <c r="E475" s="1"/>
      <c r="F475" s="1"/>
      <c r="G475" s="1"/>
      <c r="H475" s="8"/>
      <c r="I475" s="8"/>
    </row>
    <row r="476" spans="2:9" x14ac:dyDescent="0.3">
      <c r="B476" s="9"/>
      <c r="C476" s="1"/>
      <c r="D476" s="1"/>
      <c r="E476" s="1"/>
      <c r="F476" s="1"/>
      <c r="G476" s="1"/>
      <c r="H476" s="8"/>
      <c r="I476" s="8"/>
    </row>
    <row r="477" spans="2:9" x14ac:dyDescent="0.3">
      <c r="B477" s="9"/>
      <c r="C477" s="1"/>
      <c r="D477" s="1"/>
      <c r="E477" s="1"/>
      <c r="F477" s="1"/>
      <c r="G477" s="1"/>
      <c r="H477" s="8"/>
      <c r="I477" s="8"/>
    </row>
    <row r="478" spans="2:9" x14ac:dyDescent="0.3">
      <c r="B478" s="9"/>
      <c r="C478" s="1"/>
      <c r="D478" s="1"/>
      <c r="E478" s="1"/>
      <c r="F478" s="1"/>
      <c r="G478" s="1"/>
      <c r="H478" s="8"/>
      <c r="I478" s="8"/>
    </row>
    <row r="479" spans="2:9" x14ac:dyDescent="0.3">
      <c r="B479" s="9"/>
      <c r="C479" s="1"/>
      <c r="D479" s="1"/>
      <c r="E479" s="1"/>
      <c r="F479" s="1"/>
      <c r="G479" s="1"/>
      <c r="H479" s="8"/>
      <c r="I479" s="8"/>
    </row>
    <row r="480" spans="2:9" x14ac:dyDescent="0.3">
      <c r="B480" s="9"/>
      <c r="C480" s="1"/>
      <c r="D480" s="1"/>
      <c r="E480" s="1"/>
      <c r="F480" s="1"/>
      <c r="G480" s="1"/>
      <c r="H480" s="8"/>
      <c r="I480" s="8"/>
    </row>
    <row r="481" spans="2:9" x14ac:dyDescent="0.3">
      <c r="B481" s="9"/>
      <c r="C481" s="1"/>
      <c r="D481" s="1"/>
      <c r="E481" s="1"/>
      <c r="F481" s="1"/>
      <c r="G481" s="1"/>
      <c r="H481" s="8"/>
      <c r="I481" s="8"/>
    </row>
    <row r="482" spans="2:9" x14ac:dyDescent="0.3">
      <c r="B482" s="9"/>
      <c r="C482" s="1"/>
      <c r="D482" s="1"/>
      <c r="E482" s="1"/>
      <c r="F482" s="1"/>
      <c r="G482" s="1"/>
      <c r="H482" s="8"/>
      <c r="I482" s="8"/>
    </row>
    <row r="483" spans="2:9" x14ac:dyDescent="0.3">
      <c r="B483" s="9"/>
      <c r="C483" s="1"/>
      <c r="D483" s="1"/>
      <c r="E483" s="1"/>
      <c r="F483" s="1"/>
      <c r="G483" s="1"/>
      <c r="H483" s="8"/>
      <c r="I483" s="8"/>
    </row>
    <row r="484" spans="2:9" x14ac:dyDescent="0.3">
      <c r="B484" s="9"/>
      <c r="C484" s="1"/>
      <c r="D484" s="1"/>
      <c r="E484" s="1"/>
      <c r="F484" s="1"/>
      <c r="G484" s="1"/>
      <c r="H484" s="8"/>
      <c r="I484" s="8"/>
    </row>
    <row r="485" spans="2:9" x14ac:dyDescent="0.3">
      <c r="B485" s="9"/>
      <c r="C485" s="1"/>
      <c r="D485" s="1"/>
      <c r="E485" s="1"/>
      <c r="F485" s="1"/>
      <c r="G485" s="1"/>
      <c r="H485" s="8"/>
      <c r="I485" s="8"/>
    </row>
    <row r="486" spans="2:9" x14ac:dyDescent="0.3">
      <c r="B486" s="9"/>
      <c r="C486" s="1"/>
      <c r="D486" s="1"/>
      <c r="E486" s="1"/>
      <c r="F486" s="1"/>
      <c r="G486" s="1"/>
      <c r="H486" s="8"/>
    </row>
    <row r="487" spans="2:9" x14ac:dyDescent="0.3">
      <c r="B487" s="9"/>
      <c r="C487" s="1"/>
      <c r="D487" s="1"/>
      <c r="E487" s="1"/>
      <c r="F487" s="1"/>
      <c r="G487" s="1"/>
      <c r="H487" s="8"/>
    </row>
    <row r="488" spans="2:9" x14ac:dyDescent="0.3">
      <c r="B488" s="9"/>
      <c r="C488" s="1"/>
      <c r="D488" s="1"/>
      <c r="E488" s="1"/>
      <c r="F488" s="1"/>
      <c r="G488" s="1"/>
      <c r="H488" s="8"/>
    </row>
    <row r="489" spans="2:9" x14ac:dyDescent="0.3">
      <c r="B489" s="9"/>
      <c r="C489" s="1"/>
      <c r="D489" s="1"/>
      <c r="E489" s="1"/>
      <c r="F489" s="1"/>
      <c r="G489" s="1"/>
      <c r="H489" s="8"/>
    </row>
    <row r="490" spans="2:9" x14ac:dyDescent="0.3">
      <c r="B490" s="8"/>
      <c r="C490" s="1"/>
      <c r="D490" s="1"/>
      <c r="E490" s="1"/>
      <c r="F490" s="1"/>
      <c r="G490" s="1"/>
    </row>
    <row r="491" spans="2:9" x14ac:dyDescent="0.3">
      <c r="B491" s="8"/>
      <c r="C491" s="1"/>
      <c r="D491" s="1"/>
      <c r="E491" s="1"/>
      <c r="F491" s="1"/>
      <c r="G491" s="1"/>
    </row>
    <row r="492" spans="2:9" x14ac:dyDescent="0.3">
      <c r="B492" s="8"/>
      <c r="C492" s="1"/>
      <c r="D492" s="1"/>
      <c r="E492" s="1"/>
      <c r="F492" s="1"/>
      <c r="G492" s="1"/>
    </row>
    <row r="493" spans="2:9" x14ac:dyDescent="0.3">
      <c r="B493" s="8"/>
      <c r="C493" s="1"/>
      <c r="D493" s="1"/>
      <c r="E493" s="1"/>
      <c r="F493" s="1"/>
      <c r="G493" s="1"/>
    </row>
    <row r="494" spans="2:9" x14ac:dyDescent="0.3">
      <c r="B494" s="8"/>
      <c r="C494" s="1"/>
      <c r="D494" s="1"/>
      <c r="E494" s="1"/>
      <c r="F494" s="1"/>
      <c r="G494" s="1"/>
    </row>
    <row r="495" spans="2:9" x14ac:dyDescent="0.3">
      <c r="B495" s="8"/>
      <c r="C495" s="1"/>
      <c r="D495" s="1"/>
      <c r="E495" s="1"/>
      <c r="F495" s="1"/>
      <c r="G495" s="1"/>
    </row>
    <row r="496" spans="2:9" x14ac:dyDescent="0.3">
      <c r="B496" s="8"/>
      <c r="C496" s="1"/>
      <c r="D496" s="1"/>
      <c r="E496" s="1"/>
      <c r="F496" s="1"/>
      <c r="G496" s="1"/>
    </row>
    <row r="497" spans="2:7" x14ac:dyDescent="0.3">
      <c r="B497" s="8"/>
      <c r="C497" s="1"/>
      <c r="D497" s="1"/>
      <c r="E497" s="1"/>
      <c r="F497" s="1"/>
      <c r="G497" s="1"/>
    </row>
    <row r="498" spans="2:7" x14ac:dyDescent="0.3">
      <c r="B498" s="8"/>
      <c r="C498" s="1"/>
      <c r="D498" s="1"/>
      <c r="E498" s="1"/>
      <c r="F498" s="1"/>
      <c r="G498" s="1"/>
    </row>
    <row r="499" spans="2:7" x14ac:dyDescent="0.3">
      <c r="B499" s="8"/>
      <c r="C499" s="1"/>
      <c r="D499" s="1"/>
      <c r="E499" s="1"/>
      <c r="F499" s="1"/>
      <c r="G499" s="1"/>
    </row>
    <row r="500" spans="2:7" x14ac:dyDescent="0.3">
      <c r="B500" s="8"/>
      <c r="C500" s="1"/>
      <c r="D500" s="1"/>
      <c r="E500" s="1"/>
      <c r="F500" s="1"/>
      <c r="G500" s="1"/>
    </row>
    <row r="501" spans="2:7" x14ac:dyDescent="0.3">
      <c r="B501" s="8"/>
      <c r="C501" s="1"/>
      <c r="D501" s="1"/>
      <c r="E501" s="1"/>
      <c r="F501" s="1"/>
      <c r="G501" s="1"/>
    </row>
    <row r="502" spans="2:7" x14ac:dyDescent="0.3">
      <c r="B502" s="8"/>
      <c r="C502" s="1"/>
      <c r="D502" s="1"/>
      <c r="E502" s="1"/>
      <c r="F502" s="1"/>
      <c r="G502" s="1"/>
    </row>
    <row r="503" spans="2:7" x14ac:dyDescent="0.3">
      <c r="B503" s="8"/>
      <c r="C503" s="1"/>
      <c r="D503" s="1"/>
      <c r="E503" s="1"/>
      <c r="F503" s="1"/>
      <c r="G503" s="1"/>
    </row>
    <row r="504" spans="2:7" x14ac:dyDescent="0.3">
      <c r="B504" s="8"/>
      <c r="C504" s="1"/>
      <c r="D504" s="1"/>
      <c r="E504" s="1"/>
      <c r="F504" s="1"/>
      <c r="G504" s="1"/>
    </row>
    <row r="505" spans="2:7" x14ac:dyDescent="0.3">
      <c r="B505" s="8"/>
      <c r="C505" s="1"/>
      <c r="D505" s="1"/>
      <c r="E505" s="1"/>
      <c r="F505" s="1"/>
      <c r="G505" s="1"/>
    </row>
    <row r="506" spans="2:7" x14ac:dyDescent="0.3">
      <c r="B506" s="8"/>
      <c r="C506" s="1"/>
      <c r="D506" s="1"/>
      <c r="E506" s="1"/>
      <c r="F506" s="1"/>
      <c r="G506" s="1"/>
    </row>
    <row r="507" spans="2:7" x14ac:dyDescent="0.3">
      <c r="B507" s="8"/>
      <c r="C507" s="1"/>
      <c r="D507" s="1"/>
      <c r="E507" s="1"/>
      <c r="F507" s="1"/>
      <c r="G507" s="1"/>
    </row>
    <row r="508" spans="2:7" x14ac:dyDescent="0.3">
      <c r="B508" s="8"/>
      <c r="C508" s="1"/>
      <c r="D508" s="1"/>
      <c r="E508" s="1"/>
      <c r="F508" s="1"/>
      <c r="G508" s="1"/>
    </row>
    <row r="509" spans="2:7" x14ac:dyDescent="0.3">
      <c r="B509" s="8"/>
      <c r="C509" s="1"/>
      <c r="D509" s="1"/>
      <c r="E509" s="1"/>
      <c r="F509" s="1"/>
      <c r="G509" s="1"/>
    </row>
    <row r="510" spans="2:7" x14ac:dyDescent="0.3">
      <c r="B510" s="8"/>
      <c r="C510" s="1"/>
      <c r="D510" s="1"/>
      <c r="E510" s="1"/>
      <c r="F510" s="1"/>
      <c r="G510" s="1"/>
    </row>
    <row r="511" spans="2:7" x14ac:dyDescent="0.3">
      <c r="B511" s="8"/>
      <c r="C511" s="1"/>
      <c r="D511" s="1"/>
      <c r="E511" s="1"/>
      <c r="F511" s="1"/>
      <c r="G511" s="1"/>
    </row>
    <row r="512" spans="2:7" x14ac:dyDescent="0.3">
      <c r="B512" s="8"/>
      <c r="C512" s="1"/>
      <c r="D512" s="1"/>
      <c r="E512" s="1"/>
      <c r="F512" s="1"/>
      <c r="G512" s="1"/>
    </row>
    <row r="513" spans="2:7" x14ac:dyDescent="0.3">
      <c r="B513" s="8"/>
      <c r="C513" s="1"/>
      <c r="D513" s="1"/>
      <c r="E513" s="1"/>
      <c r="F513" s="1"/>
      <c r="G513" s="1"/>
    </row>
    <row r="514" spans="2:7" x14ac:dyDescent="0.3">
      <c r="B514" s="8"/>
      <c r="C514" s="1"/>
      <c r="D514" s="1"/>
      <c r="E514" s="1"/>
      <c r="F514" s="1"/>
      <c r="G514" s="1"/>
    </row>
    <row r="515" spans="2:7" x14ac:dyDescent="0.3">
      <c r="B515" s="8"/>
      <c r="C515" s="1"/>
      <c r="D515" s="1"/>
      <c r="E515" s="1"/>
      <c r="F515" s="1"/>
      <c r="G515" s="1"/>
    </row>
    <row r="516" spans="2:7" x14ac:dyDescent="0.3">
      <c r="B516" s="8"/>
      <c r="C516" s="1"/>
      <c r="D516" s="1"/>
      <c r="E516" s="1"/>
      <c r="F516" s="1"/>
      <c r="G516" s="1"/>
    </row>
    <row r="517" spans="2:7" x14ac:dyDescent="0.3">
      <c r="B517" s="8"/>
      <c r="C517" s="1"/>
      <c r="D517" s="1"/>
      <c r="E517" s="1"/>
      <c r="F517" s="1"/>
      <c r="G517" s="1"/>
    </row>
    <row r="518" spans="2:7" x14ac:dyDescent="0.3">
      <c r="B518" s="8"/>
      <c r="C518" s="1"/>
      <c r="D518" s="1"/>
      <c r="E518" s="1"/>
      <c r="F518" s="1"/>
      <c r="G518" s="1"/>
    </row>
    <row r="519" spans="2:7" x14ac:dyDescent="0.3">
      <c r="B519" s="8"/>
      <c r="C519" s="1"/>
      <c r="D519" s="1"/>
      <c r="E519" s="1"/>
      <c r="F519" s="1"/>
      <c r="G519" s="1"/>
    </row>
    <row r="520" spans="2:7" x14ac:dyDescent="0.3">
      <c r="B520" s="8"/>
      <c r="C520" s="1"/>
      <c r="D520" s="1"/>
      <c r="E520" s="1"/>
      <c r="F520" s="1"/>
      <c r="G520" s="1"/>
    </row>
    <row r="521" spans="2:7" x14ac:dyDescent="0.3">
      <c r="B521" s="8"/>
      <c r="C521" s="1"/>
      <c r="D521" s="1"/>
      <c r="E521" s="1"/>
      <c r="F521" s="1"/>
      <c r="G521" s="1"/>
    </row>
    <row r="522" spans="2:7" x14ac:dyDescent="0.3">
      <c r="B522" s="8"/>
      <c r="C522" s="1"/>
      <c r="D522" s="1"/>
      <c r="E522" s="1"/>
      <c r="F522" s="1"/>
      <c r="G522" s="1"/>
    </row>
    <row r="523" spans="2:7" x14ac:dyDescent="0.3">
      <c r="B523" s="8"/>
      <c r="C523" s="1"/>
      <c r="D523" s="1"/>
      <c r="E523" s="1"/>
      <c r="F523" s="1"/>
      <c r="G523" s="1"/>
    </row>
    <row r="524" spans="2:7" x14ac:dyDescent="0.3">
      <c r="B524" s="8"/>
      <c r="C524" s="1"/>
      <c r="D524" s="1"/>
      <c r="E524" s="1"/>
      <c r="F524" s="1"/>
      <c r="G524" s="1"/>
    </row>
    <row r="525" spans="2:7" x14ac:dyDescent="0.3">
      <c r="B525" s="8"/>
      <c r="C525" s="1"/>
      <c r="D525" s="1"/>
      <c r="E525" s="1"/>
      <c r="F525" s="1"/>
      <c r="G525" s="1"/>
    </row>
    <row r="526" spans="2:7" x14ac:dyDescent="0.3">
      <c r="B526" s="8"/>
      <c r="C526" s="1"/>
      <c r="D526" s="1"/>
      <c r="E526" s="1"/>
      <c r="F526" s="1"/>
      <c r="G526" s="1"/>
    </row>
    <row r="527" spans="2:7" x14ac:dyDescent="0.3">
      <c r="B527" s="8"/>
      <c r="C527" s="1"/>
      <c r="D527" s="1"/>
      <c r="E527" s="1"/>
      <c r="F527" s="1"/>
      <c r="G527" s="1"/>
    </row>
    <row r="528" spans="2:7" x14ac:dyDescent="0.3">
      <c r="B528" s="8"/>
      <c r="C528" s="1"/>
      <c r="D528" s="1"/>
      <c r="E528" s="1"/>
      <c r="F528" s="1"/>
      <c r="G528" s="1"/>
    </row>
    <row r="529" spans="2:7" x14ac:dyDescent="0.3">
      <c r="B529" s="8"/>
      <c r="C529" s="1"/>
      <c r="D529" s="1"/>
      <c r="E529" s="1"/>
      <c r="F529" s="1"/>
      <c r="G529" s="1"/>
    </row>
    <row r="530" spans="2:7" x14ac:dyDescent="0.3">
      <c r="B530" s="8"/>
      <c r="C530" s="1"/>
      <c r="D530" s="1"/>
      <c r="E530" s="1"/>
      <c r="F530" s="1"/>
      <c r="G530" s="1"/>
    </row>
    <row r="531" spans="2:7" x14ac:dyDescent="0.3">
      <c r="B531" s="8"/>
      <c r="C531" s="1"/>
      <c r="D531" s="1"/>
      <c r="E531" s="1"/>
      <c r="F531" s="1"/>
      <c r="G531" s="1"/>
    </row>
    <row r="532" spans="2:7" x14ac:dyDescent="0.3">
      <c r="B532" s="8"/>
      <c r="C532" s="1"/>
      <c r="D532" s="1"/>
      <c r="E532" s="1"/>
      <c r="F532" s="1"/>
      <c r="G532" s="1"/>
    </row>
    <row r="533" spans="2:7" x14ac:dyDescent="0.3">
      <c r="B533" s="8"/>
      <c r="C533" s="1"/>
      <c r="D533" s="1"/>
      <c r="E533" s="1"/>
      <c r="F533" s="1"/>
      <c r="G533" s="1"/>
    </row>
    <row r="534" spans="2:7" x14ac:dyDescent="0.3">
      <c r="B534" s="8"/>
      <c r="C534" s="1"/>
      <c r="D534" s="1"/>
      <c r="E534" s="1"/>
      <c r="F534" s="1"/>
      <c r="G534" s="1"/>
    </row>
    <row r="535" spans="2:7" x14ac:dyDescent="0.3">
      <c r="B535" s="8"/>
      <c r="C535" s="1"/>
      <c r="D535" s="1"/>
      <c r="E535" s="1"/>
      <c r="F535" s="1"/>
      <c r="G535" s="1"/>
    </row>
    <row r="536" spans="2:7" x14ac:dyDescent="0.3">
      <c r="B536" s="8"/>
      <c r="C536" s="1"/>
      <c r="D536" s="1"/>
      <c r="E536" s="1"/>
      <c r="F536" s="1"/>
      <c r="G536" s="1"/>
    </row>
    <row r="537" spans="2:7" x14ac:dyDescent="0.3">
      <c r="B537" s="8"/>
      <c r="C537" s="1"/>
      <c r="D537" s="1"/>
      <c r="E537" s="1"/>
      <c r="F537" s="1"/>
      <c r="G537" s="1"/>
    </row>
    <row r="538" spans="2:7" x14ac:dyDescent="0.3">
      <c r="B538" s="8"/>
      <c r="C538" s="1"/>
      <c r="D538" s="1"/>
      <c r="E538" s="1"/>
      <c r="F538" s="1"/>
      <c r="G538" s="1"/>
    </row>
    <row r="539" spans="2:7" x14ac:dyDescent="0.3">
      <c r="B539" s="8"/>
      <c r="C539" s="1"/>
      <c r="D539" s="1"/>
      <c r="E539" s="1"/>
      <c r="F539" s="1"/>
      <c r="G539" s="1"/>
    </row>
    <row r="540" spans="2:7" x14ac:dyDescent="0.3">
      <c r="B540" s="8"/>
      <c r="C540" s="1"/>
      <c r="D540" s="1"/>
      <c r="E540" s="1"/>
      <c r="F540" s="1"/>
      <c r="G540" s="1"/>
    </row>
    <row r="541" spans="2:7" x14ac:dyDescent="0.3">
      <c r="B541" s="8"/>
      <c r="C541" s="1"/>
      <c r="D541" s="1"/>
      <c r="E541" s="1"/>
      <c r="F541" s="1"/>
      <c r="G541" s="1"/>
    </row>
    <row r="542" spans="2:7" x14ac:dyDescent="0.3">
      <c r="B542" s="8"/>
      <c r="C542" s="1"/>
      <c r="D542" s="1"/>
      <c r="E542" s="1"/>
      <c r="F542" s="1"/>
      <c r="G542" s="1"/>
    </row>
    <row r="543" spans="2:7" x14ac:dyDescent="0.3">
      <c r="B543" s="8"/>
      <c r="C543" s="1"/>
      <c r="D543" s="1"/>
      <c r="E543" s="1"/>
      <c r="F543" s="1"/>
      <c r="G543" s="1"/>
    </row>
    <row r="544" spans="2:7" x14ac:dyDescent="0.3">
      <c r="B544" s="8"/>
      <c r="C544" s="1"/>
      <c r="D544" s="1"/>
      <c r="E544" s="1"/>
      <c r="F544" s="1"/>
      <c r="G544" s="1"/>
    </row>
    <row r="545" spans="2:7" x14ac:dyDescent="0.3">
      <c r="B545" s="8"/>
      <c r="C545" s="1"/>
      <c r="D545" s="1"/>
      <c r="E545" s="1"/>
      <c r="F545" s="1"/>
      <c r="G545" s="1"/>
    </row>
    <row r="546" spans="2:7" x14ac:dyDescent="0.3">
      <c r="B546" s="8"/>
      <c r="C546" s="1"/>
      <c r="D546" s="1"/>
      <c r="E546" s="1"/>
      <c r="F546" s="1"/>
      <c r="G546" s="1"/>
    </row>
    <row r="547" spans="2:7" x14ac:dyDescent="0.3">
      <c r="B547" s="8"/>
      <c r="C547" s="1"/>
      <c r="D547" s="1"/>
      <c r="E547" s="1"/>
      <c r="F547" s="1"/>
      <c r="G547" s="1"/>
    </row>
    <row r="548" spans="2:7" x14ac:dyDescent="0.3">
      <c r="B548" s="8"/>
      <c r="C548" s="1"/>
      <c r="D548" s="1"/>
      <c r="E548" s="1"/>
      <c r="F548" s="1"/>
      <c r="G548" s="1"/>
    </row>
    <row r="549" spans="2:7" x14ac:dyDescent="0.3">
      <c r="B549" s="8"/>
      <c r="C549" s="1"/>
      <c r="D549" s="1"/>
      <c r="E549" s="1"/>
      <c r="F549" s="1"/>
      <c r="G549" s="1"/>
    </row>
    <row r="550" spans="2:7" x14ac:dyDescent="0.3">
      <c r="B550" s="8"/>
      <c r="C550" s="1"/>
      <c r="D550" s="1"/>
      <c r="E550" s="1"/>
      <c r="F550" s="1"/>
      <c r="G550" s="1"/>
    </row>
    <row r="551" spans="2:7" x14ac:dyDescent="0.3">
      <c r="B551" s="8"/>
      <c r="C551" s="1"/>
      <c r="D551" s="1"/>
      <c r="E551" s="1"/>
      <c r="F551" s="1"/>
      <c r="G551" s="1"/>
    </row>
    <row r="552" spans="2:7" x14ac:dyDescent="0.3">
      <c r="B552" s="8"/>
      <c r="C552" s="1"/>
      <c r="D552" s="1"/>
      <c r="E552" s="1"/>
      <c r="F552" s="1"/>
      <c r="G552" s="1"/>
    </row>
    <row r="553" spans="2:7" x14ac:dyDescent="0.3">
      <c r="B553" s="8"/>
      <c r="C553" s="1"/>
      <c r="D553" s="1"/>
      <c r="E553" s="1"/>
      <c r="F553" s="1"/>
      <c r="G553" s="1"/>
    </row>
    <row r="554" spans="2:7" x14ac:dyDescent="0.3">
      <c r="B554" s="8"/>
      <c r="C554" s="1"/>
      <c r="D554" s="1"/>
      <c r="E554" s="1"/>
      <c r="F554" s="1"/>
      <c r="G554" s="1"/>
    </row>
    <row r="555" spans="2:7" x14ac:dyDescent="0.3">
      <c r="B555" s="8"/>
      <c r="C555" s="1"/>
      <c r="D555" s="1"/>
      <c r="E555" s="1"/>
      <c r="F555" s="1"/>
      <c r="G555" s="1"/>
    </row>
    <row r="556" spans="2:7" x14ac:dyDescent="0.3">
      <c r="B556" s="8"/>
      <c r="C556" s="1"/>
      <c r="D556" s="1"/>
      <c r="E556" s="1"/>
      <c r="F556" s="1"/>
      <c r="G556" s="1"/>
    </row>
    <row r="557" spans="2:7" x14ac:dyDescent="0.3">
      <c r="B557" s="8"/>
      <c r="C557" s="1"/>
      <c r="D557" s="1"/>
      <c r="E557" s="1"/>
      <c r="F557" s="1"/>
      <c r="G557" s="1"/>
    </row>
    <row r="558" spans="2:7" x14ac:dyDescent="0.3">
      <c r="B558" s="8"/>
      <c r="C558" s="1"/>
      <c r="D558" s="1"/>
      <c r="E558" s="1"/>
      <c r="F558" s="1"/>
      <c r="G558" s="1"/>
    </row>
    <row r="559" spans="2:7" x14ac:dyDescent="0.3">
      <c r="B559" s="8"/>
      <c r="C559" s="1"/>
      <c r="D559" s="1"/>
      <c r="E559" s="1"/>
      <c r="F559" s="1"/>
      <c r="G559" s="1"/>
    </row>
    <row r="560" spans="2:7" x14ac:dyDescent="0.3">
      <c r="B560" s="8"/>
      <c r="C560" s="1"/>
      <c r="D560" s="1"/>
      <c r="E560" s="1"/>
      <c r="F560" s="1"/>
      <c r="G560" s="1"/>
    </row>
    <row r="561" spans="2:7" x14ac:dyDescent="0.3">
      <c r="B561" s="8"/>
      <c r="C561" s="1"/>
      <c r="D561" s="1"/>
      <c r="E561" s="1"/>
      <c r="F561" s="1"/>
      <c r="G561" s="1"/>
    </row>
    <row r="562" spans="2:7" x14ac:dyDescent="0.3">
      <c r="B562" s="8"/>
      <c r="C562" s="1"/>
      <c r="D562" s="1"/>
      <c r="E562" s="1"/>
      <c r="F562" s="1"/>
      <c r="G562" s="1"/>
    </row>
    <row r="563" spans="2:7" x14ac:dyDescent="0.3">
      <c r="B563" s="8"/>
      <c r="C563" s="1"/>
      <c r="D563" s="1"/>
      <c r="E563" s="1"/>
      <c r="F563" s="1"/>
      <c r="G563" s="1"/>
    </row>
    <row r="564" spans="2:7" x14ac:dyDescent="0.3">
      <c r="B564" s="8"/>
      <c r="C564" s="1"/>
      <c r="D564" s="1"/>
      <c r="E564" s="1"/>
      <c r="F564" s="1"/>
      <c r="G564" s="1"/>
    </row>
    <row r="565" spans="2:7" x14ac:dyDescent="0.3">
      <c r="B565" s="8"/>
      <c r="C565" s="1"/>
      <c r="D565" s="1"/>
      <c r="E565" s="1"/>
      <c r="F565" s="1"/>
      <c r="G565" s="1"/>
    </row>
    <row r="566" spans="2:7" x14ac:dyDescent="0.3">
      <c r="B566" s="8"/>
      <c r="C566" s="1"/>
      <c r="D566" s="1"/>
      <c r="E566" s="1"/>
      <c r="F566" s="1"/>
      <c r="G566" s="1"/>
    </row>
    <row r="567" spans="2:7" x14ac:dyDescent="0.3">
      <c r="B567" s="8"/>
      <c r="C567" s="1"/>
      <c r="D567" s="1"/>
      <c r="E567" s="1"/>
      <c r="F567" s="1"/>
      <c r="G567" s="1"/>
    </row>
    <row r="568" spans="2:7" x14ac:dyDescent="0.3">
      <c r="B568" s="8"/>
      <c r="C568" s="1"/>
      <c r="D568" s="1"/>
      <c r="E568" s="1"/>
      <c r="F568" s="1"/>
      <c r="G568" s="1"/>
    </row>
    <row r="569" spans="2:7" x14ac:dyDescent="0.3">
      <c r="B569" s="8"/>
      <c r="C569" s="1"/>
      <c r="D569" s="1"/>
      <c r="E569" s="1"/>
      <c r="F569" s="1"/>
      <c r="G569" s="1"/>
    </row>
    <row r="570" spans="2:7" x14ac:dyDescent="0.3">
      <c r="B570" s="8"/>
      <c r="C570" s="1"/>
      <c r="D570" s="1"/>
      <c r="E570" s="1"/>
      <c r="F570" s="1"/>
      <c r="G570" s="1"/>
    </row>
    <row r="571" spans="2:7" x14ac:dyDescent="0.3">
      <c r="B571" s="8"/>
      <c r="C571" s="1"/>
      <c r="D571" s="1"/>
      <c r="E571" s="1"/>
      <c r="F571" s="1"/>
      <c r="G571" s="1"/>
    </row>
    <row r="572" spans="2:7" x14ac:dyDescent="0.3">
      <c r="B572" s="8"/>
      <c r="C572" s="1"/>
      <c r="D572" s="1"/>
      <c r="E572" s="1"/>
      <c r="F572" s="1"/>
      <c r="G572" s="1"/>
    </row>
    <row r="573" spans="2:7" x14ac:dyDescent="0.3">
      <c r="B573" s="8"/>
      <c r="C573" s="1"/>
      <c r="D573" s="1"/>
      <c r="E573" s="1"/>
      <c r="F573" s="1"/>
      <c r="G573" s="1"/>
    </row>
    <row r="574" spans="2:7" x14ac:dyDescent="0.3">
      <c r="B574" s="8"/>
      <c r="C574" s="1"/>
      <c r="D574" s="1"/>
      <c r="E574" s="1"/>
      <c r="F574" s="1"/>
      <c r="G574" s="1"/>
    </row>
    <row r="575" spans="2:7" x14ac:dyDescent="0.3">
      <c r="B575" s="8"/>
      <c r="C575" s="1"/>
      <c r="D575" s="1"/>
      <c r="E575" s="1"/>
      <c r="F575" s="1"/>
      <c r="G575" s="1"/>
    </row>
    <row r="576" spans="2:7" x14ac:dyDescent="0.3">
      <c r="B576" s="8"/>
      <c r="C576" s="1"/>
      <c r="D576" s="1"/>
      <c r="E576" s="1"/>
      <c r="F576" s="1"/>
      <c r="G576" s="1"/>
    </row>
    <row r="577" spans="2:7" x14ac:dyDescent="0.3">
      <c r="B577" s="8"/>
      <c r="C577" s="1"/>
      <c r="D577" s="1"/>
      <c r="E577" s="1"/>
      <c r="F577" s="1"/>
      <c r="G577" s="1"/>
    </row>
    <row r="578" spans="2:7" x14ac:dyDescent="0.3">
      <c r="B578" s="8"/>
      <c r="C578" s="1"/>
      <c r="D578" s="1"/>
      <c r="E578" s="1"/>
      <c r="F578" s="1"/>
      <c r="G578" s="1"/>
    </row>
    <row r="579" spans="2:7" x14ac:dyDescent="0.3">
      <c r="B579" s="8"/>
      <c r="C579" s="1"/>
      <c r="D579" s="1"/>
      <c r="E579" s="1"/>
      <c r="F579" s="1"/>
      <c r="G579" s="1"/>
    </row>
    <row r="580" spans="2:7" x14ac:dyDescent="0.3">
      <c r="B580" s="8"/>
      <c r="C580" s="1"/>
      <c r="D580" s="1"/>
      <c r="E580" s="1"/>
      <c r="F580" s="1"/>
      <c r="G580" s="1"/>
    </row>
    <row r="581" spans="2:7" x14ac:dyDescent="0.3">
      <c r="B581" s="8"/>
      <c r="C581" s="1"/>
      <c r="D581" s="1"/>
      <c r="E581" s="1"/>
      <c r="F581" s="1"/>
      <c r="G581" s="1"/>
    </row>
    <row r="582" spans="2:7" x14ac:dyDescent="0.3">
      <c r="B582" s="8"/>
      <c r="C582" s="1"/>
      <c r="D582" s="1"/>
      <c r="E582" s="1"/>
      <c r="F582" s="1"/>
      <c r="G582" s="1"/>
    </row>
    <row r="583" spans="2:7" x14ac:dyDescent="0.3">
      <c r="B583" s="8"/>
      <c r="C583" s="1"/>
      <c r="D583" s="1"/>
      <c r="E583" s="1"/>
      <c r="F583" s="1"/>
      <c r="G583" s="1"/>
    </row>
    <row r="584" spans="2:7" x14ac:dyDescent="0.3">
      <c r="B584" s="8"/>
      <c r="C584" s="1"/>
      <c r="D584" s="1"/>
      <c r="E584" s="1"/>
      <c r="F584" s="1"/>
      <c r="G584" s="1"/>
    </row>
    <row r="585" spans="2:7" x14ac:dyDescent="0.3">
      <c r="B585" s="8"/>
      <c r="C585" s="1"/>
      <c r="D585" s="1"/>
      <c r="E585" s="1"/>
      <c r="F585" s="1"/>
      <c r="G585" s="1"/>
    </row>
    <row r="586" spans="2:7" x14ac:dyDescent="0.3">
      <c r="B586" s="8"/>
      <c r="C586" s="1"/>
      <c r="D586" s="1"/>
      <c r="E586" s="1"/>
      <c r="F586" s="1"/>
      <c r="G586" s="1"/>
    </row>
    <row r="587" spans="2:7" x14ac:dyDescent="0.3">
      <c r="B587" s="8"/>
      <c r="C587" s="1"/>
      <c r="D587" s="1"/>
      <c r="E587" s="1"/>
      <c r="F587" s="1"/>
      <c r="G587" s="1"/>
    </row>
    <row r="588" spans="2:7" x14ac:dyDescent="0.3">
      <c r="B588" s="8"/>
      <c r="C588" s="1"/>
      <c r="D588" s="1"/>
      <c r="E588" s="1"/>
      <c r="F588" s="1"/>
      <c r="G588" s="1"/>
    </row>
    <row r="589" spans="2:7" x14ac:dyDescent="0.3">
      <c r="B589" s="8"/>
      <c r="C589" s="1"/>
      <c r="D589" s="1"/>
      <c r="E589" s="1"/>
      <c r="F589" s="1"/>
      <c r="G589" s="1"/>
    </row>
    <row r="590" spans="2:7" x14ac:dyDescent="0.3">
      <c r="B590" s="8"/>
      <c r="C590" s="1"/>
      <c r="D590" s="1"/>
      <c r="E590" s="1"/>
      <c r="F590" s="1"/>
      <c r="G590" s="1"/>
    </row>
    <row r="591" spans="2:7" x14ac:dyDescent="0.3">
      <c r="B591" s="8"/>
      <c r="C591" s="1"/>
      <c r="D591" s="1"/>
      <c r="E591" s="1"/>
      <c r="F591" s="1"/>
      <c r="G591" s="1"/>
    </row>
    <row r="592" spans="2:7" x14ac:dyDescent="0.3">
      <c r="B592" s="8"/>
      <c r="C592" s="1"/>
      <c r="D592" s="1"/>
      <c r="E592" s="1"/>
      <c r="F592" s="1"/>
      <c r="G592" s="1"/>
    </row>
    <row r="593" spans="2:7" x14ac:dyDescent="0.3">
      <c r="B593" s="8"/>
      <c r="C593" s="1"/>
      <c r="D593" s="1"/>
      <c r="E593" s="1"/>
      <c r="F593" s="1"/>
      <c r="G593" s="1"/>
    </row>
    <row r="594" spans="2:7" x14ac:dyDescent="0.3">
      <c r="B594" s="8"/>
      <c r="C594" s="1"/>
      <c r="D594" s="1"/>
      <c r="E594" s="1"/>
      <c r="F594" s="1"/>
      <c r="G594" s="1"/>
    </row>
    <row r="595" spans="2:7" x14ac:dyDescent="0.3">
      <c r="B595" s="8"/>
      <c r="C595" s="1"/>
      <c r="D595" s="1"/>
      <c r="E595" s="1"/>
      <c r="F595" s="1"/>
      <c r="G595" s="1"/>
    </row>
    <row r="596" spans="2:7" x14ac:dyDescent="0.3">
      <c r="B596" s="8"/>
      <c r="C596" s="1"/>
      <c r="D596" s="1"/>
      <c r="E596" s="1"/>
      <c r="F596" s="1"/>
      <c r="G596" s="1"/>
    </row>
    <row r="597" spans="2:7" x14ac:dyDescent="0.3">
      <c r="B597" s="8"/>
      <c r="C597" s="1"/>
      <c r="D597" s="1"/>
      <c r="E597" s="1"/>
      <c r="F597" s="1"/>
      <c r="G597" s="1"/>
    </row>
    <row r="598" spans="2:7" x14ac:dyDescent="0.3">
      <c r="B598" s="8"/>
      <c r="C598" s="1"/>
      <c r="D598" s="1"/>
      <c r="E598" s="1"/>
      <c r="F598" s="1"/>
      <c r="G598" s="1"/>
    </row>
    <row r="599" spans="2:7" x14ac:dyDescent="0.3">
      <c r="B599" s="8"/>
      <c r="C599" s="1"/>
      <c r="D599" s="1"/>
      <c r="E599" s="1"/>
      <c r="F599" s="1"/>
      <c r="G599" s="1"/>
    </row>
    <row r="600" spans="2:7" x14ac:dyDescent="0.3">
      <c r="B600" s="8"/>
      <c r="C600" s="1"/>
      <c r="D600" s="1"/>
      <c r="E600" s="1"/>
      <c r="F600" s="1"/>
      <c r="G600" s="1"/>
    </row>
    <row r="601" spans="2:7" x14ac:dyDescent="0.3">
      <c r="B601" s="8"/>
      <c r="C601" s="1"/>
      <c r="D601" s="1"/>
      <c r="E601" s="1"/>
      <c r="F601" s="1"/>
      <c r="G601" s="1"/>
    </row>
    <row r="602" spans="2:7" x14ac:dyDescent="0.3">
      <c r="B602" s="8"/>
      <c r="C602" s="1"/>
      <c r="D602" s="1"/>
      <c r="E602" s="1"/>
      <c r="F602" s="1"/>
      <c r="G602" s="1"/>
    </row>
    <row r="603" spans="2:7" x14ac:dyDescent="0.3">
      <c r="B603" s="8"/>
      <c r="C603" s="1"/>
      <c r="D603" s="1"/>
      <c r="E603" s="1"/>
      <c r="F603" s="1"/>
      <c r="G603" s="1"/>
    </row>
    <row r="604" spans="2:7" x14ac:dyDescent="0.3">
      <c r="B604" s="8"/>
      <c r="C604" s="1"/>
      <c r="D604" s="1"/>
      <c r="E604" s="1"/>
      <c r="F604" s="1"/>
      <c r="G604" s="1"/>
    </row>
    <row r="605" spans="2:7" x14ac:dyDescent="0.3">
      <c r="B605" s="8"/>
      <c r="C605" s="1"/>
      <c r="D605" s="1"/>
      <c r="E605" s="1"/>
      <c r="F605" s="1"/>
      <c r="G605" s="1"/>
    </row>
    <row r="606" spans="2:7" x14ac:dyDescent="0.3">
      <c r="B606" s="8"/>
      <c r="C606" s="1"/>
      <c r="D606" s="1"/>
      <c r="E606" s="1"/>
      <c r="F606" s="1"/>
      <c r="G606" s="1"/>
    </row>
    <row r="607" spans="2:7" x14ac:dyDescent="0.3">
      <c r="B607" s="8"/>
      <c r="C607" s="1"/>
      <c r="D607" s="1"/>
      <c r="E607" s="1"/>
      <c r="F607" s="1"/>
      <c r="G607" s="1"/>
    </row>
    <row r="608" spans="2:7" x14ac:dyDescent="0.3">
      <c r="B608" s="8"/>
      <c r="C608" s="1"/>
      <c r="D608" s="1"/>
      <c r="E608" s="1"/>
      <c r="F608" s="1"/>
      <c r="G608" s="1"/>
    </row>
    <row r="609" spans="2:7" x14ac:dyDescent="0.3">
      <c r="B609" s="8"/>
      <c r="C609" s="1"/>
      <c r="D609" s="1"/>
      <c r="E609" s="1"/>
      <c r="F609" s="1"/>
      <c r="G609" s="1"/>
    </row>
    <row r="610" spans="2:7" x14ac:dyDescent="0.3">
      <c r="B610" s="8"/>
      <c r="C610" s="1"/>
      <c r="D610" s="1"/>
      <c r="E610" s="1"/>
      <c r="F610" s="1"/>
      <c r="G610" s="1"/>
    </row>
    <row r="611" spans="2:7" x14ac:dyDescent="0.3">
      <c r="B611" s="8"/>
      <c r="C611" s="1"/>
      <c r="D611" s="1"/>
      <c r="E611" s="1"/>
      <c r="F611" s="1"/>
      <c r="G611" s="1"/>
    </row>
    <row r="612" spans="2:7" x14ac:dyDescent="0.3">
      <c r="B612" s="8"/>
      <c r="C612" s="1"/>
      <c r="D612" s="1"/>
      <c r="E612" s="1"/>
      <c r="F612" s="1"/>
      <c r="G612" s="1"/>
    </row>
    <row r="613" spans="2:7" x14ac:dyDescent="0.3">
      <c r="B613" s="8"/>
      <c r="C613" s="1"/>
      <c r="D613" s="1"/>
      <c r="E613" s="1"/>
      <c r="F613" s="1"/>
      <c r="G613" s="1"/>
    </row>
    <row r="614" spans="2:7" x14ac:dyDescent="0.3">
      <c r="B614" s="8"/>
      <c r="C614" s="1"/>
      <c r="D614" s="1"/>
      <c r="E614" s="1"/>
      <c r="F614" s="1"/>
      <c r="G614" s="1"/>
    </row>
    <row r="615" spans="2:7" x14ac:dyDescent="0.3">
      <c r="B615" s="8"/>
      <c r="C615" s="1"/>
      <c r="D615" s="1"/>
      <c r="E615" s="1"/>
      <c r="F615" s="1"/>
      <c r="G615" s="1"/>
    </row>
    <row r="616" spans="2:7" x14ac:dyDescent="0.3">
      <c r="B616" s="8"/>
      <c r="C616" s="1"/>
      <c r="D616" s="1"/>
      <c r="E616" s="1"/>
      <c r="F616" s="1"/>
      <c r="G616" s="1"/>
    </row>
    <row r="617" spans="2:7" x14ac:dyDescent="0.3">
      <c r="B617" s="8"/>
      <c r="C617" s="1"/>
      <c r="D617" s="1"/>
      <c r="E617" s="1"/>
      <c r="F617" s="1"/>
      <c r="G617" s="1"/>
    </row>
    <row r="618" spans="2:7" x14ac:dyDescent="0.3">
      <c r="B618" s="8"/>
      <c r="C618" s="1"/>
      <c r="D618" s="1"/>
      <c r="E618" s="1"/>
      <c r="F618" s="1"/>
      <c r="G618" s="1"/>
    </row>
    <row r="619" spans="2:7" x14ac:dyDescent="0.3">
      <c r="B619" s="8"/>
      <c r="C619" s="1"/>
      <c r="D619" s="1"/>
      <c r="E619" s="1"/>
      <c r="F619" s="1"/>
      <c r="G619" s="1"/>
    </row>
    <row r="620" spans="2:7" x14ac:dyDescent="0.3">
      <c r="B620" s="8"/>
      <c r="C620" s="1"/>
      <c r="D620" s="1"/>
      <c r="E620" s="1"/>
      <c r="F620" s="1"/>
      <c r="G620" s="1"/>
    </row>
    <row r="621" spans="2:7" x14ac:dyDescent="0.3">
      <c r="B621" s="8"/>
      <c r="C621" s="1"/>
      <c r="D621" s="1"/>
      <c r="E621" s="1"/>
      <c r="F621" s="1"/>
      <c r="G621" s="1"/>
    </row>
    <row r="622" spans="2:7" x14ac:dyDescent="0.3">
      <c r="B622" s="8"/>
      <c r="C622" s="1"/>
      <c r="D622" s="1"/>
      <c r="E622" s="1"/>
      <c r="F622" s="1"/>
      <c r="G622" s="1"/>
    </row>
    <row r="623" spans="2:7" x14ac:dyDescent="0.3">
      <c r="B623" s="8"/>
      <c r="C623" s="1"/>
      <c r="D623" s="1"/>
      <c r="E623" s="1"/>
      <c r="F623" s="1"/>
      <c r="G623" s="1"/>
    </row>
    <row r="624" spans="2:7" x14ac:dyDescent="0.3">
      <c r="B624" s="8"/>
      <c r="C624" s="1"/>
      <c r="D624" s="1"/>
      <c r="E624" s="1"/>
      <c r="F624" s="1"/>
      <c r="G624" s="1"/>
    </row>
    <row r="625" spans="2:7" x14ac:dyDescent="0.3">
      <c r="B625" s="8"/>
      <c r="C625" s="1"/>
      <c r="D625" s="1"/>
      <c r="E625" s="1"/>
      <c r="F625" s="1"/>
      <c r="G625" s="1"/>
    </row>
    <row r="626" spans="2:7" x14ac:dyDescent="0.3">
      <c r="B626" s="8"/>
      <c r="C626" s="1"/>
      <c r="D626" s="1"/>
      <c r="E626" s="1"/>
      <c r="F626" s="1"/>
      <c r="G626" s="1"/>
    </row>
    <row r="627" spans="2:7" x14ac:dyDescent="0.3">
      <c r="B627" s="8"/>
      <c r="C627" s="1"/>
      <c r="D627" s="1"/>
      <c r="E627" s="1"/>
      <c r="F627" s="1"/>
      <c r="G627" s="1"/>
    </row>
    <row r="628" spans="2:7" x14ac:dyDescent="0.3">
      <c r="B628" s="8"/>
      <c r="C628" s="1"/>
      <c r="D628" s="1"/>
      <c r="E628" s="1"/>
      <c r="F628" s="1"/>
      <c r="G628" s="1"/>
    </row>
    <row r="629" spans="2:7" x14ac:dyDescent="0.3">
      <c r="B629" s="8"/>
      <c r="C629" s="1"/>
      <c r="D629" s="1"/>
      <c r="E629" s="1"/>
      <c r="F629" s="1"/>
      <c r="G629" s="1"/>
    </row>
    <row r="630" spans="2:7" x14ac:dyDescent="0.3">
      <c r="B630" s="8"/>
      <c r="C630" s="1"/>
      <c r="D630" s="1"/>
      <c r="E630" s="1"/>
      <c r="F630" s="1"/>
      <c r="G630" s="1"/>
    </row>
    <row r="631" spans="2:7" x14ac:dyDescent="0.3">
      <c r="B631" s="8"/>
      <c r="C631" s="1"/>
      <c r="D631" s="1"/>
      <c r="E631" s="1"/>
      <c r="F631" s="1"/>
      <c r="G631" s="1"/>
    </row>
    <row r="632" spans="2:7" x14ac:dyDescent="0.3">
      <c r="B632" s="8"/>
      <c r="C632" s="1"/>
      <c r="D632" s="1"/>
      <c r="E632" s="1"/>
      <c r="F632" s="1"/>
      <c r="G632" s="1"/>
    </row>
    <row r="633" spans="2:7" x14ac:dyDescent="0.3">
      <c r="B633" s="8"/>
      <c r="C633" s="1"/>
      <c r="D633" s="1"/>
      <c r="E633" s="1"/>
      <c r="F633" s="1"/>
      <c r="G633" s="1"/>
    </row>
    <row r="634" spans="2:7" x14ac:dyDescent="0.3">
      <c r="B634" s="8"/>
      <c r="C634" s="1"/>
      <c r="D634" s="1"/>
      <c r="E634" s="1"/>
      <c r="F634" s="1"/>
      <c r="G634" s="1"/>
    </row>
    <row r="635" spans="2:7" x14ac:dyDescent="0.3">
      <c r="B635" s="8"/>
      <c r="C635" s="1"/>
      <c r="D635" s="1"/>
      <c r="E635" s="1"/>
      <c r="F635" s="1"/>
      <c r="G635" s="1"/>
    </row>
    <row r="636" spans="2:7" x14ac:dyDescent="0.3">
      <c r="B636" s="8"/>
      <c r="C636" s="1"/>
      <c r="D636" s="1"/>
      <c r="E636" s="1"/>
      <c r="F636" s="1"/>
      <c r="G636" s="1"/>
    </row>
    <row r="637" spans="2:7" x14ac:dyDescent="0.3">
      <c r="B637" s="8"/>
      <c r="C637" s="1"/>
      <c r="D637" s="1"/>
      <c r="E637" s="1"/>
      <c r="F637" s="1"/>
      <c r="G637" s="1"/>
    </row>
    <row r="638" spans="2:7" x14ac:dyDescent="0.3">
      <c r="B638" s="8"/>
      <c r="C638" s="1"/>
      <c r="D638" s="1"/>
      <c r="E638" s="1"/>
      <c r="F638" s="1"/>
      <c r="G638" s="1"/>
    </row>
    <row r="639" spans="2:7" x14ac:dyDescent="0.3">
      <c r="B639" s="8"/>
      <c r="C639" s="1"/>
      <c r="D639" s="1"/>
      <c r="E639" s="1"/>
      <c r="F639" s="1"/>
      <c r="G639" s="1"/>
    </row>
    <row r="640" spans="2:7" x14ac:dyDescent="0.3">
      <c r="B640" s="8"/>
      <c r="C640" s="1"/>
      <c r="D640" s="1"/>
      <c r="E640" s="1"/>
      <c r="F640" s="1"/>
      <c r="G640" s="1"/>
    </row>
    <row r="641" spans="2:7" x14ac:dyDescent="0.3">
      <c r="B641" s="8"/>
      <c r="C641" s="1"/>
      <c r="D641" s="1"/>
      <c r="E641" s="1"/>
      <c r="F641" s="1"/>
      <c r="G641" s="1"/>
    </row>
    <row r="642" spans="2:7" x14ac:dyDescent="0.3">
      <c r="B642" s="8"/>
      <c r="C642" s="1"/>
      <c r="D642" s="1"/>
      <c r="E642" s="1"/>
      <c r="F642" s="1"/>
      <c r="G642" s="1"/>
    </row>
    <row r="643" spans="2:7" x14ac:dyDescent="0.3">
      <c r="B643" s="8"/>
      <c r="C643" s="1"/>
      <c r="D643" s="1"/>
      <c r="E643" s="1"/>
      <c r="F643" s="1"/>
      <c r="G643" s="1"/>
    </row>
    <row r="644" spans="2:7" x14ac:dyDescent="0.3">
      <c r="B644" s="8"/>
      <c r="C644" s="1"/>
      <c r="D644" s="1"/>
      <c r="E644" s="1"/>
      <c r="F644" s="1"/>
      <c r="G644" s="1"/>
    </row>
    <row r="645" spans="2:7" x14ac:dyDescent="0.3">
      <c r="B645" s="8"/>
      <c r="C645" s="1"/>
      <c r="D645" s="1"/>
      <c r="E645" s="1"/>
      <c r="F645" s="1"/>
      <c r="G645" s="1"/>
    </row>
    <row r="646" spans="2:7" x14ac:dyDescent="0.3">
      <c r="B646" s="8"/>
      <c r="C646" s="1"/>
      <c r="D646" s="1"/>
      <c r="E646" s="1"/>
      <c r="F646" s="1"/>
      <c r="G646" s="1"/>
    </row>
    <row r="647" spans="2:7" x14ac:dyDescent="0.3">
      <c r="B647" s="8"/>
      <c r="C647" s="1"/>
      <c r="D647" s="1"/>
      <c r="E647" s="1"/>
      <c r="F647" s="1"/>
      <c r="G647" s="1"/>
    </row>
    <row r="648" spans="2:7" x14ac:dyDescent="0.3">
      <c r="B648" s="8"/>
      <c r="C648" s="1"/>
      <c r="D648" s="1"/>
      <c r="E648" s="1"/>
      <c r="F648" s="1"/>
      <c r="G648" s="1"/>
    </row>
    <row r="649" spans="2:7" x14ac:dyDescent="0.3">
      <c r="B649" s="8"/>
      <c r="C649" s="1"/>
      <c r="D649" s="1"/>
      <c r="E649" s="1"/>
      <c r="F649" s="1"/>
      <c r="G649" s="1"/>
    </row>
    <row r="650" spans="2:7" x14ac:dyDescent="0.3">
      <c r="B650" s="8"/>
      <c r="C650" s="1"/>
      <c r="D650" s="1"/>
      <c r="E650" s="1"/>
      <c r="F650" s="1"/>
      <c r="G650" s="1"/>
    </row>
    <row r="651" spans="2:7" x14ac:dyDescent="0.3">
      <c r="B651" s="8"/>
      <c r="C651" s="1"/>
      <c r="D651" s="1"/>
      <c r="E651" s="1"/>
      <c r="F651" s="1"/>
      <c r="G651" s="1"/>
    </row>
    <row r="652" spans="2:7" x14ac:dyDescent="0.3">
      <c r="B652" s="8"/>
      <c r="C652" s="1"/>
      <c r="D652" s="1"/>
      <c r="E652" s="1"/>
      <c r="F652" s="1"/>
      <c r="G652" s="1"/>
    </row>
    <row r="653" spans="2:7" x14ac:dyDescent="0.3">
      <c r="B653" s="8"/>
      <c r="C653" s="1"/>
      <c r="D653" s="1"/>
      <c r="E653" s="1"/>
      <c r="F653" s="1"/>
      <c r="G653" s="1"/>
    </row>
    <row r="654" spans="2:7" x14ac:dyDescent="0.3">
      <c r="B654" s="8"/>
      <c r="C654" s="1"/>
      <c r="D654" s="1"/>
      <c r="E654" s="1"/>
      <c r="F654" s="1"/>
      <c r="G654" s="1"/>
    </row>
    <row r="655" spans="2:7" x14ac:dyDescent="0.3">
      <c r="B655" s="8"/>
      <c r="C655" s="1"/>
      <c r="D655" s="1"/>
      <c r="E655" s="1"/>
      <c r="F655" s="1"/>
      <c r="G655" s="1"/>
    </row>
    <row r="656" spans="2:7" x14ac:dyDescent="0.3">
      <c r="B656" s="8"/>
      <c r="C656" s="1"/>
      <c r="D656" s="1"/>
      <c r="E656" s="1"/>
      <c r="F656" s="1"/>
      <c r="G656" s="1"/>
    </row>
    <row r="657" spans="2:7" x14ac:dyDescent="0.3">
      <c r="B657" s="8"/>
      <c r="C657" s="1"/>
      <c r="D657" s="1"/>
      <c r="E657" s="1"/>
      <c r="F657" s="1"/>
      <c r="G657" s="1"/>
    </row>
    <row r="658" spans="2:7" x14ac:dyDescent="0.3">
      <c r="B658" s="8"/>
      <c r="C658" s="1"/>
      <c r="D658" s="1"/>
      <c r="E658" s="1"/>
      <c r="F658" s="1"/>
      <c r="G658" s="1"/>
    </row>
    <row r="659" spans="2:7" x14ac:dyDescent="0.3">
      <c r="B659" s="8"/>
      <c r="C659" s="1"/>
      <c r="D659" s="1"/>
      <c r="E659" s="1"/>
      <c r="F659" s="1"/>
      <c r="G659" s="1"/>
    </row>
    <row r="660" spans="2:7" x14ac:dyDescent="0.3">
      <c r="B660" s="8"/>
      <c r="C660" s="1"/>
      <c r="D660" s="1"/>
      <c r="E660" s="1"/>
      <c r="F660" s="1"/>
      <c r="G660" s="1"/>
    </row>
    <row r="661" spans="2:7" x14ac:dyDescent="0.3">
      <c r="B661" s="8"/>
      <c r="C661" s="1"/>
      <c r="D661" s="1"/>
      <c r="E661" s="1"/>
      <c r="F661" s="1"/>
      <c r="G661" s="1"/>
    </row>
    <row r="662" spans="2:7" x14ac:dyDescent="0.3">
      <c r="B662" s="8"/>
      <c r="C662" s="1"/>
      <c r="D662" s="1"/>
      <c r="E662" s="1"/>
      <c r="F662" s="1"/>
      <c r="G662" s="1"/>
    </row>
    <row r="663" spans="2:7" x14ac:dyDescent="0.3">
      <c r="B663" s="8"/>
      <c r="C663" s="1"/>
      <c r="D663" s="1"/>
      <c r="E663" s="1"/>
      <c r="F663" s="1"/>
      <c r="G663" s="1"/>
    </row>
    <row r="664" spans="2:7" x14ac:dyDescent="0.3">
      <c r="B664" s="8"/>
      <c r="C664" s="1"/>
      <c r="D664" s="1"/>
      <c r="E664" s="1"/>
      <c r="F664" s="1"/>
      <c r="G664" s="1"/>
    </row>
    <row r="665" spans="2:7" x14ac:dyDescent="0.3">
      <c r="B665" s="8"/>
      <c r="C665" s="1"/>
      <c r="D665" s="1"/>
      <c r="E665" s="1"/>
      <c r="F665" s="1"/>
      <c r="G665" s="1"/>
    </row>
    <row r="666" spans="2:7" x14ac:dyDescent="0.3">
      <c r="B666" s="8"/>
      <c r="C666" s="1"/>
      <c r="D666" s="1"/>
      <c r="E666" s="1"/>
      <c r="F666" s="1"/>
      <c r="G666" s="1"/>
    </row>
    <row r="667" spans="2:7" x14ac:dyDescent="0.3">
      <c r="B667" s="8"/>
      <c r="C667" s="1"/>
      <c r="D667" s="1"/>
      <c r="E667" s="1"/>
      <c r="F667" s="1"/>
      <c r="G667" s="1"/>
    </row>
    <row r="668" spans="2:7" x14ac:dyDescent="0.3">
      <c r="B668" s="8"/>
      <c r="C668" s="1"/>
      <c r="D668" s="1"/>
      <c r="E668" s="1"/>
      <c r="F668" s="1"/>
      <c r="G668" s="1"/>
    </row>
    <row r="669" spans="2:7" x14ac:dyDescent="0.3">
      <c r="B669" s="8"/>
      <c r="C669" s="1"/>
      <c r="D669" s="1"/>
      <c r="E669" s="1"/>
      <c r="F669" s="1"/>
      <c r="G669" s="1"/>
    </row>
    <row r="670" spans="2:7" x14ac:dyDescent="0.3">
      <c r="B670" s="8"/>
      <c r="C670" s="1"/>
      <c r="D670" s="1"/>
      <c r="E670" s="1"/>
      <c r="F670" s="1"/>
      <c r="G670" s="1"/>
    </row>
    <row r="671" spans="2:7" x14ac:dyDescent="0.3">
      <c r="B671" s="8"/>
      <c r="C671" s="1"/>
      <c r="D671" s="1"/>
      <c r="E671" s="1"/>
      <c r="F671" s="1"/>
      <c r="G671" s="1"/>
    </row>
    <row r="672" spans="2:7" x14ac:dyDescent="0.3">
      <c r="B672" s="8"/>
      <c r="C672" s="1"/>
      <c r="D672" s="1"/>
      <c r="E672" s="1"/>
      <c r="F672" s="1"/>
      <c r="G672" s="1"/>
    </row>
    <row r="673" spans="2:7" x14ac:dyDescent="0.3">
      <c r="B673" s="8"/>
      <c r="C673" s="1"/>
      <c r="D673" s="1"/>
      <c r="E673" s="1"/>
      <c r="F673" s="1"/>
      <c r="G673" s="1"/>
    </row>
    <row r="674" spans="2:7" x14ac:dyDescent="0.3">
      <c r="B674" s="8"/>
      <c r="C674" s="1"/>
      <c r="D674" s="1"/>
      <c r="E674" s="1"/>
      <c r="F674" s="1"/>
      <c r="G674" s="1"/>
    </row>
    <row r="675" spans="2:7" x14ac:dyDescent="0.3">
      <c r="B675" s="8"/>
      <c r="C675" s="1"/>
      <c r="D675" s="1"/>
      <c r="E675" s="1"/>
      <c r="F675" s="1"/>
      <c r="G675" s="1"/>
    </row>
    <row r="676" spans="2:7" x14ac:dyDescent="0.3">
      <c r="B676" s="8"/>
      <c r="C676" s="1"/>
      <c r="D676" s="1"/>
      <c r="E676" s="1"/>
      <c r="F676" s="1"/>
      <c r="G676" s="1"/>
    </row>
    <row r="677" spans="2:7" x14ac:dyDescent="0.3">
      <c r="B677" s="8"/>
      <c r="C677" s="1"/>
      <c r="D677" s="1"/>
      <c r="E677" s="1"/>
      <c r="F677" s="1"/>
      <c r="G677" s="1"/>
    </row>
    <row r="678" spans="2:7" x14ac:dyDescent="0.3">
      <c r="B678" s="8"/>
      <c r="C678" s="1"/>
      <c r="D678" s="1"/>
      <c r="E678" s="1"/>
      <c r="F678" s="1"/>
      <c r="G678" s="1"/>
    </row>
    <row r="679" spans="2:7" x14ac:dyDescent="0.3">
      <c r="B679" s="8"/>
      <c r="C679" s="1"/>
      <c r="D679" s="1"/>
      <c r="E679" s="1"/>
      <c r="F679" s="1"/>
      <c r="G679" s="1"/>
    </row>
    <row r="680" spans="2:7" x14ac:dyDescent="0.3">
      <c r="B680" s="8"/>
      <c r="C680" s="1"/>
      <c r="D680" s="1"/>
      <c r="E680" s="1"/>
      <c r="F680" s="1"/>
      <c r="G680" s="1"/>
    </row>
    <row r="681" spans="2:7" x14ac:dyDescent="0.3">
      <c r="B681" s="8"/>
      <c r="C681" s="1"/>
      <c r="D681" s="1"/>
      <c r="E681" s="1"/>
      <c r="F681" s="1"/>
      <c r="G681" s="1"/>
    </row>
    <row r="682" spans="2:7" x14ac:dyDescent="0.3">
      <c r="B682" s="8"/>
      <c r="C682" s="1"/>
      <c r="D682" s="1"/>
      <c r="E682" s="1"/>
      <c r="F682" s="1"/>
      <c r="G682" s="1"/>
    </row>
    <row r="683" spans="2:7" x14ac:dyDescent="0.3">
      <c r="B683" s="8"/>
      <c r="C683" s="1"/>
      <c r="D683" s="1"/>
      <c r="E683" s="1"/>
      <c r="F683" s="1"/>
      <c r="G683" s="1"/>
    </row>
    <row r="684" spans="2:7" x14ac:dyDescent="0.3">
      <c r="B684" s="8"/>
      <c r="C684" s="1"/>
      <c r="D684" s="1"/>
      <c r="E684" s="1"/>
      <c r="F684" s="1"/>
      <c r="G684" s="1"/>
    </row>
    <row r="685" spans="2:7" x14ac:dyDescent="0.3">
      <c r="B685" s="8"/>
      <c r="C685" s="1"/>
      <c r="D685" s="1"/>
      <c r="E685" s="1"/>
      <c r="F685" s="1"/>
      <c r="G685" s="1"/>
    </row>
    <row r="686" spans="2:7" x14ac:dyDescent="0.3">
      <c r="B686" s="8"/>
      <c r="C686" s="1"/>
      <c r="D686" s="1"/>
      <c r="E686" s="1"/>
      <c r="F686" s="1"/>
      <c r="G686" s="1"/>
    </row>
    <row r="687" spans="2:7" x14ac:dyDescent="0.3">
      <c r="B687" s="8"/>
      <c r="C687" s="1"/>
      <c r="D687" s="1"/>
      <c r="E687" s="1"/>
      <c r="F687" s="1"/>
      <c r="G687" s="1"/>
    </row>
    <row r="688" spans="2:7" x14ac:dyDescent="0.3">
      <c r="B688" s="8"/>
      <c r="C688" s="1"/>
      <c r="D688" s="1"/>
      <c r="E688" s="1"/>
      <c r="F688" s="1"/>
      <c r="G688" s="1"/>
    </row>
    <row r="689" spans="2:7" x14ac:dyDescent="0.3">
      <c r="B689" s="8"/>
      <c r="C689" s="1"/>
      <c r="D689" s="1"/>
      <c r="E689" s="1"/>
      <c r="F689" s="1"/>
      <c r="G689" s="1"/>
    </row>
    <row r="690" spans="2:7" x14ac:dyDescent="0.3">
      <c r="B690" s="8"/>
      <c r="C690" s="1"/>
      <c r="D690" s="1"/>
      <c r="E690" s="1"/>
      <c r="F690" s="1"/>
      <c r="G690" s="1"/>
    </row>
    <row r="691" spans="2:7" x14ac:dyDescent="0.3">
      <c r="B691" s="8"/>
      <c r="C691" s="1"/>
      <c r="D691" s="1"/>
      <c r="E691" s="1"/>
      <c r="F691" s="1"/>
      <c r="G691" s="1"/>
    </row>
    <row r="692" spans="2:7" x14ac:dyDescent="0.3">
      <c r="B692" s="8"/>
      <c r="C692" s="1"/>
      <c r="D692" s="1"/>
      <c r="E692" s="1"/>
      <c r="F692" s="1"/>
      <c r="G692" s="1"/>
    </row>
    <row r="693" spans="2:7" x14ac:dyDescent="0.3">
      <c r="B693" s="8"/>
      <c r="C693" s="1"/>
      <c r="D693" s="1"/>
      <c r="E693" s="1"/>
      <c r="F693" s="1"/>
      <c r="G693" s="1"/>
    </row>
    <row r="694" spans="2:7" x14ac:dyDescent="0.3">
      <c r="B694" s="8"/>
      <c r="C694" s="1"/>
      <c r="D694" s="1"/>
      <c r="E694" s="1"/>
      <c r="F694" s="1"/>
      <c r="G694" s="1"/>
    </row>
    <row r="695" spans="2:7" x14ac:dyDescent="0.3">
      <c r="B695" s="8"/>
      <c r="C695" s="1"/>
      <c r="D695" s="1"/>
      <c r="E695" s="1"/>
      <c r="F695" s="1"/>
      <c r="G695" s="1"/>
    </row>
    <row r="696" spans="2:7" x14ac:dyDescent="0.3">
      <c r="B696" s="8"/>
      <c r="C696" s="1"/>
      <c r="D696" s="1"/>
      <c r="E696" s="1"/>
      <c r="F696" s="1"/>
      <c r="G696" s="1"/>
    </row>
    <row r="697" spans="2:7" x14ac:dyDescent="0.3">
      <c r="B697" s="8"/>
      <c r="C697" s="1"/>
      <c r="D697" s="1"/>
      <c r="E697" s="1"/>
      <c r="F697" s="1"/>
      <c r="G697" s="1"/>
    </row>
    <row r="698" spans="2:7" x14ac:dyDescent="0.3">
      <c r="B698" s="8"/>
      <c r="C698" s="1"/>
      <c r="D698" s="1"/>
      <c r="E698" s="1"/>
      <c r="F698" s="1"/>
      <c r="G698" s="1"/>
    </row>
    <row r="699" spans="2:7" x14ac:dyDescent="0.3">
      <c r="B699" s="8"/>
      <c r="C699" s="1"/>
      <c r="D699" s="1"/>
      <c r="E699" s="1"/>
      <c r="F699" s="1"/>
      <c r="G699" s="1"/>
    </row>
    <row r="700" spans="2:7" x14ac:dyDescent="0.3">
      <c r="B700" s="8"/>
      <c r="C700" s="1"/>
      <c r="D700" s="1"/>
      <c r="E700" s="1"/>
      <c r="F700" s="1"/>
      <c r="G700" s="1"/>
    </row>
    <row r="701" spans="2:7" x14ac:dyDescent="0.3">
      <c r="B701" s="8"/>
      <c r="C701" s="1"/>
      <c r="D701" s="1"/>
      <c r="E701" s="1"/>
      <c r="F701" s="1"/>
      <c r="G701" s="1"/>
    </row>
    <row r="702" spans="2:7" x14ac:dyDescent="0.3">
      <c r="B702" s="8"/>
      <c r="C702" s="1"/>
      <c r="D702" s="1"/>
      <c r="E702" s="1"/>
      <c r="F702" s="1"/>
      <c r="G702" s="1"/>
    </row>
    <row r="703" spans="2:7" x14ac:dyDescent="0.3">
      <c r="B703" s="8"/>
      <c r="C703" s="1"/>
      <c r="D703" s="1"/>
      <c r="E703" s="1"/>
      <c r="F703" s="1"/>
      <c r="G703" s="1"/>
    </row>
    <row r="704" spans="2:7" x14ac:dyDescent="0.3">
      <c r="B704" s="8"/>
      <c r="C704" s="1"/>
      <c r="D704" s="1"/>
      <c r="E704" s="1"/>
      <c r="F704" s="1"/>
      <c r="G704" s="1"/>
    </row>
    <row r="705" spans="2:7" x14ac:dyDescent="0.3">
      <c r="B705" s="8"/>
      <c r="C705" s="1"/>
      <c r="D705" s="1"/>
      <c r="E705" s="1"/>
      <c r="F705" s="1"/>
      <c r="G705" s="1"/>
    </row>
    <row r="706" spans="2:7" x14ac:dyDescent="0.3">
      <c r="B706" s="8"/>
      <c r="C706" s="1"/>
      <c r="D706" s="1"/>
      <c r="E706" s="1"/>
      <c r="F706" s="1"/>
      <c r="G706" s="1"/>
    </row>
    <row r="707" spans="2:7" x14ac:dyDescent="0.3">
      <c r="B707" s="8"/>
      <c r="C707" s="1"/>
      <c r="D707" s="1"/>
      <c r="E707" s="1"/>
      <c r="F707" s="1"/>
      <c r="G707" s="1"/>
    </row>
    <row r="708" spans="2:7" x14ac:dyDescent="0.3">
      <c r="B708" s="8"/>
      <c r="C708" s="1"/>
      <c r="D708" s="1"/>
      <c r="E708" s="1"/>
      <c r="F708" s="1"/>
      <c r="G708" s="1"/>
    </row>
    <row r="709" spans="2:7" x14ac:dyDescent="0.3">
      <c r="B709" s="8"/>
      <c r="C709" s="1"/>
      <c r="D709" s="1"/>
      <c r="E709" s="1"/>
      <c r="F709" s="1"/>
      <c r="G709" s="1"/>
    </row>
    <row r="710" spans="2:7" x14ac:dyDescent="0.3">
      <c r="B710" s="8"/>
      <c r="C710" s="1"/>
      <c r="D710" s="1"/>
      <c r="E710" s="1"/>
      <c r="F710" s="1"/>
      <c r="G710" s="1"/>
    </row>
    <row r="711" spans="2:7" x14ac:dyDescent="0.3">
      <c r="B711" s="8"/>
      <c r="C711" s="1"/>
      <c r="D711" s="1"/>
      <c r="E711" s="1"/>
      <c r="F711" s="1"/>
      <c r="G711" s="1"/>
    </row>
    <row r="712" spans="2:7" x14ac:dyDescent="0.3">
      <c r="B712" s="8"/>
      <c r="C712" s="1"/>
      <c r="D712" s="1"/>
      <c r="E712" s="1"/>
      <c r="F712" s="1"/>
      <c r="G712" s="1"/>
    </row>
    <row r="713" spans="2:7" x14ac:dyDescent="0.3">
      <c r="B713" s="8"/>
      <c r="C713" s="1"/>
      <c r="D713" s="1"/>
      <c r="E713" s="1"/>
      <c r="F713" s="1"/>
      <c r="G713" s="1"/>
    </row>
    <row r="714" spans="2:7" x14ac:dyDescent="0.3">
      <c r="B714" s="8"/>
      <c r="C714" s="1"/>
      <c r="D714" s="1"/>
      <c r="E714" s="1"/>
      <c r="F714" s="1"/>
      <c r="G714" s="1"/>
    </row>
    <row r="715" spans="2:7" x14ac:dyDescent="0.3">
      <c r="B715" s="8"/>
      <c r="C715" s="1"/>
      <c r="D715" s="1"/>
      <c r="E715" s="1"/>
      <c r="F715" s="1"/>
      <c r="G715" s="1"/>
    </row>
    <row r="716" spans="2:7" x14ac:dyDescent="0.3">
      <c r="B716" s="8"/>
      <c r="C716" s="1"/>
      <c r="D716" s="1"/>
      <c r="E716" s="1"/>
      <c r="F716" s="1"/>
      <c r="G716" s="1"/>
    </row>
    <row r="717" spans="2:7" x14ac:dyDescent="0.3">
      <c r="B717" s="8"/>
      <c r="C717" s="1"/>
      <c r="D717" s="1"/>
      <c r="E717" s="1"/>
      <c r="F717" s="1"/>
      <c r="G717" s="1"/>
    </row>
    <row r="718" spans="2:7" x14ac:dyDescent="0.3">
      <c r="B718" s="8"/>
      <c r="C718" s="1"/>
      <c r="D718" s="1"/>
      <c r="E718" s="1"/>
      <c r="F718" s="1"/>
      <c r="G718" s="1"/>
    </row>
    <row r="719" spans="2:7" x14ac:dyDescent="0.3">
      <c r="B719" s="8"/>
      <c r="C719" s="1"/>
      <c r="D719" s="1"/>
      <c r="E719" s="1"/>
      <c r="F719" s="1"/>
      <c r="G719" s="1"/>
    </row>
    <row r="720" spans="2:7" x14ac:dyDescent="0.3">
      <c r="B720" s="8"/>
      <c r="C720" s="1"/>
      <c r="D720" s="1"/>
      <c r="E720" s="1"/>
      <c r="F720" s="1"/>
      <c r="G720" s="1"/>
    </row>
    <row r="721" spans="2:7" x14ac:dyDescent="0.3">
      <c r="B721" s="8"/>
      <c r="C721" s="1"/>
      <c r="D721" s="1"/>
      <c r="E721" s="1"/>
      <c r="F721" s="1"/>
      <c r="G721" s="1"/>
    </row>
    <row r="722" spans="2:7" x14ac:dyDescent="0.3">
      <c r="B722" s="8"/>
      <c r="C722" s="1"/>
      <c r="D722" s="1"/>
      <c r="E722" s="1"/>
      <c r="F722" s="1"/>
      <c r="G722" s="1"/>
    </row>
    <row r="723" spans="2:7" x14ac:dyDescent="0.3">
      <c r="B723" s="8"/>
      <c r="C723" s="1"/>
      <c r="D723" s="1"/>
      <c r="E723" s="1"/>
      <c r="F723" s="1"/>
      <c r="G723" s="1"/>
    </row>
    <row r="724" spans="2:7" x14ac:dyDescent="0.3">
      <c r="B724" s="8"/>
      <c r="C724" s="1"/>
      <c r="D724" s="1"/>
      <c r="E724" s="1"/>
      <c r="F724" s="1"/>
      <c r="G724" s="1"/>
    </row>
    <row r="725" spans="2:7" x14ac:dyDescent="0.3">
      <c r="B725" s="8"/>
      <c r="C725" s="1"/>
      <c r="D725" s="1"/>
      <c r="E725" s="1"/>
      <c r="F725" s="1"/>
      <c r="G725" s="1"/>
    </row>
    <row r="726" spans="2:7" x14ac:dyDescent="0.3">
      <c r="B726" s="8"/>
      <c r="C726" s="1"/>
      <c r="D726" s="1"/>
      <c r="E726" s="1"/>
      <c r="F726" s="1"/>
      <c r="G726" s="1"/>
    </row>
    <row r="727" spans="2:7" x14ac:dyDescent="0.3">
      <c r="B727" s="8"/>
      <c r="C727" s="1"/>
      <c r="D727" s="1"/>
      <c r="E727" s="1"/>
      <c r="F727" s="1"/>
      <c r="G727" s="1"/>
    </row>
    <row r="728" spans="2:7" x14ac:dyDescent="0.3">
      <c r="B728" s="8"/>
      <c r="C728" s="1"/>
      <c r="D728" s="1"/>
      <c r="E728" s="1"/>
      <c r="F728" s="1"/>
      <c r="G728" s="1"/>
    </row>
    <row r="729" spans="2:7" x14ac:dyDescent="0.3">
      <c r="B729" s="8"/>
      <c r="C729" s="1"/>
      <c r="D729" s="1"/>
      <c r="E729" s="1"/>
      <c r="F729" s="1"/>
      <c r="G729" s="1"/>
    </row>
    <row r="730" spans="2:7" x14ac:dyDescent="0.3">
      <c r="B730" s="8"/>
      <c r="C730" s="1"/>
      <c r="D730" s="1"/>
      <c r="E730" s="1"/>
      <c r="F730" s="1"/>
      <c r="G730" s="1"/>
    </row>
    <row r="731" spans="2:7" x14ac:dyDescent="0.3">
      <c r="B731" s="8"/>
      <c r="C731" s="1"/>
      <c r="D731" s="1"/>
      <c r="E731" s="1"/>
      <c r="F731" s="1"/>
      <c r="G731" s="1"/>
    </row>
    <row r="732" spans="2:7" x14ac:dyDescent="0.3">
      <c r="B732" s="8"/>
      <c r="C732" s="1"/>
      <c r="D732" s="1"/>
      <c r="E732" s="1"/>
      <c r="F732" s="1"/>
      <c r="G732" s="1"/>
    </row>
    <row r="733" spans="2:7" x14ac:dyDescent="0.3">
      <c r="B733" s="8"/>
      <c r="C733" s="1"/>
      <c r="D733" s="1"/>
      <c r="E733" s="1"/>
      <c r="F733" s="1"/>
      <c r="G733" s="1"/>
    </row>
    <row r="734" spans="2:7" x14ac:dyDescent="0.3">
      <c r="B734" s="8"/>
      <c r="C734" s="1"/>
      <c r="D734" s="1"/>
      <c r="E734" s="1"/>
      <c r="F734" s="1"/>
      <c r="G734" s="1"/>
    </row>
    <row r="735" spans="2:7" x14ac:dyDescent="0.3">
      <c r="B735" s="8"/>
      <c r="C735" s="1"/>
      <c r="D735" s="1"/>
      <c r="E735" s="1"/>
      <c r="F735" s="1"/>
      <c r="G735" s="1"/>
    </row>
    <row r="736" spans="2:7" x14ac:dyDescent="0.3">
      <c r="B736" s="8"/>
      <c r="C736" s="1"/>
      <c r="D736" s="1"/>
      <c r="E736" s="1"/>
      <c r="F736" s="1"/>
      <c r="G736" s="1"/>
    </row>
    <row r="737" spans="2:7" x14ac:dyDescent="0.3">
      <c r="B737" s="8"/>
      <c r="C737" s="1"/>
      <c r="D737" s="1"/>
      <c r="E737" s="1"/>
      <c r="F737" s="1"/>
      <c r="G737" s="1"/>
    </row>
    <row r="738" spans="2:7" x14ac:dyDescent="0.3">
      <c r="B738" s="8"/>
      <c r="C738" s="1"/>
      <c r="D738" s="1"/>
      <c r="E738" s="1"/>
      <c r="F738" s="1"/>
      <c r="G738" s="1"/>
    </row>
    <row r="739" spans="2:7" x14ac:dyDescent="0.3">
      <c r="B739" s="8"/>
      <c r="C739" s="1"/>
      <c r="D739" s="1"/>
      <c r="E739" s="1"/>
      <c r="F739" s="1"/>
      <c r="G739" s="1"/>
    </row>
    <row r="740" spans="2:7" x14ac:dyDescent="0.3">
      <c r="B740" s="8"/>
      <c r="C740" s="1"/>
      <c r="D740" s="1"/>
      <c r="E740" s="1"/>
      <c r="F740" s="1"/>
      <c r="G740" s="1"/>
    </row>
    <row r="741" spans="2:7" x14ac:dyDescent="0.3">
      <c r="B741" s="8"/>
      <c r="C741" s="1"/>
      <c r="D741" s="1"/>
      <c r="E741" s="1"/>
      <c r="F741" s="1"/>
      <c r="G741" s="1"/>
    </row>
    <row r="742" spans="2:7" x14ac:dyDescent="0.3">
      <c r="B742" s="8"/>
      <c r="C742" s="1"/>
      <c r="D742" s="1"/>
      <c r="E742" s="1"/>
      <c r="F742" s="1"/>
      <c r="G742" s="1"/>
    </row>
    <row r="743" spans="2:7" x14ac:dyDescent="0.3">
      <c r="B743" s="8"/>
      <c r="C743" s="1"/>
      <c r="D743" s="1"/>
      <c r="E743" s="1"/>
      <c r="F743" s="1"/>
      <c r="G743" s="1"/>
    </row>
    <row r="744" spans="2:7" x14ac:dyDescent="0.3">
      <c r="B744" s="8"/>
      <c r="C744" s="1"/>
      <c r="D744" s="1"/>
      <c r="E744" s="1"/>
      <c r="F744" s="1"/>
      <c r="G744" s="1"/>
    </row>
    <row r="745" spans="2:7" x14ac:dyDescent="0.3">
      <c r="B745" s="8"/>
      <c r="C745" s="1"/>
      <c r="D745" s="1"/>
      <c r="E745" s="1"/>
      <c r="F745" s="1"/>
      <c r="G745" s="1"/>
    </row>
    <row r="746" spans="2:7" x14ac:dyDescent="0.3">
      <c r="B746" s="8"/>
      <c r="C746" s="1"/>
      <c r="D746" s="1"/>
      <c r="E746" s="1"/>
      <c r="F746" s="1"/>
      <c r="G746" s="1"/>
    </row>
    <row r="747" spans="2:7" x14ac:dyDescent="0.3">
      <c r="B747" s="8"/>
      <c r="C747" s="1"/>
      <c r="D747" s="1"/>
      <c r="E747" s="1"/>
      <c r="F747" s="1"/>
      <c r="G747" s="1"/>
    </row>
    <row r="748" spans="2:7" x14ac:dyDescent="0.3">
      <c r="B748" s="8"/>
      <c r="C748" s="1"/>
      <c r="D748" s="1"/>
      <c r="E748" s="1"/>
      <c r="F748" s="1"/>
      <c r="G748" s="1"/>
    </row>
    <row r="749" spans="2:7" x14ac:dyDescent="0.3">
      <c r="B749" s="8"/>
      <c r="C749" s="1"/>
      <c r="D749" s="1"/>
      <c r="E749" s="1"/>
      <c r="F749" s="1"/>
      <c r="G749" s="1"/>
    </row>
    <row r="750" spans="2:7" x14ac:dyDescent="0.3">
      <c r="B750" s="8"/>
      <c r="C750" s="1"/>
      <c r="D750" s="1"/>
      <c r="E750" s="1"/>
      <c r="F750" s="1"/>
      <c r="G750" s="1"/>
    </row>
    <row r="751" spans="2:7" x14ac:dyDescent="0.3">
      <c r="B751" s="8"/>
      <c r="C751" s="1"/>
      <c r="D751" s="1"/>
      <c r="E751" s="1"/>
      <c r="F751" s="1"/>
      <c r="G751" s="1"/>
    </row>
    <row r="752" spans="2:7" x14ac:dyDescent="0.3">
      <c r="B752" s="8"/>
      <c r="C752" s="1"/>
      <c r="D752" s="1"/>
      <c r="E752" s="1"/>
      <c r="F752" s="1"/>
      <c r="G752" s="1"/>
    </row>
    <row r="753" spans="2:7" x14ac:dyDescent="0.3">
      <c r="B753" s="8"/>
      <c r="C753" s="1"/>
      <c r="D753" s="1"/>
      <c r="E753" s="1"/>
      <c r="F753" s="1"/>
      <c r="G753" s="1"/>
    </row>
    <row r="754" spans="2:7" x14ac:dyDescent="0.3">
      <c r="B754" s="8"/>
      <c r="C754" s="1"/>
      <c r="D754" s="1"/>
      <c r="E754" s="1"/>
      <c r="F754" s="1"/>
      <c r="G754" s="1"/>
    </row>
    <row r="755" spans="2:7" x14ac:dyDescent="0.3">
      <c r="B755" s="8"/>
      <c r="C755" s="1"/>
      <c r="D755" s="1"/>
      <c r="E755" s="1"/>
      <c r="F755" s="1"/>
      <c r="G755" s="1"/>
    </row>
    <row r="756" spans="2:7" x14ac:dyDescent="0.3">
      <c r="B756" s="8"/>
      <c r="C756" s="1"/>
      <c r="D756" s="1"/>
      <c r="E756" s="1"/>
      <c r="F756" s="1"/>
      <c r="G756" s="1"/>
    </row>
    <row r="757" spans="2:7" x14ac:dyDescent="0.3">
      <c r="B757" s="8"/>
      <c r="C757" s="1"/>
      <c r="D757" s="1"/>
      <c r="E757" s="1"/>
      <c r="F757" s="1"/>
      <c r="G757" s="1"/>
    </row>
    <row r="758" spans="2:7" x14ac:dyDescent="0.3">
      <c r="B758" s="8"/>
      <c r="C758" s="1"/>
      <c r="D758" s="1"/>
      <c r="E758" s="1"/>
      <c r="F758" s="1"/>
      <c r="G758" s="1"/>
    </row>
    <row r="759" spans="2:7" x14ac:dyDescent="0.3">
      <c r="B759" s="8"/>
      <c r="C759" s="1"/>
      <c r="D759" s="1"/>
      <c r="E759" s="1"/>
      <c r="F759" s="1"/>
      <c r="G759" s="1"/>
    </row>
    <row r="760" spans="2:7" x14ac:dyDescent="0.3">
      <c r="B760" s="8"/>
      <c r="C760" s="1"/>
      <c r="D760" s="1"/>
      <c r="E760" s="1"/>
      <c r="F760" s="1"/>
      <c r="G760" s="1"/>
    </row>
    <row r="761" spans="2:7" x14ac:dyDescent="0.3">
      <c r="B761" s="8"/>
      <c r="C761" s="1"/>
      <c r="D761" s="1"/>
      <c r="E761" s="1"/>
      <c r="F761" s="1"/>
      <c r="G761" s="1"/>
    </row>
    <row r="762" spans="2:7" x14ac:dyDescent="0.3">
      <c r="B762" s="8"/>
      <c r="C762" s="1"/>
      <c r="D762" s="1"/>
      <c r="E762" s="1"/>
      <c r="F762" s="1"/>
      <c r="G762" s="1"/>
    </row>
    <row r="763" spans="2:7" x14ac:dyDescent="0.3">
      <c r="B763" s="8"/>
      <c r="C763" s="1"/>
      <c r="D763" s="1"/>
      <c r="E763" s="1"/>
      <c r="F763" s="1"/>
      <c r="G763" s="1"/>
    </row>
    <row r="764" spans="2:7" x14ac:dyDescent="0.3">
      <c r="B764" s="8"/>
      <c r="C764" s="1"/>
      <c r="D764" s="1"/>
      <c r="E764" s="1"/>
      <c r="F764" s="1"/>
      <c r="G764" s="1"/>
    </row>
    <row r="765" spans="2:7" x14ac:dyDescent="0.3">
      <c r="B765" s="8"/>
      <c r="C765" s="1"/>
      <c r="D765" s="1"/>
      <c r="E765" s="1"/>
      <c r="F765" s="1"/>
      <c r="G765" s="1"/>
    </row>
    <row r="766" spans="2:7" x14ac:dyDescent="0.3">
      <c r="B766" s="8"/>
      <c r="C766" s="1"/>
      <c r="D766" s="1"/>
      <c r="E766" s="1"/>
      <c r="F766" s="1"/>
      <c r="G766" s="1"/>
    </row>
    <row r="767" spans="2:7" x14ac:dyDescent="0.3">
      <c r="B767" s="8"/>
      <c r="C767" s="1"/>
      <c r="D767" s="1"/>
      <c r="E767" s="1"/>
      <c r="F767" s="1"/>
      <c r="G767" s="1"/>
    </row>
    <row r="768" spans="2:7" x14ac:dyDescent="0.3">
      <c r="B768" s="8"/>
      <c r="C768" s="1"/>
      <c r="D768" s="1"/>
      <c r="E768" s="1"/>
      <c r="F768" s="1"/>
      <c r="G768" s="1"/>
    </row>
    <row r="769" spans="2:7" x14ac:dyDescent="0.3">
      <c r="B769" s="8"/>
      <c r="C769" s="1"/>
      <c r="D769" s="1"/>
      <c r="E769" s="1"/>
      <c r="F769" s="1"/>
      <c r="G769" s="1"/>
    </row>
    <row r="770" spans="2:7" x14ac:dyDescent="0.3">
      <c r="B770" s="8"/>
      <c r="C770" s="1"/>
      <c r="D770" s="1"/>
      <c r="E770" s="1"/>
      <c r="F770" s="1"/>
      <c r="G770" s="1"/>
    </row>
    <row r="771" spans="2:7" x14ac:dyDescent="0.3">
      <c r="B771" s="8"/>
      <c r="C771" s="1"/>
      <c r="D771" s="1"/>
      <c r="E771" s="1"/>
      <c r="F771" s="1"/>
      <c r="G771" s="1"/>
    </row>
    <row r="772" spans="2:7" x14ac:dyDescent="0.3">
      <c r="B772" s="8"/>
      <c r="C772" s="1"/>
      <c r="D772" s="1"/>
      <c r="E772" s="1"/>
      <c r="F772" s="1"/>
      <c r="G772" s="1"/>
    </row>
    <row r="773" spans="2:7" x14ac:dyDescent="0.3">
      <c r="B773" s="8"/>
      <c r="C773" s="1"/>
      <c r="D773" s="1"/>
      <c r="E773" s="1"/>
      <c r="F773" s="1"/>
      <c r="G773" s="1"/>
    </row>
    <row r="774" spans="2:7" x14ac:dyDescent="0.3">
      <c r="B774" s="8"/>
      <c r="C774" s="1"/>
      <c r="D774" s="1"/>
      <c r="E774" s="1"/>
      <c r="F774" s="1"/>
      <c r="G774" s="1"/>
    </row>
    <row r="775" spans="2:7" x14ac:dyDescent="0.3">
      <c r="B775" s="8"/>
      <c r="C775" s="1"/>
      <c r="D775" s="1"/>
      <c r="E775" s="1"/>
      <c r="F775" s="1"/>
      <c r="G775" s="1"/>
    </row>
    <row r="776" spans="2:7" x14ac:dyDescent="0.3">
      <c r="B776" s="8"/>
      <c r="C776" s="1"/>
      <c r="D776" s="1"/>
      <c r="E776" s="1"/>
      <c r="F776" s="1"/>
      <c r="G776" s="1"/>
    </row>
    <row r="777" spans="2:7" x14ac:dyDescent="0.3">
      <c r="B777" s="8"/>
      <c r="C777" s="1"/>
      <c r="D777" s="1"/>
      <c r="E777" s="1"/>
      <c r="F777" s="1"/>
      <c r="G777" s="1"/>
    </row>
    <row r="778" spans="2:7" x14ac:dyDescent="0.3">
      <c r="B778" s="8"/>
      <c r="C778" s="1"/>
      <c r="D778" s="1"/>
      <c r="E778" s="1"/>
      <c r="F778" s="1"/>
      <c r="G778" s="1"/>
    </row>
    <row r="779" spans="2:7" x14ac:dyDescent="0.3">
      <c r="B779" s="8"/>
      <c r="C779" s="1"/>
      <c r="D779" s="1"/>
      <c r="E779" s="1"/>
      <c r="F779" s="1"/>
      <c r="G779" s="1"/>
    </row>
    <row r="780" spans="2:7" x14ac:dyDescent="0.3">
      <c r="B780" s="8"/>
      <c r="C780" s="1"/>
      <c r="D780" s="1"/>
      <c r="E780" s="1"/>
      <c r="F780" s="1"/>
      <c r="G780" s="1"/>
    </row>
    <row r="781" spans="2:7" x14ac:dyDescent="0.3">
      <c r="B781" s="8"/>
      <c r="C781" s="1"/>
      <c r="D781" s="1"/>
      <c r="E781" s="1"/>
      <c r="F781" s="1"/>
      <c r="G781" s="1"/>
    </row>
    <row r="782" spans="2:7" x14ac:dyDescent="0.3">
      <c r="B782" s="8"/>
      <c r="C782" s="1"/>
      <c r="D782" s="1"/>
      <c r="E782" s="1"/>
      <c r="F782" s="1"/>
      <c r="G782" s="1"/>
    </row>
    <row r="783" spans="2:7" x14ac:dyDescent="0.3">
      <c r="B783" s="8"/>
      <c r="C783" s="1"/>
      <c r="D783" s="1"/>
      <c r="E783" s="1"/>
      <c r="F783" s="1"/>
      <c r="G783" s="1"/>
    </row>
    <row r="784" spans="2:7" x14ac:dyDescent="0.3">
      <c r="B784" s="8"/>
      <c r="C784" s="1"/>
      <c r="D784" s="1"/>
      <c r="E784" s="1"/>
      <c r="F784" s="1"/>
      <c r="G784" s="1"/>
    </row>
    <row r="785" spans="2:7" x14ac:dyDescent="0.3">
      <c r="B785" s="8"/>
      <c r="C785" s="1"/>
      <c r="D785" s="1"/>
      <c r="E785" s="1"/>
      <c r="F785" s="1"/>
      <c r="G785" s="1"/>
    </row>
    <row r="786" spans="2:7" x14ac:dyDescent="0.3">
      <c r="B786" s="8"/>
      <c r="C786" s="1"/>
      <c r="D786" s="1"/>
      <c r="E786" s="1"/>
      <c r="F786" s="1"/>
      <c r="G786" s="1"/>
    </row>
    <row r="787" spans="2:7" x14ac:dyDescent="0.3">
      <c r="B787" s="8"/>
      <c r="C787" s="1"/>
      <c r="D787" s="1"/>
      <c r="E787" s="1"/>
      <c r="F787" s="1"/>
      <c r="G787" s="1"/>
    </row>
    <row r="788" spans="2:7" x14ac:dyDescent="0.3">
      <c r="B788" s="8"/>
      <c r="C788" s="1"/>
      <c r="D788" s="1"/>
      <c r="E788" s="1"/>
      <c r="F788" s="1"/>
      <c r="G788" s="1"/>
    </row>
    <row r="789" spans="2:7" x14ac:dyDescent="0.3">
      <c r="B789" s="8"/>
      <c r="C789" s="1"/>
      <c r="D789" s="1"/>
      <c r="E789" s="1"/>
      <c r="F789" s="1"/>
      <c r="G789" s="1"/>
    </row>
    <row r="790" spans="2:7" x14ac:dyDescent="0.3">
      <c r="B790" s="8"/>
      <c r="C790" s="1"/>
      <c r="D790" s="1"/>
      <c r="E790" s="1"/>
      <c r="F790" s="1"/>
      <c r="G790" s="1"/>
    </row>
    <row r="791" spans="2:7" x14ac:dyDescent="0.3">
      <c r="B791" s="8"/>
      <c r="C791" s="1"/>
      <c r="D791" s="1"/>
      <c r="E791" s="1"/>
      <c r="F791" s="1"/>
      <c r="G791" s="1"/>
    </row>
    <row r="792" spans="2:7" x14ac:dyDescent="0.3">
      <c r="B792" s="8"/>
      <c r="C792" s="1"/>
      <c r="D792" s="1"/>
      <c r="E792" s="1"/>
      <c r="F792" s="1"/>
      <c r="G792" s="1"/>
    </row>
    <row r="793" spans="2:7" x14ac:dyDescent="0.3">
      <c r="B793" s="8"/>
      <c r="C793" s="1"/>
      <c r="D793" s="1"/>
      <c r="E793" s="1"/>
      <c r="F793" s="1"/>
      <c r="G793" s="1"/>
    </row>
    <row r="794" spans="2:7" x14ac:dyDescent="0.3">
      <c r="B794" s="8"/>
      <c r="C794" s="1"/>
      <c r="D794" s="1"/>
      <c r="E794" s="1"/>
      <c r="F794" s="1"/>
      <c r="G794" s="1"/>
    </row>
    <row r="795" spans="2:7" x14ac:dyDescent="0.3">
      <c r="B795" s="8"/>
      <c r="C795" s="1"/>
      <c r="D795" s="1"/>
      <c r="E795" s="1"/>
      <c r="F795" s="1"/>
      <c r="G795" s="1"/>
    </row>
    <row r="796" spans="2:7" x14ac:dyDescent="0.3">
      <c r="B796" s="8"/>
      <c r="C796" s="1"/>
      <c r="D796" s="1"/>
      <c r="E796" s="1"/>
      <c r="F796" s="1"/>
      <c r="G796" s="1"/>
    </row>
    <row r="797" spans="2:7" x14ac:dyDescent="0.3">
      <c r="B797" s="8"/>
      <c r="C797" s="1"/>
      <c r="D797" s="1"/>
      <c r="E797" s="1"/>
      <c r="F797" s="1"/>
      <c r="G797" s="1"/>
    </row>
    <row r="798" spans="2:7" x14ac:dyDescent="0.3">
      <c r="B798" s="8"/>
      <c r="C798" s="1"/>
      <c r="D798" s="1"/>
      <c r="E798" s="1"/>
      <c r="F798" s="1"/>
      <c r="G798" s="1"/>
    </row>
    <row r="799" spans="2:7" x14ac:dyDescent="0.3">
      <c r="B799" s="8"/>
      <c r="C799" s="1"/>
      <c r="D799" s="1"/>
      <c r="E799" s="1"/>
      <c r="F799" s="1"/>
      <c r="G799" s="1"/>
    </row>
    <row r="800" spans="2:7" x14ac:dyDescent="0.3">
      <c r="B800" s="8"/>
      <c r="C800" s="1"/>
      <c r="D800" s="1"/>
      <c r="E800" s="1"/>
      <c r="F800" s="1"/>
      <c r="G800" s="1"/>
    </row>
    <row r="801" spans="2:7" x14ac:dyDescent="0.3">
      <c r="B801" s="8"/>
      <c r="C801" s="1"/>
      <c r="D801" s="1"/>
      <c r="E801" s="1"/>
      <c r="F801" s="1"/>
      <c r="G801" s="1"/>
    </row>
    <row r="802" spans="2:7" x14ac:dyDescent="0.3">
      <c r="B802" s="8"/>
      <c r="C802" s="1"/>
      <c r="D802" s="1"/>
      <c r="E802" s="1"/>
      <c r="F802" s="1"/>
      <c r="G802" s="1"/>
    </row>
    <row r="803" spans="2:7" x14ac:dyDescent="0.3">
      <c r="B803" s="8"/>
      <c r="C803" s="1"/>
      <c r="D803" s="1"/>
      <c r="E803" s="1"/>
      <c r="F803" s="1"/>
      <c r="G803" s="1"/>
    </row>
    <row r="804" spans="2:7" x14ac:dyDescent="0.3">
      <c r="B804" s="8"/>
      <c r="C804" s="1"/>
      <c r="D804" s="1"/>
      <c r="E804" s="1"/>
      <c r="F804" s="1"/>
      <c r="G804" s="1"/>
    </row>
    <row r="805" spans="2:7" x14ac:dyDescent="0.3">
      <c r="B805" s="8"/>
      <c r="C805" s="1"/>
      <c r="D805" s="1"/>
      <c r="E805" s="1"/>
      <c r="F805" s="1"/>
      <c r="G805" s="1"/>
    </row>
    <row r="806" spans="2:7" x14ac:dyDescent="0.3">
      <c r="B806" s="8"/>
      <c r="C806" s="1"/>
      <c r="D806" s="1"/>
      <c r="E806" s="1"/>
      <c r="F806" s="1"/>
      <c r="G806" s="1"/>
    </row>
    <row r="807" spans="2:7" x14ac:dyDescent="0.3">
      <c r="B807" s="8"/>
      <c r="C807" s="1"/>
      <c r="D807" s="1"/>
      <c r="E807" s="1"/>
      <c r="F807" s="1"/>
      <c r="G807" s="1"/>
    </row>
    <row r="808" spans="2:7" x14ac:dyDescent="0.3">
      <c r="B808" s="8"/>
      <c r="C808" s="1"/>
      <c r="D808" s="1"/>
      <c r="E808" s="1"/>
      <c r="F808" s="1"/>
      <c r="G808" s="1"/>
    </row>
    <row r="809" spans="2:7" x14ac:dyDescent="0.3">
      <c r="B809" s="8"/>
      <c r="C809" s="1"/>
      <c r="D809" s="1"/>
      <c r="E809" s="1"/>
      <c r="F809" s="1"/>
      <c r="G809" s="1"/>
    </row>
    <row r="810" spans="2:7" x14ac:dyDescent="0.3">
      <c r="B810" s="8"/>
      <c r="C810" s="1"/>
      <c r="D810" s="1"/>
      <c r="E810" s="1"/>
      <c r="F810" s="1"/>
      <c r="G810" s="1"/>
    </row>
    <row r="811" spans="2:7" x14ac:dyDescent="0.3">
      <c r="B811" s="8"/>
      <c r="C811" s="1"/>
      <c r="D811" s="1"/>
      <c r="E811" s="1"/>
      <c r="F811" s="1"/>
      <c r="G811" s="1"/>
    </row>
    <row r="812" spans="2:7" x14ac:dyDescent="0.3">
      <c r="B812" s="8"/>
      <c r="C812" s="1"/>
      <c r="D812" s="1"/>
      <c r="E812" s="1"/>
      <c r="F812" s="1"/>
      <c r="G812" s="1"/>
    </row>
    <row r="813" spans="2:7" x14ac:dyDescent="0.3">
      <c r="B813" s="8"/>
      <c r="C813" s="1"/>
      <c r="D813" s="1"/>
      <c r="E813" s="1"/>
      <c r="F813" s="1"/>
      <c r="G813" s="1"/>
    </row>
    <row r="814" spans="2:7" x14ac:dyDescent="0.3">
      <c r="B814" s="8"/>
      <c r="C814" s="1"/>
      <c r="D814" s="1"/>
      <c r="E814" s="1"/>
      <c r="F814" s="1"/>
      <c r="G814" s="1"/>
    </row>
    <row r="815" spans="2:7" x14ac:dyDescent="0.3">
      <c r="B815" s="8"/>
      <c r="C815" s="1"/>
      <c r="D815" s="1"/>
      <c r="E815" s="1"/>
      <c r="F815" s="1"/>
      <c r="G815" s="1"/>
    </row>
    <row r="816" spans="2:7" x14ac:dyDescent="0.3">
      <c r="B816" s="8"/>
      <c r="C816" s="1"/>
      <c r="D816" s="1"/>
      <c r="E816" s="1"/>
      <c r="F816" s="1"/>
      <c r="G816" s="1"/>
    </row>
    <row r="817" spans="2:7" x14ac:dyDescent="0.3">
      <c r="B817" s="8"/>
      <c r="C817" s="1"/>
      <c r="D817" s="1"/>
      <c r="E817" s="1"/>
      <c r="F817" s="1"/>
      <c r="G817" s="1"/>
    </row>
    <row r="818" spans="2:7" x14ac:dyDescent="0.3">
      <c r="B818" s="8"/>
      <c r="C818" s="1"/>
      <c r="D818" s="1"/>
      <c r="E818" s="1"/>
      <c r="F818" s="1"/>
      <c r="G818" s="1"/>
    </row>
    <row r="819" spans="2:7" x14ac:dyDescent="0.3">
      <c r="B819" s="8"/>
      <c r="C819" s="1"/>
      <c r="D819" s="1"/>
      <c r="E819" s="1"/>
      <c r="F819" s="1"/>
      <c r="G819" s="1"/>
    </row>
    <row r="820" spans="2:7" x14ac:dyDescent="0.3">
      <c r="B820" s="8"/>
      <c r="C820" s="1"/>
      <c r="D820" s="1"/>
      <c r="E820" s="1"/>
      <c r="F820" s="1"/>
      <c r="G820" s="1"/>
    </row>
    <row r="821" spans="2:7" x14ac:dyDescent="0.3">
      <c r="B821" s="8"/>
      <c r="C821" s="1"/>
      <c r="D821" s="1"/>
      <c r="E821" s="1"/>
      <c r="F821" s="1"/>
      <c r="G821" s="1"/>
    </row>
    <row r="822" spans="2:7" x14ac:dyDescent="0.3">
      <c r="B822" s="8"/>
      <c r="C822" s="1"/>
      <c r="D822" s="1"/>
      <c r="E822" s="1"/>
      <c r="F822" s="1"/>
      <c r="G822" s="1"/>
    </row>
    <row r="823" spans="2:7" x14ac:dyDescent="0.3">
      <c r="B823" s="8"/>
      <c r="C823" s="1"/>
      <c r="D823" s="1"/>
      <c r="E823" s="1"/>
      <c r="F823" s="1"/>
      <c r="G823" s="1"/>
    </row>
    <row r="824" spans="2:7" x14ac:dyDescent="0.3">
      <c r="B824" s="8"/>
      <c r="C824" s="1"/>
      <c r="D824" s="1"/>
      <c r="E824" s="1"/>
      <c r="F824" s="1"/>
      <c r="G824" s="1"/>
    </row>
    <row r="825" spans="2:7" x14ac:dyDescent="0.3">
      <c r="B825" s="8"/>
      <c r="C825" s="1"/>
      <c r="D825" s="1"/>
      <c r="E825" s="1"/>
      <c r="F825" s="1"/>
      <c r="G825" s="1"/>
    </row>
    <row r="826" spans="2:7" x14ac:dyDescent="0.3">
      <c r="B826" s="8"/>
      <c r="C826" s="1"/>
      <c r="D826" s="1"/>
      <c r="E826" s="1"/>
      <c r="F826" s="1"/>
      <c r="G826" s="1"/>
    </row>
    <row r="827" spans="2:7" x14ac:dyDescent="0.3">
      <c r="B827" s="8"/>
      <c r="C827" s="1"/>
      <c r="D827" s="1"/>
      <c r="E827" s="1"/>
      <c r="F827" s="1"/>
      <c r="G827" s="1"/>
    </row>
    <row r="828" spans="2:7" x14ac:dyDescent="0.3">
      <c r="B828" s="8"/>
      <c r="C828" s="1"/>
      <c r="D828" s="1"/>
      <c r="E828" s="1"/>
      <c r="F828" s="1"/>
      <c r="G828" s="1"/>
    </row>
    <row r="829" spans="2:7" x14ac:dyDescent="0.3">
      <c r="B829" s="8"/>
      <c r="C829" s="1"/>
      <c r="D829" s="1"/>
      <c r="E829" s="1"/>
      <c r="F829" s="1"/>
      <c r="G829" s="1"/>
    </row>
    <row r="830" spans="2:7" x14ac:dyDescent="0.3">
      <c r="B830" s="8"/>
      <c r="C830" s="1"/>
      <c r="D830" s="1"/>
      <c r="E830" s="1"/>
      <c r="F830" s="1"/>
      <c r="G830" s="1"/>
    </row>
    <row r="831" spans="2:7" x14ac:dyDescent="0.3">
      <c r="B831" s="8"/>
      <c r="C831" s="1"/>
      <c r="D831" s="1"/>
      <c r="E831" s="1"/>
      <c r="F831" s="1"/>
      <c r="G831" s="1"/>
    </row>
    <row r="832" spans="2:7" x14ac:dyDescent="0.3">
      <c r="B832" s="8"/>
      <c r="C832" s="1"/>
      <c r="D832" s="1"/>
      <c r="E832" s="1"/>
      <c r="F832" s="1"/>
      <c r="G832" s="1"/>
    </row>
    <row r="833" spans="2:7" x14ac:dyDescent="0.3">
      <c r="B833" s="8"/>
      <c r="C833" s="1"/>
      <c r="D833" s="1"/>
      <c r="E833" s="1"/>
      <c r="F833" s="1"/>
      <c r="G833" s="1"/>
    </row>
    <row r="834" spans="2:7" x14ac:dyDescent="0.3">
      <c r="B834" s="8"/>
      <c r="C834" s="1"/>
      <c r="D834" s="1"/>
      <c r="E834" s="1"/>
      <c r="F834" s="1"/>
      <c r="G834" s="1"/>
    </row>
    <row r="835" spans="2:7" x14ac:dyDescent="0.3">
      <c r="B835" s="8"/>
      <c r="C835" s="1"/>
      <c r="D835" s="1"/>
      <c r="E835" s="1"/>
      <c r="F835" s="1"/>
      <c r="G835" s="1"/>
    </row>
    <row r="836" spans="2:7" x14ac:dyDescent="0.3">
      <c r="B836" s="8"/>
      <c r="C836" s="1"/>
      <c r="D836" s="1"/>
      <c r="E836" s="1"/>
      <c r="F836" s="1"/>
      <c r="G836" s="1"/>
    </row>
    <row r="837" spans="2:7" x14ac:dyDescent="0.3">
      <c r="B837" s="8"/>
      <c r="C837" s="1"/>
      <c r="D837" s="1"/>
      <c r="E837" s="1"/>
      <c r="F837" s="1"/>
      <c r="G837" s="1"/>
    </row>
    <row r="838" spans="2:7" x14ac:dyDescent="0.3">
      <c r="B838" s="8"/>
      <c r="C838" s="1"/>
      <c r="D838" s="1"/>
      <c r="E838" s="1"/>
      <c r="F838" s="1"/>
      <c r="G838" s="1"/>
    </row>
    <row r="839" spans="2:7" x14ac:dyDescent="0.3">
      <c r="B839" s="8"/>
      <c r="C839" s="1"/>
      <c r="D839" s="1"/>
      <c r="E839" s="1"/>
      <c r="F839" s="1"/>
      <c r="G839" s="1"/>
    </row>
    <row r="840" spans="2:7" x14ac:dyDescent="0.3">
      <c r="B840" s="8"/>
      <c r="C840" s="1"/>
      <c r="D840" s="1"/>
      <c r="E840" s="1"/>
      <c r="F840" s="1"/>
      <c r="G840" s="1"/>
    </row>
    <row r="841" spans="2:7" x14ac:dyDescent="0.3">
      <c r="B841" s="8"/>
      <c r="C841" s="1"/>
      <c r="D841" s="1"/>
      <c r="E841" s="1"/>
      <c r="F841" s="1"/>
      <c r="G841" s="1"/>
    </row>
    <row r="842" spans="2:7" x14ac:dyDescent="0.3">
      <c r="B842" s="8"/>
      <c r="C842" s="1"/>
      <c r="D842" s="1"/>
      <c r="E842" s="1"/>
      <c r="F842" s="1"/>
      <c r="G842" s="1"/>
    </row>
    <row r="843" spans="2:7" x14ac:dyDescent="0.3">
      <c r="B843" s="8"/>
      <c r="C843" s="1"/>
      <c r="D843" s="1"/>
      <c r="E843" s="1"/>
      <c r="F843" s="1"/>
      <c r="G843" s="1"/>
    </row>
    <row r="844" spans="2:7" x14ac:dyDescent="0.3">
      <c r="B844" s="8"/>
      <c r="C844" s="1"/>
      <c r="D844" s="1"/>
      <c r="E844" s="1"/>
      <c r="F844" s="1"/>
      <c r="G844" s="1"/>
    </row>
    <row r="845" spans="2:7" x14ac:dyDescent="0.3">
      <c r="B845" s="8"/>
      <c r="C845" s="1"/>
      <c r="D845" s="1"/>
      <c r="E845" s="1"/>
      <c r="F845" s="1"/>
      <c r="G845" s="1"/>
    </row>
    <row r="846" spans="2:7" x14ac:dyDescent="0.3">
      <c r="B846" s="8"/>
      <c r="C846" s="1"/>
      <c r="D846" s="1"/>
      <c r="E846" s="1"/>
      <c r="F846" s="1"/>
      <c r="G846" s="1"/>
    </row>
    <row r="847" spans="2:7" x14ac:dyDescent="0.3">
      <c r="B847" s="8"/>
      <c r="C847" s="1"/>
      <c r="D847" s="1"/>
      <c r="E847" s="1"/>
      <c r="F847" s="1"/>
      <c r="G847" s="1"/>
    </row>
    <row r="848" spans="2:7" x14ac:dyDescent="0.3">
      <c r="B848" s="8"/>
      <c r="C848" s="1"/>
      <c r="D848" s="1"/>
      <c r="E848" s="1"/>
      <c r="F848" s="1"/>
      <c r="G848" s="1"/>
    </row>
    <row r="849" spans="2:7" x14ac:dyDescent="0.3">
      <c r="B849" s="8"/>
      <c r="C849" s="1"/>
      <c r="D849" s="1"/>
      <c r="E849" s="1"/>
      <c r="F849" s="1"/>
      <c r="G849" s="1"/>
    </row>
    <row r="850" spans="2:7" x14ac:dyDescent="0.3">
      <c r="B850" s="8"/>
      <c r="C850" s="1"/>
      <c r="D850" s="1"/>
      <c r="E850" s="1"/>
      <c r="F850" s="1"/>
      <c r="G850" s="1"/>
    </row>
    <row r="851" spans="2:7" x14ac:dyDescent="0.3">
      <c r="B851" s="8"/>
      <c r="C851" s="1"/>
      <c r="D851" s="1"/>
      <c r="E851" s="1"/>
      <c r="F851" s="1"/>
      <c r="G851" s="1"/>
    </row>
    <row r="852" spans="2:7" x14ac:dyDescent="0.3">
      <c r="B852" s="8"/>
      <c r="C852" s="1"/>
      <c r="D852" s="1"/>
      <c r="E852" s="1"/>
      <c r="F852" s="1"/>
      <c r="G852" s="1"/>
    </row>
    <row r="853" spans="2:7" x14ac:dyDescent="0.3">
      <c r="B853" s="8"/>
      <c r="C853" s="1"/>
      <c r="D853" s="1"/>
      <c r="E853" s="1"/>
      <c r="F853" s="1"/>
      <c r="G853" s="1"/>
    </row>
    <row r="854" spans="2:7" x14ac:dyDescent="0.3">
      <c r="B854" s="8"/>
      <c r="C854" s="1"/>
      <c r="D854" s="1"/>
      <c r="E854" s="1"/>
      <c r="F854" s="1"/>
      <c r="G854" s="1"/>
    </row>
    <row r="855" spans="2:7" x14ac:dyDescent="0.3">
      <c r="B855" s="8"/>
      <c r="C855" s="1"/>
      <c r="D855" s="1"/>
      <c r="E855" s="1"/>
      <c r="F855" s="1"/>
      <c r="G855" s="1"/>
    </row>
    <row r="856" spans="2:7" x14ac:dyDescent="0.3">
      <c r="B856" s="8"/>
      <c r="C856" s="1"/>
      <c r="D856" s="1"/>
      <c r="E856" s="1"/>
      <c r="F856" s="1"/>
      <c r="G856" s="1"/>
    </row>
    <row r="857" spans="2:7" x14ac:dyDescent="0.3">
      <c r="B857" s="8"/>
      <c r="C857" s="1"/>
      <c r="D857" s="1"/>
      <c r="E857" s="1"/>
      <c r="F857" s="1"/>
      <c r="G857" s="1"/>
    </row>
    <row r="858" spans="2:7" x14ac:dyDescent="0.3">
      <c r="B858" s="8"/>
      <c r="C858" s="1"/>
      <c r="D858" s="1"/>
      <c r="E858" s="1"/>
      <c r="F858" s="1"/>
      <c r="G858" s="1"/>
    </row>
    <row r="859" spans="2:7" x14ac:dyDescent="0.3">
      <c r="B859" s="8"/>
      <c r="C859" s="1"/>
      <c r="D859" s="1"/>
      <c r="E859" s="1"/>
      <c r="F859" s="1"/>
      <c r="G859" s="1"/>
    </row>
    <row r="860" spans="2:7" x14ac:dyDescent="0.3">
      <c r="B860" s="8"/>
      <c r="C860" s="1"/>
      <c r="D860" s="1"/>
      <c r="E860" s="1"/>
      <c r="F860" s="1"/>
      <c r="G860" s="1"/>
    </row>
    <row r="861" spans="2:7" x14ac:dyDescent="0.3">
      <c r="B861" s="8"/>
      <c r="C861" s="1"/>
      <c r="D861" s="1"/>
      <c r="E861" s="1"/>
      <c r="F861" s="1"/>
      <c r="G861" s="1"/>
    </row>
    <row r="862" spans="2:7" x14ac:dyDescent="0.3">
      <c r="B862" s="8"/>
      <c r="C862" s="1"/>
      <c r="D862" s="1"/>
      <c r="E862" s="1"/>
      <c r="F862" s="1"/>
      <c r="G862" s="1"/>
    </row>
    <row r="863" spans="2:7" x14ac:dyDescent="0.3">
      <c r="B863" s="8"/>
      <c r="C863" s="1"/>
      <c r="D863" s="1"/>
      <c r="E863" s="1"/>
      <c r="F863" s="1"/>
      <c r="G863" s="1"/>
    </row>
    <row r="864" spans="2:7" x14ac:dyDescent="0.3">
      <c r="B864" s="8"/>
      <c r="C864" s="1"/>
      <c r="D864" s="1"/>
      <c r="E864" s="1"/>
      <c r="F864" s="1"/>
      <c r="G864" s="1"/>
    </row>
    <row r="865" spans="2:7" x14ac:dyDescent="0.3">
      <c r="B865" s="8"/>
      <c r="C865" s="1"/>
      <c r="D865" s="1"/>
      <c r="E865" s="1"/>
      <c r="F865" s="1"/>
      <c r="G865" s="1"/>
    </row>
    <row r="866" spans="2:7" x14ac:dyDescent="0.3">
      <c r="B866" s="8"/>
      <c r="C866" s="1"/>
      <c r="D866" s="1"/>
      <c r="E866" s="1"/>
      <c r="F866" s="1"/>
      <c r="G866" s="1"/>
    </row>
    <row r="867" spans="2:7" x14ac:dyDescent="0.3">
      <c r="B867" s="8"/>
      <c r="C867" s="1"/>
      <c r="D867" s="1"/>
      <c r="E867" s="1"/>
      <c r="F867" s="1"/>
      <c r="G867" s="1"/>
    </row>
    <row r="868" spans="2:7" x14ac:dyDescent="0.3">
      <c r="B868" s="8"/>
      <c r="C868" s="1"/>
      <c r="D868" s="1"/>
      <c r="E868" s="1"/>
      <c r="F868" s="1"/>
      <c r="G868" s="1"/>
    </row>
    <row r="869" spans="2:7" x14ac:dyDescent="0.3">
      <c r="B869" s="8"/>
      <c r="C869" s="1"/>
      <c r="D869" s="1"/>
      <c r="E869" s="1"/>
      <c r="F869" s="1"/>
      <c r="G869" s="1"/>
    </row>
    <row r="870" spans="2:7" x14ac:dyDescent="0.3">
      <c r="B870" s="8"/>
      <c r="C870" s="1"/>
      <c r="D870" s="1"/>
      <c r="E870" s="1"/>
      <c r="F870" s="1"/>
      <c r="G870" s="1"/>
    </row>
    <row r="871" spans="2:7" x14ac:dyDescent="0.3">
      <c r="B871" s="8"/>
      <c r="C871" s="1"/>
      <c r="D871" s="1"/>
      <c r="E871" s="1"/>
      <c r="F871" s="1"/>
      <c r="G871" s="1"/>
    </row>
    <row r="872" spans="2:7" x14ac:dyDescent="0.3">
      <c r="B872" s="8"/>
      <c r="C872" s="1"/>
      <c r="D872" s="1"/>
      <c r="E872" s="1"/>
      <c r="F872" s="1"/>
      <c r="G872" s="1"/>
    </row>
    <row r="873" spans="2:7" x14ac:dyDescent="0.3">
      <c r="B873" s="8"/>
      <c r="C873" s="1"/>
      <c r="D873" s="1"/>
      <c r="E873" s="1"/>
      <c r="F873" s="1"/>
      <c r="G873" s="1"/>
    </row>
    <row r="874" spans="2:7" x14ac:dyDescent="0.3">
      <c r="B874" s="8"/>
      <c r="C874" s="1"/>
      <c r="D874" s="1"/>
      <c r="E874" s="1"/>
      <c r="F874" s="1"/>
      <c r="G874" s="1"/>
    </row>
    <row r="875" spans="2:7" x14ac:dyDescent="0.3">
      <c r="B875" s="8"/>
      <c r="C875" s="1"/>
      <c r="D875" s="1"/>
      <c r="E875" s="1"/>
      <c r="F875" s="1"/>
      <c r="G875" s="1"/>
    </row>
    <row r="876" spans="2:7" x14ac:dyDescent="0.3">
      <c r="B876" s="8"/>
      <c r="C876" s="1"/>
      <c r="D876" s="1"/>
      <c r="E876" s="1"/>
      <c r="F876" s="1"/>
      <c r="G876" s="1"/>
    </row>
    <row r="877" spans="2:7" x14ac:dyDescent="0.3">
      <c r="B877" s="8"/>
      <c r="C877" s="1"/>
      <c r="D877" s="1"/>
      <c r="E877" s="1"/>
      <c r="F877" s="1"/>
      <c r="G877" s="1"/>
    </row>
    <row r="878" spans="2:7" x14ac:dyDescent="0.3">
      <c r="B878" s="8"/>
      <c r="C878" s="1"/>
      <c r="D878" s="1"/>
      <c r="E878" s="1"/>
      <c r="F878" s="1"/>
      <c r="G878" s="1"/>
    </row>
    <row r="879" spans="2:7" x14ac:dyDescent="0.3">
      <c r="B879" s="8"/>
      <c r="C879" s="1"/>
      <c r="D879" s="1"/>
      <c r="E879" s="1"/>
      <c r="F879" s="1"/>
      <c r="G879" s="1"/>
    </row>
    <row r="880" spans="2:7" x14ac:dyDescent="0.3">
      <c r="B880" s="8"/>
      <c r="C880" s="1"/>
      <c r="D880" s="1"/>
      <c r="E880" s="1"/>
      <c r="F880" s="1"/>
      <c r="G880" s="1"/>
    </row>
    <row r="881" spans="2:7" x14ac:dyDescent="0.3">
      <c r="B881" s="8"/>
      <c r="C881" s="1"/>
      <c r="D881" s="1"/>
      <c r="E881" s="1"/>
      <c r="F881" s="1"/>
      <c r="G881" s="1"/>
    </row>
    <row r="882" spans="2:7" x14ac:dyDescent="0.3">
      <c r="B882" s="8"/>
      <c r="C882" s="1"/>
      <c r="D882" s="1"/>
      <c r="E882" s="1"/>
      <c r="F882" s="1"/>
      <c r="G882" s="1"/>
    </row>
    <row r="883" spans="2:7" x14ac:dyDescent="0.3">
      <c r="B883" s="8"/>
      <c r="C883" s="1"/>
      <c r="D883" s="1"/>
      <c r="E883" s="1"/>
      <c r="F883" s="1"/>
      <c r="G883" s="1"/>
    </row>
    <row r="884" spans="2:7" x14ac:dyDescent="0.3">
      <c r="B884" s="8"/>
      <c r="C884" s="1"/>
      <c r="D884" s="1"/>
      <c r="E884" s="1"/>
      <c r="F884" s="1"/>
      <c r="G884" s="1"/>
    </row>
    <row r="885" spans="2:7" x14ac:dyDescent="0.3">
      <c r="B885" s="8"/>
      <c r="C885" s="1"/>
      <c r="D885" s="1"/>
      <c r="E885" s="1"/>
      <c r="F885" s="1"/>
      <c r="G885" s="1"/>
    </row>
    <row r="886" spans="2:7" x14ac:dyDescent="0.3">
      <c r="B886" s="8"/>
      <c r="C886" s="1"/>
      <c r="D886" s="1"/>
      <c r="E886" s="1"/>
      <c r="F886" s="1"/>
      <c r="G886" s="1"/>
    </row>
    <row r="887" spans="2:7" x14ac:dyDescent="0.3">
      <c r="B887" s="8"/>
      <c r="C887" s="1"/>
      <c r="D887" s="1"/>
      <c r="E887" s="1"/>
      <c r="F887" s="1"/>
      <c r="G887" s="1"/>
    </row>
    <row r="888" spans="2:7" x14ac:dyDescent="0.3">
      <c r="B888" s="8"/>
      <c r="C888" s="1"/>
      <c r="D888" s="1"/>
      <c r="E888" s="1"/>
      <c r="F888" s="1"/>
      <c r="G888" s="1"/>
    </row>
    <row r="889" spans="2:7" x14ac:dyDescent="0.3">
      <c r="B889" s="8"/>
      <c r="C889" s="1"/>
      <c r="D889" s="1"/>
      <c r="E889" s="1"/>
      <c r="F889" s="1"/>
      <c r="G889" s="1"/>
    </row>
    <row r="890" spans="2:7" x14ac:dyDescent="0.3">
      <c r="B890" s="8"/>
      <c r="C890" s="1"/>
      <c r="D890" s="1"/>
      <c r="E890" s="1"/>
      <c r="F890" s="1"/>
      <c r="G890" s="1"/>
    </row>
    <row r="891" spans="2:7" x14ac:dyDescent="0.3">
      <c r="B891" s="8"/>
      <c r="C891" s="1"/>
      <c r="D891" s="1"/>
      <c r="E891" s="1"/>
      <c r="F891" s="1"/>
      <c r="G891" s="1"/>
    </row>
    <row r="892" spans="2:7" x14ac:dyDescent="0.3">
      <c r="B892" s="8"/>
      <c r="C892" s="1"/>
      <c r="D892" s="1"/>
      <c r="E892" s="1"/>
      <c r="F892" s="1"/>
      <c r="G892" s="1"/>
    </row>
    <row r="893" spans="2:7" x14ac:dyDescent="0.3">
      <c r="B893" s="8"/>
      <c r="C893" s="1"/>
      <c r="D893" s="1"/>
      <c r="E893" s="1"/>
      <c r="F893" s="1"/>
      <c r="G893" s="1"/>
    </row>
    <row r="894" spans="2:7" x14ac:dyDescent="0.3">
      <c r="B894" s="8"/>
      <c r="C894" s="1"/>
      <c r="D894" s="1"/>
      <c r="E894" s="1"/>
      <c r="F894" s="1"/>
      <c r="G894" s="1"/>
    </row>
    <row r="895" spans="2:7" x14ac:dyDescent="0.3">
      <c r="B895" s="8"/>
      <c r="C895" s="1"/>
      <c r="D895" s="1"/>
      <c r="E895" s="1"/>
      <c r="F895" s="1"/>
      <c r="G895" s="1"/>
    </row>
    <row r="896" spans="2:7" x14ac:dyDescent="0.3">
      <c r="B896" s="8"/>
      <c r="C896" s="1"/>
      <c r="D896" s="1"/>
      <c r="E896" s="1"/>
      <c r="F896" s="1"/>
      <c r="G896" s="1"/>
    </row>
    <row r="897" spans="2:7" x14ac:dyDescent="0.3">
      <c r="B897" s="8"/>
      <c r="C897" s="1"/>
      <c r="D897" s="1"/>
      <c r="E897" s="1"/>
      <c r="F897" s="1"/>
      <c r="G897" s="1"/>
    </row>
    <row r="898" spans="2:7" x14ac:dyDescent="0.3">
      <c r="B898" s="8"/>
      <c r="C898" s="1"/>
      <c r="D898" s="1"/>
      <c r="E898" s="1"/>
      <c r="F898" s="1"/>
      <c r="G898" s="1"/>
    </row>
    <row r="899" spans="2:7" x14ac:dyDescent="0.3">
      <c r="B899" s="8"/>
      <c r="C899" s="1"/>
      <c r="D899" s="1"/>
      <c r="E899" s="1"/>
      <c r="F899" s="1"/>
      <c r="G899" s="1"/>
    </row>
    <row r="900" spans="2:7" x14ac:dyDescent="0.3">
      <c r="B900" s="8"/>
      <c r="C900" s="1"/>
      <c r="D900" s="1"/>
      <c r="E900" s="1"/>
      <c r="F900" s="1"/>
      <c r="G900" s="1"/>
    </row>
    <row r="901" spans="2:7" x14ac:dyDescent="0.3">
      <c r="B901" s="8"/>
      <c r="C901" s="1"/>
      <c r="D901" s="1"/>
      <c r="E901" s="1"/>
      <c r="F901" s="1"/>
      <c r="G901" s="1"/>
    </row>
    <row r="902" spans="2:7" x14ac:dyDescent="0.3">
      <c r="B902" s="8"/>
      <c r="C902" s="1"/>
      <c r="D902" s="1"/>
      <c r="E902" s="1"/>
      <c r="F902" s="1"/>
      <c r="G902" s="1"/>
    </row>
    <row r="903" spans="2:7" x14ac:dyDescent="0.3">
      <c r="B903" s="8"/>
      <c r="C903" s="1"/>
      <c r="D903" s="1"/>
      <c r="E903" s="1"/>
      <c r="F903" s="1"/>
      <c r="G903" s="1"/>
    </row>
    <row r="904" spans="2:7" x14ac:dyDescent="0.3">
      <c r="B904" s="8"/>
      <c r="C904" s="1"/>
      <c r="D904" s="1"/>
      <c r="E904" s="1"/>
      <c r="F904" s="1"/>
      <c r="G904" s="1"/>
    </row>
    <row r="905" spans="2:7" x14ac:dyDescent="0.3">
      <c r="B905" s="8"/>
      <c r="C905" s="1"/>
      <c r="D905" s="1"/>
      <c r="E905" s="1"/>
      <c r="F905" s="1"/>
      <c r="G905" s="1"/>
    </row>
    <row r="906" spans="2:7" x14ac:dyDescent="0.3">
      <c r="B906" s="8"/>
      <c r="C906" s="1"/>
      <c r="D906" s="1"/>
      <c r="E906" s="1"/>
      <c r="F906" s="1"/>
      <c r="G906" s="1"/>
    </row>
    <row r="907" spans="2:7" x14ac:dyDescent="0.3">
      <c r="B907" s="8"/>
      <c r="C907" s="1"/>
      <c r="D907" s="1"/>
      <c r="E907" s="1"/>
      <c r="F907" s="1"/>
      <c r="G907" s="1"/>
    </row>
    <row r="908" spans="2:7" x14ac:dyDescent="0.3">
      <c r="B908" s="8"/>
      <c r="C908" s="1"/>
      <c r="D908" s="1"/>
      <c r="E908" s="1"/>
      <c r="F908" s="1"/>
      <c r="G908" s="1"/>
    </row>
    <row r="909" spans="2:7" x14ac:dyDescent="0.3">
      <c r="B909" s="8"/>
      <c r="C909" s="1"/>
      <c r="D909" s="1"/>
      <c r="E909" s="1"/>
      <c r="F909" s="1"/>
      <c r="G909" s="1"/>
    </row>
    <row r="910" spans="2:7" x14ac:dyDescent="0.3">
      <c r="B910" s="8"/>
      <c r="C910" s="1"/>
      <c r="D910" s="1"/>
      <c r="E910" s="1"/>
      <c r="F910" s="1"/>
      <c r="G910" s="1"/>
    </row>
    <row r="911" spans="2:7" x14ac:dyDescent="0.3">
      <c r="B911" s="8"/>
      <c r="C911" s="1"/>
      <c r="D911" s="1"/>
      <c r="E911" s="1"/>
      <c r="F911" s="1"/>
      <c r="G911" s="1"/>
    </row>
    <row r="912" spans="2:7" x14ac:dyDescent="0.3">
      <c r="B912" s="8"/>
      <c r="C912" s="1"/>
      <c r="D912" s="1"/>
      <c r="E912" s="1"/>
      <c r="F912" s="1"/>
      <c r="G912" s="1"/>
    </row>
    <row r="913" spans="2:7" x14ac:dyDescent="0.3">
      <c r="B913" s="8"/>
      <c r="C913" s="1"/>
      <c r="D913" s="1"/>
      <c r="E913" s="1"/>
      <c r="F913" s="1"/>
      <c r="G913" s="1"/>
    </row>
    <row r="914" spans="2:7" x14ac:dyDescent="0.3">
      <c r="B914" s="8"/>
      <c r="C914" s="1"/>
      <c r="D914" s="1"/>
      <c r="E914" s="1"/>
      <c r="F914" s="1"/>
      <c r="G914" s="1"/>
    </row>
    <row r="915" spans="2:7" x14ac:dyDescent="0.3">
      <c r="B915" s="8"/>
      <c r="C915" s="1"/>
      <c r="D915" s="1"/>
      <c r="E915" s="1"/>
      <c r="F915" s="1"/>
      <c r="G915" s="1"/>
    </row>
    <row r="916" spans="2:7" x14ac:dyDescent="0.3">
      <c r="B916" s="8"/>
      <c r="C916" s="1"/>
      <c r="D916" s="1"/>
      <c r="E916" s="1"/>
      <c r="F916" s="1"/>
      <c r="G916" s="1"/>
    </row>
    <row r="917" spans="2:7" x14ac:dyDescent="0.3">
      <c r="B917" s="8"/>
      <c r="C917" s="1"/>
      <c r="D917" s="1"/>
      <c r="E917" s="1"/>
      <c r="F917" s="1"/>
      <c r="G917" s="1"/>
    </row>
    <row r="918" spans="2:7" x14ac:dyDescent="0.3">
      <c r="B918" s="8"/>
      <c r="C918" s="1"/>
      <c r="D918" s="1"/>
      <c r="E918" s="1"/>
      <c r="F918" s="1"/>
      <c r="G918" s="1"/>
    </row>
    <row r="919" spans="2:7" x14ac:dyDescent="0.3">
      <c r="B919" s="8"/>
      <c r="C919" s="1"/>
      <c r="D919" s="1"/>
      <c r="E919" s="1"/>
      <c r="F919" s="1"/>
      <c r="G919" s="1"/>
    </row>
    <row r="920" spans="2:7" x14ac:dyDescent="0.3">
      <c r="B920" s="8"/>
      <c r="C920" s="1"/>
      <c r="D920" s="1"/>
      <c r="E920" s="1"/>
      <c r="F920" s="1"/>
      <c r="G920" s="1"/>
    </row>
    <row r="921" spans="2:7" x14ac:dyDescent="0.3">
      <c r="B921" s="8"/>
      <c r="C921" s="1"/>
      <c r="D921" s="1"/>
      <c r="E921" s="1"/>
      <c r="F921" s="1"/>
      <c r="G921" s="1"/>
    </row>
    <row r="922" spans="2:7" x14ac:dyDescent="0.3">
      <c r="B922" s="8"/>
      <c r="C922" s="1"/>
      <c r="D922" s="1"/>
      <c r="E922" s="1"/>
      <c r="F922" s="1"/>
      <c r="G922" s="1"/>
    </row>
    <row r="923" spans="2:7" x14ac:dyDescent="0.3">
      <c r="B923" s="8"/>
      <c r="C923" s="1"/>
      <c r="D923" s="1"/>
      <c r="E923" s="1"/>
      <c r="F923" s="1"/>
      <c r="G923" s="1"/>
    </row>
    <row r="924" spans="2:7" x14ac:dyDescent="0.3">
      <c r="B924" s="8"/>
      <c r="C924" s="1"/>
      <c r="D924" s="1"/>
      <c r="E924" s="1"/>
      <c r="F924" s="1"/>
      <c r="G924" s="1"/>
    </row>
    <row r="925" spans="2:7" x14ac:dyDescent="0.3">
      <c r="B925" s="8"/>
      <c r="C925" s="1"/>
      <c r="D925" s="1"/>
      <c r="E925" s="1"/>
      <c r="F925" s="1"/>
      <c r="G925" s="1"/>
    </row>
    <row r="926" spans="2:7" x14ac:dyDescent="0.3">
      <c r="B926" s="8"/>
      <c r="C926" s="1"/>
      <c r="D926" s="1"/>
      <c r="E926" s="1"/>
      <c r="F926" s="1"/>
      <c r="G926" s="1"/>
    </row>
    <row r="927" spans="2:7" x14ac:dyDescent="0.3">
      <c r="B927" s="8"/>
      <c r="C927" s="1"/>
      <c r="D927" s="1"/>
      <c r="E927" s="1"/>
      <c r="F927" s="1"/>
      <c r="G927" s="1"/>
    </row>
    <row r="928" spans="2:7" x14ac:dyDescent="0.3">
      <c r="B928" s="8"/>
      <c r="C928" s="1"/>
      <c r="D928" s="1"/>
      <c r="E928" s="1"/>
      <c r="F928" s="1"/>
      <c r="G928" s="1"/>
    </row>
    <row r="929" spans="2:7" x14ac:dyDescent="0.3">
      <c r="B929" s="8"/>
      <c r="C929" s="1"/>
      <c r="D929" s="1"/>
      <c r="E929" s="1"/>
      <c r="F929" s="1"/>
      <c r="G929" s="1"/>
    </row>
    <row r="930" spans="2:7" x14ac:dyDescent="0.3">
      <c r="B930" s="8"/>
      <c r="C930" s="1"/>
      <c r="D930" s="1"/>
      <c r="E930" s="1"/>
      <c r="F930" s="1"/>
      <c r="G930" s="1"/>
    </row>
    <row r="931" spans="2:7" x14ac:dyDescent="0.3">
      <c r="B931" s="8"/>
      <c r="C931" s="1"/>
      <c r="D931" s="1"/>
      <c r="E931" s="1"/>
      <c r="F931" s="1"/>
      <c r="G931" s="1"/>
    </row>
    <row r="932" spans="2:7" x14ac:dyDescent="0.3">
      <c r="B932" s="8"/>
      <c r="C932" s="1"/>
      <c r="D932" s="1"/>
      <c r="E932" s="1"/>
      <c r="F932" s="1"/>
      <c r="G932" s="1"/>
    </row>
    <row r="933" spans="2:7" x14ac:dyDescent="0.3">
      <c r="B933" s="8"/>
      <c r="C933" s="1"/>
      <c r="D933" s="1"/>
      <c r="E933" s="1"/>
      <c r="F933" s="1"/>
      <c r="G933" s="1"/>
    </row>
    <row r="934" spans="2:7" x14ac:dyDescent="0.3">
      <c r="B934" s="8"/>
      <c r="C934" s="1"/>
      <c r="D934" s="1"/>
      <c r="E934" s="1"/>
      <c r="F934" s="1"/>
      <c r="G934" s="1"/>
    </row>
    <row r="935" spans="2:7" x14ac:dyDescent="0.3">
      <c r="B935" s="8"/>
      <c r="C935" s="1"/>
      <c r="D935" s="1"/>
      <c r="E935" s="1"/>
      <c r="F935" s="1"/>
      <c r="G935" s="1"/>
    </row>
    <row r="936" spans="2:7" x14ac:dyDescent="0.3">
      <c r="B936" s="8"/>
      <c r="C936" s="1"/>
      <c r="D936" s="1"/>
      <c r="E936" s="1"/>
      <c r="F936" s="1"/>
      <c r="G936" s="1"/>
    </row>
    <row r="937" spans="2:7" x14ac:dyDescent="0.3">
      <c r="B937" s="8"/>
      <c r="C937" s="1"/>
      <c r="D937" s="1"/>
      <c r="E937" s="1"/>
      <c r="F937" s="1"/>
      <c r="G937" s="1"/>
    </row>
    <row r="938" spans="2:7" x14ac:dyDescent="0.3">
      <c r="B938" s="8"/>
      <c r="C938" s="1"/>
      <c r="D938" s="1"/>
      <c r="E938" s="1"/>
      <c r="F938" s="1"/>
      <c r="G938" s="1"/>
    </row>
    <row r="939" spans="2:7" x14ac:dyDescent="0.3">
      <c r="B939" s="8"/>
      <c r="C939" s="1"/>
      <c r="D939" s="1"/>
      <c r="E939" s="1"/>
      <c r="F939" s="1"/>
      <c r="G939" s="1"/>
    </row>
    <row r="940" spans="2:7" x14ac:dyDescent="0.3">
      <c r="B940" s="8"/>
      <c r="C940" s="1"/>
      <c r="D940" s="1"/>
      <c r="E940" s="1"/>
      <c r="F940" s="1"/>
      <c r="G940" s="1"/>
    </row>
    <row r="941" spans="2:7" x14ac:dyDescent="0.3">
      <c r="B941" s="8"/>
      <c r="C941" s="1"/>
      <c r="D941" s="1"/>
      <c r="E941" s="1"/>
      <c r="F941" s="1"/>
      <c r="G941" s="1"/>
    </row>
    <row r="942" spans="2:7" x14ac:dyDescent="0.3">
      <c r="B942" s="8"/>
      <c r="C942" s="1"/>
      <c r="D942" s="1"/>
      <c r="E942" s="1"/>
      <c r="F942" s="1"/>
      <c r="G942" s="1"/>
    </row>
    <row r="943" spans="2:7" x14ac:dyDescent="0.3">
      <c r="B943" s="8"/>
      <c r="C943" s="1"/>
      <c r="D943" s="1"/>
      <c r="E943" s="1"/>
      <c r="F943" s="1"/>
      <c r="G943" s="1"/>
    </row>
    <row r="944" spans="2:7" x14ac:dyDescent="0.3">
      <c r="B944" s="8"/>
      <c r="C944" s="1"/>
      <c r="D944" s="1"/>
      <c r="E944" s="1"/>
      <c r="F944" s="1"/>
      <c r="G944" s="1"/>
    </row>
    <row r="945" spans="2:7" x14ac:dyDescent="0.3">
      <c r="B945" s="8"/>
      <c r="C945" s="1"/>
      <c r="D945" s="1"/>
      <c r="E945" s="1"/>
      <c r="F945" s="1"/>
      <c r="G945" s="1"/>
    </row>
    <row r="946" spans="2:7" x14ac:dyDescent="0.3">
      <c r="B946" s="8"/>
      <c r="C946" s="1"/>
      <c r="D946" s="1"/>
      <c r="E946" s="1"/>
      <c r="F946" s="1"/>
      <c r="G946" s="1"/>
    </row>
    <row r="947" spans="2:7" x14ac:dyDescent="0.3">
      <c r="B947" s="8"/>
      <c r="C947" s="1"/>
      <c r="D947" s="1"/>
      <c r="E947" s="1"/>
      <c r="F947" s="1"/>
      <c r="G947" s="1"/>
    </row>
    <row r="948" spans="2:7" x14ac:dyDescent="0.3">
      <c r="B948" s="8"/>
      <c r="C948" s="1"/>
      <c r="D948" s="1"/>
      <c r="E948" s="1"/>
      <c r="F948" s="1"/>
      <c r="G948" s="1"/>
    </row>
    <row r="949" spans="2:7" x14ac:dyDescent="0.3">
      <c r="B949" s="8"/>
      <c r="C949" s="1"/>
      <c r="D949" s="1"/>
      <c r="E949" s="1"/>
      <c r="F949" s="1"/>
      <c r="G949" s="1"/>
    </row>
    <row r="950" spans="2:7" x14ac:dyDescent="0.3">
      <c r="B950" s="8"/>
      <c r="C950" s="1"/>
      <c r="D950" s="1"/>
      <c r="E950" s="1"/>
      <c r="F950" s="1"/>
      <c r="G950" s="1"/>
    </row>
    <row r="951" spans="2:7" x14ac:dyDescent="0.3">
      <c r="B951" s="8"/>
      <c r="C951" s="1"/>
      <c r="D951" s="1"/>
      <c r="E951" s="1"/>
      <c r="F951" s="1"/>
      <c r="G951" s="1"/>
    </row>
    <row r="952" spans="2:7" x14ac:dyDescent="0.3">
      <c r="B952" s="8"/>
      <c r="C952" s="1"/>
      <c r="D952" s="1"/>
      <c r="E952" s="1"/>
      <c r="F952" s="1"/>
      <c r="G952" s="1"/>
    </row>
    <row r="953" spans="2:7" x14ac:dyDescent="0.3">
      <c r="B953" s="8"/>
      <c r="C953" s="1"/>
      <c r="D953" s="1"/>
      <c r="E953" s="1"/>
      <c r="F953" s="1"/>
      <c r="G953" s="1"/>
    </row>
    <row r="954" spans="2:7" x14ac:dyDescent="0.3">
      <c r="B954" s="8"/>
      <c r="C954" s="1"/>
      <c r="D954" s="1"/>
      <c r="E954" s="1"/>
      <c r="F954" s="1"/>
      <c r="G954" s="1"/>
    </row>
    <row r="955" spans="2:7" x14ac:dyDescent="0.3">
      <c r="B955" s="8"/>
      <c r="C955" s="1"/>
      <c r="D955" s="1"/>
      <c r="E955" s="1"/>
      <c r="F955" s="1"/>
      <c r="G955" s="1"/>
    </row>
    <row r="956" spans="2:7" x14ac:dyDescent="0.3">
      <c r="B956" s="8"/>
      <c r="C956" s="1"/>
      <c r="D956" s="1"/>
      <c r="E956" s="1"/>
      <c r="F956" s="1"/>
      <c r="G956" s="1"/>
    </row>
    <row r="957" spans="2:7" x14ac:dyDescent="0.3">
      <c r="B957" s="8"/>
      <c r="C957" s="1"/>
      <c r="D957" s="1"/>
      <c r="E957" s="1"/>
      <c r="F957" s="1"/>
      <c r="G957" s="1"/>
    </row>
    <row r="958" spans="2:7" x14ac:dyDescent="0.3">
      <c r="B958" s="8"/>
      <c r="C958" s="1"/>
      <c r="D958" s="1"/>
      <c r="E958" s="1"/>
      <c r="F958" s="1"/>
      <c r="G958" s="1"/>
    </row>
    <row r="959" spans="2:7" x14ac:dyDescent="0.3">
      <c r="B959" s="8"/>
      <c r="C959" s="1"/>
      <c r="D959" s="1"/>
      <c r="E959" s="1"/>
      <c r="F959" s="1"/>
      <c r="G959" s="1"/>
    </row>
    <row r="960" spans="2:7" x14ac:dyDescent="0.3">
      <c r="B960" s="8"/>
      <c r="C960" s="1"/>
      <c r="D960" s="1"/>
      <c r="E960" s="1"/>
      <c r="F960" s="1"/>
      <c r="G960" s="1"/>
    </row>
    <row r="961" spans="2:7" x14ac:dyDescent="0.3">
      <c r="B961" s="8"/>
      <c r="C961" s="1"/>
      <c r="D961" s="1"/>
      <c r="E961" s="1"/>
      <c r="F961" s="1"/>
      <c r="G961" s="1"/>
    </row>
    <row r="962" spans="2:7" x14ac:dyDescent="0.3">
      <c r="B962" s="8"/>
      <c r="C962" s="1"/>
      <c r="D962" s="1"/>
      <c r="E962" s="1"/>
      <c r="F962" s="1"/>
      <c r="G962" s="1"/>
    </row>
    <row r="963" spans="2:7" x14ac:dyDescent="0.3">
      <c r="B963" s="8"/>
      <c r="C963" s="1"/>
      <c r="D963" s="1"/>
      <c r="E963" s="1"/>
      <c r="F963" s="1"/>
      <c r="G963" s="1"/>
    </row>
    <row r="964" spans="2:7" x14ac:dyDescent="0.3">
      <c r="B964" s="8"/>
      <c r="C964" s="1"/>
      <c r="D964" s="1"/>
      <c r="E964" s="1"/>
      <c r="F964" s="1"/>
      <c r="G964" s="1"/>
    </row>
    <row r="965" spans="2:7" x14ac:dyDescent="0.3">
      <c r="B965" s="8"/>
      <c r="C965" s="1"/>
      <c r="D965" s="1"/>
      <c r="E965" s="1"/>
      <c r="F965" s="1"/>
      <c r="G965" s="1"/>
    </row>
    <row r="966" spans="2:7" x14ac:dyDescent="0.3">
      <c r="B966" s="8"/>
      <c r="C966" s="1"/>
      <c r="D966" s="1"/>
      <c r="E966" s="1"/>
      <c r="F966" s="1"/>
      <c r="G966" s="1"/>
    </row>
    <row r="967" spans="2:7" x14ac:dyDescent="0.3">
      <c r="B967" s="8"/>
      <c r="C967" s="1"/>
      <c r="D967" s="1"/>
      <c r="E967" s="1"/>
      <c r="F967" s="1"/>
      <c r="G967" s="1"/>
    </row>
    <row r="968" spans="2:7" x14ac:dyDescent="0.3">
      <c r="B968" s="8"/>
      <c r="C968" s="1"/>
      <c r="D968" s="1"/>
      <c r="E968" s="1"/>
      <c r="F968" s="1"/>
      <c r="G968" s="1"/>
    </row>
    <row r="969" spans="2:7" x14ac:dyDescent="0.3">
      <c r="B969" s="8"/>
      <c r="C969" s="1"/>
      <c r="D969" s="1"/>
      <c r="E969" s="1"/>
      <c r="F969" s="1"/>
      <c r="G969" s="1"/>
    </row>
    <row r="970" spans="2:7" x14ac:dyDescent="0.3">
      <c r="B970" s="8"/>
      <c r="C970" s="1"/>
      <c r="D970" s="1"/>
      <c r="E970" s="1"/>
      <c r="F970" s="1"/>
      <c r="G970" s="1"/>
    </row>
    <row r="971" spans="2:7" x14ac:dyDescent="0.3">
      <c r="B971" s="8"/>
      <c r="C971" s="1"/>
      <c r="D971" s="1"/>
      <c r="E971" s="1"/>
      <c r="F971" s="1"/>
      <c r="G971" s="1"/>
    </row>
    <row r="972" spans="2:7" x14ac:dyDescent="0.3">
      <c r="B972" s="8"/>
      <c r="C972" s="1"/>
      <c r="D972" s="1"/>
      <c r="E972" s="1"/>
      <c r="F972" s="1"/>
      <c r="G972" s="1"/>
    </row>
    <row r="973" spans="2:7" x14ac:dyDescent="0.3">
      <c r="B973" s="8"/>
      <c r="C973" s="1"/>
      <c r="D973" s="1"/>
      <c r="E973" s="1"/>
      <c r="F973" s="1"/>
      <c r="G973" s="1"/>
    </row>
    <row r="974" spans="2:7" x14ac:dyDescent="0.3">
      <c r="B974" s="8"/>
      <c r="C974" s="1"/>
      <c r="D974" s="1"/>
      <c r="E974" s="1"/>
      <c r="F974" s="1"/>
      <c r="G974" s="1"/>
    </row>
    <row r="975" spans="2:7" x14ac:dyDescent="0.3">
      <c r="B975" s="8"/>
      <c r="C975" s="1"/>
      <c r="D975" s="1"/>
      <c r="E975" s="1"/>
      <c r="F975" s="1"/>
      <c r="G975" s="1"/>
    </row>
    <row r="976" spans="2:7" x14ac:dyDescent="0.3">
      <c r="B976" s="8"/>
      <c r="C976" s="1"/>
      <c r="D976" s="1"/>
      <c r="E976" s="1"/>
      <c r="F976" s="1"/>
      <c r="G976" s="1"/>
    </row>
    <row r="977" spans="2:7" x14ac:dyDescent="0.3">
      <c r="B977" s="8"/>
      <c r="C977" s="1"/>
      <c r="D977" s="1"/>
      <c r="E977" s="1"/>
      <c r="F977" s="1"/>
      <c r="G977" s="1"/>
    </row>
    <row r="978" spans="2:7" x14ac:dyDescent="0.3">
      <c r="B978" s="8"/>
      <c r="C978" s="1"/>
      <c r="D978" s="1"/>
      <c r="E978" s="1"/>
      <c r="F978" s="1"/>
      <c r="G978" s="1"/>
    </row>
    <row r="979" spans="2:7" x14ac:dyDescent="0.3">
      <c r="B979" s="8"/>
      <c r="C979" s="1"/>
      <c r="D979" s="1"/>
      <c r="E979" s="1"/>
      <c r="F979" s="1"/>
      <c r="G979" s="1"/>
    </row>
    <row r="980" spans="2:7" x14ac:dyDescent="0.3">
      <c r="B980" s="8"/>
      <c r="C980" s="1"/>
      <c r="D980" s="1"/>
      <c r="E980" s="1"/>
      <c r="F980" s="1"/>
      <c r="G980" s="1"/>
    </row>
    <row r="981" spans="2:7" x14ac:dyDescent="0.3">
      <c r="B981" s="8"/>
      <c r="C981" s="1"/>
      <c r="D981" s="1"/>
      <c r="E981" s="1"/>
      <c r="F981" s="1"/>
      <c r="G981" s="1"/>
    </row>
    <row r="982" spans="2:7" x14ac:dyDescent="0.3">
      <c r="B982" s="8"/>
      <c r="C982" s="1"/>
      <c r="D982" s="1"/>
      <c r="E982" s="1"/>
      <c r="F982" s="1"/>
      <c r="G982" s="1"/>
    </row>
    <row r="983" spans="2:7" x14ac:dyDescent="0.3">
      <c r="B983" s="8"/>
      <c r="C983" s="1"/>
      <c r="D983" s="1"/>
      <c r="E983" s="1"/>
      <c r="F983" s="1"/>
      <c r="G983" s="1"/>
    </row>
    <row r="984" spans="2:7" x14ac:dyDescent="0.3">
      <c r="B984" s="8"/>
      <c r="C984" s="1"/>
      <c r="D984" s="1"/>
      <c r="E984" s="1"/>
      <c r="F984" s="1"/>
      <c r="G984" s="1"/>
    </row>
    <row r="985" spans="2:7" x14ac:dyDescent="0.3">
      <c r="B985" s="8"/>
      <c r="C985" s="1"/>
      <c r="D985" s="1"/>
      <c r="E985" s="1"/>
      <c r="F985" s="1"/>
      <c r="G985" s="1"/>
    </row>
    <row r="986" spans="2:7" x14ac:dyDescent="0.3">
      <c r="B986" s="8"/>
      <c r="C986" s="1"/>
      <c r="D986" s="1"/>
      <c r="E986" s="1"/>
      <c r="F986" s="1"/>
      <c r="G986" s="1"/>
    </row>
    <row r="987" spans="2:7" x14ac:dyDescent="0.3">
      <c r="B987" s="8"/>
      <c r="C987" s="1"/>
      <c r="D987" s="1"/>
      <c r="E987" s="1"/>
      <c r="F987" s="1"/>
      <c r="G987" s="1"/>
    </row>
    <row r="988" spans="2:7" x14ac:dyDescent="0.3">
      <c r="B988" s="8"/>
      <c r="C988" s="1"/>
      <c r="D988" s="1"/>
      <c r="E988" s="1"/>
      <c r="F988" s="1"/>
      <c r="G988" s="1"/>
    </row>
    <row r="989" spans="2:7" x14ac:dyDescent="0.3">
      <c r="B989" s="8"/>
      <c r="C989" s="1"/>
      <c r="D989" s="1"/>
      <c r="E989" s="1"/>
      <c r="F989" s="1"/>
      <c r="G989" s="1"/>
    </row>
    <row r="990" spans="2:7" x14ac:dyDescent="0.3">
      <c r="B990" s="8"/>
      <c r="C990" s="1"/>
      <c r="D990" s="1"/>
      <c r="E990" s="1"/>
      <c r="F990" s="1"/>
      <c r="G990" s="1"/>
    </row>
    <row r="991" spans="2:7" x14ac:dyDescent="0.3">
      <c r="B991" s="8"/>
      <c r="C991" s="1"/>
      <c r="D991" s="1"/>
      <c r="E991" s="1"/>
      <c r="F991" s="1"/>
      <c r="G991" s="1"/>
    </row>
    <row r="992" spans="2:7" x14ac:dyDescent="0.3">
      <c r="B992" s="8"/>
      <c r="C992" s="1"/>
      <c r="D992" s="1"/>
      <c r="E992" s="1"/>
      <c r="F992" s="1"/>
      <c r="G992" s="1"/>
    </row>
    <row r="993" spans="2:7" x14ac:dyDescent="0.3">
      <c r="B993" s="8"/>
      <c r="C993" s="1"/>
      <c r="D993" s="1"/>
      <c r="E993" s="1"/>
      <c r="F993" s="1"/>
      <c r="G993" s="1"/>
    </row>
    <row r="994" spans="2:7" x14ac:dyDescent="0.3">
      <c r="B994" s="8"/>
      <c r="C994" s="1"/>
      <c r="D994" s="1"/>
      <c r="E994" s="1"/>
      <c r="F994" s="1"/>
      <c r="G994" s="1"/>
    </row>
    <row r="995" spans="2:7" x14ac:dyDescent="0.3">
      <c r="B995" s="8"/>
      <c r="C995" s="1"/>
      <c r="D995" s="1"/>
      <c r="E995" s="1"/>
      <c r="F995" s="1"/>
      <c r="G995" s="1"/>
    </row>
    <row r="996" spans="2:7" x14ac:dyDescent="0.3">
      <c r="B996" s="8"/>
      <c r="C996" s="1"/>
      <c r="D996" s="1"/>
      <c r="E996" s="1"/>
      <c r="F996" s="1"/>
      <c r="G996" s="1"/>
    </row>
    <row r="997" spans="2:7" x14ac:dyDescent="0.3">
      <c r="B997" s="8"/>
      <c r="C997" s="1"/>
      <c r="D997" s="1"/>
      <c r="E997" s="1"/>
      <c r="F997" s="1"/>
      <c r="G997" s="1"/>
    </row>
    <row r="998" spans="2:7" x14ac:dyDescent="0.3">
      <c r="B998" s="8"/>
      <c r="C998" s="1"/>
      <c r="D998" s="1"/>
      <c r="E998" s="1"/>
      <c r="F998" s="1"/>
      <c r="G998" s="1"/>
    </row>
    <row r="999" spans="2:7" x14ac:dyDescent="0.3">
      <c r="B999" s="8"/>
      <c r="C999" s="1"/>
      <c r="D999" s="1"/>
      <c r="E999" s="1"/>
      <c r="F999" s="1"/>
      <c r="G999" s="1"/>
    </row>
    <row r="1000" spans="2:7" x14ac:dyDescent="0.3">
      <c r="B1000" s="8"/>
      <c r="C1000" s="1"/>
      <c r="D1000" s="1"/>
      <c r="E1000" s="1"/>
      <c r="F1000" s="1"/>
      <c r="G1000" s="1"/>
    </row>
    <row r="1001" spans="2:7" x14ac:dyDescent="0.3">
      <c r="B1001" s="8"/>
      <c r="C1001" s="1"/>
      <c r="D1001" s="1"/>
      <c r="E1001" s="1"/>
      <c r="F1001" s="1"/>
      <c r="G1001" s="1"/>
    </row>
    <row r="1002" spans="2:7" x14ac:dyDescent="0.3">
      <c r="B1002" s="8"/>
      <c r="C1002" s="1"/>
      <c r="D1002" s="1"/>
      <c r="E1002" s="1"/>
      <c r="F1002" s="1"/>
      <c r="G1002" s="1"/>
    </row>
    <row r="1003" spans="2:7" x14ac:dyDescent="0.3">
      <c r="B1003" s="8"/>
      <c r="C1003" s="1"/>
      <c r="D1003" s="1"/>
      <c r="E1003" s="1"/>
      <c r="F1003" s="1"/>
      <c r="G1003" s="1"/>
    </row>
    <row r="1004" spans="2:7" x14ac:dyDescent="0.3">
      <c r="B1004" s="8"/>
      <c r="C1004" s="1"/>
      <c r="D1004" s="1"/>
      <c r="E1004" s="1"/>
      <c r="F1004" s="1"/>
      <c r="G1004" s="1"/>
    </row>
    <row r="1005" spans="2:7" x14ac:dyDescent="0.3">
      <c r="B1005" s="8"/>
      <c r="C1005" s="1"/>
      <c r="D1005" s="1"/>
      <c r="E1005" s="1"/>
      <c r="F1005" s="1"/>
      <c r="G1005" s="1"/>
    </row>
    <row r="1006" spans="2:7" x14ac:dyDescent="0.3">
      <c r="B1006" s="8"/>
      <c r="C1006" s="1"/>
      <c r="D1006" s="1"/>
      <c r="E1006" s="1"/>
      <c r="F1006" s="1"/>
      <c r="G1006" s="1"/>
    </row>
    <row r="1007" spans="2:7" x14ac:dyDescent="0.3">
      <c r="B1007" s="8"/>
      <c r="C1007" s="1"/>
      <c r="D1007" s="1"/>
      <c r="E1007" s="1"/>
      <c r="F1007" s="1"/>
      <c r="G1007" s="1"/>
    </row>
    <row r="1008" spans="2:7" x14ac:dyDescent="0.3">
      <c r="B1008" s="8"/>
      <c r="C1008" s="1"/>
      <c r="D1008" s="1"/>
      <c r="E1008" s="1"/>
      <c r="F1008" s="1"/>
      <c r="G1008" s="1"/>
    </row>
    <row r="1009" spans="2:7" x14ac:dyDescent="0.3">
      <c r="B1009" s="8"/>
      <c r="C1009" s="1"/>
      <c r="D1009" s="1"/>
      <c r="E1009" s="1"/>
      <c r="F1009" s="1"/>
      <c r="G1009" s="1"/>
    </row>
    <row r="1010" spans="2:7" x14ac:dyDescent="0.3">
      <c r="B1010" s="8"/>
      <c r="C1010" s="1"/>
      <c r="D1010" s="1"/>
      <c r="E1010" s="1"/>
      <c r="F1010" s="1"/>
      <c r="G1010" s="1"/>
    </row>
    <row r="1011" spans="2:7" x14ac:dyDescent="0.3">
      <c r="B1011" s="8"/>
      <c r="C1011" s="1"/>
      <c r="D1011" s="1"/>
      <c r="E1011" s="1"/>
      <c r="F1011" s="1"/>
      <c r="G1011" s="1"/>
    </row>
    <row r="1012" spans="2:7" x14ac:dyDescent="0.3">
      <c r="B1012" s="8"/>
      <c r="C1012" s="1"/>
      <c r="D1012" s="1"/>
      <c r="E1012" s="1"/>
      <c r="F1012" s="1"/>
      <c r="G1012" s="1"/>
    </row>
    <row r="1013" spans="2:7" x14ac:dyDescent="0.3">
      <c r="B1013" s="8"/>
      <c r="C1013" s="1"/>
      <c r="D1013" s="1"/>
      <c r="E1013" s="1"/>
      <c r="F1013" s="1"/>
      <c r="G1013" s="1"/>
    </row>
    <row r="1014" spans="2:7" x14ac:dyDescent="0.3">
      <c r="B1014" s="8"/>
      <c r="C1014" s="1"/>
      <c r="D1014" s="1"/>
      <c r="E1014" s="1"/>
      <c r="F1014" s="1"/>
      <c r="G1014" s="1"/>
    </row>
    <row r="1015" spans="2:7" x14ac:dyDescent="0.3">
      <c r="B1015" s="8"/>
      <c r="C1015" s="1"/>
      <c r="D1015" s="1"/>
      <c r="E1015" s="1"/>
      <c r="F1015" s="1"/>
      <c r="G1015" s="1"/>
    </row>
    <row r="1016" spans="2:7" x14ac:dyDescent="0.3">
      <c r="B1016" s="8"/>
      <c r="C1016" s="1"/>
      <c r="D1016" s="1"/>
      <c r="E1016" s="1"/>
      <c r="F1016" s="1"/>
      <c r="G1016" s="1"/>
    </row>
    <row r="1017" spans="2:7" x14ac:dyDescent="0.3">
      <c r="B1017" s="8"/>
      <c r="C1017" s="1"/>
      <c r="D1017" s="1"/>
      <c r="E1017" s="1"/>
      <c r="F1017" s="1"/>
      <c r="G1017" s="1"/>
    </row>
    <row r="1018" spans="2:7" x14ac:dyDescent="0.3">
      <c r="B1018" s="8"/>
      <c r="C1018" s="1"/>
      <c r="D1018" s="1"/>
      <c r="E1018" s="1"/>
      <c r="F1018" s="1"/>
      <c r="G1018" s="1"/>
    </row>
    <row r="1019" spans="2:7" x14ac:dyDescent="0.3">
      <c r="B1019" s="8"/>
      <c r="C1019" s="1"/>
      <c r="D1019" s="1"/>
      <c r="E1019" s="1"/>
      <c r="F1019" s="1"/>
      <c r="G1019" s="1"/>
    </row>
    <row r="1020" spans="2:7" x14ac:dyDescent="0.3">
      <c r="B1020" s="8"/>
      <c r="C1020" s="1"/>
      <c r="D1020" s="1"/>
      <c r="E1020" s="1"/>
      <c r="F1020" s="1"/>
      <c r="G1020" s="1"/>
    </row>
    <row r="1021" spans="2:7" x14ac:dyDescent="0.3">
      <c r="B1021" s="8"/>
      <c r="C1021" s="1"/>
      <c r="D1021" s="1"/>
      <c r="E1021" s="1"/>
      <c r="F1021" s="1"/>
      <c r="G1021" s="1"/>
    </row>
    <row r="1022" spans="2:7" x14ac:dyDescent="0.3">
      <c r="B1022" s="8"/>
      <c r="C1022" s="1"/>
      <c r="D1022" s="1"/>
      <c r="E1022" s="1"/>
      <c r="F1022" s="1"/>
      <c r="G1022" s="1"/>
    </row>
    <row r="1023" spans="2:7" x14ac:dyDescent="0.3">
      <c r="B1023" s="8"/>
      <c r="C1023" s="1"/>
      <c r="D1023" s="1"/>
      <c r="E1023" s="1"/>
      <c r="F1023" s="1"/>
      <c r="G1023" s="1"/>
    </row>
    <row r="1024" spans="2:7" x14ac:dyDescent="0.3">
      <c r="B1024" s="8"/>
      <c r="C1024" s="1"/>
      <c r="D1024" s="1"/>
      <c r="E1024" s="1"/>
      <c r="F1024" s="1"/>
      <c r="G1024" s="1"/>
    </row>
    <row r="1025" spans="2:7" x14ac:dyDescent="0.3">
      <c r="B1025" s="8"/>
      <c r="C1025" s="1"/>
      <c r="D1025" s="1"/>
      <c r="E1025" s="1"/>
      <c r="F1025" s="1"/>
      <c r="G1025" s="1"/>
    </row>
    <row r="1026" spans="2:7" x14ac:dyDescent="0.3">
      <c r="B1026" s="8"/>
      <c r="C1026" s="1"/>
      <c r="D1026" s="1"/>
      <c r="E1026" s="1"/>
      <c r="F1026" s="1"/>
      <c r="G1026" s="1"/>
    </row>
    <row r="1027" spans="2:7" x14ac:dyDescent="0.3">
      <c r="B1027" s="8"/>
      <c r="C1027" s="1"/>
      <c r="D1027" s="1"/>
      <c r="E1027" s="1"/>
      <c r="F1027" s="1"/>
      <c r="G1027" s="1"/>
    </row>
    <row r="1028" spans="2:7" x14ac:dyDescent="0.3">
      <c r="B1028" s="8"/>
      <c r="C1028" s="1"/>
      <c r="D1028" s="1"/>
      <c r="E1028" s="1"/>
      <c r="F1028" s="1"/>
      <c r="G1028" s="1"/>
    </row>
    <row r="1029" spans="2:7" x14ac:dyDescent="0.3">
      <c r="B1029" s="8"/>
      <c r="C1029" s="1"/>
      <c r="D1029" s="1"/>
      <c r="E1029" s="1"/>
      <c r="F1029" s="1"/>
      <c r="G1029" s="1"/>
    </row>
    <row r="1030" spans="2:7" x14ac:dyDescent="0.3">
      <c r="B1030" s="8"/>
      <c r="C1030" s="1"/>
      <c r="D1030" s="1"/>
      <c r="E1030" s="1"/>
      <c r="F1030" s="1"/>
      <c r="G1030" s="1"/>
    </row>
    <row r="1031" spans="2:7" x14ac:dyDescent="0.3">
      <c r="B1031" s="8"/>
      <c r="C1031" s="1"/>
      <c r="D1031" s="1"/>
      <c r="E1031" s="1"/>
      <c r="F1031" s="1"/>
      <c r="G1031" s="1"/>
    </row>
    <row r="1032" spans="2:7" x14ac:dyDescent="0.3">
      <c r="B1032" s="8"/>
      <c r="C1032" s="1"/>
      <c r="D1032" s="1"/>
      <c r="E1032" s="1"/>
      <c r="F1032" s="1"/>
      <c r="G1032" s="1"/>
    </row>
    <row r="1033" spans="2:7" x14ac:dyDescent="0.3">
      <c r="B1033" s="8"/>
      <c r="C1033" s="1"/>
      <c r="D1033" s="1"/>
      <c r="E1033" s="1"/>
      <c r="F1033" s="1"/>
      <c r="G1033" s="1"/>
    </row>
    <row r="1034" spans="2:7" x14ac:dyDescent="0.3">
      <c r="B1034" s="8"/>
      <c r="C1034" s="1"/>
      <c r="D1034" s="1"/>
      <c r="E1034" s="1"/>
      <c r="F1034" s="1"/>
      <c r="G1034" s="1"/>
    </row>
    <row r="1035" spans="2:7" x14ac:dyDescent="0.3">
      <c r="B1035" s="8"/>
      <c r="C1035" s="1"/>
      <c r="D1035" s="1"/>
      <c r="E1035" s="1"/>
      <c r="F1035" s="1"/>
      <c r="G1035" s="1"/>
    </row>
    <row r="1036" spans="2:7" x14ac:dyDescent="0.3">
      <c r="B1036" s="8"/>
      <c r="C1036" s="1"/>
      <c r="D1036" s="1"/>
      <c r="E1036" s="1"/>
      <c r="F1036" s="1"/>
      <c r="G1036" s="1"/>
    </row>
    <row r="1037" spans="2:7" x14ac:dyDescent="0.3">
      <c r="B1037" s="8"/>
      <c r="C1037" s="1"/>
      <c r="D1037" s="1"/>
      <c r="E1037" s="1"/>
      <c r="F1037" s="1"/>
      <c r="G1037" s="1"/>
    </row>
    <row r="1038" spans="2:7" x14ac:dyDescent="0.3">
      <c r="B1038" s="8"/>
      <c r="C1038" s="1"/>
      <c r="D1038" s="1"/>
      <c r="E1038" s="1"/>
      <c r="F1038" s="1"/>
      <c r="G1038" s="1"/>
    </row>
    <row r="1039" spans="2:7" x14ac:dyDescent="0.3">
      <c r="B1039" s="8"/>
      <c r="C1039" s="1"/>
      <c r="D1039" s="1"/>
      <c r="E1039" s="1"/>
      <c r="F1039" s="1"/>
      <c r="G1039" s="1"/>
    </row>
    <row r="1040" spans="2:7" x14ac:dyDescent="0.3">
      <c r="B1040" s="8"/>
      <c r="C1040" s="1"/>
      <c r="D1040" s="1"/>
      <c r="E1040" s="1"/>
      <c r="F1040" s="1"/>
      <c r="G1040" s="1"/>
    </row>
    <row r="1041" spans="2:7" x14ac:dyDescent="0.3">
      <c r="B1041" s="8"/>
      <c r="C1041" s="1"/>
      <c r="D1041" s="1"/>
      <c r="E1041" s="1"/>
      <c r="F1041" s="1"/>
      <c r="G1041" s="1"/>
    </row>
    <row r="1042" spans="2:7" x14ac:dyDescent="0.3">
      <c r="B1042" s="8"/>
      <c r="C1042" s="1"/>
      <c r="D1042" s="1"/>
      <c r="E1042" s="1"/>
      <c r="F1042" s="1"/>
      <c r="G1042" s="1"/>
    </row>
    <row r="1043" spans="2:7" x14ac:dyDescent="0.3">
      <c r="B1043" s="8"/>
      <c r="C1043" s="1"/>
      <c r="D1043" s="1"/>
      <c r="E1043" s="1"/>
      <c r="F1043" s="1"/>
      <c r="G1043" s="1"/>
    </row>
    <row r="1044" spans="2:7" x14ac:dyDescent="0.3">
      <c r="B1044" s="8"/>
      <c r="C1044" s="1"/>
      <c r="D1044" s="1"/>
      <c r="E1044" s="1"/>
      <c r="F1044" s="1"/>
      <c r="G1044" s="1"/>
    </row>
    <row r="1045" spans="2:7" x14ac:dyDescent="0.3">
      <c r="B1045" s="8"/>
      <c r="C1045" s="1"/>
      <c r="D1045" s="1"/>
      <c r="E1045" s="1"/>
      <c r="F1045" s="1"/>
      <c r="G1045" s="1"/>
    </row>
    <row r="1046" spans="2:7" x14ac:dyDescent="0.3">
      <c r="B1046" s="8"/>
      <c r="C1046" s="1"/>
      <c r="D1046" s="1"/>
      <c r="E1046" s="1"/>
      <c r="F1046" s="1"/>
      <c r="G1046" s="1"/>
    </row>
    <row r="1047" spans="2:7" x14ac:dyDescent="0.3">
      <c r="B1047" s="8"/>
      <c r="C1047" s="1"/>
      <c r="D1047" s="1"/>
      <c r="E1047" s="1"/>
      <c r="F1047" s="1"/>
      <c r="G1047" s="1"/>
    </row>
    <row r="1048" spans="2:7" x14ac:dyDescent="0.3">
      <c r="B1048" s="8"/>
      <c r="C1048" s="1"/>
      <c r="D1048" s="1"/>
      <c r="E1048" s="1"/>
      <c r="F1048" s="1"/>
      <c r="G1048" s="1"/>
    </row>
    <row r="1049" spans="2:7" x14ac:dyDescent="0.3">
      <c r="B1049" s="8"/>
      <c r="C1049" s="1"/>
      <c r="D1049" s="1"/>
      <c r="E1049" s="1"/>
      <c r="F1049" s="1"/>
      <c r="G1049" s="1"/>
    </row>
    <row r="1050" spans="2:7" x14ac:dyDescent="0.3">
      <c r="B1050" s="8"/>
      <c r="C1050" s="1"/>
      <c r="D1050" s="1"/>
      <c r="E1050" s="1"/>
      <c r="F1050" s="1"/>
      <c r="G1050" s="1"/>
    </row>
    <row r="1051" spans="2:7" x14ac:dyDescent="0.3">
      <c r="B1051" s="8"/>
      <c r="C1051" s="1"/>
      <c r="D1051" s="1"/>
      <c r="E1051" s="1"/>
      <c r="F1051" s="1"/>
      <c r="G1051" s="1"/>
    </row>
    <row r="1052" spans="2:7" x14ac:dyDescent="0.3">
      <c r="B1052" s="8"/>
      <c r="C1052" s="1"/>
      <c r="D1052" s="1"/>
      <c r="E1052" s="1"/>
      <c r="F1052" s="1"/>
      <c r="G1052" s="1"/>
    </row>
    <row r="1053" spans="2:7" x14ac:dyDescent="0.3">
      <c r="B1053" s="8"/>
      <c r="C1053" s="1"/>
      <c r="D1053" s="1"/>
      <c r="E1053" s="1"/>
      <c r="F1053" s="1"/>
      <c r="G1053" s="1"/>
    </row>
    <row r="1054" spans="2:7" x14ac:dyDescent="0.3">
      <c r="B1054" s="8"/>
      <c r="C1054" s="1"/>
      <c r="D1054" s="1"/>
      <c r="E1054" s="1"/>
      <c r="F1054" s="1"/>
      <c r="G1054" s="1"/>
    </row>
    <row r="1055" spans="2:7" x14ac:dyDescent="0.3">
      <c r="B1055" s="8"/>
      <c r="C1055" s="1"/>
      <c r="D1055" s="1"/>
      <c r="E1055" s="1"/>
      <c r="F1055" s="1"/>
      <c r="G1055" s="1"/>
    </row>
    <row r="1056" spans="2:7" x14ac:dyDescent="0.3">
      <c r="B1056" s="8"/>
      <c r="C1056" s="1"/>
      <c r="D1056" s="1"/>
      <c r="E1056" s="1"/>
      <c r="F1056" s="1"/>
      <c r="G1056" s="1"/>
    </row>
    <row r="1057" spans="2:7" x14ac:dyDescent="0.3">
      <c r="B1057" s="8"/>
      <c r="C1057" s="1"/>
      <c r="D1057" s="1"/>
      <c r="E1057" s="1"/>
      <c r="F1057" s="1"/>
      <c r="G1057" s="1"/>
    </row>
    <row r="1058" spans="2:7" x14ac:dyDescent="0.3">
      <c r="B1058" s="8"/>
      <c r="C1058" s="1"/>
      <c r="D1058" s="1"/>
      <c r="E1058" s="1"/>
      <c r="F1058" s="1"/>
      <c r="G1058" s="1"/>
    </row>
    <row r="1059" spans="2:7" x14ac:dyDescent="0.3">
      <c r="B1059" s="8"/>
      <c r="C1059" s="1"/>
      <c r="D1059" s="1"/>
      <c r="E1059" s="1"/>
      <c r="F1059" s="1"/>
      <c r="G1059" s="1"/>
    </row>
    <row r="1060" spans="2:7" x14ac:dyDescent="0.3">
      <c r="B1060" s="8"/>
      <c r="C1060" s="1"/>
      <c r="D1060" s="1"/>
      <c r="E1060" s="1"/>
      <c r="F1060" s="1"/>
      <c r="G1060" s="1"/>
    </row>
    <row r="1061" spans="2:7" x14ac:dyDescent="0.3">
      <c r="B1061" s="8"/>
      <c r="C1061" s="1"/>
      <c r="D1061" s="1"/>
      <c r="E1061" s="1"/>
      <c r="F1061" s="1"/>
      <c r="G1061" s="1"/>
    </row>
    <row r="1062" spans="2:7" x14ac:dyDescent="0.3">
      <c r="B1062" s="8"/>
      <c r="C1062" s="1"/>
      <c r="D1062" s="1"/>
      <c r="E1062" s="1"/>
      <c r="F1062" s="1"/>
      <c r="G1062" s="1"/>
    </row>
    <row r="1063" spans="2:7" x14ac:dyDescent="0.3">
      <c r="B1063" s="8"/>
      <c r="C1063" s="1"/>
      <c r="D1063" s="1"/>
      <c r="E1063" s="1"/>
      <c r="F1063" s="1"/>
      <c r="G1063" s="1"/>
    </row>
    <row r="1064" spans="2:7" x14ac:dyDescent="0.3">
      <c r="B1064" s="8"/>
      <c r="C1064" s="1"/>
      <c r="D1064" s="1"/>
      <c r="E1064" s="1"/>
      <c r="F1064" s="1"/>
      <c r="G1064" s="1"/>
    </row>
    <row r="1065" spans="2:7" x14ac:dyDescent="0.3">
      <c r="B1065" s="8"/>
      <c r="C1065" s="1"/>
      <c r="D1065" s="1"/>
      <c r="E1065" s="1"/>
      <c r="F1065" s="1"/>
      <c r="G1065" s="1"/>
    </row>
    <row r="1066" spans="2:7" x14ac:dyDescent="0.3">
      <c r="B1066" s="8"/>
      <c r="C1066" s="1"/>
      <c r="D1066" s="1"/>
      <c r="E1066" s="1"/>
      <c r="F1066" s="1"/>
      <c r="G1066" s="1"/>
    </row>
    <row r="1067" spans="2:7" x14ac:dyDescent="0.3">
      <c r="B1067" s="8"/>
      <c r="C1067" s="1"/>
      <c r="D1067" s="1"/>
      <c r="E1067" s="1"/>
      <c r="F1067" s="1"/>
      <c r="G1067" s="1"/>
    </row>
    <row r="1068" spans="2:7" x14ac:dyDescent="0.3">
      <c r="B1068" s="8"/>
      <c r="C1068" s="1"/>
      <c r="D1068" s="1"/>
      <c r="E1068" s="1"/>
      <c r="F1068" s="1"/>
      <c r="G1068" s="1"/>
    </row>
    <row r="1069" spans="2:7" x14ac:dyDescent="0.3">
      <c r="B1069" s="8"/>
      <c r="C1069" s="1"/>
      <c r="D1069" s="1"/>
      <c r="E1069" s="1"/>
      <c r="F1069" s="1"/>
      <c r="G1069" s="1"/>
    </row>
    <row r="1070" spans="2:7" x14ac:dyDescent="0.3">
      <c r="B1070" s="8"/>
      <c r="C1070" s="1"/>
      <c r="D1070" s="1"/>
      <c r="E1070" s="1"/>
      <c r="F1070" s="1"/>
      <c r="G1070" s="1"/>
    </row>
    <row r="1071" spans="2:7" x14ac:dyDescent="0.3">
      <c r="B1071" s="8"/>
      <c r="C1071" s="1"/>
      <c r="D1071" s="1"/>
      <c r="E1071" s="1"/>
      <c r="F1071" s="1"/>
      <c r="G1071" s="1"/>
    </row>
    <row r="1072" spans="2:7" x14ac:dyDescent="0.3">
      <c r="B1072" s="8"/>
      <c r="C1072" s="1"/>
      <c r="D1072" s="1"/>
      <c r="E1072" s="1"/>
      <c r="F1072" s="1"/>
      <c r="G1072" s="1"/>
    </row>
    <row r="1073" spans="2:7" x14ac:dyDescent="0.3">
      <c r="B1073" s="8"/>
      <c r="C1073" s="1"/>
      <c r="D1073" s="1"/>
      <c r="E1073" s="1"/>
      <c r="F1073" s="1"/>
      <c r="G1073" s="1"/>
    </row>
    <row r="1074" spans="2:7" x14ac:dyDescent="0.3">
      <c r="B1074" s="8"/>
      <c r="C1074" s="1"/>
      <c r="D1074" s="1"/>
      <c r="E1074" s="1"/>
      <c r="F1074" s="1"/>
      <c r="G1074" s="1"/>
    </row>
    <row r="1075" spans="2:7" x14ac:dyDescent="0.3">
      <c r="B1075" s="8"/>
      <c r="C1075" s="1"/>
      <c r="D1075" s="1"/>
      <c r="E1075" s="1"/>
      <c r="F1075" s="1"/>
      <c r="G1075" s="1"/>
    </row>
    <row r="1076" spans="2:7" x14ac:dyDescent="0.3">
      <c r="B1076" s="8"/>
      <c r="C1076" s="1"/>
      <c r="D1076" s="1"/>
      <c r="E1076" s="1"/>
      <c r="F1076" s="1"/>
      <c r="G1076" s="1"/>
    </row>
    <row r="1077" spans="2:7" x14ac:dyDescent="0.3">
      <c r="B1077" s="8"/>
      <c r="C1077" s="1"/>
      <c r="D1077" s="1"/>
      <c r="E1077" s="1"/>
      <c r="F1077" s="1"/>
      <c r="G1077" s="1"/>
    </row>
    <row r="1078" spans="2:7" x14ac:dyDescent="0.3">
      <c r="B1078" s="8"/>
      <c r="C1078" s="1"/>
      <c r="D1078" s="1"/>
      <c r="E1078" s="1"/>
      <c r="F1078" s="1"/>
      <c r="G1078" s="1"/>
    </row>
    <row r="1079" spans="2:7" x14ac:dyDescent="0.3">
      <c r="B1079" s="8"/>
      <c r="C1079" s="1"/>
      <c r="D1079" s="1"/>
      <c r="E1079" s="1"/>
      <c r="F1079" s="1"/>
      <c r="G1079" s="1"/>
    </row>
    <row r="1080" spans="2:7" x14ac:dyDescent="0.3">
      <c r="B1080" s="8"/>
      <c r="C1080" s="1"/>
      <c r="D1080" s="1"/>
      <c r="E1080" s="1"/>
      <c r="F1080" s="1"/>
      <c r="G1080" s="1"/>
    </row>
    <row r="1081" spans="2:7" x14ac:dyDescent="0.3">
      <c r="B1081" s="8"/>
      <c r="C1081" s="1"/>
      <c r="D1081" s="1"/>
      <c r="E1081" s="1"/>
      <c r="F1081" s="1"/>
      <c r="G1081" s="1"/>
    </row>
    <row r="1082" spans="2:7" x14ac:dyDescent="0.3">
      <c r="B1082" s="8"/>
      <c r="C1082" s="1"/>
      <c r="D1082" s="1"/>
      <c r="E1082" s="1"/>
      <c r="F1082" s="1"/>
      <c r="G1082" s="1"/>
    </row>
    <row r="1083" spans="2:7" x14ac:dyDescent="0.3">
      <c r="B1083" s="8"/>
      <c r="C1083" s="1"/>
      <c r="D1083" s="1"/>
      <c r="E1083" s="1"/>
      <c r="F1083" s="1"/>
      <c r="G1083" s="1"/>
    </row>
    <row r="1084" spans="2:7" x14ac:dyDescent="0.3">
      <c r="B1084" s="8"/>
      <c r="C1084" s="1"/>
      <c r="D1084" s="1"/>
      <c r="E1084" s="1"/>
      <c r="F1084" s="1"/>
      <c r="G1084" s="1"/>
    </row>
    <row r="1085" spans="2:7" x14ac:dyDescent="0.3">
      <c r="B1085" s="8"/>
      <c r="C1085" s="1"/>
      <c r="D1085" s="1"/>
      <c r="E1085" s="1"/>
      <c r="F1085" s="1"/>
      <c r="G1085" s="1"/>
    </row>
    <row r="1086" spans="2:7" x14ac:dyDescent="0.3">
      <c r="B1086" s="8"/>
      <c r="C1086" s="1"/>
      <c r="D1086" s="1"/>
      <c r="E1086" s="1"/>
      <c r="F1086" s="1"/>
      <c r="G1086" s="1"/>
    </row>
    <row r="1087" spans="2:7" x14ac:dyDescent="0.3">
      <c r="B1087" s="8"/>
      <c r="C1087" s="1"/>
      <c r="D1087" s="1"/>
      <c r="E1087" s="1"/>
      <c r="F1087" s="1"/>
      <c r="G1087" s="1"/>
    </row>
    <row r="1088" spans="2:7" x14ac:dyDescent="0.3">
      <c r="B1088" s="8"/>
      <c r="C1088" s="1"/>
      <c r="D1088" s="1"/>
      <c r="E1088" s="1"/>
      <c r="F1088" s="1"/>
      <c r="G1088" s="1"/>
    </row>
    <row r="1089" spans="2:7" x14ac:dyDescent="0.3">
      <c r="B1089" s="8"/>
      <c r="C1089" s="1"/>
      <c r="D1089" s="1"/>
      <c r="E1089" s="1"/>
      <c r="F1089" s="1"/>
      <c r="G1089" s="1"/>
    </row>
    <row r="1090" spans="2:7" x14ac:dyDescent="0.3">
      <c r="B1090" s="8"/>
      <c r="C1090" s="1"/>
      <c r="D1090" s="1"/>
      <c r="E1090" s="1"/>
      <c r="F1090" s="1"/>
      <c r="G1090" s="1"/>
    </row>
    <row r="1091" spans="2:7" x14ac:dyDescent="0.3">
      <c r="B1091" s="8"/>
      <c r="C1091" s="1"/>
      <c r="D1091" s="1"/>
      <c r="E1091" s="1"/>
      <c r="F1091" s="1"/>
      <c r="G1091" s="1"/>
    </row>
    <row r="1092" spans="2:7" x14ac:dyDescent="0.3">
      <c r="B1092" s="8"/>
      <c r="C1092" s="1"/>
      <c r="D1092" s="1"/>
      <c r="E1092" s="1"/>
      <c r="F1092" s="1"/>
      <c r="G1092" s="1"/>
    </row>
    <row r="1093" spans="2:7" x14ac:dyDescent="0.3">
      <c r="B1093" s="8"/>
      <c r="C1093" s="1"/>
      <c r="D1093" s="1"/>
      <c r="E1093" s="1"/>
      <c r="F1093" s="1"/>
      <c r="G1093" s="1"/>
    </row>
    <row r="1094" spans="2:7" x14ac:dyDescent="0.3">
      <c r="B1094" s="8"/>
      <c r="C1094" s="1"/>
      <c r="D1094" s="1"/>
      <c r="E1094" s="1"/>
      <c r="F1094" s="1"/>
      <c r="G1094" s="1"/>
    </row>
    <row r="1095" spans="2:7" x14ac:dyDescent="0.3">
      <c r="B1095" s="8"/>
      <c r="C1095" s="1"/>
      <c r="D1095" s="1"/>
      <c r="E1095" s="1"/>
      <c r="F1095" s="1"/>
      <c r="G1095" s="1"/>
    </row>
    <row r="1096" spans="2:7" x14ac:dyDescent="0.3">
      <c r="B1096" s="8"/>
      <c r="C1096" s="1"/>
      <c r="D1096" s="1"/>
      <c r="E1096" s="1"/>
      <c r="F1096" s="1"/>
      <c r="G1096" s="1"/>
    </row>
    <row r="1097" spans="2:7" x14ac:dyDescent="0.3">
      <c r="B1097" s="8"/>
      <c r="C1097" s="1"/>
      <c r="D1097" s="1"/>
      <c r="E1097" s="1"/>
      <c r="F1097" s="1"/>
      <c r="G1097" s="1"/>
    </row>
    <row r="1098" spans="2:7" x14ac:dyDescent="0.3">
      <c r="B1098" s="8"/>
      <c r="C1098" s="1"/>
      <c r="D1098" s="1"/>
      <c r="E1098" s="1"/>
      <c r="F1098" s="1"/>
      <c r="G1098" s="1"/>
    </row>
    <row r="1099" spans="2:7" x14ac:dyDescent="0.3">
      <c r="B1099" s="8"/>
      <c r="C1099" s="1"/>
      <c r="D1099" s="1"/>
      <c r="E1099" s="1"/>
      <c r="F1099" s="1"/>
      <c r="G1099" s="1"/>
    </row>
    <row r="1100" spans="2:7" x14ac:dyDescent="0.3">
      <c r="B1100" s="8"/>
      <c r="C1100" s="1"/>
      <c r="D1100" s="1"/>
      <c r="E1100" s="1"/>
      <c r="F1100" s="1"/>
      <c r="G1100" s="1"/>
    </row>
    <row r="1101" spans="2:7" x14ac:dyDescent="0.3">
      <c r="B1101" s="8"/>
      <c r="C1101" s="1"/>
      <c r="D1101" s="1"/>
      <c r="E1101" s="1"/>
      <c r="F1101" s="1"/>
      <c r="G1101" s="1"/>
    </row>
    <row r="1102" spans="2:7" x14ac:dyDescent="0.3">
      <c r="B1102" s="8"/>
      <c r="C1102" s="1"/>
      <c r="D1102" s="1"/>
      <c r="E1102" s="1"/>
      <c r="F1102" s="1"/>
      <c r="G1102" s="1"/>
    </row>
    <row r="1103" spans="2:7" x14ac:dyDescent="0.3">
      <c r="B1103" s="8"/>
      <c r="C1103" s="1"/>
      <c r="D1103" s="1"/>
      <c r="E1103" s="1"/>
      <c r="F1103" s="1"/>
      <c r="G1103" s="1"/>
    </row>
    <row r="1104" spans="2:7" x14ac:dyDescent="0.3">
      <c r="B1104" s="8"/>
      <c r="C1104" s="1"/>
      <c r="D1104" s="1"/>
      <c r="E1104" s="1"/>
      <c r="F1104" s="1"/>
      <c r="G1104" s="1"/>
    </row>
    <row r="1105" spans="2:7" x14ac:dyDescent="0.3">
      <c r="B1105" s="8"/>
      <c r="C1105" s="1"/>
      <c r="D1105" s="1"/>
      <c r="E1105" s="1"/>
      <c r="F1105" s="1"/>
      <c r="G1105" s="1"/>
    </row>
    <row r="1106" spans="2:7" x14ac:dyDescent="0.3">
      <c r="B1106" s="8"/>
      <c r="C1106" s="1"/>
      <c r="D1106" s="1"/>
      <c r="E1106" s="1"/>
      <c r="F1106" s="1"/>
      <c r="G1106" s="1"/>
    </row>
    <row r="1107" spans="2:7" x14ac:dyDescent="0.3">
      <c r="B1107" s="8"/>
      <c r="C1107" s="1"/>
      <c r="D1107" s="1"/>
      <c r="E1107" s="1"/>
      <c r="F1107" s="1"/>
      <c r="G1107" s="1"/>
    </row>
    <row r="1108" spans="2:7" x14ac:dyDescent="0.3">
      <c r="B1108" s="8"/>
      <c r="C1108" s="1"/>
      <c r="D1108" s="1"/>
      <c r="E1108" s="1"/>
      <c r="F1108" s="1"/>
      <c r="G1108" s="1"/>
    </row>
    <row r="1109" spans="2:7" x14ac:dyDescent="0.3">
      <c r="B1109" s="8"/>
      <c r="C1109" s="1"/>
      <c r="D1109" s="1"/>
      <c r="E1109" s="1"/>
      <c r="F1109" s="1"/>
      <c r="G1109" s="1"/>
    </row>
    <row r="1110" spans="2:7" x14ac:dyDescent="0.3">
      <c r="B1110" s="8"/>
      <c r="C1110" s="1"/>
      <c r="D1110" s="1"/>
      <c r="E1110" s="1"/>
      <c r="F1110" s="1"/>
      <c r="G1110" s="1"/>
    </row>
    <row r="1111" spans="2:7" x14ac:dyDescent="0.3">
      <c r="B1111" s="8"/>
      <c r="C1111" s="1"/>
      <c r="D1111" s="1"/>
      <c r="E1111" s="1"/>
      <c r="F1111" s="1"/>
      <c r="G1111" s="1"/>
    </row>
    <row r="1112" spans="2:7" x14ac:dyDescent="0.3">
      <c r="B1112" s="8"/>
      <c r="C1112" s="1"/>
      <c r="D1112" s="1"/>
      <c r="E1112" s="1"/>
      <c r="F1112" s="1"/>
      <c r="G1112" s="1"/>
    </row>
    <row r="1113" spans="2:7" x14ac:dyDescent="0.3">
      <c r="B1113" s="8"/>
      <c r="C1113" s="1"/>
      <c r="D1113" s="1"/>
      <c r="E1113" s="1"/>
      <c r="F1113" s="1"/>
      <c r="G1113" s="1"/>
    </row>
    <row r="1114" spans="2:7" x14ac:dyDescent="0.3">
      <c r="B1114" s="8"/>
      <c r="C1114" s="1"/>
      <c r="D1114" s="1"/>
      <c r="E1114" s="1"/>
      <c r="F1114" s="1"/>
      <c r="G1114" s="1"/>
    </row>
    <row r="1115" spans="2:7" x14ac:dyDescent="0.3">
      <c r="B1115" s="8"/>
      <c r="C1115" s="1"/>
      <c r="D1115" s="1"/>
      <c r="E1115" s="1"/>
      <c r="F1115" s="1"/>
      <c r="G1115" s="1"/>
    </row>
    <row r="1116" spans="2:7" x14ac:dyDescent="0.3">
      <c r="B1116" s="8"/>
      <c r="C1116" s="1"/>
      <c r="D1116" s="1"/>
      <c r="E1116" s="1"/>
      <c r="F1116" s="1"/>
      <c r="G1116" s="1"/>
    </row>
    <row r="1117" spans="2:7" x14ac:dyDescent="0.3">
      <c r="B1117" s="8"/>
      <c r="C1117" s="1"/>
      <c r="D1117" s="1"/>
      <c r="E1117" s="1"/>
      <c r="F1117" s="1"/>
      <c r="G1117" s="1"/>
    </row>
    <row r="1118" spans="2:7" x14ac:dyDescent="0.3">
      <c r="B1118" s="8"/>
      <c r="C1118" s="1"/>
      <c r="D1118" s="1"/>
      <c r="E1118" s="1"/>
      <c r="F1118" s="1"/>
      <c r="G1118" s="1"/>
    </row>
    <row r="1119" spans="2:7" x14ac:dyDescent="0.3">
      <c r="B1119" s="8"/>
      <c r="C1119" s="1"/>
      <c r="D1119" s="1"/>
      <c r="E1119" s="1"/>
      <c r="F1119" s="1"/>
      <c r="G1119" s="1"/>
    </row>
    <row r="1120" spans="2:7" x14ac:dyDescent="0.3">
      <c r="B1120" s="8"/>
      <c r="C1120" s="1"/>
      <c r="D1120" s="1"/>
      <c r="E1120" s="1"/>
      <c r="F1120" s="1"/>
      <c r="G1120" s="1"/>
    </row>
    <row r="1121" spans="2:7" x14ac:dyDescent="0.3">
      <c r="B1121" s="8"/>
      <c r="C1121" s="1"/>
      <c r="D1121" s="1"/>
      <c r="E1121" s="1"/>
      <c r="F1121" s="1"/>
      <c r="G1121" s="1"/>
    </row>
    <row r="1122" spans="2:7" x14ac:dyDescent="0.3">
      <c r="B1122" s="8"/>
      <c r="C1122" s="1"/>
      <c r="D1122" s="1"/>
      <c r="E1122" s="1"/>
      <c r="F1122" s="1"/>
      <c r="G1122" s="1"/>
    </row>
    <row r="1123" spans="2:7" x14ac:dyDescent="0.3">
      <c r="B1123" s="8"/>
      <c r="C1123" s="1"/>
      <c r="D1123" s="1"/>
      <c r="E1123" s="1"/>
      <c r="F1123" s="1"/>
      <c r="G1123" s="1"/>
    </row>
    <row r="1124" spans="2:7" x14ac:dyDescent="0.3">
      <c r="B1124" s="8"/>
      <c r="C1124" s="1"/>
      <c r="D1124" s="1"/>
      <c r="E1124" s="1"/>
      <c r="F1124" s="1"/>
      <c r="G1124" s="1"/>
    </row>
    <row r="1125" spans="2:7" x14ac:dyDescent="0.3">
      <c r="B1125" s="8"/>
      <c r="C1125" s="1"/>
      <c r="D1125" s="1"/>
      <c r="E1125" s="1"/>
      <c r="F1125" s="1"/>
      <c r="G1125" s="1"/>
    </row>
    <row r="1126" spans="2:7" x14ac:dyDescent="0.3">
      <c r="B1126" s="8"/>
      <c r="C1126" s="1"/>
      <c r="D1126" s="1"/>
      <c r="E1126" s="1"/>
      <c r="F1126" s="1"/>
      <c r="G1126" s="1"/>
    </row>
    <row r="1127" spans="2:7" x14ac:dyDescent="0.3">
      <c r="B1127" s="8"/>
      <c r="C1127" s="1"/>
      <c r="D1127" s="1"/>
      <c r="E1127" s="1"/>
      <c r="F1127" s="1"/>
      <c r="G1127" s="1"/>
    </row>
    <row r="1128" spans="2:7" x14ac:dyDescent="0.3">
      <c r="B1128" s="8"/>
      <c r="C1128" s="1"/>
      <c r="D1128" s="1"/>
      <c r="E1128" s="1"/>
      <c r="F1128" s="1"/>
      <c r="G1128" s="1"/>
    </row>
    <row r="1129" spans="2:7" x14ac:dyDescent="0.3">
      <c r="B1129" s="8"/>
      <c r="C1129" s="1"/>
      <c r="D1129" s="1"/>
      <c r="E1129" s="1"/>
      <c r="F1129" s="1"/>
      <c r="G1129" s="1"/>
    </row>
    <row r="1130" spans="2:7" x14ac:dyDescent="0.3">
      <c r="B1130" s="8"/>
      <c r="C1130" s="1"/>
      <c r="D1130" s="1"/>
      <c r="E1130" s="1"/>
      <c r="F1130" s="1"/>
      <c r="G1130" s="1"/>
    </row>
    <row r="1131" spans="2:7" x14ac:dyDescent="0.3">
      <c r="B1131" s="8"/>
      <c r="C1131" s="1"/>
      <c r="D1131" s="1"/>
      <c r="E1131" s="1"/>
      <c r="F1131" s="1"/>
      <c r="G1131" s="1"/>
    </row>
    <row r="1132" spans="2:7" x14ac:dyDescent="0.3">
      <c r="B1132" s="8"/>
      <c r="C1132" s="1"/>
      <c r="D1132" s="1"/>
      <c r="E1132" s="1"/>
      <c r="F1132" s="1"/>
      <c r="G1132" s="1"/>
    </row>
    <row r="1133" spans="2:7" x14ac:dyDescent="0.3">
      <c r="B1133" s="8"/>
      <c r="C1133" s="1"/>
      <c r="D1133" s="1"/>
      <c r="E1133" s="1"/>
      <c r="F1133" s="1"/>
      <c r="G1133" s="1"/>
    </row>
    <row r="1134" spans="2:7" x14ac:dyDescent="0.3">
      <c r="B1134" s="8"/>
      <c r="C1134" s="1"/>
      <c r="D1134" s="1"/>
      <c r="E1134" s="1"/>
      <c r="F1134" s="1"/>
      <c r="G1134" s="1"/>
    </row>
    <row r="1135" spans="2:7" x14ac:dyDescent="0.3">
      <c r="B1135" s="8"/>
      <c r="C1135" s="1"/>
      <c r="D1135" s="1"/>
      <c r="E1135" s="1"/>
      <c r="F1135" s="1"/>
      <c r="G1135" s="1"/>
    </row>
    <row r="1136" spans="2:7" x14ac:dyDescent="0.3">
      <c r="B1136" s="8"/>
      <c r="C1136" s="1"/>
      <c r="D1136" s="1"/>
      <c r="E1136" s="1"/>
      <c r="F1136" s="1"/>
      <c r="G1136" s="1"/>
    </row>
    <row r="1137" spans="2:7" x14ac:dyDescent="0.3">
      <c r="B1137" s="8"/>
      <c r="C1137" s="1"/>
      <c r="D1137" s="1"/>
      <c r="E1137" s="1"/>
      <c r="F1137" s="1"/>
      <c r="G1137" s="1"/>
    </row>
    <row r="1138" spans="2:7" x14ac:dyDescent="0.3">
      <c r="B1138" s="8"/>
      <c r="C1138" s="1"/>
      <c r="D1138" s="1"/>
      <c r="E1138" s="1"/>
      <c r="F1138" s="1"/>
      <c r="G1138" s="1"/>
    </row>
    <row r="1139" spans="2:7" x14ac:dyDescent="0.3">
      <c r="B1139" s="8"/>
      <c r="C1139" s="1"/>
      <c r="D1139" s="1"/>
      <c r="E1139" s="1"/>
      <c r="F1139" s="1"/>
      <c r="G1139" s="1"/>
    </row>
    <row r="1140" spans="2:7" x14ac:dyDescent="0.3">
      <c r="B1140" s="8"/>
      <c r="C1140" s="1"/>
      <c r="D1140" s="1"/>
      <c r="E1140" s="1"/>
      <c r="F1140" s="1"/>
      <c r="G1140" s="1"/>
    </row>
    <row r="1141" spans="2:7" x14ac:dyDescent="0.3">
      <c r="B1141" s="8"/>
      <c r="C1141" s="1"/>
      <c r="D1141" s="1"/>
      <c r="E1141" s="1"/>
      <c r="F1141" s="1"/>
      <c r="G1141" s="1"/>
    </row>
    <row r="1142" spans="2:7" x14ac:dyDescent="0.3">
      <c r="B1142" s="8"/>
      <c r="C1142" s="1"/>
      <c r="D1142" s="1"/>
      <c r="E1142" s="1"/>
      <c r="F1142" s="1"/>
      <c r="G1142" s="1"/>
    </row>
    <row r="1143" spans="2:7" x14ac:dyDescent="0.3">
      <c r="B1143" s="8"/>
      <c r="C1143" s="1"/>
      <c r="D1143" s="1"/>
      <c r="E1143" s="1"/>
      <c r="F1143" s="1"/>
      <c r="G1143" s="1"/>
    </row>
    <row r="1144" spans="2:7" x14ac:dyDescent="0.3">
      <c r="B1144" s="8"/>
      <c r="C1144" s="1"/>
      <c r="D1144" s="1"/>
      <c r="E1144" s="1"/>
      <c r="F1144" s="1"/>
      <c r="G1144" s="1"/>
    </row>
    <row r="1145" spans="2:7" x14ac:dyDescent="0.3">
      <c r="B1145" s="8"/>
      <c r="C1145" s="1"/>
      <c r="D1145" s="1"/>
      <c r="E1145" s="1"/>
      <c r="F1145" s="1"/>
      <c r="G1145" s="1"/>
    </row>
    <row r="1146" spans="2:7" x14ac:dyDescent="0.3">
      <c r="B1146" s="8"/>
      <c r="C1146" s="1"/>
      <c r="D1146" s="1"/>
      <c r="E1146" s="1"/>
      <c r="F1146" s="1"/>
      <c r="G1146" s="1"/>
    </row>
    <row r="1147" spans="2:7" x14ac:dyDescent="0.3">
      <c r="B1147" s="8"/>
      <c r="C1147" s="1"/>
      <c r="D1147" s="1"/>
      <c r="E1147" s="1"/>
      <c r="F1147" s="1"/>
      <c r="G1147" s="1"/>
    </row>
    <row r="1148" spans="2:7" x14ac:dyDescent="0.3">
      <c r="B1148" s="8"/>
      <c r="C1148" s="1"/>
      <c r="D1148" s="1"/>
      <c r="E1148" s="1"/>
      <c r="F1148" s="1"/>
      <c r="G1148" s="1"/>
    </row>
    <row r="1149" spans="2:7" x14ac:dyDescent="0.3">
      <c r="B1149" s="8"/>
      <c r="C1149" s="1"/>
      <c r="D1149" s="1"/>
      <c r="E1149" s="1"/>
      <c r="F1149" s="1"/>
      <c r="G1149" s="1"/>
    </row>
    <row r="1150" spans="2:7" x14ac:dyDescent="0.3">
      <c r="B1150" s="8"/>
      <c r="C1150" s="1"/>
      <c r="D1150" s="1"/>
      <c r="E1150" s="1"/>
      <c r="F1150" s="1"/>
      <c r="G1150" s="1"/>
    </row>
    <row r="1151" spans="2:7" x14ac:dyDescent="0.3">
      <c r="B1151" s="8"/>
      <c r="C1151" s="1"/>
      <c r="D1151" s="1"/>
      <c r="E1151" s="1"/>
      <c r="F1151" s="1"/>
      <c r="G1151" s="1"/>
    </row>
  </sheetData>
  <mergeCells count="2">
    <mergeCell ref="B2:H2"/>
    <mergeCell ref="A4:H4"/>
  </mergeCells>
  <pageMargins left="0.7" right="0.7" top="0.75" bottom="0.75" header="0.3" footer="0.3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7"/>
  <sheetViews>
    <sheetView showGridLines="0" topLeftCell="A43" workbookViewId="0">
      <selection activeCell="G68" sqref="G68"/>
    </sheetView>
  </sheetViews>
  <sheetFormatPr baseColWidth="10" defaultColWidth="11.44140625" defaultRowHeight="13.8" x14ac:dyDescent="0.25"/>
  <cols>
    <col min="1" max="3" width="11.44140625" style="38"/>
    <col min="4" max="4" width="18.6640625" style="38" bestFit="1" customWidth="1"/>
    <col min="5" max="5" width="15.5546875" style="38" bestFit="1" customWidth="1"/>
    <col min="6" max="14" width="11.44140625" style="38"/>
    <col min="15" max="15" width="51.5546875" style="38" bestFit="1" customWidth="1"/>
    <col min="16" max="16384" width="11.44140625" style="38"/>
  </cols>
  <sheetData>
    <row r="1" spans="1:15" ht="27.6" x14ac:dyDescent="0.25">
      <c r="A1" s="81" t="s">
        <v>97</v>
      </c>
      <c r="D1" s="81" t="s">
        <v>226</v>
      </c>
      <c r="E1" s="81" t="s">
        <v>227</v>
      </c>
      <c r="F1" s="81" t="s">
        <v>228</v>
      </c>
      <c r="H1" s="92" t="s">
        <v>2</v>
      </c>
      <c r="K1" s="92" t="s">
        <v>2</v>
      </c>
      <c r="L1" s="92" t="s">
        <v>953</v>
      </c>
      <c r="O1" s="165" t="s">
        <v>974</v>
      </c>
    </row>
    <row r="2" spans="1:15" x14ac:dyDescent="0.25">
      <c r="A2" s="82">
        <v>46023</v>
      </c>
      <c r="D2" s="83" t="s">
        <v>185</v>
      </c>
      <c r="E2" s="83" t="s">
        <v>186</v>
      </c>
      <c r="F2" s="84">
        <v>5</v>
      </c>
      <c r="H2" s="93" t="s">
        <v>19</v>
      </c>
      <c r="K2" s="84" t="s">
        <v>948</v>
      </c>
      <c r="L2" s="84">
        <v>15</v>
      </c>
      <c r="O2" s="164" t="s">
        <v>951</v>
      </c>
    </row>
    <row r="3" spans="1:15" x14ac:dyDescent="0.25">
      <c r="A3" s="82">
        <v>46034</v>
      </c>
      <c r="D3" s="83" t="s">
        <v>209</v>
      </c>
      <c r="E3" s="83" t="s">
        <v>209</v>
      </c>
      <c r="F3" s="84">
        <v>5</v>
      </c>
      <c r="H3" s="93" t="s">
        <v>731</v>
      </c>
      <c r="K3" s="84" t="s">
        <v>949</v>
      </c>
      <c r="L3" s="84">
        <v>10</v>
      </c>
      <c r="O3" s="164" t="s">
        <v>964</v>
      </c>
    </row>
    <row r="4" spans="1:15" x14ac:dyDescent="0.25">
      <c r="A4" s="82">
        <v>46104</v>
      </c>
      <c r="D4" s="83" t="s">
        <v>23</v>
      </c>
      <c r="E4" s="83" t="s">
        <v>24</v>
      </c>
      <c r="F4" s="84">
        <v>3</v>
      </c>
      <c r="H4" s="93" t="s">
        <v>266</v>
      </c>
      <c r="K4" s="84" t="s">
        <v>63</v>
      </c>
      <c r="L4" s="84">
        <v>5</v>
      </c>
      <c r="O4" s="164" t="s">
        <v>967</v>
      </c>
    </row>
    <row r="5" spans="1:15" x14ac:dyDescent="0.25">
      <c r="A5" s="82">
        <v>46114</v>
      </c>
      <c r="D5" s="83" t="s">
        <v>23</v>
      </c>
      <c r="E5" s="83" t="s">
        <v>745</v>
      </c>
      <c r="F5" s="84">
        <v>3</v>
      </c>
      <c r="H5" s="93" t="s">
        <v>400</v>
      </c>
      <c r="O5" s="164" t="s">
        <v>956</v>
      </c>
    </row>
    <row r="6" spans="1:15" x14ac:dyDescent="0.25">
      <c r="A6" s="82">
        <v>46115</v>
      </c>
      <c r="D6" s="83" t="s">
        <v>23</v>
      </c>
      <c r="E6" s="83" t="s">
        <v>183</v>
      </c>
      <c r="F6" s="84">
        <v>3</v>
      </c>
      <c r="O6" s="164" t="s">
        <v>972</v>
      </c>
    </row>
    <row r="7" spans="1:15" x14ac:dyDescent="0.25">
      <c r="A7" s="82">
        <v>46143</v>
      </c>
      <c r="D7" s="83" t="s">
        <v>23</v>
      </c>
      <c r="E7" s="83" t="s">
        <v>38</v>
      </c>
      <c r="F7" s="84">
        <v>3</v>
      </c>
      <c r="O7" s="164" t="s">
        <v>973</v>
      </c>
    </row>
    <row r="8" spans="1:15" x14ac:dyDescent="0.25">
      <c r="A8" s="82">
        <v>46160</v>
      </c>
      <c r="D8" s="83" t="s">
        <v>23</v>
      </c>
      <c r="E8" s="83" t="s">
        <v>308</v>
      </c>
      <c r="F8" s="84">
        <v>3</v>
      </c>
      <c r="O8" s="164"/>
    </row>
    <row r="9" spans="1:15" x14ac:dyDescent="0.25">
      <c r="A9" s="82">
        <v>46181</v>
      </c>
      <c r="D9" s="83" t="s">
        <v>23</v>
      </c>
      <c r="E9" s="83" t="s">
        <v>193</v>
      </c>
      <c r="F9" s="84">
        <v>5</v>
      </c>
      <c r="O9" s="164"/>
    </row>
    <row r="10" spans="1:15" x14ac:dyDescent="0.25">
      <c r="A10" s="82">
        <v>46188</v>
      </c>
      <c r="D10" s="83" t="s">
        <v>23</v>
      </c>
      <c r="E10" s="83" t="s">
        <v>36</v>
      </c>
      <c r="F10" s="84">
        <v>5</v>
      </c>
      <c r="O10" s="164"/>
    </row>
    <row r="11" spans="1:15" x14ac:dyDescent="0.25">
      <c r="A11" s="82">
        <v>46202</v>
      </c>
      <c r="D11" s="83" t="s">
        <v>23</v>
      </c>
      <c r="E11" s="83" t="s">
        <v>197</v>
      </c>
      <c r="F11" s="84">
        <v>5</v>
      </c>
      <c r="O11" s="164"/>
    </row>
    <row r="12" spans="1:15" x14ac:dyDescent="0.25">
      <c r="A12" s="82">
        <v>46223</v>
      </c>
      <c r="D12" s="83" t="s">
        <v>23</v>
      </c>
      <c r="E12" s="83" t="s">
        <v>47</v>
      </c>
      <c r="F12" s="84">
        <v>3</v>
      </c>
      <c r="O12" s="164"/>
    </row>
    <row r="13" spans="1:15" x14ac:dyDescent="0.25">
      <c r="A13" s="82">
        <v>46241</v>
      </c>
      <c r="D13" s="83" t="s">
        <v>23</v>
      </c>
      <c r="E13" s="83" t="s">
        <v>207</v>
      </c>
      <c r="F13" s="84">
        <v>3</v>
      </c>
      <c r="O13" s="164"/>
    </row>
    <row r="14" spans="1:15" x14ac:dyDescent="0.25">
      <c r="A14" s="82">
        <v>46251</v>
      </c>
      <c r="D14" s="83" t="s">
        <v>23</v>
      </c>
      <c r="E14" s="83" t="s">
        <v>213</v>
      </c>
      <c r="F14" s="84">
        <v>5</v>
      </c>
      <c r="O14" s="164"/>
    </row>
    <row r="15" spans="1:15" x14ac:dyDescent="0.25">
      <c r="A15" s="82">
        <v>46307</v>
      </c>
      <c r="D15" s="83" t="s">
        <v>23</v>
      </c>
      <c r="E15" s="83" t="s">
        <v>215</v>
      </c>
      <c r="F15" s="84">
        <v>5</v>
      </c>
      <c r="O15" s="164"/>
    </row>
    <row r="16" spans="1:15" x14ac:dyDescent="0.25">
      <c r="A16" s="82">
        <v>46328</v>
      </c>
      <c r="D16" s="83" t="s">
        <v>23</v>
      </c>
      <c r="E16" s="83" t="s">
        <v>219</v>
      </c>
      <c r="F16" s="84">
        <v>5</v>
      </c>
    </row>
    <row r="17" spans="1:6" x14ac:dyDescent="0.25">
      <c r="A17" s="82">
        <v>46342</v>
      </c>
      <c r="D17" s="83" t="s">
        <v>23</v>
      </c>
      <c r="E17" s="83" t="s">
        <v>222</v>
      </c>
      <c r="F17" s="84">
        <v>5</v>
      </c>
    </row>
    <row r="18" spans="1:6" x14ac:dyDescent="0.25">
      <c r="A18" s="82">
        <v>46364</v>
      </c>
      <c r="D18" s="83" t="s">
        <v>23</v>
      </c>
      <c r="E18" s="83" t="s">
        <v>393</v>
      </c>
      <c r="F18" s="84">
        <v>5</v>
      </c>
    </row>
    <row r="19" spans="1:6" x14ac:dyDescent="0.25">
      <c r="A19" s="82">
        <v>46381</v>
      </c>
      <c r="D19" s="83" t="s">
        <v>23</v>
      </c>
      <c r="E19" s="83" t="s">
        <v>820</v>
      </c>
      <c r="F19" s="84">
        <v>5</v>
      </c>
    </row>
    <row r="20" spans="1:6" x14ac:dyDescent="0.25">
      <c r="A20" s="85"/>
      <c r="D20" s="83" t="s">
        <v>214</v>
      </c>
      <c r="E20" s="83" t="s">
        <v>194</v>
      </c>
      <c r="F20" s="84">
        <v>3</v>
      </c>
    </row>
    <row r="21" spans="1:6" x14ac:dyDescent="0.25">
      <c r="D21" s="83" t="s">
        <v>187</v>
      </c>
      <c r="E21" s="83" t="s">
        <v>188</v>
      </c>
      <c r="F21" s="84">
        <v>5</v>
      </c>
    </row>
    <row r="22" spans="1:6" x14ac:dyDescent="0.25">
      <c r="D22" s="83" t="s">
        <v>187</v>
      </c>
      <c r="E22" s="83" t="s">
        <v>44</v>
      </c>
      <c r="F22" s="84">
        <v>5</v>
      </c>
    </row>
    <row r="23" spans="1:6" x14ac:dyDescent="0.25">
      <c r="D23" s="83" t="s">
        <v>20</v>
      </c>
      <c r="E23" s="83" t="s">
        <v>749</v>
      </c>
      <c r="F23" s="84">
        <v>3</v>
      </c>
    </row>
    <row r="24" spans="1:6" x14ac:dyDescent="0.25">
      <c r="D24" s="83" t="s">
        <v>20</v>
      </c>
      <c r="E24" s="83" t="s">
        <v>196</v>
      </c>
      <c r="F24" s="84">
        <v>5</v>
      </c>
    </row>
    <row r="25" spans="1:6" x14ac:dyDescent="0.25">
      <c r="D25" s="83" t="s">
        <v>20</v>
      </c>
      <c r="E25" s="83" t="s">
        <v>198</v>
      </c>
      <c r="F25" s="84">
        <v>5</v>
      </c>
    </row>
    <row r="26" spans="1:6" x14ac:dyDescent="0.25">
      <c r="D26" s="83" t="s">
        <v>20</v>
      </c>
      <c r="E26" s="83" t="s">
        <v>199</v>
      </c>
      <c r="F26" s="84">
        <v>5</v>
      </c>
    </row>
    <row r="27" spans="1:6" x14ac:dyDescent="0.25">
      <c r="D27" s="83" t="s">
        <v>20</v>
      </c>
      <c r="E27" s="83" t="s">
        <v>200</v>
      </c>
      <c r="F27" s="84">
        <v>5</v>
      </c>
    </row>
    <row r="28" spans="1:6" x14ac:dyDescent="0.25">
      <c r="D28" s="83" t="s">
        <v>20</v>
      </c>
      <c r="E28" s="83" t="s">
        <v>925</v>
      </c>
      <c r="F28" s="84">
        <v>5</v>
      </c>
    </row>
    <row r="29" spans="1:6" x14ac:dyDescent="0.25">
      <c r="D29" s="83" t="s">
        <v>20</v>
      </c>
      <c r="E29" s="83" t="s">
        <v>203</v>
      </c>
      <c r="F29" s="84">
        <v>5</v>
      </c>
    </row>
    <row r="30" spans="1:6" x14ac:dyDescent="0.25">
      <c r="D30" s="83" t="s">
        <v>20</v>
      </c>
      <c r="E30" s="83" t="s">
        <v>210</v>
      </c>
      <c r="F30" s="84">
        <v>5</v>
      </c>
    </row>
    <row r="31" spans="1:6" x14ac:dyDescent="0.25">
      <c r="D31" s="83" t="s">
        <v>20</v>
      </c>
      <c r="E31" s="83" t="s">
        <v>218</v>
      </c>
      <c r="F31" s="84">
        <v>5</v>
      </c>
    </row>
    <row r="32" spans="1:6" x14ac:dyDescent="0.25">
      <c r="D32" s="83" t="s">
        <v>20</v>
      </c>
      <c r="E32" s="83" t="s">
        <v>166</v>
      </c>
      <c r="F32" s="84">
        <v>5</v>
      </c>
    </row>
    <row r="33" spans="4:6" x14ac:dyDescent="0.25">
      <c r="D33" s="83" t="s">
        <v>20</v>
      </c>
      <c r="E33" s="83" t="s">
        <v>223</v>
      </c>
      <c r="F33" s="84">
        <v>5</v>
      </c>
    </row>
    <row r="34" spans="4:6" x14ac:dyDescent="0.25">
      <c r="D34" s="83" t="s">
        <v>20</v>
      </c>
      <c r="E34" s="83" t="s">
        <v>225</v>
      </c>
      <c r="F34" s="84">
        <v>5</v>
      </c>
    </row>
    <row r="35" spans="4:6" x14ac:dyDescent="0.25">
      <c r="D35" s="83" t="s">
        <v>20</v>
      </c>
      <c r="E35" s="83" t="s">
        <v>241</v>
      </c>
      <c r="F35" s="84">
        <v>5</v>
      </c>
    </row>
    <row r="36" spans="4:6" x14ac:dyDescent="0.25">
      <c r="D36" s="83" t="s">
        <v>20</v>
      </c>
      <c r="E36" s="83" t="s">
        <v>402</v>
      </c>
      <c r="F36" s="84">
        <v>5</v>
      </c>
    </row>
    <row r="37" spans="4:6" x14ac:dyDescent="0.25">
      <c r="D37" s="83" t="s">
        <v>20</v>
      </c>
      <c r="E37" s="83" t="s">
        <v>403</v>
      </c>
      <c r="F37" s="84">
        <v>5</v>
      </c>
    </row>
    <row r="38" spans="4:6" x14ac:dyDescent="0.25">
      <c r="D38" s="83" t="s">
        <v>190</v>
      </c>
      <c r="E38" s="83" t="s">
        <v>211</v>
      </c>
      <c r="F38" s="84">
        <v>5</v>
      </c>
    </row>
    <row r="39" spans="4:6" x14ac:dyDescent="0.25">
      <c r="D39" s="83" t="s">
        <v>190</v>
      </c>
      <c r="E39" s="83" t="s">
        <v>189</v>
      </c>
      <c r="F39" s="84">
        <v>5</v>
      </c>
    </row>
    <row r="40" spans="4:6" x14ac:dyDescent="0.25">
      <c r="D40" s="83" t="s">
        <v>45</v>
      </c>
      <c r="E40" s="83" t="s">
        <v>192</v>
      </c>
      <c r="F40" s="84">
        <v>3</v>
      </c>
    </row>
    <row r="41" spans="4:6" x14ac:dyDescent="0.25">
      <c r="D41" s="83" t="s">
        <v>45</v>
      </c>
      <c r="E41" s="83" t="s">
        <v>45</v>
      </c>
      <c r="F41" s="84">
        <v>3</v>
      </c>
    </row>
    <row r="42" spans="4:6" x14ac:dyDescent="0.25">
      <c r="D42" s="83" t="s">
        <v>36</v>
      </c>
      <c r="E42" s="83" t="s">
        <v>37</v>
      </c>
      <c r="F42" s="84">
        <v>5</v>
      </c>
    </row>
    <row r="43" spans="4:6" x14ac:dyDescent="0.25">
      <c r="D43" s="83" t="s">
        <v>36</v>
      </c>
      <c r="E43" s="83" t="s">
        <v>216</v>
      </c>
      <c r="F43" s="84">
        <v>5</v>
      </c>
    </row>
    <row r="44" spans="4:6" x14ac:dyDescent="0.25">
      <c r="D44" s="83" t="s">
        <v>39</v>
      </c>
      <c r="E44" s="83" t="s">
        <v>39</v>
      </c>
      <c r="F44" s="84">
        <v>5</v>
      </c>
    </row>
    <row r="45" spans="4:6" x14ac:dyDescent="0.25">
      <c r="D45" s="83" t="s">
        <v>220</v>
      </c>
      <c r="E45" s="83" t="s">
        <v>221</v>
      </c>
      <c r="F45" s="84">
        <v>5</v>
      </c>
    </row>
    <row r="46" spans="4:6" x14ac:dyDescent="0.25">
      <c r="D46" s="83" t="s">
        <v>33</v>
      </c>
      <c r="E46" s="83" t="s">
        <v>764</v>
      </c>
      <c r="F46" s="84">
        <v>3</v>
      </c>
    </row>
    <row r="47" spans="4:6" x14ac:dyDescent="0.25">
      <c r="D47" s="83" t="s">
        <v>205</v>
      </c>
      <c r="E47" s="83" t="s">
        <v>206</v>
      </c>
      <c r="F47" s="84">
        <v>5</v>
      </c>
    </row>
    <row r="48" spans="4:6" x14ac:dyDescent="0.25">
      <c r="D48" s="83" t="s">
        <v>204</v>
      </c>
      <c r="E48" s="83" t="s">
        <v>204</v>
      </c>
      <c r="F48" s="84">
        <v>3</v>
      </c>
    </row>
    <row r="49" spans="4:6" x14ac:dyDescent="0.25">
      <c r="D49" s="83" t="s">
        <v>184</v>
      </c>
      <c r="E49" s="83" t="s">
        <v>184</v>
      </c>
      <c r="F49" s="84">
        <v>5</v>
      </c>
    </row>
    <row r="50" spans="4:6" x14ac:dyDescent="0.25">
      <c r="D50" s="83" t="s">
        <v>217</v>
      </c>
      <c r="E50" s="83" t="s">
        <v>217</v>
      </c>
      <c r="F50" s="84">
        <v>3</v>
      </c>
    </row>
    <row r="51" spans="4:6" x14ac:dyDescent="0.25">
      <c r="D51" s="83" t="s">
        <v>191</v>
      </c>
      <c r="E51" s="83" t="s">
        <v>772</v>
      </c>
      <c r="F51" s="84">
        <v>5</v>
      </c>
    </row>
    <row r="52" spans="4:6" x14ac:dyDescent="0.25">
      <c r="D52" s="83" t="s">
        <v>214</v>
      </c>
      <c r="E52" s="83" t="s">
        <v>224</v>
      </c>
      <c r="F52" s="84">
        <v>3</v>
      </c>
    </row>
    <row r="53" spans="4:6" x14ac:dyDescent="0.25">
      <c r="D53" s="83" t="s">
        <v>201</v>
      </c>
      <c r="E53" s="83" t="s">
        <v>202</v>
      </c>
      <c r="F53" s="84">
        <v>3</v>
      </c>
    </row>
    <row r="54" spans="4:6" x14ac:dyDescent="0.25">
      <c r="D54" s="83" t="s">
        <v>201</v>
      </c>
      <c r="E54" s="83" t="s">
        <v>212</v>
      </c>
      <c r="F54" s="84">
        <v>3</v>
      </c>
    </row>
    <row r="55" spans="4:6" x14ac:dyDescent="0.25">
      <c r="D55" s="83" t="s">
        <v>192</v>
      </c>
      <c r="E55" s="83" t="s">
        <v>208</v>
      </c>
      <c r="F55" s="84">
        <v>5</v>
      </c>
    </row>
    <row r="56" spans="4:6" x14ac:dyDescent="0.25">
      <c r="D56" s="83" t="s">
        <v>192</v>
      </c>
      <c r="E56" s="83" t="s">
        <v>401</v>
      </c>
      <c r="F56" s="84">
        <v>5</v>
      </c>
    </row>
    <row r="57" spans="4:6" x14ac:dyDescent="0.25">
      <c r="D57" s="83" t="s">
        <v>41</v>
      </c>
      <c r="E57" s="83" t="s">
        <v>42</v>
      </c>
      <c r="F57" s="84">
        <v>3</v>
      </c>
    </row>
    <row r="58" spans="4:6" x14ac:dyDescent="0.25">
      <c r="D58" s="83" t="s">
        <v>41</v>
      </c>
      <c r="E58" s="83" t="s">
        <v>195</v>
      </c>
      <c r="F58" s="84">
        <v>3</v>
      </c>
    </row>
    <row r="59" spans="4:6" x14ac:dyDescent="0.25">
      <c r="D59" s="83" t="s">
        <v>41</v>
      </c>
      <c r="E59" s="83" t="s">
        <v>40</v>
      </c>
      <c r="F59" s="84">
        <v>3</v>
      </c>
    </row>
    <row r="60" spans="4:6" x14ac:dyDescent="0.25">
      <c r="D60" s="83" t="s">
        <v>41</v>
      </c>
      <c r="E60" s="83" t="s">
        <v>117</v>
      </c>
      <c r="F60" s="84">
        <v>3</v>
      </c>
    </row>
    <row r="61" spans="4:6" x14ac:dyDescent="0.25">
      <c r="D61" s="83" t="s">
        <v>242</v>
      </c>
      <c r="E61" s="83" t="s">
        <v>242</v>
      </c>
      <c r="F61" s="84">
        <v>5</v>
      </c>
    </row>
    <row r="62" spans="4:6" x14ac:dyDescent="0.25">
      <c r="D62" s="83" t="s">
        <v>242</v>
      </c>
      <c r="E62" s="83" t="s">
        <v>242</v>
      </c>
      <c r="F62" s="84">
        <v>5</v>
      </c>
    </row>
    <row r="63" spans="4:6" x14ac:dyDescent="0.25">
      <c r="D63" s="83" t="s">
        <v>244</v>
      </c>
      <c r="E63" s="83" t="s">
        <v>245</v>
      </c>
      <c r="F63" s="84">
        <v>5</v>
      </c>
    </row>
    <row r="64" spans="4:6" x14ac:dyDescent="0.25">
      <c r="D64" s="83" t="s">
        <v>41</v>
      </c>
      <c r="E64" s="83" t="s">
        <v>839</v>
      </c>
      <c r="F64" s="84">
        <v>3</v>
      </c>
    </row>
    <row r="65" spans="4:6" x14ac:dyDescent="0.25">
      <c r="D65" s="83" t="s">
        <v>186</v>
      </c>
      <c r="E65" s="83" t="s">
        <v>860</v>
      </c>
      <c r="F65" s="84">
        <v>5</v>
      </c>
    </row>
    <row r="66" spans="4:6" x14ac:dyDescent="0.25">
      <c r="D66" s="83" t="s">
        <v>920</v>
      </c>
      <c r="E66" s="83" t="s">
        <v>921</v>
      </c>
      <c r="F66" s="84">
        <v>5</v>
      </c>
    </row>
    <row r="67" spans="4:6" x14ac:dyDescent="0.25">
      <c r="D67" s="83" t="s">
        <v>192</v>
      </c>
      <c r="E67" s="83" t="s">
        <v>1011</v>
      </c>
      <c r="F67" s="84">
        <v>5</v>
      </c>
    </row>
  </sheetData>
  <autoFilter ref="D1:F64" xr:uid="{00000000-0001-0000-0400-000000000000}"/>
  <sortState xmlns:xlrd2="http://schemas.microsoft.com/office/spreadsheetml/2017/richdata2" ref="D2:E909">
    <sortCondition ref="D2:D90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3C15-5418-4A82-8743-33F550F912E2}">
  <dimension ref="A1:O151"/>
  <sheetViews>
    <sheetView showGridLines="0" topLeftCell="C1" workbookViewId="0">
      <selection activeCell="L13" sqref="L13"/>
    </sheetView>
  </sheetViews>
  <sheetFormatPr baseColWidth="10" defaultColWidth="11.44140625" defaultRowHeight="14.4" x14ac:dyDescent="0.3"/>
  <cols>
    <col min="1" max="1" width="27.109375" style="170" customWidth="1"/>
    <col min="2" max="2" width="15.44140625" style="170" bestFit="1" customWidth="1"/>
    <col min="3" max="6" width="11.44140625" style="170"/>
    <col min="7" max="7" width="12.5546875" style="170" bestFit="1" customWidth="1"/>
    <col min="8" max="8" width="15.33203125" style="170" bestFit="1" customWidth="1"/>
    <col min="9" max="10" width="19.88671875" style="170" bestFit="1" customWidth="1"/>
    <col min="11" max="11" width="13.44140625" style="170" bestFit="1" customWidth="1"/>
    <col min="12" max="12" width="11.44140625" style="170"/>
    <col min="13" max="13" width="19.88671875" style="170" bestFit="1" customWidth="1"/>
    <col min="14" max="14" width="11.44140625" style="170"/>
    <col min="15" max="15" width="15.6640625" style="170" bestFit="1" customWidth="1"/>
    <col min="16" max="16" width="13.44140625" style="170" bestFit="1" customWidth="1"/>
    <col min="17" max="16384" width="11.44140625" style="170"/>
  </cols>
  <sheetData>
    <row r="1" spans="1:11" x14ac:dyDescent="0.3">
      <c r="A1" s="169" t="s">
        <v>0</v>
      </c>
      <c r="B1" s="169" t="s">
        <v>54</v>
      </c>
      <c r="C1" s="169" t="s">
        <v>48</v>
      </c>
      <c r="D1" s="169" t="s">
        <v>83</v>
      </c>
      <c r="E1" s="169" t="s">
        <v>63</v>
      </c>
      <c r="F1" s="169" t="s">
        <v>70</v>
      </c>
      <c r="G1" s="169" t="s">
        <v>87</v>
      </c>
      <c r="H1" s="169" t="s">
        <v>273</v>
      </c>
      <c r="I1" s="169" t="s">
        <v>976</v>
      </c>
      <c r="J1" s="169" t="s">
        <v>101</v>
      </c>
    </row>
    <row r="2" spans="1:11" x14ac:dyDescent="0.3">
      <c r="A2" s="171" t="s">
        <v>977</v>
      </c>
      <c r="B2" s="171">
        <v>30</v>
      </c>
      <c r="C2" s="171">
        <v>31</v>
      </c>
      <c r="D2" s="171">
        <v>10</v>
      </c>
      <c r="E2" s="171">
        <v>9</v>
      </c>
      <c r="F2" s="171">
        <v>6</v>
      </c>
      <c r="G2" s="171">
        <v>2</v>
      </c>
      <c r="H2" s="171"/>
      <c r="I2" s="171">
        <v>7</v>
      </c>
      <c r="J2" s="171">
        <f>SUM(B2:I2)</f>
        <v>95</v>
      </c>
      <c r="K2" s="172"/>
    </row>
    <row r="3" spans="1:11" x14ac:dyDescent="0.3">
      <c r="A3" s="171" t="s">
        <v>978</v>
      </c>
      <c r="B3" s="171">
        <v>40</v>
      </c>
      <c r="C3" s="171">
        <v>35</v>
      </c>
      <c r="D3" s="171">
        <v>18</v>
      </c>
      <c r="E3" s="171">
        <v>2</v>
      </c>
      <c r="F3" s="171">
        <v>3</v>
      </c>
      <c r="G3" s="171">
        <v>3</v>
      </c>
      <c r="H3" s="171">
        <v>4</v>
      </c>
      <c r="I3" s="171">
        <v>10</v>
      </c>
      <c r="J3" s="171">
        <v>115</v>
      </c>
      <c r="K3" s="172">
        <f>(B3-B2)/B2</f>
        <v>0.33333333333333331</v>
      </c>
    </row>
    <row r="4" spans="1:11" x14ac:dyDescent="0.3">
      <c r="A4" s="171" t="s">
        <v>979</v>
      </c>
      <c r="B4" s="171">
        <v>22</v>
      </c>
      <c r="C4" s="171">
        <v>20</v>
      </c>
      <c r="D4" s="171">
        <v>10</v>
      </c>
      <c r="E4" s="171">
        <v>7</v>
      </c>
      <c r="F4" s="171">
        <v>1</v>
      </c>
      <c r="G4" s="171"/>
      <c r="H4" s="171">
        <v>4</v>
      </c>
      <c r="I4" s="171">
        <v>2</v>
      </c>
      <c r="J4" s="171">
        <v>66</v>
      </c>
      <c r="K4" s="172">
        <f>(B4-B3)/B3</f>
        <v>-0.45</v>
      </c>
    </row>
    <row r="5" spans="1:11" x14ac:dyDescent="0.3">
      <c r="A5" s="171" t="s">
        <v>980</v>
      </c>
      <c r="B5" s="171">
        <v>35</v>
      </c>
      <c r="C5" s="171">
        <v>36</v>
      </c>
      <c r="D5" s="171">
        <v>7</v>
      </c>
      <c r="E5" s="171">
        <v>3</v>
      </c>
      <c r="F5" s="171">
        <v>4</v>
      </c>
      <c r="G5" s="171"/>
      <c r="H5" s="171">
        <v>3</v>
      </c>
      <c r="I5" s="171">
        <v>7</v>
      </c>
      <c r="J5" s="171">
        <v>95</v>
      </c>
      <c r="K5" s="172">
        <f>(B5-B4)/B4</f>
        <v>0.59090909090909094</v>
      </c>
    </row>
    <row r="6" spans="1:11" x14ac:dyDescent="0.3">
      <c r="A6" s="171" t="s">
        <v>981</v>
      </c>
      <c r="B6" s="171">
        <v>35</v>
      </c>
      <c r="C6" s="171">
        <v>33</v>
      </c>
      <c r="D6" s="171">
        <v>16</v>
      </c>
      <c r="E6" s="171">
        <v>3</v>
      </c>
      <c r="F6" s="171">
        <v>3</v>
      </c>
      <c r="G6" s="171">
        <v>5</v>
      </c>
      <c r="H6" s="171">
        <v>3</v>
      </c>
      <c r="I6" s="171">
        <v>7</v>
      </c>
      <c r="J6" s="171">
        <v>105</v>
      </c>
      <c r="K6" s="172">
        <f>(B6-B5)/B5</f>
        <v>0</v>
      </c>
    </row>
    <row r="7" spans="1:11" x14ac:dyDescent="0.3">
      <c r="A7" s="171" t="s">
        <v>982</v>
      </c>
      <c r="B7" s="171">
        <v>25</v>
      </c>
      <c r="C7" s="171">
        <v>24</v>
      </c>
      <c r="D7" s="171">
        <v>12</v>
      </c>
      <c r="E7" s="171">
        <v>4</v>
      </c>
      <c r="F7" s="171">
        <v>1</v>
      </c>
      <c r="G7" s="171">
        <v>4</v>
      </c>
      <c r="H7" s="171">
        <v>4</v>
      </c>
      <c r="I7" s="171">
        <v>6</v>
      </c>
      <c r="J7" s="171">
        <v>80</v>
      </c>
      <c r="K7" s="172">
        <f>(B7-B6)/B6</f>
        <v>-0.2857142857142857</v>
      </c>
    </row>
    <row r="8" spans="1:11" x14ac:dyDescent="0.3">
      <c r="A8" s="173" t="s">
        <v>101</v>
      </c>
      <c r="B8" s="173">
        <f t="shared" ref="B8:J8" si="0">SUM(B2:B5)</f>
        <v>127</v>
      </c>
      <c r="C8" s="173">
        <f t="shared" si="0"/>
        <v>122</v>
      </c>
      <c r="D8" s="173">
        <f t="shared" si="0"/>
        <v>45</v>
      </c>
      <c r="E8" s="173">
        <f t="shared" si="0"/>
        <v>21</v>
      </c>
      <c r="F8" s="173">
        <f t="shared" si="0"/>
        <v>14</v>
      </c>
      <c r="G8" s="173">
        <f t="shared" si="0"/>
        <v>5</v>
      </c>
      <c r="H8" s="173">
        <f t="shared" si="0"/>
        <v>11</v>
      </c>
      <c r="I8" s="173">
        <f t="shared" si="0"/>
        <v>26</v>
      </c>
      <c r="J8" s="173">
        <f t="shared" si="0"/>
        <v>371</v>
      </c>
    </row>
    <row r="13" spans="1:11" x14ac:dyDescent="0.3">
      <c r="A13" s="170" t="s">
        <v>983</v>
      </c>
    </row>
    <row r="15" spans="1:11" x14ac:dyDescent="0.3">
      <c r="A15" s="174" t="s">
        <v>8</v>
      </c>
      <c r="B15" s="174" t="s">
        <v>54</v>
      </c>
      <c r="C15" s="174" t="s">
        <v>48</v>
      </c>
      <c r="D15" s="174" t="s">
        <v>70</v>
      </c>
      <c r="E15" s="174" t="s">
        <v>83</v>
      </c>
      <c r="F15" s="174" t="s">
        <v>63</v>
      </c>
      <c r="G15" s="174" t="s">
        <v>87</v>
      </c>
      <c r="H15" s="174" t="s">
        <v>273</v>
      </c>
      <c r="I15" s="174" t="s">
        <v>309</v>
      </c>
      <c r="J15" s="174" t="s">
        <v>101</v>
      </c>
    </row>
    <row r="16" spans="1:11" x14ac:dyDescent="0.3">
      <c r="A16" s="171" t="s">
        <v>20</v>
      </c>
      <c r="B16" s="171">
        <v>16</v>
      </c>
      <c r="C16" s="171">
        <v>16</v>
      </c>
      <c r="D16" s="171">
        <v>1</v>
      </c>
      <c r="E16" s="171">
        <v>10</v>
      </c>
      <c r="F16" s="171">
        <v>4</v>
      </c>
      <c r="G16" s="171">
        <v>2</v>
      </c>
      <c r="H16" s="171">
        <v>2</v>
      </c>
      <c r="I16" s="171">
        <v>4</v>
      </c>
      <c r="J16" s="171">
        <v>55</v>
      </c>
    </row>
    <row r="17" spans="1:15" ht="28.8" x14ac:dyDescent="0.3">
      <c r="A17" s="171" t="s">
        <v>23</v>
      </c>
      <c r="B17" s="171">
        <v>4</v>
      </c>
      <c r="C17" s="171">
        <v>3</v>
      </c>
      <c r="D17" s="171"/>
      <c r="E17" s="171">
        <v>1</v>
      </c>
      <c r="F17" s="171"/>
      <c r="G17" s="171"/>
      <c r="H17" s="171">
        <v>2</v>
      </c>
      <c r="I17" s="171">
        <v>2</v>
      </c>
      <c r="J17" s="171">
        <v>12</v>
      </c>
      <c r="M17" s="174" t="s">
        <v>8</v>
      </c>
      <c r="N17" s="175" t="s">
        <v>54</v>
      </c>
    </row>
    <row r="18" spans="1:15" x14ac:dyDescent="0.3">
      <c r="A18" s="171" t="s">
        <v>41</v>
      </c>
      <c r="B18" s="171">
        <v>3</v>
      </c>
      <c r="C18" s="171">
        <v>3</v>
      </c>
      <c r="D18" s="171"/>
      <c r="E18" s="171"/>
      <c r="F18" s="171"/>
      <c r="G18" s="171"/>
      <c r="H18" s="171"/>
      <c r="I18" s="171"/>
      <c r="J18" s="171">
        <v>6</v>
      </c>
      <c r="M18" s="171" t="s">
        <v>20</v>
      </c>
      <c r="N18" s="171">
        <v>55</v>
      </c>
    </row>
    <row r="19" spans="1:15" x14ac:dyDescent="0.3">
      <c r="A19" s="171" t="s">
        <v>187</v>
      </c>
      <c r="B19" s="171"/>
      <c r="C19" s="171"/>
      <c r="D19" s="171"/>
      <c r="E19" s="171">
        <v>1</v>
      </c>
      <c r="F19" s="171"/>
      <c r="G19" s="171">
        <v>2</v>
      </c>
      <c r="H19" s="171"/>
      <c r="I19" s="171"/>
      <c r="J19" s="171">
        <v>3</v>
      </c>
      <c r="M19" s="171" t="s">
        <v>23</v>
      </c>
      <c r="N19" s="171">
        <v>12</v>
      </c>
    </row>
    <row r="20" spans="1:15" x14ac:dyDescent="0.3">
      <c r="A20" s="171" t="s">
        <v>36</v>
      </c>
      <c r="B20" s="171">
        <v>1</v>
      </c>
      <c r="C20" s="171">
        <v>1</v>
      </c>
      <c r="D20" s="171"/>
      <c r="E20" s="171"/>
      <c r="F20" s="171"/>
      <c r="G20" s="171"/>
      <c r="H20" s="171"/>
      <c r="I20" s="171"/>
      <c r="J20" s="171">
        <v>2</v>
      </c>
      <c r="M20" s="171" t="s">
        <v>41</v>
      </c>
      <c r="N20" s="171">
        <v>6</v>
      </c>
    </row>
    <row r="21" spans="1:15" x14ac:dyDescent="0.3">
      <c r="A21" s="171" t="s">
        <v>192</v>
      </c>
      <c r="B21" s="171">
        <v>1</v>
      </c>
      <c r="C21" s="171">
        <v>1</v>
      </c>
      <c r="D21" s="171"/>
      <c r="E21" s="171"/>
      <c r="F21" s="171"/>
      <c r="G21" s="171"/>
      <c r="H21" s="171"/>
      <c r="I21" s="171"/>
      <c r="J21" s="171">
        <v>2</v>
      </c>
      <c r="M21" s="171" t="s">
        <v>187</v>
      </c>
      <c r="N21" s="171">
        <v>3</v>
      </c>
    </row>
    <row r="22" spans="1:15" x14ac:dyDescent="0.3">
      <c r="A22" s="176" t="s">
        <v>101</v>
      </c>
      <c r="B22" s="176">
        <v>25</v>
      </c>
      <c r="C22" s="176">
        <v>24</v>
      </c>
      <c r="D22" s="176">
        <v>1</v>
      </c>
      <c r="E22" s="176">
        <v>12</v>
      </c>
      <c r="F22" s="176">
        <v>4</v>
      </c>
      <c r="G22" s="176">
        <v>4</v>
      </c>
      <c r="H22" s="176">
        <v>4</v>
      </c>
      <c r="I22" s="176">
        <v>6</v>
      </c>
      <c r="J22" s="176">
        <v>80</v>
      </c>
      <c r="M22" s="171" t="s">
        <v>36</v>
      </c>
      <c r="N22" s="171">
        <v>2</v>
      </c>
    </row>
    <row r="23" spans="1:15" x14ac:dyDescent="0.3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M23" s="171" t="s">
        <v>192</v>
      </c>
      <c r="N23" s="171">
        <v>2</v>
      </c>
      <c r="O23" s="171"/>
    </row>
    <row r="24" spans="1:15" x14ac:dyDescent="0.3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M24" s="176" t="s">
        <v>101</v>
      </c>
      <c r="N24" s="176">
        <v>80</v>
      </c>
      <c r="O24" s="171"/>
    </row>
    <row r="25" spans="1:15" x14ac:dyDescent="0.3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M25" s="171"/>
      <c r="N25" s="171"/>
    </row>
    <row r="26" spans="1:15" x14ac:dyDescent="0.3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M26" s="171"/>
      <c r="N26" s="171"/>
    </row>
    <row r="27" spans="1:15" x14ac:dyDescent="0.3">
      <c r="A27" s="171"/>
      <c r="B27" s="171"/>
      <c r="C27" s="171"/>
      <c r="D27" s="171"/>
      <c r="E27" s="171"/>
      <c r="F27" s="171"/>
      <c r="G27" s="171"/>
      <c r="H27" s="171"/>
      <c r="I27" s="171"/>
      <c r="J27" s="171"/>
    </row>
    <row r="28" spans="1:15" x14ac:dyDescent="0.3">
      <c r="A28" s="171"/>
      <c r="B28" s="171"/>
      <c r="C28" s="171"/>
      <c r="D28" s="171"/>
      <c r="E28" s="171"/>
      <c r="F28" s="171"/>
      <c r="G28" s="171"/>
      <c r="H28" s="171"/>
      <c r="I28" s="171"/>
      <c r="J28" s="171"/>
    </row>
    <row r="29" spans="1:15" x14ac:dyDescent="0.3">
      <c r="A29" s="171"/>
      <c r="B29" s="171"/>
      <c r="C29" s="171"/>
      <c r="D29" s="171"/>
      <c r="E29" s="171"/>
      <c r="F29" s="171"/>
      <c r="G29" s="171"/>
      <c r="H29" s="171"/>
      <c r="I29" s="171"/>
      <c r="J29" s="171"/>
    </row>
    <row r="31" spans="1:15" x14ac:dyDescent="0.3">
      <c r="M31" s="171"/>
      <c r="N31" s="171"/>
    </row>
    <row r="34" spans="1:14" x14ac:dyDescent="0.3">
      <c r="A34" s="170" t="s">
        <v>984</v>
      </c>
    </row>
    <row r="35" spans="1:14" x14ac:dyDescent="0.3">
      <c r="A35" s="171"/>
      <c r="B35" s="171"/>
      <c r="C35" s="171"/>
      <c r="D35" s="171"/>
      <c r="E35" s="171"/>
      <c r="F35" s="171"/>
      <c r="G35" s="171"/>
      <c r="H35" s="171"/>
    </row>
    <row r="36" spans="1:14" x14ac:dyDescent="0.3">
      <c r="A36" s="177" t="s">
        <v>115</v>
      </c>
      <c r="B36" s="177" t="s">
        <v>7</v>
      </c>
      <c r="C36" s="177"/>
      <c r="D36" s="177"/>
      <c r="E36" s="177"/>
      <c r="F36" s="177"/>
      <c r="G36" s="177"/>
      <c r="H36" s="177"/>
      <c r="I36" s="177"/>
      <c r="J36" s="177"/>
      <c r="M36" s="174" t="s">
        <v>9</v>
      </c>
      <c r="N36" s="174" t="s">
        <v>985</v>
      </c>
    </row>
    <row r="37" spans="1:14" x14ac:dyDescent="0.3">
      <c r="A37" s="174" t="s">
        <v>9</v>
      </c>
      <c r="B37" s="174" t="s">
        <v>54</v>
      </c>
      <c r="C37" s="174" t="s">
        <v>48</v>
      </c>
      <c r="D37" s="174" t="s">
        <v>70</v>
      </c>
      <c r="E37" s="174" t="s">
        <v>83</v>
      </c>
      <c r="F37" s="174" t="s">
        <v>63</v>
      </c>
      <c r="G37" s="174" t="s">
        <v>87</v>
      </c>
      <c r="H37" s="174" t="s">
        <v>273</v>
      </c>
      <c r="I37" s="174" t="s">
        <v>309</v>
      </c>
      <c r="J37" s="174" t="s">
        <v>101</v>
      </c>
      <c r="M37" s="171" t="s">
        <v>21</v>
      </c>
      <c r="N37" s="178">
        <v>45</v>
      </c>
    </row>
    <row r="38" spans="1:14" x14ac:dyDescent="0.3">
      <c r="A38" s="171" t="s">
        <v>21</v>
      </c>
      <c r="B38" s="171">
        <v>13</v>
      </c>
      <c r="C38" s="171">
        <v>13</v>
      </c>
      <c r="D38" s="171"/>
      <c r="E38" s="171">
        <v>8</v>
      </c>
      <c r="F38" s="171">
        <v>3</v>
      </c>
      <c r="G38" s="171">
        <v>2</v>
      </c>
      <c r="H38" s="171">
        <v>2</v>
      </c>
      <c r="I38" s="171">
        <v>4</v>
      </c>
      <c r="J38" s="178">
        <v>45</v>
      </c>
      <c r="M38" s="171" t="s">
        <v>26</v>
      </c>
      <c r="N38" s="178">
        <v>6</v>
      </c>
    </row>
    <row r="39" spans="1:14" x14ac:dyDescent="0.3">
      <c r="A39" s="171" t="s">
        <v>26</v>
      </c>
      <c r="B39" s="171">
        <v>2</v>
      </c>
      <c r="C39" s="171">
        <v>1</v>
      </c>
      <c r="D39" s="171"/>
      <c r="E39" s="171">
        <v>1</v>
      </c>
      <c r="F39" s="171"/>
      <c r="G39" s="171"/>
      <c r="H39" s="171"/>
      <c r="I39" s="171">
        <v>2</v>
      </c>
      <c r="J39" s="178">
        <v>6</v>
      </c>
      <c r="M39" s="171" t="s">
        <v>120</v>
      </c>
      <c r="N39" s="178">
        <v>4</v>
      </c>
    </row>
    <row r="40" spans="1:14" x14ac:dyDescent="0.3">
      <c r="A40" s="171" t="s">
        <v>120</v>
      </c>
      <c r="B40" s="171">
        <v>1</v>
      </c>
      <c r="C40" s="171">
        <v>1</v>
      </c>
      <c r="D40" s="171"/>
      <c r="E40" s="171">
        <v>1</v>
      </c>
      <c r="F40" s="171">
        <v>1</v>
      </c>
      <c r="G40" s="171"/>
      <c r="H40" s="171"/>
      <c r="I40" s="171"/>
      <c r="J40" s="178">
        <v>4</v>
      </c>
      <c r="M40" s="171" t="s">
        <v>40</v>
      </c>
      <c r="N40" s="178">
        <v>4</v>
      </c>
    </row>
    <row r="41" spans="1:14" x14ac:dyDescent="0.3">
      <c r="A41" s="171" t="s">
        <v>40</v>
      </c>
      <c r="B41" s="171">
        <v>2</v>
      </c>
      <c r="C41" s="171">
        <v>2</v>
      </c>
      <c r="D41" s="171"/>
      <c r="E41" s="171"/>
      <c r="F41" s="171"/>
      <c r="G41" s="171"/>
      <c r="H41" s="171"/>
      <c r="I41" s="171"/>
      <c r="J41" s="178">
        <v>4</v>
      </c>
      <c r="M41" s="171" t="s">
        <v>44</v>
      </c>
      <c r="N41" s="178">
        <v>3</v>
      </c>
    </row>
    <row r="42" spans="1:14" x14ac:dyDescent="0.3">
      <c r="A42" s="171" t="s">
        <v>44</v>
      </c>
      <c r="B42" s="171"/>
      <c r="C42" s="171"/>
      <c r="D42" s="171"/>
      <c r="E42" s="171">
        <v>1</v>
      </c>
      <c r="F42" s="171"/>
      <c r="G42" s="171">
        <v>2</v>
      </c>
      <c r="H42" s="171"/>
      <c r="I42" s="171"/>
      <c r="J42" s="178">
        <v>3</v>
      </c>
      <c r="M42" s="171" t="s">
        <v>403</v>
      </c>
      <c r="N42" s="178">
        <v>2</v>
      </c>
    </row>
    <row r="43" spans="1:14" x14ac:dyDescent="0.3">
      <c r="A43" s="171" t="s">
        <v>403</v>
      </c>
      <c r="B43" s="171">
        <v>1</v>
      </c>
      <c r="C43" s="171">
        <v>1</v>
      </c>
      <c r="D43" s="171"/>
      <c r="E43" s="171"/>
      <c r="F43" s="171"/>
      <c r="G43" s="171"/>
      <c r="H43" s="171"/>
      <c r="I43" s="171"/>
      <c r="J43" s="178">
        <v>2</v>
      </c>
      <c r="M43" s="171" t="s">
        <v>219</v>
      </c>
      <c r="N43" s="178">
        <v>2</v>
      </c>
    </row>
    <row r="44" spans="1:14" x14ac:dyDescent="0.3">
      <c r="A44" s="171" t="s">
        <v>219</v>
      </c>
      <c r="B44" s="171">
        <v>1</v>
      </c>
      <c r="C44" s="171">
        <v>1</v>
      </c>
      <c r="D44" s="171"/>
      <c r="E44" s="171"/>
      <c r="F44" s="171"/>
      <c r="G44" s="171"/>
      <c r="H44" s="171"/>
      <c r="I44" s="171"/>
      <c r="J44" s="178">
        <v>2</v>
      </c>
      <c r="M44" s="171" t="s">
        <v>402</v>
      </c>
      <c r="N44" s="178">
        <v>2</v>
      </c>
    </row>
    <row r="45" spans="1:14" x14ac:dyDescent="0.3">
      <c r="A45" s="171" t="s">
        <v>402</v>
      </c>
      <c r="B45" s="171">
        <v>1</v>
      </c>
      <c r="C45" s="171">
        <v>1</v>
      </c>
      <c r="D45" s="171"/>
      <c r="E45" s="171"/>
      <c r="F45" s="171"/>
      <c r="G45" s="171"/>
      <c r="H45" s="171"/>
      <c r="I45" s="171"/>
      <c r="J45" s="178">
        <v>2</v>
      </c>
      <c r="M45" s="171" t="s">
        <v>24</v>
      </c>
      <c r="N45" s="178">
        <v>2</v>
      </c>
    </row>
    <row r="46" spans="1:14" x14ac:dyDescent="0.3">
      <c r="A46" s="171" t="s">
        <v>24</v>
      </c>
      <c r="B46" s="171"/>
      <c r="C46" s="171"/>
      <c r="D46" s="171"/>
      <c r="E46" s="171"/>
      <c r="F46" s="171"/>
      <c r="G46" s="171"/>
      <c r="H46" s="171">
        <v>2</v>
      </c>
      <c r="I46" s="171"/>
      <c r="J46" s="178">
        <v>2</v>
      </c>
      <c r="M46" s="171" t="s">
        <v>42</v>
      </c>
      <c r="N46" s="171">
        <v>2</v>
      </c>
    </row>
    <row r="47" spans="1:14" x14ac:dyDescent="0.3">
      <c r="A47" s="171" t="s">
        <v>42</v>
      </c>
      <c r="B47" s="171">
        <v>1</v>
      </c>
      <c r="C47" s="171">
        <v>1</v>
      </c>
      <c r="D47" s="171"/>
      <c r="E47" s="171"/>
      <c r="F47" s="171"/>
      <c r="G47" s="171"/>
      <c r="H47" s="171"/>
      <c r="I47" s="171"/>
      <c r="J47" s="171">
        <v>2</v>
      </c>
      <c r="K47" s="171"/>
      <c r="M47" s="171" t="s">
        <v>196</v>
      </c>
      <c r="N47" s="171">
        <v>2</v>
      </c>
    </row>
    <row r="48" spans="1:14" x14ac:dyDescent="0.3">
      <c r="A48" s="171" t="s">
        <v>196</v>
      </c>
      <c r="B48" s="171"/>
      <c r="C48" s="171"/>
      <c r="D48" s="171">
        <v>1</v>
      </c>
      <c r="E48" s="171">
        <v>1</v>
      </c>
      <c r="F48" s="171"/>
      <c r="G48" s="171"/>
      <c r="H48" s="171"/>
      <c r="I48" s="171"/>
      <c r="J48" s="171">
        <v>2</v>
      </c>
      <c r="K48" s="171"/>
      <c r="M48" s="171" t="s">
        <v>45</v>
      </c>
      <c r="N48" s="171">
        <v>2</v>
      </c>
    </row>
    <row r="49" spans="1:14" x14ac:dyDescent="0.3">
      <c r="A49" s="171" t="s">
        <v>45</v>
      </c>
      <c r="B49" s="171">
        <v>1</v>
      </c>
      <c r="C49" s="171">
        <v>1</v>
      </c>
      <c r="D49" s="171"/>
      <c r="E49" s="171"/>
      <c r="F49" s="171"/>
      <c r="G49" s="171"/>
      <c r="H49" s="171"/>
      <c r="I49" s="171"/>
      <c r="J49" s="171">
        <v>2</v>
      </c>
      <c r="K49" s="171"/>
      <c r="M49" s="171" t="s">
        <v>204</v>
      </c>
      <c r="N49" s="171">
        <v>2</v>
      </c>
    </row>
    <row r="50" spans="1:14" x14ac:dyDescent="0.3">
      <c r="A50" s="171" t="s">
        <v>204</v>
      </c>
      <c r="B50" s="171">
        <v>1</v>
      </c>
      <c r="C50" s="171">
        <v>1</v>
      </c>
      <c r="D50" s="171"/>
      <c r="E50" s="171"/>
      <c r="F50" s="171"/>
      <c r="G50" s="171"/>
      <c r="H50" s="171"/>
      <c r="I50" s="171"/>
      <c r="J50" s="171">
        <v>2</v>
      </c>
      <c r="K50" s="171"/>
      <c r="M50" s="171" t="s">
        <v>215</v>
      </c>
      <c r="N50" s="171">
        <v>2</v>
      </c>
    </row>
    <row r="51" spans="1:14" x14ac:dyDescent="0.3">
      <c r="A51" s="171" t="s">
        <v>215</v>
      </c>
      <c r="B51" s="171">
        <v>1</v>
      </c>
      <c r="C51" s="171">
        <v>1</v>
      </c>
      <c r="D51" s="171"/>
      <c r="E51" s="171"/>
      <c r="F51" s="171"/>
      <c r="G51" s="171"/>
      <c r="H51" s="171"/>
      <c r="I51" s="171"/>
      <c r="J51" s="171">
        <v>2</v>
      </c>
      <c r="K51" s="171"/>
      <c r="M51" s="176" t="s">
        <v>101</v>
      </c>
      <c r="N51" s="176">
        <v>80</v>
      </c>
    </row>
    <row r="52" spans="1:14" x14ac:dyDescent="0.3">
      <c r="A52" s="176" t="s">
        <v>101</v>
      </c>
      <c r="B52" s="176">
        <v>25</v>
      </c>
      <c r="C52" s="176">
        <v>24</v>
      </c>
      <c r="D52" s="176">
        <v>1</v>
      </c>
      <c r="E52" s="176">
        <v>12</v>
      </c>
      <c r="F52" s="176">
        <v>4</v>
      </c>
      <c r="G52" s="176">
        <v>4</v>
      </c>
      <c r="H52" s="176">
        <v>4</v>
      </c>
      <c r="I52" s="176">
        <v>6</v>
      </c>
      <c r="J52" s="176">
        <v>80</v>
      </c>
      <c r="K52" s="171"/>
      <c r="M52" s="171"/>
      <c r="N52" s="171"/>
    </row>
    <row r="53" spans="1:14" x14ac:dyDescent="0.3">
      <c r="A53" s="171"/>
      <c r="B53" s="171"/>
      <c r="C53" s="171"/>
      <c r="D53" s="171"/>
      <c r="E53" s="171"/>
      <c r="F53" s="171"/>
      <c r="G53" s="171"/>
      <c r="H53" s="171"/>
      <c r="I53" s="171"/>
      <c r="J53" s="178"/>
    </row>
    <row r="65" spans="1:14" x14ac:dyDescent="0.3">
      <c r="A65" s="179" t="s">
        <v>986</v>
      </c>
    </row>
    <row r="67" spans="1:14" x14ac:dyDescent="0.3">
      <c r="A67" s="177"/>
      <c r="B67" s="177"/>
      <c r="C67" s="177"/>
      <c r="D67" s="177"/>
      <c r="E67" s="177"/>
      <c r="F67" s="177"/>
      <c r="G67" s="177"/>
      <c r="H67" s="177"/>
      <c r="J67" s="180" t="s">
        <v>8</v>
      </c>
      <c r="K67" s="181" t="s">
        <v>54</v>
      </c>
      <c r="L67" s="181" t="s">
        <v>48</v>
      </c>
    </row>
    <row r="68" spans="1:14" x14ac:dyDescent="0.3">
      <c r="A68" s="180" t="s">
        <v>8</v>
      </c>
      <c r="B68" s="181" t="s">
        <v>54</v>
      </c>
      <c r="C68" s="181" t="s">
        <v>48</v>
      </c>
      <c r="D68" s="181" t="s">
        <v>83</v>
      </c>
      <c r="E68" s="181" t="s">
        <v>63</v>
      </c>
      <c r="F68" s="181" t="s">
        <v>70</v>
      </c>
      <c r="G68" s="181" t="s">
        <v>87</v>
      </c>
      <c r="H68" s="180" t="s">
        <v>273</v>
      </c>
      <c r="J68" s="182" t="s">
        <v>20</v>
      </c>
      <c r="K68" s="183">
        <v>0.625</v>
      </c>
      <c r="L68" s="183">
        <v>0.6</v>
      </c>
    </row>
    <row r="69" spans="1:14" x14ac:dyDescent="0.3">
      <c r="A69" s="182" t="s">
        <v>20</v>
      </c>
      <c r="B69" s="183">
        <v>0.625</v>
      </c>
      <c r="C69" s="183">
        <v>0.6</v>
      </c>
      <c r="D69" s="183">
        <v>1</v>
      </c>
      <c r="E69" s="183">
        <v>2.6666666666666665</v>
      </c>
      <c r="F69" s="183">
        <v>0</v>
      </c>
      <c r="G69" s="183">
        <v>0</v>
      </c>
      <c r="H69" s="183">
        <v>0</v>
      </c>
      <c r="J69" s="182" t="s">
        <v>23</v>
      </c>
      <c r="K69" s="183">
        <v>0.5</v>
      </c>
      <c r="L69" s="183">
        <v>0.66666666666666663</v>
      </c>
    </row>
    <row r="70" spans="1:14" x14ac:dyDescent="0.3">
      <c r="A70" s="182" t="s">
        <v>23</v>
      </c>
      <c r="B70" s="183">
        <v>0.5</v>
      </c>
      <c r="C70" s="183">
        <v>0.66666666666666663</v>
      </c>
      <c r="D70" s="183">
        <v>1</v>
      </c>
      <c r="E70" s="183"/>
      <c r="F70" s="183"/>
      <c r="G70" s="183"/>
      <c r="H70" s="183">
        <v>0</v>
      </c>
      <c r="J70" s="182" t="s">
        <v>41</v>
      </c>
      <c r="K70" s="183">
        <v>0</v>
      </c>
      <c r="L70" s="183">
        <v>0</v>
      </c>
    </row>
    <row r="71" spans="1:14" x14ac:dyDescent="0.3">
      <c r="A71" s="182" t="s">
        <v>41</v>
      </c>
      <c r="B71" s="183">
        <v>0</v>
      </c>
      <c r="C71" s="183">
        <v>0</v>
      </c>
      <c r="D71" s="183"/>
      <c r="E71" s="183"/>
      <c r="F71" s="183"/>
      <c r="G71" s="183"/>
      <c r="H71" s="183"/>
      <c r="J71" s="182" t="s">
        <v>192</v>
      </c>
      <c r="K71" s="183">
        <v>0</v>
      </c>
      <c r="L71" s="183">
        <v>0</v>
      </c>
    </row>
    <row r="72" spans="1:14" x14ac:dyDescent="0.3">
      <c r="A72" s="182" t="s">
        <v>187</v>
      </c>
      <c r="B72" s="183"/>
      <c r="C72" s="183"/>
      <c r="D72" s="183">
        <v>0</v>
      </c>
      <c r="E72" s="183"/>
      <c r="F72" s="183"/>
      <c r="G72" s="183">
        <v>0</v>
      </c>
      <c r="H72" s="183"/>
      <c r="J72" s="182" t="s">
        <v>36</v>
      </c>
      <c r="K72" s="183">
        <v>1</v>
      </c>
      <c r="L72" s="183">
        <v>1</v>
      </c>
    </row>
    <row r="73" spans="1:14" x14ac:dyDescent="0.3">
      <c r="A73" s="182" t="s">
        <v>192</v>
      </c>
      <c r="B73" s="183">
        <v>0</v>
      </c>
      <c r="C73" s="183">
        <v>0</v>
      </c>
      <c r="D73" s="183"/>
      <c r="E73" s="183"/>
      <c r="F73" s="183"/>
      <c r="G73" s="183"/>
      <c r="H73" s="183"/>
    </row>
    <row r="74" spans="1:14" x14ac:dyDescent="0.3">
      <c r="A74" s="182" t="s">
        <v>36</v>
      </c>
      <c r="B74" s="183">
        <v>1</v>
      </c>
      <c r="C74" s="183">
        <v>1</v>
      </c>
      <c r="D74" s="183"/>
      <c r="E74" s="183"/>
      <c r="F74" s="183"/>
      <c r="G74" s="183"/>
      <c r="H74" s="183"/>
      <c r="J74" s="171"/>
      <c r="K74" s="184"/>
      <c r="L74" s="184"/>
    </row>
    <row r="75" spans="1:14" x14ac:dyDescent="0.3">
      <c r="A75" s="171"/>
      <c r="B75" s="184"/>
      <c r="C75" s="184"/>
      <c r="D75" s="184"/>
      <c r="E75" s="184"/>
      <c r="F75" s="184"/>
      <c r="G75" s="184"/>
      <c r="H75" s="184"/>
      <c r="J75" s="171"/>
      <c r="K75" s="184"/>
      <c r="L75" s="184"/>
    </row>
    <row r="76" spans="1:14" ht="14.25" customHeight="1" x14ac:dyDescent="0.3">
      <c r="A76" s="171"/>
      <c r="B76" s="184"/>
      <c r="C76" s="184"/>
      <c r="D76" s="184"/>
      <c r="E76" s="184"/>
      <c r="F76" s="184"/>
      <c r="G76" s="184"/>
      <c r="H76" s="184"/>
      <c r="J76" s="171"/>
      <c r="K76" s="184"/>
      <c r="L76" s="184"/>
    </row>
    <row r="77" spans="1:14" x14ac:dyDescent="0.3">
      <c r="A77" s="171"/>
      <c r="B77" s="184"/>
      <c r="C77" s="184"/>
      <c r="D77" s="184"/>
      <c r="E77" s="184"/>
      <c r="F77" s="184"/>
      <c r="G77" s="184"/>
      <c r="H77" s="184"/>
      <c r="M77" s="184"/>
      <c r="N77" s="184"/>
    </row>
    <row r="78" spans="1:14" x14ac:dyDescent="0.3">
      <c r="A78" s="171"/>
      <c r="B78" s="184"/>
      <c r="C78" s="184"/>
      <c r="D78" s="184"/>
      <c r="E78" s="184"/>
      <c r="F78" s="184"/>
      <c r="G78" s="184"/>
      <c r="H78" s="184"/>
      <c r="M78" s="184"/>
      <c r="N78" s="184"/>
    </row>
    <row r="79" spans="1:14" x14ac:dyDescent="0.3">
      <c r="A79" s="171"/>
      <c r="B79" s="184"/>
      <c r="C79" s="184"/>
      <c r="D79" s="184"/>
      <c r="E79" s="184"/>
      <c r="F79" s="184"/>
      <c r="G79" s="184"/>
      <c r="H79" s="184"/>
      <c r="I79" s="171"/>
      <c r="J79" s="171"/>
      <c r="K79" s="184"/>
      <c r="L79" s="184"/>
      <c r="M79" s="184"/>
      <c r="N79" s="184"/>
    </row>
    <row r="80" spans="1:14" x14ac:dyDescent="0.3">
      <c r="A80" s="171"/>
      <c r="B80" s="184"/>
      <c r="C80" s="184"/>
      <c r="D80" s="184"/>
      <c r="E80" s="184"/>
      <c r="F80" s="184"/>
      <c r="G80" s="184"/>
      <c r="H80" s="184"/>
      <c r="I80" s="171"/>
      <c r="J80" s="171"/>
      <c r="K80" s="184"/>
      <c r="L80" s="184"/>
      <c r="M80" s="184"/>
      <c r="N80" s="184"/>
    </row>
    <row r="81" spans="1:14" x14ac:dyDescent="0.3">
      <c r="A81" s="171"/>
      <c r="B81" s="184"/>
      <c r="C81" s="184"/>
      <c r="D81" s="184"/>
      <c r="E81" s="184"/>
      <c r="F81" s="184"/>
      <c r="G81" s="184"/>
      <c r="H81" s="184"/>
      <c r="I81" s="171"/>
      <c r="J81" s="171"/>
      <c r="K81" s="184"/>
      <c r="L81" s="184"/>
      <c r="M81" s="184"/>
      <c r="N81" s="184"/>
    </row>
    <row r="82" spans="1:14" x14ac:dyDescent="0.3">
      <c r="A82" s="171"/>
      <c r="B82" s="184"/>
      <c r="C82" s="184"/>
      <c r="D82" s="184"/>
      <c r="E82" s="184"/>
      <c r="F82" s="184"/>
      <c r="G82" s="184"/>
      <c r="H82" s="184"/>
      <c r="I82" s="171"/>
      <c r="J82" s="171"/>
      <c r="K82" s="184"/>
      <c r="L82" s="184"/>
      <c r="M82" s="184"/>
      <c r="N82" s="184"/>
    </row>
    <row r="83" spans="1:14" x14ac:dyDescent="0.3">
      <c r="A83" s="171"/>
      <c r="B83" s="184"/>
      <c r="C83" s="184"/>
      <c r="D83" s="184"/>
      <c r="E83" s="184"/>
      <c r="F83" s="184"/>
      <c r="G83" s="184"/>
      <c r="H83" s="184"/>
      <c r="I83" s="171"/>
      <c r="J83" s="171"/>
      <c r="K83" s="184"/>
      <c r="L83" s="184"/>
      <c r="M83" s="184"/>
      <c r="N83" s="184"/>
    </row>
    <row r="84" spans="1:14" x14ac:dyDescent="0.3">
      <c r="A84" s="171"/>
      <c r="B84" s="184"/>
      <c r="C84" s="184"/>
      <c r="D84" s="184"/>
      <c r="E84" s="184"/>
      <c r="F84" s="184"/>
      <c r="G84" s="184"/>
      <c r="H84" s="184"/>
      <c r="I84" s="171"/>
      <c r="J84" s="171"/>
      <c r="K84" s="184"/>
      <c r="L84" s="184"/>
    </row>
    <row r="85" spans="1:14" x14ac:dyDescent="0.3">
      <c r="A85" s="171"/>
      <c r="B85" s="184"/>
      <c r="C85" s="184"/>
      <c r="D85" s="184"/>
      <c r="E85" s="184"/>
      <c r="F85" s="184"/>
      <c r="G85" s="184"/>
      <c r="H85" s="184"/>
      <c r="I85" s="171"/>
      <c r="J85" s="171"/>
      <c r="K85" s="184"/>
      <c r="L85" s="184"/>
    </row>
    <row r="86" spans="1:14" x14ac:dyDescent="0.3">
      <c r="A86" s="171"/>
      <c r="B86" s="184"/>
      <c r="C86" s="184"/>
      <c r="D86" s="184"/>
      <c r="E86" s="184"/>
      <c r="F86" s="184"/>
      <c r="G86" s="184"/>
      <c r="H86" s="184"/>
      <c r="I86" s="171"/>
      <c r="J86" s="171"/>
      <c r="K86" s="184"/>
      <c r="L86" s="184"/>
    </row>
    <row r="87" spans="1:14" x14ac:dyDescent="0.3">
      <c r="A87" s="171"/>
      <c r="B87" s="184"/>
      <c r="C87" s="184"/>
      <c r="D87" s="184"/>
      <c r="E87" s="184"/>
      <c r="F87" s="184"/>
      <c r="G87" s="184"/>
      <c r="H87" s="184"/>
      <c r="I87" s="171"/>
      <c r="J87" s="171"/>
      <c r="K87" s="184"/>
      <c r="L87" s="184"/>
    </row>
    <row r="88" spans="1:14" x14ac:dyDescent="0.3">
      <c r="A88" s="171"/>
      <c r="B88" s="184"/>
      <c r="C88" s="184"/>
      <c r="D88" s="184"/>
      <c r="E88" s="184"/>
      <c r="F88" s="184"/>
      <c r="G88" s="184"/>
      <c r="H88" s="184"/>
      <c r="I88" s="171"/>
      <c r="J88" s="171"/>
      <c r="K88" s="184"/>
      <c r="L88" s="184"/>
    </row>
    <row r="89" spans="1:14" x14ac:dyDescent="0.3">
      <c r="A89" s="171"/>
      <c r="B89" s="184"/>
      <c r="C89" s="184"/>
      <c r="D89" s="184"/>
      <c r="E89" s="184"/>
      <c r="F89" s="184"/>
      <c r="G89" s="184"/>
      <c r="H89" s="184"/>
      <c r="I89" s="171"/>
      <c r="L89" s="184"/>
    </row>
    <row r="90" spans="1:14" x14ac:dyDescent="0.3">
      <c r="A90" s="171"/>
      <c r="B90" s="184"/>
      <c r="C90" s="184"/>
      <c r="D90" s="184"/>
      <c r="E90" s="184"/>
      <c r="F90" s="184"/>
      <c r="G90" s="184"/>
      <c r="H90" s="184"/>
      <c r="I90" s="171"/>
      <c r="L90" s="184"/>
    </row>
    <row r="91" spans="1:14" x14ac:dyDescent="0.3">
      <c r="A91" s="171"/>
      <c r="B91" s="184"/>
      <c r="C91" s="184"/>
      <c r="D91" s="184"/>
      <c r="E91" s="184"/>
      <c r="F91" s="184"/>
      <c r="G91" s="184"/>
      <c r="H91" s="184"/>
      <c r="I91" s="171"/>
      <c r="L91" s="184"/>
    </row>
    <row r="92" spans="1:14" x14ac:dyDescent="0.3">
      <c r="A92" s="171"/>
      <c r="B92" s="184"/>
      <c r="C92" s="184"/>
      <c r="D92" s="184"/>
      <c r="E92" s="184"/>
      <c r="F92" s="184"/>
      <c r="G92" s="184"/>
      <c r="H92" s="184"/>
      <c r="I92" s="171"/>
      <c r="L92" s="184"/>
    </row>
    <row r="93" spans="1:14" x14ac:dyDescent="0.3">
      <c r="A93" s="171"/>
      <c r="B93" s="184"/>
      <c r="C93" s="184"/>
      <c r="D93" s="184"/>
      <c r="E93" s="184"/>
      <c r="F93" s="184"/>
      <c r="G93" s="184"/>
      <c r="I93" s="171"/>
      <c r="L93" s="184"/>
    </row>
    <row r="94" spans="1:14" x14ac:dyDescent="0.3">
      <c r="A94" s="171"/>
      <c r="B94" s="184"/>
      <c r="C94" s="184"/>
      <c r="D94" s="184"/>
      <c r="E94" s="184"/>
      <c r="F94" s="184"/>
      <c r="G94" s="184"/>
      <c r="I94" s="171"/>
      <c r="L94" s="184"/>
    </row>
    <row r="95" spans="1:14" x14ac:dyDescent="0.3">
      <c r="A95" s="171"/>
      <c r="B95" s="184"/>
      <c r="C95" s="184"/>
      <c r="D95" s="184"/>
      <c r="E95" s="184"/>
      <c r="F95" s="184"/>
      <c r="G95" s="184"/>
      <c r="I95" s="171"/>
    </row>
    <row r="96" spans="1:14" x14ac:dyDescent="0.3">
      <c r="A96" s="171"/>
      <c r="B96" s="184"/>
      <c r="C96" s="184"/>
      <c r="D96" s="184"/>
      <c r="E96" s="184"/>
      <c r="F96" s="184"/>
      <c r="G96" s="184"/>
      <c r="I96" s="171"/>
    </row>
    <row r="97" spans="1:14" x14ac:dyDescent="0.3">
      <c r="A97" s="179" t="s">
        <v>987</v>
      </c>
      <c r="I97" s="171"/>
    </row>
    <row r="99" spans="1:14" x14ac:dyDescent="0.3">
      <c r="A99" s="180" t="s">
        <v>8</v>
      </c>
      <c r="B99" s="180" t="s">
        <v>54</v>
      </c>
      <c r="C99" s="180" t="s">
        <v>48</v>
      </c>
      <c r="D99" s="180" t="s">
        <v>83</v>
      </c>
      <c r="E99" s="180" t="s">
        <v>63</v>
      </c>
      <c r="F99" s="180" t="s">
        <v>70</v>
      </c>
      <c r="G99" s="180" t="s">
        <v>87</v>
      </c>
      <c r="H99" s="180" t="s">
        <v>273</v>
      </c>
      <c r="J99" s="180" t="s">
        <v>8</v>
      </c>
      <c r="K99" s="180" t="s">
        <v>54</v>
      </c>
      <c r="L99" s="180" t="s">
        <v>48</v>
      </c>
    </row>
    <row r="100" spans="1:14" x14ac:dyDescent="0.3">
      <c r="A100" s="182" t="s">
        <v>20</v>
      </c>
      <c r="B100" s="183">
        <v>2</v>
      </c>
      <c r="C100" s="183">
        <v>2.5333333333333332</v>
      </c>
      <c r="D100" s="183">
        <v>2.4285714285714284</v>
      </c>
      <c r="E100" s="183">
        <v>4</v>
      </c>
      <c r="F100" s="183">
        <v>2</v>
      </c>
      <c r="G100" s="183">
        <v>1</v>
      </c>
      <c r="H100" s="183">
        <v>1</v>
      </c>
      <c r="J100" s="182" t="s">
        <v>20</v>
      </c>
      <c r="K100" s="183">
        <v>2</v>
      </c>
      <c r="L100" s="183">
        <v>2.5333333333333332</v>
      </c>
    </row>
    <row r="101" spans="1:14" x14ac:dyDescent="0.3">
      <c r="A101" s="182" t="s">
        <v>23</v>
      </c>
      <c r="B101" s="183">
        <v>1.5</v>
      </c>
      <c r="C101" s="183">
        <v>1.6666666666666667</v>
      </c>
      <c r="D101" s="183">
        <v>2</v>
      </c>
      <c r="E101" s="183"/>
      <c r="F101" s="183"/>
      <c r="G101" s="183"/>
      <c r="H101" s="183">
        <v>1</v>
      </c>
      <c r="J101" s="182" t="s">
        <v>23</v>
      </c>
      <c r="K101" s="183">
        <v>1.5</v>
      </c>
      <c r="L101" s="183">
        <v>1.6666666666666667</v>
      </c>
    </row>
    <row r="102" spans="1:14" x14ac:dyDescent="0.3">
      <c r="A102" s="182" t="s">
        <v>41</v>
      </c>
      <c r="B102" s="183">
        <v>1</v>
      </c>
      <c r="C102" s="183">
        <v>1</v>
      </c>
      <c r="D102" s="183"/>
      <c r="E102" s="183"/>
      <c r="F102" s="183"/>
      <c r="G102" s="183"/>
      <c r="H102" s="183"/>
      <c r="J102" s="182" t="s">
        <v>41</v>
      </c>
      <c r="K102" s="183">
        <v>1</v>
      </c>
      <c r="L102" s="183">
        <v>1</v>
      </c>
    </row>
    <row r="103" spans="1:14" x14ac:dyDescent="0.3">
      <c r="A103" s="182" t="s">
        <v>187</v>
      </c>
      <c r="B103" s="183"/>
      <c r="C103" s="183"/>
      <c r="D103" s="183">
        <v>2</v>
      </c>
      <c r="E103" s="183"/>
      <c r="F103" s="183"/>
      <c r="G103" s="183">
        <v>2</v>
      </c>
      <c r="H103" s="183"/>
      <c r="I103" s="184"/>
      <c r="J103" s="182" t="s">
        <v>192</v>
      </c>
      <c r="K103" s="183">
        <v>2</v>
      </c>
      <c r="L103" s="183">
        <v>2</v>
      </c>
    </row>
    <row r="104" spans="1:14" x14ac:dyDescent="0.3">
      <c r="A104" s="182" t="s">
        <v>192</v>
      </c>
      <c r="B104" s="183">
        <v>2</v>
      </c>
      <c r="C104" s="183">
        <v>2</v>
      </c>
      <c r="D104" s="183"/>
      <c r="E104" s="183"/>
      <c r="F104" s="183"/>
      <c r="G104" s="183"/>
      <c r="H104" s="183"/>
      <c r="I104" s="184"/>
      <c r="J104" s="182" t="s">
        <v>36</v>
      </c>
      <c r="K104" s="183">
        <v>10</v>
      </c>
      <c r="L104" s="183">
        <v>11</v>
      </c>
    </row>
    <row r="105" spans="1:14" x14ac:dyDescent="0.3">
      <c r="A105" s="182" t="s">
        <v>36</v>
      </c>
      <c r="B105" s="183">
        <v>10</v>
      </c>
      <c r="C105" s="183">
        <v>11</v>
      </c>
      <c r="D105" s="183"/>
      <c r="E105" s="183"/>
      <c r="F105" s="183"/>
      <c r="G105" s="183"/>
      <c r="H105" s="183"/>
      <c r="I105" s="184"/>
    </row>
    <row r="106" spans="1:14" x14ac:dyDescent="0.3">
      <c r="A106" s="171"/>
      <c r="B106" s="184"/>
      <c r="C106" s="184"/>
      <c r="D106" s="184"/>
      <c r="E106" s="184"/>
      <c r="F106" s="184"/>
      <c r="G106" s="184"/>
      <c r="H106" s="184"/>
      <c r="I106" s="184"/>
      <c r="J106" s="171"/>
      <c r="K106" s="184"/>
      <c r="L106" s="184"/>
    </row>
    <row r="107" spans="1:14" x14ac:dyDescent="0.3">
      <c r="A107" s="171"/>
      <c r="B107" s="184"/>
      <c r="C107" s="184"/>
      <c r="D107" s="184"/>
      <c r="E107" s="184"/>
      <c r="F107" s="184"/>
      <c r="G107" s="184"/>
      <c r="H107" s="184"/>
      <c r="I107" s="184"/>
      <c r="J107" s="171"/>
      <c r="K107" s="184"/>
      <c r="L107" s="184"/>
    </row>
    <row r="108" spans="1:14" x14ac:dyDescent="0.3">
      <c r="A108" s="171"/>
      <c r="B108" s="184"/>
      <c r="C108" s="184"/>
      <c r="D108" s="184"/>
      <c r="E108" s="184"/>
      <c r="F108" s="184"/>
      <c r="G108" s="184"/>
      <c r="H108" s="184"/>
      <c r="I108" s="184"/>
    </row>
    <row r="109" spans="1:14" x14ac:dyDescent="0.3">
      <c r="A109" s="171"/>
      <c r="B109" s="184"/>
      <c r="C109" s="184"/>
      <c r="D109" s="184"/>
      <c r="E109" s="184"/>
      <c r="F109" s="184"/>
      <c r="G109" s="184"/>
      <c r="H109" s="184"/>
      <c r="I109" s="184"/>
      <c r="J109" s="171"/>
      <c r="K109" s="184"/>
      <c r="L109" s="184"/>
      <c r="M109" s="184"/>
      <c r="N109" s="184"/>
    </row>
    <row r="110" spans="1:14" x14ac:dyDescent="0.3">
      <c r="A110" s="171"/>
      <c r="B110" s="184"/>
      <c r="C110" s="184"/>
      <c r="D110" s="184"/>
      <c r="E110" s="184"/>
      <c r="F110" s="184"/>
      <c r="G110" s="184"/>
      <c r="H110" s="184"/>
      <c r="I110" s="184"/>
      <c r="J110" s="171"/>
      <c r="K110" s="184"/>
      <c r="L110" s="184"/>
      <c r="M110" s="184"/>
      <c r="N110" s="184"/>
    </row>
    <row r="111" spans="1:14" x14ac:dyDescent="0.3">
      <c r="A111" s="171"/>
      <c r="B111" s="184"/>
      <c r="C111" s="185"/>
      <c r="D111" s="184"/>
      <c r="E111" s="184"/>
      <c r="F111" s="184"/>
      <c r="G111" s="184"/>
      <c r="H111" s="184"/>
      <c r="I111" s="184"/>
      <c r="J111" s="171"/>
      <c r="K111" s="184"/>
      <c r="L111" s="184"/>
      <c r="M111" s="184"/>
      <c r="N111" s="184"/>
    </row>
    <row r="112" spans="1:14" x14ac:dyDescent="0.3">
      <c r="A112" s="171"/>
      <c r="B112" s="184"/>
      <c r="C112" s="184"/>
      <c r="D112" s="184"/>
      <c r="E112" s="184"/>
      <c r="F112" s="184"/>
      <c r="G112" s="184"/>
      <c r="H112" s="184"/>
      <c r="I112" s="171"/>
      <c r="J112" s="171"/>
      <c r="K112" s="184"/>
      <c r="L112" s="184"/>
      <c r="M112" s="184"/>
      <c r="N112" s="184"/>
    </row>
    <row r="113" spans="1:14" x14ac:dyDescent="0.3">
      <c r="A113" s="171"/>
      <c r="B113" s="184"/>
      <c r="C113" s="184"/>
      <c r="D113" s="184"/>
      <c r="E113" s="184"/>
      <c r="F113" s="184"/>
      <c r="G113" s="184"/>
      <c r="H113" s="184"/>
      <c r="I113" s="171"/>
      <c r="J113" s="171"/>
      <c r="K113" s="184"/>
      <c r="L113" s="184"/>
    </row>
    <row r="114" spans="1:14" x14ac:dyDescent="0.3">
      <c r="A114" s="171"/>
      <c r="B114" s="184"/>
      <c r="C114" s="184"/>
      <c r="D114" s="184"/>
      <c r="E114" s="184"/>
      <c r="F114" s="184"/>
      <c r="G114" s="184"/>
      <c r="H114" s="184"/>
      <c r="I114" s="171"/>
      <c r="J114" s="171"/>
      <c r="K114" s="184"/>
      <c r="L114" s="184"/>
    </row>
    <row r="115" spans="1:14" x14ac:dyDescent="0.3">
      <c r="A115" s="171"/>
      <c r="B115" s="184"/>
      <c r="C115" s="184"/>
      <c r="D115" s="184"/>
      <c r="E115" s="184"/>
      <c r="F115" s="184"/>
      <c r="G115" s="184"/>
      <c r="H115" s="184"/>
      <c r="I115" s="171"/>
      <c r="J115" s="171"/>
      <c r="K115" s="184"/>
      <c r="L115" s="184"/>
      <c r="M115" s="184"/>
      <c r="N115" s="184"/>
    </row>
    <row r="116" spans="1:14" x14ac:dyDescent="0.3">
      <c r="A116" s="171"/>
      <c r="B116" s="184"/>
      <c r="C116" s="184"/>
      <c r="D116" s="184"/>
      <c r="E116" s="184"/>
      <c r="F116" s="184"/>
      <c r="G116" s="184"/>
      <c r="H116" s="184"/>
      <c r="I116" s="171"/>
      <c r="J116" s="171"/>
      <c r="K116" s="184"/>
      <c r="L116" s="184"/>
      <c r="M116" s="184"/>
      <c r="N116" s="184"/>
    </row>
    <row r="117" spans="1:14" x14ac:dyDescent="0.3">
      <c r="A117" s="171"/>
      <c r="B117" s="184"/>
      <c r="C117" s="184"/>
      <c r="D117" s="184"/>
      <c r="E117" s="184"/>
      <c r="F117" s="184"/>
      <c r="G117" s="184"/>
      <c r="H117" s="184"/>
      <c r="I117" s="171"/>
      <c r="J117" s="171"/>
      <c r="K117" s="184"/>
      <c r="L117" s="184"/>
      <c r="M117" s="184"/>
      <c r="N117" s="184"/>
    </row>
    <row r="118" spans="1:14" x14ac:dyDescent="0.3">
      <c r="A118" s="171"/>
      <c r="B118" s="184"/>
      <c r="C118" s="184"/>
      <c r="D118" s="184"/>
      <c r="E118" s="184"/>
      <c r="F118" s="184"/>
      <c r="G118" s="184"/>
      <c r="H118" s="184"/>
      <c r="I118" s="171"/>
      <c r="J118" s="171"/>
      <c r="K118" s="184"/>
      <c r="L118" s="185"/>
      <c r="M118" s="184"/>
      <c r="N118" s="184"/>
    </row>
    <row r="119" spans="1:14" x14ac:dyDescent="0.3">
      <c r="A119" s="171"/>
      <c r="B119" s="184"/>
      <c r="C119" s="184"/>
      <c r="D119" s="184"/>
      <c r="E119" s="184"/>
      <c r="F119" s="184"/>
      <c r="G119" s="184"/>
      <c r="H119" s="184"/>
      <c r="I119" s="171"/>
      <c r="J119" s="171"/>
      <c r="K119" s="184"/>
      <c r="L119" s="184"/>
      <c r="M119" s="184"/>
      <c r="N119" s="184"/>
    </row>
    <row r="120" spans="1:14" x14ac:dyDescent="0.3">
      <c r="A120" s="171"/>
      <c r="B120" s="184"/>
      <c r="C120" s="184"/>
      <c r="D120" s="184"/>
      <c r="E120" s="184"/>
      <c r="F120" s="184"/>
      <c r="G120" s="184"/>
      <c r="H120" s="184"/>
      <c r="I120" s="171"/>
      <c r="J120" s="171"/>
      <c r="K120" s="184"/>
      <c r="L120" s="184"/>
      <c r="M120" s="184"/>
      <c r="N120" s="184"/>
    </row>
    <row r="121" spans="1:14" x14ac:dyDescent="0.3">
      <c r="A121" s="171"/>
      <c r="B121" s="184"/>
      <c r="C121" s="184"/>
      <c r="D121" s="184"/>
      <c r="E121" s="184"/>
      <c r="F121" s="184"/>
      <c r="G121" s="184"/>
      <c r="H121" s="184"/>
      <c r="I121" s="171"/>
      <c r="J121" s="171"/>
      <c r="K121" s="184"/>
      <c r="L121" s="184"/>
      <c r="M121" s="184"/>
      <c r="N121" s="184"/>
    </row>
    <row r="122" spans="1:14" x14ac:dyDescent="0.3">
      <c r="A122" s="171"/>
      <c r="B122" s="184"/>
      <c r="C122" s="184"/>
      <c r="D122" s="184"/>
      <c r="E122" s="184"/>
      <c r="F122" s="184"/>
      <c r="G122" s="184"/>
      <c r="H122" s="184"/>
      <c r="I122" s="171"/>
      <c r="L122" s="184"/>
      <c r="M122" s="184"/>
      <c r="N122" s="184"/>
    </row>
    <row r="123" spans="1:14" x14ac:dyDescent="0.3">
      <c r="I123" s="171"/>
      <c r="L123" s="184"/>
      <c r="M123" s="184"/>
      <c r="N123" s="184"/>
    </row>
    <row r="124" spans="1:14" x14ac:dyDescent="0.3">
      <c r="I124" s="171"/>
      <c r="L124" s="184"/>
      <c r="M124" s="184"/>
      <c r="N124" s="184"/>
    </row>
    <row r="125" spans="1:14" x14ac:dyDescent="0.3">
      <c r="I125" s="171"/>
      <c r="L125" s="184"/>
      <c r="M125" s="184"/>
      <c r="N125" s="184"/>
    </row>
    <row r="126" spans="1:14" x14ac:dyDescent="0.3">
      <c r="I126" s="171"/>
      <c r="L126" s="184"/>
      <c r="M126" s="184"/>
      <c r="N126" s="184"/>
    </row>
    <row r="127" spans="1:14" x14ac:dyDescent="0.3">
      <c r="I127" s="171"/>
      <c r="L127" s="184"/>
      <c r="M127" s="184"/>
      <c r="N127" s="184"/>
    </row>
    <row r="128" spans="1:14" x14ac:dyDescent="0.3">
      <c r="I128" s="171"/>
      <c r="M128" s="184"/>
      <c r="N128" s="184"/>
    </row>
    <row r="129" spans="1:14" x14ac:dyDescent="0.3">
      <c r="I129" s="171"/>
      <c r="M129" s="184"/>
      <c r="N129" s="184"/>
    </row>
    <row r="130" spans="1:14" x14ac:dyDescent="0.3">
      <c r="I130" s="171"/>
      <c r="M130" s="184"/>
      <c r="N130" s="184"/>
    </row>
    <row r="131" spans="1:14" x14ac:dyDescent="0.3">
      <c r="I131" s="171"/>
      <c r="M131" s="184"/>
      <c r="N131" s="184"/>
    </row>
    <row r="132" spans="1:14" x14ac:dyDescent="0.3">
      <c r="I132" s="171"/>
      <c r="M132" s="184"/>
      <c r="N132" s="184"/>
    </row>
    <row r="133" spans="1:14" x14ac:dyDescent="0.3">
      <c r="I133" s="171"/>
      <c r="M133" s="184"/>
      <c r="N133" s="184"/>
    </row>
    <row r="134" spans="1:14" x14ac:dyDescent="0.3">
      <c r="I134" s="171"/>
      <c r="M134" s="184"/>
      <c r="N134" s="184"/>
    </row>
    <row r="135" spans="1:14" x14ac:dyDescent="0.3">
      <c r="I135" s="171"/>
      <c r="M135" s="184"/>
      <c r="N135" s="184"/>
    </row>
    <row r="136" spans="1:14" x14ac:dyDescent="0.3">
      <c r="I136" s="171"/>
      <c r="M136" s="184"/>
      <c r="N136" s="184"/>
    </row>
    <row r="137" spans="1:14" x14ac:dyDescent="0.3">
      <c r="M137" s="184"/>
      <c r="N137" s="184"/>
    </row>
    <row r="138" spans="1:14" x14ac:dyDescent="0.3">
      <c r="M138" s="184"/>
      <c r="N138" s="184"/>
    </row>
    <row r="139" spans="1:14" x14ac:dyDescent="0.3">
      <c r="M139" s="184"/>
      <c r="N139" s="184"/>
    </row>
    <row r="140" spans="1:14" ht="26.4" x14ac:dyDescent="0.4">
      <c r="A140" s="186"/>
      <c r="B140" s="186"/>
      <c r="C140" s="187" t="s">
        <v>108</v>
      </c>
      <c r="D140" s="186"/>
      <c r="E140" s="186"/>
      <c r="F140" s="186"/>
      <c r="G140" s="186"/>
      <c r="H140" s="186"/>
      <c r="M140" s="184"/>
      <c r="N140" s="184"/>
    </row>
    <row r="141" spans="1:14" ht="26.4" x14ac:dyDescent="0.3">
      <c r="A141" s="187" t="s">
        <v>5</v>
      </c>
      <c r="B141" s="187" t="s">
        <v>99</v>
      </c>
      <c r="C141" s="188" t="s">
        <v>118</v>
      </c>
      <c r="D141" s="187" t="s">
        <v>100</v>
      </c>
      <c r="E141" s="189" t="s">
        <v>164</v>
      </c>
      <c r="F141" s="189" t="s">
        <v>163</v>
      </c>
      <c r="G141" s="189" t="s">
        <v>162</v>
      </c>
      <c r="H141" s="189" t="s">
        <v>165</v>
      </c>
      <c r="M141" s="184"/>
      <c r="N141" s="184"/>
    </row>
    <row r="142" spans="1:14" ht="26.4" x14ac:dyDescent="0.3">
      <c r="A142" s="190" t="s">
        <v>123</v>
      </c>
      <c r="B142" s="191">
        <v>17</v>
      </c>
      <c r="C142" s="191">
        <v>68</v>
      </c>
      <c r="D142" s="190">
        <v>75</v>
      </c>
      <c r="E142" s="192">
        <v>115</v>
      </c>
      <c r="F142" s="192">
        <v>1.46</v>
      </c>
      <c r="G142" s="193">
        <v>4444</v>
      </c>
      <c r="H142" s="194">
        <v>84435114.200000003</v>
      </c>
      <c r="M142" s="184"/>
      <c r="N142" s="184"/>
    </row>
    <row r="143" spans="1:14" ht="26.4" x14ac:dyDescent="0.3">
      <c r="A143" s="195" t="s">
        <v>158</v>
      </c>
      <c r="B143" s="196">
        <v>2</v>
      </c>
      <c r="C143" s="196">
        <v>8</v>
      </c>
      <c r="D143" s="195"/>
      <c r="E143" s="197">
        <v>115</v>
      </c>
      <c r="F143" s="197">
        <v>1.46</v>
      </c>
      <c r="G143" s="198">
        <v>4444</v>
      </c>
      <c r="H143" s="199">
        <v>15691481.4</v>
      </c>
    </row>
    <row r="144" spans="1:14" ht="26.4" x14ac:dyDescent="0.3">
      <c r="A144" s="195" t="s">
        <v>127</v>
      </c>
      <c r="B144" s="196">
        <v>4</v>
      </c>
      <c r="C144" s="196">
        <v>16</v>
      </c>
      <c r="D144" s="195">
        <v>19</v>
      </c>
      <c r="E144" s="197">
        <v>122</v>
      </c>
      <c r="F144" s="197">
        <v>1.46</v>
      </c>
      <c r="G144" s="198">
        <v>4444</v>
      </c>
      <c r="H144" s="199">
        <v>14944268</v>
      </c>
    </row>
    <row r="145" spans="1:8" ht="26.4" x14ac:dyDescent="0.3">
      <c r="A145" s="195" t="s">
        <v>159</v>
      </c>
      <c r="B145" s="196">
        <v>15</v>
      </c>
      <c r="C145" s="196">
        <v>60</v>
      </c>
      <c r="D145" s="195">
        <v>58</v>
      </c>
      <c r="E145" s="197">
        <v>122</v>
      </c>
      <c r="F145" s="197">
        <v>1.46</v>
      </c>
      <c r="G145" s="198">
        <v>4444</v>
      </c>
      <c r="H145" s="199">
        <v>45169662.5</v>
      </c>
    </row>
    <row r="146" spans="1:8" ht="26.4" x14ac:dyDescent="0.3">
      <c r="A146" s="195" t="s">
        <v>394</v>
      </c>
      <c r="B146" s="196">
        <v>15</v>
      </c>
      <c r="C146" s="196">
        <v>60</v>
      </c>
      <c r="D146" s="195">
        <v>9</v>
      </c>
      <c r="E146" s="197">
        <v>127</v>
      </c>
      <c r="F146" s="197">
        <v>1.46</v>
      </c>
      <c r="G146" s="198">
        <v>4444</v>
      </c>
      <c r="H146" s="199">
        <v>45169662.5</v>
      </c>
    </row>
    <row r="147" spans="1:8" ht="26.4" x14ac:dyDescent="0.3">
      <c r="A147" s="195" t="s">
        <v>160</v>
      </c>
      <c r="B147" s="196">
        <v>3</v>
      </c>
      <c r="C147" s="196">
        <v>13</v>
      </c>
      <c r="D147" s="195">
        <v>0</v>
      </c>
      <c r="E147" s="197">
        <v>122</v>
      </c>
      <c r="F147" s="197">
        <v>1.46</v>
      </c>
      <c r="G147" s="198">
        <v>4444</v>
      </c>
      <c r="H147" s="199">
        <v>19905275</v>
      </c>
    </row>
    <row r="148" spans="1:8" ht="26.4" x14ac:dyDescent="0.3">
      <c r="A148" s="195" t="s">
        <v>161</v>
      </c>
      <c r="B148" s="196">
        <v>4</v>
      </c>
      <c r="C148" s="196">
        <v>16</v>
      </c>
      <c r="D148" s="195">
        <v>14</v>
      </c>
      <c r="E148" s="197">
        <v>122</v>
      </c>
      <c r="F148" s="197">
        <v>1.46</v>
      </c>
      <c r="G148" s="198">
        <v>4444</v>
      </c>
      <c r="H148" s="199">
        <v>14546162.5</v>
      </c>
    </row>
    <row r="149" spans="1:8" ht="26.4" x14ac:dyDescent="0.3">
      <c r="A149" s="195" t="s">
        <v>395</v>
      </c>
      <c r="B149" s="196">
        <v>4</v>
      </c>
      <c r="C149" s="196">
        <v>16</v>
      </c>
      <c r="D149" s="195">
        <v>4</v>
      </c>
      <c r="E149" s="197">
        <v>127</v>
      </c>
      <c r="F149" s="197">
        <v>1.46</v>
      </c>
      <c r="G149" s="198">
        <v>4444</v>
      </c>
      <c r="H149" s="199">
        <v>14546162.5</v>
      </c>
    </row>
    <row r="150" spans="1:8" ht="39.6" x14ac:dyDescent="0.3">
      <c r="A150" s="200" t="s">
        <v>55</v>
      </c>
      <c r="B150" s="201">
        <v>3</v>
      </c>
      <c r="C150" s="201">
        <v>12</v>
      </c>
      <c r="D150" s="200">
        <v>28</v>
      </c>
      <c r="E150" s="202">
        <v>190</v>
      </c>
      <c r="F150" s="202">
        <v>1.46</v>
      </c>
      <c r="G150" s="203">
        <v>4444</v>
      </c>
      <c r="H150" s="204">
        <v>9952637.5</v>
      </c>
    </row>
    <row r="151" spans="1:8" x14ac:dyDescent="0.3">
      <c r="A151" s="205"/>
      <c r="B151" s="205">
        <v>48</v>
      </c>
      <c r="C151" s="205">
        <v>193</v>
      </c>
      <c r="D151" s="205">
        <f>SUM(D142:D150)</f>
        <v>207</v>
      </c>
      <c r="E151" s="206"/>
      <c r="F151" s="206"/>
      <c r="G151" s="206"/>
      <c r="H151" s="207">
        <v>204644601.09999999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BC6C-A182-4E2B-847B-5991115AB68C}">
  <dimension ref="A3:D41"/>
  <sheetViews>
    <sheetView workbookViewId="0">
      <selection activeCell="D3" sqref="D3"/>
    </sheetView>
  </sheetViews>
  <sheetFormatPr baseColWidth="10" defaultRowHeight="14.4" x14ac:dyDescent="0.3"/>
  <cols>
    <col min="1" max="1" width="22.33203125" bestFit="1" customWidth="1"/>
    <col min="2" max="2" width="22.44140625" bestFit="1" customWidth="1"/>
    <col min="3" max="4" width="12.5546875" bestFit="1" customWidth="1"/>
  </cols>
  <sheetData>
    <row r="3" spans="1:3" x14ac:dyDescent="0.3">
      <c r="A3" s="15" t="s">
        <v>94</v>
      </c>
      <c r="B3" s="15" t="s">
        <v>971</v>
      </c>
    </row>
    <row r="4" spans="1:3" x14ac:dyDescent="0.3">
      <c r="A4" s="15" t="s">
        <v>970</v>
      </c>
      <c r="B4" s="16" t="s">
        <v>95</v>
      </c>
      <c r="C4" s="16" t="s">
        <v>101</v>
      </c>
    </row>
    <row r="5" spans="1:3" x14ac:dyDescent="0.3">
      <c r="A5" s="106" t="s">
        <v>103</v>
      </c>
      <c r="B5" s="16">
        <v>49</v>
      </c>
      <c r="C5" s="16">
        <v>49</v>
      </c>
    </row>
    <row r="6" spans="1:3" x14ac:dyDescent="0.3">
      <c r="A6" s="106" t="s">
        <v>104</v>
      </c>
      <c r="B6" s="16">
        <v>23</v>
      </c>
      <c r="C6" s="16">
        <v>23</v>
      </c>
    </row>
    <row r="7" spans="1:3" x14ac:dyDescent="0.3">
      <c r="A7" s="16" t="s">
        <v>101</v>
      </c>
      <c r="B7" s="16">
        <v>72</v>
      </c>
      <c r="C7" s="16">
        <v>72</v>
      </c>
    </row>
    <row r="17" spans="1:4" x14ac:dyDescent="0.3">
      <c r="A17" s="15" t="s">
        <v>229</v>
      </c>
      <c r="B17" t="s">
        <v>104</v>
      </c>
    </row>
    <row r="19" spans="1:4" x14ac:dyDescent="0.3">
      <c r="A19" s="15" t="s">
        <v>94</v>
      </c>
      <c r="B19" s="15" t="s">
        <v>971</v>
      </c>
    </row>
    <row r="20" spans="1:4" x14ac:dyDescent="0.3">
      <c r="A20" s="166" t="s">
        <v>970</v>
      </c>
      <c r="B20" s="16" t="s">
        <v>95</v>
      </c>
      <c r="C20" s="16" t="s">
        <v>101</v>
      </c>
    </row>
    <row r="21" spans="1:4" x14ac:dyDescent="0.3">
      <c r="A21" s="16" t="s">
        <v>964</v>
      </c>
      <c r="B21" s="16">
        <v>6</v>
      </c>
      <c r="C21" s="16">
        <v>6</v>
      </c>
      <c r="D21" s="167">
        <f>B21/$B$27</f>
        <v>0.2608695652173913</v>
      </c>
    </row>
    <row r="22" spans="1:4" x14ac:dyDescent="0.3">
      <c r="A22" s="16" t="s">
        <v>956</v>
      </c>
      <c r="B22" s="16">
        <v>6</v>
      </c>
      <c r="C22" s="16">
        <v>6</v>
      </c>
      <c r="D22" s="167">
        <f t="shared" ref="D22:D27" si="0">B22/$B$27</f>
        <v>0.2608695652173913</v>
      </c>
    </row>
    <row r="23" spans="1:4" x14ac:dyDescent="0.3">
      <c r="A23" s="16" t="s">
        <v>951</v>
      </c>
      <c r="B23" s="16">
        <v>5</v>
      </c>
      <c r="C23" s="16">
        <v>5</v>
      </c>
      <c r="D23" s="167">
        <f t="shared" si="0"/>
        <v>0.21739130434782608</v>
      </c>
    </row>
    <row r="24" spans="1:4" x14ac:dyDescent="0.3">
      <c r="A24" s="16" t="s">
        <v>973</v>
      </c>
      <c r="B24" s="16">
        <v>3</v>
      </c>
      <c r="C24" s="16">
        <v>3</v>
      </c>
      <c r="D24" s="167">
        <f t="shared" si="0"/>
        <v>0.13043478260869565</v>
      </c>
    </row>
    <row r="25" spans="1:4" x14ac:dyDescent="0.3">
      <c r="A25" s="16" t="s">
        <v>972</v>
      </c>
      <c r="B25" s="16">
        <v>2</v>
      </c>
      <c r="C25" s="16">
        <v>2</v>
      </c>
      <c r="D25" s="167">
        <f t="shared" si="0"/>
        <v>8.6956521739130432E-2</v>
      </c>
    </row>
    <row r="26" spans="1:4" x14ac:dyDescent="0.3">
      <c r="A26" s="16" t="s">
        <v>967</v>
      </c>
      <c r="B26" s="16">
        <v>1</v>
      </c>
      <c r="C26" s="16">
        <v>1</v>
      </c>
      <c r="D26" s="167">
        <f t="shared" si="0"/>
        <v>4.3478260869565216E-2</v>
      </c>
    </row>
    <row r="27" spans="1:4" x14ac:dyDescent="0.3">
      <c r="A27" s="16" t="s">
        <v>101</v>
      </c>
      <c r="B27" s="16">
        <v>23</v>
      </c>
      <c r="C27" s="16">
        <v>23</v>
      </c>
      <c r="D27" s="167">
        <f t="shared" si="0"/>
        <v>1</v>
      </c>
    </row>
    <row r="33" spans="1:3" x14ac:dyDescent="0.3">
      <c r="A33" s="15" t="s">
        <v>229</v>
      </c>
      <c r="B33" t="s">
        <v>104</v>
      </c>
    </row>
    <row r="35" spans="1:3" x14ac:dyDescent="0.3">
      <c r="A35" s="15" t="s">
        <v>94</v>
      </c>
      <c r="B35" s="15" t="s">
        <v>971</v>
      </c>
    </row>
    <row r="36" spans="1:3" x14ac:dyDescent="0.3">
      <c r="A36" s="15" t="s">
        <v>970</v>
      </c>
      <c r="B36" s="16" t="s">
        <v>95</v>
      </c>
      <c r="C36" s="16" t="s">
        <v>101</v>
      </c>
    </row>
    <row r="37" spans="1:3" x14ac:dyDescent="0.3">
      <c r="A37" s="106" t="s">
        <v>963</v>
      </c>
      <c r="B37" s="16">
        <v>2</v>
      </c>
      <c r="C37" s="16">
        <v>2</v>
      </c>
    </row>
    <row r="38" spans="1:3" x14ac:dyDescent="0.3">
      <c r="A38" s="106" t="s">
        <v>952</v>
      </c>
      <c r="B38" s="16">
        <v>16</v>
      </c>
      <c r="C38" s="16">
        <v>16</v>
      </c>
    </row>
    <row r="39" spans="1:3" x14ac:dyDescent="0.3">
      <c r="A39" s="106" t="s">
        <v>966</v>
      </c>
      <c r="B39" s="16">
        <v>4</v>
      </c>
      <c r="C39" s="16">
        <v>4</v>
      </c>
    </row>
    <row r="40" spans="1:3" x14ac:dyDescent="0.3">
      <c r="A40" s="106" t="s">
        <v>960</v>
      </c>
      <c r="B40" s="16">
        <v>1</v>
      </c>
      <c r="C40" s="16">
        <v>1</v>
      </c>
    </row>
    <row r="41" spans="1:3" x14ac:dyDescent="0.3">
      <c r="A41" s="16" t="s">
        <v>101</v>
      </c>
      <c r="B41" s="16">
        <v>23</v>
      </c>
      <c r="C41" s="16">
        <v>23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Base Ventas</vt:lpstr>
      <vt:lpstr>Productos</vt:lpstr>
      <vt:lpstr>Indicadores Despachos</vt:lpstr>
      <vt:lpstr>OKR</vt:lpstr>
      <vt:lpstr>Analisis Ventas</vt:lpstr>
      <vt:lpstr>Valores</vt:lpstr>
      <vt:lpstr>Graficos Finales</vt:lpstr>
      <vt:lpstr>Graficos causales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Tobar Romero</dc:creator>
  <cp:lastModifiedBy>AURA</cp:lastModifiedBy>
  <dcterms:created xsi:type="dcterms:W3CDTF">2022-03-21T22:27:02Z</dcterms:created>
  <dcterms:modified xsi:type="dcterms:W3CDTF">2026-03-30T17:04:47Z</dcterms:modified>
</cp:coreProperties>
</file>