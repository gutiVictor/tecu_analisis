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E84FBB21-945E-443D-B4F7-92B8C7A92590}" xr6:coauthVersionLast="47" xr6:coauthVersionMax="47" xr10:uidLastSave="{00000000-0000-0000-0000-000000000000}"/>
  <bookViews>
    <workbookView xWindow="-108" yWindow="-108" windowWidth="23256" windowHeight="12576" tabRatio="718" xr2:uid="{00000000-000D-0000-FFFF-FFFF00000000}"/>
  </bookViews>
  <sheets>
    <sheet name="Base Ventas" sheetId="1" r:id="rId1"/>
    <sheet name="Productos" sheetId="2" r:id="rId2"/>
    <sheet name="Indicadores Despachos" sheetId="3" r:id="rId3"/>
    <sheet name="OKR" sheetId="7" r:id="rId4"/>
    <sheet name="Analisis Ventas" sheetId="4" r:id="rId5"/>
    <sheet name="Valores" sheetId="5" r:id="rId6"/>
  </sheets>
  <externalReferences>
    <externalReference r:id="rId7"/>
    <externalReference r:id="rId8"/>
  </externalReferences>
  <definedNames>
    <definedName name="_xlnm._FilterDatabase" localSheetId="4" hidden="1">'Analisis Ventas'!$A$82:$J$101</definedName>
    <definedName name="_xlnm._FilterDatabase" localSheetId="0" hidden="1">'Base Ventas'!$A$4:$AA$1066</definedName>
    <definedName name="_xlnm._FilterDatabase" localSheetId="1" hidden="1">Productos!$A$2:$D$274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31" i="1" l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31" i="1"/>
  <c r="Q1066" i="1"/>
  <c r="Q1065" i="1"/>
  <c r="S1065" i="1" s="1"/>
  <c r="Q1064" i="1"/>
  <c r="S1064" i="1" s="1"/>
  <c r="Q1063" i="1"/>
  <c r="S1063" i="1" s="1"/>
  <c r="Q1062" i="1"/>
  <c r="S1062" i="1" s="1"/>
  <c r="Q1061" i="1"/>
  <c r="Q1060" i="1"/>
  <c r="Q1059" i="1"/>
  <c r="S1059" i="1" s="1"/>
  <c r="Q1058" i="1"/>
  <c r="Q1057" i="1"/>
  <c r="Q1056" i="1"/>
  <c r="S1056" i="1" s="1"/>
  <c r="Q1055" i="1"/>
  <c r="S1055" i="1" s="1"/>
  <c r="Q1054" i="1"/>
  <c r="S1054" i="1" s="1"/>
  <c r="Q1053" i="1"/>
  <c r="S1053" i="1" s="1"/>
  <c r="Q1052" i="1"/>
  <c r="S1052" i="1" s="1"/>
  <c r="Q1051" i="1"/>
  <c r="S1051" i="1" s="1"/>
  <c r="Q1050" i="1"/>
  <c r="Q1049" i="1"/>
  <c r="Q1048" i="1"/>
  <c r="S1048" i="1" s="1"/>
  <c r="Q1047" i="1"/>
  <c r="Q1046" i="1"/>
  <c r="Q1045" i="1"/>
  <c r="S1045" i="1" s="1"/>
  <c r="Q1044" i="1"/>
  <c r="S1044" i="1" s="1"/>
  <c r="Q1043" i="1"/>
  <c r="S1043" i="1" s="1"/>
  <c r="Q1042" i="1"/>
  <c r="Q1041" i="1"/>
  <c r="Q1040" i="1"/>
  <c r="Q1039" i="1"/>
  <c r="S1039" i="1" s="1"/>
  <c r="Q1038" i="1"/>
  <c r="Q1037" i="1"/>
  <c r="S1037" i="1" s="1"/>
  <c r="Q1036" i="1"/>
  <c r="Q1035" i="1"/>
  <c r="Q1034" i="1"/>
  <c r="Q1033" i="1"/>
  <c r="S1033" i="1" s="1"/>
  <c r="Q1032" i="1"/>
  <c r="Q1031" i="1"/>
  <c r="S1031" i="1" s="1"/>
  <c r="Q1030" i="1"/>
  <c r="V1030" i="1" s="1"/>
  <c r="Q1029" i="1"/>
  <c r="S1029" i="1" s="1"/>
  <c r="Q1028" i="1"/>
  <c r="V1028" i="1" s="1"/>
  <c r="Q1027" i="1"/>
  <c r="S1027" i="1" s="1"/>
  <c r="Q1026" i="1"/>
  <c r="V1026" i="1" s="1"/>
  <c r="Q1025" i="1"/>
  <c r="V1025" i="1" s="1"/>
  <c r="Q1024" i="1"/>
  <c r="V1024" i="1" s="1"/>
  <c r="Q1023" i="1"/>
  <c r="V1023" i="1" s="1"/>
  <c r="Q1022" i="1"/>
  <c r="V1022" i="1" s="1"/>
  <c r="Q1021" i="1"/>
  <c r="S1021" i="1" s="1"/>
  <c r="Q1020" i="1"/>
  <c r="V1020" i="1" s="1"/>
  <c r="Q1019" i="1"/>
  <c r="S1019" i="1" s="1"/>
  <c r="Q1018" i="1"/>
  <c r="V1018" i="1" s="1"/>
  <c r="Q1017" i="1"/>
  <c r="V1017" i="1" s="1"/>
  <c r="Q1016" i="1"/>
  <c r="V1016" i="1" s="1"/>
  <c r="Q1015" i="1"/>
  <c r="V1015" i="1" s="1"/>
  <c r="Q1014" i="1"/>
  <c r="V1014" i="1" s="1"/>
  <c r="Q1013" i="1"/>
  <c r="S1013" i="1" s="1"/>
  <c r="Q1012" i="1"/>
  <c r="V1012" i="1" s="1"/>
  <c r="Q1011" i="1"/>
  <c r="S1011" i="1" s="1"/>
  <c r="Q1010" i="1"/>
  <c r="V1010" i="1" s="1"/>
  <c r="Q1009" i="1"/>
  <c r="V1009" i="1" s="1"/>
  <c r="Q1008" i="1"/>
  <c r="V1008" i="1" s="1"/>
  <c r="Q1007" i="1"/>
  <c r="V1007" i="1" s="1"/>
  <c r="Q1006" i="1"/>
  <c r="S1006" i="1" s="1"/>
  <c r="Q1005" i="1"/>
  <c r="S1005" i="1" s="1"/>
  <c r="Q1004" i="1"/>
  <c r="V1004" i="1" s="1"/>
  <c r="Q1003" i="1"/>
  <c r="S1003" i="1" s="1"/>
  <c r="Q1002" i="1"/>
  <c r="S1002" i="1" s="1"/>
  <c r="Q1001" i="1"/>
  <c r="V1001" i="1" s="1"/>
  <c r="Q1000" i="1"/>
  <c r="V1000" i="1" s="1"/>
  <c r="Q999" i="1"/>
  <c r="S999" i="1" s="1"/>
  <c r="Q998" i="1"/>
  <c r="V998" i="1" s="1"/>
  <c r="Q997" i="1"/>
  <c r="S997" i="1" s="1"/>
  <c r="Q996" i="1"/>
  <c r="V996" i="1" s="1"/>
  <c r="Q995" i="1"/>
  <c r="S995" i="1" s="1"/>
  <c r="Q994" i="1"/>
  <c r="V994" i="1" s="1"/>
  <c r="Q993" i="1"/>
  <c r="V993" i="1" s="1"/>
  <c r="Q992" i="1"/>
  <c r="V992" i="1" s="1"/>
  <c r="Q991" i="1"/>
  <c r="V991" i="1" s="1"/>
  <c r="Q990" i="1"/>
  <c r="V990" i="1" s="1"/>
  <c r="Q989" i="1"/>
  <c r="V989" i="1" s="1"/>
  <c r="Q988" i="1"/>
  <c r="V988" i="1" s="1"/>
  <c r="Q987" i="1"/>
  <c r="V987" i="1" s="1"/>
  <c r="Q986" i="1"/>
  <c r="V986" i="1" s="1"/>
  <c r="Q985" i="1"/>
  <c r="V985" i="1" s="1"/>
  <c r="Q984" i="1"/>
  <c r="V984" i="1" s="1"/>
  <c r="Q983" i="1"/>
  <c r="V983" i="1" s="1"/>
  <c r="Q982" i="1"/>
  <c r="V982" i="1" s="1"/>
  <c r="Q981" i="1"/>
  <c r="V981" i="1" s="1"/>
  <c r="Q980" i="1"/>
  <c r="V980" i="1" s="1"/>
  <c r="Q979" i="1"/>
  <c r="V979" i="1" s="1"/>
  <c r="Q978" i="1"/>
  <c r="V978" i="1" s="1"/>
  <c r="Q977" i="1"/>
  <c r="V977" i="1" s="1"/>
  <c r="Q976" i="1"/>
  <c r="V976" i="1" s="1"/>
  <c r="Q975" i="1"/>
  <c r="V975" i="1" s="1"/>
  <c r="Q974" i="1"/>
  <c r="V974" i="1" s="1"/>
  <c r="Q973" i="1"/>
  <c r="V973" i="1" s="1"/>
  <c r="Q972" i="1"/>
  <c r="V972" i="1" s="1"/>
  <c r="Q971" i="1"/>
  <c r="V971" i="1" s="1"/>
  <c r="Q970" i="1"/>
  <c r="V970" i="1" s="1"/>
  <c r="Q969" i="1"/>
  <c r="V969" i="1" s="1"/>
  <c r="Q968" i="1"/>
  <c r="V968" i="1" s="1"/>
  <c r="Q967" i="1"/>
  <c r="V967" i="1" s="1"/>
  <c r="Q966" i="1"/>
  <c r="V966" i="1" s="1"/>
  <c r="Q965" i="1"/>
  <c r="V965" i="1" s="1"/>
  <c r="Q964" i="1"/>
  <c r="V964" i="1" s="1"/>
  <c r="Q963" i="1"/>
  <c r="S963" i="1" s="1"/>
  <c r="V963" i="1" s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S945" i="1" s="1"/>
  <c r="V945" i="1" s="1"/>
  <c r="Q944" i="1"/>
  <c r="S944" i="1" s="1"/>
  <c r="Q943" i="1"/>
  <c r="S943" i="1" s="1"/>
  <c r="Q942" i="1"/>
  <c r="S942" i="1" s="1"/>
  <c r="Q941" i="1"/>
  <c r="S941" i="1" s="1"/>
  <c r="Q940" i="1"/>
  <c r="S940" i="1" s="1"/>
  <c r="Q939" i="1"/>
  <c r="S939" i="1" s="1"/>
  <c r="Q938" i="1"/>
  <c r="S938" i="1" s="1"/>
  <c r="Q937" i="1"/>
  <c r="S937" i="1" s="1"/>
  <c r="Q936" i="1"/>
  <c r="S936" i="1" s="1"/>
  <c r="Q935" i="1"/>
  <c r="S935" i="1" s="1"/>
  <c r="Q934" i="1"/>
  <c r="S934" i="1" s="1"/>
  <c r="Q933" i="1"/>
  <c r="S933" i="1" s="1"/>
  <c r="Q932" i="1"/>
  <c r="S932" i="1" s="1"/>
  <c r="Q931" i="1"/>
  <c r="S931" i="1" s="1"/>
  <c r="Q930" i="1"/>
  <c r="S930" i="1" s="1"/>
  <c r="V930" i="1" s="1"/>
  <c r="Q929" i="1"/>
  <c r="V929" i="1" s="1"/>
  <c r="Q928" i="1"/>
  <c r="V928" i="1" s="1"/>
  <c r="Q927" i="1"/>
  <c r="V927" i="1" s="1"/>
  <c r="Q926" i="1"/>
  <c r="S926" i="1" s="1"/>
  <c r="Q925" i="1"/>
  <c r="V925" i="1" s="1"/>
  <c r="Q924" i="1"/>
  <c r="S924" i="1" s="1"/>
  <c r="Q923" i="1"/>
  <c r="V923" i="1" s="1"/>
  <c r="Q922" i="1"/>
  <c r="V922" i="1" s="1"/>
  <c r="Q921" i="1"/>
  <c r="V921" i="1" s="1"/>
  <c r="Q920" i="1"/>
  <c r="V920" i="1" s="1"/>
  <c r="Q919" i="1"/>
  <c r="V919" i="1" s="1"/>
  <c r="Q918" i="1"/>
  <c r="S918" i="1" s="1"/>
  <c r="Q917" i="1"/>
  <c r="V917" i="1" s="1"/>
  <c r="Q916" i="1"/>
  <c r="V916" i="1" s="1"/>
  <c r="Q915" i="1"/>
  <c r="V915" i="1" s="1"/>
  <c r="Q914" i="1"/>
  <c r="S914" i="1" s="1"/>
  <c r="Q913" i="1"/>
  <c r="V913" i="1" s="1"/>
  <c r="Q912" i="1"/>
  <c r="V912" i="1" s="1"/>
  <c r="Q911" i="1"/>
  <c r="V911" i="1" s="1"/>
  <c r="Q910" i="1"/>
  <c r="S910" i="1" s="1"/>
  <c r="Q909" i="1"/>
  <c r="V909" i="1" s="1"/>
  <c r="Q908" i="1"/>
  <c r="S908" i="1" s="1"/>
  <c r="V908" i="1" s="1"/>
  <c r="Q907" i="1"/>
  <c r="S907" i="1" s="1"/>
  <c r="Q906" i="1"/>
  <c r="V906" i="1" s="1"/>
  <c r="Q905" i="1"/>
  <c r="V905" i="1" s="1"/>
  <c r="Q904" i="1"/>
  <c r="V904" i="1" s="1"/>
  <c r="Q903" i="1"/>
  <c r="V903" i="1" s="1"/>
  <c r="Q902" i="1"/>
  <c r="V902" i="1" s="1"/>
  <c r="Q901" i="1"/>
  <c r="S901" i="1" s="1"/>
  <c r="Q900" i="1"/>
  <c r="V900" i="1" s="1"/>
  <c r="Q899" i="1"/>
  <c r="S899" i="1" s="1"/>
  <c r="Q898" i="1"/>
  <c r="S898" i="1" s="1"/>
  <c r="V898" i="1" s="1"/>
  <c r="Q897" i="1"/>
  <c r="V897" i="1" s="1"/>
  <c r="Q896" i="1"/>
  <c r="V896" i="1" s="1"/>
  <c r="Q895" i="1"/>
  <c r="S895" i="1" s="1"/>
  <c r="V895" i="1" s="1"/>
  <c r="Q894" i="1"/>
  <c r="S894" i="1" s="1"/>
  <c r="Q893" i="1"/>
  <c r="S893" i="1" s="1"/>
  <c r="Q892" i="1"/>
  <c r="S892" i="1" s="1"/>
  <c r="Q891" i="1"/>
  <c r="S891" i="1" s="1"/>
  <c r="Q890" i="1"/>
  <c r="S890" i="1" s="1"/>
  <c r="Q889" i="1"/>
  <c r="S889" i="1" s="1"/>
  <c r="Q888" i="1"/>
  <c r="S888" i="1" s="1"/>
  <c r="Q887" i="1"/>
  <c r="S887" i="1" s="1"/>
  <c r="Q886" i="1"/>
  <c r="S886" i="1" s="1"/>
  <c r="Q885" i="1"/>
  <c r="S885" i="1" s="1"/>
  <c r="Q884" i="1"/>
  <c r="S884" i="1" s="1"/>
  <c r="Q883" i="1"/>
  <c r="S883" i="1" s="1"/>
  <c r="Q882" i="1"/>
  <c r="S882" i="1" s="1"/>
  <c r="Q881" i="1"/>
  <c r="S881" i="1" s="1"/>
  <c r="Q880" i="1"/>
  <c r="S880" i="1" s="1"/>
  <c r="Q879" i="1"/>
  <c r="S879" i="1" s="1"/>
  <c r="Q878" i="1"/>
  <c r="S878" i="1" s="1"/>
  <c r="Q877" i="1"/>
  <c r="S877" i="1" s="1"/>
  <c r="V877" i="1" s="1"/>
  <c r="Q876" i="1"/>
  <c r="V876" i="1" s="1"/>
  <c r="Q875" i="1"/>
  <c r="S875" i="1" s="1"/>
  <c r="Q874" i="1"/>
  <c r="V874" i="1" s="1"/>
  <c r="Q873" i="1"/>
  <c r="S873" i="1" s="1"/>
  <c r="Q872" i="1"/>
  <c r="V872" i="1" s="1"/>
  <c r="Q871" i="1"/>
  <c r="V871" i="1" s="1"/>
  <c r="Q870" i="1"/>
  <c r="V870" i="1" s="1"/>
  <c r="Q869" i="1"/>
  <c r="V869" i="1" s="1"/>
  <c r="Q868" i="1"/>
  <c r="S868" i="1" s="1"/>
  <c r="Q867" i="1"/>
  <c r="V867" i="1" s="1"/>
  <c r="Q866" i="1"/>
  <c r="S866" i="1" s="1"/>
  <c r="V866" i="1" s="1"/>
  <c r="Q865" i="1"/>
  <c r="S865" i="1" s="1"/>
  <c r="Q864" i="1"/>
  <c r="V864" i="1" s="1"/>
  <c r="Q863" i="1"/>
  <c r="V863" i="1" s="1"/>
  <c r="Q862" i="1"/>
  <c r="S862" i="1" s="1"/>
  <c r="Q861" i="1"/>
  <c r="V861" i="1" s="1"/>
  <c r="Q860" i="1"/>
  <c r="V860" i="1" s="1"/>
  <c r="Q859" i="1"/>
  <c r="V859" i="1" s="1"/>
  <c r="Q858" i="1"/>
  <c r="V858" i="1" s="1"/>
  <c r="Q857" i="1"/>
  <c r="S857" i="1" s="1"/>
  <c r="V857" i="1" s="1"/>
  <c r="Q856" i="1"/>
  <c r="V856" i="1" s="1"/>
  <c r="Q855" i="1"/>
  <c r="V855" i="1" s="1"/>
  <c r="Q854" i="1"/>
  <c r="V854" i="1" s="1"/>
  <c r="Q853" i="1"/>
  <c r="V853" i="1" s="1"/>
  <c r="Q852" i="1"/>
  <c r="V852" i="1" s="1"/>
  <c r="Q851" i="1"/>
  <c r="V851" i="1" s="1"/>
  <c r="Q850" i="1"/>
  <c r="V850" i="1" s="1"/>
  <c r="Q849" i="1"/>
  <c r="V849" i="1" s="1"/>
  <c r="Q848" i="1"/>
  <c r="V848" i="1" s="1"/>
  <c r="Q847" i="1"/>
  <c r="V847" i="1" s="1"/>
  <c r="Q846" i="1"/>
  <c r="V846" i="1" s="1"/>
  <c r="Q845" i="1"/>
  <c r="V845" i="1" s="1"/>
  <c r="Q844" i="1"/>
  <c r="V844" i="1" s="1"/>
  <c r="Q843" i="1"/>
  <c r="V843" i="1" s="1"/>
  <c r="Q842" i="1"/>
  <c r="V842" i="1" s="1"/>
  <c r="Q841" i="1"/>
  <c r="V841" i="1" s="1"/>
  <c r="Q840" i="1"/>
  <c r="V840" i="1" s="1"/>
  <c r="Q839" i="1"/>
  <c r="V839" i="1" s="1"/>
  <c r="Q838" i="1"/>
  <c r="V838" i="1" s="1"/>
  <c r="Q837" i="1"/>
  <c r="V837" i="1" s="1"/>
  <c r="Q836" i="1"/>
  <c r="S836" i="1" s="1"/>
  <c r="V836" i="1" s="1"/>
  <c r="Q835" i="1"/>
  <c r="S835" i="1" s="1"/>
  <c r="Q834" i="1"/>
  <c r="S834" i="1" s="1"/>
  <c r="Q833" i="1"/>
  <c r="S833" i="1" s="1"/>
  <c r="Q832" i="1"/>
  <c r="S832" i="1" s="1"/>
  <c r="Q831" i="1"/>
  <c r="S831" i="1" s="1"/>
  <c r="Q830" i="1"/>
  <c r="S830" i="1" s="1"/>
  <c r="Q829" i="1"/>
  <c r="S829" i="1" s="1"/>
  <c r="Q828" i="1"/>
  <c r="S828" i="1" s="1"/>
  <c r="Q827" i="1"/>
  <c r="S827" i="1" s="1"/>
  <c r="Q826" i="1"/>
  <c r="S826" i="1" s="1"/>
  <c r="Q825" i="1"/>
  <c r="S825" i="1" s="1"/>
  <c r="Q824" i="1"/>
  <c r="S824" i="1" s="1"/>
  <c r="Q823" i="1"/>
  <c r="S823" i="1" s="1"/>
  <c r="Q822" i="1"/>
  <c r="S822" i="1" s="1"/>
  <c r="V822" i="1" s="1"/>
  <c r="Q821" i="1"/>
  <c r="V821" i="1" s="1"/>
  <c r="Q820" i="1"/>
  <c r="V820" i="1" s="1"/>
  <c r="Q819" i="1"/>
  <c r="V819" i="1" s="1"/>
  <c r="Q818" i="1"/>
  <c r="S818" i="1" s="1"/>
  <c r="Q817" i="1"/>
  <c r="V817" i="1" s="1"/>
  <c r="Q816" i="1"/>
  <c r="S816" i="1" s="1"/>
  <c r="Q815" i="1"/>
  <c r="V815" i="1" s="1"/>
  <c r="Q814" i="1"/>
  <c r="V814" i="1" s="1"/>
  <c r="Q813" i="1"/>
  <c r="V813" i="1" s="1"/>
  <c r="Q812" i="1"/>
  <c r="V812" i="1" s="1"/>
  <c r="Q811" i="1"/>
  <c r="S811" i="1" s="1"/>
  <c r="V811" i="1" s="1"/>
  <c r="Q810" i="1"/>
  <c r="V810" i="1" s="1"/>
  <c r="Q809" i="1"/>
  <c r="V809" i="1" s="1"/>
  <c r="Q808" i="1"/>
  <c r="S808" i="1" s="1"/>
  <c r="V808" i="1" s="1"/>
  <c r="Q807" i="1"/>
  <c r="S807" i="1" s="1"/>
  <c r="V807" i="1" s="1"/>
  <c r="Q806" i="1"/>
  <c r="S806" i="1" s="1"/>
  <c r="V806" i="1" s="1"/>
  <c r="Q805" i="1"/>
  <c r="S805" i="1" s="1"/>
  <c r="V805" i="1" s="1"/>
  <c r="Q804" i="1"/>
  <c r="S804" i="1" s="1"/>
  <c r="V804" i="1" s="1"/>
  <c r="Q803" i="1"/>
  <c r="S803" i="1" s="1"/>
  <c r="V803" i="1" s="1"/>
  <c r="Q802" i="1"/>
  <c r="S802" i="1" s="1"/>
  <c r="Q801" i="1"/>
  <c r="S801" i="1" s="1"/>
  <c r="Q800" i="1"/>
  <c r="S800" i="1" s="1"/>
  <c r="V800" i="1" s="1"/>
  <c r="Q799" i="1"/>
  <c r="V799" i="1" s="1"/>
  <c r="Q798" i="1"/>
  <c r="S798" i="1" s="1"/>
  <c r="Q797" i="1"/>
  <c r="V797" i="1" s="1"/>
  <c r="Q796" i="1"/>
  <c r="V796" i="1" s="1"/>
  <c r="Q795" i="1"/>
  <c r="V795" i="1" s="1"/>
  <c r="Q794" i="1"/>
  <c r="V794" i="1" s="1"/>
  <c r="Q793" i="1"/>
  <c r="S793" i="1" s="1"/>
  <c r="Q792" i="1"/>
  <c r="S792" i="1" s="1"/>
  <c r="Q791" i="1"/>
  <c r="V791" i="1" s="1"/>
  <c r="Q790" i="1"/>
  <c r="S790" i="1" s="1"/>
  <c r="Q789" i="1"/>
  <c r="V789" i="1" s="1"/>
  <c r="Q788" i="1"/>
  <c r="V788" i="1" s="1"/>
  <c r="Q787" i="1"/>
  <c r="V787" i="1" s="1"/>
  <c r="Q786" i="1"/>
  <c r="V786" i="1" s="1"/>
  <c r="Q785" i="1"/>
  <c r="S785" i="1" s="1"/>
  <c r="Q784" i="1"/>
  <c r="S784" i="1" s="1"/>
  <c r="Q783" i="1"/>
  <c r="V783" i="1" s="1"/>
  <c r="Q782" i="1"/>
  <c r="S782" i="1" s="1"/>
  <c r="Q781" i="1"/>
  <c r="S781" i="1" s="1"/>
  <c r="Q780" i="1"/>
  <c r="V780" i="1" s="1"/>
  <c r="Q779" i="1"/>
  <c r="V779" i="1" s="1"/>
  <c r="I1056" i="1"/>
  <c r="Q776" i="1"/>
  <c r="L776" i="1"/>
  <c r="R776" i="1" s="1"/>
  <c r="I776" i="1"/>
  <c r="G776" i="1"/>
  <c r="B776" i="1"/>
  <c r="Q774" i="1"/>
  <c r="L774" i="1"/>
  <c r="R774" i="1" s="1"/>
  <c r="I774" i="1"/>
  <c r="G774" i="1"/>
  <c r="B774" i="1"/>
  <c r="L1066" i="1"/>
  <c r="R1066" i="1" s="1"/>
  <c r="L1065" i="1"/>
  <c r="R1065" i="1" s="1"/>
  <c r="I1066" i="1"/>
  <c r="G1066" i="1"/>
  <c r="I1065" i="1"/>
  <c r="G1065" i="1"/>
  <c r="B1066" i="1"/>
  <c r="B1065" i="1"/>
  <c r="L1064" i="1"/>
  <c r="R1064" i="1" s="1"/>
  <c r="L1063" i="1"/>
  <c r="R1063" i="1" s="1"/>
  <c r="I1064" i="1"/>
  <c r="I1063" i="1"/>
  <c r="G1064" i="1"/>
  <c r="G1063" i="1"/>
  <c r="B1064" i="1"/>
  <c r="B1063" i="1"/>
  <c r="L1062" i="1"/>
  <c r="R1062" i="1" s="1"/>
  <c r="L1061" i="1"/>
  <c r="R1061" i="1" s="1"/>
  <c r="I1062" i="1"/>
  <c r="I1061" i="1"/>
  <c r="G1062" i="1"/>
  <c r="G1061" i="1"/>
  <c r="B1062" i="1"/>
  <c r="B1061" i="1"/>
  <c r="L1060" i="1"/>
  <c r="R1060" i="1" s="1"/>
  <c r="I1060" i="1"/>
  <c r="G1060" i="1"/>
  <c r="B1060" i="1"/>
  <c r="L1059" i="1"/>
  <c r="R1059" i="1" s="1"/>
  <c r="I1059" i="1"/>
  <c r="L1058" i="1"/>
  <c r="R1058" i="1" s="1"/>
  <c r="I1058" i="1"/>
  <c r="L1057" i="1"/>
  <c r="R1057" i="1" s="1"/>
  <c r="I1057" i="1"/>
  <c r="G1059" i="1"/>
  <c r="G1058" i="1"/>
  <c r="B1059" i="1"/>
  <c r="G1057" i="1"/>
  <c r="B1058" i="1"/>
  <c r="B1057" i="1"/>
  <c r="L1056" i="1"/>
  <c r="R1056" i="1" s="1"/>
  <c r="L1055" i="1"/>
  <c r="R1055" i="1" s="1"/>
  <c r="L1054" i="1"/>
  <c r="R1054" i="1" s="1"/>
  <c r="I1055" i="1"/>
  <c r="I1054" i="1"/>
  <c r="B1056" i="1"/>
  <c r="G1056" i="1"/>
  <c r="G1055" i="1"/>
  <c r="G1054" i="1"/>
  <c r="B1055" i="1"/>
  <c r="B1054" i="1"/>
  <c r="L1053" i="1"/>
  <c r="R1053" i="1" s="1"/>
  <c r="L1052" i="1"/>
  <c r="R1052" i="1" s="1"/>
  <c r="L1051" i="1"/>
  <c r="R1051" i="1" s="1"/>
  <c r="I1052" i="1"/>
  <c r="I1051" i="1"/>
  <c r="B1053" i="1"/>
  <c r="G1052" i="1"/>
  <c r="G1051" i="1"/>
  <c r="B1052" i="1"/>
  <c r="B1051" i="1"/>
  <c r="L1050" i="1"/>
  <c r="R1050" i="1" s="1"/>
  <c r="I1050" i="1"/>
  <c r="G1050" i="1"/>
  <c r="B1050" i="1"/>
  <c r="L1049" i="1"/>
  <c r="R1049" i="1" s="1"/>
  <c r="I1049" i="1"/>
  <c r="G1049" i="1"/>
  <c r="B1049" i="1"/>
  <c r="L1048" i="1"/>
  <c r="R1048" i="1" s="1"/>
  <c r="I1048" i="1"/>
  <c r="G1048" i="1"/>
  <c r="B1048" i="1"/>
  <c r="L1047" i="1"/>
  <c r="R1047" i="1" s="1"/>
  <c r="I1047" i="1"/>
  <c r="G1047" i="1"/>
  <c r="B1047" i="1"/>
  <c r="L1046" i="1"/>
  <c r="R1046" i="1" s="1"/>
  <c r="L1045" i="1"/>
  <c r="R1045" i="1" s="1"/>
  <c r="I1046" i="1"/>
  <c r="I1045" i="1"/>
  <c r="G1046" i="1"/>
  <c r="G1045" i="1"/>
  <c r="B1046" i="1"/>
  <c r="B1045" i="1"/>
  <c r="L1044" i="1"/>
  <c r="R1044" i="1" s="1"/>
  <c r="L1043" i="1"/>
  <c r="R1043" i="1" s="1"/>
  <c r="L1042" i="1"/>
  <c r="R1042" i="1" s="1"/>
  <c r="L1041" i="1"/>
  <c r="R1041" i="1" s="1"/>
  <c r="I1044" i="1"/>
  <c r="G1044" i="1"/>
  <c r="I1043" i="1"/>
  <c r="G1043" i="1"/>
  <c r="I1042" i="1"/>
  <c r="G1042" i="1"/>
  <c r="I1041" i="1"/>
  <c r="G1041" i="1"/>
  <c r="B1044" i="1"/>
  <c r="B1043" i="1"/>
  <c r="B1042" i="1"/>
  <c r="B1041" i="1"/>
  <c r="L1040" i="1"/>
  <c r="R1040" i="1" s="1"/>
  <c r="L1039" i="1"/>
  <c r="R1039" i="1" s="1"/>
  <c r="I1040" i="1"/>
  <c r="I1039" i="1"/>
  <c r="G1040" i="1"/>
  <c r="B1040" i="1"/>
  <c r="G1039" i="1"/>
  <c r="B1039" i="1"/>
  <c r="L1038" i="1"/>
  <c r="R1038" i="1" s="1"/>
  <c r="I1038" i="1"/>
  <c r="G1038" i="1"/>
  <c r="B1038" i="1"/>
  <c r="L1037" i="1"/>
  <c r="R1037" i="1" s="1"/>
  <c r="L1036" i="1"/>
  <c r="R1036" i="1" s="1"/>
  <c r="L1035" i="1"/>
  <c r="R1035" i="1" s="1"/>
  <c r="I1036" i="1"/>
  <c r="G1036" i="1"/>
  <c r="I1035" i="1"/>
  <c r="G1035" i="1"/>
  <c r="B1037" i="1"/>
  <c r="B1036" i="1"/>
  <c r="B1035" i="1"/>
  <c r="B1034" i="1"/>
  <c r="B1033" i="1"/>
  <c r="L1034" i="1"/>
  <c r="R1034" i="1" s="1"/>
  <c r="L1033" i="1"/>
  <c r="R1033" i="1" s="1"/>
  <c r="I1034" i="1"/>
  <c r="I1033" i="1"/>
  <c r="G1034" i="1"/>
  <c r="G1033" i="1"/>
  <c r="L1032" i="1"/>
  <c r="R1032" i="1" s="1"/>
  <c r="L1031" i="1"/>
  <c r="R1031" i="1" s="1"/>
  <c r="I1032" i="1"/>
  <c r="I1031" i="1"/>
  <c r="G1032" i="1"/>
  <c r="G1031" i="1"/>
  <c r="B1032" i="1"/>
  <c r="B1031" i="1"/>
  <c r="L1030" i="1"/>
  <c r="R1030" i="1" s="1"/>
  <c r="I1030" i="1"/>
  <c r="G1030" i="1"/>
  <c r="L1029" i="1"/>
  <c r="R1029" i="1" s="1"/>
  <c r="I1029" i="1"/>
  <c r="G1029" i="1"/>
  <c r="B1030" i="1"/>
  <c r="B1029" i="1"/>
  <c r="L1028" i="1"/>
  <c r="R1028" i="1" s="1"/>
  <c r="L1027" i="1"/>
  <c r="R1027" i="1" s="1"/>
  <c r="L1026" i="1"/>
  <c r="R1026" i="1" s="1"/>
  <c r="L1025" i="1"/>
  <c r="R1025" i="1" s="1"/>
  <c r="I1028" i="1"/>
  <c r="I1027" i="1"/>
  <c r="I1026" i="1"/>
  <c r="I1025" i="1"/>
  <c r="G1028" i="1"/>
  <c r="G1027" i="1"/>
  <c r="B1028" i="1"/>
  <c r="B1027" i="1"/>
  <c r="B1026" i="1"/>
  <c r="B1025" i="1"/>
  <c r="G1026" i="1"/>
  <c r="G1025" i="1"/>
  <c r="L1024" i="1"/>
  <c r="R1024" i="1" s="1"/>
  <c r="L1023" i="1"/>
  <c r="R1023" i="1" s="1"/>
  <c r="I1024" i="1"/>
  <c r="I1023" i="1"/>
  <c r="G1024" i="1"/>
  <c r="G1023" i="1"/>
  <c r="B1024" i="1"/>
  <c r="B1023" i="1"/>
  <c r="L1022" i="1"/>
  <c r="R1022" i="1" s="1"/>
  <c r="L1021" i="1"/>
  <c r="R1021" i="1" s="1"/>
  <c r="L1020" i="1"/>
  <c r="R1020" i="1" s="1"/>
  <c r="I1022" i="1"/>
  <c r="I1021" i="1"/>
  <c r="I1020" i="1"/>
  <c r="G1021" i="1"/>
  <c r="G1022" i="1"/>
  <c r="G1020" i="1"/>
  <c r="B1022" i="1"/>
  <c r="B1021" i="1"/>
  <c r="B1020" i="1"/>
  <c r="L1019" i="1"/>
  <c r="R1019" i="1" s="1"/>
  <c r="I1019" i="1"/>
  <c r="G1019" i="1"/>
  <c r="L1018" i="1"/>
  <c r="R1018" i="1" s="1"/>
  <c r="I1018" i="1"/>
  <c r="G1018" i="1"/>
  <c r="L1017" i="1"/>
  <c r="R1017" i="1" s="1"/>
  <c r="I1017" i="1"/>
  <c r="G1017" i="1"/>
  <c r="L1016" i="1"/>
  <c r="R1016" i="1" s="1"/>
  <c r="I1016" i="1"/>
  <c r="G1016" i="1"/>
  <c r="L1015" i="1"/>
  <c r="R1015" i="1" s="1"/>
  <c r="I1015" i="1"/>
  <c r="G1015" i="1"/>
  <c r="B1019" i="1"/>
  <c r="B1018" i="1"/>
  <c r="B1017" i="1"/>
  <c r="B1016" i="1"/>
  <c r="B1015" i="1"/>
  <c r="L1014" i="1"/>
  <c r="R1014" i="1" s="1"/>
  <c r="I1014" i="1"/>
  <c r="G1014" i="1"/>
  <c r="L1013" i="1"/>
  <c r="R1013" i="1" s="1"/>
  <c r="I1013" i="1"/>
  <c r="G1013" i="1"/>
  <c r="B1014" i="1"/>
  <c r="B1013" i="1"/>
  <c r="L1012" i="1"/>
  <c r="R1012" i="1" s="1"/>
  <c r="I1012" i="1"/>
  <c r="G1012" i="1"/>
  <c r="B1012" i="1"/>
  <c r="L1011" i="1"/>
  <c r="R1011" i="1" s="1"/>
  <c r="L1010" i="1"/>
  <c r="R1010" i="1" s="1"/>
  <c r="I1011" i="1"/>
  <c r="G1011" i="1"/>
  <c r="I1010" i="1"/>
  <c r="G1010" i="1"/>
  <c r="B1011" i="1"/>
  <c r="B1010" i="1"/>
  <c r="L1009" i="1"/>
  <c r="R1009" i="1" s="1"/>
  <c r="I1009" i="1"/>
  <c r="G1009" i="1"/>
  <c r="B1009" i="1"/>
  <c r="L1008" i="1"/>
  <c r="R1008" i="1" s="1"/>
  <c r="L1007" i="1"/>
  <c r="R1007" i="1" s="1"/>
  <c r="I1008" i="1"/>
  <c r="G1008" i="1"/>
  <c r="I1007" i="1"/>
  <c r="G1007" i="1"/>
  <c r="B1008" i="1"/>
  <c r="B1007" i="1"/>
  <c r="L1006" i="1"/>
  <c r="R1006" i="1" s="1"/>
  <c r="L1005" i="1"/>
  <c r="R1005" i="1" s="1"/>
  <c r="I1006" i="1"/>
  <c r="I1005" i="1"/>
  <c r="G1006" i="1"/>
  <c r="G1005" i="1"/>
  <c r="B1006" i="1"/>
  <c r="B1005" i="1"/>
  <c r="I1004" i="1"/>
  <c r="G1004" i="1"/>
  <c r="L1004" i="1"/>
  <c r="R1004" i="1" s="1"/>
  <c r="L1003" i="1"/>
  <c r="R1003" i="1" s="1"/>
  <c r="B1004" i="1"/>
  <c r="I1003" i="1"/>
  <c r="G1003" i="1"/>
  <c r="B1003" i="1"/>
  <c r="L1002" i="1"/>
  <c r="R1002" i="1" s="1"/>
  <c r="I1002" i="1"/>
  <c r="G1002" i="1"/>
  <c r="B1002" i="1"/>
  <c r="L1001" i="1"/>
  <c r="R1001" i="1" s="1"/>
  <c r="I1001" i="1"/>
  <c r="G1001" i="1"/>
  <c r="B1001" i="1"/>
  <c r="L1000" i="1"/>
  <c r="R1000" i="1" s="1"/>
  <c r="I1000" i="1"/>
  <c r="G1000" i="1"/>
  <c r="L999" i="1"/>
  <c r="R999" i="1" s="1"/>
  <c r="I999" i="1"/>
  <c r="G999" i="1"/>
  <c r="B1000" i="1"/>
  <c r="B999" i="1"/>
  <c r="L998" i="1"/>
  <c r="R998" i="1" s="1"/>
  <c r="L997" i="1"/>
  <c r="R997" i="1" s="1"/>
  <c r="I998" i="1"/>
  <c r="I997" i="1"/>
  <c r="G998" i="1"/>
  <c r="B998" i="1"/>
  <c r="G997" i="1"/>
  <c r="L996" i="1"/>
  <c r="R996" i="1" s="1"/>
  <c r="L995" i="1"/>
  <c r="R995" i="1" s="1"/>
  <c r="I996" i="1"/>
  <c r="I995" i="1"/>
  <c r="G996" i="1"/>
  <c r="G995" i="1"/>
  <c r="B997" i="1"/>
  <c r="B996" i="1"/>
  <c r="B995" i="1"/>
  <c r="L994" i="1"/>
  <c r="R994" i="1" s="1"/>
  <c r="L993" i="1"/>
  <c r="R993" i="1" s="1"/>
  <c r="I994" i="1"/>
  <c r="I993" i="1"/>
  <c r="G994" i="1"/>
  <c r="G993" i="1"/>
  <c r="B994" i="1"/>
  <c r="B993" i="1"/>
  <c r="I992" i="1"/>
  <c r="I991" i="1"/>
  <c r="G992" i="1"/>
  <c r="G991" i="1"/>
  <c r="L992" i="1"/>
  <c r="R992" i="1" s="1"/>
  <c r="L991" i="1"/>
  <c r="R991" i="1" s="1"/>
  <c r="B992" i="1"/>
  <c r="B991" i="1"/>
  <c r="L990" i="1"/>
  <c r="R990" i="1" s="1"/>
  <c r="I990" i="1"/>
  <c r="G990" i="1"/>
  <c r="L989" i="1"/>
  <c r="R989" i="1" s="1"/>
  <c r="I989" i="1"/>
  <c r="G989" i="1"/>
  <c r="B990" i="1"/>
  <c r="B989" i="1"/>
  <c r="L988" i="1"/>
  <c r="R988" i="1" s="1"/>
  <c r="L987" i="1"/>
  <c r="R987" i="1" s="1"/>
  <c r="I988" i="1"/>
  <c r="G988" i="1"/>
  <c r="I987" i="1"/>
  <c r="G987" i="1"/>
  <c r="B988" i="1"/>
  <c r="B987" i="1"/>
  <c r="L986" i="1"/>
  <c r="R986" i="1" s="1"/>
  <c r="L985" i="1"/>
  <c r="R985" i="1" s="1"/>
  <c r="I986" i="1"/>
  <c r="G986" i="1"/>
  <c r="I985" i="1"/>
  <c r="G985" i="1"/>
  <c r="B986" i="1"/>
  <c r="B985" i="1"/>
  <c r="L984" i="1"/>
  <c r="R984" i="1" s="1"/>
  <c r="I984" i="1"/>
  <c r="G984" i="1"/>
  <c r="B984" i="1"/>
  <c r="L983" i="1"/>
  <c r="R983" i="1" s="1"/>
  <c r="I983" i="1"/>
  <c r="G983" i="1"/>
  <c r="B983" i="1"/>
  <c r="L982" i="1"/>
  <c r="R982" i="1" s="1"/>
  <c r="L981" i="1"/>
  <c r="R981" i="1" s="1"/>
  <c r="I982" i="1"/>
  <c r="G982" i="1"/>
  <c r="I981" i="1"/>
  <c r="G981" i="1"/>
  <c r="B982" i="1"/>
  <c r="B981" i="1"/>
  <c r="I980" i="1"/>
  <c r="G980" i="1"/>
  <c r="L980" i="1"/>
  <c r="R980" i="1" s="1"/>
  <c r="B980" i="1"/>
  <c r="L977" i="1"/>
  <c r="R977" i="1" s="1"/>
  <c r="L978" i="1"/>
  <c r="R978" i="1" s="1"/>
  <c r="L979" i="1"/>
  <c r="R979" i="1" s="1"/>
  <c r="I979" i="1"/>
  <c r="G979" i="1"/>
  <c r="I978" i="1"/>
  <c r="G978" i="1"/>
  <c r="I977" i="1"/>
  <c r="G977" i="1"/>
  <c r="B979" i="1"/>
  <c r="B978" i="1"/>
  <c r="B977" i="1"/>
  <c r="L976" i="1"/>
  <c r="R976" i="1" s="1"/>
  <c r="L975" i="1"/>
  <c r="R975" i="1" s="1"/>
  <c r="I976" i="1"/>
  <c r="G976" i="1"/>
  <c r="I975" i="1"/>
  <c r="G975" i="1"/>
  <c r="B976" i="1"/>
  <c r="B975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3" i="1"/>
  <c r="I44" i="1"/>
  <c r="I46" i="1"/>
  <c r="I47" i="1"/>
  <c r="I48" i="1"/>
  <c r="I49" i="1"/>
  <c r="I50" i="1"/>
  <c r="I52" i="1"/>
  <c r="I53" i="1"/>
  <c r="I54" i="1"/>
  <c r="I55" i="1"/>
  <c r="I56" i="1"/>
  <c r="I57" i="1"/>
  <c r="I59" i="1"/>
  <c r="I60" i="1"/>
  <c r="I61" i="1"/>
  <c r="I63" i="1"/>
  <c r="I64" i="1"/>
  <c r="I65" i="1"/>
  <c r="I66" i="1"/>
  <c r="I67" i="1"/>
  <c r="I69" i="1"/>
  <c r="I70" i="1"/>
  <c r="I71" i="1"/>
  <c r="I72" i="1"/>
  <c r="I73" i="1"/>
  <c r="I74" i="1"/>
  <c r="I75" i="1"/>
  <c r="I76" i="1"/>
  <c r="I77" i="1"/>
  <c r="I78" i="1"/>
  <c r="I79" i="1"/>
  <c r="I81" i="1"/>
  <c r="I82" i="1"/>
  <c r="I83" i="1"/>
  <c r="I84" i="1"/>
  <c r="I85" i="1"/>
  <c r="I87" i="1"/>
  <c r="I88" i="1"/>
  <c r="I89" i="1"/>
  <c r="I90" i="1"/>
  <c r="I91" i="1"/>
  <c r="I92" i="1"/>
  <c r="I93" i="1"/>
  <c r="I94" i="1"/>
  <c r="I95" i="1"/>
  <c r="I96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7" i="1"/>
  <c r="I138" i="1"/>
  <c r="I139" i="1"/>
  <c r="I140" i="1"/>
  <c r="I141" i="1"/>
  <c r="I142" i="1"/>
  <c r="I143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6" i="1"/>
  <c r="I207" i="1"/>
  <c r="I208" i="1"/>
  <c r="I209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8" i="1"/>
  <c r="I259" i="1"/>
  <c r="I260" i="1"/>
  <c r="I261" i="1"/>
  <c r="I263" i="1"/>
  <c r="I264" i="1"/>
  <c r="I265" i="1"/>
  <c r="I266" i="1"/>
  <c r="I267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5" i="1"/>
  <c r="I336" i="1"/>
  <c r="I337" i="1"/>
  <c r="I338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5" i="1"/>
  <c r="I356" i="1"/>
  <c r="I357" i="1"/>
  <c r="I359" i="1"/>
  <c r="I360" i="1"/>
  <c r="I362" i="1"/>
  <c r="I363" i="1"/>
  <c r="I364" i="1"/>
  <c r="I365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4" i="1"/>
  <c r="I405" i="1"/>
  <c r="I407" i="1"/>
  <c r="I408" i="1"/>
  <c r="I409" i="1"/>
  <c r="I410" i="1"/>
  <c r="I411" i="1"/>
  <c r="I412" i="1"/>
  <c r="I413" i="1"/>
  <c r="I414" i="1"/>
  <c r="I415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4" i="1"/>
  <c r="I435" i="1"/>
  <c r="I436" i="1"/>
  <c r="I438" i="1"/>
  <c r="I439" i="1"/>
  <c r="I440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5" i="1"/>
  <c r="I506" i="1"/>
  <c r="I507" i="1"/>
  <c r="I509" i="1"/>
  <c r="I510" i="1"/>
  <c r="I511" i="1"/>
  <c r="I512" i="1"/>
  <c r="I513" i="1"/>
  <c r="I514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4" i="1"/>
  <c r="I625" i="1"/>
  <c r="I626" i="1"/>
  <c r="I627" i="1"/>
  <c r="I628" i="1"/>
  <c r="I629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5" i="1"/>
  <c r="I646" i="1"/>
  <c r="I647" i="1"/>
  <c r="I648" i="1"/>
  <c r="I649" i="1"/>
  <c r="I650" i="1"/>
  <c r="I651" i="1"/>
  <c r="I652" i="1"/>
  <c r="I653" i="1"/>
  <c r="I655" i="1"/>
  <c r="I656" i="1"/>
  <c r="I657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7" i="1"/>
  <c r="I748" i="1"/>
  <c r="I749" i="1"/>
  <c r="I751" i="1"/>
  <c r="I752" i="1"/>
  <c r="I753" i="1"/>
  <c r="I754" i="1"/>
  <c r="I755" i="1"/>
  <c r="I756" i="1"/>
  <c r="I757" i="1"/>
  <c r="I759" i="1"/>
  <c r="I760" i="1"/>
  <c r="I761" i="1"/>
  <c r="I762" i="1"/>
  <c r="I763" i="1"/>
  <c r="I765" i="1"/>
  <c r="I766" i="1"/>
  <c r="I768" i="1"/>
  <c r="I769" i="1"/>
  <c r="I770" i="1"/>
  <c r="I771" i="1"/>
  <c r="I772" i="1"/>
  <c r="I773" i="1"/>
  <c r="I775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1" i="1"/>
  <c r="I802" i="1"/>
  <c r="I804" i="1"/>
  <c r="I805" i="1"/>
  <c r="I806" i="1"/>
  <c r="I807" i="1"/>
  <c r="I808" i="1"/>
  <c r="I809" i="1"/>
  <c r="I810" i="1"/>
  <c r="I812" i="1"/>
  <c r="I813" i="1"/>
  <c r="I814" i="1"/>
  <c r="I815" i="1"/>
  <c r="I816" i="1"/>
  <c r="I817" i="1"/>
  <c r="I818" i="1"/>
  <c r="I819" i="1"/>
  <c r="I820" i="1"/>
  <c r="I821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8" i="1"/>
  <c r="I859" i="1"/>
  <c r="I860" i="1"/>
  <c r="I861" i="1"/>
  <c r="I862" i="1"/>
  <c r="I863" i="1"/>
  <c r="I864" i="1"/>
  <c r="I865" i="1"/>
  <c r="I867" i="1"/>
  <c r="I868" i="1"/>
  <c r="I869" i="1"/>
  <c r="I870" i="1"/>
  <c r="I871" i="1"/>
  <c r="I872" i="1"/>
  <c r="I873" i="1"/>
  <c r="I874" i="1"/>
  <c r="I875" i="1"/>
  <c r="I876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6" i="1"/>
  <c r="I897" i="1"/>
  <c r="I899" i="1"/>
  <c r="I900" i="1"/>
  <c r="I901" i="1"/>
  <c r="I902" i="1"/>
  <c r="I903" i="1"/>
  <c r="I904" i="1"/>
  <c r="I905" i="1"/>
  <c r="I906" i="1"/>
  <c r="I907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4" i="1"/>
  <c r="I965" i="1"/>
  <c r="I966" i="1"/>
  <c r="I967" i="1"/>
  <c r="I968" i="1"/>
  <c r="I969" i="1"/>
  <c r="I970" i="1"/>
  <c r="I971" i="1"/>
  <c r="I972" i="1"/>
  <c r="I973" i="1"/>
  <c r="I974" i="1"/>
  <c r="G6" i="1"/>
  <c r="G7" i="1"/>
  <c r="G8" i="1"/>
  <c r="G9" i="1"/>
  <c r="G10" i="1"/>
  <c r="G11" i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3" i="1"/>
  <c r="G44" i="1"/>
  <c r="G46" i="1"/>
  <c r="G47" i="1"/>
  <c r="G48" i="1"/>
  <c r="G49" i="1"/>
  <c r="G50" i="1"/>
  <c r="G52" i="1"/>
  <c r="G53" i="1"/>
  <c r="G54" i="1"/>
  <c r="G55" i="1"/>
  <c r="G56" i="1"/>
  <c r="G57" i="1"/>
  <c r="G59" i="1"/>
  <c r="G60" i="1"/>
  <c r="G61" i="1"/>
  <c r="G63" i="1"/>
  <c r="G64" i="1"/>
  <c r="G65" i="1"/>
  <c r="G66" i="1"/>
  <c r="G67" i="1"/>
  <c r="G69" i="1"/>
  <c r="G70" i="1"/>
  <c r="G71" i="1"/>
  <c r="G72" i="1"/>
  <c r="G73" i="1"/>
  <c r="G74" i="1"/>
  <c r="G75" i="1"/>
  <c r="G76" i="1"/>
  <c r="G77" i="1"/>
  <c r="G78" i="1"/>
  <c r="G79" i="1"/>
  <c r="G81" i="1"/>
  <c r="G82" i="1"/>
  <c r="G83" i="1"/>
  <c r="G84" i="1"/>
  <c r="G85" i="1"/>
  <c r="G87" i="1"/>
  <c r="G88" i="1"/>
  <c r="G89" i="1"/>
  <c r="G90" i="1"/>
  <c r="G91" i="1"/>
  <c r="G92" i="1"/>
  <c r="G93" i="1"/>
  <c r="G94" i="1"/>
  <c r="G95" i="1"/>
  <c r="G96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7" i="1"/>
  <c r="G138" i="1"/>
  <c r="G139" i="1"/>
  <c r="G140" i="1"/>
  <c r="G141" i="1"/>
  <c r="G142" i="1"/>
  <c r="G143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6" i="1"/>
  <c r="G207" i="1"/>
  <c r="G208" i="1"/>
  <c r="G209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8" i="1"/>
  <c r="G259" i="1"/>
  <c r="G260" i="1"/>
  <c r="G261" i="1"/>
  <c r="G263" i="1"/>
  <c r="G264" i="1"/>
  <c r="G265" i="1"/>
  <c r="G266" i="1"/>
  <c r="G267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5" i="1"/>
  <c r="G336" i="1"/>
  <c r="G337" i="1"/>
  <c r="G338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5" i="1"/>
  <c r="G356" i="1"/>
  <c r="G357" i="1"/>
  <c r="G359" i="1"/>
  <c r="G360" i="1"/>
  <c r="G362" i="1"/>
  <c r="G363" i="1"/>
  <c r="G364" i="1"/>
  <c r="G365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4" i="1"/>
  <c r="G405" i="1"/>
  <c r="G407" i="1"/>
  <c r="G408" i="1"/>
  <c r="G409" i="1"/>
  <c r="G410" i="1"/>
  <c r="G411" i="1"/>
  <c r="G412" i="1"/>
  <c r="G413" i="1"/>
  <c r="G414" i="1"/>
  <c r="G415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4" i="1"/>
  <c r="G435" i="1"/>
  <c r="G436" i="1"/>
  <c r="G438" i="1"/>
  <c r="G439" i="1"/>
  <c r="G440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5" i="1"/>
  <c r="G506" i="1"/>
  <c r="G507" i="1"/>
  <c r="G509" i="1"/>
  <c r="G510" i="1"/>
  <c r="G511" i="1"/>
  <c r="G512" i="1"/>
  <c r="G513" i="1"/>
  <c r="G514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4" i="1"/>
  <c r="G625" i="1"/>
  <c r="G626" i="1"/>
  <c r="G627" i="1"/>
  <c r="G628" i="1"/>
  <c r="G629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5" i="1"/>
  <c r="G646" i="1"/>
  <c r="G647" i="1"/>
  <c r="G648" i="1"/>
  <c r="G649" i="1"/>
  <c r="G650" i="1"/>
  <c r="G651" i="1"/>
  <c r="G652" i="1"/>
  <c r="G653" i="1"/>
  <c r="G655" i="1"/>
  <c r="G656" i="1"/>
  <c r="G657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7" i="1"/>
  <c r="G748" i="1"/>
  <c r="G749" i="1"/>
  <c r="G751" i="1"/>
  <c r="G752" i="1"/>
  <c r="G753" i="1"/>
  <c r="G754" i="1"/>
  <c r="G755" i="1"/>
  <c r="G756" i="1"/>
  <c r="G757" i="1"/>
  <c r="G759" i="1"/>
  <c r="G760" i="1"/>
  <c r="G761" i="1"/>
  <c r="G762" i="1"/>
  <c r="G763" i="1"/>
  <c r="G765" i="1"/>
  <c r="G766" i="1"/>
  <c r="G768" i="1"/>
  <c r="G769" i="1"/>
  <c r="G770" i="1"/>
  <c r="G771" i="1"/>
  <c r="G772" i="1"/>
  <c r="G773" i="1"/>
  <c r="G775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1" i="1"/>
  <c r="G802" i="1"/>
  <c r="G804" i="1"/>
  <c r="G805" i="1"/>
  <c r="G806" i="1"/>
  <c r="G807" i="1"/>
  <c r="G808" i="1"/>
  <c r="G809" i="1"/>
  <c r="G810" i="1"/>
  <c r="G812" i="1"/>
  <c r="G813" i="1"/>
  <c r="G814" i="1"/>
  <c r="G815" i="1"/>
  <c r="G816" i="1"/>
  <c r="G817" i="1"/>
  <c r="G818" i="1"/>
  <c r="G819" i="1"/>
  <c r="G820" i="1"/>
  <c r="G821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8" i="1"/>
  <c r="G859" i="1"/>
  <c r="G860" i="1"/>
  <c r="G861" i="1"/>
  <c r="G862" i="1"/>
  <c r="G863" i="1"/>
  <c r="G864" i="1"/>
  <c r="G865" i="1"/>
  <c r="G867" i="1"/>
  <c r="G868" i="1"/>
  <c r="G869" i="1"/>
  <c r="G870" i="1"/>
  <c r="G871" i="1"/>
  <c r="G872" i="1"/>
  <c r="G873" i="1"/>
  <c r="G874" i="1"/>
  <c r="G875" i="1"/>
  <c r="G876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6" i="1"/>
  <c r="G897" i="1"/>
  <c r="G899" i="1"/>
  <c r="G900" i="1"/>
  <c r="G901" i="1"/>
  <c r="G902" i="1"/>
  <c r="G903" i="1"/>
  <c r="G904" i="1"/>
  <c r="G905" i="1"/>
  <c r="G906" i="1"/>
  <c r="G907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4" i="1"/>
  <c r="G965" i="1"/>
  <c r="G966" i="1"/>
  <c r="G967" i="1"/>
  <c r="G968" i="1"/>
  <c r="G969" i="1"/>
  <c r="G970" i="1"/>
  <c r="G971" i="1"/>
  <c r="G972" i="1"/>
  <c r="G973" i="1"/>
  <c r="G974" i="1"/>
  <c r="G5" i="1"/>
  <c r="L974" i="1"/>
  <c r="R974" i="1" s="1"/>
  <c r="B974" i="1"/>
  <c r="L973" i="1"/>
  <c r="R973" i="1" s="1"/>
  <c r="L972" i="1"/>
  <c r="R972" i="1" s="1"/>
  <c r="B973" i="1"/>
  <c r="B972" i="1"/>
  <c r="L971" i="1"/>
  <c r="R971" i="1" s="1"/>
  <c r="L970" i="1"/>
  <c r="R970" i="1" s="1"/>
  <c r="B971" i="1"/>
  <c r="B970" i="1"/>
  <c r="L969" i="1"/>
  <c r="R969" i="1" s="1"/>
  <c r="L968" i="1"/>
  <c r="R968" i="1" s="1"/>
  <c r="B969" i="1"/>
  <c r="B968" i="1"/>
  <c r="L967" i="1"/>
  <c r="R967" i="1" s="1"/>
  <c r="L966" i="1"/>
  <c r="R966" i="1" s="1"/>
  <c r="B967" i="1"/>
  <c r="B966" i="1"/>
  <c r="L965" i="1"/>
  <c r="R965" i="1" s="1"/>
  <c r="L964" i="1"/>
  <c r="R964" i="1" s="1"/>
  <c r="B965" i="1"/>
  <c r="B964" i="1"/>
  <c r="L963" i="1"/>
  <c r="R963" i="1" s="1"/>
  <c r="L962" i="1"/>
  <c r="R962" i="1" s="1"/>
  <c r="L961" i="1"/>
  <c r="R961" i="1" s="1"/>
  <c r="B963" i="1"/>
  <c r="B962" i="1"/>
  <c r="B961" i="1"/>
  <c r="L960" i="1"/>
  <c r="R960" i="1" s="1"/>
  <c r="L959" i="1"/>
  <c r="R959" i="1" s="1"/>
  <c r="B960" i="1"/>
  <c r="B959" i="1"/>
  <c r="B958" i="1"/>
  <c r="B957" i="1"/>
  <c r="L958" i="1"/>
  <c r="R958" i="1" s="1"/>
  <c r="L957" i="1"/>
  <c r="R957" i="1" s="1"/>
  <c r="L956" i="1"/>
  <c r="R956" i="1" s="1"/>
  <c r="L955" i="1"/>
  <c r="R955" i="1" s="1"/>
  <c r="L954" i="1"/>
  <c r="R954" i="1" s="1"/>
  <c r="B956" i="1"/>
  <c r="B955" i="1"/>
  <c r="B954" i="1"/>
  <c r="L953" i="1"/>
  <c r="R953" i="1" s="1"/>
  <c r="L952" i="1"/>
  <c r="R952" i="1" s="1"/>
  <c r="B953" i="1"/>
  <c r="B952" i="1"/>
  <c r="B951" i="1"/>
  <c r="B950" i="1"/>
  <c r="L951" i="1"/>
  <c r="R951" i="1" s="1"/>
  <c r="L950" i="1"/>
  <c r="R950" i="1" s="1"/>
  <c r="L949" i="1"/>
  <c r="R949" i="1" s="1"/>
  <c r="L948" i="1"/>
  <c r="R948" i="1" s="1"/>
  <c r="B949" i="1"/>
  <c r="B948" i="1"/>
  <c r="B947" i="1"/>
  <c r="L947" i="1"/>
  <c r="R947" i="1" s="1"/>
  <c r="L946" i="1"/>
  <c r="R946" i="1" s="1"/>
  <c r="B946" i="1"/>
  <c r="L945" i="1"/>
  <c r="R945" i="1" s="1"/>
  <c r="L944" i="1"/>
  <c r="R944" i="1" s="1"/>
  <c r="L943" i="1"/>
  <c r="R943" i="1" s="1"/>
  <c r="L942" i="1"/>
  <c r="R942" i="1" s="1"/>
  <c r="L941" i="1"/>
  <c r="R941" i="1" s="1"/>
  <c r="L940" i="1"/>
  <c r="R940" i="1" s="1"/>
  <c r="B945" i="1"/>
  <c r="B944" i="1"/>
  <c r="B943" i="1"/>
  <c r="B942" i="1"/>
  <c r="B941" i="1"/>
  <c r="B940" i="1"/>
  <c r="L939" i="1"/>
  <c r="R939" i="1" s="1"/>
  <c r="L938" i="1"/>
  <c r="R938" i="1" s="1"/>
  <c r="B939" i="1"/>
  <c r="B938" i="1"/>
  <c r="L937" i="1"/>
  <c r="R937" i="1" s="1"/>
  <c r="B937" i="1"/>
  <c r="L860" i="1"/>
  <c r="R860" i="1" s="1"/>
  <c r="B860" i="1"/>
  <c r="S1040" i="1" l="1"/>
  <c r="S861" i="1"/>
  <c r="S867" i="1"/>
  <c r="S819" i="1"/>
  <c r="V862" i="1"/>
  <c r="S797" i="1"/>
  <c r="S1023" i="1"/>
  <c r="V868" i="1"/>
  <c r="V1002" i="1"/>
  <c r="V865" i="1"/>
  <c r="V1019" i="1"/>
  <c r="S902" i="1"/>
  <c r="S919" i="1"/>
  <c r="S965" i="1"/>
  <c r="V1003" i="1"/>
  <c r="S1010" i="1"/>
  <c r="V882" i="1"/>
  <c r="S1024" i="1"/>
  <c r="S788" i="1"/>
  <c r="V802" i="1"/>
  <c r="S1058" i="1"/>
  <c r="V878" i="1"/>
  <c r="S1001" i="1"/>
  <c r="S987" i="1"/>
  <c r="S1014" i="1"/>
  <c r="V781" i="1"/>
  <c r="S789" i="1"/>
  <c r="S815" i="1"/>
  <c r="V873" i="1"/>
  <c r="V907" i="1"/>
  <c r="V914" i="1"/>
  <c r="S979" i="1"/>
  <c r="V999" i="1"/>
  <c r="S1030" i="1"/>
  <c r="S1057" i="1"/>
  <c r="V1021" i="1"/>
  <c r="S780" i="1"/>
  <c r="S976" i="1"/>
  <c r="S1007" i="1"/>
  <c r="S1017" i="1"/>
  <c r="V1027" i="1"/>
  <c r="V793" i="1"/>
  <c r="V899" i="1"/>
  <c r="V924" i="1"/>
  <c r="S970" i="1"/>
  <c r="S990" i="1"/>
  <c r="V997" i="1"/>
  <c r="S1046" i="1"/>
  <c r="V785" i="1"/>
  <c r="V875" i="1"/>
  <c r="V790" i="1"/>
  <c r="S864" i="1"/>
  <c r="S872" i="1"/>
  <c r="V901" i="1"/>
  <c r="S905" i="1"/>
  <c r="V918" i="1"/>
  <c r="S922" i="1"/>
  <c r="S927" i="1"/>
  <c r="S969" i="1"/>
  <c r="S975" i="1"/>
  <c r="S986" i="1"/>
  <c r="V1006" i="1"/>
  <c r="S1009" i="1"/>
  <c r="V1013" i="1"/>
  <c r="S1016" i="1"/>
  <c r="S796" i="1"/>
  <c r="S814" i="1"/>
  <c r="V830" i="1"/>
  <c r="S876" i="1"/>
  <c r="V782" i="1"/>
  <c r="S1047" i="1"/>
  <c r="V826" i="1"/>
  <c r="S929" i="1"/>
  <c r="S966" i="1"/>
  <c r="S988" i="1"/>
  <c r="S1000" i="1"/>
  <c r="S1018" i="1"/>
  <c r="S1022" i="1"/>
  <c r="S978" i="1"/>
  <c r="S984" i="1"/>
  <c r="S1008" i="1"/>
  <c r="V1011" i="1"/>
  <c r="S1015" i="1"/>
  <c r="S1026" i="1"/>
  <c r="V798" i="1"/>
  <c r="V816" i="1"/>
  <c r="V834" i="1"/>
  <c r="V893" i="1"/>
  <c r="S904" i="1"/>
  <c r="S921" i="1"/>
  <c r="V926" i="1"/>
  <c r="V1005" i="1"/>
  <c r="S1032" i="1"/>
  <c r="S1038" i="1"/>
  <c r="S779" i="1"/>
  <c r="V784" i="1"/>
  <c r="S787" i="1"/>
  <c r="V792" i="1"/>
  <c r="S795" i="1"/>
  <c r="S810" i="1"/>
  <c r="S813" i="1"/>
  <c r="V818" i="1"/>
  <c r="S821" i="1"/>
  <c r="S859" i="1"/>
  <c r="S870" i="1"/>
  <c r="V801" i="1"/>
  <c r="V825" i="1"/>
  <c r="V829" i="1"/>
  <c r="V833" i="1"/>
  <c r="V879" i="1"/>
  <c r="V889" i="1"/>
  <c r="V894" i="1"/>
  <c r="V910" i="1"/>
  <c r="S974" i="1"/>
  <c r="S983" i="1"/>
  <c r="S992" i="1"/>
  <c r="S1042" i="1"/>
  <c r="S1050" i="1"/>
  <c r="S1061" i="1"/>
  <c r="S860" i="1"/>
  <c r="S871" i="1"/>
  <c r="V880" i="1"/>
  <c r="V885" i="1"/>
  <c r="V890" i="1"/>
  <c r="S783" i="1"/>
  <c r="S791" i="1"/>
  <c r="S799" i="1"/>
  <c r="S817" i="1"/>
  <c r="S863" i="1"/>
  <c r="S874" i="1"/>
  <c r="S896" i="1"/>
  <c r="S900" i="1"/>
  <c r="S917" i="1"/>
  <c r="S925" i="1"/>
  <c r="S967" i="1"/>
  <c r="S971" i="1"/>
  <c r="S980" i="1"/>
  <c r="S994" i="1"/>
  <c r="S998" i="1"/>
  <c r="S786" i="1"/>
  <c r="S794" i="1"/>
  <c r="S809" i="1"/>
  <c r="S812" i="1"/>
  <c r="S820" i="1"/>
  <c r="V823" i="1"/>
  <c r="V827" i="1"/>
  <c r="V831" i="1"/>
  <c r="V835" i="1"/>
  <c r="S858" i="1"/>
  <c r="S869" i="1"/>
  <c r="V881" i="1"/>
  <c r="V886" i="1"/>
  <c r="S903" i="1"/>
  <c r="S913" i="1"/>
  <c r="S920" i="1"/>
  <c r="S928" i="1"/>
  <c r="S897" i="1"/>
  <c r="S906" i="1"/>
  <c r="S909" i="1"/>
  <c r="S923" i="1"/>
  <c r="S964" i="1"/>
  <c r="S968" i="1"/>
  <c r="S972" i="1"/>
  <c r="S1025" i="1"/>
  <c r="V1029" i="1"/>
  <c r="S1041" i="1"/>
  <c r="S1049" i="1"/>
  <c r="S1060" i="1"/>
  <c r="V824" i="1"/>
  <c r="V828" i="1"/>
  <c r="V832" i="1"/>
  <c r="S982" i="1"/>
  <c r="S991" i="1"/>
  <c r="V995" i="1"/>
  <c r="S973" i="1"/>
  <c r="S977" i="1"/>
  <c r="S981" i="1"/>
  <c r="S985" i="1"/>
  <c r="S989" i="1"/>
  <c r="S993" i="1"/>
  <c r="S996" i="1"/>
  <c r="S1004" i="1"/>
  <c r="S1012" i="1"/>
  <c r="S1020" i="1"/>
  <c r="S1028" i="1"/>
  <c r="S1034" i="1"/>
  <c r="S1036" i="1"/>
  <c r="S912" i="1"/>
  <c r="S916" i="1"/>
  <c r="V931" i="1"/>
  <c r="V933" i="1"/>
  <c r="V935" i="1"/>
  <c r="V937" i="1"/>
  <c r="V939" i="1"/>
  <c r="V941" i="1"/>
  <c r="V943" i="1"/>
  <c r="V946" i="1"/>
  <c r="S946" i="1"/>
  <c r="V948" i="1"/>
  <c r="S948" i="1"/>
  <c r="V950" i="1"/>
  <c r="S950" i="1"/>
  <c r="V952" i="1"/>
  <c r="S952" i="1"/>
  <c r="V954" i="1"/>
  <c r="S954" i="1"/>
  <c r="V956" i="1"/>
  <c r="S956" i="1"/>
  <c r="V958" i="1"/>
  <c r="S958" i="1"/>
  <c r="V960" i="1"/>
  <c r="S960" i="1"/>
  <c r="V962" i="1"/>
  <c r="S962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V884" i="1"/>
  <c r="V888" i="1"/>
  <c r="V892" i="1"/>
  <c r="S911" i="1"/>
  <c r="S915" i="1"/>
  <c r="S1035" i="1"/>
  <c r="V883" i="1"/>
  <c r="V887" i="1"/>
  <c r="V891" i="1"/>
  <c r="V932" i="1"/>
  <c r="V934" i="1"/>
  <c r="V936" i="1"/>
  <c r="V938" i="1"/>
  <c r="V940" i="1"/>
  <c r="V942" i="1"/>
  <c r="V944" i="1"/>
  <c r="V947" i="1"/>
  <c r="S947" i="1"/>
  <c r="V949" i="1"/>
  <c r="S949" i="1"/>
  <c r="V951" i="1"/>
  <c r="S951" i="1"/>
  <c r="V953" i="1"/>
  <c r="S953" i="1"/>
  <c r="V955" i="1"/>
  <c r="S955" i="1"/>
  <c r="V957" i="1"/>
  <c r="S957" i="1"/>
  <c r="V959" i="1"/>
  <c r="S959" i="1"/>
  <c r="V961" i="1"/>
  <c r="S961" i="1"/>
  <c r="S1066" i="1"/>
  <c r="S776" i="1"/>
  <c r="V776" i="1" s="1"/>
  <c r="S774" i="1"/>
  <c r="V774" i="1" s="1"/>
  <c r="L936" i="1"/>
  <c r="R936" i="1" s="1"/>
  <c r="L935" i="1"/>
  <c r="R935" i="1" s="1"/>
  <c r="B936" i="1"/>
  <c r="B935" i="1"/>
  <c r="L934" i="1"/>
  <c r="R934" i="1" s="1"/>
  <c r="B934" i="1"/>
  <c r="L933" i="1"/>
  <c r="R933" i="1" s="1"/>
  <c r="B933" i="1"/>
  <c r="B932" i="1"/>
  <c r="L932" i="1"/>
  <c r="R932" i="1" s="1"/>
  <c r="B931" i="1"/>
  <c r="L931" i="1"/>
  <c r="R931" i="1" s="1"/>
  <c r="B930" i="1"/>
  <c r="B929" i="1"/>
  <c r="B928" i="1"/>
  <c r="L930" i="1"/>
  <c r="R930" i="1" s="1"/>
  <c r="L929" i="1"/>
  <c r="R929" i="1" s="1"/>
  <c r="L928" i="1"/>
  <c r="R928" i="1" s="1"/>
  <c r="B927" i="1"/>
  <c r="B926" i="1"/>
  <c r="L927" i="1"/>
  <c r="R927" i="1" s="1"/>
  <c r="L926" i="1"/>
  <c r="R926" i="1" s="1"/>
  <c r="L925" i="1"/>
  <c r="R925" i="1" s="1"/>
  <c r="B925" i="1" l="1"/>
  <c r="L924" i="1"/>
  <c r="R924" i="1" s="1"/>
  <c r="L923" i="1"/>
  <c r="R923" i="1" s="1"/>
  <c r="L922" i="1"/>
  <c r="R922" i="1" s="1"/>
  <c r="L921" i="1"/>
  <c r="R921" i="1" s="1"/>
  <c r="B924" i="1"/>
  <c r="B923" i="1"/>
  <c r="B922" i="1"/>
  <c r="B921" i="1"/>
  <c r="L920" i="1"/>
  <c r="R920" i="1" s="1"/>
  <c r="L919" i="1"/>
  <c r="R919" i="1" s="1"/>
  <c r="B920" i="1"/>
  <c r="B919" i="1"/>
  <c r="L918" i="1"/>
  <c r="R918" i="1" s="1"/>
  <c r="B918" i="1"/>
  <c r="L917" i="1"/>
  <c r="R917" i="1" s="1"/>
  <c r="L916" i="1"/>
  <c r="R916" i="1" s="1"/>
  <c r="L915" i="1"/>
  <c r="R915" i="1" s="1"/>
  <c r="L914" i="1"/>
  <c r="R914" i="1" s="1"/>
  <c r="B917" i="1"/>
  <c r="B916" i="1"/>
  <c r="B915" i="1"/>
  <c r="B914" i="1"/>
  <c r="L913" i="1"/>
  <c r="R913" i="1" s="1"/>
  <c r="B913" i="1"/>
  <c r="L912" i="1"/>
  <c r="R912" i="1" s="1"/>
  <c r="L911" i="1"/>
  <c r="R911" i="1" s="1"/>
  <c r="B912" i="1"/>
  <c r="B911" i="1"/>
  <c r="L910" i="1"/>
  <c r="R910" i="1" s="1"/>
  <c r="L909" i="1"/>
  <c r="R909" i="1" s="1"/>
  <c r="B910" i="1"/>
  <c r="B909" i="1"/>
  <c r="B908" i="1" l="1"/>
  <c r="L908" i="1"/>
  <c r="R908" i="1" s="1"/>
  <c r="L907" i="1"/>
  <c r="R907" i="1" s="1"/>
  <c r="L906" i="1"/>
  <c r="R906" i="1" s="1"/>
  <c r="B907" i="1"/>
  <c r="B906" i="1"/>
  <c r="L905" i="1"/>
  <c r="R905" i="1" s="1"/>
  <c r="L904" i="1"/>
  <c r="R904" i="1" s="1"/>
  <c r="B905" i="1"/>
  <c r="B904" i="1"/>
  <c r="L903" i="1"/>
  <c r="R903" i="1" s="1"/>
  <c r="B903" i="1"/>
  <c r="L902" i="1"/>
  <c r="R902" i="1" s="1"/>
  <c r="L901" i="1"/>
  <c r="R901" i="1" s="1"/>
  <c r="B902" i="1"/>
  <c r="B901" i="1"/>
  <c r="L900" i="1"/>
  <c r="R900" i="1" s="1"/>
  <c r="L899" i="1"/>
  <c r="R899" i="1" s="1"/>
  <c r="B900" i="1"/>
  <c r="B899" i="1"/>
  <c r="L897" i="1"/>
  <c r="R897" i="1" s="1"/>
  <c r="L896" i="1"/>
  <c r="R896" i="1" s="1"/>
  <c r="L898" i="1"/>
  <c r="R898" i="1" s="1"/>
  <c r="B898" i="1"/>
  <c r="B897" i="1"/>
  <c r="B896" i="1"/>
  <c r="L895" i="1"/>
  <c r="R895" i="1" s="1"/>
  <c r="L894" i="1"/>
  <c r="R894" i="1" s="1"/>
  <c r="L893" i="1"/>
  <c r="R893" i="1" s="1"/>
  <c r="L892" i="1"/>
  <c r="R892" i="1" s="1"/>
  <c r="L891" i="1"/>
  <c r="R891" i="1" s="1"/>
  <c r="L890" i="1"/>
  <c r="R890" i="1" s="1"/>
  <c r="B895" i="1"/>
  <c r="B894" i="1"/>
  <c r="B893" i="1"/>
  <c r="B892" i="1"/>
  <c r="B891" i="1"/>
  <c r="B890" i="1"/>
  <c r="L889" i="1"/>
  <c r="R889" i="1" s="1"/>
  <c r="B889" i="1"/>
  <c r="L888" i="1"/>
  <c r="R888" i="1" s="1"/>
  <c r="L887" i="1"/>
  <c r="R887" i="1" s="1"/>
  <c r="B888" i="1"/>
  <c r="B887" i="1"/>
  <c r="L886" i="1"/>
  <c r="R886" i="1" s="1"/>
  <c r="B886" i="1"/>
  <c r="B885" i="1"/>
  <c r="B884" i="1"/>
  <c r="L885" i="1"/>
  <c r="R885" i="1" s="1"/>
  <c r="L884" i="1"/>
  <c r="R884" i="1" s="1"/>
  <c r="L883" i="1"/>
  <c r="R883" i="1" s="1"/>
  <c r="L882" i="1"/>
  <c r="R882" i="1" s="1"/>
  <c r="B883" i="1"/>
  <c r="B882" i="1"/>
  <c r="L881" i="1"/>
  <c r="R881" i="1" s="1"/>
  <c r="B881" i="1"/>
  <c r="L880" i="1"/>
  <c r="R880" i="1" s="1"/>
  <c r="L879" i="1"/>
  <c r="R879" i="1" s="1"/>
  <c r="B880" i="1"/>
  <c r="B879" i="1"/>
  <c r="L878" i="1"/>
  <c r="R878" i="1" s="1"/>
  <c r="B878" i="1"/>
  <c r="L877" i="1"/>
  <c r="R877" i="1" s="1"/>
  <c r="L876" i="1"/>
  <c r="R876" i="1" s="1"/>
  <c r="L875" i="1"/>
  <c r="R875" i="1" s="1"/>
  <c r="L874" i="1"/>
  <c r="R874" i="1" s="1"/>
  <c r="B877" i="1"/>
  <c r="B876" i="1"/>
  <c r="B875" i="1"/>
  <c r="B874" i="1"/>
  <c r="B873" i="1"/>
  <c r="L873" i="1"/>
  <c r="R873" i="1" s="1"/>
  <c r="B871" i="1"/>
  <c r="B872" i="1"/>
  <c r="L872" i="1"/>
  <c r="R872" i="1" s="1"/>
  <c r="L871" i="1"/>
  <c r="R871" i="1" s="1"/>
  <c r="L870" i="1"/>
  <c r="R870" i="1" s="1"/>
  <c r="B870" i="1"/>
  <c r="L869" i="1"/>
  <c r="R869" i="1" s="1"/>
  <c r="B869" i="1"/>
  <c r="L868" i="1"/>
  <c r="R868" i="1" s="1"/>
  <c r="L867" i="1"/>
  <c r="R867" i="1" s="1"/>
  <c r="B868" i="1"/>
  <c r="B867" i="1"/>
  <c r="L866" i="1"/>
  <c r="R866" i="1" s="1"/>
  <c r="L865" i="1"/>
  <c r="R865" i="1" s="1"/>
  <c r="L864" i="1"/>
  <c r="R864" i="1" s="1"/>
  <c r="L863" i="1"/>
  <c r="R863" i="1" s="1"/>
  <c r="B866" i="1"/>
  <c r="B865" i="1"/>
  <c r="B864" i="1"/>
  <c r="B863" i="1"/>
  <c r="L862" i="1"/>
  <c r="R862" i="1" s="1"/>
  <c r="L861" i="1"/>
  <c r="R861" i="1" s="1"/>
  <c r="B862" i="1"/>
  <c r="B861" i="1"/>
  <c r="L859" i="1"/>
  <c r="R859" i="1" s="1"/>
  <c r="B859" i="1"/>
  <c r="L858" i="1"/>
  <c r="R858" i="1" s="1"/>
  <c r="B858" i="1"/>
  <c r="L857" i="1"/>
  <c r="R857" i="1" s="1"/>
  <c r="L856" i="1"/>
  <c r="R856" i="1" s="1"/>
  <c r="L855" i="1"/>
  <c r="R855" i="1" s="1"/>
  <c r="L854" i="1"/>
  <c r="R854" i="1" s="1"/>
  <c r="L853" i="1"/>
  <c r="R853" i="1" s="1"/>
  <c r="B857" i="1" l="1"/>
  <c r="B856" i="1"/>
  <c r="B855" i="1"/>
  <c r="B854" i="1"/>
  <c r="B853" i="1"/>
  <c r="L852" i="1"/>
  <c r="R852" i="1" s="1"/>
  <c r="B852" i="1"/>
  <c r="B851" i="1"/>
  <c r="L851" i="1"/>
  <c r="R851" i="1" s="1"/>
  <c r="L850" i="1" l="1"/>
  <c r="R850" i="1" s="1"/>
  <c r="B850" i="1"/>
  <c r="L849" i="1"/>
  <c r="R849" i="1" s="1"/>
  <c r="L848" i="1"/>
  <c r="R848" i="1" s="1"/>
  <c r="B849" i="1"/>
  <c r="B848" i="1"/>
  <c r="L847" i="1"/>
  <c r="R847" i="1" s="1"/>
  <c r="B847" i="1"/>
  <c r="L846" i="1"/>
  <c r="R846" i="1" s="1"/>
  <c r="B846" i="1"/>
  <c r="L845" i="1"/>
  <c r="R845" i="1" s="1"/>
  <c r="L844" i="1"/>
  <c r="R844" i="1" s="1"/>
  <c r="L843" i="1"/>
  <c r="R843" i="1" s="1"/>
  <c r="B845" i="1"/>
  <c r="B844" i="1"/>
  <c r="B843" i="1"/>
  <c r="L842" i="1"/>
  <c r="R842" i="1" s="1"/>
  <c r="B842" i="1"/>
  <c r="L841" i="1"/>
  <c r="R841" i="1" s="1"/>
  <c r="L840" i="1"/>
  <c r="R840" i="1" s="1"/>
  <c r="B841" i="1"/>
  <c r="B840" i="1"/>
  <c r="L839" i="1"/>
  <c r="R839" i="1" s="1"/>
  <c r="L838" i="1"/>
  <c r="R838" i="1" s="1"/>
  <c r="B839" i="1"/>
  <c r="B838" i="1"/>
  <c r="L837" i="1"/>
  <c r="R837" i="1" s="1"/>
  <c r="B837" i="1"/>
  <c r="L836" i="1"/>
  <c r="R836" i="1" s="1"/>
  <c r="L835" i="1"/>
  <c r="R835" i="1" s="1"/>
  <c r="L834" i="1"/>
  <c r="R834" i="1" s="1"/>
  <c r="L833" i="1"/>
  <c r="R833" i="1" s="1"/>
  <c r="L832" i="1"/>
  <c r="R832" i="1" s="1"/>
  <c r="L831" i="1"/>
  <c r="R831" i="1" s="1"/>
  <c r="B836" i="1"/>
  <c r="B835" i="1"/>
  <c r="B834" i="1"/>
  <c r="B833" i="1"/>
  <c r="B832" i="1"/>
  <c r="B831" i="1"/>
  <c r="L830" i="1"/>
  <c r="R830" i="1" s="1"/>
  <c r="B830" i="1"/>
  <c r="B829" i="1"/>
  <c r="B828" i="1"/>
  <c r="B827" i="1"/>
  <c r="B826" i="1"/>
  <c r="B825" i="1"/>
  <c r="L829" i="1"/>
  <c r="R829" i="1" s="1"/>
  <c r="L828" i="1"/>
  <c r="R828" i="1" s="1"/>
  <c r="L827" i="1"/>
  <c r="R827" i="1" s="1"/>
  <c r="L826" i="1"/>
  <c r="R826" i="1" s="1"/>
  <c r="L825" i="1"/>
  <c r="R825" i="1" s="1"/>
  <c r="L824" i="1"/>
  <c r="R824" i="1" s="1"/>
  <c r="L823" i="1"/>
  <c r="R823" i="1" s="1"/>
  <c r="B824" i="1"/>
  <c r="B823" i="1"/>
  <c r="L822" i="1"/>
  <c r="R822" i="1" s="1"/>
  <c r="L821" i="1"/>
  <c r="R821" i="1" s="1"/>
  <c r="L820" i="1"/>
  <c r="R820" i="1" s="1"/>
  <c r="B822" i="1"/>
  <c r="B821" i="1"/>
  <c r="B820" i="1"/>
  <c r="B819" i="1"/>
  <c r="L819" i="1"/>
  <c r="R819" i="1" s="1"/>
  <c r="L818" i="1"/>
  <c r="R818" i="1" s="1"/>
  <c r="L817" i="1"/>
  <c r="R817" i="1" s="1"/>
  <c r="B818" i="1"/>
  <c r="B817" i="1"/>
  <c r="L816" i="1"/>
  <c r="R816" i="1" s="1"/>
  <c r="L815" i="1"/>
  <c r="R815" i="1" s="1"/>
  <c r="L814" i="1"/>
  <c r="R814" i="1" s="1"/>
  <c r="B816" i="1"/>
  <c r="B815" i="1"/>
  <c r="B814" i="1"/>
  <c r="B813" i="1"/>
  <c r="L813" i="1"/>
  <c r="R813" i="1" s="1"/>
  <c r="L812" i="1"/>
  <c r="R812" i="1" s="1"/>
  <c r="B812" i="1"/>
  <c r="L811" i="1"/>
  <c r="R811" i="1" s="1"/>
  <c r="L810" i="1"/>
  <c r="R810" i="1" s="1"/>
  <c r="L809" i="1"/>
  <c r="R809" i="1" s="1"/>
  <c r="B809" i="1"/>
  <c r="B810" i="1"/>
  <c r="B811" i="1"/>
  <c r="L808" i="1"/>
  <c r="R808" i="1" s="1"/>
  <c r="L807" i="1"/>
  <c r="R807" i="1" s="1"/>
  <c r="L806" i="1"/>
  <c r="R806" i="1" s="1"/>
  <c r="Q777" i="1"/>
  <c r="S777" i="1" s="1"/>
  <c r="Q778" i="1"/>
  <c r="S778" i="1" s="1"/>
  <c r="L805" i="1"/>
  <c r="R805" i="1" s="1"/>
  <c r="L804" i="1"/>
  <c r="R804" i="1" s="1"/>
  <c r="B808" i="1"/>
  <c r="B807" i="1"/>
  <c r="B806" i="1"/>
  <c r="B805" i="1"/>
  <c r="B804" i="1"/>
  <c r="L803" i="1"/>
  <c r="R803" i="1" s="1"/>
  <c r="L802" i="1"/>
  <c r="R802" i="1" s="1"/>
  <c r="L801" i="1"/>
  <c r="R801" i="1" s="1"/>
  <c r="B803" i="1"/>
  <c r="B802" i="1"/>
  <c r="B801" i="1"/>
  <c r="L800" i="1"/>
  <c r="R800" i="1" s="1"/>
  <c r="L799" i="1"/>
  <c r="R799" i="1" s="1"/>
  <c r="L798" i="1"/>
  <c r="R798" i="1" s="1"/>
  <c r="L797" i="1"/>
  <c r="R797" i="1" s="1"/>
  <c r="B800" i="1"/>
  <c r="B799" i="1"/>
  <c r="B798" i="1"/>
  <c r="B797" i="1"/>
  <c r="L796" i="1"/>
  <c r="R796" i="1" s="1"/>
  <c r="L795" i="1"/>
  <c r="R795" i="1" s="1"/>
  <c r="L794" i="1"/>
  <c r="R794" i="1" s="1"/>
  <c r="B796" i="1"/>
  <c r="B795" i="1"/>
  <c r="B794" i="1"/>
  <c r="B793" i="1"/>
  <c r="L793" i="1"/>
  <c r="R793" i="1" s="1"/>
  <c r="L792" i="1"/>
  <c r="R792" i="1" s="1"/>
  <c r="L791" i="1"/>
  <c r="R791" i="1" s="1"/>
  <c r="B792" i="1"/>
  <c r="B791" i="1"/>
  <c r="L790" i="1"/>
  <c r="R790" i="1" s="1"/>
  <c r="L789" i="1"/>
  <c r="R789" i="1" s="1"/>
  <c r="L788" i="1"/>
  <c r="R788" i="1" s="1"/>
  <c r="L787" i="1"/>
  <c r="R787" i="1" s="1"/>
  <c r="B790" i="1"/>
  <c r="B789" i="1"/>
  <c r="B788" i="1"/>
  <c r="B787" i="1"/>
  <c r="L786" i="1"/>
  <c r="R786" i="1" s="1"/>
  <c r="L785" i="1"/>
  <c r="R785" i="1" s="1"/>
  <c r="B786" i="1"/>
  <c r="B785" i="1"/>
  <c r="L784" i="1"/>
  <c r="R784" i="1" s="1"/>
  <c r="L783" i="1"/>
  <c r="R783" i="1" s="1"/>
  <c r="B784" i="1"/>
  <c r="B783" i="1"/>
  <c r="L782" i="1"/>
  <c r="R782" i="1" s="1"/>
  <c r="L781" i="1"/>
  <c r="R781" i="1" s="1"/>
  <c r="B782" i="1"/>
  <c r="B781" i="1"/>
  <c r="L780" i="1"/>
  <c r="R780" i="1" s="1"/>
  <c r="L779" i="1"/>
  <c r="R779" i="1" s="1"/>
  <c r="B780" i="1"/>
  <c r="B779" i="1"/>
  <c r="L778" i="1"/>
  <c r="R778" i="1" s="1"/>
  <c r="L777" i="1"/>
  <c r="R777" i="1" s="1"/>
  <c r="B778" i="1"/>
  <c r="B777" i="1"/>
  <c r="Q775" i="1"/>
  <c r="Q773" i="1"/>
  <c r="Q772" i="1"/>
  <c r="Q771" i="1"/>
  <c r="Q770" i="1"/>
  <c r="S770" i="1" s="1"/>
  <c r="Q769" i="1"/>
  <c r="B775" i="1"/>
  <c r="B773" i="1"/>
  <c r="B772" i="1"/>
  <c r="B771" i="1"/>
  <c r="B770" i="1"/>
  <c r="B769" i="1"/>
  <c r="L775" i="1"/>
  <c r="R775" i="1" s="1"/>
  <c r="L773" i="1"/>
  <c r="R773" i="1" s="1"/>
  <c r="L772" i="1"/>
  <c r="R772" i="1" s="1"/>
  <c r="L771" i="1"/>
  <c r="R771" i="1" s="1"/>
  <c r="L770" i="1"/>
  <c r="R770" i="1" s="1"/>
  <c r="L769" i="1"/>
  <c r="R769" i="1" s="1"/>
  <c r="Q753" i="1"/>
  <c r="S753" i="1" s="1"/>
  <c r="Q754" i="1"/>
  <c r="Q755" i="1"/>
  <c r="S755" i="1" s="1"/>
  <c r="Q756" i="1"/>
  <c r="S756" i="1" s="1"/>
  <c r="Q757" i="1"/>
  <c r="Q758" i="1"/>
  <c r="Q759" i="1"/>
  <c r="S759" i="1" s="1"/>
  <c r="Q760" i="1"/>
  <c r="Q761" i="1"/>
  <c r="Q762" i="1"/>
  <c r="S762" i="1" s="1"/>
  <c r="Q763" i="1"/>
  <c r="Q764" i="1"/>
  <c r="S764" i="1" s="1"/>
  <c r="Q765" i="1"/>
  <c r="Q766" i="1"/>
  <c r="S766" i="1" s="1"/>
  <c r="Q767" i="1"/>
  <c r="S767" i="1" s="1"/>
  <c r="Q768" i="1"/>
  <c r="S768" i="1" s="1"/>
  <c r="L768" i="1"/>
  <c r="R768" i="1" s="1"/>
  <c r="B768" i="1"/>
  <c r="L764" i="1"/>
  <c r="R764" i="1" s="1"/>
  <c r="L767" i="1"/>
  <c r="R767" i="1" s="1"/>
  <c r="L766" i="1"/>
  <c r="R766" i="1" s="1"/>
  <c r="L765" i="1"/>
  <c r="R765" i="1" s="1"/>
  <c r="B767" i="1"/>
  <c r="B766" i="1"/>
  <c r="B765" i="1"/>
  <c r="B764" i="1"/>
  <c r="B763" i="1"/>
  <c r="B762" i="1"/>
  <c r="L763" i="1"/>
  <c r="R763" i="1" s="1"/>
  <c r="L762" i="1"/>
  <c r="R762" i="1" s="1"/>
  <c r="L761" i="1"/>
  <c r="R761" i="1" s="1"/>
  <c r="L760" i="1"/>
  <c r="R760" i="1" s="1"/>
  <c r="B761" i="1"/>
  <c r="B760" i="1"/>
  <c r="L759" i="1"/>
  <c r="R759" i="1" s="1"/>
  <c r="L758" i="1"/>
  <c r="R758" i="1" s="1"/>
  <c r="B759" i="1"/>
  <c r="L757" i="1"/>
  <c r="R757" i="1" s="1"/>
  <c r="L756" i="1"/>
  <c r="R756" i="1" s="1"/>
  <c r="L755" i="1"/>
  <c r="R755" i="1" s="1"/>
  <c r="B758" i="1"/>
  <c r="B757" i="1"/>
  <c r="B756" i="1"/>
  <c r="B755" i="1"/>
  <c r="L754" i="1"/>
  <c r="R754" i="1" s="1"/>
  <c r="L753" i="1"/>
  <c r="R753" i="1" s="1"/>
  <c r="B754" i="1"/>
  <c r="B753" i="1"/>
  <c r="Q691" i="1"/>
  <c r="L691" i="1"/>
  <c r="R691" i="1" s="1"/>
  <c r="B691" i="1"/>
  <c r="Q635" i="1"/>
  <c r="L635" i="1"/>
  <c r="R635" i="1" s="1"/>
  <c r="B635" i="1"/>
  <c r="Q631" i="1"/>
  <c r="L631" i="1"/>
  <c r="R631" i="1" s="1"/>
  <c r="B631" i="1"/>
  <c r="Q617" i="1"/>
  <c r="L617" i="1"/>
  <c r="R617" i="1" s="1"/>
  <c r="B617" i="1"/>
  <c r="Q589" i="1"/>
  <c r="Q590" i="1"/>
  <c r="S590" i="1" s="1"/>
  <c r="V590" i="1" s="1"/>
  <c r="Q591" i="1"/>
  <c r="S591" i="1" s="1"/>
  <c r="Q592" i="1"/>
  <c r="S592" i="1" s="1"/>
  <c r="Q593" i="1"/>
  <c r="Q594" i="1"/>
  <c r="Q595" i="1"/>
  <c r="S595" i="1" s="1"/>
  <c r="V595" i="1" s="1"/>
  <c r="Q596" i="1"/>
  <c r="S596" i="1" s="1"/>
  <c r="V596" i="1" s="1"/>
  <c r="Q597" i="1"/>
  <c r="S597" i="1" s="1"/>
  <c r="Q598" i="1"/>
  <c r="S598" i="1" s="1"/>
  <c r="Q599" i="1"/>
  <c r="Q600" i="1"/>
  <c r="S600" i="1" s="1"/>
  <c r="Q601" i="1"/>
  <c r="S601" i="1" s="1"/>
  <c r="Q602" i="1"/>
  <c r="S602" i="1" s="1"/>
  <c r="Q603" i="1"/>
  <c r="S603" i="1" s="1"/>
  <c r="Q604" i="1"/>
  <c r="S604" i="1" s="1"/>
  <c r="Q605" i="1"/>
  <c r="S605" i="1" s="1"/>
  <c r="Q606" i="1"/>
  <c r="Q607" i="1"/>
  <c r="S607" i="1" s="1"/>
  <c r="V607" i="1" s="1"/>
  <c r="Q608" i="1"/>
  <c r="S608" i="1" s="1"/>
  <c r="V608" i="1" s="1"/>
  <c r="Q609" i="1"/>
  <c r="S609" i="1" s="1"/>
  <c r="Q610" i="1"/>
  <c r="S610" i="1" s="1"/>
  <c r="Q611" i="1"/>
  <c r="Q612" i="1"/>
  <c r="S612" i="1" s="1"/>
  <c r="V612" i="1" s="1"/>
  <c r="Q613" i="1"/>
  <c r="S613" i="1" s="1"/>
  <c r="Q614" i="1"/>
  <c r="S614" i="1" s="1"/>
  <c r="Q615" i="1"/>
  <c r="Q616" i="1"/>
  <c r="S616" i="1" s="1"/>
  <c r="Q618" i="1"/>
  <c r="S618" i="1" s="1"/>
  <c r="Q619" i="1"/>
  <c r="S619" i="1" s="1"/>
  <c r="Q620" i="1"/>
  <c r="Q621" i="1"/>
  <c r="S621" i="1" s="1"/>
  <c r="Q622" i="1"/>
  <c r="Q623" i="1"/>
  <c r="S623" i="1" s="1"/>
  <c r="Q624" i="1"/>
  <c r="Q625" i="1"/>
  <c r="S625" i="1" s="1"/>
  <c r="Q626" i="1"/>
  <c r="S626" i="1" s="1"/>
  <c r="Q627" i="1"/>
  <c r="S627" i="1" s="1"/>
  <c r="Q628" i="1"/>
  <c r="Q629" i="1"/>
  <c r="S629" i="1" s="1"/>
  <c r="Q630" i="1"/>
  <c r="S630" i="1" s="1"/>
  <c r="Q632" i="1"/>
  <c r="S632" i="1" s="1"/>
  <c r="Q633" i="1"/>
  <c r="Q634" i="1"/>
  <c r="Q636" i="1"/>
  <c r="S636" i="1" s="1"/>
  <c r="Q637" i="1"/>
  <c r="S637" i="1" s="1"/>
  <c r="Q638" i="1"/>
  <c r="Q639" i="1"/>
  <c r="S639" i="1" s="1"/>
  <c r="Q640" i="1"/>
  <c r="Q641" i="1"/>
  <c r="S641" i="1" s="1"/>
  <c r="Q642" i="1"/>
  <c r="Q643" i="1"/>
  <c r="S643" i="1" s="1"/>
  <c r="Q644" i="1"/>
  <c r="S644" i="1" s="1"/>
  <c r="Q645" i="1"/>
  <c r="S645" i="1" s="1"/>
  <c r="Q646" i="1"/>
  <c r="Q647" i="1"/>
  <c r="Q648" i="1"/>
  <c r="S648" i="1" s="1"/>
  <c r="Q649" i="1"/>
  <c r="S649" i="1" s="1"/>
  <c r="Q650" i="1"/>
  <c r="Q651" i="1"/>
  <c r="Q652" i="1"/>
  <c r="S652" i="1" s="1"/>
  <c r="Q653" i="1"/>
  <c r="S653" i="1" s="1"/>
  <c r="Q654" i="1"/>
  <c r="Q655" i="1"/>
  <c r="S655" i="1" s="1"/>
  <c r="Q656" i="1"/>
  <c r="Q657" i="1"/>
  <c r="S657" i="1" s="1"/>
  <c r="Q658" i="1"/>
  <c r="Q659" i="1"/>
  <c r="S659" i="1" s="1"/>
  <c r="Q660" i="1"/>
  <c r="S660" i="1" s="1"/>
  <c r="Q661" i="1"/>
  <c r="S661" i="1" s="1"/>
  <c r="Q662" i="1"/>
  <c r="Q663" i="1"/>
  <c r="S663" i="1" s="1"/>
  <c r="Q664" i="1"/>
  <c r="S664" i="1" s="1"/>
  <c r="Q665" i="1"/>
  <c r="S665" i="1" s="1"/>
  <c r="Q666" i="1"/>
  <c r="Q667" i="1"/>
  <c r="Q668" i="1"/>
  <c r="Q669" i="1"/>
  <c r="S669" i="1" s="1"/>
  <c r="Q670" i="1"/>
  <c r="Q671" i="1"/>
  <c r="S671" i="1" s="1"/>
  <c r="Q672" i="1"/>
  <c r="Q673" i="1"/>
  <c r="S673" i="1" s="1"/>
  <c r="Q674" i="1"/>
  <c r="Q675" i="1"/>
  <c r="S675" i="1" s="1"/>
  <c r="Q676" i="1"/>
  <c r="S676" i="1" s="1"/>
  <c r="Q677" i="1"/>
  <c r="S677" i="1" s="1"/>
  <c r="Q678" i="1"/>
  <c r="Q679" i="1"/>
  <c r="Q680" i="1"/>
  <c r="S680" i="1" s="1"/>
  <c r="Q681" i="1"/>
  <c r="S681" i="1" s="1"/>
  <c r="Q682" i="1"/>
  <c r="Q683" i="1"/>
  <c r="Q684" i="1"/>
  <c r="S684" i="1" s="1"/>
  <c r="Q685" i="1"/>
  <c r="S685" i="1" s="1"/>
  <c r="Q686" i="1"/>
  <c r="Q687" i="1"/>
  <c r="S687" i="1" s="1"/>
  <c r="Q688" i="1"/>
  <c r="Q689" i="1"/>
  <c r="S689" i="1" s="1"/>
  <c r="Q690" i="1"/>
  <c r="Q692" i="1"/>
  <c r="S692" i="1" s="1"/>
  <c r="Q693" i="1"/>
  <c r="S693" i="1" s="1"/>
  <c r="Q694" i="1"/>
  <c r="S694" i="1" s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X576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S554" i="1" s="1"/>
  <c r="Q553" i="1"/>
  <c r="S553" i="1" s="1"/>
  <c r="Q552" i="1"/>
  <c r="S552" i="1" s="1"/>
  <c r="V552" i="1" s="1"/>
  <c r="Q551" i="1"/>
  <c r="Q550" i="1"/>
  <c r="Q549" i="1"/>
  <c r="S549" i="1" s="1"/>
  <c r="V549" i="1" s="1"/>
  <c r="Q548" i="1"/>
  <c r="S548" i="1" s="1"/>
  <c r="V548" i="1" s="1"/>
  <c r="Q547" i="1"/>
  <c r="Q546" i="1"/>
  <c r="Q545" i="1"/>
  <c r="Q544" i="1"/>
  <c r="Q523" i="1"/>
  <c r="L523" i="1"/>
  <c r="R523" i="1" s="1"/>
  <c r="B523" i="1"/>
  <c r="Q522" i="1"/>
  <c r="L522" i="1"/>
  <c r="R522" i="1" s="1"/>
  <c r="B522" i="1"/>
  <c r="L592" i="1"/>
  <c r="R592" i="1" s="1"/>
  <c r="B592" i="1"/>
  <c r="L591" i="1"/>
  <c r="R591" i="1" s="1"/>
  <c r="B591" i="1"/>
  <c r="L752" i="1"/>
  <c r="R752" i="1" s="1"/>
  <c r="B752" i="1"/>
  <c r="L751" i="1"/>
  <c r="R751" i="1" s="1"/>
  <c r="B751" i="1"/>
  <c r="L750" i="1"/>
  <c r="R750" i="1" s="1"/>
  <c r="L746" i="1"/>
  <c r="R746" i="1" s="1"/>
  <c r="L749" i="1"/>
  <c r="R749" i="1" s="1"/>
  <c r="L748" i="1"/>
  <c r="R748" i="1" s="1"/>
  <c r="L747" i="1"/>
  <c r="R747" i="1" s="1"/>
  <c r="B750" i="1"/>
  <c r="B749" i="1"/>
  <c r="B748" i="1"/>
  <c r="B747" i="1"/>
  <c r="L745" i="1"/>
  <c r="R745" i="1" s="1"/>
  <c r="L744" i="1"/>
  <c r="R744" i="1" s="1"/>
  <c r="B746" i="1"/>
  <c r="B745" i="1"/>
  <c r="B744" i="1"/>
  <c r="L743" i="1"/>
  <c r="R743" i="1" s="1"/>
  <c r="L742" i="1"/>
  <c r="R742" i="1" s="1"/>
  <c r="L741" i="1"/>
  <c r="R741" i="1" s="1"/>
  <c r="B743" i="1"/>
  <c r="B742" i="1"/>
  <c r="B741" i="1"/>
  <c r="L740" i="1"/>
  <c r="R740" i="1" s="1"/>
  <c r="L739" i="1"/>
  <c r="R739" i="1" s="1"/>
  <c r="L738" i="1"/>
  <c r="R738" i="1" s="1"/>
  <c r="B740" i="1"/>
  <c r="B739" i="1"/>
  <c r="B738" i="1"/>
  <c r="L737" i="1"/>
  <c r="R737" i="1" s="1"/>
  <c r="L736" i="1"/>
  <c r="R736" i="1" s="1"/>
  <c r="L735" i="1"/>
  <c r="R735" i="1" s="1"/>
  <c r="B737" i="1"/>
  <c r="B736" i="1"/>
  <c r="B735" i="1"/>
  <c r="L734" i="1"/>
  <c r="R734" i="1" s="1"/>
  <c r="L733" i="1"/>
  <c r="R733" i="1" s="1"/>
  <c r="L732" i="1"/>
  <c r="R732" i="1" s="1"/>
  <c r="B734" i="1"/>
  <c r="B733" i="1"/>
  <c r="B732" i="1"/>
  <c r="L731" i="1"/>
  <c r="R731" i="1" s="1"/>
  <c r="L730" i="1"/>
  <c r="R730" i="1" s="1"/>
  <c r="B731" i="1"/>
  <c r="B730" i="1"/>
  <c r="L729" i="1"/>
  <c r="R729" i="1" s="1"/>
  <c r="L728" i="1"/>
  <c r="R728" i="1" s="1"/>
  <c r="B729" i="1"/>
  <c r="B728" i="1"/>
  <c r="L727" i="1"/>
  <c r="R727" i="1" s="1"/>
  <c r="B727" i="1"/>
  <c r="L726" i="1"/>
  <c r="R726" i="1" s="1"/>
  <c r="L725" i="1"/>
  <c r="R725" i="1" s="1"/>
  <c r="L724" i="1"/>
  <c r="R724" i="1" s="1"/>
  <c r="B726" i="1"/>
  <c r="B725" i="1"/>
  <c r="B724" i="1"/>
  <c r="L723" i="1"/>
  <c r="R723" i="1" s="1"/>
  <c r="L722" i="1"/>
  <c r="R722" i="1" s="1"/>
  <c r="B723" i="1"/>
  <c r="B722" i="1"/>
  <c r="L721" i="1"/>
  <c r="R721" i="1" s="1"/>
  <c r="L720" i="1"/>
  <c r="R720" i="1" s="1"/>
  <c r="B721" i="1"/>
  <c r="B720" i="1"/>
  <c r="L719" i="1"/>
  <c r="R719" i="1" s="1"/>
  <c r="B719" i="1"/>
  <c r="L718" i="1"/>
  <c r="R718" i="1" s="1"/>
  <c r="L717" i="1"/>
  <c r="R717" i="1" s="1"/>
  <c r="L716" i="1"/>
  <c r="R716" i="1" s="1"/>
  <c r="B718" i="1"/>
  <c r="B717" i="1"/>
  <c r="B716" i="1"/>
  <c r="L715" i="1"/>
  <c r="R715" i="1" s="1"/>
  <c r="L714" i="1"/>
  <c r="R714" i="1" s="1"/>
  <c r="B715" i="1"/>
  <c r="B714" i="1"/>
  <c r="L713" i="1"/>
  <c r="R713" i="1" s="1"/>
  <c r="L712" i="1"/>
  <c r="R712" i="1" s="1"/>
  <c r="L711" i="1"/>
  <c r="R711" i="1" s="1"/>
  <c r="B713" i="1"/>
  <c r="B712" i="1"/>
  <c r="B711" i="1"/>
  <c r="L710" i="1"/>
  <c r="R710" i="1" s="1"/>
  <c r="L709" i="1"/>
  <c r="R709" i="1" s="1"/>
  <c r="L708" i="1"/>
  <c r="R708" i="1" s="1"/>
  <c r="B710" i="1"/>
  <c r="B709" i="1"/>
  <c r="B708" i="1"/>
  <c r="L707" i="1"/>
  <c r="R707" i="1" s="1"/>
  <c r="L706" i="1"/>
  <c r="R706" i="1" s="1"/>
  <c r="B707" i="1"/>
  <c r="B706" i="1"/>
  <c r="L705" i="1"/>
  <c r="R705" i="1" s="1"/>
  <c r="L704" i="1"/>
  <c r="R704" i="1" s="1"/>
  <c r="B705" i="1"/>
  <c r="B704" i="1"/>
  <c r="L703" i="1"/>
  <c r="R703" i="1" s="1"/>
  <c r="L702" i="1"/>
  <c r="R702" i="1" s="1"/>
  <c r="B703" i="1"/>
  <c r="B702" i="1"/>
  <c r="L701" i="1"/>
  <c r="R701" i="1" s="1"/>
  <c r="L700" i="1"/>
  <c r="R700" i="1" s="1"/>
  <c r="L699" i="1"/>
  <c r="R699" i="1" s="1"/>
  <c r="B701" i="1"/>
  <c r="B700" i="1"/>
  <c r="B699" i="1"/>
  <c r="L698" i="1"/>
  <c r="R698" i="1" s="1"/>
  <c r="L697" i="1"/>
  <c r="R697" i="1" s="1"/>
  <c r="B698" i="1"/>
  <c r="B697" i="1"/>
  <c r="L696" i="1"/>
  <c r="R696" i="1" s="1"/>
  <c r="L695" i="1"/>
  <c r="R695" i="1" s="1"/>
  <c r="L694" i="1"/>
  <c r="R694" i="1" s="1"/>
  <c r="B696" i="1"/>
  <c r="B695" i="1"/>
  <c r="B694" i="1"/>
  <c r="L693" i="1"/>
  <c r="R693" i="1" s="1"/>
  <c r="L692" i="1"/>
  <c r="R692" i="1" s="1"/>
  <c r="B693" i="1"/>
  <c r="B692" i="1"/>
  <c r="B690" i="1"/>
  <c r="B689" i="1"/>
  <c r="L690" i="1"/>
  <c r="R690" i="1" s="1"/>
  <c r="L689" i="1"/>
  <c r="R689" i="1" s="1"/>
  <c r="L688" i="1"/>
  <c r="R688" i="1" s="1"/>
  <c r="L687" i="1"/>
  <c r="R687" i="1" s="1"/>
  <c r="B688" i="1"/>
  <c r="B687" i="1"/>
  <c r="L686" i="1"/>
  <c r="R686" i="1" s="1"/>
  <c r="L685" i="1"/>
  <c r="R685" i="1" s="1"/>
  <c r="B686" i="1"/>
  <c r="B685" i="1"/>
  <c r="L684" i="1"/>
  <c r="R684" i="1" s="1"/>
  <c r="L683" i="1"/>
  <c r="R683" i="1" s="1"/>
  <c r="B684" i="1"/>
  <c r="B683" i="1"/>
  <c r="L682" i="1"/>
  <c r="R682" i="1" s="1"/>
  <c r="B682" i="1"/>
  <c r="L681" i="1"/>
  <c r="R681" i="1" s="1"/>
  <c r="L680" i="1"/>
  <c r="R680" i="1" s="1"/>
  <c r="B681" i="1"/>
  <c r="B680" i="1"/>
  <c r="L679" i="1"/>
  <c r="R679" i="1" s="1"/>
  <c r="L678" i="1"/>
  <c r="R678" i="1" s="1"/>
  <c r="B679" i="1"/>
  <c r="B678" i="1"/>
  <c r="L677" i="1"/>
  <c r="R677" i="1" s="1"/>
  <c r="L676" i="1"/>
  <c r="R676" i="1" s="1"/>
  <c r="L675" i="1"/>
  <c r="R675" i="1" s="1"/>
  <c r="B677" i="1"/>
  <c r="B676" i="1"/>
  <c r="B675" i="1"/>
  <c r="L674" i="1"/>
  <c r="R674" i="1" s="1"/>
  <c r="L673" i="1"/>
  <c r="R673" i="1" s="1"/>
  <c r="L672" i="1"/>
  <c r="R672" i="1" s="1"/>
  <c r="B674" i="1"/>
  <c r="B673" i="1"/>
  <c r="B672" i="1"/>
  <c r="L671" i="1"/>
  <c r="R671" i="1" s="1"/>
  <c r="L670" i="1"/>
  <c r="R670" i="1" s="1"/>
  <c r="L669" i="1"/>
  <c r="R669" i="1" s="1"/>
  <c r="B671" i="1"/>
  <c r="B670" i="1"/>
  <c r="B669" i="1"/>
  <c r="L668" i="1"/>
  <c r="R668" i="1" s="1"/>
  <c r="L667" i="1"/>
  <c r="R667" i="1" s="1"/>
  <c r="B668" i="1"/>
  <c r="B667" i="1"/>
  <c r="L666" i="1"/>
  <c r="R666" i="1" s="1"/>
  <c r="L665" i="1"/>
  <c r="R665" i="1" s="1"/>
  <c r="B666" i="1"/>
  <c r="B665" i="1"/>
  <c r="L664" i="1"/>
  <c r="R664" i="1" s="1"/>
  <c r="L663" i="1"/>
  <c r="R663" i="1" s="1"/>
  <c r="L662" i="1"/>
  <c r="R662" i="1" s="1"/>
  <c r="B664" i="1"/>
  <c r="B663" i="1"/>
  <c r="B662" i="1"/>
  <c r="L661" i="1"/>
  <c r="R661" i="1" s="1"/>
  <c r="B661" i="1"/>
  <c r="L660" i="1"/>
  <c r="R660" i="1" s="1"/>
  <c r="L659" i="1"/>
  <c r="R659" i="1" s="1"/>
  <c r="B660" i="1"/>
  <c r="B659" i="1"/>
  <c r="L658" i="1"/>
  <c r="R658" i="1" s="1"/>
  <c r="L657" i="1"/>
  <c r="R657" i="1" s="1"/>
  <c r="L656" i="1"/>
  <c r="R656" i="1" s="1"/>
  <c r="L655" i="1"/>
  <c r="R655" i="1" s="1"/>
  <c r="B658" i="1"/>
  <c r="B657" i="1"/>
  <c r="B656" i="1"/>
  <c r="B655" i="1"/>
  <c r="L654" i="1"/>
  <c r="R654" i="1" s="1"/>
  <c r="L653" i="1"/>
  <c r="R653" i="1" s="1"/>
  <c r="L652" i="1"/>
  <c r="R652" i="1" s="1"/>
  <c r="B654" i="1"/>
  <c r="B653" i="1"/>
  <c r="B652" i="1"/>
  <c r="L651" i="1"/>
  <c r="R651" i="1" s="1"/>
  <c r="B651" i="1"/>
  <c r="L650" i="1"/>
  <c r="R650" i="1" s="1"/>
  <c r="L649" i="1"/>
  <c r="R649" i="1" s="1"/>
  <c r="B650" i="1"/>
  <c r="B649" i="1"/>
  <c r="L648" i="1"/>
  <c r="R648" i="1" s="1"/>
  <c r="L647" i="1"/>
  <c r="R647" i="1" s="1"/>
  <c r="B648" i="1"/>
  <c r="B647" i="1"/>
  <c r="B645" i="1"/>
  <c r="B646" i="1"/>
  <c r="L646" i="1"/>
  <c r="R646" i="1" s="1"/>
  <c r="L645" i="1"/>
  <c r="R645" i="1" s="1"/>
  <c r="L644" i="1"/>
  <c r="R644" i="1" s="1"/>
  <c r="L643" i="1"/>
  <c r="R643" i="1" s="1"/>
  <c r="L642" i="1"/>
  <c r="R642" i="1" s="1"/>
  <c r="B644" i="1"/>
  <c r="B643" i="1"/>
  <c r="B642" i="1"/>
  <c r="L641" i="1"/>
  <c r="R641" i="1" s="1"/>
  <c r="L640" i="1"/>
  <c r="R640" i="1" s="1"/>
  <c r="B641" i="1"/>
  <c r="B640" i="1"/>
  <c r="L639" i="1"/>
  <c r="R639" i="1" s="1"/>
  <c r="L638" i="1"/>
  <c r="R638" i="1" s="1"/>
  <c r="B639" i="1"/>
  <c r="B638" i="1"/>
  <c r="L637" i="1"/>
  <c r="R637" i="1" s="1"/>
  <c r="L636" i="1"/>
  <c r="R636" i="1" s="1"/>
  <c r="B637" i="1"/>
  <c r="B636" i="1"/>
  <c r="L634" i="1"/>
  <c r="R634" i="1" s="1"/>
  <c r="L633" i="1"/>
  <c r="R633" i="1" s="1"/>
  <c r="B634" i="1"/>
  <c r="B633" i="1"/>
  <c r="L632" i="1"/>
  <c r="R632" i="1" s="1"/>
  <c r="B632" i="1"/>
  <c r="L630" i="1"/>
  <c r="R630" i="1" s="1"/>
  <c r="L629" i="1"/>
  <c r="R629" i="1" s="1"/>
  <c r="L628" i="1"/>
  <c r="R628" i="1" s="1"/>
  <c r="L627" i="1"/>
  <c r="R627" i="1" s="1"/>
  <c r="L626" i="1"/>
  <c r="R626" i="1" s="1"/>
  <c r="L625" i="1"/>
  <c r="R625" i="1" s="1"/>
  <c r="B630" i="1"/>
  <c r="B629" i="1"/>
  <c r="B628" i="1"/>
  <c r="B627" i="1"/>
  <c r="B626" i="1"/>
  <c r="B625" i="1"/>
  <c r="L624" i="1"/>
  <c r="R624" i="1" s="1"/>
  <c r="B624" i="1"/>
  <c r="L623" i="1"/>
  <c r="R623" i="1" s="1"/>
  <c r="L622" i="1"/>
  <c r="R622" i="1" s="1"/>
  <c r="L621" i="1"/>
  <c r="R621" i="1" s="1"/>
  <c r="L620" i="1"/>
  <c r="R620" i="1" s="1"/>
  <c r="L619" i="1"/>
  <c r="R619" i="1" s="1"/>
  <c r="B623" i="1"/>
  <c r="B622" i="1"/>
  <c r="B621" i="1"/>
  <c r="B620" i="1"/>
  <c r="B619" i="1"/>
  <c r="L618" i="1"/>
  <c r="R618" i="1" s="1"/>
  <c r="B618" i="1"/>
  <c r="L616" i="1"/>
  <c r="R616" i="1" s="1"/>
  <c r="L615" i="1"/>
  <c r="R615" i="1" s="1"/>
  <c r="L614" i="1"/>
  <c r="R614" i="1" s="1"/>
  <c r="L613" i="1"/>
  <c r="R613" i="1" s="1"/>
  <c r="B616" i="1"/>
  <c r="B615" i="1"/>
  <c r="B614" i="1"/>
  <c r="B613" i="1"/>
  <c r="L612" i="1"/>
  <c r="R612" i="1" s="1"/>
  <c r="L611" i="1"/>
  <c r="R611" i="1" s="1"/>
  <c r="B612" i="1"/>
  <c r="B611" i="1"/>
  <c r="L610" i="1"/>
  <c r="R610" i="1" s="1"/>
  <c r="L609" i="1"/>
  <c r="R609" i="1" s="1"/>
  <c r="L608" i="1"/>
  <c r="R608" i="1" s="1"/>
  <c r="B610" i="1"/>
  <c r="B609" i="1"/>
  <c r="B608" i="1"/>
  <c r="L607" i="1"/>
  <c r="R607" i="1" s="1"/>
  <c r="L606" i="1"/>
  <c r="R606" i="1" s="1"/>
  <c r="B607" i="1"/>
  <c r="B606" i="1"/>
  <c r="L605" i="1"/>
  <c r="R605" i="1" s="1"/>
  <c r="L604" i="1"/>
  <c r="R604" i="1" s="1"/>
  <c r="L603" i="1"/>
  <c r="R603" i="1" s="1"/>
  <c r="L602" i="1"/>
  <c r="R602" i="1" s="1"/>
  <c r="B605" i="1"/>
  <c r="B604" i="1"/>
  <c r="B603" i="1"/>
  <c r="B602" i="1"/>
  <c r="L601" i="1"/>
  <c r="R601" i="1" s="1"/>
  <c r="L600" i="1"/>
  <c r="R600" i="1" s="1"/>
  <c r="B601" i="1"/>
  <c r="B600" i="1"/>
  <c r="L599" i="1"/>
  <c r="R599" i="1" s="1"/>
  <c r="L598" i="1"/>
  <c r="R598" i="1" s="1"/>
  <c r="B599" i="1"/>
  <c r="B598" i="1"/>
  <c r="L597" i="1"/>
  <c r="R597" i="1" s="1"/>
  <c r="B597" i="1"/>
  <c r="L596" i="1"/>
  <c r="R596" i="1" s="1"/>
  <c r="L595" i="1"/>
  <c r="R595" i="1" s="1"/>
  <c r="B596" i="1"/>
  <c r="B595" i="1"/>
  <c r="L594" i="1"/>
  <c r="R594" i="1" s="1"/>
  <c r="L593" i="1"/>
  <c r="R593" i="1" s="1"/>
  <c r="B594" i="1"/>
  <c r="B593" i="1"/>
  <c r="L590" i="1"/>
  <c r="R590" i="1" s="1"/>
  <c r="L589" i="1"/>
  <c r="R589" i="1" s="1"/>
  <c r="B590" i="1"/>
  <c r="B589" i="1"/>
  <c r="L586" i="1"/>
  <c r="R586" i="1" s="1"/>
  <c r="L588" i="1"/>
  <c r="R588" i="1" s="1"/>
  <c r="L587" i="1"/>
  <c r="R587" i="1" s="1"/>
  <c r="B588" i="1"/>
  <c r="B587" i="1"/>
  <c r="B586" i="1"/>
  <c r="L585" i="1"/>
  <c r="R585" i="1" s="1"/>
  <c r="L584" i="1"/>
  <c r="R584" i="1" s="1"/>
  <c r="B585" i="1"/>
  <c r="B584" i="1"/>
  <c r="L583" i="1"/>
  <c r="R583" i="1" s="1"/>
  <c r="L582" i="1"/>
  <c r="R582" i="1" s="1"/>
  <c r="B583" i="1"/>
  <c r="B582" i="1"/>
  <c r="L581" i="1"/>
  <c r="R581" i="1" s="1"/>
  <c r="B581" i="1"/>
  <c r="L580" i="1"/>
  <c r="R580" i="1" s="1"/>
  <c r="L579" i="1"/>
  <c r="R579" i="1" s="1"/>
  <c r="L578" i="1"/>
  <c r="R578" i="1" s="1"/>
  <c r="B580" i="1"/>
  <c r="B579" i="1"/>
  <c r="B578" i="1"/>
  <c r="L577" i="1"/>
  <c r="R577" i="1" s="1"/>
  <c r="L576" i="1"/>
  <c r="R576" i="1" s="1"/>
  <c r="L575" i="1"/>
  <c r="R575" i="1" s="1"/>
  <c r="B577" i="1"/>
  <c r="B576" i="1"/>
  <c r="B575" i="1"/>
  <c r="L574" i="1"/>
  <c r="R574" i="1" s="1"/>
  <c r="L573" i="1"/>
  <c r="R573" i="1" s="1"/>
  <c r="B574" i="1"/>
  <c r="B573" i="1"/>
  <c r="L572" i="1"/>
  <c r="R572" i="1" s="1"/>
  <c r="L571" i="1"/>
  <c r="R571" i="1" s="1"/>
  <c r="L570" i="1"/>
  <c r="R570" i="1" s="1"/>
  <c r="L569" i="1"/>
  <c r="R569" i="1" s="1"/>
  <c r="B572" i="1"/>
  <c r="B571" i="1"/>
  <c r="B570" i="1"/>
  <c r="B569" i="1"/>
  <c r="L568" i="1"/>
  <c r="R568" i="1" s="1"/>
  <c r="B568" i="1"/>
  <c r="L567" i="1"/>
  <c r="R567" i="1" s="1"/>
  <c r="L566" i="1"/>
  <c r="R566" i="1" s="1"/>
  <c r="L565" i="1"/>
  <c r="R565" i="1" s="1"/>
  <c r="L564" i="1"/>
  <c r="R564" i="1" s="1"/>
  <c r="L563" i="1"/>
  <c r="R563" i="1" s="1"/>
  <c r="L562" i="1"/>
  <c r="R562" i="1" s="1"/>
  <c r="L561" i="1"/>
  <c r="R561" i="1" s="1"/>
  <c r="B561" i="1"/>
  <c r="B562" i="1"/>
  <c r="B563" i="1"/>
  <c r="B564" i="1"/>
  <c r="B565" i="1"/>
  <c r="B566" i="1"/>
  <c r="B567" i="1"/>
  <c r="L560" i="1"/>
  <c r="R560" i="1" s="1"/>
  <c r="L559" i="1"/>
  <c r="R559" i="1" s="1"/>
  <c r="L558" i="1"/>
  <c r="R558" i="1" s="1"/>
  <c r="L557" i="1"/>
  <c r="R557" i="1" s="1"/>
  <c r="B560" i="1"/>
  <c r="B559" i="1"/>
  <c r="B558" i="1"/>
  <c r="B557" i="1"/>
  <c r="L556" i="1"/>
  <c r="R556" i="1" s="1"/>
  <c r="B556" i="1"/>
  <c r="L555" i="1"/>
  <c r="R555" i="1" s="1"/>
  <c r="B555" i="1"/>
  <c r="L554" i="1"/>
  <c r="R554" i="1" s="1"/>
  <c r="B554" i="1"/>
  <c r="L553" i="1"/>
  <c r="R553" i="1" s="1"/>
  <c r="L552" i="1"/>
  <c r="R552" i="1" s="1"/>
  <c r="B553" i="1"/>
  <c r="B552" i="1"/>
  <c r="L551" i="1"/>
  <c r="R551" i="1" s="1"/>
  <c r="L550" i="1"/>
  <c r="R550" i="1" s="1"/>
  <c r="B551" i="1"/>
  <c r="B550" i="1"/>
  <c r="L549" i="1"/>
  <c r="R549" i="1" s="1"/>
  <c r="L548" i="1"/>
  <c r="R548" i="1" s="1"/>
  <c r="L547" i="1"/>
  <c r="R547" i="1" s="1"/>
  <c r="L546" i="1"/>
  <c r="R546" i="1" s="1"/>
  <c r="B549" i="1"/>
  <c r="B548" i="1"/>
  <c r="B547" i="1"/>
  <c r="B546" i="1"/>
  <c r="L545" i="1"/>
  <c r="R545" i="1" s="1"/>
  <c r="L544" i="1"/>
  <c r="R544" i="1" s="1"/>
  <c r="B545" i="1"/>
  <c r="B544" i="1"/>
  <c r="Q543" i="1"/>
  <c r="Q542" i="1"/>
  <c r="S542" i="1" s="1"/>
  <c r="V542" i="1" s="1"/>
  <c r="Q541" i="1"/>
  <c r="S541" i="1" s="1"/>
  <c r="V541" i="1" s="1"/>
  <c r="Q540" i="1"/>
  <c r="S540" i="1" s="1"/>
  <c r="V540" i="1" s="1"/>
  <c r="Q539" i="1"/>
  <c r="S539" i="1" s="1"/>
  <c r="V539" i="1" s="1"/>
  <c r="Q538" i="1"/>
  <c r="S538" i="1" s="1"/>
  <c r="V538" i="1" s="1"/>
  <c r="Q537" i="1"/>
  <c r="S537" i="1" s="1"/>
  <c r="V537" i="1" s="1"/>
  <c r="Q536" i="1"/>
  <c r="S536" i="1" s="1"/>
  <c r="V536" i="1" s="1"/>
  <c r="Q535" i="1"/>
  <c r="Q534" i="1"/>
  <c r="S534" i="1" s="1"/>
  <c r="V534" i="1" s="1"/>
  <c r="Q533" i="1"/>
  <c r="S533" i="1" s="1"/>
  <c r="V533" i="1" s="1"/>
  <c r="Q532" i="1"/>
  <c r="S532" i="1" s="1"/>
  <c r="V532" i="1" s="1"/>
  <c r="Q531" i="1"/>
  <c r="S531" i="1" s="1"/>
  <c r="V531" i="1" s="1"/>
  <c r="Q530" i="1"/>
  <c r="S530" i="1" s="1"/>
  <c r="V530" i="1" s="1"/>
  <c r="Q529" i="1"/>
  <c r="S529" i="1" s="1"/>
  <c r="V529" i="1" s="1"/>
  <c r="Q528" i="1"/>
  <c r="S528" i="1" s="1"/>
  <c r="V528" i="1" s="1"/>
  <c r="Q527" i="1"/>
  <c r="S527" i="1" s="1"/>
  <c r="V527" i="1" s="1"/>
  <c r="Q526" i="1"/>
  <c r="S526" i="1" s="1"/>
  <c r="V526" i="1" s="1"/>
  <c r="Q525" i="1"/>
  <c r="S525" i="1" s="1"/>
  <c r="V525" i="1" s="1"/>
  <c r="Q524" i="1"/>
  <c r="S524" i="1" s="1"/>
  <c r="V524" i="1" s="1"/>
  <c r="Q521" i="1"/>
  <c r="Q520" i="1"/>
  <c r="S520" i="1" s="1"/>
  <c r="V520" i="1" s="1"/>
  <c r="Q519" i="1"/>
  <c r="S519" i="1" s="1"/>
  <c r="V519" i="1" s="1"/>
  <c r="Q518" i="1"/>
  <c r="S518" i="1" s="1"/>
  <c r="V518" i="1" s="1"/>
  <c r="Q517" i="1"/>
  <c r="Q516" i="1"/>
  <c r="S516" i="1" s="1"/>
  <c r="V516" i="1" s="1"/>
  <c r="Q515" i="1"/>
  <c r="S515" i="1" s="1"/>
  <c r="V515" i="1" s="1"/>
  <c r="Q514" i="1"/>
  <c r="S514" i="1" s="1"/>
  <c r="V514" i="1" s="1"/>
  <c r="Q513" i="1"/>
  <c r="S513" i="1" s="1"/>
  <c r="V513" i="1" s="1"/>
  <c r="Q512" i="1"/>
  <c r="S512" i="1" s="1"/>
  <c r="V512" i="1" s="1"/>
  <c r="Q511" i="1"/>
  <c r="S511" i="1" s="1"/>
  <c r="V511" i="1" s="1"/>
  <c r="Q510" i="1"/>
  <c r="S510" i="1" s="1"/>
  <c r="V510" i="1" s="1"/>
  <c r="Q509" i="1"/>
  <c r="S509" i="1" s="1"/>
  <c r="V509" i="1" s="1"/>
  <c r="Q508" i="1"/>
  <c r="S508" i="1" s="1"/>
  <c r="V508" i="1" s="1"/>
  <c r="Q507" i="1"/>
  <c r="S507" i="1" s="1"/>
  <c r="V507" i="1" s="1"/>
  <c r="Q506" i="1"/>
  <c r="S506" i="1" s="1"/>
  <c r="V506" i="1" s="1"/>
  <c r="Q505" i="1"/>
  <c r="S505" i="1" s="1"/>
  <c r="V505" i="1" s="1"/>
  <c r="Q504" i="1"/>
  <c r="S504" i="1" s="1"/>
  <c r="V504" i="1" s="1"/>
  <c r="Q503" i="1"/>
  <c r="S503" i="1" s="1"/>
  <c r="V503" i="1" s="1"/>
  <c r="Q502" i="1"/>
  <c r="S502" i="1" s="1"/>
  <c r="V502" i="1" s="1"/>
  <c r="Q501" i="1"/>
  <c r="Q500" i="1"/>
  <c r="S500" i="1" s="1"/>
  <c r="V500" i="1" s="1"/>
  <c r="Q499" i="1"/>
  <c r="S499" i="1" s="1"/>
  <c r="V499" i="1" s="1"/>
  <c r="Q498" i="1"/>
  <c r="S498" i="1" s="1"/>
  <c r="V498" i="1" s="1"/>
  <c r="Q497" i="1"/>
  <c r="Q496" i="1"/>
  <c r="S496" i="1" s="1"/>
  <c r="V496" i="1" s="1"/>
  <c r="Q495" i="1"/>
  <c r="S495" i="1" s="1"/>
  <c r="V495" i="1" s="1"/>
  <c r="Q494" i="1"/>
  <c r="S494" i="1" s="1"/>
  <c r="V494" i="1" s="1"/>
  <c r="Q493" i="1"/>
  <c r="Q492" i="1"/>
  <c r="S492" i="1" s="1"/>
  <c r="V492" i="1" s="1"/>
  <c r="Q491" i="1"/>
  <c r="S491" i="1" s="1"/>
  <c r="V491" i="1" s="1"/>
  <c r="Q490" i="1"/>
  <c r="S490" i="1" s="1"/>
  <c r="V490" i="1" s="1"/>
  <c r="Q489" i="1"/>
  <c r="S489" i="1" s="1"/>
  <c r="V489" i="1" s="1"/>
  <c r="Q488" i="1"/>
  <c r="S488" i="1" s="1"/>
  <c r="V488" i="1" s="1"/>
  <c r="Q487" i="1"/>
  <c r="S487" i="1" s="1"/>
  <c r="V487" i="1" s="1"/>
  <c r="Q486" i="1"/>
  <c r="S486" i="1" s="1"/>
  <c r="V486" i="1" s="1"/>
  <c r="Q485" i="1"/>
  <c r="Q484" i="1"/>
  <c r="S484" i="1" s="1"/>
  <c r="V484" i="1" s="1"/>
  <c r="Q483" i="1"/>
  <c r="S483" i="1" s="1"/>
  <c r="V483" i="1" s="1"/>
  <c r="Q482" i="1"/>
  <c r="S482" i="1" s="1"/>
  <c r="V482" i="1" s="1"/>
  <c r="Q481" i="1"/>
  <c r="Q480" i="1"/>
  <c r="S480" i="1" s="1"/>
  <c r="V480" i="1" s="1"/>
  <c r="Q479" i="1"/>
  <c r="S479" i="1" s="1"/>
  <c r="V479" i="1" s="1"/>
  <c r="Q478" i="1"/>
  <c r="S478" i="1" s="1"/>
  <c r="V478" i="1" s="1"/>
  <c r="Q477" i="1"/>
  <c r="Q476" i="1"/>
  <c r="S476" i="1" s="1"/>
  <c r="V476" i="1" s="1"/>
  <c r="Q475" i="1"/>
  <c r="S475" i="1" s="1"/>
  <c r="V475" i="1" s="1"/>
  <c r="Q474" i="1"/>
  <c r="S474" i="1" s="1"/>
  <c r="V474" i="1" s="1"/>
  <c r="Q473" i="1"/>
  <c r="Q472" i="1"/>
  <c r="S472" i="1" s="1"/>
  <c r="V472" i="1" s="1"/>
  <c r="Q471" i="1"/>
  <c r="S471" i="1" s="1"/>
  <c r="V471" i="1" s="1"/>
  <c r="Q470" i="1"/>
  <c r="S470" i="1" s="1"/>
  <c r="V470" i="1" s="1"/>
  <c r="Q469" i="1"/>
  <c r="Q468" i="1"/>
  <c r="S468" i="1" s="1"/>
  <c r="V468" i="1" s="1"/>
  <c r="Q467" i="1"/>
  <c r="S467" i="1" s="1"/>
  <c r="V467" i="1" s="1"/>
  <c r="Q466" i="1"/>
  <c r="S466" i="1" s="1"/>
  <c r="V466" i="1" s="1"/>
  <c r="Q465" i="1"/>
  <c r="V465" i="1" s="1"/>
  <c r="Q464" i="1"/>
  <c r="S464" i="1" s="1"/>
  <c r="V464" i="1" s="1"/>
  <c r="Q463" i="1"/>
  <c r="S463" i="1" s="1"/>
  <c r="V463" i="1" s="1"/>
  <c r="Q462" i="1"/>
  <c r="S462" i="1" s="1"/>
  <c r="V462" i="1" s="1"/>
  <c r="Q461" i="1"/>
  <c r="Q460" i="1"/>
  <c r="S460" i="1" s="1"/>
  <c r="V460" i="1" s="1"/>
  <c r="Q459" i="1"/>
  <c r="S459" i="1" s="1"/>
  <c r="V459" i="1" s="1"/>
  <c r="Q458" i="1"/>
  <c r="S458" i="1" s="1"/>
  <c r="V458" i="1" s="1"/>
  <c r="Q457" i="1"/>
  <c r="S457" i="1" s="1"/>
  <c r="V457" i="1" s="1"/>
  <c r="Q456" i="1"/>
  <c r="S456" i="1" s="1"/>
  <c r="V456" i="1" s="1"/>
  <c r="Q455" i="1"/>
  <c r="S455" i="1" s="1"/>
  <c r="V455" i="1" s="1"/>
  <c r="Q454" i="1"/>
  <c r="S454" i="1" s="1"/>
  <c r="V454" i="1" s="1"/>
  <c r="Q453" i="1"/>
  <c r="Q452" i="1"/>
  <c r="S452" i="1" s="1"/>
  <c r="V452" i="1" s="1"/>
  <c r="Q451" i="1"/>
  <c r="V451" i="1" s="1"/>
  <c r="Q450" i="1"/>
  <c r="V450" i="1" s="1"/>
  <c r="Q449" i="1"/>
  <c r="V449" i="1" s="1"/>
  <c r="Q448" i="1"/>
  <c r="V448" i="1" s="1"/>
  <c r="Q447" i="1"/>
  <c r="V447" i="1" s="1"/>
  <c r="Q446" i="1"/>
  <c r="V446" i="1" s="1"/>
  <c r="Q445" i="1"/>
  <c r="Q444" i="1"/>
  <c r="S444" i="1" s="1"/>
  <c r="V444" i="1" s="1"/>
  <c r="Q443" i="1"/>
  <c r="S443" i="1" s="1"/>
  <c r="V443" i="1" s="1"/>
  <c r="Q442" i="1"/>
  <c r="S442" i="1" s="1"/>
  <c r="V442" i="1" s="1"/>
  <c r="Q441" i="1"/>
  <c r="Q440" i="1"/>
  <c r="S440" i="1" s="1"/>
  <c r="V440" i="1" s="1"/>
  <c r="Q439" i="1"/>
  <c r="S439" i="1" s="1"/>
  <c r="V439" i="1" s="1"/>
  <c r="Q438" i="1"/>
  <c r="S438" i="1" s="1"/>
  <c r="V438" i="1" s="1"/>
  <c r="Q437" i="1"/>
  <c r="Q436" i="1"/>
  <c r="S436" i="1" s="1"/>
  <c r="V436" i="1" s="1"/>
  <c r="Q435" i="1"/>
  <c r="S435" i="1" s="1"/>
  <c r="V435" i="1" s="1"/>
  <c r="Q434" i="1"/>
  <c r="S434" i="1" s="1"/>
  <c r="V434" i="1" s="1"/>
  <c r="Q433" i="1"/>
  <c r="Q432" i="1"/>
  <c r="S432" i="1" s="1"/>
  <c r="V432" i="1" s="1"/>
  <c r="Q431" i="1"/>
  <c r="S431" i="1" s="1"/>
  <c r="V431" i="1" s="1"/>
  <c r="Q430" i="1"/>
  <c r="S430" i="1" s="1"/>
  <c r="V430" i="1" s="1"/>
  <c r="Q429" i="1"/>
  <c r="Q428" i="1"/>
  <c r="S428" i="1" s="1"/>
  <c r="V428" i="1" s="1"/>
  <c r="Q427" i="1"/>
  <c r="S427" i="1" s="1"/>
  <c r="V427" i="1" s="1"/>
  <c r="Q426" i="1"/>
  <c r="S426" i="1" s="1"/>
  <c r="V426" i="1" s="1"/>
  <c r="Q425" i="1"/>
  <c r="S425" i="1" s="1"/>
  <c r="V425" i="1" s="1"/>
  <c r="Q424" i="1"/>
  <c r="S424" i="1" s="1"/>
  <c r="V424" i="1" s="1"/>
  <c r="Q423" i="1"/>
  <c r="S423" i="1" s="1"/>
  <c r="V423" i="1" s="1"/>
  <c r="Q422" i="1"/>
  <c r="S422" i="1" s="1"/>
  <c r="V422" i="1" s="1"/>
  <c r="Q421" i="1"/>
  <c r="Q420" i="1"/>
  <c r="S420" i="1" s="1"/>
  <c r="V420" i="1" s="1"/>
  <c r="Q419" i="1"/>
  <c r="S419" i="1" s="1"/>
  <c r="V419" i="1" s="1"/>
  <c r="Q418" i="1"/>
  <c r="S418" i="1" s="1"/>
  <c r="V418" i="1" s="1"/>
  <c r="Q417" i="1"/>
  <c r="S417" i="1" s="1"/>
  <c r="V417" i="1" s="1"/>
  <c r="Q416" i="1"/>
  <c r="Q415" i="1"/>
  <c r="S415" i="1" s="1"/>
  <c r="V415" i="1" s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5" i="1"/>
  <c r="S543" i="1"/>
  <c r="V543" i="1" s="1"/>
  <c r="S535" i="1"/>
  <c r="V535" i="1" s="1"/>
  <c r="S521" i="1"/>
  <c r="V521" i="1" s="1"/>
  <c r="S517" i="1"/>
  <c r="V517" i="1" s="1"/>
  <c r="L543" i="1"/>
  <c r="R543" i="1" s="1"/>
  <c r="L542" i="1"/>
  <c r="R542" i="1" s="1"/>
  <c r="L541" i="1"/>
  <c r="R541" i="1" s="1"/>
  <c r="B543" i="1"/>
  <c r="B542" i="1"/>
  <c r="B541" i="1"/>
  <c r="L540" i="1"/>
  <c r="R540" i="1" s="1"/>
  <c r="L539" i="1"/>
  <c r="R539" i="1" s="1"/>
  <c r="L538" i="1"/>
  <c r="R538" i="1" s="1"/>
  <c r="L537" i="1"/>
  <c r="R537" i="1" s="1"/>
  <c r="B540" i="1"/>
  <c r="B539" i="1"/>
  <c r="B538" i="1"/>
  <c r="B537" i="1"/>
  <c r="L536" i="1"/>
  <c r="R536" i="1" s="1"/>
  <c r="L535" i="1"/>
  <c r="R535" i="1" s="1"/>
  <c r="B536" i="1"/>
  <c r="B535" i="1"/>
  <c r="L534" i="1"/>
  <c r="R534" i="1" s="1"/>
  <c r="L533" i="1"/>
  <c r="R533" i="1" s="1"/>
  <c r="L532" i="1"/>
  <c r="R532" i="1" s="1"/>
  <c r="B534" i="1"/>
  <c r="B533" i="1"/>
  <c r="B532" i="1"/>
  <c r="L531" i="1"/>
  <c r="R531" i="1" s="1"/>
  <c r="L530" i="1"/>
  <c r="R530" i="1" s="1"/>
  <c r="B531" i="1"/>
  <c r="B530" i="1"/>
  <c r="L529" i="1"/>
  <c r="R529" i="1" s="1"/>
  <c r="L528" i="1"/>
  <c r="R528" i="1" s="1"/>
  <c r="L527" i="1"/>
  <c r="R527" i="1" s="1"/>
  <c r="B529" i="1"/>
  <c r="B528" i="1"/>
  <c r="B527" i="1"/>
  <c r="L526" i="1"/>
  <c r="R526" i="1" s="1"/>
  <c r="L525" i="1"/>
  <c r="R525" i="1" s="1"/>
  <c r="L524" i="1"/>
  <c r="R524" i="1" s="1"/>
  <c r="B526" i="1"/>
  <c r="B525" i="1"/>
  <c r="B524" i="1"/>
  <c r="L521" i="1"/>
  <c r="R521" i="1" s="1"/>
  <c r="L520" i="1"/>
  <c r="R520" i="1" s="1"/>
  <c r="L519" i="1"/>
  <c r="R519" i="1" s="1"/>
  <c r="B521" i="1"/>
  <c r="B520" i="1"/>
  <c r="B519" i="1"/>
  <c r="L518" i="1"/>
  <c r="R518" i="1" s="1"/>
  <c r="L517" i="1"/>
  <c r="R517" i="1" s="1"/>
  <c r="B518" i="1"/>
  <c r="B517" i="1"/>
  <c r="L516" i="1"/>
  <c r="R516" i="1" s="1"/>
  <c r="B516" i="1"/>
  <c r="L515" i="1"/>
  <c r="R515" i="1" s="1"/>
  <c r="L514" i="1"/>
  <c r="R514" i="1" s="1"/>
  <c r="L513" i="1"/>
  <c r="R513" i="1" s="1"/>
  <c r="B515" i="1"/>
  <c r="B514" i="1"/>
  <c r="B513" i="1"/>
  <c r="L512" i="1"/>
  <c r="R512" i="1" s="1"/>
  <c r="B512" i="1"/>
  <c r="L511" i="1"/>
  <c r="R511" i="1" s="1"/>
  <c r="B511" i="1"/>
  <c r="L510" i="1"/>
  <c r="R510" i="1" s="1"/>
  <c r="B510" i="1"/>
  <c r="L509" i="1"/>
  <c r="R509" i="1" s="1"/>
  <c r="B509" i="1"/>
  <c r="L508" i="1"/>
  <c r="R508" i="1" s="1"/>
  <c r="L507" i="1"/>
  <c r="R507" i="1" s="1"/>
  <c r="L506" i="1"/>
  <c r="R506" i="1" s="1"/>
  <c r="L505" i="1"/>
  <c r="R505" i="1" s="1"/>
  <c r="B508" i="1"/>
  <c r="B507" i="1"/>
  <c r="B506" i="1"/>
  <c r="B505" i="1"/>
  <c r="S501" i="1"/>
  <c r="V501" i="1" s="1"/>
  <c r="L504" i="1"/>
  <c r="R504" i="1" s="1"/>
  <c r="L503" i="1"/>
  <c r="R503" i="1" s="1"/>
  <c r="L502" i="1"/>
  <c r="R502" i="1" s="1"/>
  <c r="L501" i="1"/>
  <c r="R501" i="1" s="1"/>
  <c r="L500" i="1"/>
  <c r="R500" i="1" s="1"/>
  <c r="B504" i="1"/>
  <c r="B503" i="1"/>
  <c r="B502" i="1"/>
  <c r="B501" i="1"/>
  <c r="B500" i="1"/>
  <c r="B499" i="1"/>
  <c r="B498" i="1"/>
  <c r="B497" i="1"/>
  <c r="L499" i="1"/>
  <c r="R499" i="1" s="1"/>
  <c r="L498" i="1"/>
  <c r="R498" i="1" s="1"/>
  <c r="S497" i="1"/>
  <c r="V497" i="1" s="1"/>
  <c r="L497" i="1"/>
  <c r="R497" i="1" s="1"/>
  <c r="S493" i="1"/>
  <c r="V493" i="1" s="1"/>
  <c r="S485" i="1"/>
  <c r="V485" i="1" s="1"/>
  <c r="S481" i="1"/>
  <c r="V481" i="1" s="1"/>
  <c r="S477" i="1"/>
  <c r="V477" i="1" s="1"/>
  <c r="S473" i="1"/>
  <c r="V473" i="1" s="1"/>
  <c r="S469" i="1"/>
  <c r="V469" i="1" s="1"/>
  <c r="S461" i="1"/>
  <c r="V461" i="1" s="1"/>
  <c r="S453" i="1"/>
  <c r="V453" i="1" s="1"/>
  <c r="V445" i="1"/>
  <c r="S441" i="1"/>
  <c r="V441" i="1" s="1"/>
  <c r="S437" i="1"/>
  <c r="V437" i="1" s="1"/>
  <c r="S433" i="1"/>
  <c r="V433" i="1" s="1"/>
  <c r="S429" i="1"/>
  <c r="V429" i="1" s="1"/>
  <c r="S421" i="1"/>
  <c r="V421" i="1" s="1"/>
  <c r="L496" i="1"/>
  <c r="R496" i="1" s="1"/>
  <c r="L495" i="1"/>
  <c r="R495" i="1" s="1"/>
  <c r="L494" i="1"/>
  <c r="R494" i="1" s="1"/>
  <c r="L493" i="1"/>
  <c r="R493" i="1" s="1"/>
  <c r="B496" i="1"/>
  <c r="B495" i="1"/>
  <c r="B494" i="1"/>
  <c r="B493" i="1"/>
  <c r="L492" i="1"/>
  <c r="R492" i="1" s="1"/>
  <c r="B492" i="1"/>
  <c r="L491" i="1"/>
  <c r="R491" i="1" s="1"/>
  <c r="L490" i="1"/>
  <c r="R490" i="1" s="1"/>
  <c r="L489" i="1"/>
  <c r="R489" i="1" s="1"/>
  <c r="B491" i="1"/>
  <c r="B490" i="1"/>
  <c r="B489" i="1"/>
  <c r="L488" i="1"/>
  <c r="R488" i="1" s="1"/>
  <c r="L487" i="1"/>
  <c r="R487" i="1" s="1"/>
  <c r="L486" i="1"/>
  <c r="R486" i="1" s="1"/>
  <c r="B488" i="1"/>
  <c r="B487" i="1"/>
  <c r="B486" i="1"/>
  <c r="R485" i="1"/>
  <c r="L484" i="1"/>
  <c r="R484" i="1" s="1"/>
  <c r="L483" i="1"/>
  <c r="R483" i="1" s="1"/>
  <c r="B485" i="1"/>
  <c r="B484" i="1"/>
  <c r="B483" i="1"/>
  <c r="L482" i="1"/>
  <c r="R482" i="1" s="1"/>
  <c r="B482" i="1"/>
  <c r="L481" i="1"/>
  <c r="R481" i="1" s="1"/>
  <c r="L480" i="1"/>
  <c r="R480" i="1" s="1"/>
  <c r="L479" i="1"/>
  <c r="R479" i="1" s="1"/>
  <c r="B481" i="1"/>
  <c r="B480" i="1"/>
  <c r="B479" i="1"/>
  <c r="L478" i="1"/>
  <c r="R478" i="1" s="1"/>
  <c r="L477" i="1"/>
  <c r="R477" i="1" s="1"/>
  <c r="B478" i="1"/>
  <c r="B477" i="1"/>
  <c r="V778" i="1" l="1"/>
  <c r="V777" i="1"/>
  <c r="V756" i="1"/>
  <c r="V766" i="1"/>
  <c r="S761" i="1"/>
  <c r="V761" i="1" s="1"/>
  <c r="S773" i="1"/>
  <c r="V773" i="1" s="1"/>
  <c r="S763" i="1"/>
  <c r="V763" i="1" s="1"/>
  <c r="V767" i="1"/>
  <c r="S757" i="1"/>
  <c r="V757" i="1" s="1"/>
  <c r="V755" i="1"/>
  <c r="V759" i="1"/>
  <c r="V770" i="1"/>
  <c r="S772" i="1"/>
  <c r="V772" i="1" s="1"/>
  <c r="V768" i="1"/>
  <c r="V762" i="1"/>
  <c r="S760" i="1"/>
  <c r="V760" i="1" s="1"/>
  <c r="S769" i="1"/>
  <c r="V769" i="1" s="1"/>
  <c r="S771" i="1"/>
  <c r="V771" i="1" s="1"/>
  <c r="S765" i="1"/>
  <c r="V765" i="1" s="1"/>
  <c r="S758" i="1"/>
  <c r="V758" i="1" s="1"/>
  <c r="S754" i="1"/>
  <c r="V754" i="1" s="1"/>
  <c r="V764" i="1"/>
  <c r="V753" i="1"/>
  <c r="S775" i="1"/>
  <c r="V775" i="1" s="1"/>
  <c r="S691" i="1"/>
  <c r="V691" i="1" s="1"/>
  <c r="S679" i="1"/>
  <c r="V679" i="1" s="1"/>
  <c r="S635" i="1"/>
  <c r="V635" i="1" s="1"/>
  <c r="S713" i="1"/>
  <c r="V713" i="1" s="1"/>
  <c r="S702" i="1"/>
  <c r="V702" i="1" s="1"/>
  <c r="S631" i="1"/>
  <c r="V631" i="1" s="1"/>
  <c r="S742" i="1"/>
  <c r="V742" i="1" s="1"/>
  <c r="S715" i="1"/>
  <c r="V715" i="1" s="1"/>
  <c r="S658" i="1"/>
  <c r="V658" i="1" s="1"/>
  <c r="S651" i="1"/>
  <c r="V651" i="1" s="1"/>
  <c r="V648" i="1"/>
  <c r="V629" i="1"/>
  <c r="S748" i="1"/>
  <c r="V748" i="1" s="1"/>
  <c r="S622" i="1"/>
  <c r="V622" i="1" s="1"/>
  <c r="S668" i="1"/>
  <c r="V668" i="1" s="1"/>
  <c r="S732" i="1"/>
  <c r="V732" i="1" s="1"/>
  <c r="S700" i="1"/>
  <c r="V700" i="1" s="1"/>
  <c r="S688" i="1"/>
  <c r="V688" i="1" s="1"/>
  <c r="S670" i="1"/>
  <c r="V670" i="1" s="1"/>
  <c r="V643" i="1"/>
  <c r="V636" i="1"/>
  <c r="S750" i="1"/>
  <c r="V750" i="1" s="1"/>
  <c r="S734" i="1"/>
  <c r="V734" i="1" s="1"/>
  <c r="S721" i="1"/>
  <c r="V721" i="1" s="1"/>
  <c r="S708" i="1"/>
  <c r="V708" i="1" s="1"/>
  <c r="S690" i="1"/>
  <c r="V690" i="1" s="1"/>
  <c r="V675" i="1"/>
  <c r="V663" i="1"/>
  <c r="S638" i="1"/>
  <c r="V638" i="1" s="1"/>
  <c r="S624" i="1"/>
  <c r="V624" i="1" s="1"/>
  <c r="S740" i="1"/>
  <c r="V740" i="1" s="1"/>
  <c r="S723" i="1"/>
  <c r="V723" i="1" s="1"/>
  <c r="S683" i="1"/>
  <c r="V683" i="1" s="1"/>
  <c r="V680" i="1"/>
  <c r="S656" i="1"/>
  <c r="V656" i="1" s="1"/>
  <c r="S647" i="1"/>
  <c r="V647" i="1" s="1"/>
  <c r="S752" i="1"/>
  <c r="V752" i="1" s="1"/>
  <c r="S744" i="1"/>
  <c r="V744" i="1" s="1"/>
  <c r="S736" i="1"/>
  <c r="V736" i="1" s="1"/>
  <c r="S725" i="1"/>
  <c r="V725" i="1" s="1"/>
  <c r="S717" i="1"/>
  <c r="V717" i="1" s="1"/>
  <c r="S709" i="1"/>
  <c r="V709" i="1" s="1"/>
  <c r="S704" i="1"/>
  <c r="V704" i="1" s="1"/>
  <c r="S696" i="1"/>
  <c r="V696" i="1" s="1"/>
  <c r="V684" i="1"/>
  <c r="S672" i="1"/>
  <c r="V672" i="1" s="1"/>
  <c r="V652" i="1"/>
  <c r="S640" i="1"/>
  <c r="V640" i="1" s="1"/>
  <c r="S746" i="1"/>
  <c r="V746" i="1" s="1"/>
  <c r="S738" i="1"/>
  <c r="V738" i="1" s="1"/>
  <c r="S730" i="1"/>
  <c r="V730" i="1" s="1"/>
  <c r="S727" i="1"/>
  <c r="V727" i="1" s="1"/>
  <c r="S719" i="1"/>
  <c r="V719" i="1" s="1"/>
  <c r="S711" i="1"/>
  <c r="V711" i="1" s="1"/>
  <c r="S706" i="1"/>
  <c r="V706" i="1" s="1"/>
  <c r="S698" i="1"/>
  <c r="V698" i="1" s="1"/>
  <c r="V692" i="1"/>
  <c r="S686" i="1"/>
  <c r="V686" i="1" s="1"/>
  <c r="S674" i="1"/>
  <c r="V674" i="1" s="1"/>
  <c r="S667" i="1"/>
  <c r="V667" i="1" s="1"/>
  <c r="V664" i="1"/>
  <c r="V659" i="1"/>
  <c r="S654" i="1"/>
  <c r="V654" i="1" s="1"/>
  <c r="S642" i="1"/>
  <c r="V642" i="1" s="1"/>
  <c r="S634" i="1"/>
  <c r="V634" i="1" s="1"/>
  <c r="V630" i="1"/>
  <c r="V625" i="1"/>
  <c r="S620" i="1"/>
  <c r="V620" i="1" s="1"/>
  <c r="V618" i="1"/>
  <c r="S751" i="1"/>
  <c r="V751" i="1" s="1"/>
  <c r="S749" i="1"/>
  <c r="V749" i="1" s="1"/>
  <c r="S747" i="1"/>
  <c r="V747" i="1" s="1"/>
  <c r="S745" i="1"/>
  <c r="V745" i="1" s="1"/>
  <c r="S728" i="1"/>
  <c r="V728" i="1" s="1"/>
  <c r="S726" i="1"/>
  <c r="V726" i="1" s="1"/>
  <c r="S724" i="1"/>
  <c r="V724" i="1" s="1"/>
  <c r="S722" i="1"/>
  <c r="V722" i="1" s="1"/>
  <c r="S720" i="1"/>
  <c r="V720" i="1" s="1"/>
  <c r="S718" i="1"/>
  <c r="V718" i="1" s="1"/>
  <c r="S707" i="1"/>
  <c r="V707" i="1" s="1"/>
  <c r="V693" i="1"/>
  <c r="V687" i="1"/>
  <c r="S682" i="1"/>
  <c r="V682" i="1" s="1"/>
  <c r="V676" i="1"/>
  <c r="V671" i="1"/>
  <c r="S666" i="1"/>
  <c r="V666" i="1" s="1"/>
  <c r="V660" i="1"/>
  <c r="V655" i="1"/>
  <c r="S650" i="1"/>
  <c r="V650" i="1" s="1"/>
  <c r="V644" i="1"/>
  <c r="V639" i="1"/>
  <c r="S633" i="1"/>
  <c r="V633" i="1" s="1"/>
  <c r="V626" i="1"/>
  <c r="V621" i="1"/>
  <c r="S743" i="1"/>
  <c r="V743" i="1" s="1"/>
  <c r="S741" i="1"/>
  <c r="V741" i="1" s="1"/>
  <c r="S739" i="1"/>
  <c r="V739" i="1" s="1"/>
  <c r="S737" i="1"/>
  <c r="V737" i="1" s="1"/>
  <c r="S735" i="1"/>
  <c r="V735" i="1" s="1"/>
  <c r="S733" i="1"/>
  <c r="V733" i="1" s="1"/>
  <c r="S731" i="1"/>
  <c r="V731" i="1" s="1"/>
  <c r="S729" i="1"/>
  <c r="V729" i="1" s="1"/>
  <c r="S716" i="1"/>
  <c r="V716" i="1" s="1"/>
  <c r="S714" i="1"/>
  <c r="V714" i="1" s="1"/>
  <c r="S712" i="1"/>
  <c r="V712" i="1" s="1"/>
  <c r="S710" i="1"/>
  <c r="V710" i="1" s="1"/>
  <c r="S705" i="1"/>
  <c r="V705" i="1" s="1"/>
  <c r="S703" i="1"/>
  <c r="V703" i="1" s="1"/>
  <c r="S701" i="1"/>
  <c r="V701" i="1" s="1"/>
  <c r="S699" i="1"/>
  <c r="V699" i="1" s="1"/>
  <c r="S697" i="1"/>
  <c r="V697" i="1" s="1"/>
  <c r="S695" i="1"/>
  <c r="V695" i="1" s="1"/>
  <c r="S678" i="1"/>
  <c r="V678" i="1" s="1"/>
  <c r="S662" i="1"/>
  <c r="V662" i="1" s="1"/>
  <c r="S646" i="1"/>
  <c r="V646" i="1" s="1"/>
  <c r="S628" i="1"/>
  <c r="V628" i="1" s="1"/>
  <c r="S593" i="1"/>
  <c r="V593" i="1" s="1"/>
  <c r="V591" i="1"/>
  <c r="S617" i="1"/>
  <c r="V617" i="1" s="1"/>
  <c r="V616" i="1"/>
  <c r="V601" i="1"/>
  <c r="V598" i="1"/>
  <c r="V592" i="1"/>
  <c r="V694" i="1"/>
  <c r="V689" i="1"/>
  <c r="V685" i="1"/>
  <c r="V681" i="1"/>
  <c r="V677" i="1"/>
  <c r="V673" i="1"/>
  <c r="V669" i="1"/>
  <c r="V665" i="1"/>
  <c r="V661" i="1"/>
  <c r="V657" i="1"/>
  <c r="V653" i="1"/>
  <c r="V649" i="1"/>
  <c r="V645" i="1"/>
  <c r="V641" i="1"/>
  <c r="V637" i="1"/>
  <c r="V632" i="1"/>
  <c r="V627" i="1"/>
  <c r="V623" i="1"/>
  <c r="V619" i="1"/>
  <c r="S615" i="1"/>
  <c r="V615" i="1" s="1"/>
  <c r="S606" i="1"/>
  <c r="V606" i="1" s="1"/>
  <c r="V605" i="1"/>
  <c r="S594" i="1"/>
  <c r="V594" i="1" s="1"/>
  <c r="S611" i="1"/>
  <c r="V611" i="1" s="1"/>
  <c r="V609" i="1"/>
  <c r="V604" i="1"/>
  <c r="V614" i="1"/>
  <c r="V613" i="1"/>
  <c r="V610" i="1"/>
  <c r="V603" i="1"/>
  <c r="V602" i="1"/>
  <c r="V600" i="1"/>
  <c r="S599" i="1"/>
  <c r="V599" i="1" s="1"/>
  <c r="V597" i="1"/>
  <c r="S589" i="1"/>
  <c r="V589" i="1" s="1"/>
  <c r="S567" i="1"/>
  <c r="V567" i="1" s="1"/>
  <c r="S575" i="1"/>
  <c r="V575" i="1" s="1"/>
  <c r="S583" i="1"/>
  <c r="V583" i="1" s="1"/>
  <c r="S559" i="1"/>
  <c r="V559" i="1" s="1"/>
  <c r="S557" i="1"/>
  <c r="V557" i="1" s="1"/>
  <c r="S565" i="1"/>
  <c r="V565" i="1" s="1"/>
  <c r="S573" i="1"/>
  <c r="V573" i="1" s="1"/>
  <c r="S581" i="1"/>
  <c r="V581" i="1" s="1"/>
  <c r="S555" i="1"/>
  <c r="V555" i="1" s="1"/>
  <c r="S563" i="1"/>
  <c r="V563" i="1" s="1"/>
  <c r="S571" i="1"/>
  <c r="V571" i="1" s="1"/>
  <c r="S579" i="1"/>
  <c r="V579" i="1" s="1"/>
  <c r="S587" i="1"/>
  <c r="V587" i="1" s="1"/>
  <c r="S561" i="1"/>
  <c r="V561" i="1" s="1"/>
  <c r="S569" i="1"/>
  <c r="V569" i="1" s="1"/>
  <c r="S577" i="1"/>
  <c r="V577" i="1" s="1"/>
  <c r="S585" i="1"/>
  <c r="V585" i="1" s="1"/>
  <c r="S556" i="1"/>
  <c r="V556" i="1" s="1"/>
  <c r="S558" i="1"/>
  <c r="V558" i="1" s="1"/>
  <c r="S560" i="1"/>
  <c r="V560" i="1" s="1"/>
  <c r="S562" i="1"/>
  <c r="V562" i="1" s="1"/>
  <c r="S564" i="1"/>
  <c r="V564" i="1" s="1"/>
  <c r="S566" i="1"/>
  <c r="V566" i="1" s="1"/>
  <c r="S568" i="1"/>
  <c r="V568" i="1" s="1"/>
  <c r="S570" i="1"/>
  <c r="V570" i="1" s="1"/>
  <c r="S572" i="1"/>
  <c r="V572" i="1" s="1"/>
  <c r="S574" i="1"/>
  <c r="V574" i="1" s="1"/>
  <c r="S576" i="1"/>
  <c r="V576" i="1" s="1"/>
  <c r="S578" i="1"/>
  <c r="V578" i="1" s="1"/>
  <c r="S580" i="1"/>
  <c r="V580" i="1" s="1"/>
  <c r="S582" i="1"/>
  <c r="V582" i="1" s="1"/>
  <c r="S584" i="1"/>
  <c r="V584" i="1" s="1"/>
  <c r="S586" i="1"/>
  <c r="V586" i="1" s="1"/>
  <c r="V554" i="1"/>
  <c r="V553" i="1"/>
  <c r="S551" i="1"/>
  <c r="V551" i="1" s="1"/>
  <c r="S550" i="1"/>
  <c r="V550" i="1" s="1"/>
  <c r="S547" i="1"/>
  <c r="V547" i="1" s="1"/>
  <c r="S546" i="1"/>
  <c r="V546" i="1" s="1"/>
  <c r="S545" i="1"/>
  <c r="V545" i="1" s="1"/>
  <c r="S544" i="1"/>
  <c r="V544" i="1" s="1"/>
  <c r="S588" i="1"/>
  <c r="V588" i="1" s="1"/>
  <c r="S523" i="1"/>
  <c r="V523" i="1" s="1"/>
  <c r="S522" i="1"/>
  <c r="V522" i="1" s="1"/>
  <c r="L476" i="1"/>
  <c r="R476" i="1" s="1"/>
  <c r="L475" i="1"/>
  <c r="R475" i="1" s="1"/>
  <c r="L474" i="1"/>
  <c r="R474" i="1" s="1"/>
  <c r="L473" i="1"/>
  <c r="R473" i="1" s="1"/>
  <c r="B476" i="1"/>
  <c r="B475" i="1"/>
  <c r="B474" i="1"/>
  <c r="B473" i="1"/>
  <c r="L472" i="1"/>
  <c r="R472" i="1" s="1"/>
  <c r="L471" i="1"/>
  <c r="R471" i="1" s="1"/>
  <c r="B472" i="1"/>
  <c r="B471" i="1"/>
  <c r="L470" i="1"/>
  <c r="R470" i="1" s="1"/>
  <c r="L469" i="1"/>
  <c r="R469" i="1" s="1"/>
  <c r="B470" i="1"/>
  <c r="B469" i="1"/>
  <c r="L468" i="1"/>
  <c r="R468" i="1" s="1"/>
  <c r="L467" i="1"/>
  <c r="R467" i="1" s="1"/>
  <c r="B468" i="1"/>
  <c r="B467" i="1"/>
  <c r="L466" i="1"/>
  <c r="R466" i="1" s="1"/>
  <c r="B466" i="1"/>
  <c r="L465" i="1"/>
  <c r="R465" i="1" s="1"/>
  <c r="B465" i="1"/>
  <c r="L464" i="1"/>
  <c r="R464" i="1" s="1"/>
  <c r="B464" i="1"/>
  <c r="L463" i="1" l="1"/>
  <c r="R463" i="1" s="1"/>
  <c r="L462" i="1"/>
  <c r="R462" i="1" s="1"/>
  <c r="L461" i="1"/>
  <c r="R461" i="1" s="1"/>
  <c r="B461" i="1"/>
  <c r="B463" i="1"/>
  <c r="B462" i="1"/>
  <c r="L460" i="1"/>
  <c r="R460" i="1" s="1"/>
  <c r="L459" i="1"/>
  <c r="R459" i="1" s="1"/>
  <c r="B460" i="1"/>
  <c r="B459" i="1"/>
  <c r="L458" i="1"/>
  <c r="R458" i="1" s="1"/>
  <c r="L457" i="1"/>
  <c r="R457" i="1" s="1"/>
  <c r="B458" i="1"/>
  <c r="B457" i="1"/>
  <c r="L456" i="1"/>
  <c r="R456" i="1" s="1"/>
  <c r="L455" i="1"/>
  <c r="R455" i="1" s="1"/>
  <c r="B456" i="1"/>
  <c r="B455" i="1"/>
  <c r="L454" i="1"/>
  <c r="R454" i="1" s="1"/>
  <c r="L453" i="1"/>
  <c r="R453" i="1" s="1"/>
  <c r="B454" i="1"/>
  <c r="B453" i="1"/>
  <c r="L452" i="1"/>
  <c r="R452" i="1" s="1"/>
  <c r="B452" i="1"/>
  <c r="L451" i="1"/>
  <c r="R451" i="1" s="1"/>
  <c r="L450" i="1"/>
  <c r="R450" i="1" s="1"/>
  <c r="L449" i="1"/>
  <c r="R449" i="1" s="1"/>
  <c r="L448" i="1"/>
  <c r="R448" i="1" s="1"/>
  <c r="L447" i="1"/>
  <c r="R447" i="1" s="1"/>
  <c r="L446" i="1"/>
  <c r="R446" i="1" s="1"/>
  <c r="L445" i="1"/>
  <c r="R445" i="1" s="1"/>
  <c r="B451" i="1"/>
  <c r="B450" i="1"/>
  <c r="B449" i="1"/>
  <c r="B448" i="1"/>
  <c r="B447" i="1"/>
  <c r="B446" i="1"/>
  <c r="B445" i="1"/>
  <c r="L444" i="1"/>
  <c r="R444" i="1" s="1"/>
  <c r="L443" i="1"/>
  <c r="R443" i="1" s="1"/>
  <c r="L442" i="1"/>
  <c r="R442" i="1" s="1"/>
  <c r="B444" i="1"/>
  <c r="B443" i="1"/>
  <c r="B442" i="1"/>
  <c r="R441" i="1"/>
  <c r="L440" i="1"/>
  <c r="R440" i="1" s="1"/>
  <c r="L439" i="1"/>
  <c r="R439" i="1" s="1"/>
  <c r="L438" i="1"/>
  <c r="R438" i="1" s="1"/>
  <c r="B441" i="1"/>
  <c r="B440" i="1"/>
  <c r="B439" i="1"/>
  <c r="B438" i="1"/>
  <c r="R437" i="1"/>
  <c r="L436" i="1"/>
  <c r="R436" i="1" s="1"/>
  <c r="B437" i="1"/>
  <c r="B436" i="1"/>
  <c r="B435" i="1"/>
  <c r="B434" i="1"/>
  <c r="L435" i="1"/>
  <c r="R435" i="1" s="1"/>
  <c r="L434" i="1"/>
  <c r="R434" i="1" s="1"/>
  <c r="B433" i="1"/>
  <c r="R433" i="1"/>
  <c r="L432" i="1"/>
  <c r="R432" i="1" s="1"/>
  <c r="B432" i="1"/>
  <c r="B431" i="1"/>
  <c r="B430" i="1"/>
  <c r="B429" i="1"/>
  <c r="L431" i="1"/>
  <c r="R431" i="1" s="1"/>
  <c r="L430" i="1"/>
  <c r="R430" i="1" s="1"/>
  <c r="L429" i="1"/>
  <c r="R429" i="1" s="1"/>
  <c r="L428" i="1"/>
  <c r="R428" i="1" s="1"/>
  <c r="L427" i="1"/>
  <c r="R427" i="1" s="1"/>
  <c r="B428" i="1"/>
  <c r="B427" i="1"/>
  <c r="B426" i="1"/>
  <c r="B425" i="1"/>
  <c r="B424" i="1"/>
  <c r="B423" i="1"/>
  <c r="L426" i="1"/>
  <c r="R426" i="1" s="1"/>
  <c r="L425" i="1"/>
  <c r="R425" i="1" s="1"/>
  <c r="L424" i="1"/>
  <c r="R424" i="1" s="1"/>
  <c r="L423" i="1"/>
  <c r="R423" i="1" s="1"/>
  <c r="L422" i="1"/>
  <c r="R422" i="1" s="1"/>
  <c r="B422" i="1"/>
  <c r="B421" i="1"/>
  <c r="B420" i="1"/>
  <c r="L421" i="1"/>
  <c r="R421" i="1" s="1"/>
  <c r="L420" i="1"/>
  <c r="R420" i="1" s="1"/>
  <c r="L419" i="1"/>
  <c r="R419" i="1" s="1"/>
  <c r="L418" i="1"/>
  <c r="R418" i="1" s="1"/>
  <c r="L417" i="1"/>
  <c r="R417" i="1" s="1"/>
  <c r="B419" i="1"/>
  <c r="B418" i="1"/>
  <c r="B417" i="1"/>
  <c r="S392" i="1"/>
  <c r="S416" i="1"/>
  <c r="V416" i="1" s="1"/>
  <c r="S414" i="1"/>
  <c r="V414" i="1" s="1"/>
  <c r="S413" i="1"/>
  <c r="V413" i="1" s="1"/>
  <c r="S412" i="1"/>
  <c r="V412" i="1" s="1"/>
  <c r="S411" i="1"/>
  <c r="V411" i="1" s="1"/>
  <c r="S410" i="1"/>
  <c r="V410" i="1" s="1"/>
  <c r="S409" i="1"/>
  <c r="V409" i="1" s="1"/>
  <c r="S408" i="1"/>
  <c r="V408" i="1" s="1"/>
  <c r="S407" i="1"/>
  <c r="V407" i="1" s="1"/>
  <c r="S406" i="1"/>
  <c r="V406" i="1" s="1"/>
  <c r="S405" i="1"/>
  <c r="V405" i="1" s="1"/>
  <c r="S404" i="1"/>
  <c r="V404" i="1" s="1"/>
  <c r="S403" i="1"/>
  <c r="V403" i="1" s="1"/>
  <c r="S402" i="1"/>
  <c r="V402" i="1" s="1"/>
  <c r="S401" i="1"/>
  <c r="V401" i="1" s="1"/>
  <c r="S400" i="1"/>
  <c r="V400" i="1" s="1"/>
  <c r="S399" i="1"/>
  <c r="V399" i="1" s="1"/>
  <c r="S398" i="1"/>
  <c r="V398" i="1" s="1"/>
  <c r="S315" i="1"/>
  <c r="V315" i="1" s="1"/>
  <c r="L315" i="1"/>
  <c r="R315" i="1" s="1"/>
  <c r="B315" i="1"/>
  <c r="R406" i="1"/>
  <c r="R403" i="1"/>
  <c r="R416" i="1"/>
  <c r="L415" i="1"/>
  <c r="R415" i="1" s="1"/>
  <c r="L414" i="1"/>
  <c r="R414" i="1" s="1"/>
  <c r="B416" i="1"/>
  <c r="B415" i="1"/>
  <c r="B414" i="1"/>
  <c r="L413" i="1"/>
  <c r="R413" i="1" s="1"/>
  <c r="L412" i="1"/>
  <c r="R412" i="1" s="1"/>
  <c r="B413" i="1"/>
  <c r="B412" i="1"/>
  <c r="L411" i="1"/>
  <c r="R411" i="1" s="1"/>
  <c r="L410" i="1"/>
  <c r="R410" i="1" s="1"/>
  <c r="B411" i="1"/>
  <c r="B410" i="1"/>
  <c r="B409" i="1"/>
  <c r="B408" i="1"/>
  <c r="B407" i="1"/>
  <c r="L409" i="1"/>
  <c r="R409" i="1" s="1"/>
  <c r="L408" i="1"/>
  <c r="R408" i="1" s="1"/>
  <c r="L407" i="1"/>
  <c r="R407" i="1" s="1"/>
  <c r="L405" i="1"/>
  <c r="R405" i="1" s="1"/>
  <c r="L404" i="1"/>
  <c r="R404" i="1" s="1"/>
  <c r="B406" i="1"/>
  <c r="B405" i="1"/>
  <c r="B404" i="1"/>
  <c r="B403" i="1"/>
  <c r="B402" i="1"/>
  <c r="B401" i="1"/>
  <c r="B400" i="1"/>
  <c r="B399" i="1"/>
  <c r="L402" i="1"/>
  <c r="R402" i="1" s="1"/>
  <c r="L401" i="1"/>
  <c r="R401" i="1" s="1"/>
  <c r="L400" i="1"/>
  <c r="R400" i="1" s="1"/>
  <c r="L399" i="1"/>
  <c r="R399" i="1" s="1"/>
  <c r="L398" i="1"/>
  <c r="R398" i="1" s="1"/>
  <c r="B398" i="1"/>
  <c r="S397" i="1" l="1"/>
  <c r="V397" i="1" s="1"/>
  <c r="L397" i="1"/>
  <c r="R397" i="1" s="1"/>
  <c r="B397" i="1"/>
  <c r="X297" i="1" l="1"/>
  <c r="S396" i="1"/>
  <c r="V396" i="1" s="1"/>
  <c r="S395" i="1"/>
  <c r="V395" i="1" s="1"/>
  <c r="S394" i="1"/>
  <c r="V394" i="1" s="1"/>
  <c r="S393" i="1"/>
  <c r="V393" i="1" s="1"/>
  <c r="V392" i="1"/>
  <c r="S391" i="1"/>
  <c r="V391" i="1" s="1"/>
  <c r="S390" i="1"/>
  <c r="V390" i="1" s="1"/>
  <c r="S389" i="1"/>
  <c r="V389" i="1" s="1"/>
  <c r="S388" i="1"/>
  <c r="V388" i="1" s="1"/>
  <c r="S387" i="1"/>
  <c r="V387" i="1" s="1"/>
  <c r="S386" i="1"/>
  <c r="V386" i="1" s="1"/>
  <c r="S385" i="1"/>
  <c r="V385" i="1" s="1"/>
  <c r="L396" i="1"/>
  <c r="R396" i="1" s="1"/>
  <c r="L395" i="1"/>
  <c r="R395" i="1" s="1"/>
  <c r="B396" i="1"/>
  <c r="B395" i="1"/>
  <c r="B394" i="1"/>
  <c r="B393" i="1"/>
  <c r="B392" i="1"/>
  <c r="B391" i="1"/>
  <c r="B390" i="1"/>
  <c r="L394" i="1"/>
  <c r="R394" i="1" s="1"/>
  <c r="L393" i="1"/>
  <c r="R393" i="1" s="1"/>
  <c r="L392" i="1"/>
  <c r="R392" i="1" s="1"/>
  <c r="L391" i="1"/>
  <c r="R391" i="1" s="1"/>
  <c r="L390" i="1"/>
  <c r="R390" i="1" s="1"/>
  <c r="L389" i="1"/>
  <c r="R389" i="1" s="1"/>
  <c r="L388" i="1"/>
  <c r="R388" i="1" s="1"/>
  <c r="L387" i="1"/>
  <c r="R387" i="1" s="1"/>
  <c r="L386" i="1"/>
  <c r="R386" i="1" s="1"/>
  <c r="L385" i="1"/>
  <c r="R385" i="1" s="1"/>
  <c r="B389" i="1"/>
  <c r="B388" i="1"/>
  <c r="B387" i="1"/>
  <c r="B386" i="1"/>
  <c r="B385" i="1"/>
  <c r="S366" i="1"/>
  <c r="V366" i="1" s="1"/>
  <c r="S367" i="1"/>
  <c r="V367" i="1" s="1"/>
  <c r="S368" i="1"/>
  <c r="V368" i="1" s="1"/>
  <c r="S369" i="1"/>
  <c r="V369" i="1" s="1"/>
  <c r="S370" i="1"/>
  <c r="V370" i="1" s="1"/>
  <c r="S371" i="1"/>
  <c r="V371" i="1" s="1"/>
  <c r="S372" i="1"/>
  <c r="V372" i="1" s="1"/>
  <c r="S373" i="1"/>
  <c r="V373" i="1" s="1"/>
  <c r="S374" i="1"/>
  <c r="V374" i="1" s="1"/>
  <c r="S375" i="1"/>
  <c r="V375" i="1" s="1"/>
  <c r="S376" i="1"/>
  <c r="V376" i="1" s="1"/>
  <c r="S377" i="1"/>
  <c r="V377" i="1" s="1"/>
  <c r="S378" i="1"/>
  <c r="V378" i="1" s="1"/>
  <c r="S379" i="1"/>
  <c r="V379" i="1" s="1"/>
  <c r="S380" i="1"/>
  <c r="V380" i="1" s="1"/>
  <c r="S381" i="1"/>
  <c r="V381" i="1" s="1"/>
  <c r="S382" i="1"/>
  <c r="V382" i="1" s="1"/>
  <c r="S383" i="1"/>
  <c r="V383" i="1" s="1"/>
  <c r="S384" i="1"/>
  <c r="V384" i="1" s="1"/>
  <c r="S365" i="1"/>
  <c r="V365" i="1" s="1"/>
  <c r="S364" i="1"/>
  <c r="V364" i="1" s="1"/>
  <c r="S363" i="1"/>
  <c r="V363" i="1" s="1"/>
  <c r="S362" i="1"/>
  <c r="V362" i="1" s="1"/>
  <c r="S361" i="1"/>
  <c r="V361" i="1" s="1"/>
  <c r="S360" i="1"/>
  <c r="V360" i="1" s="1"/>
  <c r="S359" i="1"/>
  <c r="V359" i="1" s="1"/>
  <c r="S358" i="1"/>
  <c r="V358" i="1" s="1"/>
  <c r="S357" i="1"/>
  <c r="V357" i="1" s="1"/>
  <c r="S356" i="1"/>
  <c r="V356" i="1" s="1"/>
  <c r="S355" i="1"/>
  <c r="V355" i="1" s="1"/>
  <c r="S354" i="1"/>
  <c r="V354" i="1" s="1"/>
  <c r="S353" i="1"/>
  <c r="V353" i="1" s="1"/>
  <c r="S352" i="1"/>
  <c r="V352" i="1" s="1"/>
  <c r="S351" i="1"/>
  <c r="V351" i="1" s="1"/>
  <c r="S350" i="1"/>
  <c r="V350" i="1" s="1"/>
  <c r="S349" i="1"/>
  <c r="V349" i="1" s="1"/>
  <c r="S348" i="1"/>
  <c r="V348" i="1" s="1"/>
  <c r="S347" i="1"/>
  <c r="V347" i="1" s="1"/>
  <c r="S346" i="1"/>
  <c r="V346" i="1" s="1"/>
  <c r="S345" i="1"/>
  <c r="V345" i="1" s="1"/>
  <c r="S344" i="1"/>
  <c r="V344" i="1" s="1"/>
  <c r="S343" i="1"/>
  <c r="V343" i="1" s="1"/>
  <c r="S342" i="1"/>
  <c r="V342" i="1" s="1"/>
  <c r="S341" i="1"/>
  <c r="V341" i="1" s="1"/>
  <c r="S340" i="1"/>
  <c r="V340" i="1" s="1"/>
  <c r="S339" i="1"/>
  <c r="V339" i="1" s="1"/>
  <c r="S338" i="1"/>
  <c r="V338" i="1" s="1"/>
  <c r="S337" i="1"/>
  <c r="V337" i="1" s="1"/>
  <c r="S336" i="1"/>
  <c r="V336" i="1" s="1"/>
  <c r="S335" i="1"/>
  <c r="V335" i="1" s="1"/>
  <c r="S334" i="1"/>
  <c r="V334" i="1" s="1"/>
  <c r="S333" i="1"/>
  <c r="V333" i="1" s="1"/>
  <c r="S332" i="1"/>
  <c r="V332" i="1" s="1"/>
  <c r="S331" i="1"/>
  <c r="V331" i="1" s="1"/>
  <c r="S330" i="1"/>
  <c r="V330" i="1" s="1"/>
  <c r="S329" i="1"/>
  <c r="V329" i="1" s="1"/>
  <c r="S328" i="1"/>
  <c r="V328" i="1" s="1"/>
  <c r="S327" i="1"/>
  <c r="V327" i="1" s="1"/>
  <c r="S326" i="1"/>
  <c r="V326" i="1" s="1"/>
  <c r="S325" i="1"/>
  <c r="V325" i="1" s="1"/>
  <c r="S324" i="1"/>
  <c r="V324" i="1" s="1"/>
  <c r="S323" i="1"/>
  <c r="V323" i="1" s="1"/>
  <c r="S322" i="1"/>
  <c r="V322" i="1" s="1"/>
  <c r="S321" i="1"/>
  <c r="V321" i="1" s="1"/>
  <c r="S320" i="1"/>
  <c r="V320" i="1" s="1"/>
  <c r="S319" i="1"/>
  <c r="V319" i="1" s="1"/>
  <c r="S318" i="1"/>
  <c r="V318" i="1" s="1"/>
  <c r="S317" i="1"/>
  <c r="V317" i="1" s="1"/>
  <c r="S316" i="1"/>
  <c r="V316" i="1" s="1"/>
  <c r="S314" i="1"/>
  <c r="V314" i="1" s="1"/>
  <c r="S313" i="1"/>
  <c r="V313" i="1" s="1"/>
  <c r="S312" i="1"/>
  <c r="V312" i="1" s="1"/>
  <c r="S311" i="1"/>
  <c r="V311" i="1" s="1"/>
  <c r="B353" i="1"/>
  <c r="B352" i="1"/>
  <c r="B351" i="1"/>
  <c r="B341" i="1"/>
  <c r="B340" i="1"/>
  <c r="B338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0" i="1"/>
  <c r="B349" i="1"/>
  <c r="B348" i="1"/>
  <c r="B347" i="1"/>
  <c r="B346" i="1"/>
  <c r="B345" i="1"/>
  <c r="B344" i="1"/>
  <c r="B343" i="1"/>
  <c r="B342" i="1"/>
  <c r="B339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4" i="1"/>
  <c r="B313" i="1"/>
  <c r="B312" i="1"/>
  <c r="B311" i="1"/>
  <c r="S306" i="1" l="1"/>
  <c r="V306" i="1" s="1"/>
  <c r="S307" i="1"/>
  <c r="V307" i="1" s="1"/>
  <c r="S308" i="1"/>
  <c r="V308" i="1" s="1"/>
  <c r="S309" i="1"/>
  <c r="V309" i="1" s="1"/>
  <c r="S310" i="1"/>
  <c r="V310" i="1" s="1"/>
  <c r="L311" i="1"/>
  <c r="R311" i="1" s="1"/>
  <c r="L312" i="1"/>
  <c r="R312" i="1" s="1"/>
  <c r="R313" i="1"/>
  <c r="L314" i="1"/>
  <c r="R314" i="1" s="1"/>
  <c r="L316" i="1"/>
  <c r="R316" i="1" s="1"/>
  <c r="L317" i="1"/>
  <c r="R317" i="1" s="1"/>
  <c r="L318" i="1"/>
  <c r="R318" i="1" s="1"/>
  <c r="L319" i="1"/>
  <c r="R319" i="1" s="1"/>
  <c r="L320" i="1"/>
  <c r="R320" i="1" s="1"/>
  <c r="L321" i="1"/>
  <c r="R321" i="1" s="1"/>
  <c r="L322" i="1"/>
  <c r="R322" i="1" s="1"/>
  <c r="L323" i="1"/>
  <c r="R323" i="1" s="1"/>
  <c r="L324" i="1"/>
  <c r="R324" i="1" s="1"/>
  <c r="L325" i="1"/>
  <c r="R325" i="1" s="1"/>
  <c r="L326" i="1"/>
  <c r="R326" i="1" s="1"/>
  <c r="L327" i="1"/>
  <c r="R327" i="1" s="1"/>
  <c r="L328" i="1"/>
  <c r="R328" i="1" s="1"/>
  <c r="L329" i="1"/>
  <c r="R329" i="1" s="1"/>
  <c r="L330" i="1"/>
  <c r="R330" i="1" s="1"/>
  <c r="L331" i="1"/>
  <c r="R331" i="1" s="1"/>
  <c r="L332" i="1"/>
  <c r="R332" i="1" s="1"/>
  <c r="L333" i="1"/>
  <c r="R333" i="1" s="1"/>
  <c r="R334" i="1"/>
  <c r="L335" i="1"/>
  <c r="R335" i="1" s="1"/>
  <c r="L336" i="1"/>
  <c r="R336" i="1" s="1"/>
  <c r="L337" i="1"/>
  <c r="R337" i="1" s="1"/>
  <c r="L338" i="1"/>
  <c r="R338" i="1" s="1"/>
  <c r="R339" i="1"/>
  <c r="L340" i="1"/>
  <c r="R340" i="1" s="1"/>
  <c r="L341" i="1"/>
  <c r="R341" i="1" s="1"/>
  <c r="L342" i="1"/>
  <c r="R342" i="1" s="1"/>
  <c r="L343" i="1"/>
  <c r="R343" i="1" s="1"/>
  <c r="L344" i="1"/>
  <c r="R344" i="1" s="1"/>
  <c r="L345" i="1"/>
  <c r="R345" i="1" s="1"/>
  <c r="L346" i="1"/>
  <c r="R346" i="1" s="1"/>
  <c r="L347" i="1"/>
  <c r="R347" i="1" s="1"/>
  <c r="L348" i="1"/>
  <c r="R348" i="1" s="1"/>
  <c r="L349" i="1"/>
  <c r="R349" i="1" s="1"/>
  <c r="L350" i="1"/>
  <c r="R350" i="1" s="1"/>
  <c r="L351" i="1"/>
  <c r="R351" i="1" s="1"/>
  <c r="L352" i="1"/>
  <c r="R352" i="1" s="1"/>
  <c r="L353" i="1"/>
  <c r="R353" i="1" s="1"/>
  <c r="R354" i="1"/>
  <c r="L355" i="1"/>
  <c r="R355" i="1" s="1"/>
  <c r="L356" i="1"/>
  <c r="R356" i="1" s="1"/>
  <c r="L357" i="1"/>
  <c r="R357" i="1" s="1"/>
  <c r="R358" i="1"/>
  <c r="L359" i="1"/>
  <c r="R359" i="1" s="1"/>
  <c r="L360" i="1"/>
  <c r="R360" i="1" s="1"/>
  <c r="R361" i="1"/>
  <c r="L362" i="1"/>
  <c r="R362" i="1" s="1"/>
  <c r="L363" i="1"/>
  <c r="R363" i="1" s="1"/>
  <c r="L364" i="1"/>
  <c r="R364" i="1" s="1"/>
  <c r="L365" i="1"/>
  <c r="R365" i="1" s="1"/>
  <c r="R366" i="1"/>
  <c r="L367" i="1"/>
  <c r="R367" i="1" s="1"/>
  <c r="L368" i="1"/>
  <c r="R368" i="1" s="1"/>
  <c r="L369" i="1"/>
  <c r="R369" i="1" s="1"/>
  <c r="L370" i="1"/>
  <c r="R370" i="1" s="1"/>
  <c r="L371" i="1"/>
  <c r="R371" i="1" s="1"/>
  <c r="L372" i="1"/>
  <c r="R372" i="1" s="1"/>
  <c r="L373" i="1"/>
  <c r="R373" i="1" s="1"/>
  <c r="L374" i="1"/>
  <c r="R374" i="1" s="1"/>
  <c r="L375" i="1"/>
  <c r="R375" i="1" s="1"/>
  <c r="L376" i="1"/>
  <c r="R376" i="1" s="1"/>
  <c r="L377" i="1"/>
  <c r="R377" i="1" s="1"/>
  <c r="L378" i="1"/>
  <c r="R378" i="1" s="1"/>
  <c r="L379" i="1"/>
  <c r="R379" i="1" s="1"/>
  <c r="L380" i="1"/>
  <c r="R380" i="1" s="1"/>
  <c r="L381" i="1"/>
  <c r="R381" i="1" s="1"/>
  <c r="L382" i="1"/>
  <c r="R382" i="1" s="1"/>
  <c r="L383" i="1"/>
  <c r="R383" i="1" s="1"/>
  <c r="L384" i="1"/>
  <c r="R384" i="1" s="1"/>
  <c r="L310" i="1"/>
  <c r="R310" i="1" s="1"/>
  <c r="L309" i="1"/>
  <c r="R309" i="1" s="1"/>
  <c r="L308" i="1"/>
  <c r="R308" i="1" s="1"/>
  <c r="L307" i="1"/>
  <c r="R307" i="1" s="1"/>
  <c r="L306" i="1"/>
  <c r="R306" i="1" s="1"/>
  <c r="B310" i="1"/>
  <c r="B309" i="1"/>
  <c r="B308" i="1"/>
  <c r="B307" i="1"/>
  <c r="B306" i="1"/>
  <c r="L305" i="1"/>
  <c r="R305" i="1" s="1"/>
  <c r="L304" i="1"/>
  <c r="R304" i="1" s="1"/>
  <c r="B305" i="1"/>
  <c r="B304" i="1"/>
  <c r="L303" i="1"/>
  <c r="R303" i="1" s="1"/>
  <c r="L302" i="1"/>
  <c r="R302" i="1" s="1"/>
  <c r="B303" i="1"/>
  <c r="B302" i="1"/>
  <c r="S305" i="1"/>
  <c r="V305" i="1" s="1"/>
  <c r="S304" i="1"/>
  <c r="V304" i="1" s="1"/>
  <c r="S303" i="1"/>
  <c r="V303" i="1" s="1"/>
  <c r="S302" i="1"/>
  <c r="V302" i="1" s="1"/>
  <c r="S301" i="1"/>
  <c r="V301" i="1" s="1"/>
  <c r="S300" i="1"/>
  <c r="V300" i="1" s="1"/>
  <c r="L301" i="1"/>
  <c r="R301" i="1" s="1"/>
  <c r="L300" i="1"/>
  <c r="R300" i="1" s="1"/>
  <c r="B301" i="1"/>
  <c r="B300" i="1"/>
  <c r="S299" i="1"/>
  <c r="V299" i="1" s="1"/>
  <c r="S298" i="1"/>
  <c r="V298" i="1" s="1"/>
  <c r="L299" i="1"/>
  <c r="R299" i="1" s="1"/>
  <c r="L298" i="1"/>
  <c r="R298" i="1" s="1"/>
  <c r="L297" i="1"/>
  <c r="R297" i="1" s="1"/>
  <c r="B299" i="1"/>
  <c r="B298" i="1"/>
  <c r="B297" i="1"/>
  <c r="S297" i="1"/>
  <c r="V297" i="1" s="1"/>
  <c r="S296" i="1"/>
  <c r="V296" i="1" s="1"/>
  <c r="S295" i="1"/>
  <c r="V295" i="1" s="1"/>
  <c r="L295" i="1"/>
  <c r="R295" i="1" s="1"/>
  <c r="L296" i="1"/>
  <c r="R296" i="1" s="1"/>
  <c r="B296" i="1"/>
  <c r="B295" i="1"/>
  <c r="S294" i="1"/>
  <c r="V294" i="1" s="1"/>
  <c r="S293" i="1"/>
  <c r="V293" i="1" s="1"/>
  <c r="L294" i="1"/>
  <c r="R294" i="1" s="1"/>
  <c r="L293" i="1"/>
  <c r="R293" i="1" s="1"/>
  <c r="B294" i="1"/>
  <c r="B293" i="1"/>
  <c r="S292" i="1"/>
  <c r="V292" i="1" s="1"/>
  <c r="L292" i="1"/>
  <c r="R292" i="1" s="1"/>
  <c r="B292" i="1"/>
  <c r="S291" i="1"/>
  <c r="V291" i="1" s="1"/>
  <c r="S290" i="1"/>
  <c r="V290" i="1" s="1"/>
  <c r="L291" i="1"/>
  <c r="R291" i="1" s="1"/>
  <c r="L290" i="1"/>
  <c r="R290" i="1" s="1"/>
  <c r="B291" i="1"/>
  <c r="B290" i="1"/>
  <c r="S289" i="1"/>
  <c r="V289" i="1" s="1"/>
  <c r="S288" i="1"/>
  <c r="V288" i="1" s="1"/>
  <c r="L289" i="1"/>
  <c r="R289" i="1" s="1"/>
  <c r="L288" i="1"/>
  <c r="R288" i="1" s="1"/>
  <c r="B289" i="1"/>
  <c r="B288" i="1"/>
  <c r="S278" i="1"/>
  <c r="V278" i="1" s="1"/>
  <c r="S277" i="1"/>
  <c r="V277" i="1" s="1"/>
  <c r="L278" i="1"/>
  <c r="R278" i="1" s="1"/>
  <c r="B278" i="1"/>
  <c r="L277" i="1"/>
  <c r="R277" i="1" s="1"/>
  <c r="B277" i="1"/>
  <c r="S287" i="1"/>
  <c r="V287" i="1" s="1"/>
  <c r="S286" i="1"/>
  <c r="V286" i="1" s="1"/>
  <c r="S285" i="1"/>
  <c r="V285" i="1" s="1"/>
  <c r="S284" i="1"/>
  <c r="V284" i="1" s="1"/>
  <c r="S283" i="1"/>
  <c r="V283" i="1" s="1"/>
  <c r="S282" i="1"/>
  <c r="V282" i="1" s="1"/>
  <c r="S281" i="1"/>
  <c r="V281" i="1" s="1"/>
  <c r="S280" i="1"/>
  <c r="V280" i="1" s="1"/>
  <c r="S279" i="1"/>
  <c r="V279" i="1" s="1"/>
  <c r="S276" i="1"/>
  <c r="V276" i="1" s="1"/>
  <c r="S275" i="1"/>
  <c r="V275" i="1" s="1"/>
  <c r="S274" i="1"/>
  <c r="V274" i="1" s="1"/>
  <c r="S273" i="1"/>
  <c r="V273" i="1" s="1"/>
  <c r="S272" i="1"/>
  <c r="V272" i="1" s="1"/>
  <c r="S271" i="1"/>
  <c r="V271" i="1" s="1"/>
  <c r="S270" i="1"/>
  <c r="V270" i="1" s="1"/>
  <c r="S269" i="1"/>
  <c r="V269" i="1" s="1"/>
  <c r="S267" i="1"/>
  <c r="V267" i="1" s="1"/>
  <c r="S266" i="1"/>
  <c r="V266" i="1" s="1"/>
  <c r="S265" i="1"/>
  <c r="V265" i="1" s="1"/>
  <c r="S264" i="1"/>
  <c r="V264" i="1" s="1"/>
  <c r="S263" i="1"/>
  <c r="V263" i="1" s="1"/>
  <c r="S248" i="1"/>
  <c r="V248" i="1" s="1"/>
  <c r="L248" i="1"/>
  <c r="R248" i="1" s="1"/>
  <c r="B248" i="1"/>
  <c r="S190" i="1"/>
  <c r="V190" i="1" s="1"/>
  <c r="L190" i="1"/>
  <c r="R190" i="1" s="1"/>
  <c r="B190" i="1"/>
  <c r="L287" i="1"/>
  <c r="R287" i="1" s="1"/>
  <c r="B287" i="1"/>
  <c r="L286" i="1"/>
  <c r="R286" i="1" s="1"/>
  <c r="L285" i="1"/>
  <c r="R285" i="1" s="1"/>
  <c r="B286" i="1"/>
  <c r="B285" i="1"/>
  <c r="L284" i="1"/>
  <c r="R284" i="1" s="1"/>
  <c r="B284" i="1"/>
  <c r="L283" i="1"/>
  <c r="R283" i="1" s="1"/>
  <c r="B283" i="1"/>
  <c r="L282" i="1"/>
  <c r="R282" i="1" s="1"/>
  <c r="L281" i="1"/>
  <c r="R281" i="1" s="1"/>
  <c r="B282" i="1"/>
  <c r="B281" i="1"/>
  <c r="L280" i="1"/>
  <c r="R280" i="1" s="1"/>
  <c r="L279" i="1"/>
  <c r="R279" i="1" s="1"/>
  <c r="B280" i="1"/>
  <c r="B279" i="1"/>
  <c r="L276" i="1"/>
  <c r="R276" i="1" s="1"/>
  <c r="L275" i="1"/>
  <c r="R275" i="1" s="1"/>
  <c r="B276" i="1"/>
  <c r="B275" i="1"/>
  <c r="L274" i="1"/>
  <c r="R274" i="1" s="1"/>
  <c r="B274" i="1"/>
  <c r="L273" i="1"/>
  <c r="R273" i="1" s="1"/>
  <c r="L272" i="1"/>
  <c r="R272" i="1" s="1"/>
  <c r="L271" i="1"/>
  <c r="R271" i="1" s="1"/>
  <c r="L270" i="1"/>
  <c r="R270" i="1" s="1"/>
  <c r="B273" i="1"/>
  <c r="B272" i="1"/>
  <c r="B271" i="1"/>
  <c r="B270" i="1"/>
  <c r="B269" i="1"/>
  <c r="L269" i="1"/>
  <c r="R269" i="1" s="1"/>
  <c r="L267" i="1"/>
  <c r="R267" i="1" s="1"/>
  <c r="L266" i="1"/>
  <c r="R266" i="1" s="1"/>
  <c r="L265" i="1"/>
  <c r="R265" i="1" s="1"/>
  <c r="B268" i="1"/>
  <c r="B267" i="1"/>
  <c r="B266" i="1"/>
  <c r="B265" i="1"/>
  <c r="L264" i="1"/>
  <c r="R264" i="1" s="1"/>
  <c r="L263" i="1"/>
  <c r="R263" i="1" s="1"/>
  <c r="B264" i="1"/>
  <c r="B263" i="1"/>
  <c r="S262" i="1"/>
  <c r="V262" i="1" s="1"/>
  <c r="S261" i="1"/>
  <c r="V261" i="1" s="1"/>
  <c r="S260" i="1"/>
  <c r="V260" i="1" s="1"/>
  <c r="S259" i="1"/>
  <c r="V259" i="1" s="1"/>
  <c r="S258" i="1"/>
  <c r="V258" i="1" s="1"/>
  <c r="S257" i="1"/>
  <c r="V257" i="1" s="1"/>
  <c r="R262" i="1"/>
  <c r="L261" i="1"/>
  <c r="R261" i="1" s="1"/>
  <c r="L260" i="1"/>
  <c r="R260" i="1" s="1"/>
  <c r="B262" i="1"/>
  <c r="B261" i="1"/>
  <c r="B260" i="1"/>
  <c r="L259" i="1"/>
  <c r="R259" i="1" s="1"/>
  <c r="L258" i="1"/>
  <c r="R258" i="1" s="1"/>
  <c r="B259" i="1"/>
  <c r="B258" i="1"/>
  <c r="R257" i="1"/>
  <c r="B257" i="1"/>
  <c r="L256" i="1"/>
  <c r="R256" i="1" s="1"/>
  <c r="L255" i="1"/>
  <c r="R255" i="1" s="1"/>
  <c r="B256" i="1"/>
  <c r="B255" i="1"/>
  <c r="S256" i="1"/>
  <c r="V256" i="1" s="1"/>
  <c r="S255" i="1"/>
  <c r="V255" i="1" s="1"/>
  <c r="S254" i="1"/>
  <c r="V254" i="1" s="1"/>
  <c r="S253" i="1"/>
  <c r="V253" i="1" s="1"/>
  <c r="L254" i="1"/>
  <c r="R254" i="1" s="1"/>
  <c r="L253" i="1"/>
  <c r="R253" i="1" s="1"/>
  <c r="B254" i="1"/>
  <c r="B253" i="1"/>
  <c r="S252" i="1"/>
  <c r="V252" i="1" s="1"/>
  <c r="S251" i="1"/>
  <c r="V251" i="1" s="1"/>
  <c r="S250" i="1"/>
  <c r="V250" i="1" s="1"/>
  <c r="S249" i="1"/>
  <c r="V249" i="1" s="1"/>
  <c r="L252" i="1"/>
  <c r="R252" i="1" s="1"/>
  <c r="L251" i="1"/>
  <c r="R251" i="1" s="1"/>
  <c r="B252" i="1"/>
  <c r="B251" i="1"/>
  <c r="L250" i="1"/>
  <c r="R250" i="1" s="1"/>
  <c r="L249" i="1"/>
  <c r="R249" i="1" s="1"/>
  <c r="B250" i="1"/>
  <c r="B249" i="1"/>
  <c r="S247" i="1"/>
  <c r="V247" i="1" s="1"/>
  <c r="S246" i="1"/>
  <c r="V246" i="1" s="1"/>
  <c r="L247" i="1"/>
  <c r="R247" i="1" s="1"/>
  <c r="L246" i="1"/>
  <c r="R246" i="1" s="1"/>
  <c r="B247" i="1"/>
  <c r="B246" i="1"/>
  <c r="S245" i="1"/>
  <c r="V245" i="1" s="1"/>
  <c r="S244" i="1"/>
  <c r="V244" i="1" s="1"/>
  <c r="L245" i="1"/>
  <c r="R245" i="1" s="1"/>
  <c r="L244" i="1"/>
  <c r="R244" i="1" s="1"/>
  <c r="B245" i="1"/>
  <c r="B244" i="1"/>
  <c r="S243" i="1"/>
  <c r="V243" i="1" s="1"/>
  <c r="S242" i="1"/>
  <c r="V242" i="1" s="1"/>
  <c r="L243" i="1"/>
  <c r="R243" i="1" s="1"/>
  <c r="L242" i="1"/>
  <c r="R242" i="1" s="1"/>
  <c r="B243" i="1"/>
  <c r="B242" i="1"/>
  <c r="S241" i="1"/>
  <c r="V241" i="1" s="1"/>
  <c r="S240" i="1"/>
  <c r="V240" i="1" s="1"/>
  <c r="S239" i="1"/>
  <c r="V239" i="1" s="1"/>
  <c r="S238" i="1"/>
  <c r="V238" i="1" s="1"/>
  <c r="S237" i="1"/>
  <c r="V237" i="1" s="1"/>
  <c r="S236" i="1"/>
  <c r="V236" i="1" s="1"/>
  <c r="S235" i="1"/>
  <c r="V235" i="1" s="1"/>
  <c r="B241" i="1"/>
  <c r="B240" i="1"/>
  <c r="B239" i="1"/>
  <c r="R241" i="1"/>
  <c r="L240" i="1"/>
  <c r="R240" i="1" s="1"/>
  <c r="L239" i="1"/>
  <c r="R239" i="1" s="1"/>
  <c r="L238" i="1"/>
  <c r="R238" i="1" s="1"/>
  <c r="B238" i="1"/>
  <c r="L237" i="1"/>
  <c r="R237" i="1" s="1"/>
  <c r="L236" i="1"/>
  <c r="R236" i="1" s="1"/>
  <c r="L235" i="1"/>
  <c r="R235" i="1" s="1"/>
  <c r="B237" i="1"/>
  <c r="B236" i="1"/>
  <c r="B235" i="1"/>
  <c r="S234" i="1"/>
  <c r="V234" i="1" s="1"/>
  <c r="S233" i="1"/>
  <c r="V233" i="1" s="1"/>
  <c r="B234" i="1"/>
  <c r="B233" i="1"/>
  <c r="L234" i="1"/>
  <c r="R234" i="1" s="1"/>
  <c r="L233" i="1"/>
  <c r="R233" i="1" s="1"/>
  <c r="S231" i="1"/>
  <c r="V231" i="1" s="1"/>
  <c r="S232" i="1"/>
  <c r="V232" i="1" s="1"/>
  <c r="B232" i="1"/>
  <c r="B231" i="1"/>
  <c r="L232" i="1"/>
  <c r="R232" i="1" s="1"/>
  <c r="L231" i="1"/>
  <c r="R231" i="1" s="1"/>
  <c r="L230" i="1" l="1"/>
  <c r="R230" i="1" s="1"/>
  <c r="B230" i="1"/>
  <c r="S230" i="1"/>
  <c r="V230" i="1" s="1"/>
  <c r="S229" i="1"/>
  <c r="V229" i="1" s="1"/>
  <c r="S228" i="1"/>
  <c r="V228" i="1" s="1"/>
  <c r="S227" i="1"/>
  <c r="V227" i="1" s="1"/>
  <c r="L229" i="1"/>
  <c r="R229" i="1" s="1"/>
  <c r="L228" i="1"/>
  <c r="R228" i="1" s="1"/>
  <c r="L227" i="1"/>
  <c r="R227" i="1" s="1"/>
  <c r="B229" i="1"/>
  <c r="B228" i="1"/>
  <c r="B227" i="1"/>
  <c r="S226" i="1"/>
  <c r="V226" i="1" s="1"/>
  <c r="S225" i="1"/>
  <c r="V225" i="1" s="1"/>
  <c r="L226" i="1"/>
  <c r="R226" i="1" s="1"/>
  <c r="L225" i="1"/>
  <c r="R225" i="1" s="1"/>
  <c r="B226" i="1"/>
  <c r="B225" i="1"/>
  <c r="S224" i="1"/>
  <c r="V224" i="1" s="1"/>
  <c r="S223" i="1"/>
  <c r="V223" i="1" s="1"/>
  <c r="L224" i="1"/>
  <c r="R224" i="1" s="1"/>
  <c r="L223" i="1"/>
  <c r="R223" i="1" s="1"/>
  <c r="B224" i="1"/>
  <c r="B223" i="1"/>
  <c r="S222" i="1"/>
  <c r="V222" i="1" s="1"/>
  <c r="L222" i="1"/>
  <c r="R222" i="1" s="1"/>
  <c r="B222" i="1"/>
  <c r="S221" i="1"/>
  <c r="V221" i="1" s="1"/>
  <c r="L221" i="1"/>
  <c r="R221" i="1" s="1"/>
  <c r="B221" i="1"/>
  <c r="S220" i="1"/>
  <c r="V220" i="1" s="1"/>
  <c r="S219" i="1"/>
  <c r="V219" i="1" s="1"/>
  <c r="L220" i="1"/>
  <c r="R220" i="1" s="1"/>
  <c r="L219" i="1"/>
  <c r="R219" i="1" s="1"/>
  <c r="B220" i="1"/>
  <c r="B219" i="1"/>
  <c r="L218" i="1"/>
  <c r="R218" i="1" s="1"/>
  <c r="B218" i="1"/>
  <c r="L217" i="1"/>
  <c r="R217" i="1" s="1"/>
  <c r="L216" i="1"/>
  <c r="R216" i="1" s="1"/>
  <c r="B217" i="1"/>
  <c r="B216" i="1"/>
  <c r="S218" i="1"/>
  <c r="V218" i="1" s="1"/>
  <c r="S217" i="1"/>
  <c r="V217" i="1" s="1"/>
  <c r="S216" i="1"/>
  <c r="V216" i="1" s="1"/>
  <c r="S215" i="1"/>
  <c r="V215" i="1" s="1"/>
  <c r="S214" i="1"/>
  <c r="V214" i="1" s="1"/>
  <c r="L215" i="1"/>
  <c r="R215" i="1" s="1"/>
  <c r="L214" i="1"/>
  <c r="R214" i="1" s="1"/>
  <c r="B215" i="1"/>
  <c r="B214" i="1"/>
  <c r="S213" i="1"/>
  <c r="V213" i="1" s="1"/>
  <c r="L213" i="1"/>
  <c r="R213" i="1" s="1"/>
  <c r="B213" i="1"/>
  <c r="H56" i="7" l="1"/>
  <c r="C56" i="7"/>
  <c r="H53" i="7"/>
  <c r="S169" i="1"/>
  <c r="S212" i="1"/>
  <c r="V212" i="1" s="1"/>
  <c r="S211" i="1"/>
  <c r="V211" i="1" s="1"/>
  <c r="S210" i="1"/>
  <c r="V210" i="1" s="1"/>
  <c r="S209" i="1"/>
  <c r="V209" i="1" s="1"/>
  <c r="S208" i="1"/>
  <c r="V208" i="1" s="1"/>
  <c r="S207" i="1"/>
  <c r="V207" i="1" s="1"/>
  <c r="S206" i="1"/>
  <c r="V206" i="1" s="1"/>
  <c r="S205" i="1"/>
  <c r="V205" i="1" s="1"/>
  <c r="S204" i="1"/>
  <c r="V204" i="1" s="1"/>
  <c r="S203" i="1"/>
  <c r="V203" i="1" s="1"/>
  <c r="S202" i="1"/>
  <c r="V202" i="1" s="1"/>
  <c r="S201" i="1"/>
  <c r="V201" i="1" s="1"/>
  <c r="S200" i="1"/>
  <c r="V200" i="1" s="1"/>
  <c r="S199" i="1"/>
  <c r="V199" i="1" s="1"/>
  <c r="S198" i="1"/>
  <c r="V198" i="1" s="1"/>
  <c r="S197" i="1"/>
  <c r="V197" i="1" s="1"/>
  <c r="S196" i="1"/>
  <c r="V196" i="1" s="1"/>
  <c r="S195" i="1"/>
  <c r="V195" i="1" s="1"/>
  <c r="S194" i="1"/>
  <c r="V194" i="1" s="1"/>
  <c r="S193" i="1"/>
  <c r="V193" i="1" s="1"/>
  <c r="S192" i="1"/>
  <c r="V192" i="1" s="1"/>
  <c r="S191" i="1"/>
  <c r="V191" i="1" s="1"/>
  <c r="S189" i="1"/>
  <c r="V189" i="1" s="1"/>
  <c r="S188" i="1"/>
  <c r="V188" i="1" s="1"/>
  <c r="S187" i="1"/>
  <c r="V187" i="1" s="1"/>
  <c r="S186" i="1"/>
  <c r="V186" i="1" s="1"/>
  <c r="S185" i="1"/>
  <c r="V185" i="1" s="1"/>
  <c r="S184" i="1"/>
  <c r="V184" i="1" s="1"/>
  <c r="S183" i="1"/>
  <c r="V183" i="1" s="1"/>
  <c r="S182" i="1"/>
  <c r="V182" i="1" s="1"/>
  <c r="S181" i="1"/>
  <c r="V181" i="1" s="1"/>
  <c r="S180" i="1"/>
  <c r="V180" i="1" s="1"/>
  <c r="S179" i="1"/>
  <c r="V179" i="1" s="1"/>
  <c r="S178" i="1"/>
  <c r="V178" i="1" s="1"/>
  <c r="S177" i="1"/>
  <c r="V177" i="1" s="1"/>
  <c r="S176" i="1"/>
  <c r="V176" i="1" s="1"/>
  <c r="S175" i="1"/>
  <c r="V175" i="1" s="1"/>
  <c r="S174" i="1"/>
  <c r="V174" i="1" s="1"/>
  <c r="S173" i="1"/>
  <c r="V173" i="1" s="1"/>
  <c r="S172" i="1"/>
  <c r="V172" i="1" s="1"/>
  <c r="L212" i="1"/>
  <c r="R212" i="1" s="1"/>
  <c r="L211" i="1"/>
  <c r="R211" i="1" s="1"/>
  <c r="R210" i="1"/>
  <c r="B212" i="1"/>
  <c r="B211" i="1"/>
  <c r="L209" i="1"/>
  <c r="R209" i="1" s="1"/>
  <c r="L208" i="1"/>
  <c r="R208" i="1" s="1"/>
  <c r="B210" i="1"/>
  <c r="B209" i="1"/>
  <c r="B208" i="1"/>
  <c r="L207" i="1"/>
  <c r="R207" i="1" s="1"/>
  <c r="L206" i="1"/>
  <c r="R206" i="1" s="1"/>
  <c r="B207" i="1"/>
  <c r="B206" i="1"/>
  <c r="R205" i="1"/>
  <c r="L204" i="1"/>
  <c r="R204" i="1" s="1"/>
  <c r="L203" i="1"/>
  <c r="R203" i="1" s="1"/>
  <c r="B205" i="1"/>
  <c r="B204" i="1"/>
  <c r="B203" i="1"/>
  <c r="L202" i="1"/>
  <c r="R202" i="1" s="1"/>
  <c r="L201" i="1"/>
  <c r="R201" i="1" s="1"/>
  <c r="L200" i="1"/>
  <c r="R200" i="1" s="1"/>
  <c r="B202" i="1"/>
  <c r="B201" i="1"/>
  <c r="B200" i="1"/>
  <c r="L199" i="1"/>
  <c r="R199" i="1" s="1"/>
  <c r="B199" i="1"/>
  <c r="L198" i="1"/>
  <c r="R198" i="1" s="1"/>
  <c r="L197" i="1"/>
  <c r="R197" i="1" s="1"/>
  <c r="B198" i="1"/>
  <c r="B197" i="1"/>
  <c r="L196" i="1"/>
  <c r="R196" i="1" s="1"/>
  <c r="L195" i="1"/>
  <c r="R195" i="1" s="1"/>
  <c r="B196" i="1"/>
  <c r="B195" i="1"/>
  <c r="L194" i="1"/>
  <c r="R194" i="1" s="1"/>
  <c r="L193" i="1"/>
  <c r="R193" i="1" s="1"/>
  <c r="B194" i="1"/>
  <c r="B193" i="1"/>
  <c r="L192" i="1"/>
  <c r="R192" i="1" s="1"/>
  <c r="L191" i="1"/>
  <c r="R191" i="1" s="1"/>
  <c r="B192" i="1"/>
  <c r="B191" i="1"/>
  <c r="L189" i="1"/>
  <c r="R189" i="1" s="1"/>
  <c r="L188" i="1"/>
  <c r="R188" i="1" s="1"/>
  <c r="L187" i="1"/>
  <c r="R187" i="1" s="1"/>
  <c r="L186" i="1"/>
  <c r="R186" i="1" s="1"/>
  <c r="B189" i="1"/>
  <c r="B188" i="1"/>
  <c r="B187" i="1"/>
  <c r="B186" i="1"/>
  <c r="L185" i="1"/>
  <c r="R185" i="1" s="1"/>
  <c r="B185" i="1"/>
  <c r="B184" i="1"/>
  <c r="L184" i="1"/>
  <c r="R184" i="1" s="1"/>
  <c r="L183" i="1"/>
  <c r="R183" i="1" s="1"/>
  <c r="L182" i="1"/>
  <c r="R182" i="1" s="1"/>
  <c r="L181" i="1"/>
  <c r="R181" i="1" s="1"/>
  <c r="B183" i="1"/>
  <c r="B182" i="1"/>
  <c r="B181" i="1"/>
  <c r="L180" i="1"/>
  <c r="R180" i="1" s="1"/>
  <c r="L179" i="1"/>
  <c r="R179" i="1" s="1"/>
  <c r="L178" i="1"/>
  <c r="R178" i="1" s="1"/>
  <c r="B180" i="1"/>
  <c r="B179" i="1"/>
  <c r="B178" i="1"/>
  <c r="L177" i="1"/>
  <c r="R177" i="1" s="1"/>
  <c r="L176" i="1"/>
  <c r="R176" i="1" s="1"/>
  <c r="B177" i="1"/>
  <c r="B176" i="1"/>
  <c r="L175" i="1"/>
  <c r="R175" i="1" s="1"/>
  <c r="L174" i="1"/>
  <c r="R174" i="1" s="1"/>
  <c r="B175" i="1"/>
  <c r="B174" i="1"/>
  <c r="L173" i="1"/>
  <c r="R173" i="1" s="1"/>
  <c r="L172" i="1"/>
  <c r="R172" i="1" s="1"/>
  <c r="L171" i="1"/>
  <c r="B173" i="1"/>
  <c r="B172" i="1"/>
  <c r="R171" i="1" l="1"/>
  <c r="B171" i="1"/>
  <c r="L170" i="1"/>
  <c r="R170" i="1" s="1"/>
  <c r="L169" i="1"/>
  <c r="R169" i="1" s="1"/>
  <c r="B170" i="1"/>
  <c r="B169" i="1"/>
  <c r="L168" i="1"/>
  <c r="R168" i="1" s="1"/>
  <c r="L167" i="1"/>
  <c r="R167" i="1" s="1"/>
  <c r="B168" i="1"/>
  <c r="B167" i="1"/>
  <c r="L166" i="1"/>
  <c r="R166" i="1" s="1"/>
  <c r="L165" i="1"/>
  <c r="R165" i="1" s="1"/>
  <c r="B166" i="1"/>
  <c r="B165" i="1"/>
  <c r="L164" i="1"/>
  <c r="R164" i="1" s="1"/>
  <c r="B164" i="1"/>
  <c r="L163" i="1"/>
  <c r="R163" i="1" s="1"/>
  <c r="L162" i="1"/>
  <c r="R162" i="1" s="1"/>
  <c r="L161" i="1"/>
  <c r="R161" i="1" s="1"/>
  <c r="L160" i="1"/>
  <c r="R160" i="1" s="1"/>
  <c r="B163" i="1"/>
  <c r="B162" i="1"/>
  <c r="B161" i="1"/>
  <c r="B160" i="1"/>
  <c r="L159" i="1"/>
  <c r="R159" i="1" s="1"/>
  <c r="L158" i="1"/>
  <c r="R158" i="1" s="1"/>
  <c r="B159" i="1"/>
  <c r="B158" i="1"/>
  <c r="L157" i="1"/>
  <c r="R157" i="1" s="1"/>
  <c r="L156" i="1"/>
  <c r="R156" i="1" s="1"/>
  <c r="B157" i="1"/>
  <c r="B156" i="1"/>
  <c r="B155" i="1"/>
  <c r="L155" i="1"/>
  <c r="R155" i="1" s="1"/>
  <c r="L154" i="1"/>
  <c r="R154" i="1" s="1"/>
  <c r="L153" i="1"/>
  <c r="R153" i="1" s="1"/>
  <c r="B154" i="1"/>
  <c r="B153" i="1"/>
  <c r="L152" i="1"/>
  <c r="R152" i="1" s="1"/>
  <c r="L151" i="1"/>
  <c r="R151" i="1" s="1"/>
  <c r="B152" i="1"/>
  <c r="B151" i="1"/>
  <c r="L150" i="1"/>
  <c r="R150" i="1" s="1"/>
  <c r="L149" i="1"/>
  <c r="R149" i="1" s="1"/>
  <c r="B150" i="1"/>
  <c r="B149" i="1"/>
  <c r="L148" i="1"/>
  <c r="R148" i="1" s="1"/>
  <c r="L147" i="1"/>
  <c r="R147" i="1" s="1"/>
  <c r="B148" i="1"/>
  <c r="B147" i="1"/>
  <c r="L146" i="1"/>
  <c r="R146" i="1" s="1"/>
  <c r="B146" i="1"/>
  <c r="L145" i="1"/>
  <c r="R145" i="1" s="1"/>
  <c r="B145" i="1"/>
  <c r="L143" i="1"/>
  <c r="R143" i="1" s="1"/>
  <c r="L142" i="1"/>
  <c r="R142" i="1" s="1"/>
  <c r="L141" i="1"/>
  <c r="R141" i="1" s="1"/>
  <c r="L140" i="1"/>
  <c r="R140" i="1" s="1"/>
  <c r="B144" i="1"/>
  <c r="B143" i="1"/>
  <c r="B142" i="1"/>
  <c r="B141" i="1"/>
  <c r="B140" i="1"/>
  <c r="L139" i="1"/>
  <c r="R139" i="1" s="1"/>
  <c r="L138" i="1"/>
  <c r="R138" i="1" s="1"/>
  <c r="B139" i="1"/>
  <c r="B138" i="1"/>
  <c r="L137" i="1"/>
  <c r="R137" i="1" s="1"/>
  <c r="B137" i="1"/>
  <c r="R136" i="1"/>
  <c r="L135" i="1"/>
  <c r="R135" i="1" s="1"/>
  <c r="L134" i="1"/>
  <c r="R134" i="1" s="1"/>
  <c r="B136" i="1"/>
  <c r="B135" i="1"/>
  <c r="B134" i="1"/>
  <c r="L133" i="1"/>
  <c r="R133" i="1" s="1"/>
  <c r="B133" i="1"/>
  <c r="L132" i="1"/>
  <c r="R132" i="1" s="1"/>
  <c r="L131" i="1"/>
  <c r="R131" i="1" s="1"/>
  <c r="L130" i="1"/>
  <c r="R130" i="1" s="1"/>
  <c r="L129" i="1"/>
  <c r="R129" i="1" s="1"/>
  <c r="B132" i="1"/>
  <c r="B131" i="1"/>
  <c r="B130" i="1"/>
  <c r="B129" i="1"/>
  <c r="L128" i="1"/>
  <c r="R128" i="1" s="1"/>
  <c r="B128" i="1"/>
  <c r="L127" i="1"/>
  <c r="R127" i="1" s="1"/>
  <c r="L126" i="1"/>
  <c r="R126" i="1" s="1"/>
  <c r="L125" i="1"/>
  <c r="R125" i="1" s="1"/>
  <c r="B127" i="1"/>
  <c r="B126" i="1"/>
  <c r="B125" i="1"/>
  <c r="S171" i="1" l="1"/>
  <c r="V171" i="1" s="1"/>
  <c r="S151" i="1"/>
  <c r="V151" i="1" s="1"/>
  <c r="S152" i="1"/>
  <c r="V152" i="1" s="1"/>
  <c r="S153" i="1"/>
  <c r="V153" i="1" s="1"/>
  <c r="S154" i="1"/>
  <c r="V154" i="1" s="1"/>
  <c r="S155" i="1"/>
  <c r="V155" i="1" s="1"/>
  <c r="S156" i="1"/>
  <c r="V156" i="1" s="1"/>
  <c r="S157" i="1"/>
  <c r="V157" i="1" s="1"/>
  <c r="S158" i="1"/>
  <c r="V158" i="1" s="1"/>
  <c r="S159" i="1"/>
  <c r="V159" i="1" s="1"/>
  <c r="S160" i="1"/>
  <c r="V160" i="1" s="1"/>
  <c r="S161" i="1"/>
  <c r="V161" i="1" s="1"/>
  <c r="S162" i="1"/>
  <c r="V162" i="1" s="1"/>
  <c r="S163" i="1"/>
  <c r="V163" i="1" s="1"/>
  <c r="S164" i="1"/>
  <c r="V164" i="1" s="1"/>
  <c r="S165" i="1"/>
  <c r="V165" i="1" s="1"/>
  <c r="S166" i="1"/>
  <c r="V166" i="1" s="1"/>
  <c r="S167" i="1"/>
  <c r="V167" i="1" s="1"/>
  <c r="S168" i="1"/>
  <c r="V168" i="1" s="1"/>
  <c r="V169" i="1"/>
  <c r="S170" i="1"/>
  <c r="V170" i="1" s="1"/>
  <c r="S149" i="1"/>
  <c r="V149" i="1" s="1"/>
  <c r="S150" i="1"/>
  <c r="V150" i="1" s="1"/>
  <c r="S125" i="1"/>
  <c r="V125" i="1" s="1"/>
  <c r="S126" i="1"/>
  <c r="V126" i="1" s="1"/>
  <c r="S127" i="1"/>
  <c r="V127" i="1" s="1"/>
  <c r="S128" i="1"/>
  <c r="V128" i="1" s="1"/>
  <c r="S129" i="1"/>
  <c r="V129" i="1" s="1"/>
  <c r="S130" i="1"/>
  <c r="V130" i="1" s="1"/>
  <c r="S131" i="1"/>
  <c r="V131" i="1" s="1"/>
  <c r="S132" i="1"/>
  <c r="V132" i="1" s="1"/>
  <c r="S133" i="1"/>
  <c r="V133" i="1" s="1"/>
  <c r="S134" i="1"/>
  <c r="V134" i="1" s="1"/>
  <c r="S135" i="1"/>
  <c r="V135" i="1" s="1"/>
  <c r="S136" i="1"/>
  <c r="V136" i="1" s="1"/>
  <c r="S137" i="1"/>
  <c r="V137" i="1" s="1"/>
  <c r="S138" i="1"/>
  <c r="V138" i="1" s="1"/>
  <c r="S139" i="1"/>
  <c r="V139" i="1" s="1"/>
  <c r="S140" i="1"/>
  <c r="V140" i="1" s="1"/>
  <c r="S141" i="1"/>
  <c r="V141" i="1" s="1"/>
  <c r="S142" i="1"/>
  <c r="V142" i="1" s="1"/>
  <c r="S143" i="1"/>
  <c r="V143" i="1" s="1"/>
  <c r="S145" i="1"/>
  <c r="V145" i="1" s="1"/>
  <c r="S146" i="1"/>
  <c r="V146" i="1" s="1"/>
  <c r="S147" i="1"/>
  <c r="V147" i="1" s="1"/>
  <c r="S148" i="1"/>
  <c r="V148" i="1" s="1"/>
  <c r="S124" i="1"/>
  <c r="V124" i="1" s="1"/>
  <c r="S123" i="1"/>
  <c r="V123" i="1" s="1"/>
  <c r="S122" i="1"/>
  <c r="V122" i="1" s="1"/>
  <c r="S121" i="1"/>
  <c r="V121" i="1" s="1"/>
  <c r="S120" i="1"/>
  <c r="V120" i="1" s="1"/>
  <c r="S119" i="1"/>
  <c r="V119" i="1" s="1"/>
  <c r="S118" i="1"/>
  <c r="V118" i="1" s="1"/>
  <c r="S117" i="1"/>
  <c r="V117" i="1" s="1"/>
  <c r="S116" i="1"/>
  <c r="V116" i="1" s="1"/>
  <c r="S115" i="1"/>
  <c r="V115" i="1" s="1"/>
  <c r="S114" i="1"/>
  <c r="V114" i="1" s="1"/>
  <c r="S111" i="1"/>
  <c r="V111" i="1" s="1"/>
  <c r="S110" i="1"/>
  <c r="V110" i="1" s="1"/>
  <c r="L124" i="1"/>
  <c r="R124" i="1" s="1"/>
  <c r="L123" i="1"/>
  <c r="R123" i="1" s="1"/>
  <c r="L122" i="1"/>
  <c r="R122" i="1" s="1"/>
  <c r="B124" i="1"/>
  <c r="B123" i="1"/>
  <c r="B122" i="1"/>
  <c r="L121" i="1"/>
  <c r="R121" i="1" s="1"/>
  <c r="L120" i="1"/>
  <c r="R120" i="1" s="1"/>
  <c r="B121" i="1"/>
  <c r="B120" i="1"/>
  <c r="L119" i="1"/>
  <c r="R119" i="1" s="1"/>
  <c r="L118" i="1"/>
  <c r="R118" i="1" s="1"/>
  <c r="B119" i="1"/>
  <c r="B118" i="1"/>
  <c r="B117" i="1"/>
  <c r="B116" i="1"/>
  <c r="L117" i="1"/>
  <c r="R117" i="1" s="1"/>
  <c r="L116" i="1"/>
  <c r="R116" i="1" s="1"/>
  <c r="L115" i="1"/>
  <c r="R115" i="1" s="1"/>
  <c r="L114" i="1"/>
  <c r="R114" i="1" s="1"/>
  <c r="B115" i="1"/>
  <c r="B114" i="1"/>
  <c r="L113" i="1"/>
  <c r="R113" i="1" s="1"/>
  <c r="L112" i="1"/>
  <c r="R112" i="1" s="1"/>
  <c r="B113" i="1"/>
  <c r="B112" i="1"/>
  <c r="L111" i="1"/>
  <c r="R111" i="1" s="1"/>
  <c r="L110" i="1"/>
  <c r="R110" i="1" s="1"/>
  <c r="B111" i="1"/>
  <c r="B110" i="1"/>
  <c r="B109" i="1"/>
  <c r="B108" i="1"/>
  <c r="L109" i="1"/>
  <c r="R109" i="1" s="1"/>
  <c r="L108" i="1"/>
  <c r="R108" i="1" s="1"/>
  <c r="L107" i="1"/>
  <c r="R107" i="1" s="1"/>
  <c r="B107" i="1"/>
  <c r="B106" i="1"/>
  <c r="L106" i="1"/>
  <c r="R106" i="1" s="1"/>
  <c r="L105" i="1"/>
  <c r="R105" i="1" s="1"/>
  <c r="L104" i="1"/>
  <c r="R104" i="1" s="1"/>
  <c r="B105" i="1"/>
  <c r="B104" i="1"/>
  <c r="L103" i="1"/>
  <c r="R103" i="1" s="1"/>
  <c r="B103" i="1"/>
  <c r="L102" i="1"/>
  <c r="R102" i="1" s="1"/>
  <c r="B102" i="1"/>
  <c r="L101" i="1"/>
  <c r="R101" i="1" s="1"/>
  <c r="B101" i="1"/>
  <c r="L100" i="1"/>
  <c r="R100" i="1" s="1"/>
  <c r="L99" i="1"/>
  <c r="R99" i="1" s="1"/>
  <c r="B100" i="1"/>
  <c r="B99" i="1"/>
  <c r="L98" i="1"/>
  <c r="R98" i="1" s="1"/>
  <c r="B98" i="1"/>
  <c r="L96" i="1"/>
  <c r="R96" i="1" s="1"/>
  <c r="L95" i="1"/>
  <c r="R95" i="1" s="1"/>
  <c r="B97" i="1"/>
  <c r="B96" i="1"/>
  <c r="B95" i="1"/>
  <c r="R97" i="1"/>
  <c r="L94" i="1"/>
  <c r="R94" i="1" s="1"/>
  <c r="L93" i="1"/>
  <c r="R93" i="1" s="1"/>
  <c r="B94" i="1"/>
  <c r="B93" i="1"/>
  <c r="L92" i="1"/>
  <c r="R92" i="1" s="1"/>
  <c r="B92" i="1"/>
  <c r="L91" i="1"/>
  <c r="R91" i="1" s="1"/>
  <c r="B91" i="1"/>
  <c r="S90" i="1"/>
  <c r="V90" i="1" s="1"/>
  <c r="L90" i="1"/>
  <c r="R90" i="1" s="1"/>
  <c r="L89" i="1"/>
  <c r="R89" i="1" s="1"/>
  <c r="B90" i="1"/>
  <c r="B89" i="1"/>
  <c r="L88" i="1"/>
  <c r="R88" i="1" s="1"/>
  <c r="B88" i="1"/>
  <c r="L87" i="1"/>
  <c r="R87" i="1" s="1"/>
  <c r="B87" i="1"/>
  <c r="R86" i="1"/>
  <c r="R80" i="1"/>
  <c r="S86" i="1"/>
  <c r="V86" i="1" s="1"/>
  <c r="S80" i="1"/>
  <c r="V80" i="1" s="1"/>
  <c r="X85" i="1"/>
  <c r="S85" i="1"/>
  <c r="X84" i="1"/>
  <c r="S84" i="1"/>
  <c r="B86" i="1"/>
  <c r="B85" i="1"/>
  <c r="B84" i="1"/>
  <c r="L85" i="1"/>
  <c r="R85" i="1" s="1"/>
  <c r="L84" i="1"/>
  <c r="R84" i="1" s="1"/>
  <c r="S82" i="1"/>
  <c r="V82" i="1" s="1"/>
  <c r="X82" i="1"/>
  <c r="S83" i="1"/>
  <c r="V83" i="1" s="1"/>
  <c r="X83" i="1"/>
  <c r="L83" i="1"/>
  <c r="R83" i="1" s="1"/>
  <c r="L82" i="1"/>
  <c r="R82" i="1" s="1"/>
  <c r="B83" i="1"/>
  <c r="B82" i="1"/>
  <c r="X81" i="1"/>
  <c r="S81" i="1"/>
  <c r="L81" i="1"/>
  <c r="R81" i="1" s="1"/>
  <c r="B81" i="1"/>
  <c r="X79" i="1"/>
  <c r="X78" i="1"/>
  <c r="L79" i="1"/>
  <c r="R79" i="1" s="1"/>
  <c r="L78" i="1"/>
  <c r="R78" i="1" s="1"/>
  <c r="B80" i="1"/>
  <c r="B79" i="1"/>
  <c r="B78" i="1"/>
  <c r="X75" i="1"/>
  <c r="X76" i="1"/>
  <c r="X77" i="1"/>
  <c r="L77" i="1"/>
  <c r="R77" i="1" s="1"/>
  <c r="L76" i="1"/>
  <c r="R76" i="1" s="1"/>
  <c r="L75" i="1"/>
  <c r="R75" i="1" s="1"/>
  <c r="B77" i="1"/>
  <c r="B76" i="1"/>
  <c r="B75" i="1"/>
  <c r="X74" i="1"/>
  <c r="X73" i="1"/>
  <c r="L74" i="1"/>
  <c r="R74" i="1" s="1"/>
  <c r="L73" i="1"/>
  <c r="R73" i="1" s="1"/>
  <c r="B74" i="1"/>
  <c r="B73" i="1"/>
  <c r="X69" i="1"/>
  <c r="X70" i="1"/>
  <c r="X71" i="1"/>
  <c r="X72" i="1"/>
  <c r="S69" i="1"/>
  <c r="V69" i="1" s="1"/>
  <c r="S70" i="1"/>
  <c r="V70" i="1" s="1"/>
  <c r="S71" i="1"/>
  <c r="V71" i="1" s="1"/>
  <c r="S72" i="1"/>
  <c r="V72" i="1" s="1"/>
  <c r="L71" i="1"/>
  <c r="R71" i="1" s="1"/>
  <c r="B71" i="1"/>
  <c r="L72" i="1"/>
  <c r="R72" i="1" s="1"/>
  <c r="B72" i="1"/>
  <c r="L70" i="1"/>
  <c r="R70" i="1" s="1"/>
  <c r="L69" i="1"/>
  <c r="R69" i="1" s="1"/>
  <c r="B70" i="1"/>
  <c r="B69" i="1"/>
  <c r="X39" i="1"/>
  <c r="X40" i="1"/>
  <c r="X41" i="1"/>
  <c r="X43" i="1"/>
  <c r="X44" i="1"/>
  <c r="X46" i="1"/>
  <c r="X47" i="1"/>
  <c r="X48" i="1"/>
  <c r="X49" i="1"/>
  <c r="X50" i="1"/>
  <c r="X52" i="1"/>
  <c r="X53" i="1"/>
  <c r="X54" i="1"/>
  <c r="X55" i="1"/>
  <c r="X56" i="1"/>
  <c r="X57" i="1"/>
  <c r="X59" i="1"/>
  <c r="X60" i="1"/>
  <c r="X61" i="1"/>
  <c r="X63" i="1"/>
  <c r="X64" i="1"/>
  <c r="X65" i="1"/>
  <c r="X66" i="1"/>
  <c r="X67" i="1"/>
  <c r="X38" i="1"/>
  <c r="S113" i="1" l="1"/>
  <c r="V113" i="1" s="1"/>
  <c r="S112" i="1"/>
  <c r="V112" i="1" s="1"/>
  <c r="S92" i="1"/>
  <c r="V92" i="1" s="1"/>
  <c r="S93" i="1"/>
  <c r="V93" i="1" s="1"/>
  <c r="S94" i="1"/>
  <c r="V94" i="1" s="1"/>
  <c r="S95" i="1"/>
  <c r="V95" i="1" s="1"/>
  <c r="S96" i="1"/>
  <c r="V96" i="1" s="1"/>
  <c r="S97" i="1"/>
  <c r="V97" i="1" s="1"/>
  <c r="S98" i="1"/>
  <c r="V98" i="1" s="1"/>
  <c r="S99" i="1"/>
  <c r="V99" i="1" s="1"/>
  <c r="S100" i="1"/>
  <c r="V100" i="1" s="1"/>
  <c r="S101" i="1"/>
  <c r="V101" i="1" s="1"/>
  <c r="S102" i="1"/>
  <c r="V102" i="1" s="1"/>
  <c r="S103" i="1"/>
  <c r="V103" i="1" s="1"/>
  <c r="S104" i="1"/>
  <c r="V104" i="1" s="1"/>
  <c r="S105" i="1"/>
  <c r="V105" i="1" s="1"/>
  <c r="S106" i="1"/>
  <c r="V106" i="1" s="1"/>
  <c r="S107" i="1"/>
  <c r="V107" i="1" s="1"/>
  <c r="S108" i="1"/>
  <c r="V108" i="1" s="1"/>
  <c r="S109" i="1"/>
  <c r="V109" i="1" s="1"/>
  <c r="S91" i="1"/>
  <c r="V91" i="1" s="1"/>
  <c r="S89" i="1"/>
  <c r="V89" i="1" s="1"/>
  <c r="S87" i="1"/>
  <c r="V87" i="1" s="1"/>
  <c r="S88" i="1"/>
  <c r="V88" i="1" s="1"/>
  <c r="S73" i="1"/>
  <c r="V73" i="1" s="1"/>
  <c r="S74" i="1"/>
  <c r="V74" i="1" s="1"/>
  <c r="S77" i="1"/>
  <c r="V77" i="1" s="1"/>
  <c r="S76" i="1"/>
  <c r="V76" i="1" s="1"/>
  <c r="S75" i="1"/>
  <c r="V75" i="1" s="1"/>
  <c r="S78" i="1"/>
  <c r="V78" i="1" s="1"/>
  <c r="S79" i="1"/>
  <c r="V79" i="1" s="1"/>
  <c r="V84" i="1"/>
  <c r="V85" i="1"/>
  <c r="V81" i="1"/>
  <c r="S7" i="1" l="1"/>
  <c r="V7" i="1" s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38" i="1"/>
  <c r="V38" i="1" s="1"/>
  <c r="S39" i="1"/>
  <c r="V39" i="1" s="1"/>
  <c r="S40" i="1"/>
  <c r="V40" i="1" s="1"/>
  <c r="S41" i="1"/>
  <c r="V41" i="1" s="1"/>
  <c r="S43" i="1"/>
  <c r="V43" i="1" s="1"/>
  <c r="S44" i="1"/>
  <c r="V44" i="1" s="1"/>
  <c r="S46" i="1"/>
  <c r="V46" i="1" s="1"/>
  <c r="S47" i="1"/>
  <c r="V47" i="1" s="1"/>
  <c r="S48" i="1"/>
  <c r="V48" i="1" s="1"/>
  <c r="S49" i="1"/>
  <c r="V49" i="1" s="1"/>
  <c r="S50" i="1"/>
  <c r="V50" i="1" s="1"/>
  <c r="S52" i="1"/>
  <c r="V52" i="1" s="1"/>
  <c r="S53" i="1"/>
  <c r="V53" i="1" s="1"/>
  <c r="S54" i="1"/>
  <c r="V54" i="1" s="1"/>
  <c r="S55" i="1"/>
  <c r="V55" i="1" s="1"/>
  <c r="S56" i="1"/>
  <c r="V56" i="1" s="1"/>
  <c r="S57" i="1"/>
  <c r="V57" i="1" s="1"/>
  <c r="S59" i="1"/>
  <c r="V59" i="1" s="1"/>
  <c r="S60" i="1"/>
  <c r="V60" i="1" s="1"/>
  <c r="S61" i="1"/>
  <c r="V61" i="1" s="1"/>
  <c r="S63" i="1"/>
  <c r="V63" i="1" s="1"/>
  <c r="S64" i="1"/>
  <c r="V64" i="1" s="1"/>
  <c r="S65" i="1"/>
  <c r="V65" i="1" s="1"/>
  <c r="S67" i="1"/>
  <c r="V67" i="1" s="1"/>
  <c r="L6" i="1"/>
  <c r="R6" i="1" s="1"/>
  <c r="L7" i="1"/>
  <c r="R7" i="1" s="1"/>
  <c r="L8" i="1"/>
  <c r="R8" i="1" s="1"/>
  <c r="L9" i="1"/>
  <c r="R9" i="1" s="1"/>
  <c r="L10" i="1"/>
  <c r="R10" i="1" s="1"/>
  <c r="L11" i="1"/>
  <c r="R11" i="1" s="1"/>
  <c r="L12" i="1"/>
  <c r="R12" i="1" s="1"/>
  <c r="L13" i="1"/>
  <c r="R13" i="1" s="1"/>
  <c r="L14" i="1"/>
  <c r="R14" i="1" s="1"/>
  <c r="L15" i="1"/>
  <c r="R15" i="1" s="1"/>
  <c r="L16" i="1"/>
  <c r="R16" i="1" s="1"/>
  <c r="R17" i="1"/>
  <c r="L18" i="1"/>
  <c r="R18" i="1" s="1"/>
  <c r="L19" i="1"/>
  <c r="R19" i="1" s="1"/>
  <c r="L20" i="1"/>
  <c r="R20" i="1" s="1"/>
  <c r="L21" i="1"/>
  <c r="R21" i="1" s="1"/>
  <c r="L22" i="1"/>
  <c r="R22" i="1" s="1"/>
  <c r="L23" i="1"/>
  <c r="R23" i="1" s="1"/>
  <c r="L24" i="1"/>
  <c r="R24" i="1" s="1"/>
  <c r="L25" i="1"/>
  <c r="R25" i="1" s="1"/>
  <c r="L26" i="1"/>
  <c r="R26" i="1" s="1"/>
  <c r="L27" i="1"/>
  <c r="R27" i="1" s="1"/>
  <c r="L28" i="1"/>
  <c r="R28" i="1" s="1"/>
  <c r="L29" i="1"/>
  <c r="R29" i="1" s="1"/>
  <c r="L30" i="1"/>
  <c r="R30" i="1" s="1"/>
  <c r="L31" i="1"/>
  <c r="R31" i="1" s="1"/>
  <c r="L32" i="1"/>
  <c r="R32" i="1" s="1"/>
  <c r="L33" i="1"/>
  <c r="R33" i="1" s="1"/>
  <c r="L34" i="1"/>
  <c r="R34" i="1" s="1"/>
  <c r="L35" i="1"/>
  <c r="R35" i="1" s="1"/>
  <c r="L36" i="1"/>
  <c r="R36" i="1" s="1"/>
  <c r="L37" i="1"/>
  <c r="R37" i="1" s="1"/>
  <c r="L38" i="1"/>
  <c r="R38" i="1" s="1"/>
  <c r="L39" i="1"/>
  <c r="R39" i="1" s="1"/>
  <c r="L40" i="1"/>
  <c r="R40" i="1" s="1"/>
  <c r="L41" i="1"/>
  <c r="R41" i="1" s="1"/>
  <c r="R42" i="1"/>
  <c r="L43" i="1"/>
  <c r="R43" i="1" s="1"/>
  <c r="L44" i="1"/>
  <c r="R44" i="1" s="1"/>
  <c r="R45" i="1"/>
  <c r="L46" i="1"/>
  <c r="R46" i="1" s="1"/>
  <c r="L47" i="1"/>
  <c r="R47" i="1" s="1"/>
  <c r="L48" i="1"/>
  <c r="R48" i="1" s="1"/>
  <c r="L49" i="1"/>
  <c r="R49" i="1" s="1"/>
  <c r="L50" i="1"/>
  <c r="R50" i="1" s="1"/>
  <c r="R51" i="1"/>
  <c r="L52" i="1"/>
  <c r="R52" i="1" s="1"/>
  <c r="L53" i="1"/>
  <c r="R53" i="1" s="1"/>
  <c r="L54" i="1"/>
  <c r="R54" i="1" s="1"/>
  <c r="L55" i="1"/>
  <c r="R55" i="1" s="1"/>
  <c r="L56" i="1"/>
  <c r="R56" i="1" s="1"/>
  <c r="L57" i="1"/>
  <c r="R57" i="1" s="1"/>
  <c r="R58" i="1"/>
  <c r="L59" i="1"/>
  <c r="R59" i="1" s="1"/>
  <c r="L60" i="1"/>
  <c r="R60" i="1" s="1"/>
  <c r="L61" i="1"/>
  <c r="R61" i="1" s="1"/>
  <c r="R62" i="1"/>
  <c r="L63" i="1"/>
  <c r="R63" i="1" s="1"/>
  <c r="L64" i="1"/>
  <c r="R64" i="1" s="1"/>
  <c r="L65" i="1"/>
  <c r="R65" i="1" s="1"/>
  <c r="L66" i="1"/>
  <c r="R66" i="1" s="1"/>
  <c r="L67" i="1"/>
  <c r="R67" i="1" s="1"/>
  <c r="R68" i="1"/>
  <c r="L5" i="1"/>
  <c r="R5" i="1" s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E31" i="7"/>
  <c r="D2" i="7"/>
  <c r="E1" i="7" s="1"/>
  <c r="B96" i="7"/>
  <c r="D94" i="7"/>
  <c r="D93" i="7"/>
  <c r="D92" i="7"/>
  <c r="D91" i="7"/>
  <c r="D90" i="7"/>
  <c r="D89" i="7"/>
  <c r="D88" i="7"/>
  <c r="D87" i="7"/>
  <c r="D96" i="7" s="1"/>
  <c r="D86" i="7"/>
  <c r="D85" i="7"/>
  <c r="D84" i="7"/>
  <c r="D83" i="7"/>
  <c r="B76" i="7"/>
  <c r="D63" i="7"/>
  <c r="D76" i="7" s="1"/>
  <c r="H59" i="7" s="1"/>
  <c r="D64" i="7"/>
  <c r="D65" i="7"/>
  <c r="D66" i="7"/>
  <c r="D67" i="7"/>
  <c r="D68" i="7"/>
  <c r="D69" i="7"/>
  <c r="D70" i="7"/>
  <c r="D71" i="7"/>
  <c r="D72" i="7"/>
  <c r="D73" i="7"/>
  <c r="D74" i="7"/>
  <c r="H49" i="7"/>
  <c r="H50" i="7"/>
  <c r="H51" i="7"/>
  <c r="H52" i="7"/>
  <c r="H54" i="7"/>
  <c r="H55" i="7"/>
  <c r="H57" i="7"/>
  <c r="C49" i="7"/>
  <c r="C50" i="7"/>
  <c r="C51" i="7"/>
  <c r="C55" i="7"/>
  <c r="C57" i="7"/>
  <c r="D58" i="7"/>
  <c r="B58" i="7"/>
  <c r="C58" i="7"/>
  <c r="H58" i="7" l="1"/>
  <c r="H60" i="7" s="1"/>
  <c r="S5" i="1"/>
  <c r="V5" i="1" s="1"/>
  <c r="S68" i="1"/>
  <c r="V68" i="1" s="1"/>
  <c r="S66" i="1"/>
  <c r="V66" i="1" s="1"/>
  <c r="S62" i="1"/>
  <c r="V62" i="1" s="1"/>
  <c r="S58" i="1"/>
  <c r="V58" i="1" s="1"/>
  <c r="S51" i="1"/>
  <c r="V51" i="1" s="1"/>
  <c r="S45" i="1"/>
  <c r="V45" i="1" s="1"/>
  <c r="S42" i="1"/>
  <c r="V42" i="1" s="1"/>
  <c r="S37" i="1"/>
  <c r="V37" i="1" s="1"/>
  <c r="S36" i="1"/>
  <c r="V36" i="1" s="1"/>
  <c r="S35" i="1"/>
  <c r="V35" i="1" s="1"/>
  <c r="S34" i="1"/>
  <c r="V34" i="1" s="1"/>
  <c r="S33" i="1"/>
  <c r="V33" i="1" s="1"/>
  <c r="S32" i="1"/>
  <c r="V32" i="1" s="1"/>
  <c r="S31" i="1"/>
  <c r="V31" i="1" s="1"/>
  <c r="S30" i="1"/>
  <c r="V30" i="1" s="1"/>
  <c r="S29" i="1"/>
  <c r="V29" i="1" s="1"/>
  <c r="S6" i="1"/>
  <c r="V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Z4" authorId="0" shapeId="0" xr:uid="{BE25B034-8803-42DC-AB6D-D41636869AA5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Desde medidados agosto se empiezan a diligenciar los datos de flete para llevar seguimiento</t>
        </r>
      </text>
    </comment>
  </commentList>
</comments>
</file>

<file path=xl/sharedStrings.xml><?xml version="1.0" encoding="utf-8"?>
<sst xmlns="http://schemas.openxmlformats.org/spreadsheetml/2006/main" count="8644" uniqueCount="1939">
  <si>
    <t>Fecha</t>
  </si>
  <si>
    <t>Mes</t>
  </si>
  <si>
    <t>No orden</t>
  </si>
  <si>
    <t>Concepto</t>
  </si>
  <si>
    <t>Cliente/Proveedor</t>
  </si>
  <si>
    <t>Codigo</t>
  </si>
  <si>
    <t>Descripcion del producto</t>
  </si>
  <si>
    <t>Cantidad</t>
  </si>
  <si>
    <t>Categoria</t>
  </si>
  <si>
    <t>Ciudad</t>
  </si>
  <si>
    <t>Lugar de entrega</t>
  </si>
  <si>
    <t>Status Despacho</t>
  </si>
  <si>
    <t>Transportadora</t>
  </si>
  <si>
    <t>No guia</t>
  </si>
  <si>
    <t>Fecha de despacho</t>
  </si>
  <si>
    <t>Fecha de Entrega</t>
  </si>
  <si>
    <t xml:space="preserve">Status entrega </t>
  </si>
  <si>
    <t>Tiempo de despacho de orden</t>
  </si>
  <si>
    <t>Tiempo de entrega de la orden</t>
  </si>
  <si>
    <t>Valor despacho</t>
  </si>
  <si>
    <t>Venta</t>
  </si>
  <si>
    <t>Bogotá y alrededores</t>
  </si>
  <si>
    <t>Bogota</t>
  </si>
  <si>
    <t>TECUTCC8C</t>
  </si>
  <si>
    <t>Antioquia</t>
  </si>
  <si>
    <t>Envigado</t>
  </si>
  <si>
    <t>TECUTCO5C</t>
  </si>
  <si>
    <t>Medellin</t>
  </si>
  <si>
    <t>TECUTCO8M</t>
  </si>
  <si>
    <t>TECUTLCCS</t>
  </si>
  <si>
    <t>TECUTCC5C</t>
  </si>
  <si>
    <t>TECUTLCOS</t>
  </si>
  <si>
    <t>TECUTCC5M</t>
  </si>
  <si>
    <t>TECUTCO8C</t>
  </si>
  <si>
    <t>Ibague</t>
  </si>
  <si>
    <t>Garantia</t>
  </si>
  <si>
    <t>TECUTB5C</t>
  </si>
  <si>
    <t>Caldas</t>
  </si>
  <si>
    <t>Villamaria</t>
  </si>
  <si>
    <t>Sabaneta</t>
  </si>
  <si>
    <t>Cartagena</t>
  </si>
  <si>
    <t>Cali</t>
  </si>
  <si>
    <t>Valle del Cauca</t>
  </si>
  <si>
    <t>Palmira</t>
  </si>
  <si>
    <t>TECUTB8C</t>
  </si>
  <si>
    <t>Barranquilla</t>
  </si>
  <si>
    <t>Bucaramanga</t>
  </si>
  <si>
    <t>TECUTLBS</t>
  </si>
  <si>
    <t>Itagui</t>
  </si>
  <si>
    <t>Superficie</t>
  </si>
  <si>
    <t>TECUBDPG</t>
  </si>
  <si>
    <t>TECUTB5M</t>
  </si>
  <si>
    <t>PRODUCTOS</t>
  </si>
  <si>
    <t>CODIGO</t>
  </si>
  <si>
    <t>PRODUCTO</t>
  </si>
  <si>
    <t>Standing Desk</t>
  </si>
  <si>
    <t>Electric Standing Desk | Escritorio Ajustable En L Frame Negro</t>
  </si>
  <si>
    <t>TECULFN2</t>
  </si>
  <si>
    <t>TECUTCC8M</t>
  </si>
  <si>
    <t>TECUTCO5M</t>
  </si>
  <si>
    <t>TECUTB8M</t>
  </si>
  <si>
    <t>TECUTLNS</t>
  </si>
  <si>
    <t>TECUAB</t>
  </si>
  <si>
    <t>Archivador TECU  Blanco (Niebla)</t>
  </si>
  <si>
    <t>Archivador</t>
  </si>
  <si>
    <t>TECUAN</t>
  </si>
  <si>
    <t>TECUACC</t>
  </si>
  <si>
    <t>Archivador TECU  Miel</t>
  </si>
  <si>
    <t>TECUACO</t>
  </si>
  <si>
    <t>Archivador TECU  Caramelo</t>
  </si>
  <si>
    <t>TECURB</t>
  </si>
  <si>
    <t>Repisa</t>
  </si>
  <si>
    <t>TECURN</t>
  </si>
  <si>
    <t>TECURCC</t>
  </si>
  <si>
    <t>TECURCO</t>
  </si>
  <si>
    <t>TECUTCCE</t>
  </si>
  <si>
    <t>Superficie orden especial Color: Miel</t>
  </si>
  <si>
    <t>TECUTNE</t>
  </si>
  <si>
    <t>Superficie orden especial Color: Wengue</t>
  </si>
  <si>
    <t>TECUTCOE</t>
  </si>
  <si>
    <t>Superficie orden especial Color: Caramelo</t>
  </si>
  <si>
    <t>TECUTBE</t>
  </si>
  <si>
    <t>Superficie orden especial Color: Niebla</t>
  </si>
  <si>
    <t>TECUBDPA</t>
  </si>
  <si>
    <t>Accesorio</t>
  </si>
  <si>
    <t>TECUBDPM</t>
  </si>
  <si>
    <t>TECUBLS</t>
  </si>
  <si>
    <t>TECUDSN</t>
  </si>
  <si>
    <t>Silla</t>
  </si>
  <si>
    <t>TECUDSG</t>
  </si>
  <si>
    <t>INDICADORES OPERACIÓN LOGISTICA TECU</t>
  </si>
  <si>
    <t>Entregado</t>
  </si>
  <si>
    <t>Promedio de Tiempo de despacho de orden</t>
  </si>
  <si>
    <t>INDICADORES VENTAS  TECU.CO</t>
  </si>
  <si>
    <t xml:space="preserve">1. RESUMEN  DE VENTAS </t>
  </si>
  <si>
    <t>Cuenta de No orden</t>
  </si>
  <si>
    <t>enero</t>
  </si>
  <si>
    <t>febrero</t>
  </si>
  <si>
    <t>dias Festivos</t>
  </si>
  <si>
    <t>Total</t>
  </si>
  <si>
    <t>Promedio mes</t>
  </si>
  <si>
    <t>Inventario actual</t>
  </si>
  <si>
    <t>Total general</t>
  </si>
  <si>
    <t>(Todas)</t>
  </si>
  <si>
    <t>Cumple</t>
  </si>
  <si>
    <t>No cumple</t>
  </si>
  <si>
    <t>TECUTCC2C</t>
  </si>
  <si>
    <t>TECUTCO2C</t>
  </si>
  <si>
    <t>TECUTB2C</t>
  </si>
  <si>
    <t>Stock minimo</t>
  </si>
  <si>
    <t>TECUTRN5C</t>
  </si>
  <si>
    <t>TECUTRN8C</t>
  </si>
  <si>
    <t>TECUTRN5M</t>
  </si>
  <si>
    <t>TECUTRN8M</t>
  </si>
  <si>
    <t>TECUTRN2C</t>
  </si>
  <si>
    <t>TECUTLRNS</t>
  </si>
  <si>
    <t>Suma de Cantidad</t>
  </si>
  <si>
    <t>Promedio de Tiempo de entrega de la orden</t>
  </si>
  <si>
    <t>Yumbo</t>
  </si>
  <si>
    <t>n+4</t>
  </si>
  <si>
    <t>Archivador TECU  Negro</t>
  </si>
  <si>
    <t>Chia</t>
  </si>
  <si>
    <t>Valores Fletes</t>
  </si>
  <si>
    <t>TECU2FNG</t>
  </si>
  <si>
    <t>Electric Standing Desk GO Negro</t>
  </si>
  <si>
    <t>TECU2FGGO</t>
  </si>
  <si>
    <t>Electric Standing Desk GO Gris</t>
  </si>
  <si>
    <t>TECU2FBGO</t>
  </si>
  <si>
    <t>Electric Standing Desk GO Blanco</t>
  </si>
  <si>
    <t>TECU3FNPRO</t>
  </si>
  <si>
    <t>Electric Standing Desk  PRO Negro</t>
  </si>
  <si>
    <t>TECU3FGPRO</t>
  </si>
  <si>
    <t>Electric Standing Desk  PRO Gris</t>
  </si>
  <si>
    <t>TECU3FBRO</t>
  </si>
  <si>
    <t>Electric Standing Desk  PRO Blanco</t>
  </si>
  <si>
    <t>TECUTCC3C</t>
  </si>
  <si>
    <t>TECUTCC4C</t>
  </si>
  <si>
    <t>TECUTCC6C</t>
  </si>
  <si>
    <t>TECUTCC7C</t>
  </si>
  <si>
    <t>TECUTCC9C</t>
  </si>
  <si>
    <t>TECUTCC20C</t>
  </si>
  <si>
    <t>TECUTCO3C</t>
  </si>
  <si>
    <t>TECUTCO4C</t>
  </si>
  <si>
    <t>TECUTCO6C</t>
  </si>
  <si>
    <t>TECUTCO7C</t>
  </si>
  <si>
    <t>TECUTCO9C</t>
  </si>
  <si>
    <t>TECUTCO20C</t>
  </si>
  <si>
    <t>TECUTB3C</t>
  </si>
  <si>
    <t>TECUTB4C</t>
  </si>
  <si>
    <t>TECUTB6C</t>
  </si>
  <si>
    <t>TECUTB7C</t>
  </si>
  <si>
    <t>TECUTB9C</t>
  </si>
  <si>
    <t>TECUTB20C</t>
  </si>
  <si>
    <t>TECUTRN3C</t>
  </si>
  <si>
    <t>TECUTRN4C</t>
  </si>
  <si>
    <t>TECUTRN6C</t>
  </si>
  <si>
    <t>TECUTRN7C</t>
  </si>
  <si>
    <t>TECUTRN9C</t>
  </si>
  <si>
    <t>TECUTRN20C</t>
  </si>
  <si>
    <t>Electric Standing Desk GO  Gris</t>
  </si>
  <si>
    <t>Electric Standing Desk PRO  Negro</t>
  </si>
  <si>
    <t>Electric Standing Desk PRO  Gris</t>
  </si>
  <si>
    <t>Electric Standing Desk PROBlanco</t>
  </si>
  <si>
    <t>TRM</t>
  </si>
  <si>
    <t>FI</t>
  </si>
  <si>
    <t>COSTO</t>
  </si>
  <si>
    <t>Costo</t>
  </si>
  <si>
    <t>Girardot</t>
  </si>
  <si>
    <t>Henry De Alba</t>
  </si>
  <si>
    <t>Caramelo clasicas</t>
  </si>
  <si>
    <t>Miel clasicas</t>
  </si>
  <si>
    <t>Niebla Clasicas</t>
  </si>
  <si>
    <t>Negro Clasicas</t>
  </si>
  <si>
    <t>Caramelo modernas</t>
  </si>
  <si>
    <t>Miel modernas</t>
  </si>
  <si>
    <t>Niebla modernas</t>
  </si>
  <si>
    <t>Negro modernas</t>
  </si>
  <si>
    <t>Caramelo en L</t>
  </si>
  <si>
    <t>Miel en L</t>
  </si>
  <si>
    <t>Niebla en L</t>
  </si>
  <si>
    <t>Negro en L</t>
  </si>
  <si>
    <t>Costo total</t>
  </si>
  <si>
    <t>TECUTRN6M</t>
  </si>
  <si>
    <t>TECUTCC6M</t>
  </si>
  <si>
    <t>TECUTCO7M</t>
  </si>
  <si>
    <t>Bello</t>
  </si>
  <si>
    <t>Pasto</t>
  </si>
  <si>
    <t>Acacias</t>
  </si>
  <si>
    <t>Meta</t>
  </si>
  <si>
    <t>Atlantico</t>
  </si>
  <si>
    <t>Soledad</t>
  </si>
  <si>
    <t>Tunja</t>
  </si>
  <si>
    <t>Boyaca</t>
  </si>
  <si>
    <t>Popayan</t>
  </si>
  <si>
    <t>Santander</t>
  </si>
  <si>
    <t>El retiro</t>
  </si>
  <si>
    <t>Armenia</t>
  </si>
  <si>
    <t>Tulua</t>
  </si>
  <si>
    <t>Cajica</t>
  </si>
  <si>
    <t>La ceja</t>
  </si>
  <si>
    <t>Bojaca</t>
  </si>
  <si>
    <t>Zipaquira</t>
  </si>
  <si>
    <t>Choachi</t>
  </si>
  <si>
    <t>Risaralda</t>
  </si>
  <si>
    <t>Doquebradas</t>
  </si>
  <si>
    <t>Fusagasuga</t>
  </si>
  <si>
    <t>Manizales</t>
  </si>
  <si>
    <t>Magdalena</t>
  </si>
  <si>
    <t>Fundacion</t>
  </si>
  <si>
    <t>Rionegro</t>
  </si>
  <si>
    <t>Floridablanca</t>
  </si>
  <si>
    <t>Aguachica</t>
  </si>
  <si>
    <t>Mosquera</t>
  </si>
  <si>
    <t>Sogamoso</t>
  </si>
  <si>
    <t>Dosquebradas</t>
  </si>
  <si>
    <t>Guarne</t>
  </si>
  <si>
    <t>Quindio</t>
  </si>
  <si>
    <t>Carmen de Viboral</t>
  </si>
  <si>
    <t>La dorada</t>
  </si>
  <si>
    <t>Pereira</t>
  </si>
  <si>
    <t>Tocancipa</t>
  </si>
  <si>
    <t>Retiro</t>
  </si>
  <si>
    <t>Huila</t>
  </si>
  <si>
    <t>Neiva</t>
  </si>
  <si>
    <t>San Vicente</t>
  </si>
  <si>
    <t>Cota</t>
  </si>
  <si>
    <t>Calarca</t>
  </si>
  <si>
    <t>Facatativa</t>
  </si>
  <si>
    <t>Ciudad entrega</t>
  </si>
  <si>
    <t>Lugar entrega</t>
  </si>
  <si>
    <t>Tiempo entrega</t>
  </si>
  <si>
    <t>Cumple NNS</t>
  </si>
  <si>
    <t>1. TIEMPOS DE DESPACHO Y DE ENTREGAS</t>
  </si>
  <si>
    <t>2. TIEMPOS DE DESPACHO Y DE ENTREGAS POR CIUDAD</t>
  </si>
  <si>
    <t>1 a 3 días Ciudades principales
1 a 5 días Ciudades Secundarias</t>
  </si>
  <si>
    <t>Garantias</t>
  </si>
  <si>
    <t>NNS</t>
  </si>
  <si>
    <t>Indicador OTIF</t>
  </si>
  <si>
    <t>Coordinadora</t>
  </si>
  <si>
    <t>Envia</t>
  </si>
  <si>
    <t>TECUCT</t>
  </si>
  <si>
    <t>NA</t>
  </si>
  <si>
    <t>Suma de Valor despacho</t>
  </si>
  <si>
    <t>Diferencia valor real vs Estimado</t>
  </si>
  <si>
    <t>Despachado</t>
  </si>
  <si>
    <t>Observaciones</t>
  </si>
  <si>
    <t>**Martes programar reunion expansion de planeamiento</t>
  </si>
  <si>
    <t>Tenjo</t>
  </si>
  <si>
    <t>Arauca</t>
  </si>
  <si>
    <t>marzo</t>
  </si>
  <si>
    <t>Cordoba</t>
  </si>
  <si>
    <t>Monteria</t>
  </si>
  <si>
    <t>RIFA</t>
  </si>
  <si>
    <t>TECUTB7M</t>
  </si>
  <si>
    <t>abril</t>
  </si>
  <si>
    <t>Desk Stool Negra</t>
  </si>
  <si>
    <t>Desk Stool Gris</t>
  </si>
  <si>
    <t>TECUTRN7M</t>
  </si>
  <si>
    <t>TECUTCO6M</t>
  </si>
  <si>
    <t>Tolima</t>
  </si>
  <si>
    <t>mayo</t>
  </si>
  <si>
    <t>TECULFG</t>
  </si>
  <si>
    <t>TECUTRM5C</t>
  </si>
  <si>
    <t>Superficie Roble Miel 150x70 Clasico</t>
  </si>
  <si>
    <t>TECUTRM8C</t>
  </si>
  <si>
    <t>Superficie Roble Miel 180x70 Clasico</t>
  </si>
  <si>
    <t>TECUTRC5C</t>
  </si>
  <si>
    <t>Superficie Roble Caramelo 150x70 Clasico</t>
  </si>
  <si>
    <t>TECUTRC8C</t>
  </si>
  <si>
    <t>Superficie Roble Caramelo 180x70 Clasico</t>
  </si>
  <si>
    <t>TECURRM</t>
  </si>
  <si>
    <t>Repisa Roble Miel</t>
  </si>
  <si>
    <t>TECURRC</t>
  </si>
  <si>
    <t>Repisa Roble Caramelo</t>
  </si>
  <si>
    <t>Préstamo</t>
  </si>
  <si>
    <t>Cortesia</t>
  </si>
  <si>
    <t>Cauca</t>
  </si>
  <si>
    <t>Bandeja de cables</t>
  </si>
  <si>
    <t>junio</t>
  </si>
  <si>
    <t>julio</t>
  </si>
  <si>
    <t>TECUROD</t>
  </si>
  <si>
    <t>Rodachines con freno para Standing desk x 4 UN</t>
  </si>
  <si>
    <t>Miguel Saavedra</t>
  </si>
  <si>
    <t>agosto</t>
  </si>
  <si>
    <t>Ruedas</t>
  </si>
  <si>
    <t>TECUTCO3M</t>
  </si>
  <si>
    <t>#N/D</t>
  </si>
  <si>
    <t>Cambio</t>
  </si>
  <si>
    <t>septiembre</t>
  </si>
  <si>
    <t>TECU-BMUSB</t>
  </si>
  <si>
    <t>TECU-BMUSC</t>
  </si>
  <si>
    <t>TECU-BMUSM</t>
  </si>
  <si>
    <t>TECU-BMUSRN</t>
  </si>
  <si>
    <t>octubre</t>
  </si>
  <si>
    <t>noviembre</t>
  </si>
  <si>
    <t>Valores</t>
  </si>
  <si>
    <t>Politica Satisfaccion</t>
  </si>
  <si>
    <t>diciembre</t>
  </si>
  <si>
    <t>La tebaida</t>
  </si>
  <si>
    <t>TECUTFE20C</t>
  </si>
  <si>
    <t>TECUTLFES</t>
  </si>
  <si>
    <t>TECUTFE2C</t>
  </si>
  <si>
    <t>TECUTFE3C</t>
  </si>
  <si>
    <t>TECUTFE4C</t>
  </si>
  <si>
    <t>TECUTFE5C</t>
  </si>
  <si>
    <t>TECUTFE6C</t>
  </si>
  <si>
    <t>TECUTFE7C</t>
  </si>
  <si>
    <t>TECUTFE8C</t>
  </si>
  <si>
    <t>TECURFE</t>
  </si>
  <si>
    <t>Repisa TECU Fresno Europeo</t>
  </si>
  <si>
    <t>TECUTFE6M</t>
  </si>
  <si>
    <t>TECUTFE7M</t>
  </si>
  <si>
    <t>TECUTFE8M</t>
  </si>
  <si>
    <t>TECUTBANPI</t>
  </si>
  <si>
    <t>Bandeja Piano</t>
  </si>
  <si>
    <t>TECUTBANTE</t>
  </si>
  <si>
    <t>Bandeja de teclado</t>
  </si>
  <si>
    <t>TECUTFE5M</t>
  </si>
  <si>
    <t>(en blanco)</t>
  </si>
  <si>
    <t>#¡VALOR!</t>
  </si>
  <si>
    <t>BASE VENTAS Y DESPACHOS 2025</t>
  </si>
  <si>
    <t>Cata Gómez</t>
  </si>
  <si>
    <t>La estrella</t>
  </si>
  <si>
    <t>Andres felipe Carreño</t>
  </si>
  <si>
    <t>Juan Guevara</t>
  </si>
  <si>
    <t>Juan Carlos Urbano</t>
  </si>
  <si>
    <t>Julian Cujabante Villamil</t>
  </si>
  <si>
    <t>Instalacion</t>
  </si>
  <si>
    <t>Carlos Andres Polanco Triana</t>
  </si>
  <si>
    <t>Samuel Antonio Cabezas Tibaquicha</t>
  </si>
  <si>
    <t>Diana Ruiz</t>
  </si>
  <si>
    <t>Samuel Vélez Sanín</t>
  </si>
  <si>
    <t>CAROLINA RAMIREZ RESTREPO</t>
  </si>
  <si>
    <t>Alexander Gomez Chaparro</t>
  </si>
  <si>
    <t>David Cadavid</t>
  </si>
  <si>
    <t>Santiago Garzon Diaz</t>
  </si>
  <si>
    <t>Julian Cajiao</t>
  </si>
  <si>
    <t>Lucas Latorre</t>
  </si>
  <si>
    <t>FELIPE CASTAÑO</t>
  </si>
  <si>
    <t>Andres Felipe Parra Rojas</t>
  </si>
  <si>
    <t>Juan David Martínez Gordillo</t>
  </si>
  <si>
    <t>Stefan de Brandt</t>
  </si>
  <si>
    <t>TECUROD6</t>
  </si>
  <si>
    <t>Rodachines con freno para Standing desk x 6 UN</t>
  </si>
  <si>
    <t>Catalina Alvarado</t>
  </si>
  <si>
    <t>Alexandra Martínez Ruiz</t>
  </si>
  <si>
    <t>Electric Standing Desk  En L Frame Negro 2.0</t>
  </si>
  <si>
    <t>Superficie Miel 150x70 Clasico</t>
  </si>
  <si>
    <t>Superficie Miel 180x70 Clasico</t>
  </si>
  <si>
    <t>Superficie Miel 150x70 Moderno</t>
  </si>
  <si>
    <t>Superficie Miel 180x70 Moderno</t>
  </si>
  <si>
    <t>Superficie Miel 120x70 Clasico Small</t>
  </si>
  <si>
    <t>Superficie Miel 130x70 Clasico</t>
  </si>
  <si>
    <t>Superficie  Miel 140x70 Clasico</t>
  </si>
  <si>
    <t>Superficie  Miel 160x70 Clasico</t>
  </si>
  <si>
    <t>Superficie  Miel 170x70 Clasico</t>
  </si>
  <si>
    <t>Superficie  Miel 190x70 Clasico</t>
  </si>
  <si>
    <t>Superficie  Miel 200x70 Clasico</t>
  </si>
  <si>
    <t>Superficie  Miel 160x70 Moderno</t>
  </si>
  <si>
    <t>Superficie  Caramelo 130x70 Moderno</t>
  </si>
  <si>
    <t>Superficie  Caramelo 180x70 Moderno</t>
  </si>
  <si>
    <t>Superficie  Caramelo 120x70 Clasico Small</t>
  </si>
  <si>
    <t>Superficie  Caramelo 160x70 Clasico</t>
  </si>
  <si>
    <t>Superficie  Caramelo 170x70 Clasico</t>
  </si>
  <si>
    <t>Superficie  Caramelo 190x70 Clasico</t>
  </si>
  <si>
    <t>Superficie  Caramelo 200x70 Clasico</t>
  </si>
  <si>
    <t>Superficie  Roble negro 150x70 Clasico</t>
  </si>
  <si>
    <t>Superficie  Roble Negro 180x70 Clasico</t>
  </si>
  <si>
    <t>Superficie  Roble Negro 150x70 Moderno</t>
  </si>
  <si>
    <t>Superficie  Roble Negro 180x70 Moderno</t>
  </si>
  <si>
    <t>Superficie  Roble Negro 120x70 Clasico Small</t>
  </si>
  <si>
    <t>Superficie  Roble Negro 130x70 Clasico</t>
  </si>
  <si>
    <t>Superficie  Roble Negro 140x70 Clasico</t>
  </si>
  <si>
    <t>Superficie  Roble Negro 160x70 Clasico</t>
  </si>
  <si>
    <t>Superficie  Roble Negro 170x70 Clasico</t>
  </si>
  <si>
    <t>Superficie  Roble Negro 190x70 Clasico</t>
  </si>
  <si>
    <t>Superficie  Roble Negro 200x70 Clasico</t>
  </si>
  <si>
    <t>Superficie  Caramelo 170x70 Moderno</t>
  </si>
  <si>
    <t>Superficie  Roble Negro 160x70 Moderno</t>
  </si>
  <si>
    <t>Superficie  Roble Negro 170x70 Moderno</t>
  </si>
  <si>
    <t>Superficie  Caramelo 160x70 Moderno</t>
  </si>
  <si>
    <t>Superficie  Caramelo 180x70 Clasico</t>
  </si>
  <si>
    <t>Superficie  Music Blanco</t>
  </si>
  <si>
    <t>Superficie  Music Caramelo</t>
  </si>
  <si>
    <t>Superficie  Music Miel</t>
  </si>
  <si>
    <t>Superficie  Music Roble Negro</t>
  </si>
  <si>
    <t>Superficie  Fresno Europeo 120x70 Clasico Small</t>
  </si>
  <si>
    <t>Superficie  Fresno Europeo 130x70 Clasico</t>
  </si>
  <si>
    <t>Superficie  Fresno Europeo 140x70 Clasico</t>
  </si>
  <si>
    <t>Superficie  Fresno Europeo 150x70 Clasico</t>
  </si>
  <si>
    <t>Superficie  Fresno Europeo 160x70 Clasico</t>
  </si>
  <si>
    <t>Superficie  Fresno Europeo 170x70 Clasico</t>
  </si>
  <si>
    <t>Superficie  Fresno Europeo 180x70 Clasico</t>
  </si>
  <si>
    <t>Superficie  Fresno Europeo 200x70 Clasico</t>
  </si>
  <si>
    <t>Superficie  Fresno Europeo 150x70 Moderno</t>
  </si>
  <si>
    <t>Superficie  Fresno Europeo 160x70 Moderno</t>
  </si>
  <si>
    <t>Superficie  Fresno Europeo 170x70 Moderno</t>
  </si>
  <si>
    <t>Superficie  Fresno Europeo 180x70 Moderno</t>
  </si>
  <si>
    <t>Repisa Niebla</t>
  </si>
  <si>
    <t>Repisa Negro</t>
  </si>
  <si>
    <t>Repisa Miel</t>
  </si>
  <si>
    <t>Repisa Caramelo</t>
  </si>
  <si>
    <t>Desk Pad B Negro Azul</t>
  </si>
  <si>
    <t>Desk Pad B Negro Gris</t>
  </si>
  <si>
    <t>Desk Pad B Negro Café Miel</t>
  </si>
  <si>
    <t>Laptop Stand B</t>
  </si>
  <si>
    <t>Desk Stool Negra Silla ajustable</t>
  </si>
  <si>
    <t>Desk Stool Gris Silla ajustable</t>
  </si>
  <si>
    <t>Electric Standing Desk En L Frame Gris</t>
  </si>
  <si>
    <t>Superficie Niebla 120x70 Clasico Small</t>
  </si>
  <si>
    <t>Superficie Niebla 130x70 Clasico</t>
  </si>
  <si>
    <t>Superficie Niebla 140x70 Clasico</t>
  </si>
  <si>
    <t>Superficie Niebla 160x70 Clasico</t>
  </si>
  <si>
    <t>Superficie Niebla 170x70 Clasico</t>
  </si>
  <si>
    <t>Superficie Niebla 170x70 Moderno</t>
  </si>
  <si>
    <t>Superficie Niebla 180x70 Moderno</t>
  </si>
  <si>
    <t>Superficie Niebla 190x70 Clasico</t>
  </si>
  <si>
    <t>Superficie Niebla 200x70 Clasico</t>
  </si>
  <si>
    <t>Superficie Niebla 150x70 Clasico</t>
  </si>
  <si>
    <t>Superficie Niebla 150x70 Moderno</t>
  </si>
  <si>
    <t>Superficie Niebla 180x70 Clasico</t>
  </si>
  <si>
    <t>Superficie Caramelo 140x70 Clasico</t>
  </si>
  <si>
    <t>Superficie Caramelo 130x70 Clasico</t>
  </si>
  <si>
    <t>Superficie Caramelo 150x70 Clasico</t>
  </si>
  <si>
    <t>Superficie Caramelo 150x70 Moderno</t>
  </si>
  <si>
    <t>3002937 -84151097246</t>
  </si>
  <si>
    <t>3002977 -84151097273</t>
  </si>
  <si>
    <t>3006333 -84151099203</t>
  </si>
  <si>
    <t>3006334 -84151099205</t>
  </si>
  <si>
    <t>3006341 -84151099209</t>
  </si>
  <si>
    <t>3003131 -84151097381</t>
  </si>
  <si>
    <t>3003134 -84151097383</t>
  </si>
  <si>
    <t>3003144 -84151097390</t>
  </si>
  <si>
    <t>3006368 -84151099224</t>
  </si>
  <si>
    <t>3006370 -84151099227</t>
  </si>
  <si>
    <t>3006387 -84151099241</t>
  </si>
  <si>
    <t>3006380 -84151099237</t>
  </si>
  <si>
    <t>3008585 -84151100462</t>
  </si>
  <si>
    <t>3008587 -84151100464</t>
  </si>
  <si>
    <t>3008595 -84151100470</t>
  </si>
  <si>
    <t>3008596 -84151100471</t>
  </si>
  <si>
    <t>3006418 -84151099260</t>
  </si>
  <si>
    <t>3006424 -84151099263</t>
  </si>
  <si>
    <t>3009172 -84151100736</t>
  </si>
  <si>
    <t>3009173 -84151100737</t>
  </si>
  <si>
    <t>3008732 -84151100542</t>
  </si>
  <si>
    <t>3008734 -84151100543</t>
  </si>
  <si>
    <t>3006909 -954101121278</t>
  </si>
  <si>
    <t>3008988 -84151100690</t>
  </si>
  <si>
    <t>3008990 -84151100691</t>
  </si>
  <si>
    <t>3011856 -84151101651</t>
  </si>
  <si>
    <t>3011858 -84151101652</t>
  </si>
  <si>
    <t>3011879 -84151101661</t>
  </si>
  <si>
    <t>3011889 -84151101671</t>
  </si>
  <si>
    <t>3011897 -84151101678</t>
  </si>
  <si>
    <t>3015845 -84151103419</t>
  </si>
  <si>
    <t>3015847 -84151103420</t>
  </si>
  <si>
    <t>3015858 -84151103425</t>
  </si>
  <si>
    <t>3015877 -84151103435</t>
  </si>
  <si>
    <t>3015893 -84151103439</t>
  </si>
  <si>
    <t>3015895 -84151103441</t>
  </si>
  <si>
    <t>3017031 -84151104118</t>
  </si>
  <si>
    <t>3017033 -84151104119</t>
  </si>
  <si>
    <t>3018831 -84151104925</t>
  </si>
  <si>
    <t>3018833 -84151104926</t>
  </si>
  <si>
    <t>3018855 -84151104940</t>
  </si>
  <si>
    <t>3023657 -84151107102</t>
  </si>
  <si>
    <t>3023658 -84151107103</t>
  </si>
  <si>
    <t>3023776 -84151107161</t>
  </si>
  <si>
    <t>3023777 -84151107162</t>
  </si>
  <si>
    <t>3023834 -84151107192</t>
  </si>
  <si>
    <t>3023835 -84151107193</t>
  </si>
  <si>
    <t>3026040 -84151108154</t>
  </si>
  <si>
    <t>3026035 -84151108151</t>
  </si>
  <si>
    <t>3026126 -84151108195</t>
  </si>
  <si>
    <t>3026752 -954101129148</t>
  </si>
  <si>
    <t>3026634 -84151108514</t>
  </si>
  <si>
    <t>3026635 -84151108515</t>
  </si>
  <si>
    <t>3030945 -84151109872</t>
  </si>
  <si>
    <t>3030946 -84151109873</t>
  </si>
  <si>
    <t>Juan Camilo Acosta Escobar</t>
  </si>
  <si>
    <t>El Retiro</t>
  </si>
  <si>
    <t>3030968 -84151109880</t>
  </si>
  <si>
    <t>3030970 -84151109882</t>
  </si>
  <si>
    <t>3031428 -84151110138</t>
  </si>
  <si>
    <t>3031190 -84151110013</t>
  </si>
  <si>
    <t>MARIA RODRIGUEZ</t>
  </si>
  <si>
    <t>Jamundi</t>
  </si>
  <si>
    <t>3034128 -84151111334</t>
  </si>
  <si>
    <t>3034129 -84151111335</t>
  </si>
  <si>
    <t>Juan Camilo Restrepo</t>
  </si>
  <si>
    <t>3034103 -84151111318</t>
  </si>
  <si>
    <t>3034104 -84151111319</t>
  </si>
  <si>
    <t>3034115 -84151111325</t>
  </si>
  <si>
    <t>Andres Mape</t>
  </si>
  <si>
    <t>3034145 -84151111349</t>
  </si>
  <si>
    <t>3034147 -84151111351</t>
  </si>
  <si>
    <t>Rainer Villarreal</t>
  </si>
  <si>
    <t>3034185 -84151111369</t>
  </si>
  <si>
    <t>German Uchamocha Euscategui</t>
  </si>
  <si>
    <t>Duitama</t>
  </si>
  <si>
    <t>3034194 -84151111375</t>
  </si>
  <si>
    <t>3034195 -84151111376</t>
  </si>
  <si>
    <t>Juan David Lagos Rodriguez</t>
  </si>
  <si>
    <t>3034920 -84151111800</t>
  </si>
  <si>
    <t>3034923 -84151111801</t>
  </si>
  <si>
    <t>Vacaciones TECU</t>
  </si>
  <si>
    <t>3019490 - 84151105323</t>
  </si>
  <si>
    <t>3019497 - 84151105325</t>
  </si>
  <si>
    <t>Novedad - Se envia a oto pueblo por error en Shopify generar guias // se solicita devolucion a la bodega</t>
  </si>
  <si>
    <t>Steven Hoyos</t>
  </si>
  <si>
    <t>3023584 - 84151107068</t>
  </si>
  <si>
    <t>3015860 - 84151103434</t>
  </si>
  <si>
    <t>3035292 - 84151112021</t>
  </si>
  <si>
    <t>Jorge Luis Monroy Herrera</t>
  </si>
  <si>
    <t>Julio Castellanos</t>
  </si>
  <si>
    <t>Juan Pablo Romero Bernal</t>
  </si>
  <si>
    <t>Rosemery Carrillo</t>
  </si>
  <si>
    <t>Angela Patricia Duque Gutierrez</t>
  </si>
  <si>
    <t>Entrega directa</t>
  </si>
  <si>
    <t>Entrega en la bodega a la cliente</t>
  </si>
  <si>
    <t>Ricardo Mesa Gallego</t>
  </si>
  <si>
    <t>Cristian Laguado</t>
  </si>
  <si>
    <t>Carlos Salazar</t>
  </si>
  <si>
    <t>Juan Angulo</t>
  </si>
  <si>
    <t>Octavio De La Hoz Franco</t>
  </si>
  <si>
    <t>CARLOS ARTURO REYES ESCOBAR</t>
  </si>
  <si>
    <t>3038877 -84151113422</t>
  </si>
  <si>
    <t>3041057 -84151114405</t>
  </si>
  <si>
    <t>3041058 -84151114407</t>
  </si>
  <si>
    <t>3041064 -84151114410</t>
  </si>
  <si>
    <t>3041066 -84151114411</t>
  </si>
  <si>
    <t>3041074 -84151114418</t>
  </si>
  <si>
    <t>3041082 -84151114424</t>
  </si>
  <si>
    <t>3041083 -84151114425</t>
  </si>
  <si>
    <t>3041165 -84151114467</t>
  </si>
  <si>
    <t>3041884 - 84151114874</t>
  </si>
  <si>
    <t>3048222 - 84151117369</t>
  </si>
  <si>
    <t>3048263 - 84151117376</t>
  </si>
  <si>
    <t>Manuel eduardo Valdez mantero</t>
  </si>
  <si>
    <t>Rodrigo Rivera</t>
  </si>
  <si>
    <t>María Manuela Bueno Tavera</t>
  </si>
  <si>
    <t>Nicolas Enciso Calle</t>
  </si>
  <si>
    <t>Geovanny Mendoza Gonzalez</t>
  </si>
  <si>
    <t>john ibanez</t>
  </si>
  <si>
    <t>3053751 - 84151119935</t>
  </si>
  <si>
    <t>3053752 - 84151119936</t>
  </si>
  <si>
    <t>3049137 - 84151117798</t>
  </si>
  <si>
    <t>3049139 - 84151117799</t>
  </si>
  <si>
    <t>3050418 - 84151118335</t>
  </si>
  <si>
    <t>3050419 - 84151118336</t>
  </si>
  <si>
    <t>3050613 - 84151118456</t>
  </si>
  <si>
    <t>3050615 - 84151118457</t>
  </si>
  <si>
    <t>3052581 - 84151119369</t>
  </si>
  <si>
    <t>3052583 - 84151119370</t>
  </si>
  <si>
    <t>3053317 - 84151119704</t>
  </si>
  <si>
    <t>3053318 - 84151119705</t>
  </si>
  <si>
    <t>3053377 - 84151119723</t>
  </si>
  <si>
    <t>3053379 - 84151119725</t>
  </si>
  <si>
    <t>3059087 - 84151121970</t>
  </si>
  <si>
    <t>3059089 - 84151121971</t>
  </si>
  <si>
    <t>3059099 - 84151121978</t>
  </si>
  <si>
    <t>3059100 - 84151121979</t>
  </si>
  <si>
    <t>3059107 - 84151121983</t>
  </si>
  <si>
    <t>Patricia Luna Pamplona</t>
  </si>
  <si>
    <t>Edgar Federico Rodríguez Aranda</t>
  </si>
  <si>
    <t>Laura Yepes Aranda</t>
  </si>
  <si>
    <t>TECUAFE</t>
  </si>
  <si>
    <t>Archivador TECU Fresno Europeo</t>
  </si>
  <si>
    <t>Darwin Saenz</t>
  </si>
  <si>
    <t>Andres Adolfo Hernandez Celis</t>
  </si>
  <si>
    <t>Jorge Andrés Martin González</t>
  </si>
  <si>
    <t>Luis Angel Hernandez Barreto</t>
  </si>
  <si>
    <t>Madrid</t>
  </si>
  <si>
    <t>Alejandro León Marín</t>
  </si>
  <si>
    <t>SARA GALLON</t>
  </si>
  <si>
    <t>Johanna Rodero</t>
  </si>
  <si>
    <t>Sebastian Casas</t>
  </si>
  <si>
    <t>3059121 - 84151121990</t>
  </si>
  <si>
    <t>3059122 - 84151121991</t>
  </si>
  <si>
    <t>3059143 - 84151122002</t>
  </si>
  <si>
    <t>3059168 - 84151122021</t>
  </si>
  <si>
    <t>3064792 - 84151123684</t>
  </si>
  <si>
    <t>3064793 - 84151123685</t>
  </si>
  <si>
    <t>3064802 -84151123689</t>
  </si>
  <si>
    <t>3067195 - 954101143183</t>
  </si>
  <si>
    <t>3067483 - 954101143262</t>
  </si>
  <si>
    <t>3064808 - 84151123691</t>
  </si>
  <si>
    <t>3064809 - 84151123692</t>
  </si>
  <si>
    <t>3064827 - 84151123703</t>
  </si>
  <si>
    <t>3076529 - 84151128765</t>
  </si>
  <si>
    <t>3076530 - 84151128766</t>
  </si>
  <si>
    <t>3076861 - 84151128959</t>
  </si>
  <si>
    <t>3076862 - 84151128960</t>
  </si>
  <si>
    <t>3076871 - 84151128965</t>
  </si>
  <si>
    <t>3076866 - 84151128963</t>
  </si>
  <si>
    <t>3079084 - 84151129998</t>
  </si>
  <si>
    <t>3079174 - 954101147482</t>
  </si>
  <si>
    <t>3079240 - 84151130081</t>
  </si>
  <si>
    <t>3079242 - 84151130082</t>
  </si>
  <si>
    <t>Camilo Pimentel Gomez</t>
  </si>
  <si>
    <t>3084198 - 84151132452</t>
  </si>
  <si>
    <t>3084199 - 84151132453</t>
  </si>
  <si>
    <t>rodrigo rivera alarcon</t>
  </si>
  <si>
    <t>Antonella Ramirez</t>
  </si>
  <si>
    <t>Andres Torres</t>
  </si>
  <si>
    <t>Shorelight Education Colombia SAS</t>
  </si>
  <si>
    <t>INMOTICA LTDA</t>
  </si>
  <si>
    <t>Maria Bueno</t>
  </si>
  <si>
    <t>Esteban de Bedout</t>
  </si>
  <si>
    <t>Antonia Estrada</t>
  </si>
  <si>
    <t>ZAFERI SAS</t>
  </si>
  <si>
    <t>Daniel Corrales</t>
  </si>
  <si>
    <t>3085936 - 84151133206</t>
  </si>
  <si>
    <t>3085937 - 84151133207</t>
  </si>
  <si>
    <t>3090347 - 84151134931</t>
  </si>
  <si>
    <t>3090348 - 84151134932</t>
  </si>
  <si>
    <t>3090669 - 84151135081</t>
  </si>
  <si>
    <t>3091001 - 84151135253</t>
  </si>
  <si>
    <t>3091002 - 84151135254</t>
  </si>
  <si>
    <t>3093202 - 84151136273</t>
  </si>
  <si>
    <t>3093203 - 84151136274</t>
  </si>
  <si>
    <t>3093212 - 84151136283</t>
  </si>
  <si>
    <t>3093214 - 84151136284</t>
  </si>
  <si>
    <t>3093225 - 84151136289</t>
  </si>
  <si>
    <t>3093235 - 954101152921</t>
  </si>
  <si>
    <t>3094269 - 954101153161</t>
  </si>
  <si>
    <t>3096424 - 84151137576</t>
  </si>
  <si>
    <t>3096425 - 84151137577</t>
  </si>
  <si>
    <t>3097652 - 954101154334</t>
  </si>
  <si>
    <t>3097666 - 954101154347</t>
  </si>
  <si>
    <t>3105541 - 84151141166</t>
  </si>
  <si>
    <t>3105542 - 84151141167</t>
  </si>
  <si>
    <t>3069906 - 954101144256</t>
  </si>
  <si>
    <t>Kevin Lopez</t>
  </si>
  <si>
    <t>Juan Daniel Tobar Parada / SERVICIOS ESTRATEGICOS CMH, SAPI DE CV</t>
  </si>
  <si>
    <t>Santiago Patiño</t>
  </si>
  <si>
    <t>Laura Romero</t>
  </si>
  <si>
    <t>Oscar Mauricio Pacheco Saavedra</t>
  </si>
  <si>
    <t>Afranio Cardona Gomez</t>
  </si>
  <si>
    <t>Jhon Anderson Monroy Cardenas</t>
  </si>
  <si>
    <t>Jorge Delgado</t>
  </si>
  <si>
    <t>Juan David Herrera Martinez</t>
  </si>
  <si>
    <t>Luis Gabriel García Ramírez</t>
  </si>
  <si>
    <t>Marinilla</t>
  </si>
  <si>
    <t>Jorge Alberto Eslava Cogollos</t>
  </si>
  <si>
    <t>Camilo Luna</t>
  </si>
  <si>
    <t>Katherin Hernández</t>
  </si>
  <si>
    <t>Mauro Aguilar Bustamante</t>
  </si>
  <si>
    <t>Eric Mitchell</t>
  </si>
  <si>
    <t>Daniel Turriago</t>
  </si>
  <si>
    <t>3109084 -84151142667</t>
  </si>
  <si>
    <t>3109085 -84151142668</t>
  </si>
  <si>
    <t>3109094 -84151142672</t>
  </si>
  <si>
    <t>3109095 -84151142673</t>
  </si>
  <si>
    <t>3109970 -84151143085</t>
  </si>
  <si>
    <t>3109971 -84151143086</t>
  </si>
  <si>
    <t>3112625 -84151144131</t>
  </si>
  <si>
    <t>3112627 -84151144132</t>
  </si>
  <si>
    <t>3112637 -84151144139</t>
  </si>
  <si>
    <t>3117134 -84151145965</t>
  </si>
  <si>
    <t>3117136 -84151145966</t>
  </si>
  <si>
    <t>3117170 -84151145983</t>
  </si>
  <si>
    <t>3117207 -84151145988</t>
  </si>
  <si>
    <t>3117224 -84151145997</t>
  </si>
  <si>
    <t>3121638 -84151148036</t>
  </si>
  <si>
    <t>3121640 -84151148037</t>
  </si>
  <si>
    <t>3121907 -84151148156</t>
  </si>
  <si>
    <t>3121913 -84151148159</t>
  </si>
  <si>
    <t>3121937 -84151148173</t>
  </si>
  <si>
    <t>3121938 -84151148174</t>
  </si>
  <si>
    <t>3127560 -84151149937</t>
  </si>
  <si>
    <t>3127562 -84151149938</t>
  </si>
  <si>
    <t>3127712 -84151150031</t>
  </si>
  <si>
    <t>Electric Standing Desk PRO  Negro circular</t>
  </si>
  <si>
    <t>Electric Standing Desk PROBlanco circular</t>
  </si>
  <si>
    <t>3127532 - 84151149926</t>
  </si>
  <si>
    <t>3135236 - 954101167164</t>
  </si>
  <si>
    <t>3127533 - 84151149927</t>
  </si>
  <si>
    <t>3127792 - 84151150086</t>
  </si>
  <si>
    <t>3127888 - 84151150087</t>
  </si>
  <si>
    <t>3131151 - 84151151422</t>
  </si>
  <si>
    <t>3131152 - 84151151424</t>
  </si>
  <si>
    <t>3134270 - 84151152886</t>
  </si>
  <si>
    <t>3134273 - 84151152887</t>
  </si>
  <si>
    <t>3134290 - 84151152892</t>
  </si>
  <si>
    <t>3134293 - 84151152894</t>
  </si>
  <si>
    <t>Julian Vanegas Medina</t>
  </si>
  <si>
    <t>3135222 - 84151153334</t>
  </si>
  <si>
    <t>Nubia Sabogal</t>
  </si>
  <si>
    <t>3137243 - 84151154226</t>
  </si>
  <si>
    <t>3137245 - 84151154228</t>
  </si>
  <si>
    <t>Juan Pablo Castaño Tabares</t>
  </si>
  <si>
    <t>3137375 - 84151154253</t>
  </si>
  <si>
    <t>3137376 - 84151154254</t>
  </si>
  <si>
    <t>Johan Javier Morales Parrado</t>
  </si>
  <si>
    <t>3143030 - 954101169505</t>
  </si>
  <si>
    <t>Hernando Alvernia Navarro</t>
  </si>
  <si>
    <t>Norte de Santander</t>
  </si>
  <si>
    <t>Los patios</t>
  </si>
  <si>
    <t>3144424  - 84151157437</t>
  </si>
  <si>
    <t>3144479 - 84151157466</t>
  </si>
  <si>
    <t>3144499 - 84151157484</t>
  </si>
  <si>
    <t>Juan Sebastian Sanchez Samudio</t>
  </si>
  <si>
    <t>3143050 - 84151156582</t>
  </si>
  <si>
    <t>Miguel Montañez</t>
  </si>
  <si>
    <t>3143067 - 84151156591</t>
  </si>
  <si>
    <t>3143069 - 84151156592</t>
  </si>
  <si>
    <t>Henry Stivent Montaño Ramirez</t>
  </si>
  <si>
    <t>3147502 - 84151158511</t>
  </si>
  <si>
    <t>3147501 - 84151158507</t>
  </si>
  <si>
    <t>edwar camilo ortiz quintero</t>
  </si>
  <si>
    <t>Villa del rosario</t>
  </si>
  <si>
    <t>3148825 - 84151159185</t>
  </si>
  <si>
    <t>3148806 - 84151159175</t>
  </si>
  <si>
    <t>3148859 - 84151159199</t>
  </si>
  <si>
    <t>HECTOR JAVIER LOPEZ DIAZ  - INMOTICA LTDA</t>
  </si>
  <si>
    <t>3148896 - 954101171161</t>
  </si>
  <si>
    <t>Santiago Zapata</t>
  </si>
  <si>
    <t>3151177 - 84151159943</t>
  </si>
  <si>
    <t>3151178 - 84151159946</t>
  </si>
  <si>
    <t>3152104 - 84151160248</t>
  </si>
  <si>
    <t>3152087 - 84151160236</t>
  </si>
  <si>
    <t>Andres Dario Sanchez Lugo</t>
  </si>
  <si>
    <t>3178028 - 84151171291</t>
  </si>
  <si>
    <t>3178029 - 84151171292</t>
  </si>
  <si>
    <t>3178034 - 84151171299</t>
  </si>
  <si>
    <t>3178037 - 84151171301</t>
  </si>
  <si>
    <t>3178038 - 84151171302</t>
  </si>
  <si>
    <t>3178043 - 84151171304</t>
  </si>
  <si>
    <t>TECU3FBCRO</t>
  </si>
  <si>
    <t>Electric Standing Desk  PRO Blanco circular</t>
  </si>
  <si>
    <t>TECU3FNCRO</t>
  </si>
  <si>
    <t>Electric Standing Desk  PRO Negro circular</t>
  </si>
  <si>
    <t>Alejandro Marín Buriticá</t>
  </si>
  <si>
    <t>3163676 - 84151165337</t>
  </si>
  <si>
    <t>3163678 - 84151165339</t>
  </si>
  <si>
    <t>Pablo Velasquez Caro</t>
  </si>
  <si>
    <t>3174414 - 84151169570</t>
  </si>
  <si>
    <t>3174422 - 84151169571</t>
  </si>
  <si>
    <t>David Molano</t>
  </si>
  <si>
    <t>Santa Rosa de Cabal</t>
  </si>
  <si>
    <t>Benhur Hernández</t>
  </si>
  <si>
    <t>Johan Sebastián Hernández Carvajal</t>
  </si>
  <si>
    <t>Copcabana</t>
  </si>
  <si>
    <t>3182578 - 84151173203</t>
  </si>
  <si>
    <t>3182579 - 84151173204</t>
  </si>
  <si>
    <t>Luis Modesto Pacheco Pérez</t>
  </si>
  <si>
    <t>Carlos Andres Urrea Lopez - Yumey A Orozco C</t>
  </si>
  <si>
    <t>3182510 - 84151173153</t>
  </si>
  <si>
    <t>3182512 - 84151173155</t>
  </si>
  <si>
    <t>Maria Garzon</t>
  </si>
  <si>
    <t>jhonnatan gonzalez</t>
  </si>
  <si>
    <t>3183196 - 84151173593</t>
  </si>
  <si>
    <t>3183197 - 84151173594</t>
  </si>
  <si>
    <t>Jorge Madrid</t>
  </si>
  <si>
    <t>Victor Mesa</t>
  </si>
  <si>
    <t>Gabriel Hernández Torres</t>
  </si>
  <si>
    <t>Enrique Sabalza</t>
  </si>
  <si>
    <t>Laura Camila Barrera Hernandéz</t>
  </si>
  <si>
    <t>Siberia</t>
  </si>
  <si>
    <t>Luis Hernando Puerto Rojas</t>
  </si>
  <si>
    <t>Fredy Marin</t>
  </si>
  <si>
    <t>Victor Arias</t>
  </si>
  <si>
    <t>Camilo Andres Talero Neita</t>
  </si>
  <si>
    <t>Estefania Granados</t>
  </si>
  <si>
    <t>3144602 - 84151157538</t>
  </si>
  <si>
    <t>3144603 - 84151157539</t>
  </si>
  <si>
    <t>3144610 - 84151157543</t>
  </si>
  <si>
    <t>3144699 - 84151157571</t>
  </si>
  <si>
    <t>3138978 - 954101168244</t>
  </si>
  <si>
    <t>3191386 - 84151178126</t>
  </si>
  <si>
    <t>3191387 - 84151178127</t>
  </si>
  <si>
    <t>3191393 - 84151178133</t>
  </si>
  <si>
    <t>3195778 - 84151180056</t>
  </si>
  <si>
    <t>3195780 - 84151180057</t>
  </si>
  <si>
    <t>3185566 - 84151174823</t>
  </si>
  <si>
    <t>3185568 - 84151174824</t>
  </si>
  <si>
    <t>3185493 - 84151174778</t>
  </si>
  <si>
    <t>3185494 - 84151174779</t>
  </si>
  <si>
    <t>3188537 - 84151176378</t>
  </si>
  <si>
    <t>3188538 - 84151176379</t>
  </si>
  <si>
    <t>3195822 - 84151180092</t>
  </si>
  <si>
    <t>3195823 - 84151180093</t>
  </si>
  <si>
    <t>3195838 - 84151180106</t>
  </si>
  <si>
    <t>3188548 - 84151176389</t>
  </si>
  <si>
    <t>3190334 - 84151177324</t>
  </si>
  <si>
    <t>3190335 - 84151177325</t>
  </si>
  <si>
    <t>3190344 - 84151177331</t>
  </si>
  <si>
    <t>3190345 - 84151177333</t>
  </si>
  <si>
    <t>3190460 - 84151177408</t>
  </si>
  <si>
    <t>3190605 - 84151177475</t>
  </si>
  <si>
    <t>Novedad error destino</t>
  </si>
  <si>
    <t>Novedad</t>
  </si>
  <si>
    <t>3190606 - 84151177480</t>
  </si>
  <si>
    <t>3204501 - 84151183822</t>
  </si>
  <si>
    <t>3204514 - 84151183826</t>
  </si>
  <si>
    <t>3195887 - 84151180134</t>
  </si>
  <si>
    <t>3195888 - 84151180135</t>
  </si>
  <si>
    <t>3195857 - 84151180115</t>
  </si>
  <si>
    <t>3195858 - 84151180118</t>
  </si>
  <si>
    <t>3196090  - 84151180280</t>
  </si>
  <si>
    <t>3196095 - 84151180284</t>
  </si>
  <si>
    <t>3199745 - 84151181524</t>
  </si>
  <si>
    <t>3199746 - 84151181525</t>
  </si>
  <si>
    <t>Angie Marcela Vargas Pardo</t>
  </si>
  <si>
    <t>3199774 - 84151181537</t>
  </si>
  <si>
    <t>3199776 - 84151181538</t>
  </si>
  <si>
    <t>3205716 - 954101187697</t>
  </si>
  <si>
    <t>3199793 - 84151181545</t>
  </si>
  <si>
    <t>Juan Diego Cruz</t>
  </si>
  <si>
    <t>3202877 - 84151183025</t>
  </si>
  <si>
    <t>Esteban Salazar Zapata</t>
  </si>
  <si>
    <t>3213937 - 84151185713</t>
  </si>
  <si>
    <t>3213938 - 84151185714</t>
  </si>
  <si>
    <t>Mario Alejandro Martinez Perdomo</t>
  </si>
  <si>
    <t>3213994 - 84151185740</t>
  </si>
  <si>
    <t>3213995 - 84151185741</t>
  </si>
  <si>
    <t>Rafael del castillo &amp; cia sa</t>
  </si>
  <si>
    <t>Julian David Montero Gonzalez</t>
  </si>
  <si>
    <t>Juan David ballesteros</t>
  </si>
  <si>
    <t>Andrea Beltran Salazar</t>
  </si>
  <si>
    <t>José Miguel Dueñas Torres</t>
  </si>
  <si>
    <t>Luis Landkoer</t>
  </si>
  <si>
    <t>Rigoberto Castelblanco / HUSKY IMS COLOMBIA LTD</t>
  </si>
  <si>
    <t>Willington Soto Vivescas</t>
  </si>
  <si>
    <t>Ronald Rengifo</t>
  </si>
  <si>
    <t>Adrian Moya</t>
  </si>
  <si>
    <t>Jose David Ludian Cohen</t>
  </si>
  <si>
    <t>Carlos Contreras</t>
  </si>
  <si>
    <t>Chía</t>
  </si>
  <si>
    <t>Jonathan Acero</t>
  </si>
  <si>
    <t>Adrian Cardona</t>
  </si>
  <si>
    <t>Doris Rodríguez</t>
  </si>
  <si>
    <t>Arturo Diuza Cuero</t>
  </si>
  <si>
    <t>Christiana Bowen</t>
  </si>
  <si>
    <t>Natalia Villegas</t>
  </si>
  <si>
    <t>Angie Barbosa Maldonado</t>
  </si>
  <si>
    <t>Carlos Angel</t>
  </si>
  <si>
    <t>Luis Pimiento</t>
  </si>
  <si>
    <t>David Felipe Bayona Heredia</t>
  </si>
  <si>
    <t>Diego Alejandro Forero Walteros</t>
  </si>
  <si>
    <t>Fabian Andres Mojica / COLIBRI IT SAS</t>
  </si>
  <si>
    <t>Carlos Eduardo Ramírez F  / COLIBRI IT SAS</t>
  </si>
  <si>
    <t>Juan David Cubillos Calvachi</t>
  </si>
  <si>
    <t>Sergio Prada</t>
  </si>
  <si>
    <t>Lizeth Manchego</t>
  </si>
  <si>
    <t>Piedacuesta</t>
  </si>
  <si>
    <t>3230437-84151191223</t>
  </si>
  <si>
    <t>3230439-84151191225</t>
  </si>
  <si>
    <t>3230442-84151191228</t>
  </si>
  <si>
    <t>3223029-84151187944</t>
  </si>
  <si>
    <t>3223030-84151187946</t>
  </si>
  <si>
    <t>3222672-84151187728</t>
  </si>
  <si>
    <t>3222674-84151187730</t>
  </si>
  <si>
    <t>3222689-84151187740</t>
  </si>
  <si>
    <t>3222691-84151187741</t>
  </si>
  <si>
    <t>3226991-954101191266</t>
  </si>
  <si>
    <t>3222769-84151187791</t>
  </si>
  <si>
    <t>3222754-84151187780</t>
  </si>
  <si>
    <t>3223053-84151187965</t>
  </si>
  <si>
    <t>3223055-84151187967</t>
  </si>
  <si>
    <t>3227044-84151189694</t>
  </si>
  <si>
    <t>3227045-84151189695</t>
  </si>
  <si>
    <t>3243367-84151196160</t>
  </si>
  <si>
    <t>3243368-84151196161</t>
  </si>
  <si>
    <t>3240492-84151194821</t>
  </si>
  <si>
    <t>3240493-84151194822</t>
  </si>
  <si>
    <t>3240532-84151194845</t>
  </si>
  <si>
    <t>3240516-84151194831</t>
  </si>
  <si>
    <t>3240547-84151194859</t>
  </si>
  <si>
    <t>3241373-84151195322</t>
  </si>
  <si>
    <t>3240730-84151194968</t>
  </si>
  <si>
    <t>3240731-84151194969</t>
  </si>
  <si>
    <t>3243391-84151196175</t>
  </si>
  <si>
    <t>3243392-84151196176</t>
  </si>
  <si>
    <t>3243396-84151196178</t>
  </si>
  <si>
    <t>3253757-84151200430</t>
  </si>
  <si>
    <t>3270225-84151207153</t>
  </si>
  <si>
    <t>3243414-84151196181</t>
  </si>
  <si>
    <t>3243462-84151196208</t>
  </si>
  <si>
    <t>3243463-84151196210</t>
  </si>
  <si>
    <t>3243753-84151196341</t>
  </si>
  <si>
    <t>3243756-84151196342</t>
  </si>
  <si>
    <t>3243788-84151196357</t>
  </si>
  <si>
    <t>3256028-84151201365</t>
  </si>
  <si>
    <t>3256029-84151201366</t>
  </si>
  <si>
    <t>3256053-84151201375</t>
  </si>
  <si>
    <t>3256054-84151201376</t>
  </si>
  <si>
    <t>3256066-84151201384</t>
  </si>
  <si>
    <t>3256077-84151201389</t>
  </si>
  <si>
    <t>3264476-84151205271</t>
  </si>
  <si>
    <t>3264477-84151205272</t>
  </si>
  <si>
    <t>3264481-84151205274</t>
  </si>
  <si>
    <t>3251862-84151199277</t>
  </si>
  <si>
    <t>3251865-84151199278</t>
  </si>
  <si>
    <t>3252191-84151199490</t>
  </si>
  <si>
    <t>3252409-84151199626</t>
  </si>
  <si>
    <t>3252412-84151199628</t>
  </si>
  <si>
    <t>3256310-84151201489</t>
  </si>
  <si>
    <t>3259082-84151202778</t>
  </si>
  <si>
    <t>3259084-84151202780</t>
  </si>
  <si>
    <t>3261909-84151204046</t>
  </si>
  <si>
    <t>3261911-84151204048</t>
  </si>
  <si>
    <t>3261957-84151204068</t>
  </si>
  <si>
    <t>3261958-84151204069</t>
  </si>
  <si>
    <t>3261976-84151204073</t>
  </si>
  <si>
    <t>3261985-84151204075</t>
  </si>
  <si>
    <t>3262209-84151204206</t>
  </si>
  <si>
    <t>3262210-84151204211</t>
  </si>
  <si>
    <t>3262218-84151204217</t>
  </si>
  <si>
    <t>3268967-84151206707</t>
  </si>
  <si>
    <t>3268968-84151206708</t>
  </si>
  <si>
    <t>3269004-84151206724</t>
  </si>
  <si>
    <t>3269006-84151206725</t>
  </si>
  <si>
    <t>3270269-84151207172</t>
  </si>
  <si>
    <t>3270271-84151207173</t>
  </si>
  <si>
    <t>3270272-84151207175</t>
  </si>
  <si>
    <t>3242140-84151195687</t>
  </si>
  <si>
    <t>3242141-84151195688</t>
  </si>
  <si>
    <t>3242151-84151195696</t>
  </si>
  <si>
    <t>3242162-84151195701</t>
  </si>
  <si>
    <t>Se crean las guias por error a otr destino</t>
  </si>
  <si>
    <t>SEAQ HOLDINGS SAS / Andres Mujica</t>
  </si>
  <si>
    <t>Maria Paula Bonilla Gonzalez</t>
  </si>
  <si>
    <t>Fernando Andres Cifuentes Calderon</t>
  </si>
  <si>
    <t>3272935 - 84151208399</t>
  </si>
  <si>
    <t>3272936 - 84151208400</t>
  </si>
  <si>
    <t>3272944 - 84151208407</t>
  </si>
  <si>
    <t>3272954 - 84151208412</t>
  </si>
  <si>
    <t>3273378 - 84151208645</t>
  </si>
  <si>
    <t>3275213 - 84151209472</t>
  </si>
  <si>
    <t>3275215 - 84151209473</t>
  </si>
  <si>
    <t>3275222 - 84151209476</t>
  </si>
  <si>
    <t>3275224 - 84151209477</t>
  </si>
  <si>
    <t>3275233 - 84151209479</t>
  </si>
  <si>
    <t>3280100 - 84151211327</t>
  </si>
  <si>
    <t>3280101 - 84151211328</t>
  </si>
  <si>
    <t>Obsequio</t>
  </si>
  <si>
    <t>Velotax</t>
  </si>
  <si>
    <t>Envio terminal a terminal</t>
  </si>
  <si>
    <t>Andrés Palma Meriño / Abbott Laboratories de Colombia S.A.S</t>
  </si>
  <si>
    <t>Maria Laura Rojas</t>
  </si>
  <si>
    <t>EDDY BENEDICTA PEÑA MORENO</t>
  </si>
  <si>
    <t>Santiago Espitia Giron</t>
  </si>
  <si>
    <t>Jesús David Traslaviña Fuentes</t>
  </si>
  <si>
    <t>Cristhian Camilo Castro Melo</t>
  </si>
  <si>
    <t>Soacha</t>
  </si>
  <si>
    <t>Pedro Vallejo Seade</t>
  </si>
  <si>
    <t>3285771- 84151213469</t>
  </si>
  <si>
    <t>3289518- 84151215417</t>
  </si>
  <si>
    <t>3289520- 84151215419</t>
  </si>
  <si>
    <t>3289506- 84151215414</t>
  </si>
  <si>
    <t>3289257- 954101209673</t>
  </si>
  <si>
    <t>3289550- 84151215430</t>
  </si>
  <si>
    <t>3289551- 84151215431</t>
  </si>
  <si>
    <t>3289628- 84151215449</t>
  </si>
  <si>
    <t>3289629- 84151215450</t>
  </si>
  <si>
    <t>3289643- 84151215458</t>
  </si>
  <si>
    <t>3278750- 84151210701</t>
  </si>
  <si>
    <t>3278751- 84151210702</t>
  </si>
  <si>
    <t>3278760- 84151210708</t>
  </si>
  <si>
    <t>3269598 - 954101203551</t>
  </si>
  <si>
    <t>3278759 - 84151210707</t>
  </si>
  <si>
    <t>Benjamin Norman Baron</t>
  </si>
  <si>
    <t>Christian Rodríguez Caicedo</t>
  </si>
  <si>
    <t>Sergio Vladimir Garcia Galvis</t>
  </si>
  <si>
    <t>Jessica Riano</t>
  </si>
  <si>
    <t>Anwar Chehade</t>
  </si>
  <si>
    <t>Felipe Gomez Castano</t>
  </si>
  <si>
    <t>Jerson Mendoza</t>
  </si>
  <si>
    <t>Carlos Eduardo Cortes Gomez</t>
  </si>
  <si>
    <t>LIONTECH S.A.S</t>
  </si>
  <si>
    <t>Margarita Reyes &amp; HUSKY IMS COLOMBIA LTD.</t>
  </si>
  <si>
    <t>Luis Michel Trujillo</t>
  </si>
  <si>
    <t>Diego Bellon</t>
  </si>
  <si>
    <t>Angelica Obregon</t>
  </si>
  <si>
    <t>Jason Cubides</t>
  </si>
  <si>
    <t>Juan Sebastian Quijano Rodriguez</t>
  </si>
  <si>
    <t>Ivo Leonardo Ochoa Galeano</t>
  </si>
  <si>
    <t>3132159 - 954101166134</t>
  </si>
  <si>
    <t>3179505 - 84151171915</t>
  </si>
  <si>
    <t>Alain Bismark</t>
  </si>
  <si>
    <t>Maria José Pineda Murillo</t>
  </si>
  <si>
    <t>HENRY STIVENS ADARME MUÑOZ</t>
  </si>
  <si>
    <t>Damian Duarte</t>
  </si>
  <si>
    <t>Funza</t>
  </si>
  <si>
    <t>Katherine Rivera</t>
  </si>
  <si>
    <t>ANDRES MAURICIO MANTILLA</t>
  </si>
  <si>
    <t>Maria del Mar Cuadros Collazos</t>
  </si>
  <si>
    <t>Alejandro HERNANDEZ</t>
  </si>
  <si>
    <t>Daniel Bernal</t>
  </si>
  <si>
    <t>Gabriel Herrera Zarate</t>
  </si>
  <si>
    <t>Barrancabermeja</t>
  </si>
  <si>
    <t>Christian Hurtado Ospina</t>
  </si>
  <si>
    <t>Candelaria</t>
  </si>
  <si>
    <t>LEONARDO FONSECA</t>
  </si>
  <si>
    <t>3289726 -84151215497</t>
  </si>
  <si>
    <t>3289727 -84151215498</t>
  </si>
  <si>
    <t>3293085 -84151216809</t>
  </si>
  <si>
    <t>3293087 -84151216810</t>
  </si>
  <si>
    <t>3293346 -84151216936</t>
  </si>
  <si>
    <t>3293348 -84151216938</t>
  </si>
  <si>
    <t>3293285 -84151216902</t>
  </si>
  <si>
    <t>3293294 -84151216907</t>
  </si>
  <si>
    <t>3293276 -84151216896</t>
  </si>
  <si>
    <t>3299173 -84151219490</t>
  </si>
  <si>
    <t>3299174 -84151219491</t>
  </si>
  <si>
    <t>3299184 -84151219494</t>
  </si>
  <si>
    <t>3299911 -84151219835</t>
  </si>
  <si>
    <t>3299912 -84151219837</t>
  </si>
  <si>
    <t>3299916 -84151219838</t>
  </si>
  <si>
    <t>3312736 -954101215391</t>
  </si>
  <si>
    <t>3304708 -84151222141</t>
  </si>
  <si>
    <t>3304710 -84151222143</t>
  </si>
  <si>
    <t>3304674 -84151222130</t>
  </si>
  <si>
    <t>3304677 -84151222133</t>
  </si>
  <si>
    <t>3305441 -84151222584</t>
  </si>
  <si>
    <t>3305443 -84151222586</t>
  </si>
  <si>
    <t>3306649 -84151223326</t>
  </si>
  <si>
    <t>3306728 -84151223369</t>
  </si>
  <si>
    <t>3305206 -84151222430</t>
  </si>
  <si>
    <t>3312804 -84151226481</t>
  </si>
  <si>
    <t>3312805 -84151226482</t>
  </si>
  <si>
    <t>3312815 -84151226486</t>
  </si>
  <si>
    <t>3314209 -84151227311</t>
  </si>
  <si>
    <t>3314210 -84151227312</t>
  </si>
  <si>
    <t>3314227 -84151227322</t>
  </si>
  <si>
    <t>3314531 -84151227501</t>
  </si>
  <si>
    <t>3316912 -84151228610</t>
  </si>
  <si>
    <t>3316913 -84151228611</t>
  </si>
  <si>
    <t>3318734 -84151229697</t>
  </si>
  <si>
    <t>3318738 -84151229700</t>
  </si>
  <si>
    <t>3329190 -84151234549</t>
  </si>
  <si>
    <t>3329191 -84151234550</t>
  </si>
  <si>
    <t>3329210 -84151234561</t>
  </si>
  <si>
    <t>3329211 -84151234562</t>
  </si>
  <si>
    <t>3336854 -84151238405</t>
  </si>
  <si>
    <t>3336855 -84151238406</t>
  </si>
  <si>
    <t>3336868 -84151238412</t>
  </si>
  <si>
    <t>3339519 -84151239641</t>
  </si>
  <si>
    <t>3342080 -84151240722</t>
  </si>
  <si>
    <t>3342141 -84151240759</t>
  </si>
  <si>
    <t>3342142 -84151240760</t>
  </si>
  <si>
    <t>3342475 -84151240946</t>
  </si>
  <si>
    <t>3342476 -84151240947</t>
  </si>
  <si>
    <t>3347321 -84151243010</t>
  </si>
  <si>
    <t>3347323 -84151243012</t>
  </si>
  <si>
    <t>3365198 -84151250496</t>
  </si>
  <si>
    <t>3365213 -84151250509</t>
  </si>
  <si>
    <t>3364457 -84151250134</t>
  </si>
  <si>
    <t>3364460 -84151250136</t>
  </si>
  <si>
    <t>3364484 -84151250150</t>
  </si>
  <si>
    <t>3369690 -954101229262</t>
  </si>
  <si>
    <t>3364626 -84151250223</t>
  </si>
  <si>
    <t>3364629 -84151250225</t>
  </si>
  <si>
    <t>3366052 -84151250990</t>
  </si>
  <si>
    <t>3370951 -84151252868</t>
  </si>
  <si>
    <t>3370952 -84151252869</t>
  </si>
  <si>
    <t>3370320 -84151252652</t>
  </si>
  <si>
    <t>3370321 -84151252654</t>
  </si>
  <si>
    <t>3370334 -84151252662</t>
  </si>
  <si>
    <t>3373416 -84151253901</t>
  </si>
  <si>
    <t>3373418 -84151253903</t>
  </si>
  <si>
    <t>3373425 -84151253905</t>
  </si>
  <si>
    <t>3373436 -84151253913</t>
  </si>
  <si>
    <t>3383394 -84151258353</t>
  </si>
  <si>
    <t>3383395 -84151258354</t>
  </si>
  <si>
    <t>3383786 -84151258597</t>
  </si>
  <si>
    <t>3386668 -954101233039</t>
  </si>
  <si>
    <t>3364883 - 84151250377</t>
  </si>
  <si>
    <t>Cliente pide cambio por novedad en personalizacion</t>
  </si>
  <si>
    <t>Andres Ortega</t>
  </si>
  <si>
    <t>Bolivar</t>
  </si>
  <si>
    <t>Brigitte Carmona</t>
  </si>
  <si>
    <t>Juan Pablo Luquerna Recalde</t>
  </si>
  <si>
    <t>Edwin Naranjo Sierra</t>
  </si>
  <si>
    <t>DAYANA LEON</t>
  </si>
  <si>
    <t>Carlos Londono</t>
  </si>
  <si>
    <t>Sofhía Velásquez</t>
  </si>
  <si>
    <t>Jose Henry Guevara Sánchez</t>
  </si>
  <si>
    <t>TECUTRM8M</t>
  </si>
  <si>
    <t>Superficie Roble Miel 180x70 Moderno</t>
  </si>
  <si>
    <t>Alberto Almario</t>
  </si>
  <si>
    <t>cristhian Sabino ramirez Martinez</t>
  </si>
  <si>
    <t>Katherine Velilla García</t>
  </si>
  <si>
    <t>Copacabana</t>
  </si>
  <si>
    <t>Anna Christina Kindgren Diaz</t>
  </si>
  <si>
    <t>Oriana Camila Rodriguez Ruiz</t>
  </si>
  <si>
    <t>Leonardo Malavera Gomez</t>
  </si>
  <si>
    <t>Alexandre Montoya</t>
  </si>
  <si>
    <t>Cartago</t>
  </si>
  <si>
    <t>Frank Carlos Rubiano</t>
  </si>
  <si>
    <t>Alejandro Franco</t>
  </si>
  <si>
    <t>Fredy Gonzalez</t>
  </si>
  <si>
    <t>Sabanalarga</t>
  </si>
  <si>
    <t>Edward Ferraro Reyes</t>
  </si>
  <si>
    <t>Luis Valencia</t>
  </si>
  <si>
    <t>Nicholas Austin</t>
  </si>
  <si>
    <t>RODRIGO BELLO</t>
  </si>
  <si>
    <t>Richard Ardila Hernandez</t>
  </si>
  <si>
    <t>Andrea Prieto</t>
  </si>
  <si>
    <t>Miguel Berrío Vélez</t>
  </si>
  <si>
    <t>Luccas Rojas</t>
  </si>
  <si>
    <t>Harlin Acero</t>
  </si>
  <si>
    <t>Thomas Masmela</t>
  </si>
  <si>
    <t>Hugo Alban</t>
  </si>
  <si>
    <t>Nicolas Arocha</t>
  </si>
  <si>
    <t>David Alejandro Villa Agudelo</t>
  </si>
  <si>
    <t>MODULARIS COLOMBIA SAS</t>
  </si>
  <si>
    <t>NAYIBE ORJUELA</t>
  </si>
  <si>
    <t>Sergio Lopez</t>
  </si>
  <si>
    <t>Cristian Navarro</t>
  </si>
  <si>
    <t>Oscar Castro</t>
  </si>
  <si>
    <t>Hernando Uribe</t>
  </si>
  <si>
    <t>Miguel Angel Diaz Rodríguez</t>
  </si>
  <si>
    <t>Jhon Fredy Rincon Santamaria</t>
  </si>
  <si>
    <t>Mauricio Andres Ortega Marin</t>
  </si>
  <si>
    <t>Claudia Martinez</t>
  </si>
  <si>
    <t>Juan Pablo Garrido</t>
  </si>
  <si>
    <t>LUIS FERNANDO AMEZQUITA VASQUEZ</t>
  </si>
  <si>
    <t>felipe lopera</t>
  </si>
  <si>
    <t>Juan Camilo Cardenas</t>
  </si>
  <si>
    <t>RAG TECH SAS</t>
  </si>
  <si>
    <t>Santiago Chica</t>
  </si>
  <si>
    <t>jhon roa</t>
  </si>
  <si>
    <t>Andrea Guerra</t>
  </si>
  <si>
    <t>Santiago Muñoz Ortega</t>
  </si>
  <si>
    <t>Cesar Augusto Mancipe Sanabria</t>
  </si>
  <si>
    <t>Juan Gomez</t>
  </si>
  <si>
    <t>Laura Beltran</t>
  </si>
  <si>
    <t>Lenna Maria Vides Sanchez</t>
  </si>
  <si>
    <t>Mario Martinez</t>
  </si>
  <si>
    <t>Andrés Godoy</t>
  </si>
  <si>
    <t>Cristian Gabriel Contreras Garcia</t>
  </si>
  <si>
    <t>Cucuta</t>
  </si>
  <si>
    <t>César Forero</t>
  </si>
  <si>
    <t>GitLab Foundation</t>
  </si>
  <si>
    <t>Jorge Andres Diaz Naranjo</t>
  </si>
  <si>
    <t>John Alejandro Nuñez Giraldo</t>
  </si>
  <si>
    <t>Andrés Sneider García Quintero</t>
  </si>
  <si>
    <t>Ivan Alberto Macea Hernandez</t>
  </si>
  <si>
    <t>Jaider Martinez</t>
  </si>
  <si>
    <t>Maria Fernanda Almonacid Ibarra</t>
  </si>
  <si>
    <t>Jhonatan Steven Yepes</t>
  </si>
  <si>
    <t>Adán Osorio</t>
  </si>
  <si>
    <t>Jesus Garcia</t>
  </si>
  <si>
    <t>Martin Schuchardt</t>
  </si>
  <si>
    <t>Alejandra Brausin</t>
  </si>
  <si>
    <t>Jeison Gabriel Hurtado Cabrera // I.A.S. Ingeniería, Aplicaciones y Software S.A.S.</t>
  </si>
  <si>
    <t>David Valero</t>
  </si>
  <si>
    <t>Sergio David Garcia Morales</t>
  </si>
  <si>
    <t>Anderson Gutierrez</t>
  </si>
  <si>
    <t>Camila Santana</t>
  </si>
  <si>
    <t>Juan Pablo Reyes</t>
  </si>
  <si>
    <t>JUAN SEBASTIAN QUIJANO RODRIGUEZ / HL ABOGADOS Y AUDITORES SAS</t>
  </si>
  <si>
    <t>Cristhian Sabino Ramirez Martinez</t>
  </si>
  <si>
    <t xml:space="preserve">Tomas Ortiz Perez / Carrocerias Antioquia SA </t>
  </si>
  <si>
    <t>Juan Lizcano</t>
  </si>
  <si>
    <t>Viviana Maldonado</t>
  </si>
  <si>
    <t>Elias Rodelo</t>
  </si>
  <si>
    <t>Giovanny Gomez</t>
  </si>
  <si>
    <t>Santuario</t>
  </si>
  <si>
    <t>jose david carrillo lozano</t>
  </si>
  <si>
    <t>Andres Naranjo</t>
  </si>
  <si>
    <t>Santiago Quevedo</t>
  </si>
  <si>
    <t>Alejandro Velez Grajales</t>
  </si>
  <si>
    <t>Sebastian Guerrero / Productos Disanfer SAS</t>
  </si>
  <si>
    <t>Nancy Ballesteros / Sense Design SAS</t>
  </si>
  <si>
    <t>Alejandro Dueñas Garcia</t>
  </si>
  <si>
    <t>alejandro herreño</t>
  </si>
  <si>
    <t>3383969 - 954101232498</t>
  </si>
  <si>
    <t>3383902 - 84151258654</t>
  </si>
  <si>
    <t>3383417 - 84151258370</t>
  </si>
  <si>
    <t>3383419 - 84151258371</t>
  </si>
  <si>
    <t>3383447 - 84151258389</t>
  </si>
  <si>
    <t>3383461 - 954101232360</t>
  </si>
  <si>
    <t>3385049 - 84151259302</t>
  </si>
  <si>
    <t>3385051 - 84151259304</t>
  </si>
  <si>
    <t>3385138 - 84151259349</t>
  </si>
  <si>
    <t>3385060 - 84151259310</t>
  </si>
  <si>
    <t>3385062 - 84151259311</t>
  </si>
  <si>
    <t>3385154 - 84151259359</t>
  </si>
  <si>
    <t>3383501 - 84151258423</t>
  </si>
  <si>
    <t>3383517 - 84151258435</t>
  </si>
  <si>
    <t>3383518 - 84151258436</t>
  </si>
  <si>
    <t>3386724 - 84151259882</t>
  </si>
  <si>
    <t>3387244 - 84151260111</t>
  </si>
  <si>
    <t>3387247 - 84151260113</t>
  </si>
  <si>
    <t>3388396 - 84151260586</t>
  </si>
  <si>
    <t>3388397 - 84151260587</t>
  </si>
  <si>
    <t>3390514 - 954101233899</t>
  </si>
  <si>
    <t>3388400 - 84151260590</t>
  </si>
  <si>
    <t>3388404 - 84151260591</t>
  </si>
  <si>
    <t>3390673 - 84151261659</t>
  </si>
  <si>
    <t>3390674 - 84151261660</t>
  </si>
  <si>
    <t>3393621 - 954101234711</t>
  </si>
  <si>
    <t>3393629 - 84151262940</t>
  </si>
  <si>
    <t>3393630 - 84151262941</t>
  </si>
  <si>
    <t>3393650 - 84151262943</t>
  </si>
  <si>
    <t xml:space="preserve">3397716 - 84151263886 </t>
  </si>
  <si>
    <t>3397719 - 84151263888</t>
  </si>
  <si>
    <t>3397880 - 84151263950</t>
  </si>
  <si>
    <t>3397882 - 84151263952</t>
  </si>
  <si>
    <t>3397899 - 84151263957</t>
  </si>
  <si>
    <t>3404316 - 84151266205</t>
  </si>
  <si>
    <t>3404317 - 84151266206</t>
  </si>
  <si>
    <t>3404336 - 84151266214</t>
  </si>
  <si>
    <t>3404344 - 84151266220</t>
  </si>
  <si>
    <t>3404516 - 84151266312</t>
  </si>
  <si>
    <t>3404518 - 84151266314</t>
  </si>
  <si>
    <t>3404537 - 84151266320</t>
  </si>
  <si>
    <t>3404017 - 84151266051</t>
  </si>
  <si>
    <t>3404019 - 84151266052</t>
  </si>
  <si>
    <t>3404807 - 84151266476</t>
  </si>
  <si>
    <t>3404808 - 84151266477</t>
  </si>
  <si>
    <t>3407567 - 954101237883</t>
  </si>
  <si>
    <t>3411404 - 84151269328</t>
  </si>
  <si>
    <t>3411405 - 84151269329</t>
  </si>
  <si>
    <t>3414277 - 84151270498</t>
  </si>
  <si>
    <t>3414278 - 84151270499</t>
  </si>
  <si>
    <t>3411475 - 84151269372</t>
  </si>
  <si>
    <t>3414291 - 954101239801</t>
  </si>
  <si>
    <t>3414325 - 84151270524</t>
  </si>
  <si>
    <t>3417032 - 84151271833</t>
  </si>
  <si>
    <t>3417033 - 84151271834</t>
  </si>
  <si>
    <t>3417040 - 84151271838</t>
  </si>
  <si>
    <t>3417051 - 84151271841</t>
  </si>
  <si>
    <t>3423093 - 84151274331</t>
  </si>
  <si>
    <t>3423097 - 84151274334</t>
  </si>
  <si>
    <t>3423312 - 954101242427</t>
  </si>
  <si>
    <t>3423132 - 84151274353</t>
  </si>
  <si>
    <t>3423114 - 84151274344</t>
  </si>
  <si>
    <t>3423184 - 84151274377</t>
  </si>
  <si>
    <t>3423161 - 84151274363</t>
  </si>
  <si>
    <t>3426486 - 84151275801</t>
  </si>
  <si>
    <t>3429229 - 84151277047</t>
  </si>
  <si>
    <t>3429352 - 84151277060</t>
  </si>
  <si>
    <t>3429388 - 84151277073</t>
  </si>
  <si>
    <t>3429407 - 84151277085</t>
  </si>
  <si>
    <t>3432184 - 84151278502</t>
  </si>
  <si>
    <t>3432197 - 84151278515</t>
  </si>
  <si>
    <t>3439945 - 84151281832</t>
  </si>
  <si>
    <t>3439976 - 84151281842</t>
  </si>
  <si>
    <t>3439918 - 84151281819 // 3438430 - 84151281038</t>
  </si>
  <si>
    <t>3432963 - 84151278934</t>
  </si>
  <si>
    <t>3432973 - 84151278941</t>
  </si>
  <si>
    <t>3432983 - 84151278947</t>
  </si>
  <si>
    <t>3432352 - 84151278593</t>
  </si>
  <si>
    <t>3433016 - 84151278966</t>
  </si>
  <si>
    <t>3433028- 84151278970</t>
  </si>
  <si>
    <t>3440083 - 84151281888</t>
  </si>
  <si>
    <t>3440105 - 84151281901</t>
  </si>
  <si>
    <t>3440457 - 84151282118</t>
  </si>
  <si>
    <t>3443015 - 84151283088</t>
  </si>
  <si>
    <t>3443031 - 84151283096</t>
  </si>
  <si>
    <t>3502488-84151306580</t>
  </si>
  <si>
    <t>3502490-84151306581</t>
  </si>
  <si>
    <t>3502491-84151306582</t>
  </si>
  <si>
    <t>3502494-84151306584</t>
  </si>
  <si>
    <t>3461574-84151290812</t>
  </si>
  <si>
    <t>3461575-84151290813</t>
  </si>
  <si>
    <t>3440751-84151282262</t>
  </si>
  <si>
    <t>3444656-84151283663</t>
  </si>
  <si>
    <t>3444683-84151283672</t>
  </si>
  <si>
    <t>3444629-84151283647</t>
  </si>
  <si>
    <t>3448094-84151285130</t>
  </si>
  <si>
    <t>3448161-84151285156</t>
  </si>
  <si>
    <t>3448170-84151285159</t>
  </si>
  <si>
    <t>3448184-84151285163</t>
  </si>
  <si>
    <t>3450640-84151286233</t>
  </si>
  <si>
    <t>3450778-84151286248</t>
  </si>
  <si>
    <t>3461465-84151290787</t>
  </si>
  <si>
    <t>3461468-84151290789</t>
  </si>
  <si>
    <t>3461582-84151290821</t>
  </si>
  <si>
    <t>3456415-84151288616</t>
  </si>
  <si>
    <t>3456252-84151288525</t>
  </si>
  <si>
    <t>3461970-84151290869</t>
  </si>
  <si>
    <t>3461971-84151290870</t>
  </si>
  <si>
    <t>3462523-84151291069</t>
  </si>
  <si>
    <t>3462380-84151291048</t>
  </si>
  <si>
    <t>3472571-84151295219</t>
  </si>
  <si>
    <t>3457094-84151288948</t>
  </si>
  <si>
    <t>3461731-84151290825</t>
  </si>
  <si>
    <t>3461733-84151290827</t>
  </si>
  <si>
    <t>3461848-84151290849</t>
  </si>
  <si>
    <t>3461864-84151290858</t>
  </si>
  <si>
    <t>3465164-84151292097</t>
  </si>
  <si>
    <t>3465267-84151292166</t>
  </si>
  <si>
    <t>3465269-84151292168</t>
  </si>
  <si>
    <t>3465340-84151292209</t>
  </si>
  <si>
    <t>3465309-84151292197</t>
  </si>
  <si>
    <t>3465205-954101253251</t>
  </si>
  <si>
    <t>3469342-84151293871</t>
  </si>
  <si>
    <t>3477954-954101256343</t>
  </si>
  <si>
    <t>3466116-84151292584</t>
  </si>
  <si>
    <t>3466118-84151292586</t>
  </si>
  <si>
    <t>3469382-84151293880</t>
  </si>
  <si>
    <t>3465432-84151292246</t>
  </si>
  <si>
    <t>3465433-84151292247</t>
  </si>
  <si>
    <t>3468420-84151293439</t>
  </si>
  <si>
    <t>3468988-84151293735</t>
  </si>
  <si>
    <t>3490689-84151301558</t>
  </si>
  <si>
    <t>3490690-84151301559</t>
  </si>
  <si>
    <t>3477995-84151296827</t>
  </si>
  <si>
    <t>3477996-84151296828</t>
  </si>
  <si>
    <t>3479281-84151297305</t>
  </si>
  <si>
    <t>3479284-84151297307</t>
  </si>
  <si>
    <t>3482378-84151298529</t>
  </si>
  <si>
    <t>3482380-84151298530</t>
  </si>
  <si>
    <t>3487504-84151300216</t>
  </si>
  <si>
    <t>3487505-84151300217</t>
  </si>
  <si>
    <t>3488737-84151300710</t>
  </si>
  <si>
    <t>3490713-84151301572</t>
  </si>
  <si>
    <t>3490717-84151301574</t>
  </si>
  <si>
    <t>3487537-84151300233</t>
  </si>
  <si>
    <t>3487538-84151300234</t>
  </si>
  <si>
    <t>3488580-84151300694</t>
  </si>
  <si>
    <t>3491793-84151302100</t>
  </si>
  <si>
    <t>3491773-84151302096</t>
  </si>
  <si>
    <t>3499232-84151305173</t>
  </si>
  <si>
    <t>3503307-84151306936</t>
  </si>
  <si>
    <t>3503308-84151306937</t>
  </si>
  <si>
    <t>3503344-84151306944</t>
  </si>
  <si>
    <t>3503249-84151306899</t>
  </si>
  <si>
    <t>3503254-84151306903</t>
  </si>
  <si>
    <t>3508776-84151309296</t>
  </si>
  <si>
    <t>3508778-84151309298</t>
  </si>
  <si>
    <t>3506037-84151308167</t>
  </si>
  <si>
    <t>3506038-84151308168</t>
  </si>
  <si>
    <t>3506051-84151308176</t>
  </si>
  <si>
    <t>3508852-84151309317</t>
  </si>
  <si>
    <t>3508854-84151309318</t>
  </si>
  <si>
    <t>3512271-84151310773</t>
  </si>
  <si>
    <t>3512274-84151310774</t>
  </si>
  <si>
    <t>3520404-954101266645</t>
  </si>
  <si>
    <t>3512355-84151310814</t>
  </si>
  <si>
    <t>3512356-84151310815</t>
  </si>
  <si>
    <t>3512361-84151310817</t>
  </si>
  <si>
    <t>3512362-84151310818</t>
  </si>
  <si>
    <t>3516572-84151312542</t>
  </si>
  <si>
    <t>3516587-84151312553</t>
  </si>
  <si>
    <t>3516590-84151312555</t>
  </si>
  <si>
    <t>3516629-84151312576</t>
  </si>
  <si>
    <t>3516631-84151312577</t>
  </si>
  <si>
    <t>3516669-84151312589</t>
  </si>
  <si>
    <t>3516672-84151312590</t>
  </si>
  <si>
    <t>3523261-84151315791</t>
  </si>
  <si>
    <t>3523422-84151315863</t>
  </si>
  <si>
    <t>3539304-84151322827</t>
  </si>
  <si>
    <t>3529308-84151318310</t>
  </si>
  <si>
    <t>3529309-84151318311</t>
  </si>
  <si>
    <t>3534501-84151320634</t>
  </si>
  <si>
    <t>3534503-84151320636</t>
  </si>
  <si>
    <t>3534543-84151320660</t>
  </si>
  <si>
    <t>3534545-84151320661</t>
  </si>
  <si>
    <t>3539229-84151322804</t>
  </si>
  <si>
    <t>3539231-84151322805</t>
  </si>
  <si>
    <t>3539239-84151322810</t>
  </si>
  <si>
    <t>3541457-84151323738</t>
  </si>
  <si>
    <t>3541460-84151323739</t>
  </si>
  <si>
    <t>3541468-84151323745</t>
  </si>
  <si>
    <t>3541472-84151323746</t>
  </si>
  <si>
    <t>3544855-84151325297</t>
  </si>
  <si>
    <t>3544856-84151325298</t>
  </si>
  <si>
    <t>3544990-84151325376</t>
  </si>
  <si>
    <t>3544991-84151325377</t>
  </si>
  <si>
    <t>3550220-954101274421</t>
  </si>
  <si>
    <t>3544929-84151325346</t>
  </si>
  <si>
    <t>3544930-84151325347</t>
  </si>
  <si>
    <t>3554342-84151329239</t>
  </si>
  <si>
    <t>3554345-84151329240</t>
  </si>
  <si>
    <t>3555315-84151329621</t>
  </si>
  <si>
    <t>3555317-84151329622</t>
  </si>
  <si>
    <t>3555324-84151329623</t>
  </si>
  <si>
    <t>3561538-84151332165</t>
  </si>
  <si>
    <t>3561546-84151332169</t>
  </si>
  <si>
    <t>3561549-84151332170</t>
  </si>
  <si>
    <t>3564886-84151333337</t>
  </si>
  <si>
    <t>3564887-84151333338</t>
  </si>
  <si>
    <t>3570815-84151335460</t>
  </si>
  <si>
    <t>3570816-84151335461</t>
  </si>
  <si>
    <t>3570839-84151335471</t>
  </si>
  <si>
    <t>3570878-84151335490</t>
  </si>
  <si>
    <t>3574929-84151337178</t>
  </si>
  <si>
    <t>3574930-84151337179</t>
  </si>
  <si>
    <t>3574972-84151337198</t>
  </si>
  <si>
    <t>3574973-84151337199</t>
  </si>
  <si>
    <t>3575124-84151337269</t>
  </si>
  <si>
    <t>3575125-84151337270</t>
  </si>
  <si>
    <t>3595004-954101284712</t>
  </si>
  <si>
    <t>3577663-84151338324</t>
  </si>
  <si>
    <t>3577664-84151338325</t>
  </si>
  <si>
    <t>3577680-84151338329</t>
  </si>
  <si>
    <t>3577738-84151338351</t>
  </si>
  <si>
    <t>3577739-84151338352</t>
  </si>
  <si>
    <t>3577757-84151338354</t>
  </si>
  <si>
    <t>3577771-84151338374</t>
  </si>
  <si>
    <t>3577772-84151338376</t>
  </si>
  <si>
    <t>3577781-84151338377</t>
  </si>
  <si>
    <t>3595018-84151345133</t>
  </si>
  <si>
    <t>3595019-84151345134</t>
  </si>
  <si>
    <t>3595031-84151345138</t>
  </si>
  <si>
    <t>3595032-84151345139</t>
  </si>
  <si>
    <t>3595040-84151345144</t>
  </si>
  <si>
    <t>3502518-84151306592</t>
  </si>
  <si>
    <t>3502519-84151306593</t>
  </si>
  <si>
    <t>3593945-84151344669</t>
  </si>
  <si>
    <t>3594583-954101284510</t>
  </si>
  <si>
    <t>David Fernando Ordoñez Vargas</t>
  </si>
  <si>
    <t>Villavicencio</t>
  </si>
  <si>
    <t>Jorge Enrique Galindez</t>
  </si>
  <si>
    <t>Alfredo Chuscano</t>
  </si>
  <si>
    <t>JUAN SEBASTIAN ZULUAGA</t>
  </si>
  <si>
    <t>ELEV8 MEDIA SAS LUISA SANCHEZ</t>
  </si>
  <si>
    <t>Diego Fernando Franco Gonzalez</t>
  </si>
  <si>
    <t>Dolf Bouwe Joseph August Andringa</t>
  </si>
  <si>
    <t>Miguel Angel Romero Olaya</t>
  </si>
  <si>
    <t>alex castro</t>
  </si>
  <si>
    <t>Laura Ximena Urueña Camacho</t>
  </si>
  <si>
    <t>Matias Velez</t>
  </si>
  <si>
    <t>Manuel Agudelo</t>
  </si>
  <si>
    <t>Julio Álvarez</t>
  </si>
  <si>
    <t>Valle del cauca</t>
  </si>
  <si>
    <t>Buga</t>
  </si>
  <si>
    <t>Frank Leao Serrato</t>
  </si>
  <si>
    <t>Juan Jose Castaño</t>
  </si>
  <si>
    <t>Diego Beltrán</t>
  </si>
  <si>
    <t>Lucas Salazar</t>
  </si>
  <si>
    <t>Green Motion SAS</t>
  </si>
  <si>
    <t>Se despachan por error circulares sin serlo inicilamente</t>
  </si>
  <si>
    <t>Luis</t>
  </si>
  <si>
    <t>James</t>
  </si>
  <si>
    <t>Luis - Marketing</t>
  </si>
  <si>
    <t>James - Marketing</t>
  </si>
  <si>
    <t>3469534 - 84151293954</t>
  </si>
  <si>
    <t>3469565 - 84151293964</t>
  </si>
  <si>
    <t>3469617 - 84151293980</t>
  </si>
  <si>
    <t>3469599 - 84151293976</t>
  </si>
  <si>
    <t>3491818 - 84151302131</t>
  </si>
  <si>
    <t>OSCAR FORERO - SENSE DESIGN SAS</t>
  </si>
  <si>
    <t>Alejandro Barragan</t>
  </si>
  <si>
    <t>2D ARQUITECTOS SAS SAS</t>
  </si>
  <si>
    <t>WILSON CARO</t>
  </si>
  <si>
    <t>Juan Camilo Díaz Hernández</t>
  </si>
  <si>
    <t>Luis Miguel Arroyave Trujillo</t>
  </si>
  <si>
    <t>Jose Mateo Vidal Barrera</t>
  </si>
  <si>
    <t>FRANCO GROUP SA</t>
  </si>
  <si>
    <t>Diego Rodriguez Baquero</t>
  </si>
  <si>
    <t>Hugo Prieto</t>
  </si>
  <si>
    <t>Lorena Rincón</t>
  </si>
  <si>
    <t>Jose Luis Diaz</t>
  </si>
  <si>
    <t>Carlos Agudelo</t>
  </si>
  <si>
    <t>YENIREE LEAL</t>
  </si>
  <si>
    <t>Abstrabyte SAS</t>
  </si>
  <si>
    <t>Santiago Carmona Rincon</t>
  </si>
  <si>
    <t>Oscar Solano</t>
  </si>
  <si>
    <t>wpd Colombia SAS -</t>
  </si>
  <si>
    <t>Gabriel Mejia</t>
  </si>
  <si>
    <t>TECUTCO2C-60</t>
  </si>
  <si>
    <t>Superficie Escritorio Caramelo 120x60 Clasico Small</t>
  </si>
  <si>
    <t>TECUTCO3C-60</t>
  </si>
  <si>
    <t>Superficie Escritorio Caramelo 130x60 Clasico</t>
  </si>
  <si>
    <t>TECUTCO4C-60</t>
  </si>
  <si>
    <t>Superficie Escritorio Caramelo 140x60 Clasico</t>
  </si>
  <si>
    <t>TECUTCO5C-60</t>
  </si>
  <si>
    <t>Superficie Escritorio Caramelo 150x60 Clasico</t>
  </si>
  <si>
    <t>TECUTCO6C-60</t>
  </si>
  <si>
    <t>Superficie Escritorio Caramelo 160x60 Clasico</t>
  </si>
  <si>
    <t>TECUTCO7C-60</t>
  </si>
  <si>
    <t>Superficie Escritorio Caramelo 170x60 Clasico</t>
  </si>
  <si>
    <t>TECUTCO8C-60</t>
  </si>
  <si>
    <t>Superficie Escritorio Caramelo 180x60 Clasico</t>
  </si>
  <si>
    <t>TECUTCO9C-60</t>
  </si>
  <si>
    <t>Superficie Escritorio Caramelo 190x60 Clasico</t>
  </si>
  <si>
    <t>TECUTCO20C-60</t>
  </si>
  <si>
    <t>Superficie Escritorio Caramelo 200x60 Clasico</t>
  </si>
  <si>
    <t>TECUTCO2C-80</t>
  </si>
  <si>
    <t>Superficie Escritorio Caramelo 120x80 Clasico Small</t>
  </si>
  <si>
    <t>TECUTCO3C-80</t>
  </si>
  <si>
    <t>Superficie Escritorio Caramelo 130x80 Clasico</t>
  </si>
  <si>
    <t>TECUTCO4C-80</t>
  </si>
  <si>
    <t>Superficie Escritorio Caramelo 140x80 Clasico</t>
  </si>
  <si>
    <t>TECUTCO5C-80</t>
  </si>
  <si>
    <t>Superficie Escritorio Caramelo 150x80 Clasico</t>
  </si>
  <si>
    <t>TECUTCO6C-80</t>
  </si>
  <si>
    <t>Superficie Escritorio Caramelo 160x80 Clasico</t>
  </si>
  <si>
    <t>TECUTCO7C-80</t>
  </si>
  <si>
    <t>Superficie Escritorio Caramelo 170x80 Clasico</t>
  </si>
  <si>
    <t>TECUTCO8C-80</t>
  </si>
  <si>
    <t>Superficie Escritorio Caramelo 180x80 Clasico</t>
  </si>
  <si>
    <t>TECUTCO9C-80</t>
  </si>
  <si>
    <t>Superficie Escritorio Caramelo 190x80 Clasico</t>
  </si>
  <si>
    <t>TECUTCO20C-80</t>
  </si>
  <si>
    <t>Superficie Escritorio Caramelo 200x80 Clasico</t>
  </si>
  <si>
    <t>TECUTFE2C-60</t>
  </si>
  <si>
    <t>Superficie Escritorio Fresno Europeo 120x60 Clasico Small</t>
  </si>
  <si>
    <t>TECUTFE3C-60</t>
  </si>
  <si>
    <t>Superficie Escritorio Fresno Europeo 130x60 Clasico</t>
  </si>
  <si>
    <t>TECUTFE4C-60</t>
  </si>
  <si>
    <t>Superficie Escritorio Fresno Europeo 140x60 Clasico</t>
  </si>
  <si>
    <t>TECUTFE5C-60</t>
  </si>
  <si>
    <t>Superficie Escritorio Fresno Europeo 150x60 Clasico</t>
  </si>
  <si>
    <t>TECUTFE6C-60</t>
  </si>
  <si>
    <t>Superficie Escritorio Fresno Europeo 160x60 Clasico</t>
  </si>
  <si>
    <t>TECUTFE7C-60</t>
  </si>
  <si>
    <t>Superficie Escritorio Fresno Europeo 170x60 Clasico</t>
  </si>
  <si>
    <t>TECUTFE8C-60</t>
  </si>
  <si>
    <t>Superficie Escritorio Fresno Europeo 180x60 Clasico</t>
  </si>
  <si>
    <t>TECUTFE20C-60</t>
  </si>
  <si>
    <t>Superficie Escritorio Fresno Europeo 200x60 Clasico</t>
  </si>
  <si>
    <t>TECUTFE2C-80</t>
  </si>
  <si>
    <t>Superficie Escritorio Fresno Europeo 120x80 Clasico Small</t>
  </si>
  <si>
    <t>TECUTFE3C-80</t>
  </si>
  <si>
    <t>Superficie Escritorio Fresno Europeo 130x80 Clasico</t>
  </si>
  <si>
    <t>TECUTFE4C-80</t>
  </si>
  <si>
    <t>Superficie Escritorio Fresno Europeo 140x80 Clasico</t>
  </si>
  <si>
    <t>TECUTFE5C-80</t>
  </si>
  <si>
    <t>Superficie Escritorio Fresno Europeo 150x80 Clasico</t>
  </si>
  <si>
    <t>TECUTFE6C-80</t>
  </si>
  <si>
    <t>Superficie Escritorio Fresno Europeo 160x80 Clasico</t>
  </si>
  <si>
    <t>TECUTFE7C-80</t>
  </si>
  <si>
    <t>Superficie Escritorio Fresno Europeo 170x80 Clasico</t>
  </si>
  <si>
    <t>TECUTFE8C-80</t>
  </si>
  <si>
    <t>Superficie Escritorio Fresno Europeo 180x80 Clasico</t>
  </si>
  <si>
    <t>TECUTFE20C-80</t>
  </si>
  <si>
    <t>Superficie Escritorio Fresno Europeo 200x80 Clasico</t>
  </si>
  <si>
    <t>TECUTRN2C-60</t>
  </si>
  <si>
    <t>Superficie Escritorio Roble Negro 120x60 Clasico Small</t>
  </si>
  <si>
    <t>TECUTRN3C-60</t>
  </si>
  <si>
    <t>Superficie Escritorio Roble Negro 130x60 Clasico</t>
  </si>
  <si>
    <t>TECUTRN4C-60</t>
  </si>
  <si>
    <t>Superficie Escritorio Roble Negro 140x60 Clasico</t>
  </si>
  <si>
    <t>TECUTRN5C-60</t>
  </si>
  <si>
    <t>Superficie Escritorio Roble Negro 150x60 Clasico</t>
  </si>
  <si>
    <t>TECUTRN6C-60</t>
  </si>
  <si>
    <t>Superficie Escritorio Roble Negro 160x60 Clasico</t>
  </si>
  <si>
    <t>TECUTRN7C-60</t>
  </si>
  <si>
    <t>Superficie Escritorio Roble Negro 170x60 Clasico</t>
  </si>
  <si>
    <t>TECUTRN9C-60</t>
  </si>
  <si>
    <t>Superficie Escritorio Roble Negro 190x60 Clasico</t>
  </si>
  <si>
    <t>TECUTRN20C-60</t>
  </si>
  <si>
    <t>Superficie Escritorio Roble Negro 200x60 Clasico</t>
  </si>
  <si>
    <t>TECUTRN2C-80</t>
  </si>
  <si>
    <t>Superficie Escritorio Roble Negro 120x80 Clasico Small</t>
  </si>
  <si>
    <t>TECUTRN3C-80</t>
  </si>
  <si>
    <t>Superficie Escritorio Roble Negro 130x80 Clasico</t>
  </si>
  <si>
    <t>TECUTRN4C-80</t>
  </si>
  <si>
    <t>Superficie Escritorio Roble Negro 140x80 Clasico</t>
  </si>
  <si>
    <t>TECUTRN5C-80</t>
  </si>
  <si>
    <t>Superficie Escritorio Roble Negro 150x80 Clasico</t>
  </si>
  <si>
    <t>TECUTRN6C-80</t>
  </si>
  <si>
    <t>Superficie Escritorio Roble Negro 160x80 Clasico</t>
  </si>
  <si>
    <t>TECUTRN7C-80</t>
  </si>
  <si>
    <t>Superficie Escritorio Roble Negro 170x80 Clasico</t>
  </si>
  <si>
    <t>TECUTRN9C-80</t>
  </si>
  <si>
    <t>Superficie Escritorio Roble Negro 190x80 Clasico</t>
  </si>
  <si>
    <t>TECUTRN20C-80</t>
  </si>
  <si>
    <t>Superficie Escritorio Roble Negro 200x80 Clasico</t>
  </si>
  <si>
    <t>TECUTB2C-60</t>
  </si>
  <si>
    <t>Superficie Escritorio Blanco (Niebla) 120x60 Clasico Small</t>
  </si>
  <si>
    <t>TECUTB3C-60</t>
  </si>
  <si>
    <t>Superficie Escritorio Blanco (Niebla) 130x60 Clasico</t>
  </si>
  <si>
    <t>TECUTB4C-60</t>
  </si>
  <si>
    <t>Superficie Escritorio Blanco (Niebla) 140x60 Clasico</t>
  </si>
  <si>
    <t>TECUTB5C-60</t>
  </si>
  <si>
    <t>Superficie Escritorio Blanco(Niebla) 150x60 Clasico</t>
  </si>
  <si>
    <t>TECUTB6C-60</t>
  </si>
  <si>
    <t>Superficie Escritorio Blanco (Niebla) 160x60 Clasico</t>
  </si>
  <si>
    <t>TECUTB7C-60</t>
  </si>
  <si>
    <t>Superficie Escritorio Blanco (Niebla) 170x60 Clasico</t>
  </si>
  <si>
    <t>TECUTB9C-60</t>
  </si>
  <si>
    <t>Superficie Escritorio Blanco (Niebla) 190x60 Clasico</t>
  </si>
  <si>
    <t>TECUTB20C-60</t>
  </si>
  <si>
    <t>Superficie Escritorio Blanco (Niebla) 200x60 Clasico</t>
  </si>
  <si>
    <t>TECUTB2C-80</t>
  </si>
  <si>
    <t>Superficie Escritorio Blanco (Niebla) 120x80 Clasico Small</t>
  </si>
  <si>
    <t>TECUTB3C-80</t>
  </si>
  <si>
    <t>Superficie Escritorio Blanco (Niebla) 130x80 Clasico</t>
  </si>
  <si>
    <t>TECUTB4C-80</t>
  </si>
  <si>
    <t>Superficie Escritorio Blanco (Niebla) 140x80 Clasico</t>
  </si>
  <si>
    <t>TECUTB5C-80</t>
  </si>
  <si>
    <t>Superficie Escritorio Blanco(Niebla) 150x80 Clasico</t>
  </si>
  <si>
    <t>TECUTB6C-80</t>
  </si>
  <si>
    <t>Superficie Escritorio Blanco (Niebla) 160x80 Clasico</t>
  </si>
  <si>
    <t>TECUTB7C-80</t>
  </si>
  <si>
    <t>Superficie Escritorio Blanco (Niebla) 170x80 Clasico</t>
  </si>
  <si>
    <t>TECUTB8C-80</t>
  </si>
  <si>
    <t>Superficie Escritorio Blanco (Niebla) 180x80 Clasico</t>
  </si>
  <si>
    <t>TECUTB9C-80</t>
  </si>
  <si>
    <t>Superficie Escritorio Blanco (Niebla) 190x80 Clasico</t>
  </si>
  <si>
    <t>TECUTB20C-80</t>
  </si>
  <si>
    <t>Superficie Escritorio Blanco (Niebla) 200x80 Clasico</t>
  </si>
  <si>
    <t>TECUFX-T64</t>
  </si>
  <si>
    <t>Escritorio FIjo Linea - T x 64,5 cm</t>
  </si>
  <si>
    <t>Escritorio Fijo</t>
  </si>
  <si>
    <t>TECUFX-T68</t>
  </si>
  <si>
    <t>Escritorio FIjo Linea - T x 68,5 cm</t>
  </si>
  <si>
    <t>TECUFX-T72</t>
  </si>
  <si>
    <t>Escritorio FIjo Linea - T x 72,5 cm</t>
  </si>
  <si>
    <t>TECUFX-T76</t>
  </si>
  <si>
    <t>Escritorio FIjo Linea - T x 76,5 cm</t>
  </si>
  <si>
    <t>TECU2CBC-65</t>
  </si>
  <si>
    <t>Cajonero 2.0 Bicolor Caramelo x65cm</t>
  </si>
  <si>
    <t>TECU2CBC-69</t>
  </si>
  <si>
    <t>Cajonero 2.0 Bicolor Caramelo x69cm</t>
  </si>
  <si>
    <t>TECU2CBC-73</t>
  </si>
  <si>
    <t>Cajonero 2.0 Bicolor Caramelo x73cm</t>
  </si>
  <si>
    <t>TECU2CBC-77</t>
  </si>
  <si>
    <t>Cajonero 2.0 Bicolor Caramelo x77cm</t>
  </si>
  <si>
    <t>TECU2CBF-65</t>
  </si>
  <si>
    <t>Cajonero 2.0 Bicolor Fresno Europeo x65cm</t>
  </si>
  <si>
    <t>TECU2CBF-69</t>
  </si>
  <si>
    <t>Cajonero 2.0 Bicolor Fresno Europeo x69cm</t>
  </si>
  <si>
    <t>TECU2CBF-73</t>
  </si>
  <si>
    <t>Cajonero 2.0 Bicolor Fresno Europeo x73cm</t>
  </si>
  <si>
    <t>TECU2CBF-77</t>
  </si>
  <si>
    <t>Cajonero 2.0 Bicolor Fresno Europeo x77cm</t>
  </si>
  <si>
    <t>TECU2CBRN-65</t>
  </si>
  <si>
    <t>Cajonero 2.0 Bicolor Roble Negro x65cm</t>
  </si>
  <si>
    <t>TECU2CBRN-69</t>
  </si>
  <si>
    <t>Cajonero 2.0 Bicolor Roble Negro x69cm</t>
  </si>
  <si>
    <t>TECU2CBRN-73</t>
  </si>
  <si>
    <t>Cajonero 2.0 Bicolor Roble Negro x73cm</t>
  </si>
  <si>
    <t>TECU2CBRN-77</t>
  </si>
  <si>
    <t>Cajonero 2.0 Bicolor Roble Negro x77cm</t>
  </si>
  <si>
    <t>TECU2CBN-65</t>
  </si>
  <si>
    <t>Cajonero 2.0 Bicolor Niebla x65cm</t>
  </si>
  <si>
    <t>TECU2CBN-69</t>
  </si>
  <si>
    <t>Cajonero 2.0 Bicolor Niebla x69cm</t>
  </si>
  <si>
    <t>TECU2CBN-73</t>
  </si>
  <si>
    <t>Cajonero 2.0 Bicolor Niebla x73cm</t>
  </si>
  <si>
    <t>TECU2CBN-77</t>
  </si>
  <si>
    <t>Cajonero 2.0 Bicolor Niebla x77cm</t>
  </si>
  <si>
    <t>TECU2CUC-65</t>
  </si>
  <si>
    <t>Cajonero 2.0 Unicolor Caramelo x65cm</t>
  </si>
  <si>
    <t>TECU2CUC-69</t>
  </si>
  <si>
    <t>Cajonero 2.0 Unicolor Caramelo x69cm</t>
  </si>
  <si>
    <t>TECU2CUC-73</t>
  </si>
  <si>
    <t>Cajonero 2.0 Unicolor Caramelo x73cm</t>
  </si>
  <si>
    <t>TECU2CUC-77</t>
  </si>
  <si>
    <t>Cajonero 2.0 Unicolor Caramelo x77cm</t>
  </si>
  <si>
    <t>TECU2CUF-65</t>
  </si>
  <si>
    <t>Cajonero 2.0 Unicolor Fresno Europeo x65cm</t>
  </si>
  <si>
    <t>TECU2CUF-69</t>
  </si>
  <si>
    <t>Cajonero 2.0 Unicolor Fresno Europeo x69cm</t>
  </si>
  <si>
    <t>TECU2CUF-73</t>
  </si>
  <si>
    <t>Cajonero 2.0 Unicolor Fresno Europeo x73cm</t>
  </si>
  <si>
    <t>TECU2CUF-77</t>
  </si>
  <si>
    <t>Cajonero 2.0 Unicolor Fresno Europeo x77cm</t>
  </si>
  <si>
    <t>TECU2CURN-65</t>
  </si>
  <si>
    <t>Cajonero 2.0 Unicolor Roble Negro x65cm</t>
  </si>
  <si>
    <t>TECU2CURN-69</t>
  </si>
  <si>
    <t>Cajonero 2.0 Unicolor Roble Negro x69cm</t>
  </si>
  <si>
    <t>TECU2CURN-73</t>
  </si>
  <si>
    <t>Cajonero 2.0 Unicolor Roble Negro x73cm</t>
  </si>
  <si>
    <t>TECU2CURN-77</t>
  </si>
  <si>
    <t>Cajonero 2.0 Unicolor Roble Negro x77cm</t>
  </si>
  <si>
    <t>TECU2CUN-65</t>
  </si>
  <si>
    <t>Cajonero 2.0 Unicolor Niebla x65cm</t>
  </si>
  <si>
    <t>TECU2CUN-69</t>
  </si>
  <si>
    <t>Cajonero 2.0 Unicolor Niebla x69cm</t>
  </si>
  <si>
    <t>TECU2CUN-73</t>
  </si>
  <si>
    <t>Cajonero 2.0 Unicolor Niebla x73cm</t>
  </si>
  <si>
    <t>TECU2CUN-77</t>
  </si>
  <si>
    <t>Cajonero 2.0 Unicolor Niebla x77cm</t>
  </si>
  <si>
    <t>TECUREB-110</t>
  </si>
  <si>
    <t>Repisa Escritorio Niebla x 110cm</t>
  </si>
  <si>
    <t>TECUREN-110</t>
  </si>
  <si>
    <t>Repisa Escritorio Negro x 110cm</t>
  </si>
  <si>
    <t>TECURECO-110</t>
  </si>
  <si>
    <t>Repisa Escritorio Caramelo x 110cm</t>
  </si>
  <si>
    <t>TECUREFE -110</t>
  </si>
  <si>
    <t>Repisa Escritorio Fresno Europeo x 110cm</t>
  </si>
  <si>
    <t>TECUREB-80</t>
  </si>
  <si>
    <t>Repisa Escritorio Niebla x 80cm</t>
  </si>
  <si>
    <t>TECUREN-80</t>
  </si>
  <si>
    <t>Repisa Escritorio Negro x 80cm</t>
  </si>
  <si>
    <t>TECURECO-80</t>
  </si>
  <si>
    <t>Repisa Escritorio Caramelo x 80cm</t>
  </si>
  <si>
    <t>TECUREFE -80</t>
  </si>
  <si>
    <t>Repisa Escritorio Fresno Europeo x 80cm</t>
  </si>
  <si>
    <t>TECUREB-47</t>
  </si>
  <si>
    <t>Repisa Escritorio Niebla x 47cm</t>
  </si>
  <si>
    <t>TECUREN-47</t>
  </si>
  <si>
    <t>Repisa Escritorio Negro x 47cm</t>
  </si>
  <si>
    <t>TECURECO-47</t>
  </si>
  <si>
    <t>Repisa Escritorio Caramelo x 47cm</t>
  </si>
  <si>
    <t>TECUREFE -47</t>
  </si>
  <si>
    <t>Repisa Escritorio Fresno Europeo x 47cm</t>
  </si>
  <si>
    <t>TECURFB-80</t>
  </si>
  <si>
    <t>Repisa Flotante Niebla x 80cm</t>
  </si>
  <si>
    <t>TECURFN-80</t>
  </si>
  <si>
    <t>Repisa Flotante Negro x 80cm</t>
  </si>
  <si>
    <t>TECURFCO-80</t>
  </si>
  <si>
    <t>Repisa Flotante Caramelo x 80cm</t>
  </si>
  <si>
    <t>TECURFFE -80</t>
  </si>
  <si>
    <t>Repisa Flotante Fresno Europeo x 80cm</t>
  </si>
  <si>
    <t>TECURFB-70</t>
  </si>
  <si>
    <t>Repisa Flotante Niebla x 70cm</t>
  </si>
  <si>
    <t>TECURFN-70</t>
  </si>
  <si>
    <t>Repisa Flotante Negro x 70cm</t>
  </si>
  <si>
    <t>TECURFCO-70</t>
  </si>
  <si>
    <t>Repisa Flotante Caramelo x 70cm</t>
  </si>
  <si>
    <t>TECURFFE -70</t>
  </si>
  <si>
    <t>Repisa Flotante Fresno Europeo x 70cm</t>
  </si>
  <si>
    <t>TECURFB-60</t>
  </si>
  <si>
    <t>Repisa Flotante Niebla x 60cm</t>
  </si>
  <si>
    <t>TECURFN-60</t>
  </si>
  <si>
    <t>Repisa Flotante Negro x 60cm</t>
  </si>
  <si>
    <t>TECURFCO-60</t>
  </si>
  <si>
    <t>Repisa Flotante Caramelo x 60cm</t>
  </si>
  <si>
    <t>TECURFFE -60</t>
  </si>
  <si>
    <t>Repisa Flotante Fresno Europeo x 60cm</t>
  </si>
  <si>
    <t>Carlos Londoño</t>
  </si>
  <si>
    <t>Yeison Montes Valencia</t>
  </si>
  <si>
    <t>andres gutierrez</t>
  </si>
  <si>
    <t>JUAN CAMILO BURBANO ALVAREZ</t>
  </si>
  <si>
    <t>Cristiam Diaz</t>
  </si>
  <si>
    <t>Caqueta</t>
  </si>
  <si>
    <t>Florencia</t>
  </si>
  <si>
    <t>DIEGO FRANCO</t>
  </si>
  <si>
    <t>Giovanny Villa</t>
  </si>
  <si>
    <t>Jasbeidy Yurany Perez Correa</t>
  </si>
  <si>
    <t>Maria Olga Saenz Guerrero</t>
  </si>
  <si>
    <t>Manuel Ricardo CHAVARRO VARGAS</t>
  </si>
  <si>
    <t>Johan Alexander Rojas Zapata</t>
  </si>
  <si>
    <t>Evelyn Castaño Bohórquez</t>
  </si>
  <si>
    <t>Felipe Cordoba</t>
  </si>
  <si>
    <t>TECUTFE9C</t>
  </si>
  <si>
    <t>Superficie  Fresno Europeo 190x70 Clasico</t>
  </si>
  <si>
    <t>Pedro Fernandez</t>
  </si>
  <si>
    <t>Diana Silva</t>
  </si>
  <si>
    <t>Julian Rodriguez</t>
  </si>
  <si>
    <t>Daniel Sadovnik</t>
  </si>
  <si>
    <t>TECUTFE8M-80</t>
  </si>
  <si>
    <t>Superficie Escritorio Fresno Europeo 180x80 Moderno</t>
  </si>
  <si>
    <t>Superficie  en L Caramelo 180x150cm x 70</t>
  </si>
  <si>
    <t>Superficie  en L Miel Set 180x150cm x 70</t>
  </si>
  <si>
    <t>Superficie  en L Negro 180x150cm x 70</t>
  </si>
  <si>
    <t>Superficie  en L Niebla 180x150cm x 70</t>
  </si>
  <si>
    <t>Superficie en L Fresno 180x150cm x 70</t>
  </si>
  <si>
    <t>Superficie en L Roble Negro 180x150cm x 70</t>
  </si>
  <si>
    <t>Superficie  en L Caramelo  140x120cm x60</t>
  </si>
  <si>
    <t>Superficie  en L Roble Negro  140x120cm x60</t>
  </si>
  <si>
    <t>Superficie  en L Niebla 140x120cm x60</t>
  </si>
  <si>
    <t>Superficie  en L Fresno 140x120cm x60</t>
  </si>
  <si>
    <t>TECUTLC4x2-60</t>
  </si>
  <si>
    <t>TECUTLRN4x2-60</t>
  </si>
  <si>
    <t>TECUTLB4x2-60</t>
  </si>
  <si>
    <t>TECUTLFE4x2-60</t>
  </si>
  <si>
    <t>Superficie  en L Caramelo 150x150cm x60</t>
  </si>
  <si>
    <t>TECUTLC5x5-60</t>
  </si>
  <si>
    <t>TECUTLRN5x5-60</t>
  </si>
  <si>
    <t>Superficie  en L Roble Negro 150x150cm x60</t>
  </si>
  <si>
    <t>Superficie  en L Niebla 150x150cm x60</t>
  </si>
  <si>
    <t>Superficie  en L Fresno 150x150cm x60</t>
  </si>
  <si>
    <t>TECUTLB5x5-60</t>
  </si>
  <si>
    <t>TECUTLFE5x5-60</t>
  </si>
  <si>
    <t>Superficie  en L Caramelo 180x150cm x60</t>
  </si>
  <si>
    <t>Superficie  en L Roble Negro 180x150cm x60</t>
  </si>
  <si>
    <t>Superficie  en L Niebla 180x150cm x60</t>
  </si>
  <si>
    <t>Superficie  en L Fresno 180x150cm x60</t>
  </si>
  <si>
    <t>TECUTLC8x5-60</t>
  </si>
  <si>
    <t>TECUTLRN8x5-60</t>
  </si>
  <si>
    <t>TECUTLB8x5-60</t>
  </si>
  <si>
    <t>TECUTLFE8x5-60</t>
  </si>
  <si>
    <t>Alberto Amaris</t>
  </si>
  <si>
    <t>Nicholas Gooding</t>
  </si>
  <si>
    <t>Diego Alejandro Jaramillo Rendon</t>
  </si>
  <si>
    <t>Carlos Beltrán</t>
  </si>
  <si>
    <t>Andrea Rosales</t>
  </si>
  <si>
    <t>JUAN DAVID RUIZ VALENCIA / LEAN INSTITUTE COLOMBIA</t>
  </si>
  <si>
    <t>Maria Fernanda Almonacid</t>
  </si>
  <si>
    <t>Ivan Paez</t>
  </si>
  <si>
    <t>Laura Tatiana Florian Hernandez</t>
  </si>
  <si>
    <t>Sebastian Garcia Ospina</t>
  </si>
  <si>
    <t>DATA AND AI CONSULTING</t>
  </si>
  <si>
    <t>Diego Rodriguez</t>
  </si>
  <si>
    <t>JORGE CAMILO</t>
  </si>
  <si>
    <t>Guajira</t>
  </si>
  <si>
    <t>Maicao</t>
  </si>
  <si>
    <t>JAM TRADING PRO SAS</t>
  </si>
  <si>
    <t>DCM SYSTEM SAS</t>
  </si>
  <si>
    <t>Jorge Esteban Ariza Hernández</t>
  </si>
  <si>
    <t>Guillermo Castano</t>
  </si>
  <si>
    <t>Luisa Fernanda Acosta Castillo</t>
  </si>
  <si>
    <t>Fabian Marquez</t>
  </si>
  <si>
    <t>Marcela González</t>
  </si>
  <si>
    <t>Marcelo Fumagalli</t>
  </si>
  <si>
    <t>Jose Araque</t>
  </si>
  <si>
    <t>Bramdon Murillo</t>
  </si>
  <si>
    <t>Edgar Cervantes De Los Rios</t>
  </si>
  <si>
    <t>Cristian Andres Cruz Suazo</t>
  </si>
  <si>
    <t>Stephany Sánchez Vergel</t>
  </si>
  <si>
    <t>Jaime David Burbano Montoya</t>
  </si>
  <si>
    <t>Servicio de instalacion</t>
  </si>
  <si>
    <t>Luis Perez</t>
  </si>
  <si>
    <t>Juan Pablo Lalinde</t>
  </si>
  <si>
    <t>John Alejandro Nunez Giraldo</t>
  </si>
  <si>
    <t>Laura Alvarez</t>
  </si>
  <si>
    <t>jose gabriel guzman lopez</t>
  </si>
  <si>
    <t>Cristian Fernando Alvarez Trujillo</t>
  </si>
  <si>
    <t>Daniela Paola Maestre Iglesias</t>
  </si>
  <si>
    <t>Karen Prieto</t>
  </si>
  <si>
    <t>Daniel Marcano</t>
  </si>
  <si>
    <t>Alexander Vergara</t>
  </si>
  <si>
    <t>Jorge Ferro</t>
  </si>
  <si>
    <t>Juan Diego Betancur</t>
  </si>
  <si>
    <t>TECUTLCO5x70</t>
  </si>
  <si>
    <t>TECUTLN5x60</t>
  </si>
  <si>
    <t>Superficie Escritorio en L Negro 150x60</t>
  </si>
  <si>
    <t>TECUTLCO5x60</t>
  </si>
  <si>
    <t>Superficie Escritorio Caramelo en L 150x60</t>
  </si>
  <si>
    <t>TECUTLB5x60</t>
  </si>
  <si>
    <t>Superficie Escritorio Niebla en L 150x60</t>
  </si>
  <si>
    <t>TECUTLFE5X60</t>
  </si>
  <si>
    <t>Superficie Escritorio Fresno Europeo en L 150x60</t>
  </si>
  <si>
    <t>TECUTLN8x60</t>
  </si>
  <si>
    <t>Superficie Escritorio en L Negro 180x60</t>
  </si>
  <si>
    <t>TECUTLCO8x60</t>
  </si>
  <si>
    <t>Superficie Escritorio Caramelo en L 180x60</t>
  </si>
  <si>
    <t>TECUTLB8x60</t>
  </si>
  <si>
    <t>Superficie Escritorio Niebla en L 180x60</t>
  </si>
  <si>
    <t>TECUTLFE8X60</t>
  </si>
  <si>
    <t>Superficie Escritorio Fresno Europeo en L 180x60</t>
  </si>
  <si>
    <t>TECUTLN5x70</t>
  </si>
  <si>
    <t>Superficie Escritorio en L Negro 150x70</t>
  </si>
  <si>
    <t>Superficie Escritorio Caramelo en L 150x70</t>
  </si>
  <si>
    <t>TECUTLB5x70</t>
  </si>
  <si>
    <t>Superficie Escritorio Niebla en L 150x70</t>
  </si>
  <si>
    <t>TECUTLFE5X70</t>
  </si>
  <si>
    <t>Superficie Escritorio Fresno Europeo en L 150x70</t>
  </si>
  <si>
    <t>Andres Sanchez</t>
  </si>
  <si>
    <t>Víctor Julio Cañas Rincón</t>
  </si>
  <si>
    <t>Nobsa</t>
  </si>
  <si>
    <t>Ma.C Gutierrez Arquitectos sas</t>
  </si>
  <si>
    <t>Sergio Acosta</t>
  </si>
  <si>
    <t>TECUFX-E64</t>
  </si>
  <si>
    <t>Escritorio FIjo Linea - E x 64,5 cm</t>
  </si>
  <si>
    <t>TECUFX-E68</t>
  </si>
  <si>
    <t>Escritorio FIjo Linea - E x 68,5 cm</t>
  </si>
  <si>
    <t>TECUFX-E72</t>
  </si>
  <si>
    <t>Escritorio FIjo Linea - E x 72,5 cm</t>
  </si>
  <si>
    <t>TECUFX-E76</t>
  </si>
  <si>
    <t>Escritorio FIjo Linea - E x 76,5 cm</t>
  </si>
  <si>
    <t>Santiago Jaramillo</t>
  </si>
  <si>
    <t>Lizeth Lopez</t>
  </si>
  <si>
    <t>Cristian David Naranjo Trejos</t>
  </si>
  <si>
    <t>Cristian Camilo Castro Peña</t>
  </si>
  <si>
    <t>Víctor Claudio Vladimir Cortés Arévalo</t>
  </si>
  <si>
    <t>Juliana Barajas</t>
  </si>
  <si>
    <t>Manuel Zapata</t>
  </si>
  <si>
    <t>Sebastian Medrano</t>
  </si>
  <si>
    <t>Camilo Ortiz</t>
  </si>
  <si>
    <t>Andres David Varela</t>
  </si>
  <si>
    <t>Andres Ortiz</t>
  </si>
  <si>
    <t xml:space="preserve"> </t>
  </si>
  <si>
    <t>Total Archivador</t>
  </si>
  <si>
    <t>Karen Estefany Gutiérrez Valencia</t>
  </si>
  <si>
    <t>Nueva Era Soluciones SAS</t>
  </si>
  <si>
    <t>Ana Maria Valencia Ruiz</t>
  </si>
  <si>
    <t>Jorge Viloria</t>
  </si>
  <si>
    <t>Sebastian Leal</t>
  </si>
  <si>
    <t>Michael Castillo</t>
  </si>
  <si>
    <t>Sara Valencia</t>
  </si>
  <si>
    <t>Carlos Miguel Castano Osorio</t>
  </si>
  <si>
    <t>David Castro Sepulveda</t>
  </si>
  <si>
    <t>JORGE ESTEBAN ARIZA HERNANDEZ</t>
  </si>
  <si>
    <t>Juan Camilo Vanegas Serna</t>
  </si>
  <si>
    <t>Ivan Castiblanco</t>
  </si>
  <si>
    <t>Andrés Jiménez Vanegas</t>
  </si>
  <si>
    <t>Juan Angulo / Mr. One</t>
  </si>
  <si>
    <t>Jorge Gutierrez</t>
  </si>
  <si>
    <t>John Anderson COLORADO</t>
  </si>
  <si>
    <t>Sebastian Gutierrez Betancourt</t>
  </si>
  <si>
    <t>3595061 - 84151345156</t>
  </si>
  <si>
    <t>3595062 - 84151345157</t>
  </si>
  <si>
    <t>3599759 - 84151346954</t>
  </si>
  <si>
    <t>3599760 - 84151346955</t>
  </si>
  <si>
    <t>3599764 - 84151346958</t>
  </si>
  <si>
    <t>3597262 - 84151345983</t>
  </si>
  <si>
    <t>3599676 - 84151346933</t>
  </si>
  <si>
    <t>3599678- 84151346934</t>
  </si>
  <si>
    <t>3603837 - 84151348523</t>
  </si>
  <si>
    <t>3603840 - 84151348524</t>
  </si>
  <si>
    <t>3605236 - 84151348768</t>
  </si>
  <si>
    <t>3605237 - 84151348769</t>
  </si>
  <si>
    <t>3605250 - 84151348778</t>
  </si>
  <si>
    <t>3603921 - 84151348575</t>
  </si>
  <si>
    <t>3603923 - 84151348576</t>
  </si>
  <si>
    <t>3603945 - 84151348585</t>
  </si>
  <si>
    <t>3603947 - 84151348586</t>
  </si>
  <si>
    <t>3603968 - 84151348601</t>
  </si>
  <si>
    <t>3603987 - 84151348615</t>
  </si>
  <si>
    <t>3603998 - 84151348622</t>
  </si>
  <si>
    <t>3604027 - 84151348636</t>
  </si>
  <si>
    <t>3612484 - 84151351539</t>
  </si>
  <si>
    <t>3612486 - 84151351541</t>
  </si>
  <si>
    <t>Particular Armenia</t>
  </si>
  <si>
    <t>No se creó Guía</t>
  </si>
  <si>
    <t>Envía</t>
  </si>
  <si>
    <t>3900780 - 954101350448</t>
  </si>
  <si>
    <t>3900779 - 84151448764</t>
  </si>
  <si>
    <t>coordinadora</t>
  </si>
  <si>
    <t>3908418 - 954101351784</t>
  </si>
  <si>
    <t>3906710 - 84151450593</t>
  </si>
  <si>
    <t>Coordinaddora</t>
  </si>
  <si>
    <t>3883055 - 84151441886</t>
  </si>
  <si>
    <t>3900808 - 3900808</t>
  </si>
  <si>
    <t>3900824 - 954101350458</t>
  </si>
  <si>
    <t>Dentro de la Superficie</t>
  </si>
  <si>
    <t>3930972 - 84151459946</t>
  </si>
  <si>
    <t>3930981 - 84151459951</t>
  </si>
  <si>
    <t>3933662 - 954101356237</t>
  </si>
  <si>
    <t>3924537 - 84151457281</t>
  </si>
  <si>
    <t>3924539 - 84151457282</t>
  </si>
  <si>
    <t>3924510 - 84151457271</t>
  </si>
  <si>
    <t>3924483 - 84151457245</t>
  </si>
  <si>
    <t>3947506 - 954101358520</t>
  </si>
  <si>
    <t>3934767 - 954101356543</t>
  </si>
  <si>
    <t>3939913 - 954101357427</t>
  </si>
  <si>
    <t>3938360 - 84151462471</t>
  </si>
  <si>
    <t>3951111 - 84151467495</t>
  </si>
  <si>
    <t>3951216 - 954101359206</t>
  </si>
  <si>
    <t>NO aparece envío</t>
  </si>
  <si>
    <t>3980676 - 954101364541</t>
  </si>
  <si>
    <t>3980115 - 84151477406</t>
  </si>
  <si>
    <t>3991825 - 954101367403</t>
  </si>
  <si>
    <t>3961508 - 84151471130</t>
  </si>
  <si>
    <t>3961510 - 954101360996</t>
  </si>
  <si>
    <t>3984444 - 954101365330</t>
  </si>
  <si>
    <t>39900004 - 84151481056</t>
  </si>
  <si>
    <t>3980101 - 84151477401</t>
  </si>
  <si>
    <t>3980795 - 84151477667</t>
  </si>
  <si>
    <t>Tiempo de Desvío Despacho</t>
  </si>
  <si>
    <t>Tiempo de Desvío Entrega</t>
  </si>
  <si>
    <t>Qué área incumple</t>
  </si>
  <si>
    <t>Desvío  NNS (Hábil)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</si>
</sst>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/m/yyyy"/>
    <numFmt numFmtId="165" formatCode="_-&quot;$&quot;\ * #,##0_-;\-&quot;$&quot;\ * #,##0_-;_-&quot;$&quot;\ * &quot;-&quot;??_-;_-@_-"/>
    <numFmt numFmtId="166" formatCode="0.0%"/>
    <numFmt numFmtId="167" formatCode="_-* #,##0_-;\-* #,##0_-;_-* &quot;-&quot;??_-;_-@_-"/>
  </numFmts>
  <fonts count="8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0"/>
      <color rgb="FFE7E6E6"/>
      <name val="Arial"/>
      <family val="2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1"/>
      <color theme="0"/>
      <name val="Walbaum Heading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Mongolian Baiti"/>
      <family val="4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b/>
      <sz val="16"/>
      <color theme="1"/>
      <name val="Cambria"/>
      <family val="1"/>
    </font>
    <font>
      <b/>
      <sz val="11"/>
      <color theme="1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i/>
      <sz val="11"/>
      <color theme="0"/>
      <name val="Cambria"/>
      <family val="1"/>
    </font>
    <font>
      <sz val="10"/>
      <name val="Cambria"/>
      <family val="1"/>
    </font>
    <font>
      <b/>
      <sz val="10"/>
      <color theme="0"/>
      <name val="Cambria"/>
      <family val="1"/>
    </font>
    <font>
      <sz val="10"/>
      <color rgb="FFFF0000"/>
      <name val="Cambria"/>
      <family val="1"/>
    </font>
    <font>
      <b/>
      <i/>
      <sz val="11"/>
      <color theme="1"/>
      <name val="Cambria"/>
      <family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002060"/>
        <bgColor rgb="FF002060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rgb="FFD9E2F3"/>
      </patternFill>
    </fill>
    <fill>
      <patternFill patternType="solid">
        <fgColor theme="7" tint="0.39997558519241921"/>
        <bgColor rgb="FFBFBFBF"/>
      </patternFill>
    </fill>
    <fill>
      <patternFill patternType="solid">
        <fgColor theme="9" tint="0.79998168889431442"/>
        <bgColor rgb="FFD9E2F3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8EAADB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9" fontId="64" fillId="0" borderId="0" applyFont="0" applyFill="0" applyBorder="0" applyAlignment="0" applyProtection="0"/>
    <xf numFmtId="44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50" fillId="0" borderId="9"/>
    <xf numFmtId="0" fontId="43" fillId="0" borderId="9"/>
  </cellStyleXfs>
  <cellXfs count="277">
    <xf numFmtId="0" fontId="0" fillId="0" borderId="0" xfId="0"/>
    <xf numFmtId="0" fontId="53" fillId="0" borderId="0" xfId="0" applyFont="1" applyAlignment="1">
      <alignment horizontal="center" vertical="center"/>
    </xf>
    <xf numFmtId="0" fontId="55" fillId="2" borderId="1" xfId="0" applyFont="1" applyFill="1" applyBorder="1" applyAlignment="1">
      <alignment horizontal="center" vertical="center" wrapText="1"/>
    </xf>
    <xf numFmtId="164" fontId="55" fillId="3" borderId="1" xfId="0" applyNumberFormat="1" applyFont="1" applyFill="1" applyBorder="1" applyAlignment="1">
      <alignment horizontal="center" vertical="center" wrapText="1"/>
    </xf>
    <xf numFmtId="0" fontId="55" fillId="4" borderId="1" xfId="0" applyFont="1" applyFill="1" applyBorder="1" applyAlignment="1">
      <alignment horizontal="center" vertical="center" wrapText="1"/>
    </xf>
    <xf numFmtId="164" fontId="55" fillId="5" borderId="2" xfId="0" applyNumberFormat="1" applyFont="1" applyFill="1" applyBorder="1" applyAlignment="1">
      <alignment horizontal="center" vertical="center" wrapText="1"/>
    </xf>
    <xf numFmtId="1" fontId="55" fillId="5" borderId="2" xfId="0" applyNumberFormat="1" applyFont="1" applyFill="1" applyBorder="1" applyAlignment="1">
      <alignment horizontal="center" vertical="center" wrapText="1"/>
    </xf>
    <xf numFmtId="1" fontId="54" fillId="0" borderId="1" xfId="0" applyNumberFormat="1" applyFont="1" applyBorder="1" applyAlignment="1">
      <alignment horizontal="center" vertical="center"/>
    </xf>
    <xf numFmtId="0" fontId="58" fillId="0" borderId="0" xfId="0" applyFont="1"/>
    <xf numFmtId="0" fontId="59" fillId="6" borderId="1" xfId="0" applyFont="1" applyFill="1" applyBorder="1" applyAlignment="1">
      <alignment horizontal="center" vertical="center"/>
    </xf>
    <xf numFmtId="0" fontId="59" fillId="6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3" fillId="0" borderId="7" xfId="0" applyFont="1" applyBorder="1"/>
    <xf numFmtId="0" fontId="60" fillId="0" borderId="0" xfId="0" applyFont="1" applyAlignment="1">
      <alignment horizontal="center" vertical="center"/>
    </xf>
    <xf numFmtId="0" fontId="60" fillId="0" borderId="0" xfId="0" applyFont="1" applyAlignment="1">
      <alignment horizontal="center" wrapText="1"/>
    </xf>
    <xf numFmtId="0" fontId="53" fillId="0" borderId="0" xfId="0" applyFont="1" applyAlignment="1">
      <alignment horizontal="center"/>
    </xf>
    <xf numFmtId="0" fontId="53" fillId="0" borderId="0" xfId="0" applyFont="1" applyAlignment="1">
      <alignment horizontal="center" wrapText="1"/>
    </xf>
    <xf numFmtId="0" fontId="63" fillId="0" borderId="9" xfId="0" applyFont="1" applyBorder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4" fillId="0" borderId="13" xfId="0" applyFont="1" applyBorder="1" applyAlignment="1">
      <alignment horizontal="center" vertical="center"/>
    </xf>
    <xf numFmtId="164" fontId="54" fillId="0" borderId="14" xfId="0" applyNumberFormat="1" applyFont="1" applyBorder="1" applyAlignment="1">
      <alignment horizontal="center" vertical="center"/>
    </xf>
    <xf numFmtId="1" fontId="54" fillId="0" borderId="14" xfId="0" applyNumberFormat="1" applyFont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165" fontId="54" fillId="0" borderId="1" xfId="2" applyNumberFormat="1" applyFont="1" applyBorder="1"/>
    <xf numFmtId="165" fontId="0" fillId="0" borderId="13" xfId="2" applyNumberFormat="1" applyFont="1" applyBorder="1"/>
    <xf numFmtId="0" fontId="0" fillId="0" borderId="0" xfId="0" pivotButton="1"/>
    <xf numFmtId="0" fontId="62" fillId="7" borderId="9" xfId="0" applyFont="1" applyFill="1" applyBorder="1" applyAlignment="1">
      <alignment horizontal="left" vertical="center"/>
    </xf>
    <xf numFmtId="0" fontId="54" fillId="0" borderId="14" xfId="0" applyFont="1" applyBorder="1" applyAlignment="1">
      <alignment horizontal="left"/>
    </xf>
    <xf numFmtId="0" fontId="0" fillId="0" borderId="0" xfId="0" applyAlignment="1">
      <alignment horizontal="center"/>
    </xf>
    <xf numFmtId="14" fontId="0" fillId="0" borderId="13" xfId="0" applyNumberFormat="1" applyBorder="1" applyAlignment="1">
      <alignment horizontal="center" vertical="center"/>
    </xf>
    <xf numFmtId="0" fontId="51" fillId="0" borderId="0" xfId="0" applyFont="1"/>
    <xf numFmtId="44" fontId="0" fillId="0" borderId="0" xfId="0" applyNumberFormat="1"/>
    <xf numFmtId="44" fontId="0" fillId="0" borderId="0" xfId="0" pivotButton="1" applyNumberForma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58" fillId="0" borderId="0" xfId="0" applyFont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0" borderId="1" xfId="0" applyFont="1" applyBorder="1" applyAlignment="1">
      <alignment horizontal="center" wrapText="1"/>
    </xf>
    <xf numFmtId="43" fontId="56" fillId="0" borderId="1" xfId="3" applyFont="1" applyFill="1" applyBorder="1" applyAlignment="1">
      <alignment horizontal="center"/>
    </xf>
    <xf numFmtId="0" fontId="56" fillId="0" borderId="1" xfId="0" applyFont="1" applyBorder="1" applyAlignment="1">
      <alignment horizontal="center" vertical="center" wrapText="1"/>
    </xf>
    <xf numFmtId="43" fontId="56" fillId="0" borderId="1" xfId="3" applyFont="1" applyFill="1" applyBorder="1" applyAlignment="1">
      <alignment horizontal="center" vertical="center"/>
    </xf>
    <xf numFmtId="43" fontId="56" fillId="0" borderId="4" xfId="3" applyFont="1" applyFill="1" applyBorder="1" applyAlignment="1">
      <alignment horizontal="center"/>
    </xf>
    <xf numFmtId="43" fontId="56" fillId="0" borderId="5" xfId="3" applyFont="1" applyFill="1" applyBorder="1" applyAlignment="1">
      <alignment horizontal="center"/>
    </xf>
    <xf numFmtId="0" fontId="48" fillId="0" borderId="13" xfId="0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45" fillId="0" borderId="13" xfId="0" applyFont="1" applyBorder="1" applyAlignment="1">
      <alignment horizontal="center"/>
    </xf>
    <xf numFmtId="0" fontId="44" fillId="0" borderId="13" xfId="0" applyFont="1" applyBorder="1" applyAlignment="1">
      <alignment horizontal="center"/>
    </xf>
    <xf numFmtId="0" fontId="56" fillId="0" borderId="3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/>
    </xf>
    <xf numFmtId="164" fontId="55" fillId="5" borderId="3" xfId="0" applyNumberFormat="1" applyFont="1" applyFill="1" applyBorder="1" applyAlignment="1">
      <alignment horizontal="center" vertical="center" wrapText="1"/>
    </xf>
    <xf numFmtId="1" fontId="54" fillId="0" borderId="3" xfId="0" applyNumberFormat="1" applyFont="1" applyBorder="1" applyAlignment="1">
      <alignment horizontal="center" vertical="center"/>
    </xf>
    <xf numFmtId="164" fontId="55" fillId="5" borderId="13" xfId="0" applyNumberFormat="1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" fontId="55" fillId="5" borderId="17" xfId="0" applyNumberFormat="1" applyFont="1" applyFill="1" applyBorder="1" applyAlignment="1">
      <alignment horizontal="center" vertical="center" wrapText="1"/>
    </xf>
    <xf numFmtId="0" fontId="42" fillId="0" borderId="13" xfId="0" applyFont="1" applyBorder="1"/>
    <xf numFmtId="0" fontId="42" fillId="0" borderId="13" xfId="0" applyFont="1" applyBorder="1" applyAlignment="1">
      <alignment horizontal="center"/>
    </xf>
    <xf numFmtId="0" fontId="56" fillId="0" borderId="4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3" xfId="0" applyFont="1" applyBorder="1" applyAlignment="1">
      <alignment horizontal="center"/>
    </xf>
    <xf numFmtId="0" fontId="70" fillId="0" borderId="0" xfId="0" pivotButton="1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0" fillId="0" borderId="0" xfId="0" applyFont="1"/>
    <xf numFmtId="0" fontId="71" fillId="0" borderId="8" xfId="0" applyFont="1" applyBorder="1"/>
    <xf numFmtId="0" fontId="72" fillId="0" borderId="0" xfId="0" applyFont="1" applyAlignment="1">
      <alignment horizontal="center" vertical="center"/>
    </xf>
    <xf numFmtId="1" fontId="70" fillId="0" borderId="0" xfId="0" applyNumberFormat="1" applyFont="1"/>
    <xf numFmtId="2" fontId="70" fillId="0" borderId="0" xfId="0" applyNumberFormat="1" applyFont="1" applyAlignment="1">
      <alignment horizontal="center" vertical="center"/>
    </xf>
    <xf numFmtId="0" fontId="69" fillId="7" borderId="9" xfId="0" applyFont="1" applyFill="1" applyBorder="1" applyAlignment="1">
      <alignment horizontal="left" vertical="center"/>
    </xf>
    <xf numFmtId="0" fontId="74" fillId="0" borderId="0" xfId="0" applyFont="1" applyAlignment="1">
      <alignment horizontal="center" vertical="center"/>
    </xf>
    <xf numFmtId="0" fontId="74" fillId="0" borderId="0" xfId="0" pivotButton="1" applyFont="1" applyAlignment="1">
      <alignment horizontal="center" vertical="center"/>
    </xf>
    <xf numFmtId="0" fontId="70" fillId="0" borderId="0" xfId="0" pivotButton="1" applyFont="1" applyAlignment="1">
      <alignment horizontal="center" vertical="center" wrapText="1"/>
    </xf>
    <xf numFmtId="9" fontId="76" fillId="13" borderId="0" xfId="1" applyFont="1" applyFill="1" applyAlignment="1">
      <alignment horizontal="center" vertical="center"/>
    </xf>
    <xf numFmtId="0" fontId="74" fillId="13" borderId="0" xfId="0" applyFont="1" applyFill="1" applyAlignment="1">
      <alignment vertical="center"/>
    </xf>
    <xf numFmtId="0" fontId="74" fillId="0" borderId="0" xfId="0" applyFont="1" applyAlignment="1">
      <alignment vertical="center"/>
    </xf>
    <xf numFmtId="0" fontId="75" fillId="9" borderId="0" xfId="0" applyFont="1" applyFill="1" applyAlignment="1">
      <alignment horizontal="center" vertical="center"/>
    </xf>
    <xf numFmtId="9" fontId="73" fillId="9" borderId="0" xfId="1" applyFont="1" applyFill="1" applyAlignment="1">
      <alignment horizontal="center" vertical="center"/>
    </xf>
    <xf numFmtId="0" fontId="74" fillId="0" borderId="0" xfId="0" applyFont="1"/>
    <xf numFmtId="9" fontId="74" fillId="0" borderId="0" xfId="1" applyFont="1"/>
    <xf numFmtId="9" fontId="75" fillId="9" borderId="0" xfId="1" applyFont="1" applyFill="1" applyAlignment="1">
      <alignment horizontal="center" vertical="center"/>
    </xf>
    <xf numFmtId="9" fontId="74" fillId="0" borderId="0" xfId="0" applyNumberFormat="1" applyFont="1" applyAlignment="1">
      <alignment vertical="center"/>
    </xf>
    <xf numFmtId="166" fontId="74" fillId="0" borderId="0" xfId="1" applyNumberFormat="1" applyFont="1"/>
    <xf numFmtId="1" fontId="75" fillId="10" borderId="11" xfId="0" applyNumberFormat="1" applyFont="1" applyFill="1" applyBorder="1" applyAlignment="1">
      <alignment horizontal="center" vertical="center" wrapText="1"/>
    </xf>
    <xf numFmtId="0" fontId="75" fillId="10" borderId="11" xfId="0" applyFont="1" applyFill="1" applyBorder="1" applyAlignment="1">
      <alignment horizontal="center" vertical="center" wrapText="1"/>
    </xf>
    <xf numFmtId="1" fontId="75" fillId="12" borderId="11" xfId="0" applyNumberFormat="1" applyFont="1" applyFill="1" applyBorder="1" applyAlignment="1">
      <alignment horizontal="center" vertical="center" wrapText="1"/>
    </xf>
    <xf numFmtId="0" fontId="74" fillId="0" borderId="0" xfId="0" applyFont="1" applyAlignment="1">
      <alignment horizontal="center" vertical="center" wrapText="1"/>
    </xf>
    <xf numFmtId="1" fontId="74" fillId="3" borderId="9" xfId="0" applyNumberFormat="1" applyFont="1" applyFill="1" applyBorder="1" applyAlignment="1">
      <alignment horizontal="center" vertical="center" wrapText="1"/>
    </xf>
    <xf numFmtId="0" fontId="74" fillId="0" borderId="0" xfId="0" applyFont="1" applyAlignment="1">
      <alignment horizontal="center" wrapText="1"/>
    </xf>
    <xf numFmtId="43" fontId="74" fillId="0" borderId="0" xfId="3" applyFont="1" applyAlignment="1">
      <alignment horizontal="center" wrapText="1"/>
    </xf>
    <xf numFmtId="44" fontId="74" fillId="0" borderId="0" xfId="2" applyFont="1" applyAlignment="1">
      <alignment horizontal="center" wrapText="1"/>
    </xf>
    <xf numFmtId="0" fontId="74" fillId="0" borderId="0" xfId="0" applyFont="1" applyAlignment="1">
      <alignment wrapText="1"/>
    </xf>
    <xf numFmtId="0" fontId="77" fillId="0" borderId="0" xfId="0" applyFont="1" applyAlignment="1">
      <alignment horizontal="center" vertical="center" wrapText="1"/>
    </xf>
    <xf numFmtId="0" fontId="75" fillId="10" borderId="12" xfId="0" applyFont="1" applyFill="1" applyBorder="1" applyAlignment="1">
      <alignment horizontal="center" vertical="center"/>
    </xf>
    <xf numFmtId="1" fontId="75" fillId="10" borderId="12" xfId="0" applyNumberFormat="1" applyFont="1" applyFill="1" applyBorder="1" applyAlignment="1">
      <alignment horizontal="center" vertical="center"/>
    </xf>
    <xf numFmtId="1" fontId="75" fillId="12" borderId="12" xfId="0" applyNumberFormat="1" applyFont="1" applyFill="1" applyBorder="1" applyAlignment="1">
      <alignment horizontal="center" vertical="center"/>
    </xf>
    <xf numFmtId="44" fontId="75" fillId="12" borderId="12" xfId="2" applyFont="1" applyFill="1" applyBorder="1" applyAlignment="1">
      <alignment horizontal="center" vertical="center"/>
    </xf>
    <xf numFmtId="44" fontId="74" fillId="0" borderId="0" xfId="2" applyFont="1"/>
    <xf numFmtId="44" fontId="74" fillId="0" borderId="0" xfId="0" applyNumberFormat="1" applyFont="1"/>
    <xf numFmtId="0" fontId="78" fillId="6" borderId="9" xfId="0" applyFont="1" applyFill="1" applyBorder="1" applyAlignment="1">
      <alignment horizontal="center" vertical="center"/>
    </xf>
    <xf numFmtId="0" fontId="78" fillId="6" borderId="9" xfId="0" applyFont="1" applyFill="1" applyBorder="1" applyAlignment="1">
      <alignment horizontal="center" vertical="center" wrapText="1"/>
    </xf>
    <xf numFmtId="0" fontId="74" fillId="8" borderId="9" xfId="0" applyFont="1" applyFill="1" applyBorder="1" applyAlignment="1">
      <alignment horizontal="center" vertical="center"/>
    </xf>
    <xf numFmtId="0" fontId="74" fillId="0" borderId="9" xfId="0" applyFont="1" applyBorder="1" applyAlignment="1">
      <alignment horizontal="center" vertical="center"/>
    </xf>
    <xf numFmtId="44" fontId="74" fillId="0" borderId="9" xfId="2" applyFont="1" applyBorder="1" applyAlignment="1">
      <alignment horizontal="center" vertical="center"/>
    </xf>
    <xf numFmtId="0" fontId="79" fillId="0" borderId="9" xfId="0" applyFont="1" applyBorder="1" applyAlignment="1">
      <alignment horizontal="center" vertical="center"/>
    </xf>
    <xf numFmtId="44" fontId="78" fillId="6" borderId="9" xfId="2" applyFont="1" applyFill="1" applyBorder="1" applyAlignment="1">
      <alignment horizontal="center" vertical="center" wrapText="1"/>
    </xf>
    <xf numFmtId="0" fontId="74" fillId="0" borderId="0" xfId="0" applyFont="1" applyAlignment="1">
      <alignment horizontal="center"/>
    </xf>
    <xf numFmtId="9" fontId="74" fillId="0" borderId="0" xfId="0" applyNumberFormat="1" applyFont="1" applyAlignment="1">
      <alignment horizontal="center"/>
    </xf>
    <xf numFmtId="0" fontId="80" fillId="14" borderId="13" xfId="0" applyFont="1" applyFill="1" applyBorder="1" applyAlignment="1">
      <alignment horizontal="center" vertical="center" wrapText="1"/>
    </xf>
    <xf numFmtId="16" fontId="70" fillId="0" borderId="13" xfId="0" applyNumberFormat="1" applyFont="1" applyBorder="1" applyAlignment="1">
      <alignment horizontal="center"/>
    </xf>
    <xf numFmtId="0" fontId="74" fillId="0" borderId="13" xfId="0" applyFont="1" applyBorder="1" applyAlignment="1">
      <alignment horizontal="center" vertical="center"/>
    </xf>
    <xf numFmtId="0" fontId="70" fillId="0" borderId="13" xfId="0" applyFont="1" applyBorder="1" applyAlignment="1">
      <alignment horizontal="center"/>
    </xf>
    <xf numFmtId="16" fontId="70" fillId="0" borderId="0" xfId="0" applyNumberFormat="1" applyFont="1"/>
    <xf numFmtId="0" fontId="41" fillId="0" borderId="13" xfId="0" applyFont="1" applyBorder="1" applyAlignment="1">
      <alignment horizontal="center"/>
    </xf>
    <xf numFmtId="0" fontId="40" fillId="0" borderId="13" xfId="0" applyFont="1" applyBorder="1" applyAlignment="1">
      <alignment horizontal="center"/>
    </xf>
    <xf numFmtId="0" fontId="40" fillId="0" borderId="13" xfId="0" applyFont="1" applyBorder="1"/>
    <xf numFmtId="0" fontId="40" fillId="0" borderId="0" xfId="0" applyFont="1"/>
    <xf numFmtId="0" fontId="81" fillId="0" borderId="13" xfId="0" applyFont="1" applyBorder="1"/>
    <xf numFmtId="0" fontId="39" fillId="0" borderId="13" xfId="0" applyFont="1" applyBorder="1" applyAlignment="1">
      <alignment horizontal="center"/>
    </xf>
    <xf numFmtId="0" fontId="39" fillId="0" borderId="13" xfId="0" applyFont="1" applyBorder="1"/>
    <xf numFmtId="0" fontId="38" fillId="0" borderId="13" xfId="0" applyFont="1" applyBorder="1"/>
    <xf numFmtId="0" fontId="38" fillId="0" borderId="13" xfId="0" applyFont="1" applyBorder="1" applyAlignment="1">
      <alignment horizontal="center"/>
    </xf>
    <xf numFmtId="0" fontId="37" fillId="0" borderId="13" xfId="0" applyFont="1" applyBorder="1" applyAlignment="1">
      <alignment horizontal="center"/>
    </xf>
    <xf numFmtId="0" fontId="37" fillId="0" borderId="13" xfId="0" applyFont="1" applyBorder="1"/>
    <xf numFmtId="0" fontId="36" fillId="0" borderId="13" xfId="0" applyFont="1" applyBorder="1" applyAlignment="1">
      <alignment horizontal="center"/>
    </xf>
    <xf numFmtId="0" fontId="36" fillId="0" borderId="13" xfId="0" applyFont="1" applyBorder="1"/>
    <xf numFmtId="0" fontId="35" fillId="0" borderId="13" xfId="0" applyFont="1" applyBorder="1"/>
    <xf numFmtId="0" fontId="35" fillId="0" borderId="13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3" fillId="0" borderId="13" xfId="0" applyFont="1" applyBorder="1"/>
    <xf numFmtId="0" fontId="33" fillId="0" borderId="13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2" fillId="0" borderId="13" xfId="0" applyFont="1" applyBorder="1"/>
    <xf numFmtId="0" fontId="31" fillId="0" borderId="13" xfId="0" applyFont="1" applyBorder="1"/>
    <xf numFmtId="0" fontId="31" fillId="0" borderId="13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13" xfId="0" applyFont="1" applyBorder="1"/>
    <xf numFmtId="0" fontId="82" fillId="0" borderId="0" xfId="0" applyFont="1"/>
    <xf numFmtId="0" fontId="29" fillId="0" borderId="13" xfId="0" applyFont="1" applyBorder="1"/>
    <xf numFmtId="0" fontId="54" fillId="15" borderId="14" xfId="0" applyFont="1" applyFill="1" applyBorder="1" applyAlignment="1">
      <alignment horizontal="left"/>
    </xf>
    <xf numFmtId="0" fontId="29" fillId="0" borderId="13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7" fillId="0" borderId="13" xfId="0" applyFont="1" applyBorder="1"/>
    <xf numFmtId="0" fontId="27" fillId="0" borderId="13" xfId="0" applyFont="1" applyBorder="1" applyAlignment="1">
      <alignment horizontal="center"/>
    </xf>
    <xf numFmtId="14" fontId="55" fillId="5" borderId="15" xfId="0" applyNumberFormat="1" applyFont="1" applyFill="1" applyBorder="1" applyAlignment="1">
      <alignment horizontal="center" vertical="center" wrapText="1"/>
    </xf>
    <xf numFmtId="14" fontId="55" fillId="5" borderId="1" xfId="0" applyNumberFormat="1" applyFont="1" applyFill="1" applyBorder="1" applyAlignment="1">
      <alignment horizontal="center" vertical="center" wrapText="1"/>
    </xf>
    <xf numFmtId="14" fontId="54" fillId="0" borderId="16" xfId="0" applyNumberFormat="1" applyFont="1" applyBorder="1" applyAlignment="1">
      <alignment horizontal="center" vertical="center"/>
    </xf>
    <xf numFmtId="14" fontId="54" fillId="0" borderId="13" xfId="0" applyNumberFormat="1" applyFont="1" applyBorder="1" applyAlignment="1">
      <alignment horizontal="center" vertical="center"/>
    </xf>
    <xf numFmtId="14" fontId="33" fillId="0" borderId="16" xfId="0" applyNumberFormat="1" applyFont="1" applyBorder="1" applyAlignment="1">
      <alignment horizontal="center" vertical="center"/>
    </xf>
    <xf numFmtId="14" fontId="33" fillId="0" borderId="13" xfId="0" applyNumberFormat="1" applyFont="1" applyBorder="1" applyAlignment="1">
      <alignment horizontal="center" vertical="center"/>
    </xf>
    <xf numFmtId="14" fontId="36" fillId="0" borderId="16" xfId="0" applyNumberFormat="1" applyFont="1" applyBorder="1" applyAlignment="1">
      <alignment horizontal="center" vertical="center"/>
    </xf>
    <xf numFmtId="14" fontId="36" fillId="0" borderId="13" xfId="0" applyNumberFormat="1" applyFont="1" applyBorder="1" applyAlignment="1">
      <alignment horizontal="center" vertical="center"/>
    </xf>
    <xf numFmtId="14" fontId="0" fillId="0" borderId="0" xfId="0" applyNumberFormat="1"/>
    <xf numFmtId="0" fontId="26" fillId="0" borderId="13" xfId="0" applyFont="1" applyBorder="1" applyAlignment="1">
      <alignment horizontal="center"/>
    </xf>
    <xf numFmtId="0" fontId="26" fillId="0" borderId="13" xfId="0" applyFont="1" applyBorder="1"/>
    <xf numFmtId="0" fontId="54" fillId="0" borderId="13" xfId="0" applyFont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25" fillId="0" borderId="13" xfId="0" applyFont="1" applyBorder="1"/>
    <xf numFmtId="0" fontId="25" fillId="0" borderId="13" xfId="0" applyFont="1" applyBorder="1" applyAlignment="1">
      <alignment horizontal="center"/>
    </xf>
    <xf numFmtId="0" fontId="24" fillId="0" borderId="13" xfId="0" applyFont="1" applyBorder="1"/>
    <xf numFmtId="0" fontId="24" fillId="0" borderId="13" xfId="0" applyFont="1" applyBorder="1" applyAlignment="1">
      <alignment wrapText="1"/>
    </xf>
    <xf numFmtId="0" fontId="24" fillId="0" borderId="13" xfId="0" applyFont="1" applyBorder="1" applyAlignment="1">
      <alignment horizontal="center"/>
    </xf>
    <xf numFmtId="1" fontId="54" fillId="15" borderId="1" xfId="0" applyNumberFormat="1" applyFont="1" applyFill="1" applyBorder="1" applyAlignment="1">
      <alignment horizontal="center" vertical="center"/>
    </xf>
    <xf numFmtId="0" fontId="23" fillId="0" borderId="13" xfId="0" applyFont="1" applyBorder="1"/>
    <xf numFmtId="0" fontId="23" fillId="0" borderId="13" xfId="0" applyFont="1" applyBorder="1" applyAlignment="1">
      <alignment horizontal="center"/>
    </xf>
    <xf numFmtId="0" fontId="22" fillId="0" borderId="13" xfId="0" applyFont="1" applyBorder="1"/>
    <xf numFmtId="0" fontId="22" fillId="0" borderId="13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3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3" xfId="0" applyFont="1" applyBorder="1"/>
    <xf numFmtId="14" fontId="19" fillId="0" borderId="16" xfId="0" applyNumberFormat="1" applyFont="1" applyBorder="1" applyAlignment="1">
      <alignment horizontal="center" vertical="center"/>
    </xf>
    <xf numFmtId="14" fontId="19" fillId="0" borderId="13" xfId="0" applyNumberFormat="1" applyFont="1" applyBorder="1" applyAlignment="1">
      <alignment horizontal="center" vertical="center"/>
    </xf>
    <xf numFmtId="0" fontId="18" fillId="0" borderId="13" xfId="0" applyFont="1" applyBorder="1"/>
    <xf numFmtId="0" fontId="18" fillId="0" borderId="13" xfId="0" applyFont="1" applyBorder="1" applyAlignment="1">
      <alignment horizontal="center"/>
    </xf>
    <xf numFmtId="0" fontId="17" fillId="0" borderId="13" xfId="0" applyFont="1" applyBorder="1"/>
    <xf numFmtId="0" fontId="17" fillId="0" borderId="13" xfId="0" applyFont="1" applyBorder="1" applyAlignment="1">
      <alignment horizontal="center"/>
    </xf>
    <xf numFmtId="0" fontId="16" fillId="0" borderId="13" xfId="0" applyFont="1" applyBorder="1"/>
    <xf numFmtId="0" fontId="16" fillId="0" borderId="13" xfId="0" applyFont="1" applyBorder="1" applyAlignment="1">
      <alignment horizontal="center"/>
    </xf>
    <xf numFmtId="0" fontId="15" fillId="0" borderId="13" xfId="0" applyFont="1" applyBorder="1"/>
    <xf numFmtId="0" fontId="15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14" fontId="14" fillId="0" borderId="16" xfId="0" applyNumberFormat="1" applyFont="1" applyBorder="1" applyAlignment="1">
      <alignment horizontal="center" vertical="center"/>
    </xf>
    <xf numFmtId="14" fontId="14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/>
    </xf>
    <xf numFmtId="14" fontId="13" fillId="0" borderId="16" xfId="0" applyNumberFormat="1" applyFont="1" applyBorder="1" applyAlignment="1">
      <alignment horizontal="center" vertical="center"/>
    </xf>
    <xf numFmtId="14" fontId="13" fillId="0" borderId="13" xfId="0" applyNumberFormat="1" applyFont="1" applyBorder="1" applyAlignment="1">
      <alignment horizontal="center" vertical="center"/>
    </xf>
    <xf numFmtId="0" fontId="13" fillId="0" borderId="13" xfId="0" applyFont="1" applyBorder="1"/>
    <xf numFmtId="0" fontId="0" fillId="17" borderId="13" xfId="0" applyFill="1" applyBorder="1" applyAlignment="1">
      <alignment horizontal="center"/>
    </xf>
    <xf numFmtId="0" fontId="54" fillId="17" borderId="13" xfId="0" applyFont="1" applyFill="1" applyBorder="1" applyAlignment="1">
      <alignment horizontal="center" vertical="center"/>
    </xf>
    <xf numFmtId="0" fontId="13" fillId="17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center"/>
    </xf>
    <xf numFmtId="0" fontId="11" fillId="0" borderId="13" xfId="0" applyFont="1" applyBorder="1"/>
    <xf numFmtId="0" fontId="11" fillId="0" borderId="13" xfId="0" applyFont="1" applyBorder="1" applyAlignment="1">
      <alignment horizontal="center"/>
    </xf>
    <xf numFmtId="0" fontId="10" fillId="0" borderId="13" xfId="0" applyFont="1" applyBorder="1"/>
    <xf numFmtId="0" fontId="10" fillId="0" borderId="13" xfId="0" applyFont="1" applyBorder="1" applyAlignment="1">
      <alignment horizontal="center"/>
    </xf>
    <xf numFmtId="0" fontId="9" fillId="0" borderId="13" xfId="0" applyFont="1" applyBorder="1"/>
    <xf numFmtId="0" fontId="9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3" xfId="0" applyFont="1" applyBorder="1"/>
    <xf numFmtId="0" fontId="56" fillId="18" borderId="1" xfId="0" applyFont="1" applyFill="1" applyBorder="1" applyAlignment="1">
      <alignment horizontal="center" vertical="center"/>
    </xf>
    <xf numFmtId="43" fontId="56" fillId="18" borderId="1" xfId="3" applyFont="1" applyFill="1" applyBorder="1" applyAlignment="1">
      <alignment horizontal="center"/>
    </xf>
    <xf numFmtId="0" fontId="56" fillId="9" borderId="1" xfId="0" applyFont="1" applyFill="1" applyBorder="1" applyAlignment="1">
      <alignment horizontal="center" vertical="center"/>
    </xf>
    <xf numFmtId="0" fontId="56" fillId="9" borderId="3" xfId="0" applyFont="1" applyFill="1" applyBorder="1" applyAlignment="1">
      <alignment horizontal="center" vertical="center"/>
    </xf>
    <xf numFmtId="43" fontId="56" fillId="9" borderId="1" xfId="3" applyFont="1" applyFill="1" applyBorder="1" applyAlignment="1">
      <alignment horizontal="center" vertical="center"/>
    </xf>
    <xf numFmtId="0" fontId="7" fillId="0" borderId="13" xfId="0" applyFont="1" applyBorder="1"/>
    <xf numFmtId="0" fontId="7" fillId="0" borderId="13" xfId="0" applyFont="1" applyBorder="1" applyAlignment="1">
      <alignment horizontal="center"/>
    </xf>
    <xf numFmtId="0" fontId="6" fillId="0" borderId="13" xfId="0" applyFont="1" applyBorder="1"/>
    <xf numFmtId="0" fontId="6" fillId="0" borderId="13" xfId="0" applyFont="1" applyBorder="1" applyAlignment="1">
      <alignment horizontal="center"/>
    </xf>
    <xf numFmtId="14" fontId="6" fillId="0" borderId="16" xfId="0" applyNumberFormat="1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14" fontId="5" fillId="0" borderId="16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0" fillId="0" borderId="9" xfId="2" applyNumberFormat="1" applyFont="1" applyBorder="1"/>
    <xf numFmtId="165" fontId="55" fillId="5" borderId="3" xfId="2" applyNumberFormat="1" applyFont="1" applyFill="1" applyBorder="1" applyAlignment="1">
      <alignment horizontal="center" vertical="center" wrapText="1"/>
    </xf>
    <xf numFmtId="165" fontId="0" fillId="0" borderId="18" xfId="2" applyNumberFormat="1" applyFont="1" applyBorder="1"/>
    <xf numFmtId="164" fontId="55" fillId="11" borderId="15" xfId="0" applyNumberFormat="1" applyFont="1" applyFill="1" applyBorder="1" applyAlignment="1">
      <alignment horizontal="center" vertical="center" wrapText="1"/>
    </xf>
    <xf numFmtId="165" fontId="54" fillId="0" borderId="15" xfId="2" applyNumberFormat="1" applyFont="1" applyBorder="1"/>
    <xf numFmtId="165" fontId="55" fillId="5" borderId="13" xfId="2" applyNumberFormat="1" applyFont="1" applyFill="1" applyBorder="1" applyAlignment="1">
      <alignment horizontal="center" vertical="center" wrapText="1"/>
    </xf>
    <xf numFmtId="0" fontId="54" fillId="0" borderId="13" xfId="0" applyFont="1" applyBorder="1" applyAlignment="1">
      <alignment horizontal="left"/>
    </xf>
    <xf numFmtId="1" fontId="54" fillId="0" borderId="19" xfId="0" applyNumberFormat="1" applyFont="1" applyBorder="1" applyAlignment="1">
      <alignment horizontal="center" vertical="center"/>
    </xf>
    <xf numFmtId="165" fontId="0" fillId="0" borderId="13" xfId="2" applyNumberFormat="1" applyFont="1" applyBorder="1" applyAlignment="1">
      <alignment horizontal="center"/>
    </xf>
    <xf numFmtId="164" fontId="54" fillId="0" borderId="13" xfId="0" applyNumberFormat="1" applyFont="1" applyBorder="1" applyAlignment="1">
      <alignment horizontal="center" vertical="center"/>
    </xf>
    <xf numFmtId="1" fontId="54" fillId="0" borderId="13" xfId="0" applyNumberFormat="1" applyFont="1" applyBorder="1" applyAlignment="1">
      <alignment horizontal="center" vertical="center"/>
    </xf>
    <xf numFmtId="165" fontId="0" fillId="0" borderId="9" xfId="2" applyNumberFormat="1" applyFont="1" applyBorder="1" applyAlignment="1">
      <alignment horizontal="center"/>
    </xf>
    <xf numFmtId="0" fontId="57" fillId="0" borderId="9" xfId="0" applyFont="1" applyBorder="1" applyAlignment="1">
      <alignment horizontal="left" vertical="center" indent="55"/>
    </xf>
    <xf numFmtId="0" fontId="57" fillId="0" borderId="9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61" fillId="0" borderId="9" xfId="0" applyFont="1" applyBorder="1" applyAlignment="1">
      <alignment horizontal="left" vertical="center" indent="21"/>
    </xf>
    <xf numFmtId="0" fontId="69" fillId="7" borderId="6" xfId="0" applyFont="1" applyFill="1" applyBorder="1" applyAlignment="1">
      <alignment horizontal="left" vertical="center"/>
    </xf>
    <xf numFmtId="0" fontId="75" fillId="9" borderId="0" xfId="0" applyFont="1" applyFill="1" applyAlignment="1">
      <alignment horizontal="center" vertical="center" wrapText="1"/>
    </xf>
    <xf numFmtId="0" fontId="75" fillId="9" borderId="0" xfId="0" applyFont="1" applyFill="1" applyAlignment="1">
      <alignment horizontal="center" vertical="center"/>
    </xf>
    <xf numFmtId="0" fontId="76" fillId="13" borderId="0" xfId="0" applyFont="1" applyFill="1" applyAlignment="1">
      <alignment horizontal="center" vertical="center"/>
    </xf>
    <xf numFmtId="0" fontId="61" fillId="0" borderId="9" xfId="0" applyFont="1" applyBorder="1" applyAlignment="1">
      <alignment horizontal="center" vertical="center"/>
    </xf>
    <xf numFmtId="0" fontId="65" fillId="7" borderId="6" xfId="0" applyFont="1" applyFill="1" applyBorder="1" applyAlignment="1">
      <alignment horizontal="center" vertical="center"/>
    </xf>
    <xf numFmtId="1" fontId="55" fillId="5" borderId="3" xfId="0" applyNumberFormat="1" applyFont="1" applyFill="1" applyBorder="1" applyAlignment="1">
      <alignment horizontal="center" vertical="center" wrapText="1"/>
    </xf>
    <xf numFmtId="1" fontId="54" fillId="0" borderId="20" xfId="0" applyNumberFormat="1" applyFont="1" applyBorder="1" applyAlignment="1">
      <alignment horizontal="center" vertical="center"/>
    </xf>
    <xf numFmtId="1" fontId="55" fillId="20" borderId="3" xfId="0" applyNumberFormat="1" applyFont="1" applyFill="1" applyBorder="1" applyAlignment="1">
      <alignment horizontal="center" vertical="center" wrapText="1"/>
    </xf>
    <xf numFmtId="1" fontId="54" fillId="19" borderId="14" xfId="0" applyNumberFormat="1" applyFont="1" applyFill="1" applyBorder="1" applyAlignment="1">
      <alignment horizontal="center" vertical="center"/>
    </xf>
    <xf numFmtId="1" fontId="54" fillId="19" borderId="14" xfId="0" quotePrefix="1" applyNumberFormat="1" applyFont="1" applyFill="1" applyBorder="1" applyAlignment="1">
      <alignment horizontal="center" vertical="center"/>
    </xf>
    <xf numFmtId="14" fontId="0" fillId="21" borderId="13" xfId="0" applyNumberFormat="1" applyFill="1" applyBorder="1" applyAlignment="1">
      <alignment horizontal="center" vertical="center"/>
    </xf>
    <xf numFmtId="1" fontId="54" fillId="21" borderId="1" xfId="0" applyNumberFormat="1" applyFont="1" applyFill="1" applyBorder="1" applyAlignment="1">
      <alignment horizontal="center" vertical="center"/>
    </xf>
    <xf numFmtId="0" fontId="0" fillId="21" borderId="13" xfId="0" applyFill="1" applyBorder="1" applyAlignment="1">
      <alignment horizontal="center"/>
    </xf>
    <xf numFmtId="0" fontId="6" fillId="21" borderId="13" xfId="0" applyFont="1" applyFill="1" applyBorder="1"/>
    <xf numFmtId="0" fontId="56" fillId="21" borderId="1" xfId="0" applyFont="1" applyFill="1" applyBorder="1" applyAlignment="1">
      <alignment horizontal="center" vertical="center"/>
    </xf>
    <xf numFmtId="0" fontId="54" fillId="21" borderId="14" xfId="0" applyFont="1" applyFill="1" applyBorder="1" applyAlignment="1">
      <alignment horizontal="left"/>
    </xf>
    <xf numFmtId="0" fontId="6" fillId="21" borderId="13" xfId="0" applyFont="1" applyFill="1" applyBorder="1" applyAlignment="1">
      <alignment horizontal="center"/>
    </xf>
    <xf numFmtId="0" fontId="54" fillId="21" borderId="14" xfId="0" applyFont="1" applyFill="1" applyBorder="1" applyAlignment="1">
      <alignment horizontal="center" vertical="center"/>
    </xf>
    <xf numFmtId="1" fontId="54" fillId="21" borderId="3" xfId="0" applyNumberFormat="1" applyFont="1" applyFill="1" applyBorder="1" applyAlignment="1">
      <alignment horizontal="center" vertical="center"/>
    </xf>
    <xf numFmtId="0" fontId="12" fillId="21" borderId="13" xfId="0" applyFont="1" applyFill="1" applyBorder="1" applyAlignment="1">
      <alignment horizontal="center"/>
    </xf>
    <xf numFmtId="14" fontId="54" fillId="21" borderId="16" xfId="0" applyNumberFormat="1" applyFont="1" applyFill="1" applyBorder="1" applyAlignment="1">
      <alignment horizontal="center" vertical="center"/>
    </xf>
    <xf numFmtId="14" fontId="54" fillId="21" borderId="13" xfId="0" applyNumberFormat="1" applyFont="1" applyFill="1" applyBorder="1" applyAlignment="1">
      <alignment horizontal="center" vertical="center"/>
    </xf>
    <xf numFmtId="164" fontId="54" fillId="21" borderId="14" xfId="0" applyNumberFormat="1" applyFont="1" applyFill="1" applyBorder="1" applyAlignment="1">
      <alignment horizontal="center" vertical="center"/>
    </xf>
    <xf numFmtId="1" fontId="54" fillId="21" borderId="14" xfId="0" applyNumberFormat="1" applyFont="1" applyFill="1" applyBorder="1" applyAlignment="1">
      <alignment horizontal="center" vertical="center"/>
    </xf>
    <xf numFmtId="1" fontId="54" fillId="21" borderId="14" xfId="0" quotePrefix="1" applyNumberFormat="1" applyFont="1" applyFill="1" applyBorder="1" applyAlignment="1">
      <alignment horizontal="center" vertical="center"/>
    </xf>
    <xf numFmtId="1" fontId="54" fillId="21" borderId="20" xfId="0" applyNumberFormat="1" applyFont="1" applyFill="1" applyBorder="1" applyAlignment="1">
      <alignment horizontal="center" vertical="center"/>
    </xf>
    <xf numFmtId="165" fontId="0" fillId="21" borderId="18" xfId="2" applyNumberFormat="1" applyFont="1" applyFill="1" applyBorder="1"/>
    <xf numFmtId="165" fontId="0" fillId="21" borderId="13" xfId="2" applyNumberFormat="1" applyFont="1" applyFill="1" applyBorder="1" applyAlignment="1">
      <alignment horizontal="center"/>
    </xf>
    <xf numFmtId="165" fontId="54" fillId="21" borderId="15" xfId="2" applyNumberFormat="1" applyFont="1" applyFill="1" applyBorder="1"/>
    <xf numFmtId="0" fontId="0" fillId="21" borderId="0" xfId="0" applyFill="1"/>
    <xf numFmtId="0" fontId="2" fillId="21" borderId="13" xfId="0" applyFont="1" applyFill="1" applyBorder="1" applyAlignment="1">
      <alignment horizontal="center"/>
    </xf>
    <xf numFmtId="0" fontId="4" fillId="21" borderId="13" xfId="0" applyFont="1" applyFill="1" applyBorder="1" applyAlignment="1">
      <alignment horizontal="center"/>
    </xf>
    <xf numFmtId="0" fontId="1" fillId="21" borderId="13" xfId="0" applyFont="1" applyFill="1" applyBorder="1" applyAlignment="1">
      <alignment horizontal="center"/>
    </xf>
    <xf numFmtId="0" fontId="83" fillId="21" borderId="13" xfId="0" applyFont="1" applyFill="1" applyBorder="1" applyAlignment="1">
      <alignment horizontal="center"/>
    </xf>
    <xf numFmtId="1" fontId="54" fillId="19" borderId="13" xfId="0" applyNumberFormat="1" applyFont="1" applyFill="1" applyBorder="1" applyAlignment="1">
      <alignment horizontal="center" vertical="center"/>
    </xf>
    <xf numFmtId="1" fontId="54" fillId="19" borderId="13" xfId="0" quotePrefix="1" applyNumberFormat="1" applyFont="1" applyFill="1" applyBorder="1" applyAlignment="1">
      <alignment horizontal="center" vertical="center"/>
    </xf>
  </cellXfs>
  <cellStyles count="6">
    <cellStyle name="Millares" xfId="3" builtinId="3"/>
    <cellStyle name="Moneda" xfId="2" builtinId="4"/>
    <cellStyle name="Normal" xfId="0" builtinId="0"/>
    <cellStyle name="Normal 2" xfId="4" xr:uid="{898CC166-CC81-4CF2-B12D-DFA83AD6BE29}"/>
    <cellStyle name="Normal 3" xfId="5" xr:uid="{60699E8F-0255-4728-9EA5-05977447DCB2}"/>
    <cellStyle name="Porcentaje" xfId="1" builtinId="5"/>
  </cellStyles>
  <dxfs count="36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numFmt numFmtId="167" formatCode="_-* #,##0_-;\-* #,##0_-;_-* &quot;-&quot;??_-;_-@_-"/>
    </dxf>
    <dxf>
      <numFmt numFmtId="165" formatCode="_-&quot;$&quot;\ * #,##0_-;\-&quot;$&quot;\ * #,##0_-;_-&quot;$&quot;\ * &quot;-&quot;??_-;_-@_-"/>
    </dxf>
    <dxf>
      <alignment wrapText="1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sz val="11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sz val="10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sz val="10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2" formatCode="0.00"/>
    </dxf>
    <dxf>
      <alignment relativeIndent="1"/>
    </dxf>
    <dxf>
      <alignment relativeIndent="1"/>
    </dxf>
    <dxf>
      <alignment relativeIndent="-1"/>
    </dxf>
    <dxf>
      <alignment horizontal="left" relativeIndent="1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pivotCacheDefinition" Target="pivotCache/pivotCacheDefinition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98144</xdr:rowOff>
    </xdr:from>
    <xdr:to>
      <xdr:col>2</xdr:col>
      <xdr:colOff>135948</xdr:colOff>
      <xdr:row>2</xdr:row>
      <xdr:rowOff>94089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49D977-AACB-9DAB-5625-A02273BEE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98144"/>
          <a:ext cx="1533525" cy="3226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19050</xdr:rowOff>
    </xdr:from>
    <xdr:to>
      <xdr:col>0</xdr:col>
      <xdr:colOff>590551</xdr:colOff>
      <xdr:row>0</xdr:row>
      <xdr:rowOff>552450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D3CA96-9ED4-0F57-2A1E-19F9E52D6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19050"/>
          <a:ext cx="533400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19050</xdr:rowOff>
    </xdr:from>
    <xdr:to>
      <xdr:col>0</xdr:col>
      <xdr:colOff>704850</xdr:colOff>
      <xdr:row>2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74B684-127C-4749-BE85-FDBC1E9EF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9050"/>
          <a:ext cx="619125" cy="619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0</xdr:row>
      <xdr:rowOff>0</xdr:rowOff>
    </xdr:from>
    <xdr:to>
      <xdr:col>0</xdr:col>
      <xdr:colOff>1019175</xdr:colOff>
      <xdr:row>2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BD6630-EC31-4CF1-B976-F0BB94026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619125" cy="619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Informe%20envioclick%20Enero%2022%20-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26bc6b40-fca3-46f9-870a-2b50ac833bf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oja1"/>
    </sheetNames>
    <sheetDataSet>
      <sheetData sheetId="0"/>
      <sheetData sheetId="1">
        <row r="1">
          <cell r="G1" t="str">
            <v>concatenar</v>
          </cell>
          <cell r="H1" t="str">
            <v>Valor</v>
          </cell>
          <cell r="I1" t="str">
            <v>Peso</v>
          </cell>
          <cell r="J1" t="str">
            <v>Largo</v>
          </cell>
          <cell r="K1" t="str">
            <v>Ancho</v>
          </cell>
          <cell r="L1" t="str">
            <v>Alto</v>
          </cell>
          <cell r="M1" t="str">
            <v>Fecha de recolección</v>
          </cell>
          <cell r="N1" t="str">
            <v>Folio de recolección</v>
          </cell>
          <cell r="O1" t="str">
            <v>No. Ref.</v>
          </cell>
          <cell r="P1" t="str">
            <v>Nombre - Remitente</v>
          </cell>
          <cell r="Q1" t="str">
            <v>Apellido - Remitente</v>
          </cell>
          <cell r="R1" t="str">
            <v>Compañia - Remitente</v>
          </cell>
          <cell r="S1" t="str">
            <v>Dirección - Remitente</v>
          </cell>
          <cell r="T1" t="str">
            <v>Número ext. - Remitente</v>
          </cell>
          <cell r="U1" t="str">
            <v>Barrio - Remitente</v>
          </cell>
          <cell r="V1" t="str">
            <v>Edificio/Interior/Apto - Remitente</v>
          </cell>
          <cell r="W1" t="str">
            <v>Indicaciones/Referencias - Remitente</v>
          </cell>
          <cell r="X1" t="str">
            <v>Ciudad  - Remitente</v>
          </cell>
          <cell r="Y1" t="str">
            <v>Departamento - Remitente</v>
          </cell>
          <cell r="Z1" t="str">
            <v>Teléfono - Remitente</v>
          </cell>
          <cell r="AA1" t="str">
            <v>Email - Remitente</v>
          </cell>
          <cell r="AB1" t="str">
            <v>Nombre - Destinario</v>
          </cell>
          <cell r="AC1" t="str">
            <v>Apellido - Destinario</v>
          </cell>
          <cell r="AD1" t="str">
            <v>Compañia - Destinario</v>
          </cell>
          <cell r="AE1" t="str">
            <v>Dirección - Destinario</v>
          </cell>
          <cell r="AF1" t="str">
            <v>Número ext. - Destinario</v>
          </cell>
          <cell r="AG1" t="str">
            <v>Barrio - Destinario</v>
          </cell>
          <cell r="AH1" t="str">
            <v>Edificio/Interior/Apto - Destinario</v>
          </cell>
          <cell r="AI1" t="str">
            <v>Indicaciones/Referencias - Destinario</v>
          </cell>
          <cell r="AJ1" t="str">
            <v>Ciudad  - Destinario</v>
          </cell>
          <cell r="AK1" t="str">
            <v>Departamento - Destinatario</v>
          </cell>
          <cell r="AL1" t="str">
            <v>Teléfono - Destinario</v>
          </cell>
          <cell r="AM1" t="str">
            <v>Email - Destinario</v>
          </cell>
          <cell r="AN1" t="str">
            <v>Fecha de pago</v>
          </cell>
          <cell r="AO1" t="str">
            <v>Costo Guía</v>
          </cell>
          <cell r="AP1" t="str">
            <v>IVA</v>
          </cell>
          <cell r="AQ1" t="str">
            <v>Costo Total</v>
          </cell>
          <cell r="AR1" t="str">
            <v>Costo seguro</v>
          </cell>
          <cell r="AS1" t="str">
            <v>Costo total</v>
          </cell>
          <cell r="AT1" t="str">
            <v>Número de guía</v>
          </cell>
          <cell r="AU1" t="str">
            <v>Número de piezas</v>
          </cell>
          <cell r="AV1" t="str">
            <v>Paquetería</v>
          </cell>
          <cell r="AW1" t="str">
            <v>Producto/Servicio</v>
          </cell>
          <cell r="AX1" t="str">
            <v>Tiempo de entrega</v>
          </cell>
          <cell r="AY1" t="str">
            <v>Fecha entrega estimada</v>
          </cell>
          <cell r="AZ1" t="str">
            <v>Estado</v>
          </cell>
          <cell r="BA1" t="str">
            <v>Detalle de estado</v>
          </cell>
          <cell r="BB1" t="str">
            <v>Fecha recolección realizada</v>
          </cell>
          <cell r="BC1" t="str">
            <v>Recibido por</v>
          </cell>
          <cell r="BD1" t="str">
            <v>Fecha de entrega</v>
          </cell>
          <cell r="BE1" t="str">
            <v>Tipo de orden</v>
          </cell>
        </row>
        <row r="2">
          <cell r="G2" t="str">
            <v>3002879 -84151097216</v>
          </cell>
          <cell r="H2">
            <v>2800000</v>
          </cell>
          <cell r="I2" t="str">
            <v>28</v>
          </cell>
          <cell r="J2" t="str">
            <v>114</v>
          </cell>
          <cell r="K2" t="str">
            <v>19</v>
          </cell>
          <cell r="L2" t="str">
            <v>60</v>
          </cell>
          <cell r="M2">
            <v>45664</v>
          </cell>
          <cell r="N2" t="str">
            <v>-</v>
          </cell>
          <cell r="O2" t="str">
            <v>Orden 2374 Standing</v>
          </cell>
          <cell r="P2" t="str">
            <v>Paula</v>
          </cell>
          <cell r="Q2" t="str">
            <v>Tobar</v>
          </cell>
          <cell r="R2" t="str">
            <v>TECU.CO S.A.S</v>
          </cell>
          <cell r="S2" t="str">
            <v>calle 24 # 15-32</v>
          </cell>
          <cell r="U2" t="str">
            <v>Cafetero</v>
          </cell>
          <cell r="V2" t="str">
            <v>Primer piso</v>
          </cell>
          <cell r="W2" t="str">
            <v>Escuela Olaya Herrera</v>
          </cell>
          <cell r="X2" t="str">
            <v>ARMENIA</v>
          </cell>
          <cell r="Y2" t="str">
            <v>QUINDIO</v>
          </cell>
          <cell r="Z2" t="str">
            <v>3197269827</v>
          </cell>
          <cell r="AA2" t="str">
            <v>operaciones@tecu.co</v>
          </cell>
          <cell r="AB2" t="str">
            <v>Julian</v>
          </cell>
          <cell r="AC2" t="str">
            <v>Pulgarin</v>
          </cell>
          <cell r="AD2" t="str">
            <v>Julian</v>
          </cell>
          <cell r="AE2" t="str">
            <v>calle 38 #66a-44</v>
          </cell>
          <cell r="AG2" t="str">
            <v>Los Conquistadores</v>
          </cell>
          <cell r="AH2" t="str">
            <v>Apto 801 edf Dijon</v>
          </cell>
          <cell r="AI2" t="str">
            <v>Los Conquistadores</v>
          </cell>
          <cell r="AJ2" t="str">
            <v>MEDELLIN</v>
          </cell>
          <cell r="AK2" t="str">
            <v>ANTIOQUIA</v>
          </cell>
          <cell r="AL2" t="str">
            <v>3217621075</v>
          </cell>
          <cell r="AM2" t="str">
            <v>tecu@pulgarin.co</v>
          </cell>
          <cell r="AN2">
            <v>45664.430381944447</v>
          </cell>
          <cell r="AO2">
            <v>42850</v>
          </cell>
          <cell r="AP2">
            <v>0</v>
          </cell>
          <cell r="AQ2">
            <v>42850</v>
          </cell>
          <cell r="AR2">
            <v>19680</v>
          </cell>
          <cell r="AS2">
            <v>62530</v>
          </cell>
          <cell r="AT2" t="str">
            <v>84151097216</v>
          </cell>
          <cell r="AU2">
            <v>1</v>
          </cell>
          <cell r="AV2" t="str">
            <v>COORDINADORA</v>
          </cell>
          <cell r="AW2" t="str">
            <v>Normal</v>
          </cell>
          <cell r="AX2">
            <v>3</v>
          </cell>
          <cell r="AY2">
            <v>45667.709537037037</v>
          </cell>
          <cell r="AZ2" t="str">
            <v>Entregado</v>
          </cell>
          <cell r="BA2" t="str">
            <v>Entregada</v>
          </cell>
          <cell r="BB2">
            <v>45664.709537037037</v>
          </cell>
          <cell r="BC2" t="str">
            <v xml:space="preserve">ramon renadas </v>
          </cell>
          <cell r="BD2">
            <v>45665.684895833343</v>
          </cell>
          <cell r="BE2" t="str">
            <v>sin recaudo</v>
          </cell>
        </row>
        <row r="3">
          <cell r="G3" t="str">
            <v>3002881 -84151097218</v>
          </cell>
          <cell r="H3">
            <v>50000</v>
          </cell>
          <cell r="I3" t="str">
            <v>23</v>
          </cell>
          <cell r="J3" t="str">
            <v>184</v>
          </cell>
          <cell r="K3" t="str">
            <v>5</v>
          </cell>
          <cell r="L3" t="str">
            <v>74</v>
          </cell>
          <cell r="M3">
            <v>45664</v>
          </cell>
          <cell r="N3" t="str">
            <v>-</v>
          </cell>
          <cell r="O3" t="str">
            <v>Orden 2374 Superficie</v>
          </cell>
          <cell r="P3" t="str">
            <v>Paula</v>
          </cell>
          <cell r="Q3" t="str">
            <v>Tobar</v>
          </cell>
          <cell r="R3" t="str">
            <v>TECU.CO S.A.S</v>
          </cell>
          <cell r="S3" t="str">
            <v>calle 24 # 15-32</v>
          </cell>
          <cell r="U3" t="str">
            <v>Cafetero</v>
          </cell>
          <cell r="V3" t="str">
            <v>Primer piso</v>
          </cell>
          <cell r="W3" t="str">
            <v>Escuela Olaya Herrera</v>
          </cell>
          <cell r="X3" t="str">
            <v>ARMENIA</v>
          </cell>
          <cell r="Y3" t="str">
            <v>QUINDIO</v>
          </cell>
          <cell r="Z3" t="str">
            <v>3197269827</v>
          </cell>
          <cell r="AA3" t="str">
            <v>operaciones@tecu.co</v>
          </cell>
          <cell r="AB3" t="str">
            <v>Julian</v>
          </cell>
          <cell r="AC3" t="str">
            <v>Pulgarin</v>
          </cell>
          <cell r="AD3" t="str">
            <v>Julian</v>
          </cell>
          <cell r="AE3" t="str">
            <v>calle 38 #66a-44</v>
          </cell>
          <cell r="AG3" t="str">
            <v>Los Conquistadores</v>
          </cell>
          <cell r="AH3" t="str">
            <v>Apto 801 edf Dijon</v>
          </cell>
          <cell r="AI3" t="str">
            <v>Los Conquistadores</v>
          </cell>
          <cell r="AJ3" t="str">
            <v>MEDELLIN</v>
          </cell>
          <cell r="AK3" t="str">
            <v>ANTIOQUIA</v>
          </cell>
          <cell r="AL3" t="str">
            <v>3217621075</v>
          </cell>
          <cell r="AM3" t="str">
            <v>tecu@pulgarin.co</v>
          </cell>
          <cell r="AN3">
            <v>45664.430486111109</v>
          </cell>
          <cell r="AO3">
            <v>26249</v>
          </cell>
          <cell r="AP3">
            <v>0</v>
          </cell>
          <cell r="AQ3">
            <v>26249</v>
          </cell>
          <cell r="AR3">
            <v>500</v>
          </cell>
          <cell r="AS3">
            <v>26749</v>
          </cell>
          <cell r="AT3" t="str">
            <v>84151097218</v>
          </cell>
          <cell r="AU3">
            <v>1</v>
          </cell>
          <cell r="AV3" t="str">
            <v>COORDINADORA</v>
          </cell>
          <cell r="AW3" t="str">
            <v>Normal</v>
          </cell>
          <cell r="AX3">
            <v>2</v>
          </cell>
          <cell r="AY3">
            <v>45666.709537037037</v>
          </cell>
          <cell r="AZ3" t="str">
            <v>Entregado</v>
          </cell>
          <cell r="BA3" t="str">
            <v>Entregada</v>
          </cell>
          <cell r="BB3">
            <v>45664.709537037037</v>
          </cell>
          <cell r="BC3" t="str">
            <v xml:space="preserve">ramon </v>
          </cell>
          <cell r="BD3">
            <v>45665.686516203707</v>
          </cell>
          <cell r="BE3" t="str">
            <v>sin recaudo</v>
          </cell>
        </row>
        <row r="4">
          <cell r="G4" t="str">
            <v>3002926 -84151097241</v>
          </cell>
          <cell r="H4">
            <v>2300000</v>
          </cell>
          <cell r="I4" t="str">
            <v>30</v>
          </cell>
          <cell r="J4" t="str">
            <v>114</v>
          </cell>
          <cell r="K4" t="str">
            <v>19</v>
          </cell>
          <cell r="L4" t="str">
            <v>33</v>
          </cell>
          <cell r="M4">
            <v>45664</v>
          </cell>
          <cell r="N4" t="str">
            <v>-</v>
          </cell>
          <cell r="O4" t="str">
            <v>Orden 2376 Standing</v>
          </cell>
          <cell r="P4" t="str">
            <v>Paula</v>
          </cell>
          <cell r="Q4" t="str">
            <v>Tobar</v>
          </cell>
          <cell r="R4" t="str">
            <v>TECU.CO S.A.S</v>
          </cell>
          <cell r="S4" t="str">
            <v>calle 24 # 15-32</v>
          </cell>
          <cell r="U4" t="str">
            <v>Cafetero</v>
          </cell>
          <cell r="V4" t="str">
            <v>Primer piso</v>
          </cell>
          <cell r="W4" t="str">
            <v>Escuela Olaya Herrera</v>
          </cell>
          <cell r="X4" t="str">
            <v>ARMENIA</v>
          </cell>
          <cell r="Y4" t="str">
            <v>QUINDIO</v>
          </cell>
          <cell r="Z4" t="str">
            <v>3197269827</v>
          </cell>
          <cell r="AA4" t="str">
            <v>operaciones@tecu.co</v>
          </cell>
          <cell r="AB4" t="str">
            <v>LUIS</v>
          </cell>
          <cell r="AC4" t="str">
            <v>GUILLERMO CASTRO</v>
          </cell>
          <cell r="AD4" t="str">
            <v>LUIS</v>
          </cell>
          <cell r="AE4" t="str">
            <v>cra 47 na102-80</v>
          </cell>
          <cell r="AG4" t="str">
            <v>NORTE</v>
          </cell>
          <cell r="AH4" t="str">
            <v>Apto 905  Edf biobanus</v>
          </cell>
          <cell r="AI4" t="str">
            <v>NORTE</v>
          </cell>
          <cell r="AJ4" t="str">
            <v>BARRANQUILLA</v>
          </cell>
          <cell r="AK4" t="str">
            <v>ATLANTICO</v>
          </cell>
          <cell r="AL4" t="str">
            <v>3013904145</v>
          </cell>
          <cell r="AM4" t="str">
            <v>info@asecap.co</v>
          </cell>
          <cell r="AN4">
            <v>45664.436944444453</v>
          </cell>
          <cell r="AO4">
            <v>47787</v>
          </cell>
          <cell r="AP4">
            <v>0</v>
          </cell>
          <cell r="AQ4">
            <v>47787</v>
          </cell>
          <cell r="AR4">
            <v>14680</v>
          </cell>
          <cell r="AS4">
            <v>62467</v>
          </cell>
          <cell r="AT4" t="str">
            <v>84151097241</v>
          </cell>
          <cell r="AU4">
            <v>1</v>
          </cell>
          <cell r="AV4" t="str">
            <v>COORDINADORA</v>
          </cell>
          <cell r="AW4" t="str">
            <v>Normal</v>
          </cell>
          <cell r="AX4">
            <v>3</v>
          </cell>
          <cell r="AY4">
            <v>45667.709537037037</v>
          </cell>
          <cell r="AZ4" t="str">
            <v>Entregado</v>
          </cell>
          <cell r="BA4" t="str">
            <v>Entregada</v>
          </cell>
          <cell r="BB4">
            <v>45664.709537037037</v>
          </cell>
          <cell r="BC4" t="str">
            <v>GALINDO</v>
          </cell>
          <cell r="BD4">
            <v>45667.391504629632</v>
          </cell>
          <cell r="BE4" t="str">
            <v>sin recaudo</v>
          </cell>
        </row>
        <row r="5">
          <cell r="G5" t="str">
            <v>3002927 -84151097242</v>
          </cell>
          <cell r="H5">
            <v>50000</v>
          </cell>
          <cell r="I5" t="str">
            <v>18</v>
          </cell>
          <cell r="J5" t="str">
            <v>154</v>
          </cell>
          <cell r="K5" t="str">
            <v>5</v>
          </cell>
          <cell r="L5" t="str">
            <v>74</v>
          </cell>
          <cell r="M5">
            <v>45664</v>
          </cell>
          <cell r="N5" t="str">
            <v>-</v>
          </cell>
          <cell r="O5" t="str">
            <v>Orden 2376 Superficie</v>
          </cell>
          <cell r="P5" t="str">
            <v>Paula</v>
          </cell>
          <cell r="Q5" t="str">
            <v>Tobar</v>
          </cell>
          <cell r="R5" t="str">
            <v>TECU.CO S.A.S</v>
          </cell>
          <cell r="S5" t="str">
            <v>calle 24 # 15-32</v>
          </cell>
          <cell r="U5" t="str">
            <v>Cafetero</v>
          </cell>
          <cell r="V5" t="str">
            <v>Primer piso</v>
          </cell>
          <cell r="W5" t="str">
            <v>Escuela Olaya Herrera</v>
          </cell>
          <cell r="X5" t="str">
            <v>ARMENIA</v>
          </cell>
          <cell r="Y5" t="str">
            <v>QUINDIO</v>
          </cell>
          <cell r="Z5" t="str">
            <v>3197269827</v>
          </cell>
          <cell r="AA5" t="str">
            <v>operaciones@tecu.co</v>
          </cell>
          <cell r="AB5" t="str">
            <v>LUIS</v>
          </cell>
          <cell r="AC5" t="str">
            <v>GUILLERMO CASTRO</v>
          </cell>
          <cell r="AD5" t="str">
            <v>LUIS</v>
          </cell>
          <cell r="AE5" t="str">
            <v>cra 47 na102-80</v>
          </cell>
          <cell r="AG5" t="str">
            <v>NORTE</v>
          </cell>
          <cell r="AH5" t="str">
            <v>Apto 905  Edf biobanus</v>
          </cell>
          <cell r="AI5" t="str">
            <v>NORTE</v>
          </cell>
          <cell r="AJ5" t="str">
            <v>BARRANQUILLA</v>
          </cell>
          <cell r="AK5" t="str">
            <v>ATLANTICO</v>
          </cell>
          <cell r="AL5" t="str">
            <v>3013904145</v>
          </cell>
          <cell r="AM5" t="str">
            <v>info@asecap.co</v>
          </cell>
          <cell r="AN5">
            <v>45664.437025462961</v>
          </cell>
          <cell r="AO5">
            <v>38578</v>
          </cell>
          <cell r="AP5">
            <v>0</v>
          </cell>
          <cell r="AQ5">
            <v>38578</v>
          </cell>
          <cell r="AR5">
            <v>500</v>
          </cell>
          <cell r="AS5">
            <v>39078</v>
          </cell>
          <cell r="AT5" t="str">
            <v>84151097242</v>
          </cell>
          <cell r="AU5">
            <v>1</v>
          </cell>
          <cell r="AV5" t="str">
            <v>COORDINADORA</v>
          </cell>
          <cell r="AW5" t="str">
            <v>Normal</v>
          </cell>
          <cell r="AX5">
            <v>3</v>
          </cell>
          <cell r="AY5">
            <v>45667.709537037037</v>
          </cell>
          <cell r="AZ5" t="str">
            <v>Entregado</v>
          </cell>
          <cell r="BA5" t="str">
            <v>Entregada</v>
          </cell>
          <cell r="BB5">
            <v>45664.709537037037</v>
          </cell>
          <cell r="BC5" t="str">
            <v>GALINDO</v>
          </cell>
          <cell r="BD5">
            <v>45667.391504629632</v>
          </cell>
          <cell r="BE5" t="str">
            <v>sin recaudo</v>
          </cell>
        </row>
        <row r="6">
          <cell r="G6" t="str">
            <v>3002937 -84151097246</v>
          </cell>
          <cell r="H6">
            <v>200000</v>
          </cell>
          <cell r="I6" t="str">
            <v>2</v>
          </cell>
          <cell r="J6" t="str">
            <v>40</v>
          </cell>
          <cell r="K6" t="str">
            <v>10</v>
          </cell>
          <cell r="L6" t="str">
            <v>10</v>
          </cell>
          <cell r="M6">
            <v>45664</v>
          </cell>
          <cell r="N6" t="str">
            <v>-</v>
          </cell>
          <cell r="O6" t="str">
            <v>Orden 2377 Deskpad largo</v>
          </cell>
          <cell r="P6" t="str">
            <v>Paula</v>
          </cell>
          <cell r="Q6" t="str">
            <v>Tobar</v>
          </cell>
          <cell r="R6" t="str">
            <v>TECU.CO S.A.S</v>
          </cell>
          <cell r="S6" t="str">
            <v>calle 24 # 15-32</v>
          </cell>
          <cell r="U6" t="str">
            <v>Cafetero</v>
          </cell>
          <cell r="V6" t="str">
            <v>Primer piso</v>
          </cell>
          <cell r="W6" t="str">
            <v>Escuela Olaya Herrera</v>
          </cell>
          <cell r="X6" t="str">
            <v>ARMENIA</v>
          </cell>
          <cell r="Y6" t="str">
            <v>QUINDIO</v>
          </cell>
          <cell r="Z6" t="str">
            <v>3197269827</v>
          </cell>
          <cell r="AA6" t="str">
            <v>operaciones@tecu.co</v>
          </cell>
          <cell r="AB6" t="str">
            <v>Cata</v>
          </cell>
          <cell r="AC6" t="str">
            <v>Gomez</v>
          </cell>
          <cell r="AD6" t="str">
            <v>Cata</v>
          </cell>
          <cell r="AE6" t="str">
            <v>Cra 51 # 96b sur - 119</v>
          </cell>
          <cell r="AG6" t="str">
            <v>Primitiva Parque Natural</v>
          </cell>
          <cell r="AH6" t="str">
            <v>Apto 732</v>
          </cell>
          <cell r="AI6" t="str">
            <v>Primitiva Parque Natural</v>
          </cell>
          <cell r="AJ6" t="str">
            <v>LA ESTRELLA</v>
          </cell>
          <cell r="AK6" t="str">
            <v>ANTIOQUIA</v>
          </cell>
          <cell r="AL6" t="str">
            <v>3245915283</v>
          </cell>
          <cell r="AM6" t="str">
            <v>catagomezm@gmail.com</v>
          </cell>
          <cell r="AN6">
            <v>45664.438807870371</v>
          </cell>
          <cell r="AO6">
            <v>15152</v>
          </cell>
          <cell r="AP6">
            <v>0</v>
          </cell>
          <cell r="AQ6">
            <v>15152</v>
          </cell>
          <cell r="AR6">
            <v>1465</v>
          </cell>
          <cell r="AS6">
            <v>16617</v>
          </cell>
          <cell r="AT6" t="str">
            <v>84151097246</v>
          </cell>
          <cell r="AU6">
            <v>1</v>
          </cell>
          <cell r="AV6" t="str">
            <v>COORDINADORA</v>
          </cell>
          <cell r="AW6" t="str">
            <v>Normal</v>
          </cell>
          <cell r="AX6">
            <v>2</v>
          </cell>
          <cell r="AY6">
            <v>45666.709537037037</v>
          </cell>
          <cell r="AZ6" t="str">
            <v>Entregado</v>
          </cell>
          <cell r="BA6" t="str">
            <v>Entregada</v>
          </cell>
          <cell r="BB6">
            <v>45664.709537037037</v>
          </cell>
          <cell r="BC6" t="str">
            <v xml:space="preserve">guarda Salazar </v>
          </cell>
          <cell r="BD6">
            <v>45665.518564814818</v>
          </cell>
          <cell r="BE6" t="str">
            <v>sin recaudo</v>
          </cell>
        </row>
        <row r="7">
          <cell r="G7" t="str">
            <v>3008585 -84151100462</v>
          </cell>
          <cell r="H7">
            <v>2300000</v>
          </cell>
          <cell r="I7" t="str">
            <v>28</v>
          </cell>
          <cell r="J7" t="str">
            <v>113</v>
          </cell>
          <cell r="K7" t="str">
            <v>19</v>
          </cell>
          <cell r="L7" t="str">
            <v>33</v>
          </cell>
          <cell r="M7">
            <v>45666</v>
          </cell>
          <cell r="N7" t="str">
            <v>-</v>
          </cell>
          <cell r="O7" t="str">
            <v>Orden 2382 Standing</v>
          </cell>
          <cell r="P7" t="str">
            <v>Paula</v>
          </cell>
          <cell r="Q7" t="str">
            <v>Tobar</v>
          </cell>
          <cell r="R7" t="str">
            <v>TECU.CO S.A.S</v>
          </cell>
          <cell r="S7" t="str">
            <v>calle 24 # 15-32</v>
          </cell>
          <cell r="U7" t="str">
            <v>Cafetero</v>
          </cell>
          <cell r="V7" t="str">
            <v>Primer piso</v>
          </cell>
          <cell r="W7" t="str">
            <v>Escuela Olaya Herrera</v>
          </cell>
          <cell r="X7" t="str">
            <v>ARMENIA</v>
          </cell>
          <cell r="Y7" t="str">
            <v>QUINDIO</v>
          </cell>
          <cell r="Z7" t="str">
            <v>3197269827</v>
          </cell>
          <cell r="AA7" t="str">
            <v>operaciones@tecu.co</v>
          </cell>
          <cell r="AB7" t="str">
            <v>Henry</v>
          </cell>
          <cell r="AC7" t="str">
            <v>De Alba</v>
          </cell>
          <cell r="AD7" t="str">
            <v>Henry</v>
          </cell>
          <cell r="AE7" t="str">
            <v>calle 53 # 44 - 150</v>
          </cell>
          <cell r="AG7" t="str">
            <v>El Rosario</v>
          </cell>
          <cell r="AH7" t="str">
            <v>Apto 411 T 2 La plazuela</v>
          </cell>
          <cell r="AI7" t="str">
            <v>El Rosario</v>
          </cell>
          <cell r="AJ7" t="str">
            <v>BARRANQUILLA</v>
          </cell>
          <cell r="AK7" t="str">
            <v>ATLANTICO</v>
          </cell>
          <cell r="AL7" t="str">
            <v>3188299351</v>
          </cell>
          <cell r="AM7" t="str">
            <v>gabrielomar2809@gmail.com</v>
          </cell>
          <cell r="AN7">
            <v>45666.442476851851</v>
          </cell>
          <cell r="AO7">
            <v>45155</v>
          </cell>
          <cell r="AP7">
            <v>0</v>
          </cell>
          <cell r="AQ7">
            <v>45155</v>
          </cell>
          <cell r="AR7">
            <v>14680</v>
          </cell>
          <cell r="AS7">
            <v>59835</v>
          </cell>
          <cell r="AT7" t="str">
            <v>84151100462</v>
          </cell>
          <cell r="AU7">
            <v>1</v>
          </cell>
          <cell r="AV7" t="str">
            <v>COORDINADORA</v>
          </cell>
          <cell r="AW7" t="str">
            <v>Normal</v>
          </cell>
          <cell r="AX7">
            <v>3</v>
          </cell>
          <cell r="AY7">
            <v>45671.726840277777</v>
          </cell>
          <cell r="AZ7" t="str">
            <v>Entregado</v>
          </cell>
          <cell r="BA7" t="str">
            <v>Entregada</v>
          </cell>
          <cell r="BB7">
            <v>45666.726840277777</v>
          </cell>
          <cell r="BC7" t="str">
            <v xml:space="preserve">Henry de alba </v>
          </cell>
          <cell r="BD7">
            <v>45668.482430555552</v>
          </cell>
          <cell r="BE7" t="str">
            <v>sin recaudo</v>
          </cell>
        </row>
        <row r="8">
          <cell r="G8" t="str">
            <v>3008587 -84151100464</v>
          </cell>
          <cell r="H8">
            <v>50000</v>
          </cell>
          <cell r="I8" t="str">
            <v>23</v>
          </cell>
          <cell r="J8" t="str">
            <v>120</v>
          </cell>
          <cell r="K8" t="str">
            <v>74</v>
          </cell>
          <cell r="L8" t="str">
            <v>5</v>
          </cell>
          <cell r="M8">
            <v>45666</v>
          </cell>
          <cell r="N8" t="str">
            <v>-</v>
          </cell>
          <cell r="O8" t="str">
            <v>Orden 2382 Superficie</v>
          </cell>
          <cell r="P8" t="str">
            <v>Paula</v>
          </cell>
          <cell r="Q8" t="str">
            <v>Tobar</v>
          </cell>
          <cell r="R8" t="str">
            <v>TECU.CO S.A.S</v>
          </cell>
          <cell r="S8" t="str">
            <v>calle 24 # 15-32</v>
          </cell>
          <cell r="U8" t="str">
            <v>Cafetero</v>
          </cell>
          <cell r="V8" t="str">
            <v>Primer piso</v>
          </cell>
          <cell r="W8" t="str">
            <v>Escuela Olaya Herrera</v>
          </cell>
          <cell r="X8" t="str">
            <v>ARMENIA</v>
          </cell>
          <cell r="Y8" t="str">
            <v>QUINDIO</v>
          </cell>
          <cell r="Z8" t="str">
            <v>3197269827</v>
          </cell>
          <cell r="AA8" t="str">
            <v>operaciones@tecu.co</v>
          </cell>
          <cell r="AB8" t="str">
            <v>Henry</v>
          </cell>
          <cell r="AC8" t="str">
            <v>De Alba</v>
          </cell>
          <cell r="AD8" t="str">
            <v>Henry</v>
          </cell>
          <cell r="AE8" t="str">
            <v>calle 53 # 44 - 150</v>
          </cell>
          <cell r="AG8" t="str">
            <v>El Rosario</v>
          </cell>
          <cell r="AH8" t="str">
            <v>Apto 411 T 2 La plazuela</v>
          </cell>
          <cell r="AI8" t="str">
            <v>El Rosario</v>
          </cell>
          <cell r="AJ8" t="str">
            <v>BARRANQUILLA</v>
          </cell>
          <cell r="AK8" t="str">
            <v>ATLANTICO</v>
          </cell>
          <cell r="AL8" t="str">
            <v>3188299351</v>
          </cell>
          <cell r="AM8" t="str">
            <v>gabrielomar2809@gmail.com</v>
          </cell>
          <cell r="AN8">
            <v>45666.442569444444</v>
          </cell>
          <cell r="AO8">
            <v>38578</v>
          </cell>
          <cell r="AP8">
            <v>0</v>
          </cell>
          <cell r="AQ8">
            <v>38578</v>
          </cell>
          <cell r="AR8">
            <v>500</v>
          </cell>
          <cell r="AS8">
            <v>39078</v>
          </cell>
          <cell r="AT8" t="str">
            <v>84151100464</v>
          </cell>
          <cell r="AU8">
            <v>1</v>
          </cell>
          <cell r="AV8" t="str">
            <v>COORDINADORA</v>
          </cell>
          <cell r="AW8" t="str">
            <v>Normal</v>
          </cell>
          <cell r="AX8">
            <v>3</v>
          </cell>
          <cell r="AY8">
            <v>45671.726840277777</v>
          </cell>
          <cell r="AZ8" t="str">
            <v>Entregado</v>
          </cell>
          <cell r="BA8" t="str">
            <v>Entregada</v>
          </cell>
          <cell r="BB8">
            <v>45666.726840277777</v>
          </cell>
          <cell r="BC8" t="str">
            <v xml:space="preserve">Henry de alba </v>
          </cell>
          <cell r="BD8">
            <v>45668.482430555552</v>
          </cell>
          <cell r="BE8" t="str">
            <v>sin recaudo</v>
          </cell>
        </row>
        <row r="9">
          <cell r="G9" t="str">
            <v>3008732 -84151100542</v>
          </cell>
          <cell r="H9">
            <v>2300000</v>
          </cell>
          <cell r="I9" t="str">
            <v>28</v>
          </cell>
          <cell r="J9" t="str">
            <v>113</v>
          </cell>
          <cell r="K9" t="str">
            <v>19</v>
          </cell>
          <cell r="L9" t="str">
            <v>33</v>
          </cell>
          <cell r="M9">
            <v>45666</v>
          </cell>
          <cell r="N9" t="str">
            <v>-</v>
          </cell>
          <cell r="O9" t="str">
            <v>Orden 2386 Standing</v>
          </cell>
          <cell r="P9" t="str">
            <v>Paula</v>
          </cell>
          <cell r="Q9" t="str">
            <v>Tobar</v>
          </cell>
          <cell r="R9" t="str">
            <v>TECU.CO S.A.S</v>
          </cell>
          <cell r="S9" t="str">
            <v>calle 24 # 15-32</v>
          </cell>
          <cell r="U9" t="str">
            <v>Cafetero</v>
          </cell>
          <cell r="V9" t="str">
            <v>Primer piso</v>
          </cell>
          <cell r="W9" t="str">
            <v>Escuela Olaya Herrera</v>
          </cell>
          <cell r="X9" t="str">
            <v>ARMENIA</v>
          </cell>
          <cell r="Y9" t="str">
            <v>QUINDIO</v>
          </cell>
          <cell r="Z9" t="str">
            <v>3197269827</v>
          </cell>
          <cell r="AA9" t="str">
            <v>operaciones@tecu.co</v>
          </cell>
          <cell r="AB9" t="str">
            <v>Samuel</v>
          </cell>
          <cell r="AC9" t="str">
            <v>Velez Sanin</v>
          </cell>
          <cell r="AD9" t="str">
            <v>Samuel</v>
          </cell>
          <cell r="AE9" t="str">
            <v>cra 27 #36c sur-35</v>
          </cell>
          <cell r="AG9" t="str">
            <v>EnvigadoAntioquia</v>
          </cell>
          <cell r="AH9" t="str">
            <v>Apto 405  Firenzze Aptos</v>
          </cell>
          <cell r="AI9" t="str">
            <v>EnvigadoAntioquia</v>
          </cell>
          <cell r="AJ9" t="str">
            <v>ENVIGADO</v>
          </cell>
          <cell r="AK9" t="str">
            <v>ANTIOQUIA</v>
          </cell>
          <cell r="AL9" t="str">
            <v>3117261337</v>
          </cell>
          <cell r="AM9" t="str">
            <v>samuelvelez8383@gmail.com</v>
          </cell>
          <cell r="AN9">
            <v>45666.455428240741</v>
          </cell>
          <cell r="AO9">
            <v>26913</v>
          </cell>
          <cell r="AP9">
            <v>0</v>
          </cell>
          <cell r="AQ9">
            <v>26913</v>
          </cell>
          <cell r="AR9">
            <v>14680</v>
          </cell>
          <cell r="AS9">
            <v>41593</v>
          </cell>
          <cell r="AT9" t="str">
            <v>84151100542</v>
          </cell>
          <cell r="AU9">
            <v>1</v>
          </cell>
          <cell r="AV9" t="str">
            <v>COORDINADORA</v>
          </cell>
          <cell r="AW9" t="str">
            <v>Normal</v>
          </cell>
          <cell r="AX9">
            <v>2</v>
          </cell>
          <cell r="AY9">
            <v>45670.726840277777</v>
          </cell>
          <cell r="AZ9" t="str">
            <v>Entregado</v>
          </cell>
          <cell r="BA9" t="str">
            <v>Entregada</v>
          </cell>
          <cell r="BB9">
            <v>45666.726840277777</v>
          </cell>
          <cell r="BC9" t="str">
            <v>diana pelicano</v>
          </cell>
          <cell r="BD9">
            <v>45667.670185185183</v>
          </cell>
          <cell r="BE9" t="str">
            <v>sin recaudo</v>
          </cell>
        </row>
        <row r="10">
          <cell r="G10" t="str">
            <v>3008734 -84151100543</v>
          </cell>
          <cell r="H10">
            <v>50000</v>
          </cell>
          <cell r="I10" t="str">
            <v>23</v>
          </cell>
          <cell r="J10" t="str">
            <v>120</v>
          </cell>
          <cell r="K10" t="str">
            <v>74</v>
          </cell>
          <cell r="L10" t="str">
            <v>5</v>
          </cell>
          <cell r="M10">
            <v>45666</v>
          </cell>
          <cell r="N10" t="str">
            <v>-</v>
          </cell>
          <cell r="O10" t="str">
            <v>Orden 2386 Superficie</v>
          </cell>
          <cell r="P10" t="str">
            <v>Paula</v>
          </cell>
          <cell r="Q10" t="str">
            <v>Tobar</v>
          </cell>
          <cell r="R10" t="str">
            <v>TECU.CO S.A.S</v>
          </cell>
          <cell r="S10" t="str">
            <v>calle 24 # 15-32</v>
          </cell>
          <cell r="U10" t="str">
            <v>Cafetero</v>
          </cell>
          <cell r="V10" t="str">
            <v>Primer piso</v>
          </cell>
          <cell r="W10" t="str">
            <v>Escuela Olaya Herrera</v>
          </cell>
          <cell r="X10" t="str">
            <v>ARMENIA</v>
          </cell>
          <cell r="Y10" t="str">
            <v>QUINDIO</v>
          </cell>
          <cell r="Z10" t="str">
            <v>3197269827</v>
          </cell>
          <cell r="AA10" t="str">
            <v>operaciones@tecu.co</v>
          </cell>
          <cell r="AB10" t="str">
            <v>Samuel</v>
          </cell>
          <cell r="AC10" t="str">
            <v>Velez Sanin</v>
          </cell>
          <cell r="AD10" t="str">
            <v>Samuel</v>
          </cell>
          <cell r="AE10" t="str">
            <v>cra 27 #36c sur-35</v>
          </cell>
          <cell r="AG10" t="str">
            <v>EnvigadoAntioquia</v>
          </cell>
          <cell r="AH10" t="str">
            <v>Apto 405  Firenzze Aptos</v>
          </cell>
          <cell r="AI10" t="str">
            <v>EnvigadoAntioquia</v>
          </cell>
          <cell r="AJ10" t="str">
            <v>ENVIGADO</v>
          </cell>
          <cell r="AK10" t="str">
            <v>ANTIOQUIA</v>
          </cell>
          <cell r="AL10" t="str">
            <v>3117261337</v>
          </cell>
          <cell r="AM10" t="str">
            <v>samuelvelez8383@gmail.com</v>
          </cell>
          <cell r="AN10">
            <v>45666.455520833333</v>
          </cell>
          <cell r="AO10">
            <v>23593</v>
          </cell>
          <cell r="AP10">
            <v>0</v>
          </cell>
          <cell r="AQ10">
            <v>23593</v>
          </cell>
          <cell r="AR10">
            <v>500</v>
          </cell>
          <cell r="AS10">
            <v>24093</v>
          </cell>
          <cell r="AT10" t="str">
            <v>84151100543</v>
          </cell>
          <cell r="AU10">
            <v>1</v>
          </cell>
          <cell r="AV10" t="str">
            <v>COORDINADORA</v>
          </cell>
          <cell r="AW10" t="str">
            <v>Normal</v>
          </cell>
          <cell r="AX10">
            <v>2</v>
          </cell>
          <cell r="AY10">
            <v>45670.726840277777</v>
          </cell>
          <cell r="AZ10" t="str">
            <v>Entregado</v>
          </cell>
          <cell r="BA10" t="str">
            <v>Entregada</v>
          </cell>
          <cell r="BB10">
            <v>45666.726840277777</v>
          </cell>
          <cell r="BC10" t="str">
            <v>lopez angek</v>
          </cell>
          <cell r="BD10">
            <v>45668.544768518521</v>
          </cell>
          <cell r="BE10" t="str">
            <v>sin recaudo</v>
          </cell>
        </row>
        <row r="11">
          <cell r="G11" t="str">
            <v>3008988 -84151100690</v>
          </cell>
          <cell r="H11">
            <v>2300000</v>
          </cell>
          <cell r="I11" t="str">
            <v>28</v>
          </cell>
          <cell r="J11" t="str">
            <v>113</v>
          </cell>
          <cell r="K11" t="str">
            <v>19</v>
          </cell>
          <cell r="L11" t="str">
            <v>33</v>
          </cell>
          <cell r="M11">
            <v>45667</v>
          </cell>
          <cell r="N11" t="str">
            <v>-</v>
          </cell>
          <cell r="O11" t="str">
            <v>Orden 2388 Standing</v>
          </cell>
          <cell r="P11" t="str">
            <v>Paula</v>
          </cell>
          <cell r="Q11" t="str">
            <v>Tobar</v>
          </cell>
          <cell r="R11" t="str">
            <v>TECU.CO S.A.S</v>
          </cell>
          <cell r="S11" t="str">
            <v>calle 24 # 15-32</v>
          </cell>
          <cell r="U11" t="str">
            <v>Cafetero</v>
          </cell>
          <cell r="V11" t="str">
            <v>Primer piso</v>
          </cell>
          <cell r="W11" t="str">
            <v>Escuela Olaya Herrera</v>
          </cell>
          <cell r="X11" t="str">
            <v>ARMENIA</v>
          </cell>
          <cell r="Y11" t="str">
            <v>QUINDIO</v>
          </cell>
          <cell r="Z11" t="str">
            <v>3197269827</v>
          </cell>
          <cell r="AA11" t="str">
            <v>operaciones@tecu.co</v>
          </cell>
          <cell r="AB11" t="str">
            <v>CAROLINA</v>
          </cell>
          <cell r="AC11" t="str">
            <v>RAMIREZ REST</v>
          </cell>
          <cell r="AD11" t="str">
            <v>CAROLINA</v>
          </cell>
          <cell r="AE11" t="str">
            <v>calle 44 # 31a -108</v>
          </cell>
          <cell r="AG11" t="str">
            <v>La maria</v>
          </cell>
          <cell r="AH11" t="str">
            <v>Casa primer piso</v>
          </cell>
          <cell r="AI11" t="str">
            <v>La maria</v>
          </cell>
          <cell r="AJ11" t="str">
            <v>SAN PEDRO DE URABA</v>
          </cell>
          <cell r="AK11" t="str">
            <v>ANTIOQUIA</v>
          </cell>
          <cell r="AL11" t="str">
            <v>3113867606</v>
          </cell>
          <cell r="AM11" t="str">
            <v>martinezmadrigaljulian@gmail.com</v>
          </cell>
          <cell r="AN11">
            <v>45666.503587962958</v>
          </cell>
          <cell r="AO11">
            <v>97764</v>
          </cell>
          <cell r="AP11">
            <v>0</v>
          </cell>
          <cell r="AQ11">
            <v>97764</v>
          </cell>
          <cell r="AR11">
            <v>14680</v>
          </cell>
          <cell r="AS11">
            <v>112444</v>
          </cell>
          <cell r="AT11" t="str">
            <v>84151100690</v>
          </cell>
          <cell r="AU11">
            <v>1</v>
          </cell>
          <cell r="AV11" t="str">
            <v>COORDINADORA</v>
          </cell>
          <cell r="AW11" t="str">
            <v>Normal</v>
          </cell>
          <cell r="AX11">
            <v>5</v>
          </cell>
          <cell r="AY11">
            <v>45673.726840277777</v>
          </cell>
          <cell r="AZ11" t="str">
            <v>Retornado a remitente</v>
          </cell>
          <cell r="BA11" t="str">
            <v>Retornado a remitente</v>
          </cell>
          <cell r="BB11">
            <v>45666.726840277777</v>
          </cell>
          <cell r="BC11" t="str">
            <v xml:space="preserve">Ruth Valencia </v>
          </cell>
          <cell r="BD11">
            <v>45674.631655092591</v>
          </cell>
          <cell r="BE11" t="str">
            <v>sin recaudo</v>
          </cell>
        </row>
        <row r="12">
          <cell r="G12" t="str">
            <v>3008990 -84151100691</v>
          </cell>
          <cell r="H12">
            <v>50000</v>
          </cell>
          <cell r="I12" t="str">
            <v>18</v>
          </cell>
          <cell r="J12" t="str">
            <v>154</v>
          </cell>
          <cell r="K12" t="str">
            <v>5</v>
          </cell>
          <cell r="L12" t="str">
            <v>74</v>
          </cell>
          <cell r="M12">
            <v>45667</v>
          </cell>
          <cell r="N12" t="str">
            <v>-</v>
          </cell>
          <cell r="O12" t="str">
            <v>Orden 2388 Superficie</v>
          </cell>
          <cell r="P12" t="str">
            <v>Paula</v>
          </cell>
          <cell r="Q12" t="str">
            <v>Tobar</v>
          </cell>
          <cell r="R12" t="str">
            <v>TECU.CO S.A.S</v>
          </cell>
          <cell r="S12" t="str">
            <v>calle 24 # 15-32</v>
          </cell>
          <cell r="U12" t="str">
            <v>Cafetero</v>
          </cell>
          <cell r="V12" t="str">
            <v>Primer piso</v>
          </cell>
          <cell r="W12" t="str">
            <v>Escuela Olaya Herrera</v>
          </cell>
          <cell r="X12" t="str">
            <v>ARMENIA</v>
          </cell>
          <cell r="Y12" t="str">
            <v>QUINDIO</v>
          </cell>
          <cell r="Z12" t="str">
            <v>3197269827</v>
          </cell>
          <cell r="AA12" t="str">
            <v>operaciones@tecu.co</v>
          </cell>
          <cell r="AB12" t="str">
            <v>CAROLINA</v>
          </cell>
          <cell r="AC12" t="str">
            <v>RAMIREZ REST</v>
          </cell>
          <cell r="AD12" t="str">
            <v>CAROLINA</v>
          </cell>
          <cell r="AE12" t="str">
            <v>calle 44 # 31a -108</v>
          </cell>
          <cell r="AG12" t="str">
            <v>La maria</v>
          </cell>
          <cell r="AH12" t="str">
            <v>Casa primer piso</v>
          </cell>
          <cell r="AI12" t="str">
            <v>La maria</v>
          </cell>
          <cell r="AJ12" t="str">
            <v>SAN PEDRO DE URABA</v>
          </cell>
          <cell r="AK12" t="str">
            <v>ANTIOQUIA</v>
          </cell>
          <cell r="AL12" t="str">
            <v>3113867606</v>
          </cell>
          <cell r="AM12" t="str">
            <v>martinezmadrigaljulian@gmail.com</v>
          </cell>
          <cell r="AN12">
            <v>45666.503668981481</v>
          </cell>
          <cell r="AO12">
            <v>97764</v>
          </cell>
          <cell r="AP12">
            <v>0</v>
          </cell>
          <cell r="AQ12">
            <v>97764</v>
          </cell>
          <cell r="AR12">
            <v>500</v>
          </cell>
          <cell r="AS12">
            <v>98264</v>
          </cell>
          <cell r="AT12" t="str">
            <v>84151100691</v>
          </cell>
          <cell r="AU12">
            <v>1</v>
          </cell>
          <cell r="AV12" t="str">
            <v>COORDINADORA</v>
          </cell>
          <cell r="AW12" t="str">
            <v>Normal</v>
          </cell>
          <cell r="AX12">
            <v>5</v>
          </cell>
          <cell r="AY12">
            <v>45673.726840277777</v>
          </cell>
          <cell r="AZ12" t="str">
            <v>Retornado a remitente</v>
          </cell>
          <cell r="BA12" t="str">
            <v>Retornado a remitente</v>
          </cell>
          <cell r="BB12">
            <v>45666.726840277777</v>
          </cell>
          <cell r="BC12" t="str">
            <v xml:space="preserve">Ruth Valencia </v>
          </cell>
          <cell r="BD12">
            <v>45674.631655092591</v>
          </cell>
          <cell r="BE12" t="str">
            <v>sin recaudo</v>
          </cell>
        </row>
        <row r="13">
          <cell r="G13" t="str">
            <v>3011856 -84151101651</v>
          </cell>
          <cell r="H13">
            <v>2800000</v>
          </cell>
          <cell r="I13" t="str">
            <v>28</v>
          </cell>
          <cell r="J13" t="str">
            <v>114</v>
          </cell>
          <cell r="K13" t="str">
            <v>19</v>
          </cell>
          <cell r="L13" t="str">
            <v>60</v>
          </cell>
          <cell r="M13">
            <v>45667</v>
          </cell>
          <cell r="N13" t="str">
            <v>-</v>
          </cell>
          <cell r="O13" t="str">
            <v>Orden 2389 Standing</v>
          </cell>
          <cell r="P13" t="str">
            <v>Paula</v>
          </cell>
          <cell r="Q13" t="str">
            <v>Tobar</v>
          </cell>
          <cell r="R13" t="str">
            <v>TECU.CO S.A.S</v>
          </cell>
          <cell r="S13" t="str">
            <v>calle 24 # 15-32</v>
          </cell>
          <cell r="U13" t="str">
            <v>Cafetero</v>
          </cell>
          <cell r="V13" t="str">
            <v>Primer piso</v>
          </cell>
          <cell r="W13" t="str">
            <v>Escuela Olaya Herrera</v>
          </cell>
          <cell r="X13" t="str">
            <v>ARMENIA</v>
          </cell>
          <cell r="Y13" t="str">
            <v>QUINDIO</v>
          </cell>
          <cell r="Z13" t="str">
            <v>3197269827</v>
          </cell>
          <cell r="AA13" t="str">
            <v>operaciones@tecu.co</v>
          </cell>
          <cell r="AB13" t="str">
            <v>Alexander</v>
          </cell>
          <cell r="AC13" t="str">
            <v>Gomez Chapa</v>
          </cell>
          <cell r="AD13" t="str">
            <v>Alexander</v>
          </cell>
          <cell r="AE13" t="str">
            <v>calle 67 # 1 - 79</v>
          </cell>
          <cell r="AG13" t="str">
            <v>TunjaBoyaca</v>
          </cell>
          <cell r="AH13" t="str">
            <v>Apto 201 T 2 ConjResd A</v>
          </cell>
          <cell r="AI13" t="str">
            <v>TunjaBoyaca</v>
          </cell>
          <cell r="AJ13" t="str">
            <v>TUNJA</v>
          </cell>
          <cell r="AK13" t="str">
            <v>BOYACA</v>
          </cell>
          <cell r="AL13" t="str">
            <v>3144379844</v>
          </cell>
          <cell r="AM13" t="str">
            <v>alexandergomezchaparro@gmail.com</v>
          </cell>
          <cell r="AN13">
            <v>45667.468194444453</v>
          </cell>
          <cell r="AO13">
            <v>76729</v>
          </cell>
          <cell r="AP13">
            <v>0</v>
          </cell>
          <cell r="AQ13">
            <v>76729</v>
          </cell>
          <cell r="AR13">
            <v>19680</v>
          </cell>
          <cell r="AS13">
            <v>96409</v>
          </cell>
          <cell r="AT13" t="str">
            <v>84151101651</v>
          </cell>
          <cell r="AU13">
            <v>1</v>
          </cell>
          <cell r="AV13" t="str">
            <v>COORDINADORA</v>
          </cell>
          <cell r="AW13" t="str">
            <v>Normal</v>
          </cell>
          <cell r="AX13">
            <v>3</v>
          </cell>
          <cell r="AY13">
            <v>45672.69127314815</v>
          </cell>
          <cell r="AZ13" t="str">
            <v>Entregado</v>
          </cell>
          <cell r="BA13" t="str">
            <v>Entregada</v>
          </cell>
          <cell r="BB13">
            <v>45667.69127314815</v>
          </cell>
          <cell r="BC13" t="str">
            <v xml:space="preserve">Alexander Gómez </v>
          </cell>
          <cell r="BD13">
            <v>45670.615486111114</v>
          </cell>
          <cell r="BE13" t="str">
            <v>sin recaudo</v>
          </cell>
        </row>
        <row r="14">
          <cell r="G14" t="str">
            <v>3011858 -84151101652</v>
          </cell>
          <cell r="H14">
            <v>50000</v>
          </cell>
          <cell r="I14" t="str">
            <v>23</v>
          </cell>
          <cell r="J14" t="str">
            <v>184</v>
          </cell>
          <cell r="K14" t="str">
            <v>5</v>
          </cell>
          <cell r="L14" t="str">
            <v>74</v>
          </cell>
          <cell r="M14">
            <v>45667</v>
          </cell>
          <cell r="N14" t="str">
            <v>-</v>
          </cell>
          <cell r="O14" t="str">
            <v>Orden 2389 Superficie</v>
          </cell>
          <cell r="P14" t="str">
            <v>Paula</v>
          </cell>
          <cell r="Q14" t="str">
            <v>Tobar</v>
          </cell>
          <cell r="R14" t="str">
            <v>TECU.CO S.A.S</v>
          </cell>
          <cell r="S14" t="str">
            <v>calle 24 # 15-32</v>
          </cell>
          <cell r="U14" t="str">
            <v>Cafetero</v>
          </cell>
          <cell r="V14" t="str">
            <v>Primer piso</v>
          </cell>
          <cell r="W14" t="str">
            <v>Escuela Olaya Herrera</v>
          </cell>
          <cell r="X14" t="str">
            <v>ARMENIA</v>
          </cell>
          <cell r="Y14" t="str">
            <v>QUINDIO</v>
          </cell>
          <cell r="Z14" t="str">
            <v>3197269827</v>
          </cell>
          <cell r="AA14" t="str">
            <v>operaciones@tecu.co</v>
          </cell>
          <cell r="AB14" t="str">
            <v>Alexander</v>
          </cell>
          <cell r="AC14" t="str">
            <v>Gomez Chapa</v>
          </cell>
          <cell r="AD14" t="str">
            <v>Alexander</v>
          </cell>
          <cell r="AE14" t="str">
            <v>calle 67 # 1 - 79</v>
          </cell>
          <cell r="AG14" t="str">
            <v>TunjaBoyaca</v>
          </cell>
          <cell r="AH14" t="str">
            <v>Apto 201 T 2 ConjResd A</v>
          </cell>
          <cell r="AI14" t="str">
            <v>TunjaBoyaca</v>
          </cell>
          <cell r="AJ14" t="str">
            <v>TUNJA</v>
          </cell>
          <cell r="AK14" t="str">
            <v>BOYACA</v>
          </cell>
          <cell r="AL14" t="str">
            <v>3144379844</v>
          </cell>
          <cell r="AM14" t="str">
            <v>alexandergomezchaparro@gmail.com</v>
          </cell>
          <cell r="AN14">
            <v>45667.468287037038</v>
          </cell>
          <cell r="AO14">
            <v>43840</v>
          </cell>
          <cell r="AP14">
            <v>0</v>
          </cell>
          <cell r="AQ14">
            <v>43840</v>
          </cell>
          <cell r="AR14">
            <v>500</v>
          </cell>
          <cell r="AS14">
            <v>44340</v>
          </cell>
          <cell r="AT14" t="str">
            <v>84151101652</v>
          </cell>
          <cell r="AU14">
            <v>1</v>
          </cell>
          <cell r="AV14" t="str">
            <v>COORDINADORA</v>
          </cell>
          <cell r="AW14" t="str">
            <v>Normal</v>
          </cell>
          <cell r="AX14">
            <v>3</v>
          </cell>
          <cell r="AY14">
            <v>45672.69127314815</v>
          </cell>
          <cell r="AZ14" t="str">
            <v>Entregado</v>
          </cell>
          <cell r="BA14" t="str">
            <v>Entregada</v>
          </cell>
          <cell r="BB14">
            <v>45667.69127314815</v>
          </cell>
          <cell r="BC14" t="str">
            <v xml:space="preserve">Alexander Gómez </v>
          </cell>
          <cell r="BD14">
            <v>45670.615486111114</v>
          </cell>
          <cell r="BE14" t="str">
            <v>sin recaudo</v>
          </cell>
        </row>
        <row r="15">
          <cell r="G15" t="str">
            <v>3011879 -84151101661</v>
          </cell>
          <cell r="H15">
            <v>1200000</v>
          </cell>
          <cell r="I15" t="str">
            <v>10</v>
          </cell>
          <cell r="J15" t="str">
            <v>50</v>
          </cell>
          <cell r="K15" t="str">
            <v>20</v>
          </cell>
          <cell r="L15" t="str">
            <v>34</v>
          </cell>
          <cell r="M15">
            <v>45667</v>
          </cell>
          <cell r="N15" t="str">
            <v>-</v>
          </cell>
          <cell r="O15" t="str">
            <v>Orden 2390 Desk Stool</v>
          </cell>
          <cell r="P15" t="str">
            <v>Paula</v>
          </cell>
          <cell r="Q15" t="str">
            <v>Tobar</v>
          </cell>
          <cell r="R15" t="str">
            <v>TECU.CO S.A.S</v>
          </cell>
          <cell r="S15" t="str">
            <v>calle 24 # 15-32</v>
          </cell>
          <cell r="U15" t="str">
            <v>Cafetero</v>
          </cell>
          <cell r="V15" t="str">
            <v>Primer piso</v>
          </cell>
          <cell r="W15" t="str">
            <v>Escuela Olaya Herrera</v>
          </cell>
          <cell r="X15" t="str">
            <v>ARMENIA</v>
          </cell>
          <cell r="Y15" t="str">
            <v>QUINDIO</v>
          </cell>
          <cell r="Z15" t="str">
            <v>3197269827</v>
          </cell>
          <cell r="AA15" t="str">
            <v>operaciones@tecu.co</v>
          </cell>
          <cell r="AB15" t="str">
            <v>Alexander</v>
          </cell>
          <cell r="AC15" t="str">
            <v>Gomez Chapa</v>
          </cell>
          <cell r="AD15" t="str">
            <v>Alexander</v>
          </cell>
          <cell r="AE15" t="str">
            <v>calle 67 # 1 - 79</v>
          </cell>
          <cell r="AG15" t="str">
            <v>TunjaBoyaca</v>
          </cell>
          <cell r="AH15" t="str">
            <v>Apto 201 Torre 2  ConjRe</v>
          </cell>
          <cell r="AI15" t="str">
            <v>TunjaBoyaca</v>
          </cell>
          <cell r="AJ15" t="str">
            <v>TUNJA</v>
          </cell>
          <cell r="AK15" t="str">
            <v>BOYACA</v>
          </cell>
          <cell r="AL15" t="str">
            <v>3144379844</v>
          </cell>
          <cell r="AM15" t="str">
            <v>alexandergomezchaparro@gmail.com</v>
          </cell>
          <cell r="AN15">
            <v>45667.472337962958</v>
          </cell>
          <cell r="AO15">
            <v>37262</v>
          </cell>
          <cell r="AP15">
            <v>0</v>
          </cell>
          <cell r="AQ15">
            <v>37262</v>
          </cell>
          <cell r="AR15">
            <v>3680</v>
          </cell>
          <cell r="AS15">
            <v>40942</v>
          </cell>
          <cell r="AT15" t="str">
            <v>84151101661</v>
          </cell>
          <cell r="AU15">
            <v>1</v>
          </cell>
          <cell r="AV15" t="str">
            <v>COORDINADORA</v>
          </cell>
          <cell r="AW15" t="str">
            <v>Normal</v>
          </cell>
          <cell r="AX15">
            <v>3</v>
          </cell>
          <cell r="AY15">
            <v>45672.69127314815</v>
          </cell>
          <cell r="AZ15" t="str">
            <v>Entregado</v>
          </cell>
          <cell r="BA15" t="str">
            <v>Entregada</v>
          </cell>
          <cell r="BB15">
            <v>45667.69127314815</v>
          </cell>
          <cell r="BC15" t="str">
            <v xml:space="preserve">Alexander Gómez </v>
          </cell>
          <cell r="BD15">
            <v>45670.615486111114</v>
          </cell>
          <cell r="BE15" t="str">
            <v>sin recaudo</v>
          </cell>
        </row>
        <row r="16">
          <cell r="G16" t="str">
            <v>3011889 -84151101671</v>
          </cell>
          <cell r="H16">
            <v>200000</v>
          </cell>
          <cell r="I16" t="str">
            <v>2</v>
          </cell>
          <cell r="J16" t="str">
            <v>40</v>
          </cell>
          <cell r="K16" t="str">
            <v>10</v>
          </cell>
          <cell r="L16" t="str">
            <v>10</v>
          </cell>
          <cell r="M16">
            <v>45667</v>
          </cell>
          <cell r="N16" t="str">
            <v>-</v>
          </cell>
          <cell r="O16" t="str">
            <v>Orden 2390 Deskpad largo</v>
          </cell>
          <cell r="P16" t="str">
            <v>Paula</v>
          </cell>
          <cell r="Q16" t="str">
            <v>Tobar</v>
          </cell>
          <cell r="R16" t="str">
            <v>TECU.CO S.A.S</v>
          </cell>
          <cell r="S16" t="str">
            <v>calle 24 # 15-32</v>
          </cell>
          <cell r="U16" t="str">
            <v>Cafetero</v>
          </cell>
          <cell r="V16" t="str">
            <v>Primer piso</v>
          </cell>
          <cell r="W16" t="str">
            <v>Escuela Olaya Herrera</v>
          </cell>
          <cell r="X16" t="str">
            <v>ARMENIA</v>
          </cell>
          <cell r="Y16" t="str">
            <v>QUINDIO</v>
          </cell>
          <cell r="Z16" t="str">
            <v>3197269827</v>
          </cell>
          <cell r="AA16" t="str">
            <v>operaciones@tecu.co</v>
          </cell>
          <cell r="AB16" t="str">
            <v>Alexander</v>
          </cell>
          <cell r="AC16" t="str">
            <v>Gomez Chapa</v>
          </cell>
          <cell r="AD16" t="str">
            <v>Alexander</v>
          </cell>
          <cell r="AE16" t="str">
            <v>calle 67 # 1 - 79</v>
          </cell>
          <cell r="AG16" t="str">
            <v>TunjaBoyaca</v>
          </cell>
          <cell r="AH16" t="str">
            <v>Apto 201  Torre 2 ConjRe</v>
          </cell>
          <cell r="AI16" t="str">
            <v>TunjaBoyaca</v>
          </cell>
          <cell r="AJ16" t="str">
            <v>TUNJA</v>
          </cell>
          <cell r="AK16" t="str">
            <v>BOYACA</v>
          </cell>
          <cell r="AL16" t="str">
            <v>3144379844</v>
          </cell>
          <cell r="AM16" t="str">
            <v>alexandergomezchaparro@gmail.com</v>
          </cell>
          <cell r="AN16">
            <v>45667.474212962959</v>
          </cell>
          <cell r="AO16">
            <v>15152</v>
          </cell>
          <cell r="AP16">
            <v>0</v>
          </cell>
          <cell r="AQ16">
            <v>15152</v>
          </cell>
          <cell r="AR16">
            <v>1465</v>
          </cell>
          <cell r="AS16">
            <v>16617</v>
          </cell>
          <cell r="AT16" t="str">
            <v>84151101671</v>
          </cell>
          <cell r="AU16">
            <v>1</v>
          </cell>
          <cell r="AV16" t="str">
            <v>COORDINADORA</v>
          </cell>
          <cell r="AW16" t="str">
            <v>Normal</v>
          </cell>
          <cell r="AX16">
            <v>3</v>
          </cell>
          <cell r="AY16">
            <v>45672.69127314815</v>
          </cell>
          <cell r="AZ16" t="str">
            <v>Entregado</v>
          </cell>
          <cell r="BA16" t="str">
            <v>Entregada</v>
          </cell>
          <cell r="BB16">
            <v>45667.69127314815</v>
          </cell>
          <cell r="BC16" t="str">
            <v xml:space="preserve">GONZALO SAAVEDRA  GURDA de seguridad </v>
          </cell>
          <cell r="BD16">
            <v>45670.630659722221</v>
          </cell>
          <cell r="BE16" t="str">
            <v>sin recaudo</v>
          </cell>
        </row>
        <row r="17">
          <cell r="G17" t="str">
            <v>3011897 -84151101678</v>
          </cell>
          <cell r="H17">
            <v>250000</v>
          </cell>
          <cell r="I17" t="str">
            <v>2</v>
          </cell>
          <cell r="J17" t="str">
            <v>81</v>
          </cell>
          <cell r="K17" t="str">
            <v>11</v>
          </cell>
          <cell r="L17" t="str">
            <v>14</v>
          </cell>
          <cell r="M17">
            <v>45667</v>
          </cell>
          <cell r="N17" t="str">
            <v>-</v>
          </cell>
          <cell r="O17" t="str">
            <v>Orden 2391 Bandeja Cables</v>
          </cell>
          <cell r="P17" t="str">
            <v>Paula</v>
          </cell>
          <cell r="Q17" t="str">
            <v>Tobar</v>
          </cell>
          <cell r="R17" t="str">
            <v>TECU.CO S.A.S</v>
          </cell>
          <cell r="S17" t="str">
            <v>calle 24 # 15-32</v>
          </cell>
          <cell r="U17" t="str">
            <v>Cafetero</v>
          </cell>
          <cell r="V17" t="str">
            <v>Primer piso</v>
          </cell>
          <cell r="W17" t="str">
            <v>Escuela Olaya Herrera</v>
          </cell>
          <cell r="X17" t="str">
            <v>ARMENIA</v>
          </cell>
          <cell r="Y17" t="str">
            <v>QUINDIO</v>
          </cell>
          <cell r="Z17" t="str">
            <v>3197269827</v>
          </cell>
          <cell r="AA17" t="str">
            <v>operaciones@tecu.co</v>
          </cell>
          <cell r="AB17" t="str">
            <v>Alexander</v>
          </cell>
          <cell r="AC17" t="str">
            <v>Gomez Chapa</v>
          </cell>
          <cell r="AD17" t="str">
            <v>Alexander</v>
          </cell>
          <cell r="AE17" t="str">
            <v>calle 67 # 1 - 79</v>
          </cell>
          <cell r="AG17" t="str">
            <v>TunjaBoyaca</v>
          </cell>
          <cell r="AH17" t="str">
            <v>Apto 201  Torre 2 ConjRe</v>
          </cell>
          <cell r="AI17" t="str">
            <v>TunjaBoyaca</v>
          </cell>
          <cell r="AJ17" t="str">
            <v>TUNJA</v>
          </cell>
          <cell r="AK17" t="str">
            <v>BOYACA</v>
          </cell>
          <cell r="AL17" t="str">
            <v>3144379844</v>
          </cell>
          <cell r="AM17" t="str">
            <v>alexandergomezchaparro@gmail.com</v>
          </cell>
          <cell r="AN17">
            <v>45667.475787037038</v>
          </cell>
          <cell r="AO17">
            <v>22920</v>
          </cell>
          <cell r="AP17">
            <v>0</v>
          </cell>
          <cell r="AQ17">
            <v>22920</v>
          </cell>
          <cell r="AR17">
            <v>1965</v>
          </cell>
          <cell r="AS17">
            <v>24885</v>
          </cell>
          <cell r="AT17" t="str">
            <v>84151101678</v>
          </cell>
          <cell r="AU17">
            <v>1</v>
          </cell>
          <cell r="AV17" t="str">
            <v>COORDINADORA</v>
          </cell>
          <cell r="AW17" t="str">
            <v>Normal</v>
          </cell>
          <cell r="AX17">
            <v>3</v>
          </cell>
          <cell r="AY17">
            <v>45672.69127314815</v>
          </cell>
          <cell r="AZ17" t="str">
            <v>Entregado</v>
          </cell>
          <cell r="BA17" t="str">
            <v>Entregada</v>
          </cell>
          <cell r="BB17">
            <v>45667.69127314815</v>
          </cell>
          <cell r="BC17" t="str">
            <v xml:space="preserve">Alexander Gómez </v>
          </cell>
          <cell r="BD17">
            <v>45670.615486111114</v>
          </cell>
          <cell r="BE17" t="str">
            <v>sin recaudo</v>
          </cell>
        </row>
        <row r="18">
          <cell r="G18" t="str">
            <v>3015845 -84151103419</v>
          </cell>
          <cell r="H18">
            <v>2300000</v>
          </cell>
          <cell r="I18" t="str">
            <v>30</v>
          </cell>
          <cell r="J18" t="str">
            <v>114</v>
          </cell>
          <cell r="K18" t="str">
            <v>19</v>
          </cell>
          <cell r="L18" t="str">
            <v>33</v>
          </cell>
          <cell r="M18">
            <v>45670</v>
          </cell>
          <cell r="N18" t="str">
            <v>-</v>
          </cell>
          <cell r="O18" t="str">
            <v>Orden 2392 Standing</v>
          </cell>
          <cell r="P18" t="str">
            <v>Paula</v>
          </cell>
          <cell r="Q18" t="str">
            <v>Tobar</v>
          </cell>
          <cell r="R18" t="str">
            <v>TECU.CO S.A.S</v>
          </cell>
          <cell r="S18" t="str">
            <v>calle 24 # 15-32</v>
          </cell>
          <cell r="U18" t="str">
            <v>Cafetero</v>
          </cell>
          <cell r="V18" t="str">
            <v>Primer piso</v>
          </cell>
          <cell r="W18" t="str">
            <v>Escuela Olaya Herrera</v>
          </cell>
          <cell r="X18" t="str">
            <v>ARMENIA</v>
          </cell>
          <cell r="Y18" t="str">
            <v>QUINDIO</v>
          </cell>
          <cell r="Z18" t="str">
            <v>3197269827</v>
          </cell>
          <cell r="AA18" t="str">
            <v>operaciones@tecu.co</v>
          </cell>
          <cell r="AB18" t="str">
            <v>David</v>
          </cell>
          <cell r="AC18" t="str">
            <v>Cadavid</v>
          </cell>
          <cell r="AD18" t="str">
            <v>David</v>
          </cell>
          <cell r="AE18" t="str">
            <v>Cra 38 #46 sur -16</v>
          </cell>
          <cell r="AG18" t="str">
            <v>Altos del Trianon</v>
          </cell>
          <cell r="AH18" t="str">
            <v>Apto 206 ConjBalcones de</v>
          </cell>
          <cell r="AI18" t="str">
            <v>Altos del Trianon</v>
          </cell>
          <cell r="AJ18" t="str">
            <v>ENVIGADO</v>
          </cell>
          <cell r="AK18" t="str">
            <v>ANTIOQUIA</v>
          </cell>
          <cell r="AL18" t="str">
            <v>3232238125</v>
          </cell>
          <cell r="AM18" t="str">
            <v>cadavid219@gmail.com</v>
          </cell>
          <cell r="AN18">
            <v>45670.455416666657</v>
          </cell>
          <cell r="AO18">
            <v>28241</v>
          </cell>
          <cell r="AP18">
            <v>0</v>
          </cell>
          <cell r="AQ18">
            <v>28241</v>
          </cell>
          <cell r="AR18">
            <v>14680</v>
          </cell>
          <cell r="AS18">
            <v>42921</v>
          </cell>
          <cell r="AT18" t="str">
            <v>84151103419</v>
          </cell>
          <cell r="AU18">
            <v>1</v>
          </cell>
          <cell r="AV18" t="str">
            <v>COORDINADORA</v>
          </cell>
          <cell r="AW18" t="str">
            <v>Normal</v>
          </cell>
          <cell r="AX18">
            <v>2</v>
          </cell>
          <cell r="AY18">
            <v>45672.699618055558</v>
          </cell>
          <cell r="AZ18" t="str">
            <v>Entregado</v>
          </cell>
          <cell r="BA18" t="str">
            <v>Entregada</v>
          </cell>
          <cell r="BB18">
            <v>45670.699618055558</v>
          </cell>
          <cell r="BC18" t="str">
            <v xml:space="preserve">David Cadavid </v>
          </cell>
          <cell r="BD18">
            <v>45671.644317129627</v>
          </cell>
          <cell r="BE18" t="str">
            <v>sin recaudo</v>
          </cell>
        </row>
        <row r="19">
          <cell r="G19" t="str">
            <v>3015847 -84151103420</v>
          </cell>
          <cell r="H19">
            <v>50000</v>
          </cell>
          <cell r="I19" t="str">
            <v>23</v>
          </cell>
          <cell r="J19" t="str">
            <v>184</v>
          </cell>
          <cell r="K19" t="str">
            <v>5</v>
          </cell>
          <cell r="L19" t="str">
            <v>74</v>
          </cell>
          <cell r="M19">
            <v>45670</v>
          </cell>
          <cell r="N19" t="str">
            <v>-</v>
          </cell>
          <cell r="O19" t="str">
            <v>Orden 2392 Superficie</v>
          </cell>
          <cell r="P19" t="str">
            <v>Paula</v>
          </cell>
          <cell r="Q19" t="str">
            <v>Tobar</v>
          </cell>
          <cell r="R19" t="str">
            <v>TECU.CO S.A.S</v>
          </cell>
          <cell r="S19" t="str">
            <v>calle 24 # 15-32</v>
          </cell>
          <cell r="U19" t="str">
            <v>Cafetero</v>
          </cell>
          <cell r="V19" t="str">
            <v>Primer piso</v>
          </cell>
          <cell r="W19" t="str">
            <v>Escuela Olaya Herrera</v>
          </cell>
          <cell r="X19" t="str">
            <v>ARMENIA</v>
          </cell>
          <cell r="Y19" t="str">
            <v>QUINDIO</v>
          </cell>
          <cell r="Z19" t="str">
            <v>3197269827</v>
          </cell>
          <cell r="AA19" t="str">
            <v>operaciones@tecu.co</v>
          </cell>
          <cell r="AB19" t="str">
            <v>David</v>
          </cell>
          <cell r="AC19" t="str">
            <v>Cadavid</v>
          </cell>
          <cell r="AD19" t="str">
            <v>David</v>
          </cell>
          <cell r="AE19" t="str">
            <v>Cra 38 #46 sur -16</v>
          </cell>
          <cell r="AG19" t="str">
            <v>Altos del Trianon</v>
          </cell>
          <cell r="AH19" t="str">
            <v>Apto 206 ConjBalcones de</v>
          </cell>
          <cell r="AI19" t="str">
            <v>Altos del Trianon</v>
          </cell>
          <cell r="AJ19" t="str">
            <v>ENVIGADO</v>
          </cell>
          <cell r="AK19" t="str">
            <v>ANTIOQUIA</v>
          </cell>
          <cell r="AL19" t="str">
            <v>3232238125</v>
          </cell>
          <cell r="AM19" t="str">
            <v>cadavid219@gmail.com</v>
          </cell>
          <cell r="AN19">
            <v>45670.455497685187</v>
          </cell>
          <cell r="AO19">
            <v>26249</v>
          </cell>
          <cell r="AP19">
            <v>0</v>
          </cell>
          <cell r="AQ19">
            <v>26249</v>
          </cell>
          <cell r="AR19">
            <v>500</v>
          </cell>
          <cell r="AS19">
            <v>26749</v>
          </cell>
          <cell r="AT19" t="str">
            <v>84151103420</v>
          </cell>
          <cell r="AU19">
            <v>1</v>
          </cell>
          <cell r="AV19" t="str">
            <v>COORDINADORA</v>
          </cell>
          <cell r="AW19" t="str">
            <v>Normal</v>
          </cell>
          <cell r="AX19">
            <v>2</v>
          </cell>
          <cell r="AY19">
            <v>45672.700312499997</v>
          </cell>
          <cell r="AZ19" t="str">
            <v>Entregado</v>
          </cell>
          <cell r="BA19" t="str">
            <v>Entregada</v>
          </cell>
          <cell r="BB19">
            <v>45670.700312499997</v>
          </cell>
          <cell r="BC19" t="str">
            <v xml:space="preserve">David Cadavid </v>
          </cell>
          <cell r="BD19">
            <v>45671.644317129627</v>
          </cell>
          <cell r="BE19" t="str">
            <v>sin recaudo</v>
          </cell>
        </row>
        <row r="20">
          <cell r="G20" t="str">
            <v>3015858 -84151103425</v>
          </cell>
          <cell r="H20">
            <v>250000</v>
          </cell>
          <cell r="I20" t="str">
            <v>2</v>
          </cell>
          <cell r="J20" t="str">
            <v>81</v>
          </cell>
          <cell r="K20" t="str">
            <v>11</v>
          </cell>
          <cell r="L20" t="str">
            <v>14</v>
          </cell>
          <cell r="M20">
            <v>45670</v>
          </cell>
          <cell r="N20" t="str">
            <v>-</v>
          </cell>
          <cell r="O20" t="str">
            <v>Orden 2392 Bandeja Cables</v>
          </cell>
          <cell r="P20" t="str">
            <v>Paula</v>
          </cell>
          <cell r="Q20" t="str">
            <v>Tobar</v>
          </cell>
          <cell r="R20" t="str">
            <v>TECU.CO S.A.S</v>
          </cell>
          <cell r="S20" t="str">
            <v>calle 24 # 15-32</v>
          </cell>
          <cell r="U20" t="str">
            <v>Cafetero</v>
          </cell>
          <cell r="V20" t="str">
            <v>Primer piso</v>
          </cell>
          <cell r="W20" t="str">
            <v>Escuela Olaya Herrera</v>
          </cell>
          <cell r="X20" t="str">
            <v>ARMENIA</v>
          </cell>
          <cell r="Y20" t="str">
            <v>QUINDIO</v>
          </cell>
          <cell r="Z20" t="str">
            <v>3197269827</v>
          </cell>
          <cell r="AA20" t="str">
            <v>operaciones@tecu.co</v>
          </cell>
          <cell r="AB20" t="str">
            <v>David</v>
          </cell>
          <cell r="AC20" t="str">
            <v>Cadavid</v>
          </cell>
          <cell r="AD20" t="str">
            <v>David</v>
          </cell>
          <cell r="AE20" t="str">
            <v>Cra 38 #46 sur - 16</v>
          </cell>
          <cell r="AG20" t="str">
            <v>Altos del Trianon</v>
          </cell>
          <cell r="AH20" t="str">
            <v>Apto 206  ConjBalcones d</v>
          </cell>
          <cell r="AI20" t="str">
            <v>Altos del Trianon</v>
          </cell>
          <cell r="AJ20" t="str">
            <v>ENVIGADO</v>
          </cell>
          <cell r="AK20" t="str">
            <v>ANTIOQUIA</v>
          </cell>
          <cell r="AL20" t="str">
            <v>3232238125</v>
          </cell>
          <cell r="AM20" t="str">
            <v>cadavid219@gmail.com</v>
          </cell>
          <cell r="AN20">
            <v>45670.457048611112</v>
          </cell>
          <cell r="AO20">
            <v>22920</v>
          </cell>
          <cell r="AP20">
            <v>0</v>
          </cell>
          <cell r="AQ20">
            <v>22920</v>
          </cell>
          <cell r="AR20">
            <v>1965</v>
          </cell>
          <cell r="AS20">
            <v>24885</v>
          </cell>
          <cell r="AT20" t="str">
            <v>84151103425</v>
          </cell>
          <cell r="AU20">
            <v>1</v>
          </cell>
          <cell r="AV20" t="str">
            <v>COORDINADORA</v>
          </cell>
          <cell r="AW20" t="str">
            <v>Normal</v>
          </cell>
          <cell r="AX20">
            <v>2</v>
          </cell>
          <cell r="AY20">
            <v>45672.699618055558</v>
          </cell>
          <cell r="AZ20" t="str">
            <v>Entregado</v>
          </cell>
          <cell r="BA20" t="str">
            <v>Entregada</v>
          </cell>
          <cell r="BB20">
            <v>45670.699618055558</v>
          </cell>
          <cell r="BC20" t="str">
            <v xml:space="preserve">David Cadavid </v>
          </cell>
          <cell r="BD20">
            <v>45671.644317129627</v>
          </cell>
          <cell r="BE20" t="str">
            <v>sin recaudo</v>
          </cell>
        </row>
        <row r="21">
          <cell r="G21" t="str">
            <v>3015877 -84151103435</v>
          </cell>
          <cell r="H21">
            <v>2300000</v>
          </cell>
          <cell r="I21" t="str">
            <v>28</v>
          </cell>
          <cell r="J21" t="str">
            <v>113</v>
          </cell>
          <cell r="K21" t="str">
            <v>19</v>
          </cell>
          <cell r="L21" t="str">
            <v>33</v>
          </cell>
          <cell r="M21">
            <v>45670</v>
          </cell>
          <cell r="N21" t="str">
            <v>-</v>
          </cell>
          <cell r="O21" t="str">
            <v>Orden 2393 Standing</v>
          </cell>
          <cell r="P21" t="str">
            <v>Paula</v>
          </cell>
          <cell r="Q21" t="str">
            <v>Tobar</v>
          </cell>
          <cell r="R21" t="str">
            <v>TECU.CO S.A.S</v>
          </cell>
          <cell r="S21" t="str">
            <v>calle 24 # 15-32</v>
          </cell>
          <cell r="U21" t="str">
            <v>Cafetero</v>
          </cell>
          <cell r="V21" t="str">
            <v>Primer piso</v>
          </cell>
          <cell r="W21" t="str">
            <v>Escuela Olaya Herrera</v>
          </cell>
          <cell r="X21" t="str">
            <v>ARMENIA</v>
          </cell>
          <cell r="Y21" t="str">
            <v>QUINDIO</v>
          </cell>
          <cell r="Z21" t="str">
            <v>3197269827</v>
          </cell>
          <cell r="AA21" t="str">
            <v>operaciones@tecu.co</v>
          </cell>
          <cell r="AB21" t="str">
            <v>Santiago</v>
          </cell>
          <cell r="AC21" t="str">
            <v>Garzon Diaz</v>
          </cell>
          <cell r="AD21" t="str">
            <v>Santiago</v>
          </cell>
          <cell r="AE21" t="str">
            <v>Tr 37 #72-87</v>
          </cell>
          <cell r="AG21" t="str">
            <v>Laureles</v>
          </cell>
          <cell r="AH21" t="str">
            <v>Apto 301 EdfGran Mediter</v>
          </cell>
          <cell r="AI21" t="str">
            <v>Laureles</v>
          </cell>
          <cell r="AJ21" t="str">
            <v>MEDELLIN</v>
          </cell>
          <cell r="AK21" t="str">
            <v>ANTIOQUIA</v>
          </cell>
          <cell r="AL21" t="str">
            <v>3137905493</v>
          </cell>
          <cell r="AM21" t="str">
            <v>Santigarzon58@gmail.com</v>
          </cell>
          <cell r="AN21">
            <v>45670.459861111107</v>
          </cell>
          <cell r="AO21">
            <v>26913</v>
          </cell>
          <cell r="AP21">
            <v>0</v>
          </cell>
          <cell r="AQ21">
            <v>26913</v>
          </cell>
          <cell r="AR21">
            <v>14680</v>
          </cell>
          <cell r="AS21">
            <v>41593</v>
          </cell>
          <cell r="AT21" t="str">
            <v>84151103435</v>
          </cell>
          <cell r="AU21">
            <v>1</v>
          </cell>
          <cell r="AV21" t="str">
            <v>COORDINADORA</v>
          </cell>
          <cell r="AW21" t="str">
            <v>Normal</v>
          </cell>
          <cell r="AX21">
            <v>3</v>
          </cell>
          <cell r="AY21">
            <v>45673.699618055558</v>
          </cell>
          <cell r="AZ21" t="str">
            <v>Entregado</v>
          </cell>
          <cell r="BA21" t="str">
            <v>Entregada</v>
          </cell>
          <cell r="BB21">
            <v>45670.699618055558</v>
          </cell>
          <cell r="BC21" t="str">
            <v>Fernando villegas</v>
          </cell>
          <cell r="BD21">
            <v>45671.411006944443</v>
          </cell>
          <cell r="BE21" t="str">
            <v>sin recaudo</v>
          </cell>
        </row>
        <row r="22">
          <cell r="G22" t="str">
            <v>3015893 -84151103439</v>
          </cell>
          <cell r="H22">
            <v>2300000</v>
          </cell>
          <cell r="I22" t="str">
            <v>30</v>
          </cell>
          <cell r="J22" t="str">
            <v>114</v>
          </cell>
          <cell r="K22" t="str">
            <v>19</v>
          </cell>
          <cell r="L22" t="str">
            <v>33</v>
          </cell>
          <cell r="M22">
            <v>45670</v>
          </cell>
          <cell r="N22" t="str">
            <v>-</v>
          </cell>
          <cell r="O22" t="str">
            <v>Orden 2394 Standing</v>
          </cell>
          <cell r="P22" t="str">
            <v>Paula</v>
          </cell>
          <cell r="Q22" t="str">
            <v>Tobar</v>
          </cell>
          <cell r="R22" t="str">
            <v>TECU.CO S.A.S</v>
          </cell>
          <cell r="S22" t="str">
            <v>calle 24 # 15-32</v>
          </cell>
          <cell r="U22" t="str">
            <v>Cafetero</v>
          </cell>
          <cell r="V22" t="str">
            <v>Primer piso</v>
          </cell>
          <cell r="W22" t="str">
            <v>Escuela Olaya Herrera</v>
          </cell>
          <cell r="X22" t="str">
            <v>ARMENIA</v>
          </cell>
          <cell r="Y22" t="str">
            <v>QUINDIO</v>
          </cell>
          <cell r="Z22" t="str">
            <v>3197269827</v>
          </cell>
          <cell r="AA22" t="str">
            <v>operaciones@tecu.co</v>
          </cell>
          <cell r="AB22" t="str">
            <v>Julian</v>
          </cell>
          <cell r="AC22" t="str">
            <v>Cajiao</v>
          </cell>
          <cell r="AD22" t="str">
            <v>Julian</v>
          </cell>
          <cell r="AE22" t="str">
            <v>calle 5 sur #22-290</v>
          </cell>
          <cell r="AG22" t="str">
            <v>Poblado</v>
          </cell>
          <cell r="AH22" t="str">
            <v>Apto 1509 T 4 Urba Aguas</v>
          </cell>
          <cell r="AI22" t="str">
            <v>Poblado</v>
          </cell>
          <cell r="AJ22" t="str">
            <v>MEDELLIN</v>
          </cell>
          <cell r="AK22" t="str">
            <v>ANTIOQUIA</v>
          </cell>
          <cell r="AL22" t="str">
            <v>3243685456</v>
          </cell>
          <cell r="AM22" t="str">
            <v>juliancajiao@hotmail.com</v>
          </cell>
          <cell r="AN22">
            <v>45670.461759259262</v>
          </cell>
          <cell r="AO22">
            <v>28241</v>
          </cell>
          <cell r="AP22">
            <v>0</v>
          </cell>
          <cell r="AQ22">
            <v>28241</v>
          </cell>
          <cell r="AR22">
            <v>14680</v>
          </cell>
          <cell r="AS22">
            <v>42921</v>
          </cell>
          <cell r="AT22" t="str">
            <v>84151103439</v>
          </cell>
          <cell r="AU22">
            <v>1</v>
          </cell>
          <cell r="AV22" t="str">
            <v>COORDINADORA</v>
          </cell>
          <cell r="AW22" t="str">
            <v>Normal</v>
          </cell>
          <cell r="AX22">
            <v>3</v>
          </cell>
          <cell r="AY22">
            <v>45673.699618055558</v>
          </cell>
          <cell r="AZ22" t="str">
            <v>Entregado</v>
          </cell>
          <cell r="BA22" t="str">
            <v>Entregada</v>
          </cell>
          <cell r="BB22">
            <v>45670.699618055558</v>
          </cell>
          <cell r="BC22" t="str">
            <v>julian cajiao</v>
          </cell>
          <cell r="BD22">
            <v>45671.477326388893</v>
          </cell>
          <cell r="BE22" t="str">
            <v>sin recaudo</v>
          </cell>
        </row>
        <row r="23">
          <cell r="G23" t="str">
            <v>3015895 -84151103441</v>
          </cell>
          <cell r="H23">
            <v>50000</v>
          </cell>
          <cell r="I23" t="str">
            <v>18</v>
          </cell>
          <cell r="J23" t="str">
            <v>154</v>
          </cell>
          <cell r="K23" t="str">
            <v>5</v>
          </cell>
          <cell r="L23" t="str">
            <v>74</v>
          </cell>
          <cell r="M23">
            <v>45670</v>
          </cell>
          <cell r="N23" t="str">
            <v>-</v>
          </cell>
          <cell r="O23" t="str">
            <v>Orden 2394 Superficie</v>
          </cell>
          <cell r="P23" t="str">
            <v>Paula</v>
          </cell>
          <cell r="Q23" t="str">
            <v>Tobar</v>
          </cell>
          <cell r="R23" t="str">
            <v>TECU.CO S.A.S</v>
          </cell>
          <cell r="S23" t="str">
            <v>calle 24 # 15-32</v>
          </cell>
          <cell r="U23" t="str">
            <v>Cafetero</v>
          </cell>
          <cell r="V23" t="str">
            <v>Primer piso</v>
          </cell>
          <cell r="W23" t="str">
            <v>Escuela Olaya Herrera</v>
          </cell>
          <cell r="X23" t="str">
            <v>ARMENIA</v>
          </cell>
          <cell r="Y23" t="str">
            <v>QUINDIO</v>
          </cell>
          <cell r="Z23" t="str">
            <v>3197269827</v>
          </cell>
          <cell r="AA23" t="str">
            <v>operaciones@tecu.co</v>
          </cell>
          <cell r="AB23" t="str">
            <v>Julian</v>
          </cell>
          <cell r="AC23" t="str">
            <v>Cajiao</v>
          </cell>
          <cell r="AD23" t="str">
            <v>Julian</v>
          </cell>
          <cell r="AE23" t="str">
            <v>calle 5 sur #22-290</v>
          </cell>
          <cell r="AG23" t="str">
            <v>Poblado</v>
          </cell>
          <cell r="AH23" t="str">
            <v>Apto 1509 T 4 Urba Aguas</v>
          </cell>
          <cell r="AI23" t="str">
            <v>Poblado</v>
          </cell>
          <cell r="AJ23" t="str">
            <v>MEDELLIN</v>
          </cell>
          <cell r="AK23" t="str">
            <v>ANTIOQUIA</v>
          </cell>
          <cell r="AL23" t="str">
            <v>3243685456</v>
          </cell>
          <cell r="AM23" t="str">
            <v>juliancajiao@hotmail.com</v>
          </cell>
          <cell r="AN23">
            <v>45670.461828703701</v>
          </cell>
          <cell r="AO23">
            <v>23593</v>
          </cell>
          <cell r="AP23">
            <v>0</v>
          </cell>
          <cell r="AQ23">
            <v>23593</v>
          </cell>
          <cell r="AR23">
            <v>500</v>
          </cell>
          <cell r="AS23">
            <v>24093</v>
          </cell>
          <cell r="AT23" t="str">
            <v>84151103441</v>
          </cell>
          <cell r="AU23">
            <v>1</v>
          </cell>
          <cell r="AV23" t="str">
            <v>COORDINADORA</v>
          </cell>
          <cell r="AW23" t="str">
            <v>Normal</v>
          </cell>
          <cell r="AX23">
            <v>2</v>
          </cell>
          <cell r="AY23">
            <v>45672.700312499997</v>
          </cell>
          <cell r="AZ23" t="str">
            <v>Entregado</v>
          </cell>
          <cell r="BA23" t="str">
            <v>Entregada</v>
          </cell>
          <cell r="BB23">
            <v>45670.700312499997</v>
          </cell>
          <cell r="BC23" t="str">
            <v>julian cajiao</v>
          </cell>
          <cell r="BD23">
            <v>45671.477326388893</v>
          </cell>
          <cell r="BE23" t="str">
            <v>sin recaudo</v>
          </cell>
        </row>
        <row r="24">
          <cell r="G24" t="str">
            <v>3018831 -84151104925</v>
          </cell>
          <cell r="H24">
            <v>2300000</v>
          </cell>
          <cell r="I24" t="str">
            <v>30</v>
          </cell>
          <cell r="J24" t="str">
            <v>114</v>
          </cell>
          <cell r="K24" t="str">
            <v>19</v>
          </cell>
          <cell r="L24" t="str">
            <v>33</v>
          </cell>
          <cell r="M24">
            <v>45671</v>
          </cell>
          <cell r="N24" t="str">
            <v>62628913</v>
          </cell>
          <cell r="O24" t="str">
            <v>Orden 2396 Standing</v>
          </cell>
          <cell r="P24" t="str">
            <v>Paula</v>
          </cell>
          <cell r="Q24" t="str">
            <v>Tobar</v>
          </cell>
          <cell r="R24" t="str">
            <v>TECU.CO S.A.S</v>
          </cell>
          <cell r="S24" t="str">
            <v>calle 24 # 15-32</v>
          </cell>
          <cell r="U24" t="str">
            <v>Cafetero</v>
          </cell>
          <cell r="V24" t="str">
            <v>Primer piso</v>
          </cell>
          <cell r="W24" t="str">
            <v>Escuela Olaya Herrera</v>
          </cell>
          <cell r="X24" t="str">
            <v>ARMENIA</v>
          </cell>
          <cell r="Y24" t="str">
            <v>QUINDIO</v>
          </cell>
          <cell r="Z24" t="str">
            <v>3197269827</v>
          </cell>
          <cell r="AA24" t="str">
            <v>operaciones@tecu.co</v>
          </cell>
          <cell r="AB24" t="str">
            <v>FELIPE</v>
          </cell>
          <cell r="AC24" t="str">
            <v>CASTANO</v>
          </cell>
          <cell r="AD24" t="str">
            <v>FELIPE</v>
          </cell>
          <cell r="AE24" t="str">
            <v>Tr 27a sur #42-46</v>
          </cell>
          <cell r="AG24" t="str">
            <v>VILLA GRANDE</v>
          </cell>
          <cell r="AH24" t="str">
            <v>Apto 508 Edf Villa Real</v>
          </cell>
          <cell r="AI24" t="str">
            <v>VILLA GRANDE</v>
          </cell>
          <cell r="AJ24" t="str">
            <v>ENVIGADO</v>
          </cell>
          <cell r="AK24" t="str">
            <v>ANTIOQUIA</v>
          </cell>
          <cell r="AL24" t="str">
            <v>3104701519</v>
          </cell>
          <cell r="AM24" t="str">
            <v>pipec98@hotmail.com</v>
          </cell>
          <cell r="AN24">
            <v>45671.456192129634</v>
          </cell>
          <cell r="AO24">
            <v>28241</v>
          </cell>
          <cell r="AP24">
            <v>0</v>
          </cell>
          <cell r="AQ24">
            <v>28241</v>
          </cell>
          <cell r="AR24">
            <v>14680</v>
          </cell>
          <cell r="AS24">
            <v>42921</v>
          </cell>
          <cell r="AT24" t="str">
            <v>84151104925</v>
          </cell>
          <cell r="AU24">
            <v>1</v>
          </cell>
          <cell r="AV24" t="str">
            <v>COORDINADORA</v>
          </cell>
          <cell r="AW24" t="str">
            <v>Normal</v>
          </cell>
          <cell r="AX24">
            <v>2</v>
          </cell>
          <cell r="AY24">
            <v>45673.665335648147</v>
          </cell>
          <cell r="AZ24" t="str">
            <v>Entregado</v>
          </cell>
          <cell r="BA24" t="str">
            <v>Entregada</v>
          </cell>
          <cell r="BB24">
            <v>45671.665335648147</v>
          </cell>
          <cell r="BC24" t="str">
            <v xml:space="preserve">Oscar rojas </v>
          </cell>
          <cell r="BD24">
            <v>45672.44023148148</v>
          </cell>
          <cell r="BE24" t="str">
            <v>sin recaudo</v>
          </cell>
        </row>
        <row r="25">
          <cell r="G25" t="str">
            <v>3018833 -84151104926</v>
          </cell>
          <cell r="H25">
            <v>50000</v>
          </cell>
          <cell r="I25" t="str">
            <v>18</v>
          </cell>
          <cell r="J25" t="str">
            <v>154</v>
          </cell>
          <cell r="K25" t="str">
            <v>5</v>
          </cell>
          <cell r="L25" t="str">
            <v>74</v>
          </cell>
          <cell r="M25">
            <v>45671</v>
          </cell>
          <cell r="N25" t="str">
            <v>62628913</v>
          </cell>
          <cell r="O25" t="str">
            <v>Orden 2396 Superficie</v>
          </cell>
          <cell r="P25" t="str">
            <v>Paula</v>
          </cell>
          <cell r="Q25" t="str">
            <v>Tobar</v>
          </cell>
          <cell r="R25" t="str">
            <v>TECU.CO S.A.S</v>
          </cell>
          <cell r="S25" t="str">
            <v>calle 24 # 15-32</v>
          </cell>
          <cell r="U25" t="str">
            <v>Cafetero</v>
          </cell>
          <cell r="V25" t="str">
            <v>Primer piso</v>
          </cell>
          <cell r="W25" t="str">
            <v>Escuela Olaya Herrera</v>
          </cell>
          <cell r="X25" t="str">
            <v>ARMENIA</v>
          </cell>
          <cell r="Y25" t="str">
            <v>QUINDIO</v>
          </cell>
          <cell r="Z25" t="str">
            <v>3197269827</v>
          </cell>
          <cell r="AA25" t="str">
            <v>operaciones@tecu.co</v>
          </cell>
          <cell r="AB25" t="str">
            <v>FELIPE</v>
          </cell>
          <cell r="AC25" t="str">
            <v>CASTANO</v>
          </cell>
          <cell r="AD25" t="str">
            <v>FELIPE</v>
          </cell>
          <cell r="AE25" t="str">
            <v>Tr 27a sur #42-46</v>
          </cell>
          <cell r="AG25" t="str">
            <v>VILLA GRANDE</v>
          </cell>
          <cell r="AH25" t="str">
            <v>Apto 508 Edf Villa Real</v>
          </cell>
          <cell r="AI25" t="str">
            <v>VILLA GRANDE</v>
          </cell>
          <cell r="AJ25" t="str">
            <v>ENVIGADO</v>
          </cell>
          <cell r="AK25" t="str">
            <v>ANTIOQUIA</v>
          </cell>
          <cell r="AL25" t="str">
            <v>3104701519</v>
          </cell>
          <cell r="AM25" t="str">
            <v>pipec98@hotmail.com</v>
          </cell>
          <cell r="AN25">
            <v>45671.456284722219</v>
          </cell>
          <cell r="AO25">
            <v>23593</v>
          </cell>
          <cell r="AP25">
            <v>0</v>
          </cell>
          <cell r="AQ25">
            <v>23593</v>
          </cell>
          <cell r="AR25">
            <v>500</v>
          </cell>
          <cell r="AS25">
            <v>24093</v>
          </cell>
          <cell r="AT25" t="str">
            <v>84151104926</v>
          </cell>
          <cell r="AU25">
            <v>1</v>
          </cell>
          <cell r="AV25" t="str">
            <v>COORDINADORA</v>
          </cell>
          <cell r="AW25" t="str">
            <v>Normal</v>
          </cell>
          <cell r="AX25">
            <v>2</v>
          </cell>
          <cell r="AY25">
            <v>45673.665335648147</v>
          </cell>
          <cell r="AZ25" t="str">
            <v>Entregado</v>
          </cell>
          <cell r="BA25" t="str">
            <v>Entregada</v>
          </cell>
          <cell r="BB25">
            <v>45671.665335648147</v>
          </cell>
          <cell r="BC25" t="str">
            <v xml:space="preserve">Oscar rojas </v>
          </cell>
          <cell r="BD25">
            <v>45672.44023148148</v>
          </cell>
          <cell r="BE25" t="str">
            <v>sin recaudo</v>
          </cell>
        </row>
        <row r="26">
          <cell r="G26" t="str">
            <v>3018855 -84151104940</v>
          </cell>
          <cell r="H26">
            <v>1200000</v>
          </cell>
          <cell r="I26" t="str">
            <v>10</v>
          </cell>
          <cell r="J26" t="str">
            <v>50</v>
          </cell>
          <cell r="K26" t="str">
            <v>20</v>
          </cell>
          <cell r="L26" t="str">
            <v>34</v>
          </cell>
          <cell r="M26">
            <v>45671</v>
          </cell>
          <cell r="N26" t="str">
            <v>62628913</v>
          </cell>
          <cell r="O26" t="str">
            <v>Orden 2396 Desk Stool</v>
          </cell>
          <cell r="P26" t="str">
            <v>Paula</v>
          </cell>
          <cell r="Q26" t="str">
            <v>Tobar</v>
          </cell>
          <cell r="R26" t="str">
            <v>TECU.CO S.A.S</v>
          </cell>
          <cell r="S26" t="str">
            <v>calle 24 # 15-32</v>
          </cell>
          <cell r="U26" t="str">
            <v>Cafetero</v>
          </cell>
          <cell r="V26" t="str">
            <v>Primer piso</v>
          </cell>
          <cell r="W26" t="str">
            <v>Escuela Olaya Herrera</v>
          </cell>
          <cell r="X26" t="str">
            <v>ARMENIA</v>
          </cell>
          <cell r="Y26" t="str">
            <v>QUINDIO</v>
          </cell>
          <cell r="Z26" t="str">
            <v>3197269827</v>
          </cell>
          <cell r="AA26" t="str">
            <v>operaciones@tecu.co</v>
          </cell>
          <cell r="AB26" t="str">
            <v>FELIPE</v>
          </cell>
          <cell r="AC26" t="str">
            <v>CASTANO</v>
          </cell>
          <cell r="AD26" t="str">
            <v>FELIPE</v>
          </cell>
          <cell r="AE26" t="str">
            <v>Tr 27a sur #42-46</v>
          </cell>
          <cell r="AG26" t="str">
            <v>VILLA GRANDE</v>
          </cell>
          <cell r="AH26" t="str">
            <v>Apto 508 EdfVilla Real</v>
          </cell>
          <cell r="AI26" t="str">
            <v>VILLA GRANDE</v>
          </cell>
          <cell r="AJ26" t="str">
            <v>ENVIGADO</v>
          </cell>
          <cell r="AK26" t="str">
            <v>ANTIOQUIA</v>
          </cell>
          <cell r="AL26" t="str">
            <v>3104701519</v>
          </cell>
          <cell r="AM26" t="str">
            <v>pipec98@hotmail.com</v>
          </cell>
          <cell r="AN26">
            <v>45671.459467592591</v>
          </cell>
          <cell r="AO26">
            <v>22929</v>
          </cell>
          <cell r="AP26">
            <v>0</v>
          </cell>
          <cell r="AQ26">
            <v>22929</v>
          </cell>
          <cell r="AR26">
            <v>3680</v>
          </cell>
          <cell r="AS26">
            <v>26609</v>
          </cell>
          <cell r="AT26" t="str">
            <v>84151104940</v>
          </cell>
          <cell r="AU26">
            <v>1</v>
          </cell>
          <cell r="AV26" t="str">
            <v>COORDINADORA</v>
          </cell>
          <cell r="AW26" t="str">
            <v>Normal</v>
          </cell>
          <cell r="AX26">
            <v>2</v>
          </cell>
          <cell r="AY26">
            <v>45673.665335648147</v>
          </cell>
          <cell r="AZ26" t="str">
            <v>Entregado</v>
          </cell>
          <cell r="BA26" t="str">
            <v>Entregada</v>
          </cell>
          <cell r="BB26">
            <v>45671.665335648147</v>
          </cell>
          <cell r="BC26" t="str">
            <v xml:space="preserve">Oscar rojas </v>
          </cell>
          <cell r="BD26">
            <v>45672.44023148148</v>
          </cell>
          <cell r="BE26" t="str">
            <v>sin recaudo</v>
          </cell>
        </row>
        <row r="27">
          <cell r="G27" t="str">
            <v>3019490 -84151105323</v>
          </cell>
          <cell r="H27">
            <v>2800000</v>
          </cell>
          <cell r="I27" t="str">
            <v>28</v>
          </cell>
          <cell r="J27" t="str">
            <v>114</v>
          </cell>
          <cell r="K27" t="str">
            <v>19</v>
          </cell>
          <cell r="L27" t="str">
            <v>33</v>
          </cell>
          <cell r="M27">
            <v>45672</v>
          </cell>
          <cell r="N27" t="str">
            <v>-</v>
          </cell>
          <cell r="O27" t="str">
            <v>Orden 2388 Standing II</v>
          </cell>
          <cell r="P27" t="str">
            <v>Paula</v>
          </cell>
          <cell r="Q27" t="str">
            <v>Tobar</v>
          </cell>
          <cell r="R27" t="str">
            <v>TECU.CO S.A.S</v>
          </cell>
          <cell r="S27" t="str">
            <v>Calle 24 #15-32</v>
          </cell>
          <cell r="U27" t="str">
            <v>Centro de Armenia</v>
          </cell>
          <cell r="V27" t="str">
            <v>Primer piso</v>
          </cell>
          <cell r="W27" t="str">
            <v>Escuela Olaya Herrera</v>
          </cell>
          <cell r="X27" t="str">
            <v>ARMENIA</v>
          </cell>
          <cell r="Y27" t="str">
            <v>QUINDIO</v>
          </cell>
          <cell r="Z27" t="str">
            <v>3197269827</v>
          </cell>
          <cell r="AA27" t="str">
            <v>operaciones@tecu.co</v>
          </cell>
          <cell r="AB27" t="str">
            <v>CAROLINA</v>
          </cell>
          <cell r="AC27" t="str">
            <v>RAMIREZ</v>
          </cell>
          <cell r="AE27" t="str">
            <v>CALLE 44 # 31A -108</v>
          </cell>
          <cell r="AG27" t="str">
            <v>La maria</v>
          </cell>
          <cell r="AH27" t="str">
            <v>La maria -primer piso</v>
          </cell>
          <cell r="AI27" t="str">
            <v>Casa</v>
          </cell>
          <cell r="AJ27" t="str">
            <v>EL CARMEN DE VIBORAL</v>
          </cell>
          <cell r="AK27" t="str">
            <v>ANTIOQUIA</v>
          </cell>
          <cell r="AL27" t="str">
            <v>3113867606</v>
          </cell>
          <cell r="AM27" t="str">
            <v>martinezmadrigaljulian@gmail.com</v>
          </cell>
          <cell r="AN27">
            <v>45671.593506944453</v>
          </cell>
          <cell r="AO27">
            <v>27578</v>
          </cell>
          <cell r="AP27">
            <v>0</v>
          </cell>
          <cell r="AQ27">
            <v>27578</v>
          </cell>
          <cell r="AR27">
            <v>19680</v>
          </cell>
          <cell r="AS27">
            <v>47258</v>
          </cell>
          <cell r="AT27" t="str">
            <v>84151105323</v>
          </cell>
          <cell r="AU27">
            <v>1</v>
          </cell>
          <cell r="AV27" t="str">
            <v>COORDINADORA</v>
          </cell>
          <cell r="AW27" t="str">
            <v>Normal</v>
          </cell>
          <cell r="AX27">
            <v>2</v>
          </cell>
          <cell r="AY27">
            <v>45673.665335648147</v>
          </cell>
          <cell r="AZ27" t="str">
            <v>Entregado</v>
          </cell>
          <cell r="BA27" t="str">
            <v>Entregada</v>
          </cell>
          <cell r="BB27">
            <v>45671.665335648147</v>
          </cell>
          <cell r="BC27" t="str">
            <v>Rafael Martinez</v>
          </cell>
          <cell r="BD27">
            <v>45673.515833333331</v>
          </cell>
          <cell r="BE27" t="str">
            <v>sin recaudo</v>
          </cell>
        </row>
        <row r="28">
          <cell r="G28" t="str">
            <v>3019497 -84151105325</v>
          </cell>
          <cell r="H28">
            <v>500000</v>
          </cell>
          <cell r="I28" t="str">
            <v>23</v>
          </cell>
          <cell r="J28" t="str">
            <v>162</v>
          </cell>
          <cell r="K28" t="str">
            <v>5</v>
          </cell>
          <cell r="L28" t="str">
            <v>74</v>
          </cell>
          <cell r="M28">
            <v>45672</v>
          </cell>
          <cell r="N28" t="str">
            <v>-</v>
          </cell>
          <cell r="O28" t="str">
            <v>Orden 2388 Superficie II</v>
          </cell>
          <cell r="P28" t="str">
            <v>Paula</v>
          </cell>
          <cell r="Q28" t="str">
            <v>Tobar</v>
          </cell>
          <cell r="R28" t="str">
            <v>TECU.CO S.A.S</v>
          </cell>
          <cell r="S28" t="str">
            <v>Calle 24 #15-32</v>
          </cell>
          <cell r="U28" t="str">
            <v>Centro de Armenia</v>
          </cell>
          <cell r="V28" t="str">
            <v>Primer piso</v>
          </cell>
          <cell r="W28" t="str">
            <v>Escuela Olaya Herrera</v>
          </cell>
          <cell r="X28" t="str">
            <v>ARMENIA</v>
          </cell>
          <cell r="Y28" t="str">
            <v>QUINDIO</v>
          </cell>
          <cell r="Z28" t="str">
            <v>3197269827</v>
          </cell>
          <cell r="AA28" t="str">
            <v>operaciones@tecu.co</v>
          </cell>
          <cell r="AB28" t="str">
            <v>CAROLINA</v>
          </cell>
          <cell r="AC28" t="str">
            <v>RAMIREZ</v>
          </cell>
          <cell r="AE28" t="str">
            <v>CALLE 44 # 31A -108</v>
          </cell>
          <cell r="AG28" t="str">
            <v>La maria</v>
          </cell>
          <cell r="AH28" t="str">
            <v>Casa primer piso</v>
          </cell>
          <cell r="AI28" t="str">
            <v>Casa primer piso</v>
          </cell>
          <cell r="AJ28" t="str">
            <v>EL CARMEN DE VIBORAL</v>
          </cell>
          <cell r="AK28" t="str">
            <v>ANTIOQUIA</v>
          </cell>
          <cell r="AL28" t="str">
            <v>3113867606</v>
          </cell>
          <cell r="AM28" t="str">
            <v>martinezmadrigaljulian@gmail.com</v>
          </cell>
          <cell r="AN28">
            <v>45671.595925925933</v>
          </cell>
          <cell r="AO28">
            <v>24257</v>
          </cell>
          <cell r="AP28">
            <v>0</v>
          </cell>
          <cell r="AQ28">
            <v>24257</v>
          </cell>
          <cell r="AR28">
            <v>5000</v>
          </cell>
          <cell r="AS28">
            <v>29257</v>
          </cell>
          <cell r="AT28" t="str">
            <v>84151105325</v>
          </cell>
          <cell r="AU28">
            <v>1</v>
          </cell>
          <cell r="AV28" t="str">
            <v>COORDINADORA</v>
          </cell>
          <cell r="AW28" t="str">
            <v>Normal</v>
          </cell>
          <cell r="AX28">
            <v>2</v>
          </cell>
          <cell r="AY28">
            <v>45673.665335648147</v>
          </cell>
          <cell r="AZ28" t="str">
            <v>Entregado</v>
          </cell>
          <cell r="BA28" t="str">
            <v>Entregada</v>
          </cell>
          <cell r="BB28">
            <v>45671.665335648147</v>
          </cell>
          <cell r="BC28" t="str">
            <v>Rafael Martinez</v>
          </cell>
          <cell r="BD28">
            <v>45673.515833333331</v>
          </cell>
          <cell r="BE28" t="str">
            <v>sin recaudo</v>
          </cell>
        </row>
        <row r="29">
          <cell r="G29" t="str">
            <v>3023834 -84151107192</v>
          </cell>
          <cell r="H29">
            <v>2300000</v>
          </cell>
          <cell r="I29" t="str">
            <v>30</v>
          </cell>
          <cell r="J29" t="str">
            <v>114</v>
          </cell>
          <cell r="K29" t="str">
            <v>19</v>
          </cell>
          <cell r="L29" t="str">
            <v>33</v>
          </cell>
          <cell r="M29">
            <v>45673</v>
          </cell>
          <cell r="N29" t="str">
            <v>62684963</v>
          </cell>
          <cell r="O29" t="str">
            <v>Orden 2399 Standing</v>
          </cell>
          <cell r="P29" t="str">
            <v>Paula</v>
          </cell>
          <cell r="Q29" t="str">
            <v>Tobar</v>
          </cell>
          <cell r="R29" t="str">
            <v>TECU.CO S.A.S</v>
          </cell>
          <cell r="S29" t="str">
            <v>calle 24 # 15-32</v>
          </cell>
          <cell r="U29" t="str">
            <v>Cafetero</v>
          </cell>
          <cell r="V29" t="str">
            <v>Primer piso</v>
          </cell>
          <cell r="W29" t="str">
            <v>Escuela Olaya Herrera</v>
          </cell>
          <cell r="X29" t="str">
            <v>ARMENIA</v>
          </cell>
          <cell r="Y29" t="str">
            <v>QUINDIO</v>
          </cell>
          <cell r="Z29" t="str">
            <v>3197269827</v>
          </cell>
          <cell r="AA29" t="str">
            <v>operaciones@tecu.co</v>
          </cell>
          <cell r="AB29" t="str">
            <v>Stefan</v>
          </cell>
          <cell r="AC29" t="str">
            <v>de Brandt</v>
          </cell>
          <cell r="AD29" t="str">
            <v>Stefan</v>
          </cell>
          <cell r="AE29" t="str">
            <v>cl. 23 sur # 28-49</v>
          </cell>
          <cell r="AG29" t="str">
            <v>EnvigadoAntioquia</v>
          </cell>
          <cell r="AH29" t="str">
            <v>Casa 108 UrbVilanoba</v>
          </cell>
          <cell r="AI29" t="str">
            <v>EnvigadoAntioquia</v>
          </cell>
          <cell r="AJ29" t="str">
            <v>ENVIGADO</v>
          </cell>
          <cell r="AK29" t="str">
            <v>ANTIOQUIA</v>
          </cell>
          <cell r="AL29" t="str">
            <v>3024426081</v>
          </cell>
          <cell r="AM29" t="str">
            <v>stefandebrandt@icloud.com</v>
          </cell>
          <cell r="AN29">
            <v>45673.459837962961</v>
          </cell>
          <cell r="AO29">
            <v>28241</v>
          </cell>
          <cell r="AP29">
            <v>0</v>
          </cell>
          <cell r="AQ29">
            <v>28241</v>
          </cell>
          <cell r="AR29">
            <v>14680</v>
          </cell>
          <cell r="AS29">
            <v>42921</v>
          </cell>
          <cell r="AT29" t="str">
            <v>84151107192</v>
          </cell>
          <cell r="AU29">
            <v>1</v>
          </cell>
          <cell r="AV29" t="str">
            <v>COORDINADORA</v>
          </cell>
          <cell r="AW29" t="str">
            <v>Normal</v>
          </cell>
          <cell r="AX29">
            <v>2</v>
          </cell>
          <cell r="AY29">
            <v>45677.694571759261</v>
          </cell>
          <cell r="AZ29" t="str">
            <v>Entregado</v>
          </cell>
          <cell r="BA29" t="str">
            <v>Entregada</v>
          </cell>
          <cell r="BB29">
            <v>45673.694571759261</v>
          </cell>
          <cell r="BC29" t="str">
            <v>stefan de brandt</v>
          </cell>
          <cell r="BD29">
            <v>45674.743310185193</v>
          </cell>
          <cell r="BE29" t="str">
            <v>sin recaudo</v>
          </cell>
        </row>
        <row r="30">
          <cell r="G30" t="str">
            <v>3023835 -84151107193</v>
          </cell>
          <cell r="H30">
            <v>50000</v>
          </cell>
          <cell r="I30" t="str">
            <v>18</v>
          </cell>
          <cell r="J30" t="str">
            <v>154</v>
          </cell>
          <cell r="K30" t="str">
            <v>5</v>
          </cell>
          <cell r="L30" t="str">
            <v>74</v>
          </cell>
          <cell r="M30">
            <v>45673</v>
          </cell>
          <cell r="N30" t="str">
            <v>62684963</v>
          </cell>
          <cell r="O30" t="str">
            <v>Orden 2399 Superficie</v>
          </cell>
          <cell r="P30" t="str">
            <v>Paula</v>
          </cell>
          <cell r="Q30" t="str">
            <v>Tobar</v>
          </cell>
          <cell r="R30" t="str">
            <v>TECU.CO S.A.S</v>
          </cell>
          <cell r="S30" t="str">
            <v>calle 24 # 15-32</v>
          </cell>
          <cell r="U30" t="str">
            <v>Cafetero</v>
          </cell>
          <cell r="V30" t="str">
            <v>Primer piso</v>
          </cell>
          <cell r="W30" t="str">
            <v>Escuela Olaya Herrera</v>
          </cell>
          <cell r="X30" t="str">
            <v>ARMENIA</v>
          </cell>
          <cell r="Y30" t="str">
            <v>QUINDIO</v>
          </cell>
          <cell r="Z30" t="str">
            <v>3197269827</v>
          </cell>
          <cell r="AA30" t="str">
            <v>operaciones@tecu.co</v>
          </cell>
          <cell r="AB30" t="str">
            <v>Stefan</v>
          </cell>
          <cell r="AC30" t="str">
            <v>de Brandt</v>
          </cell>
          <cell r="AD30" t="str">
            <v>Stefan</v>
          </cell>
          <cell r="AE30" t="str">
            <v>cl. 23 sur # 28-49</v>
          </cell>
          <cell r="AG30" t="str">
            <v>EnvigadoAntioquia</v>
          </cell>
          <cell r="AH30" t="str">
            <v>Casa 108 UrbVilanoba</v>
          </cell>
          <cell r="AI30" t="str">
            <v>EnvigadoAntioquia</v>
          </cell>
          <cell r="AJ30" t="str">
            <v>ENVIGADO</v>
          </cell>
          <cell r="AK30" t="str">
            <v>ANTIOQUIA</v>
          </cell>
          <cell r="AL30" t="str">
            <v>3024426081</v>
          </cell>
          <cell r="AM30" t="str">
            <v>stefandebrandt@icloud.com</v>
          </cell>
          <cell r="AN30">
            <v>45673.459907407407</v>
          </cell>
          <cell r="AO30">
            <v>23593</v>
          </cell>
          <cell r="AP30">
            <v>0</v>
          </cell>
          <cell r="AQ30">
            <v>23593</v>
          </cell>
          <cell r="AR30">
            <v>500</v>
          </cell>
          <cell r="AS30">
            <v>24093</v>
          </cell>
          <cell r="AT30" t="str">
            <v>84151107193</v>
          </cell>
          <cell r="AU30">
            <v>1</v>
          </cell>
          <cell r="AV30" t="str">
            <v>COORDINADORA</v>
          </cell>
          <cell r="AW30" t="str">
            <v>Normal</v>
          </cell>
          <cell r="AX30">
            <v>2</v>
          </cell>
          <cell r="AY30">
            <v>45677.6953587963</v>
          </cell>
          <cell r="AZ30" t="str">
            <v>Entregado</v>
          </cell>
          <cell r="BA30" t="str">
            <v>Entregada</v>
          </cell>
          <cell r="BB30">
            <v>45673.6953587963</v>
          </cell>
          <cell r="BC30" t="str">
            <v>stefan de brandt</v>
          </cell>
          <cell r="BD30">
            <v>45674.743310185193</v>
          </cell>
          <cell r="BE30" t="str">
            <v>sin recaudo</v>
          </cell>
        </row>
        <row r="31">
          <cell r="G31" t="str">
            <v>3030968 -84151109880</v>
          </cell>
          <cell r="H31">
            <v>2300000</v>
          </cell>
          <cell r="I31" t="str">
            <v>30</v>
          </cell>
          <cell r="J31" t="str">
            <v>114</v>
          </cell>
          <cell r="K31" t="str">
            <v>19</v>
          </cell>
          <cell r="L31" t="str">
            <v>33</v>
          </cell>
          <cell r="M31">
            <v>45677</v>
          </cell>
          <cell r="N31" t="str">
            <v>62756639</v>
          </cell>
          <cell r="O31" t="str">
            <v>Orden 2404 Standing</v>
          </cell>
          <cell r="P31" t="str">
            <v>Paula</v>
          </cell>
          <cell r="Q31" t="str">
            <v>Tobar</v>
          </cell>
          <cell r="R31" t="str">
            <v>TECU.CO S.A.S</v>
          </cell>
          <cell r="S31" t="str">
            <v>calle 24 # 15-32</v>
          </cell>
          <cell r="U31" t="str">
            <v>Cafetero</v>
          </cell>
          <cell r="V31" t="str">
            <v>Primer piso</v>
          </cell>
          <cell r="W31" t="str">
            <v>Escuela Olaya Herrera</v>
          </cell>
          <cell r="X31" t="str">
            <v>ARMENIA</v>
          </cell>
          <cell r="Y31" t="str">
            <v>QUINDIO</v>
          </cell>
          <cell r="Z31" t="str">
            <v>3197269827</v>
          </cell>
          <cell r="AA31" t="str">
            <v>operaciones@tecu.co</v>
          </cell>
          <cell r="AB31" t="str">
            <v>Juan</v>
          </cell>
          <cell r="AC31" t="str">
            <v>Camilo Acosta Es</v>
          </cell>
          <cell r="AD31" t="str">
            <v>Juan</v>
          </cell>
          <cell r="AE31" t="str">
            <v>Cra 31 # 19 - 435</v>
          </cell>
          <cell r="AG31" t="str">
            <v>El RetiroAntioquia</v>
          </cell>
          <cell r="AH31" t="str">
            <v>Casa 1286 Urb Hacienda l</v>
          </cell>
          <cell r="AI31" t="str">
            <v>El RetiroAntioquia</v>
          </cell>
          <cell r="AJ31" t="str">
            <v>RETIRO</v>
          </cell>
          <cell r="AK31" t="str">
            <v>ANTIOQUIA</v>
          </cell>
          <cell r="AL31" t="str">
            <v>3168684548</v>
          </cell>
          <cell r="AM31" t="str">
            <v>jcamilo016@gmail.com</v>
          </cell>
          <cell r="AN31">
            <v>45677.413437499999</v>
          </cell>
          <cell r="AO31">
            <v>28241</v>
          </cell>
          <cell r="AP31">
            <v>0</v>
          </cell>
          <cell r="AQ31">
            <v>28241</v>
          </cell>
          <cell r="AR31">
            <v>14680</v>
          </cell>
          <cell r="AS31">
            <v>42921</v>
          </cell>
          <cell r="AT31" t="str">
            <v>84151109880</v>
          </cell>
          <cell r="AU31">
            <v>1</v>
          </cell>
          <cell r="AV31" t="str">
            <v>COORDINADORA</v>
          </cell>
          <cell r="AW31" t="str">
            <v>Normal</v>
          </cell>
          <cell r="AX31">
            <v>2</v>
          </cell>
          <cell r="AY31">
            <v>45679.703368055547</v>
          </cell>
          <cell r="AZ31" t="str">
            <v>Entregado</v>
          </cell>
          <cell r="BA31" t="str">
            <v>Entregada</v>
          </cell>
          <cell r="BB31">
            <v>45677.703368055547</v>
          </cell>
          <cell r="BC31" t="str">
            <v xml:space="preserve">Juan Camilo Acosta </v>
          </cell>
          <cell r="BD31">
            <v>45679.591041666667</v>
          </cell>
          <cell r="BE31" t="str">
            <v>sin recaudo</v>
          </cell>
        </row>
        <row r="32">
          <cell r="G32" t="str">
            <v>3030970 -84151109882</v>
          </cell>
          <cell r="H32">
            <v>100000</v>
          </cell>
          <cell r="I32" t="str">
            <v>18</v>
          </cell>
          <cell r="J32" t="str">
            <v>154</v>
          </cell>
          <cell r="K32" t="str">
            <v>5</v>
          </cell>
          <cell r="L32" t="str">
            <v>74</v>
          </cell>
          <cell r="M32">
            <v>45677</v>
          </cell>
          <cell r="N32" t="str">
            <v>62756639</v>
          </cell>
          <cell r="O32" t="str">
            <v>Orden 2404 Superficie</v>
          </cell>
          <cell r="P32" t="str">
            <v>Paula</v>
          </cell>
          <cell r="Q32" t="str">
            <v>Tobar</v>
          </cell>
          <cell r="R32" t="str">
            <v>TECU.CO S.A.S</v>
          </cell>
          <cell r="S32" t="str">
            <v>calle 24 # 15-32</v>
          </cell>
          <cell r="U32" t="str">
            <v>Cafetero</v>
          </cell>
          <cell r="V32" t="str">
            <v>Primer piso</v>
          </cell>
          <cell r="W32" t="str">
            <v>Escuela Olaya Herrera</v>
          </cell>
          <cell r="X32" t="str">
            <v>ARMENIA</v>
          </cell>
          <cell r="Y32" t="str">
            <v>QUINDIO</v>
          </cell>
          <cell r="Z32" t="str">
            <v>3197269827</v>
          </cell>
          <cell r="AA32" t="str">
            <v>operaciones@tecu.co</v>
          </cell>
          <cell r="AB32" t="str">
            <v>Juan</v>
          </cell>
          <cell r="AC32" t="str">
            <v>Camilo Acosta Es</v>
          </cell>
          <cell r="AD32" t="str">
            <v>Juan</v>
          </cell>
          <cell r="AE32" t="str">
            <v>Cra 31 # 19 - 435</v>
          </cell>
          <cell r="AG32" t="str">
            <v>El RetiroAntioquia</v>
          </cell>
          <cell r="AH32" t="str">
            <v>Casa 1286 Urb Hacienda l</v>
          </cell>
          <cell r="AI32" t="str">
            <v>El RetiroAntioquia</v>
          </cell>
          <cell r="AJ32" t="str">
            <v>RETIRO</v>
          </cell>
          <cell r="AK32" t="str">
            <v>ANTIOQUIA</v>
          </cell>
          <cell r="AL32" t="str">
            <v>3168684548</v>
          </cell>
          <cell r="AM32" t="str">
            <v>jcamilo016@gmail.com</v>
          </cell>
          <cell r="AN32">
            <v>45677.413530092592</v>
          </cell>
          <cell r="AO32">
            <v>23593</v>
          </cell>
          <cell r="AP32">
            <v>0</v>
          </cell>
          <cell r="AQ32">
            <v>23593</v>
          </cell>
          <cell r="AR32">
            <v>1000</v>
          </cell>
          <cell r="AS32">
            <v>24593</v>
          </cell>
          <cell r="AT32" t="str">
            <v>84151109882</v>
          </cell>
          <cell r="AU32">
            <v>1</v>
          </cell>
          <cell r="AV32" t="str">
            <v>COORDINADORA</v>
          </cell>
          <cell r="AW32" t="str">
            <v>Normal</v>
          </cell>
          <cell r="AX32">
            <v>2</v>
          </cell>
          <cell r="AY32">
            <v>45679.703368055547</v>
          </cell>
          <cell r="AZ32" t="str">
            <v>Entregado</v>
          </cell>
          <cell r="BA32" t="str">
            <v>Entregada</v>
          </cell>
          <cell r="BB32">
            <v>45677.703368055547</v>
          </cell>
          <cell r="BC32" t="str">
            <v xml:space="preserve">Juan Camilo Acosta </v>
          </cell>
          <cell r="BD32">
            <v>45679.591041666667</v>
          </cell>
          <cell r="BE32" t="str">
            <v>sin recaudo</v>
          </cell>
        </row>
        <row r="33">
          <cell r="G33" t="str">
            <v>3031190 -84151110013</v>
          </cell>
          <cell r="H33">
            <v>250000</v>
          </cell>
          <cell r="I33" t="str">
            <v>2</v>
          </cell>
          <cell r="J33" t="str">
            <v>81</v>
          </cell>
          <cell r="K33" t="str">
            <v>11</v>
          </cell>
          <cell r="L33" t="str">
            <v>14</v>
          </cell>
          <cell r="M33">
            <v>45677</v>
          </cell>
          <cell r="N33" t="str">
            <v>-</v>
          </cell>
          <cell r="O33" t="str">
            <v>Orden 2405 Bandeja Cables</v>
          </cell>
          <cell r="P33" t="str">
            <v>Paula</v>
          </cell>
          <cell r="Q33" t="str">
            <v>Tobar</v>
          </cell>
          <cell r="R33" t="str">
            <v>TECU.CO S.A.S</v>
          </cell>
          <cell r="S33" t="str">
            <v>calle 24 # 15-32</v>
          </cell>
          <cell r="U33" t="str">
            <v>Cafetero</v>
          </cell>
          <cell r="V33" t="str">
            <v>Primer piso</v>
          </cell>
          <cell r="W33" t="str">
            <v>Escuela Olaya Herrera</v>
          </cell>
          <cell r="X33" t="str">
            <v>ARMENIA</v>
          </cell>
          <cell r="Y33" t="str">
            <v>QUINDIO</v>
          </cell>
          <cell r="Z33" t="str">
            <v>3197269827</v>
          </cell>
          <cell r="AA33" t="str">
            <v>operaciones@tecu.co</v>
          </cell>
          <cell r="AB33" t="str">
            <v>Stefan</v>
          </cell>
          <cell r="AC33" t="str">
            <v>de Brandt</v>
          </cell>
          <cell r="AD33" t="str">
            <v>Stefan</v>
          </cell>
          <cell r="AE33" t="str">
            <v>cl. 23 sur # 28-49</v>
          </cell>
          <cell r="AG33" t="str">
            <v>Urbanizacion Vilanova Casa 108</v>
          </cell>
          <cell r="AH33" t="str">
            <v>Casa 108 Urb Vilanoba</v>
          </cell>
          <cell r="AI33" t="str">
            <v>Urbanizacion Vilanova Casa 108</v>
          </cell>
          <cell r="AJ33" t="str">
            <v>ENVIGADO</v>
          </cell>
          <cell r="AK33" t="str">
            <v>ANTIOQUIA</v>
          </cell>
          <cell r="AL33" t="str">
            <v>3024426081</v>
          </cell>
          <cell r="AM33" t="str">
            <v>stefandebrandt@icloud.com</v>
          </cell>
          <cell r="AN33">
            <v>45677.437638888892</v>
          </cell>
          <cell r="AO33">
            <v>22920</v>
          </cell>
          <cell r="AP33">
            <v>0</v>
          </cell>
          <cell r="AQ33">
            <v>22920</v>
          </cell>
          <cell r="AR33">
            <v>1965</v>
          </cell>
          <cell r="AS33">
            <v>24885</v>
          </cell>
          <cell r="AT33" t="str">
            <v>84151110013</v>
          </cell>
          <cell r="AU33">
            <v>1</v>
          </cell>
          <cell r="AV33" t="str">
            <v>COORDINADORA</v>
          </cell>
          <cell r="AW33" t="str">
            <v>Normal</v>
          </cell>
          <cell r="AX33">
            <v>2</v>
          </cell>
          <cell r="AY33">
            <v>45679.703368055547</v>
          </cell>
          <cell r="AZ33" t="str">
            <v>Entregado</v>
          </cell>
          <cell r="BA33" t="str">
            <v>Entregada</v>
          </cell>
          <cell r="BB33">
            <v>45677.703368055547</v>
          </cell>
          <cell r="BC33" t="str">
            <v xml:space="preserve">Nicolas carvajal portería </v>
          </cell>
          <cell r="BD33">
            <v>45678.54478009259</v>
          </cell>
          <cell r="BE33" t="str">
            <v>sin recaudo</v>
          </cell>
        </row>
        <row r="34">
          <cell r="G34" t="str">
            <v>3031428 -84151110138</v>
          </cell>
          <cell r="H34">
            <v>250000</v>
          </cell>
          <cell r="I34" t="str">
            <v>2</v>
          </cell>
          <cell r="J34" t="str">
            <v>81</v>
          </cell>
          <cell r="K34" t="str">
            <v>11</v>
          </cell>
          <cell r="L34" t="str">
            <v>14</v>
          </cell>
          <cell r="M34">
            <v>45677</v>
          </cell>
          <cell r="N34" t="str">
            <v>-</v>
          </cell>
          <cell r="O34" t="str">
            <v>Orden 2404 Bandeja Cables</v>
          </cell>
          <cell r="P34" t="str">
            <v>Paula</v>
          </cell>
          <cell r="Q34" t="str">
            <v>Tobar</v>
          </cell>
          <cell r="R34" t="str">
            <v>TECU.CO S.A.S</v>
          </cell>
          <cell r="S34" t="str">
            <v>calle 24 # 15-32</v>
          </cell>
          <cell r="U34" t="str">
            <v>Cafetero</v>
          </cell>
          <cell r="V34" t="str">
            <v>Primer piso</v>
          </cell>
          <cell r="W34" t="str">
            <v>Escuela Olaya Herrera</v>
          </cell>
          <cell r="X34" t="str">
            <v>ARMENIA</v>
          </cell>
          <cell r="Y34" t="str">
            <v>QUINDIO</v>
          </cell>
          <cell r="Z34" t="str">
            <v>3197269827</v>
          </cell>
          <cell r="AA34" t="str">
            <v>operaciones@tecu.co</v>
          </cell>
          <cell r="AB34" t="str">
            <v>Juan</v>
          </cell>
          <cell r="AC34" t="str">
            <v>Camilo Acosta Es</v>
          </cell>
          <cell r="AD34" t="str">
            <v>Juan</v>
          </cell>
          <cell r="AE34" t="str">
            <v>Cra 31 # 19 - 435</v>
          </cell>
          <cell r="AG34" t="str">
            <v>El  RetiroAntioquia</v>
          </cell>
          <cell r="AH34" t="str">
            <v>Casa 1286 Urb Hacienda A</v>
          </cell>
          <cell r="AI34" t="str">
            <v>El  RetiroAntioquia</v>
          </cell>
          <cell r="AJ34" t="str">
            <v>RETIRO</v>
          </cell>
          <cell r="AK34" t="str">
            <v>ANTIOQUIA</v>
          </cell>
          <cell r="AL34" t="str">
            <v>3168684548</v>
          </cell>
          <cell r="AM34" t="str">
            <v>jcamilo016@gmail.com</v>
          </cell>
          <cell r="AN34">
            <v>45677.466504629629</v>
          </cell>
          <cell r="AO34">
            <v>22920</v>
          </cell>
          <cell r="AP34">
            <v>0</v>
          </cell>
          <cell r="AQ34">
            <v>22920</v>
          </cell>
          <cell r="AR34">
            <v>1965</v>
          </cell>
          <cell r="AS34">
            <v>24885</v>
          </cell>
          <cell r="AT34" t="str">
            <v>84151110138</v>
          </cell>
          <cell r="AU34">
            <v>1</v>
          </cell>
          <cell r="AV34" t="str">
            <v>COORDINADORA</v>
          </cell>
          <cell r="AW34" t="str">
            <v>Normal</v>
          </cell>
          <cell r="AX34">
            <v>2</v>
          </cell>
          <cell r="AY34">
            <v>45679.703368055547</v>
          </cell>
          <cell r="AZ34" t="str">
            <v>Entregado</v>
          </cell>
          <cell r="BA34" t="str">
            <v>Entregada</v>
          </cell>
          <cell r="BB34">
            <v>45677.703368055547</v>
          </cell>
          <cell r="BC34" t="str">
            <v xml:space="preserve">Juan Camilo Acosta </v>
          </cell>
          <cell r="BD34">
            <v>45679.591041666667</v>
          </cell>
          <cell r="BE34" t="str">
            <v>sin recaudo</v>
          </cell>
        </row>
        <row r="35">
          <cell r="G35" t="str">
            <v>3034194 -84151111375</v>
          </cell>
          <cell r="H35">
            <v>2300000</v>
          </cell>
          <cell r="I35" t="str">
            <v>28</v>
          </cell>
          <cell r="J35" t="str">
            <v>113</v>
          </cell>
          <cell r="K35" t="str">
            <v>19</v>
          </cell>
          <cell r="L35" t="str">
            <v>33</v>
          </cell>
          <cell r="M35">
            <v>45678</v>
          </cell>
          <cell r="N35" t="str">
            <v>62790064</v>
          </cell>
          <cell r="O35" t="str">
            <v>Orden 2410 Standing</v>
          </cell>
          <cell r="P35" t="str">
            <v>Paula</v>
          </cell>
          <cell r="Q35" t="str">
            <v>Tobar</v>
          </cell>
          <cell r="R35" t="str">
            <v>TECU.CO S.A.S</v>
          </cell>
          <cell r="S35" t="str">
            <v>calle 24 # 15-32</v>
          </cell>
          <cell r="U35" t="str">
            <v>Cafetero</v>
          </cell>
          <cell r="V35" t="str">
            <v>Primer piso</v>
          </cell>
          <cell r="W35" t="str">
            <v>Escuela Olaya Herrera</v>
          </cell>
          <cell r="X35" t="str">
            <v>ARMENIA</v>
          </cell>
          <cell r="Y35" t="str">
            <v>QUINDIO</v>
          </cell>
          <cell r="Z35" t="str">
            <v>3197269827</v>
          </cell>
          <cell r="AA35" t="str">
            <v>operaciones@tecu.co</v>
          </cell>
          <cell r="AB35" t="str">
            <v>German</v>
          </cell>
          <cell r="AC35" t="str">
            <v>Uchamocha Eusc</v>
          </cell>
          <cell r="AD35" t="str">
            <v>German</v>
          </cell>
          <cell r="AE35" t="str">
            <v>Cra 21#20a-35</v>
          </cell>
          <cell r="AG35" t="str">
            <v>San Jose</v>
          </cell>
          <cell r="AH35" t="str">
            <v>Piso 3</v>
          </cell>
          <cell r="AI35" t="str">
            <v>San Jose</v>
          </cell>
          <cell r="AJ35" t="str">
            <v>DUITAMA</v>
          </cell>
          <cell r="AK35" t="str">
            <v>BOYACA</v>
          </cell>
          <cell r="AL35" t="str">
            <v>3123235425</v>
          </cell>
          <cell r="AM35" t="str">
            <v>german713u@gmail.com</v>
          </cell>
          <cell r="AN35">
            <v>45678.43613425926</v>
          </cell>
          <cell r="AO35">
            <v>45155</v>
          </cell>
          <cell r="AP35">
            <v>0</v>
          </cell>
          <cell r="AQ35">
            <v>45155</v>
          </cell>
          <cell r="AR35">
            <v>14680</v>
          </cell>
          <cell r="AS35">
            <v>59835</v>
          </cell>
          <cell r="AT35" t="str">
            <v>84151111375</v>
          </cell>
          <cell r="AU35">
            <v>1</v>
          </cell>
          <cell r="AV35" t="str">
            <v>COORDINADORA</v>
          </cell>
          <cell r="AW35" t="str">
            <v>Normal</v>
          </cell>
          <cell r="AX35">
            <v>3</v>
          </cell>
          <cell r="AY35">
            <v>45681.716053240743</v>
          </cell>
          <cell r="AZ35" t="str">
            <v>En tránsito</v>
          </cell>
          <cell r="BA35" t="str">
            <v>En ciudad Origen</v>
          </cell>
          <cell r="BB35">
            <v>45678.716053240743</v>
          </cell>
          <cell r="BE35" t="str">
            <v>sin recaudo</v>
          </cell>
        </row>
        <row r="36">
          <cell r="G36" t="str">
            <v>3034195 -84151111376</v>
          </cell>
          <cell r="H36">
            <v>50000</v>
          </cell>
          <cell r="I36" t="str">
            <v>18</v>
          </cell>
          <cell r="J36" t="str">
            <v>154</v>
          </cell>
          <cell r="K36" t="str">
            <v>5</v>
          </cell>
          <cell r="L36" t="str">
            <v>74</v>
          </cell>
          <cell r="M36">
            <v>45678</v>
          </cell>
          <cell r="N36" t="str">
            <v>62790064</v>
          </cell>
          <cell r="O36" t="str">
            <v>Orden 2410 Superficie</v>
          </cell>
          <cell r="P36" t="str">
            <v>Paula</v>
          </cell>
          <cell r="Q36" t="str">
            <v>Tobar</v>
          </cell>
          <cell r="R36" t="str">
            <v>TECU.CO S.A.S</v>
          </cell>
          <cell r="S36" t="str">
            <v>calle 24 # 15-32</v>
          </cell>
          <cell r="U36" t="str">
            <v>Cafetero</v>
          </cell>
          <cell r="V36" t="str">
            <v>Primer piso</v>
          </cell>
          <cell r="W36" t="str">
            <v>Escuela Olaya Herrera</v>
          </cell>
          <cell r="X36" t="str">
            <v>ARMENIA</v>
          </cell>
          <cell r="Y36" t="str">
            <v>QUINDIO</v>
          </cell>
          <cell r="Z36" t="str">
            <v>3197269827</v>
          </cell>
          <cell r="AA36" t="str">
            <v>operaciones@tecu.co</v>
          </cell>
          <cell r="AB36" t="str">
            <v>German</v>
          </cell>
          <cell r="AC36" t="str">
            <v>Uchamocha Eusc</v>
          </cell>
          <cell r="AD36" t="str">
            <v>German</v>
          </cell>
          <cell r="AE36" t="str">
            <v>Cra 21#20a-35</v>
          </cell>
          <cell r="AG36" t="str">
            <v>San Jose</v>
          </cell>
          <cell r="AH36" t="str">
            <v>Piso 3</v>
          </cell>
          <cell r="AI36" t="str">
            <v>San Jose</v>
          </cell>
          <cell r="AJ36" t="str">
            <v>DUITAMA</v>
          </cell>
          <cell r="AK36" t="str">
            <v>BOYACA</v>
          </cell>
          <cell r="AL36" t="str">
            <v>3123235425</v>
          </cell>
          <cell r="AM36" t="str">
            <v>german713u@gmail.com</v>
          </cell>
          <cell r="AN36">
            <v>45678.436215277783</v>
          </cell>
          <cell r="AO36">
            <v>38578</v>
          </cell>
          <cell r="AP36">
            <v>0</v>
          </cell>
          <cell r="AQ36">
            <v>38578</v>
          </cell>
          <cell r="AR36">
            <v>500</v>
          </cell>
          <cell r="AS36">
            <v>39078</v>
          </cell>
          <cell r="AT36" t="str">
            <v>84151111376</v>
          </cell>
          <cell r="AU36">
            <v>1</v>
          </cell>
          <cell r="AV36" t="str">
            <v>COORDINADORA</v>
          </cell>
          <cell r="AW36" t="str">
            <v>Normal</v>
          </cell>
          <cell r="AX36">
            <v>3</v>
          </cell>
          <cell r="AY36">
            <v>45681.716053240743</v>
          </cell>
          <cell r="AZ36" t="str">
            <v>En tránsito</v>
          </cell>
          <cell r="BA36" t="str">
            <v>En ciudad destino</v>
          </cell>
          <cell r="BB36">
            <v>45678.716053240743</v>
          </cell>
          <cell r="BE36" t="str">
            <v>sin recaudo</v>
          </cell>
        </row>
        <row r="37">
          <cell r="G37" t="str">
            <v>3017031 -84151104118</v>
          </cell>
          <cell r="H37">
            <v>2300000</v>
          </cell>
          <cell r="I37" t="str">
            <v>30</v>
          </cell>
          <cell r="J37" t="str">
            <v>114</v>
          </cell>
          <cell r="K37" t="str">
            <v>19</v>
          </cell>
          <cell r="L37" t="str">
            <v>33</v>
          </cell>
          <cell r="M37">
            <v>45671</v>
          </cell>
          <cell r="N37" t="str">
            <v>-</v>
          </cell>
          <cell r="O37" t="str">
            <v>Orden 2395 Standing</v>
          </cell>
          <cell r="P37" t="str">
            <v>Paula</v>
          </cell>
          <cell r="Q37" t="str">
            <v>Tobar</v>
          </cell>
          <cell r="R37" t="str">
            <v>TECU.CO S.A.S</v>
          </cell>
          <cell r="S37" t="str">
            <v>calle 24 # 15-32</v>
          </cell>
          <cell r="U37" t="str">
            <v>Cafetero</v>
          </cell>
          <cell r="V37" t="str">
            <v>Primer piso</v>
          </cell>
          <cell r="W37" t="str">
            <v>Escuela Olaya Herrera</v>
          </cell>
          <cell r="X37" t="str">
            <v>ARMENIA</v>
          </cell>
          <cell r="Y37" t="str">
            <v>QUINDIO</v>
          </cell>
          <cell r="Z37" t="str">
            <v>3197269827</v>
          </cell>
          <cell r="AA37" t="str">
            <v>operaciones@tecu.co</v>
          </cell>
          <cell r="AB37" t="str">
            <v>Lucas</v>
          </cell>
          <cell r="AC37" t="str">
            <v>Latorre</v>
          </cell>
          <cell r="AD37" t="str">
            <v>Lucas</v>
          </cell>
          <cell r="AE37" t="str">
            <v>cra 39a # 42 - 56</v>
          </cell>
          <cell r="AG37" t="str">
            <v>Cabecera</v>
          </cell>
          <cell r="AH37" t="str">
            <v>Apto 1204</v>
          </cell>
          <cell r="AI37" t="str">
            <v>Cabecera</v>
          </cell>
          <cell r="AJ37" t="str">
            <v>BUCARAMANGA</v>
          </cell>
          <cell r="AK37" t="str">
            <v>SANTANDER</v>
          </cell>
          <cell r="AL37" t="str">
            <v>3059234135</v>
          </cell>
          <cell r="AM37" t="str">
            <v>aleluc13@gmail.com</v>
          </cell>
          <cell r="AN37">
            <v>45670.613645833328</v>
          </cell>
          <cell r="AO37">
            <v>41397</v>
          </cell>
          <cell r="AP37">
            <v>0</v>
          </cell>
          <cell r="AQ37">
            <v>41397</v>
          </cell>
          <cell r="AR37">
            <v>14680</v>
          </cell>
          <cell r="AS37">
            <v>56077</v>
          </cell>
          <cell r="AT37" t="str">
            <v>84151104118</v>
          </cell>
          <cell r="AU37">
            <v>1</v>
          </cell>
          <cell r="AV37" t="str">
            <v>COORDINADORA</v>
          </cell>
          <cell r="AW37" t="str">
            <v>Normal</v>
          </cell>
          <cell r="AX37">
            <v>2</v>
          </cell>
          <cell r="AY37">
            <v>45672.699618055558</v>
          </cell>
          <cell r="AZ37" t="str">
            <v>Entregado</v>
          </cell>
          <cell r="BA37" t="str">
            <v>Entregada</v>
          </cell>
          <cell r="BB37">
            <v>45670.699618055558</v>
          </cell>
          <cell r="BC37" t="str">
            <v>castillo</v>
          </cell>
          <cell r="BD37">
            <v>45672.720173611109</v>
          </cell>
          <cell r="BE37" t="str">
            <v>sin recaudo</v>
          </cell>
        </row>
        <row r="38">
          <cell r="G38" t="str">
            <v>3017033 -84151104119</v>
          </cell>
          <cell r="H38">
            <v>50000</v>
          </cell>
          <cell r="I38" t="str">
            <v>23</v>
          </cell>
          <cell r="J38" t="str">
            <v>184</v>
          </cell>
          <cell r="K38" t="str">
            <v>5</v>
          </cell>
          <cell r="L38" t="str">
            <v>74</v>
          </cell>
          <cell r="M38">
            <v>45671</v>
          </cell>
          <cell r="N38" t="str">
            <v>-</v>
          </cell>
          <cell r="O38" t="str">
            <v>Orden 2395 Superficie</v>
          </cell>
          <cell r="P38" t="str">
            <v>Paula</v>
          </cell>
          <cell r="Q38" t="str">
            <v>Tobar</v>
          </cell>
          <cell r="R38" t="str">
            <v>TECU.CO S.A.S</v>
          </cell>
          <cell r="S38" t="str">
            <v>calle 24 # 15-32</v>
          </cell>
          <cell r="U38" t="str">
            <v>Cafetero</v>
          </cell>
          <cell r="V38" t="str">
            <v>Primer piso</v>
          </cell>
          <cell r="W38" t="str">
            <v>Escuela Olaya Herrera</v>
          </cell>
          <cell r="X38" t="str">
            <v>ARMENIA</v>
          </cell>
          <cell r="Y38" t="str">
            <v>QUINDIO</v>
          </cell>
          <cell r="Z38" t="str">
            <v>3197269827</v>
          </cell>
          <cell r="AA38" t="str">
            <v>operaciones@tecu.co</v>
          </cell>
          <cell r="AB38" t="str">
            <v>Lucas</v>
          </cell>
          <cell r="AC38" t="str">
            <v>Latorre</v>
          </cell>
          <cell r="AD38" t="str">
            <v>Lucas</v>
          </cell>
          <cell r="AE38" t="str">
            <v>cra 39a # 42 - 56</v>
          </cell>
          <cell r="AG38" t="str">
            <v>Cabecera</v>
          </cell>
          <cell r="AH38" t="str">
            <v>Apto 1204</v>
          </cell>
          <cell r="AI38" t="str">
            <v>Cabecera</v>
          </cell>
          <cell r="AJ38" t="str">
            <v>BUCARAMANGA</v>
          </cell>
          <cell r="AK38" t="str">
            <v>SANTANDER</v>
          </cell>
          <cell r="AL38" t="str">
            <v>3059234135</v>
          </cell>
          <cell r="AM38" t="str">
            <v>aleluc13@gmail.com</v>
          </cell>
          <cell r="AN38">
            <v>45670.613726851851</v>
          </cell>
          <cell r="AO38">
            <v>38089</v>
          </cell>
          <cell r="AP38">
            <v>0</v>
          </cell>
          <cell r="AQ38">
            <v>38089</v>
          </cell>
          <cell r="AR38">
            <v>500</v>
          </cell>
          <cell r="AS38">
            <v>38589</v>
          </cell>
          <cell r="AT38" t="str">
            <v>84151104119</v>
          </cell>
          <cell r="AU38">
            <v>1</v>
          </cell>
          <cell r="AV38" t="str">
            <v>COORDINADORA</v>
          </cell>
          <cell r="AW38" t="str">
            <v>Normal</v>
          </cell>
          <cell r="AX38">
            <v>2</v>
          </cell>
          <cell r="AY38">
            <v>45672.700312499997</v>
          </cell>
          <cell r="AZ38" t="str">
            <v>Entregado</v>
          </cell>
          <cell r="BA38" t="str">
            <v>Entregada</v>
          </cell>
          <cell r="BB38">
            <v>45670.700312499997</v>
          </cell>
          <cell r="BC38" t="str">
            <v>castillo</v>
          </cell>
          <cell r="BD38">
            <v>45672.720173611109</v>
          </cell>
          <cell r="BE38" t="str">
            <v>sin recaudo</v>
          </cell>
        </row>
        <row r="39">
          <cell r="G39" t="str">
            <v>3018348 -84151104694</v>
          </cell>
          <cell r="H39">
            <v>600000</v>
          </cell>
          <cell r="I39" t="str">
            <v>10</v>
          </cell>
          <cell r="J39" t="str">
            <v>102</v>
          </cell>
          <cell r="K39" t="str">
            <v>50</v>
          </cell>
          <cell r="L39" t="str">
            <v>5</v>
          </cell>
          <cell r="M39">
            <v>45671</v>
          </cell>
          <cell r="N39" t="str">
            <v>62625755</v>
          </cell>
          <cell r="O39" t="str">
            <v>Recoleccion bandeja 2381</v>
          </cell>
          <cell r="P39" t="str">
            <v>Julian</v>
          </cell>
          <cell r="Q39" t="str">
            <v>Cujabante</v>
          </cell>
          <cell r="S39" t="str">
            <v>Calle 106 # 51-02</v>
          </cell>
          <cell r="U39" t="str">
            <v>Pasadena</v>
          </cell>
          <cell r="V39" t="str">
            <v>ap 506</v>
          </cell>
          <cell r="W39" t="str">
            <v>NA</v>
          </cell>
          <cell r="X39" t="str">
            <v>BOGOTA</v>
          </cell>
          <cell r="Y39" t="str">
            <v>CUNDINAMARCA</v>
          </cell>
          <cell r="Z39" t="str">
            <v>3134225401</v>
          </cell>
          <cell r="AA39" t="str">
            <v>juliancujabantevillamil@gmail.com</v>
          </cell>
          <cell r="AB39" t="str">
            <v>Paula</v>
          </cell>
          <cell r="AC39" t="str">
            <v>Tobar</v>
          </cell>
          <cell r="AD39" t="str">
            <v>TECU.CO S.A.S</v>
          </cell>
          <cell r="AE39" t="str">
            <v>Calle 24 #15-32</v>
          </cell>
          <cell r="AG39" t="str">
            <v>Centro de Armenia</v>
          </cell>
          <cell r="AH39" t="str">
            <v>Primer piso</v>
          </cell>
          <cell r="AI39" t="str">
            <v>Escuela Olaya Herrera</v>
          </cell>
          <cell r="AJ39" t="str">
            <v>ARMENIA</v>
          </cell>
          <cell r="AK39" t="str">
            <v>QUINDIO</v>
          </cell>
          <cell r="AL39" t="str">
            <v>3197269827</v>
          </cell>
          <cell r="AM39" t="str">
            <v>operaciones@tecu.co</v>
          </cell>
          <cell r="AN39">
            <v>45671.396631944437</v>
          </cell>
          <cell r="AO39">
            <v>26237</v>
          </cell>
          <cell r="AP39">
            <v>0</v>
          </cell>
          <cell r="AQ39">
            <v>26237</v>
          </cell>
          <cell r="AR39">
            <v>6000</v>
          </cell>
          <cell r="AS39">
            <v>32237</v>
          </cell>
          <cell r="AT39" t="str">
            <v>84151104694</v>
          </cell>
          <cell r="AU39">
            <v>1</v>
          </cell>
          <cell r="AV39" t="str">
            <v>COORDINADORA</v>
          </cell>
          <cell r="AW39" t="str">
            <v>Normal</v>
          </cell>
          <cell r="AX39">
            <v>2</v>
          </cell>
          <cell r="AY39">
            <v>45673.61515046296</v>
          </cell>
          <cell r="AZ39" t="str">
            <v>Entregado</v>
          </cell>
          <cell r="BA39" t="str">
            <v>Entregada</v>
          </cell>
          <cell r="BB39">
            <v>45671.61515046296</v>
          </cell>
          <cell r="BC39" t="str">
            <v xml:space="preserve">Ruth Valencia </v>
          </cell>
          <cell r="BD39">
            <v>45673.693865740737</v>
          </cell>
          <cell r="BE39" t="str">
            <v>sin recaudo</v>
          </cell>
        </row>
        <row r="40">
          <cell r="G40" t="str">
            <v>3027740 -84151108744</v>
          </cell>
          <cell r="H40">
            <v>250000</v>
          </cell>
          <cell r="I40" t="str">
            <v>5</v>
          </cell>
          <cell r="J40" t="str">
            <v>22</v>
          </cell>
          <cell r="K40" t="str">
            <v>6.5</v>
          </cell>
          <cell r="L40" t="str">
            <v>9</v>
          </cell>
          <cell r="M40">
            <v>45675</v>
          </cell>
          <cell r="N40" t="str">
            <v>62732375</v>
          </cell>
          <cell r="O40" t="str">
            <v>Orden 2366 Laptop stand</v>
          </cell>
          <cell r="P40" t="str">
            <v>Steven</v>
          </cell>
          <cell r="Q40" t="str">
            <v>Hoyos</v>
          </cell>
          <cell r="S40" t="str">
            <v>Calle 47 Norte # 8-45</v>
          </cell>
          <cell r="U40" t="str">
            <v>Popayan</v>
          </cell>
          <cell r="V40" t="str">
            <v>Torre C Apto. 402</v>
          </cell>
          <cell r="W40" t="str">
            <v>Hojarasca Bosque Residencial</v>
          </cell>
          <cell r="X40" t="str">
            <v>POPAYAN</v>
          </cell>
          <cell r="Y40" t="str">
            <v>CAUCA</v>
          </cell>
          <cell r="Z40" t="str">
            <v>3146456737</v>
          </cell>
          <cell r="AA40" t="str">
            <v>stevenhoyosc@gmail.com</v>
          </cell>
          <cell r="AB40" t="str">
            <v>Paula</v>
          </cell>
          <cell r="AC40" t="str">
            <v>Tobar</v>
          </cell>
          <cell r="AD40" t="str">
            <v>TECU.CO S.A.S</v>
          </cell>
          <cell r="AE40" t="str">
            <v>Calle 24 #15-32</v>
          </cell>
          <cell r="AG40" t="str">
            <v>Centro de Armenia</v>
          </cell>
          <cell r="AH40" t="str">
            <v>Primer piso</v>
          </cell>
          <cell r="AI40" t="str">
            <v>Escuela Olaya Herrera</v>
          </cell>
          <cell r="AJ40" t="str">
            <v>ARMENIA</v>
          </cell>
          <cell r="AK40" t="str">
            <v>QUINDIO</v>
          </cell>
          <cell r="AL40" t="str">
            <v>3197269827</v>
          </cell>
          <cell r="AM40" t="str">
            <v>operaciones@tecu.co</v>
          </cell>
          <cell r="AN40">
            <v>45674.682928240742</v>
          </cell>
          <cell r="AO40">
            <v>22920</v>
          </cell>
          <cell r="AP40">
            <v>0</v>
          </cell>
          <cell r="AQ40">
            <v>22920</v>
          </cell>
          <cell r="AR40">
            <v>1965</v>
          </cell>
          <cell r="AS40">
            <v>24885</v>
          </cell>
          <cell r="AT40" t="str">
            <v>84151108744</v>
          </cell>
          <cell r="AU40">
            <v>1</v>
          </cell>
          <cell r="AV40" t="str">
            <v>COORDINADORA</v>
          </cell>
          <cell r="AW40" t="str">
            <v>Normal</v>
          </cell>
          <cell r="AX40">
            <v>2</v>
          </cell>
          <cell r="AY40">
            <v>45680.472731481481</v>
          </cell>
          <cell r="AZ40" t="str">
            <v>En tránsito</v>
          </cell>
          <cell r="BA40" t="str">
            <v>En ciudad Origen</v>
          </cell>
          <cell r="BB40">
            <v>45678.472731481481</v>
          </cell>
          <cell r="BE40" t="str">
            <v>sin recaudo</v>
          </cell>
        </row>
        <row r="41">
          <cell r="G41" t="str">
            <v>3008595 -84151100470</v>
          </cell>
          <cell r="H41">
            <v>2300000</v>
          </cell>
          <cell r="I41" t="str">
            <v>30</v>
          </cell>
          <cell r="J41" t="str">
            <v>114</v>
          </cell>
          <cell r="K41" t="str">
            <v>19</v>
          </cell>
          <cell r="L41" t="str">
            <v>33</v>
          </cell>
          <cell r="M41">
            <v>45666</v>
          </cell>
          <cell r="N41" t="str">
            <v>-</v>
          </cell>
          <cell r="O41" t="str">
            <v>Orden 2383 Standing</v>
          </cell>
          <cell r="P41" t="str">
            <v>Paula</v>
          </cell>
          <cell r="Q41" t="str">
            <v>Tobar</v>
          </cell>
          <cell r="R41" t="str">
            <v>TECU.CO S.A.S</v>
          </cell>
          <cell r="S41" t="str">
            <v>calle 24 # 15-32</v>
          </cell>
          <cell r="U41" t="str">
            <v>Cafetero</v>
          </cell>
          <cell r="V41" t="str">
            <v>Primer piso</v>
          </cell>
          <cell r="W41" t="str">
            <v>Escuela Olaya Herrera</v>
          </cell>
          <cell r="X41" t="str">
            <v>ARMENIA</v>
          </cell>
          <cell r="Y41" t="str">
            <v>QUINDIO</v>
          </cell>
          <cell r="Z41" t="str">
            <v>3197269827</v>
          </cell>
          <cell r="AA41" t="str">
            <v>operaciones@tecu.co</v>
          </cell>
          <cell r="AB41" t="str">
            <v>Carlos</v>
          </cell>
          <cell r="AC41" t="str">
            <v>Andres Polanco</v>
          </cell>
          <cell r="AD41" t="str">
            <v>Carlos</v>
          </cell>
          <cell r="AE41" t="str">
            <v>Cra 30 # 29 - 71 sur</v>
          </cell>
          <cell r="AG41" t="str">
            <v>NeivaHuila</v>
          </cell>
          <cell r="AH41" t="str">
            <v>Apto 101 T J  Conj Torre</v>
          </cell>
          <cell r="AI41" t="str">
            <v>NeivaHuila</v>
          </cell>
          <cell r="AJ41" t="str">
            <v>NEIVA</v>
          </cell>
          <cell r="AK41" t="str">
            <v>HUILA</v>
          </cell>
          <cell r="AL41" t="str">
            <v>3175734859</v>
          </cell>
          <cell r="AM41" t="str">
            <v>carlospolancot06@gmail.com</v>
          </cell>
          <cell r="AN41">
            <v>45666.444965277777</v>
          </cell>
          <cell r="AO41">
            <v>47787</v>
          </cell>
          <cell r="AP41">
            <v>0</v>
          </cell>
          <cell r="AQ41">
            <v>47787</v>
          </cell>
          <cell r="AR41">
            <v>14680</v>
          </cell>
          <cell r="AS41">
            <v>62467</v>
          </cell>
          <cell r="AT41" t="str">
            <v>84151100470</v>
          </cell>
          <cell r="AU41">
            <v>1</v>
          </cell>
          <cell r="AV41" t="str">
            <v>COORDINADORA</v>
          </cell>
          <cell r="AW41" t="str">
            <v>Normal</v>
          </cell>
          <cell r="AX41">
            <v>3</v>
          </cell>
          <cell r="AY41">
            <v>45671.726840277777</v>
          </cell>
          <cell r="AZ41" t="str">
            <v>Entregado</v>
          </cell>
          <cell r="BA41" t="str">
            <v>Entregada</v>
          </cell>
          <cell r="BB41">
            <v>45666.726840277777</v>
          </cell>
          <cell r="BC41" t="str">
            <v xml:space="preserve">yanet triana </v>
          </cell>
          <cell r="BD41">
            <v>45668.695960648147</v>
          </cell>
          <cell r="BE41" t="str">
            <v>sin recaudo</v>
          </cell>
        </row>
        <row r="42">
          <cell r="G42" t="str">
            <v>3008596 -84151100471</v>
          </cell>
          <cell r="H42">
            <v>50000</v>
          </cell>
          <cell r="I42" t="str">
            <v>18</v>
          </cell>
          <cell r="J42" t="str">
            <v>154</v>
          </cell>
          <cell r="K42" t="str">
            <v>5</v>
          </cell>
          <cell r="L42" t="str">
            <v>74</v>
          </cell>
          <cell r="M42">
            <v>45666</v>
          </cell>
          <cell r="N42" t="str">
            <v>-</v>
          </cell>
          <cell r="O42" t="str">
            <v>Orden 2383 Superficie</v>
          </cell>
          <cell r="P42" t="str">
            <v>Paula</v>
          </cell>
          <cell r="Q42" t="str">
            <v>Tobar</v>
          </cell>
          <cell r="R42" t="str">
            <v>TECU.CO S.A.S</v>
          </cell>
          <cell r="S42" t="str">
            <v>calle 24 # 15-32</v>
          </cell>
          <cell r="U42" t="str">
            <v>Cafetero</v>
          </cell>
          <cell r="V42" t="str">
            <v>Primer piso</v>
          </cell>
          <cell r="W42" t="str">
            <v>Escuela Olaya Herrera</v>
          </cell>
          <cell r="X42" t="str">
            <v>ARMENIA</v>
          </cell>
          <cell r="Y42" t="str">
            <v>QUINDIO</v>
          </cell>
          <cell r="Z42" t="str">
            <v>3197269827</v>
          </cell>
          <cell r="AA42" t="str">
            <v>operaciones@tecu.co</v>
          </cell>
          <cell r="AB42" t="str">
            <v>Carlos</v>
          </cell>
          <cell r="AC42" t="str">
            <v>Andres Polanco</v>
          </cell>
          <cell r="AD42" t="str">
            <v>Carlos</v>
          </cell>
          <cell r="AE42" t="str">
            <v>Cra 30 # 29 - 71 sur</v>
          </cell>
          <cell r="AG42" t="str">
            <v>NeivaHuila</v>
          </cell>
          <cell r="AH42" t="str">
            <v>Apto 101 T J  Conj Torre</v>
          </cell>
          <cell r="AI42" t="str">
            <v>NeivaHuila</v>
          </cell>
          <cell r="AJ42" t="str">
            <v>NEIVA</v>
          </cell>
          <cell r="AK42" t="str">
            <v>HUILA</v>
          </cell>
          <cell r="AL42" t="str">
            <v>3175734859</v>
          </cell>
          <cell r="AM42" t="str">
            <v>carlospolancot06@gmail.com</v>
          </cell>
          <cell r="AN42">
            <v>45666.445057870369</v>
          </cell>
          <cell r="AO42">
            <v>38578</v>
          </cell>
          <cell r="AP42">
            <v>0</v>
          </cell>
          <cell r="AQ42">
            <v>38578</v>
          </cell>
          <cell r="AR42">
            <v>500</v>
          </cell>
          <cell r="AS42">
            <v>39078</v>
          </cell>
          <cell r="AT42" t="str">
            <v>84151100471</v>
          </cell>
          <cell r="AU42">
            <v>1</v>
          </cell>
          <cell r="AV42" t="str">
            <v>COORDINADORA</v>
          </cell>
          <cell r="AW42" t="str">
            <v>Normal</v>
          </cell>
          <cell r="AX42">
            <v>3</v>
          </cell>
          <cell r="AY42">
            <v>45671.726840277777</v>
          </cell>
          <cell r="AZ42" t="str">
            <v>Entregado</v>
          </cell>
          <cell r="BA42" t="str">
            <v>Entregada</v>
          </cell>
          <cell r="BB42">
            <v>45666.726840277777</v>
          </cell>
          <cell r="BC42" t="str">
            <v xml:space="preserve">yanet triana </v>
          </cell>
          <cell r="BD42">
            <v>45668.695960648147</v>
          </cell>
          <cell r="BE42" t="str">
            <v>sin recaudo</v>
          </cell>
        </row>
        <row r="43">
          <cell r="G43" t="str">
            <v>3023545 -954101127728</v>
          </cell>
          <cell r="H43">
            <v>50000</v>
          </cell>
          <cell r="I43" t="str">
            <v>30</v>
          </cell>
          <cell r="J43" t="str">
            <v>72</v>
          </cell>
          <cell r="K43" t="str">
            <v>43</v>
          </cell>
          <cell r="L43" t="str">
            <v>53</v>
          </cell>
          <cell r="M43">
            <v>45673</v>
          </cell>
          <cell r="N43" t="str">
            <v>95-1061817</v>
          </cell>
          <cell r="O43" t="str">
            <v>Orden 2368 Archivador</v>
          </cell>
          <cell r="P43" t="str">
            <v>Paula</v>
          </cell>
          <cell r="Q43" t="str">
            <v>Tobar</v>
          </cell>
          <cell r="R43" t="str">
            <v>TECU.CO S.A.S</v>
          </cell>
          <cell r="S43" t="str">
            <v>calle 24 # 15-32</v>
          </cell>
          <cell r="U43" t="str">
            <v>Cafetero</v>
          </cell>
          <cell r="V43" t="str">
            <v>Primer piso</v>
          </cell>
          <cell r="W43" t="str">
            <v>Escuela Olaya Herrera</v>
          </cell>
          <cell r="X43" t="str">
            <v>ARMENIA</v>
          </cell>
          <cell r="Y43" t="str">
            <v>QUINDIO</v>
          </cell>
          <cell r="Z43" t="str">
            <v>3197269827</v>
          </cell>
          <cell r="AA43" t="str">
            <v>operaciones@tecu.co</v>
          </cell>
          <cell r="AB43" t="str">
            <v>Cristhian</v>
          </cell>
          <cell r="AC43" t="str">
            <v>mejia</v>
          </cell>
          <cell r="AD43" t="str">
            <v>Cristhian</v>
          </cell>
          <cell r="AE43" t="str">
            <v>Cra 16 bis #8-24</v>
          </cell>
          <cell r="AG43" t="str">
            <v>pinares</v>
          </cell>
          <cell r="AH43" t="str">
            <v>Piso 6 Oko Tower</v>
          </cell>
          <cell r="AI43" t="str">
            <v>pinares</v>
          </cell>
          <cell r="AJ43" t="str">
            <v>PEREIRA</v>
          </cell>
          <cell r="AK43" t="str">
            <v>RISARALDA</v>
          </cell>
          <cell r="AL43" t="str">
            <v>3175082021</v>
          </cell>
          <cell r="AM43" t="str">
            <v>creativepereira@gmail.com</v>
          </cell>
          <cell r="AN43">
            <v>45673.41302083333</v>
          </cell>
          <cell r="AO43">
            <v>53497</v>
          </cell>
          <cell r="AP43">
            <v>0</v>
          </cell>
          <cell r="AQ43">
            <v>53497</v>
          </cell>
          <cell r="AR43">
            <v>0</v>
          </cell>
          <cell r="AS43">
            <v>53497</v>
          </cell>
          <cell r="AT43" t="str">
            <v>954101127728</v>
          </cell>
          <cell r="AU43">
            <v>1</v>
          </cell>
          <cell r="AV43" t="str">
            <v xml:space="preserve">ENVIA </v>
          </cell>
          <cell r="AW43" t="str">
            <v>Normal</v>
          </cell>
          <cell r="AX43">
            <v>2</v>
          </cell>
          <cell r="AY43">
            <v>45677.679861111108</v>
          </cell>
          <cell r="AZ43" t="str">
            <v>Entregado</v>
          </cell>
          <cell r="BA43" t="str">
            <v>Envio entregado</v>
          </cell>
          <cell r="BB43">
            <v>45673.679861111108</v>
          </cell>
          <cell r="BD43">
            <v>45674.459027777782</v>
          </cell>
          <cell r="BE43" t="str">
            <v>sin recaudo</v>
          </cell>
        </row>
        <row r="44">
          <cell r="G44" t="str">
            <v>3023553 -954101127732</v>
          </cell>
          <cell r="H44">
            <v>50000</v>
          </cell>
          <cell r="I44" t="str">
            <v>30</v>
          </cell>
          <cell r="J44" t="str">
            <v>72</v>
          </cell>
          <cell r="K44" t="str">
            <v>43</v>
          </cell>
          <cell r="L44" t="str">
            <v>53</v>
          </cell>
          <cell r="M44">
            <v>45673</v>
          </cell>
          <cell r="N44" t="str">
            <v>95-1061817</v>
          </cell>
          <cell r="O44" t="str">
            <v>Orden 2368 Archivador</v>
          </cell>
          <cell r="P44" t="str">
            <v>Paula</v>
          </cell>
          <cell r="Q44" t="str">
            <v>Tobar</v>
          </cell>
          <cell r="R44" t="str">
            <v>TECU.CO S.A.S</v>
          </cell>
          <cell r="S44" t="str">
            <v>calle 24 # 15-32</v>
          </cell>
          <cell r="U44" t="str">
            <v>Cafetero</v>
          </cell>
          <cell r="V44" t="str">
            <v>Primer piso</v>
          </cell>
          <cell r="W44" t="str">
            <v>Escuela Olaya Herrera</v>
          </cell>
          <cell r="X44" t="str">
            <v>ARMENIA</v>
          </cell>
          <cell r="Y44" t="str">
            <v>QUINDIO</v>
          </cell>
          <cell r="Z44" t="str">
            <v>3197269827</v>
          </cell>
          <cell r="AA44" t="str">
            <v>operaciones@tecu.co</v>
          </cell>
          <cell r="AB44" t="str">
            <v>Cristhian</v>
          </cell>
          <cell r="AC44" t="str">
            <v>mejia</v>
          </cell>
          <cell r="AD44" t="str">
            <v>Cristhian</v>
          </cell>
          <cell r="AE44" t="str">
            <v>Cra 16 bis #8-24</v>
          </cell>
          <cell r="AG44" t="str">
            <v>pinares</v>
          </cell>
          <cell r="AH44" t="str">
            <v>Piso 6 Oko Tower</v>
          </cell>
          <cell r="AI44" t="str">
            <v>pinares</v>
          </cell>
          <cell r="AJ44" t="str">
            <v>PEREIRA</v>
          </cell>
          <cell r="AK44" t="str">
            <v>RISARALDA</v>
          </cell>
          <cell r="AL44" t="str">
            <v>3175082021</v>
          </cell>
          <cell r="AM44" t="str">
            <v>creativepereira@gmail.com</v>
          </cell>
          <cell r="AN44">
            <v>45673.414976851847</v>
          </cell>
          <cell r="AO44">
            <v>53497</v>
          </cell>
          <cell r="AP44">
            <v>0</v>
          </cell>
          <cell r="AQ44">
            <v>53497</v>
          </cell>
          <cell r="AR44">
            <v>0</v>
          </cell>
          <cell r="AS44">
            <v>53497</v>
          </cell>
          <cell r="AT44" t="str">
            <v>954101127732</v>
          </cell>
          <cell r="AU44">
            <v>1</v>
          </cell>
          <cell r="AV44" t="str">
            <v xml:space="preserve">ENVIA </v>
          </cell>
          <cell r="AW44" t="str">
            <v>Normal</v>
          </cell>
          <cell r="AX44">
            <v>2</v>
          </cell>
          <cell r="AY44">
            <v>45677.679861111108</v>
          </cell>
          <cell r="AZ44" t="str">
            <v>Entregado</v>
          </cell>
          <cell r="BA44" t="str">
            <v>Envio entregado</v>
          </cell>
          <cell r="BB44">
            <v>45673.679861111108</v>
          </cell>
          <cell r="BD44">
            <v>45674.460416666669</v>
          </cell>
          <cell r="BE44" t="str">
            <v>sin recaudo</v>
          </cell>
        </row>
        <row r="45">
          <cell r="G45" t="str">
            <v>3002907 -84151097232</v>
          </cell>
          <cell r="H45">
            <v>50000</v>
          </cell>
          <cell r="I45" t="str">
            <v>7</v>
          </cell>
          <cell r="J45" t="str">
            <v>93</v>
          </cell>
          <cell r="K45" t="str">
            <v>23</v>
          </cell>
          <cell r="L45" t="str">
            <v>13</v>
          </cell>
          <cell r="M45">
            <v>45664</v>
          </cell>
          <cell r="N45" t="str">
            <v>62494940</v>
          </cell>
          <cell r="O45" t="str">
            <v>Orden 2375 Repisa</v>
          </cell>
          <cell r="P45" t="str">
            <v>Paula</v>
          </cell>
          <cell r="Q45" t="str">
            <v>Tobar</v>
          </cell>
          <cell r="R45" t="str">
            <v>TECU.CO S.A.S</v>
          </cell>
          <cell r="S45" t="str">
            <v>calle 24 # 15-32</v>
          </cell>
          <cell r="U45" t="str">
            <v>Cafetero</v>
          </cell>
          <cell r="V45" t="str">
            <v>Primer piso</v>
          </cell>
          <cell r="W45" t="str">
            <v>Escuela Olaya Herrera</v>
          </cell>
          <cell r="X45" t="str">
            <v>ARMENIA</v>
          </cell>
          <cell r="Y45" t="str">
            <v>QUINDIO</v>
          </cell>
          <cell r="Z45" t="str">
            <v>3197269827</v>
          </cell>
          <cell r="AA45" t="str">
            <v>operaciones@tecu.co</v>
          </cell>
          <cell r="AB45" t="str">
            <v>Sneyder</v>
          </cell>
          <cell r="AC45" t="str">
            <v>Vergara</v>
          </cell>
          <cell r="AD45" t="str">
            <v>Sneyder</v>
          </cell>
          <cell r="AE45" t="str">
            <v>calle 51 no. 14f 1 - 64 apart. 702 - t2</v>
          </cell>
          <cell r="AG45" t="str">
            <v>MonteVerde  Edificio Montreal</v>
          </cell>
          <cell r="AH45" t="str">
            <v>Apto 702 T 2 Edf ontre</v>
          </cell>
          <cell r="AI45" t="str">
            <v>MonteVerde  Edificio Montreal</v>
          </cell>
          <cell r="AJ45" t="str">
            <v>MONTERIA</v>
          </cell>
          <cell r="AK45" t="str">
            <v>CORDOBA</v>
          </cell>
          <cell r="AL45" t="str">
            <v>3052282561</v>
          </cell>
          <cell r="AM45" t="str">
            <v>Brow.vergara@gmail.com</v>
          </cell>
          <cell r="AN45">
            <v>45664.433761574073</v>
          </cell>
          <cell r="AO45">
            <v>46633</v>
          </cell>
          <cell r="AP45">
            <v>0</v>
          </cell>
          <cell r="AQ45">
            <v>46633</v>
          </cell>
          <cell r="AR45">
            <v>500</v>
          </cell>
          <cell r="AS45">
            <v>47133</v>
          </cell>
          <cell r="AT45" t="str">
            <v>84151097232</v>
          </cell>
          <cell r="AU45">
            <v>1</v>
          </cell>
          <cell r="AV45" t="str">
            <v>COORDINADORA</v>
          </cell>
          <cell r="AW45" t="str">
            <v>Normal</v>
          </cell>
          <cell r="AX45">
            <v>3</v>
          </cell>
          <cell r="AY45">
            <v>45670.715833333343</v>
          </cell>
          <cell r="AZ45" t="str">
            <v>Entregado</v>
          </cell>
          <cell r="BA45" t="str">
            <v>Entregada</v>
          </cell>
          <cell r="BB45">
            <v>45665.715833333343</v>
          </cell>
          <cell r="BC45" t="str">
            <v xml:space="preserve">Ramón alemán </v>
          </cell>
          <cell r="BD45">
            <v>45667.525891203702</v>
          </cell>
          <cell r="BE45" t="str">
            <v>sin recaudo</v>
          </cell>
        </row>
        <row r="46">
          <cell r="G46" t="str">
            <v>3034185 -84151111369</v>
          </cell>
          <cell r="H46">
            <v>50000</v>
          </cell>
          <cell r="I46" t="str">
            <v>7</v>
          </cell>
          <cell r="J46" t="str">
            <v>93</v>
          </cell>
          <cell r="K46" t="str">
            <v>23</v>
          </cell>
          <cell r="L46" t="str">
            <v>13</v>
          </cell>
          <cell r="M46">
            <v>45678</v>
          </cell>
          <cell r="N46" t="str">
            <v>62790064</v>
          </cell>
          <cell r="O46" t="str">
            <v>Orden 2409 Repisa</v>
          </cell>
          <cell r="P46" t="str">
            <v>Paula</v>
          </cell>
          <cell r="Q46" t="str">
            <v>Tobar</v>
          </cell>
          <cell r="R46" t="str">
            <v>TECU.CO S.A.S</v>
          </cell>
          <cell r="S46" t="str">
            <v>calle 24 # 15-32</v>
          </cell>
          <cell r="U46" t="str">
            <v>Cafetero</v>
          </cell>
          <cell r="V46" t="str">
            <v>Primer piso</v>
          </cell>
          <cell r="W46" t="str">
            <v>Escuela Olaya Herrera</v>
          </cell>
          <cell r="X46" t="str">
            <v>ARMENIA</v>
          </cell>
          <cell r="Y46" t="str">
            <v>QUINDIO</v>
          </cell>
          <cell r="Z46" t="str">
            <v>3197269827</v>
          </cell>
          <cell r="AA46" t="str">
            <v>operaciones@tecu.co</v>
          </cell>
          <cell r="AB46" t="str">
            <v>Rainer</v>
          </cell>
          <cell r="AC46" t="str">
            <v>Villarreal</v>
          </cell>
          <cell r="AD46" t="str">
            <v>Rainer</v>
          </cell>
          <cell r="AE46" t="str">
            <v>Mzn k Lt 28</v>
          </cell>
          <cell r="AG46" t="str">
            <v>Corvipol</v>
          </cell>
          <cell r="AH46" t="str">
            <v>Mz K lote 28</v>
          </cell>
          <cell r="AI46" t="str">
            <v>Corvipol</v>
          </cell>
          <cell r="AJ46" t="str">
            <v>MONTERIA</v>
          </cell>
          <cell r="AK46" t="str">
            <v>CORDOBA</v>
          </cell>
          <cell r="AL46" t="str">
            <v>3147263809</v>
          </cell>
          <cell r="AM46" t="str">
            <v>paulvillarreal@gmail.com</v>
          </cell>
          <cell r="AN46">
            <v>45678.434965277767</v>
          </cell>
          <cell r="AO46">
            <v>46633</v>
          </cell>
          <cell r="AP46">
            <v>0</v>
          </cell>
          <cell r="AQ46">
            <v>46633</v>
          </cell>
          <cell r="AR46">
            <v>500</v>
          </cell>
          <cell r="AS46">
            <v>47133</v>
          </cell>
          <cell r="AT46" t="str">
            <v>84151111369</v>
          </cell>
          <cell r="AU46">
            <v>1</v>
          </cell>
          <cell r="AV46" t="str">
            <v>COORDINADORA</v>
          </cell>
          <cell r="AW46" t="str">
            <v>Normal</v>
          </cell>
          <cell r="AX46">
            <v>3</v>
          </cell>
          <cell r="AY46">
            <v>45681.716053240743</v>
          </cell>
          <cell r="AZ46" t="str">
            <v>En tránsito</v>
          </cell>
          <cell r="BA46" t="str">
            <v>En ciudad destino</v>
          </cell>
          <cell r="BB46">
            <v>45678.716053240743</v>
          </cell>
          <cell r="BE46" t="str">
            <v>sin recaudo</v>
          </cell>
        </row>
        <row r="47">
          <cell r="G47" t="str">
            <v>3002683 -84151097102</v>
          </cell>
          <cell r="H47">
            <v>250000</v>
          </cell>
          <cell r="I47" t="str">
            <v>5</v>
          </cell>
          <cell r="J47" t="str">
            <v>22</v>
          </cell>
          <cell r="K47" t="str">
            <v>9</v>
          </cell>
          <cell r="L47" t="str">
            <v>6</v>
          </cell>
          <cell r="M47">
            <v>45664</v>
          </cell>
          <cell r="N47" t="str">
            <v>62469110</v>
          </cell>
          <cell r="O47" t="str">
            <v>Orden 2372 Laptop stand</v>
          </cell>
          <cell r="P47" t="str">
            <v>Paula</v>
          </cell>
          <cell r="Q47" t="str">
            <v>Tobar</v>
          </cell>
          <cell r="R47" t="str">
            <v>TECU.CO S.A.S</v>
          </cell>
          <cell r="S47" t="str">
            <v>calle 24 # 15-32</v>
          </cell>
          <cell r="U47" t="str">
            <v>Cafetero</v>
          </cell>
          <cell r="V47" t="str">
            <v>Primer piso</v>
          </cell>
          <cell r="W47" t="str">
            <v>Escuela Olaya Herrera</v>
          </cell>
          <cell r="X47" t="str">
            <v>ARMENIA</v>
          </cell>
          <cell r="Y47" t="str">
            <v>QUINDIO</v>
          </cell>
          <cell r="Z47" t="str">
            <v>3197269827</v>
          </cell>
          <cell r="AA47" t="str">
            <v>operaciones@tecu.co</v>
          </cell>
          <cell r="AB47" t="str">
            <v>Santiago</v>
          </cell>
          <cell r="AC47" t="str">
            <v>Osorio Lopez</v>
          </cell>
          <cell r="AD47" t="str">
            <v>Santiago</v>
          </cell>
          <cell r="AE47" t="str">
            <v>cra 28c #69-101</v>
          </cell>
          <cell r="AG47" t="str">
            <v>Manizales aldas</v>
          </cell>
          <cell r="AH47" t="str">
            <v>Apto 102a edfConquistado</v>
          </cell>
          <cell r="AI47" t="str">
            <v>Manizales aldas</v>
          </cell>
          <cell r="AJ47" t="str">
            <v>MANIZALES</v>
          </cell>
          <cell r="AK47" t="str">
            <v>CALDAS</v>
          </cell>
          <cell r="AL47" t="str">
            <v>3113146348</v>
          </cell>
          <cell r="AM47" t="str">
            <v>sosoriol.8c@gmail.com</v>
          </cell>
          <cell r="AN47">
            <v>45664.402604166673</v>
          </cell>
          <cell r="AO47">
            <v>13482</v>
          </cell>
          <cell r="AP47">
            <v>0</v>
          </cell>
          <cell r="AQ47">
            <v>13482</v>
          </cell>
          <cell r="AR47">
            <v>1965</v>
          </cell>
          <cell r="AS47">
            <v>15447</v>
          </cell>
          <cell r="AT47" t="str">
            <v>84151097102</v>
          </cell>
          <cell r="AU47">
            <v>1</v>
          </cell>
          <cell r="AV47" t="str">
            <v>COORDINADORA</v>
          </cell>
          <cell r="AW47" t="str">
            <v>Normal</v>
          </cell>
          <cell r="AX47">
            <v>2</v>
          </cell>
          <cell r="AY47">
            <v>45666.709537037037</v>
          </cell>
          <cell r="AZ47" t="str">
            <v>Entregado</v>
          </cell>
          <cell r="BA47" t="str">
            <v>Entregada</v>
          </cell>
          <cell r="BB47">
            <v>45664.709537037037</v>
          </cell>
          <cell r="BC47" t="str">
            <v xml:space="preserve">rodrigo Valencia </v>
          </cell>
          <cell r="BD47">
            <v>45665.560810185183</v>
          </cell>
          <cell r="BE47" t="str">
            <v>sin recaudo</v>
          </cell>
        </row>
        <row r="48">
          <cell r="G48" t="str">
            <v>3034128 -84151111334</v>
          </cell>
          <cell r="H48">
            <v>2300000</v>
          </cell>
          <cell r="I48" t="str">
            <v>28</v>
          </cell>
          <cell r="J48" t="str">
            <v>113</v>
          </cell>
          <cell r="K48" t="str">
            <v>19</v>
          </cell>
          <cell r="L48" t="str">
            <v>33</v>
          </cell>
          <cell r="M48">
            <v>45678</v>
          </cell>
          <cell r="N48" t="str">
            <v>62790064</v>
          </cell>
          <cell r="O48" t="str">
            <v>Orden 2406 Standing</v>
          </cell>
          <cell r="P48" t="str">
            <v>Paula</v>
          </cell>
          <cell r="Q48" t="str">
            <v>Tobar</v>
          </cell>
          <cell r="R48" t="str">
            <v>TECU.CO S.A.S</v>
          </cell>
          <cell r="S48" t="str">
            <v>calle 24 # 15-32</v>
          </cell>
          <cell r="U48" t="str">
            <v>Cafetero</v>
          </cell>
          <cell r="V48" t="str">
            <v>Primer piso</v>
          </cell>
          <cell r="W48" t="str">
            <v>Escuela Olaya Herrera</v>
          </cell>
          <cell r="X48" t="str">
            <v>ARMENIA</v>
          </cell>
          <cell r="Y48" t="str">
            <v>QUINDIO</v>
          </cell>
          <cell r="Z48" t="str">
            <v>3197269827</v>
          </cell>
          <cell r="AA48" t="str">
            <v>operaciones@tecu.co</v>
          </cell>
          <cell r="AB48" t="str">
            <v>MARIA</v>
          </cell>
          <cell r="AC48" t="str">
            <v>RODRIGUEZ</v>
          </cell>
          <cell r="AD48" t="str">
            <v>MARIA</v>
          </cell>
          <cell r="AE48" t="str">
            <v>barrio ciudad de dios 1</v>
          </cell>
          <cell r="AG48" t="str">
            <v>Ciudad de Dios 1</v>
          </cell>
          <cell r="AH48" t="str">
            <v>Mz G casa 12</v>
          </cell>
          <cell r="AI48" t="str">
            <v>Ciudad de Dios 1</v>
          </cell>
          <cell r="AJ48" t="str">
            <v>JAMUNDI</v>
          </cell>
          <cell r="AK48" t="str">
            <v>VALLE DEL CAUCA</v>
          </cell>
          <cell r="AL48" t="str">
            <v>3167402398</v>
          </cell>
          <cell r="AM48" t="str">
            <v>mariadelcarmenr716@gmail.com</v>
          </cell>
          <cell r="AN48">
            <v>45678.429502314822</v>
          </cell>
          <cell r="AO48">
            <v>26913</v>
          </cell>
          <cell r="AP48">
            <v>0</v>
          </cell>
          <cell r="AQ48">
            <v>26913</v>
          </cell>
          <cell r="AR48">
            <v>14680</v>
          </cell>
          <cell r="AS48">
            <v>41593</v>
          </cell>
          <cell r="AT48" t="str">
            <v>84151111334</v>
          </cell>
          <cell r="AU48">
            <v>1</v>
          </cell>
          <cell r="AV48" t="str">
            <v>COORDINADORA</v>
          </cell>
          <cell r="AW48" t="str">
            <v>Normal</v>
          </cell>
          <cell r="AX48">
            <v>2</v>
          </cell>
          <cell r="AY48">
            <v>45680.716053240743</v>
          </cell>
          <cell r="AZ48" t="str">
            <v>En ruta de entrega final</v>
          </cell>
          <cell r="BA48" t="str">
            <v>En Reparto</v>
          </cell>
          <cell r="BB48">
            <v>45678.716053240743</v>
          </cell>
          <cell r="BE48" t="str">
            <v>sin recaudo</v>
          </cell>
        </row>
        <row r="49">
          <cell r="G49" t="str">
            <v>3034129 -84151111335</v>
          </cell>
          <cell r="H49">
            <v>50000</v>
          </cell>
          <cell r="I49" t="str">
            <v>18</v>
          </cell>
          <cell r="J49" t="str">
            <v>154</v>
          </cell>
          <cell r="K49" t="str">
            <v>5</v>
          </cell>
          <cell r="L49" t="str">
            <v>74</v>
          </cell>
          <cell r="M49">
            <v>45678</v>
          </cell>
          <cell r="N49" t="str">
            <v>62790064</v>
          </cell>
          <cell r="O49" t="str">
            <v>Orden 2406 Superficie</v>
          </cell>
          <cell r="P49" t="str">
            <v>Paula</v>
          </cell>
          <cell r="Q49" t="str">
            <v>Tobar</v>
          </cell>
          <cell r="R49" t="str">
            <v>TECU.CO S.A.S</v>
          </cell>
          <cell r="S49" t="str">
            <v>calle 24 # 15-32</v>
          </cell>
          <cell r="U49" t="str">
            <v>Cafetero</v>
          </cell>
          <cell r="V49" t="str">
            <v>Primer piso</v>
          </cell>
          <cell r="W49" t="str">
            <v>Escuela Olaya Herrera</v>
          </cell>
          <cell r="X49" t="str">
            <v>ARMENIA</v>
          </cell>
          <cell r="Y49" t="str">
            <v>QUINDIO</v>
          </cell>
          <cell r="Z49" t="str">
            <v>3197269827</v>
          </cell>
          <cell r="AA49" t="str">
            <v>operaciones@tecu.co</v>
          </cell>
          <cell r="AB49" t="str">
            <v>MARIA</v>
          </cell>
          <cell r="AC49" t="str">
            <v>RODRIGUEZ</v>
          </cell>
          <cell r="AD49" t="str">
            <v>MARIA</v>
          </cell>
          <cell r="AE49" t="str">
            <v>barrio ciudad de dios 1</v>
          </cell>
          <cell r="AG49" t="str">
            <v>Ciudad de Dios 1</v>
          </cell>
          <cell r="AH49" t="str">
            <v>Mz G casa 12</v>
          </cell>
          <cell r="AI49" t="str">
            <v>Ciudad de Dios 1</v>
          </cell>
          <cell r="AJ49" t="str">
            <v>JAMUNDI</v>
          </cell>
          <cell r="AK49" t="str">
            <v>VALLE DEL CAUCA</v>
          </cell>
          <cell r="AL49" t="str">
            <v>3167402398</v>
          </cell>
          <cell r="AM49" t="str">
            <v>mariadelcarmenr716@gmail.com</v>
          </cell>
          <cell r="AN49">
            <v>45678.429594907408</v>
          </cell>
          <cell r="AO49">
            <v>23593</v>
          </cell>
          <cell r="AP49">
            <v>0</v>
          </cell>
          <cell r="AQ49">
            <v>23593</v>
          </cell>
          <cell r="AR49">
            <v>500</v>
          </cell>
          <cell r="AS49">
            <v>24093</v>
          </cell>
          <cell r="AT49" t="str">
            <v>84151111335</v>
          </cell>
          <cell r="AU49">
            <v>1</v>
          </cell>
          <cell r="AV49" t="str">
            <v>COORDINADORA</v>
          </cell>
          <cell r="AW49" t="str">
            <v>Normal</v>
          </cell>
          <cell r="AX49">
            <v>2</v>
          </cell>
          <cell r="AY49">
            <v>45680.716053240743</v>
          </cell>
          <cell r="AZ49" t="str">
            <v>En tránsito</v>
          </cell>
          <cell r="BA49" t="str">
            <v>En ciudad destino</v>
          </cell>
          <cell r="BB49">
            <v>45678.716053240743</v>
          </cell>
          <cell r="BE49" t="str">
            <v>sin recaudo</v>
          </cell>
        </row>
        <row r="50">
          <cell r="G50" t="str">
            <v>2994921 -84151093719</v>
          </cell>
          <cell r="H50">
            <v>2300000</v>
          </cell>
          <cell r="I50" t="str">
            <v>30</v>
          </cell>
          <cell r="J50" t="str">
            <v>114</v>
          </cell>
          <cell r="K50" t="str">
            <v>19</v>
          </cell>
          <cell r="L50" t="str">
            <v>33</v>
          </cell>
          <cell r="M50">
            <v>45659</v>
          </cell>
          <cell r="N50" t="str">
            <v>62398857</v>
          </cell>
          <cell r="O50" t="str">
            <v>Orden 2363 Standing</v>
          </cell>
          <cell r="P50" t="str">
            <v>Paula</v>
          </cell>
          <cell r="Q50" t="str">
            <v>Tobar</v>
          </cell>
          <cell r="R50" t="str">
            <v>TECU.CO S.A.S</v>
          </cell>
          <cell r="S50" t="str">
            <v>calle 24 # 15-32</v>
          </cell>
          <cell r="U50" t="str">
            <v>Cafetero</v>
          </cell>
          <cell r="V50" t="str">
            <v>Primer piso</v>
          </cell>
          <cell r="W50" t="str">
            <v>Escuela Olaya Herrera</v>
          </cell>
          <cell r="X50" t="str">
            <v>ARMENIA</v>
          </cell>
          <cell r="Y50" t="str">
            <v>QUINDIO</v>
          </cell>
          <cell r="Z50" t="str">
            <v>3197269827</v>
          </cell>
          <cell r="AA50" t="str">
            <v>operaciones@tecu.co</v>
          </cell>
          <cell r="AB50" t="str">
            <v>Alejandro</v>
          </cell>
          <cell r="AC50" t="str">
            <v>Orozco Mont</v>
          </cell>
          <cell r="AD50" t="str">
            <v>Alejandro</v>
          </cell>
          <cell r="AE50" t="str">
            <v>Cra 17 #95-10</v>
          </cell>
          <cell r="AG50" t="str">
            <v>Chico norte II</v>
          </cell>
          <cell r="AH50" t="str">
            <v>Apto 702 Edif Inkantu</v>
          </cell>
          <cell r="AI50" t="str">
            <v>Chico norte II</v>
          </cell>
          <cell r="AJ50" t="str">
            <v>BOGOTA</v>
          </cell>
          <cell r="AK50" t="str">
            <v>CUNDINAMARCA</v>
          </cell>
          <cell r="AL50" t="str">
            <v>3115190832</v>
          </cell>
          <cell r="AM50" t="str">
            <v>al.orozco31@gmail.com</v>
          </cell>
          <cell r="AN50">
            <v>45659.380543981482</v>
          </cell>
          <cell r="AO50">
            <v>28241</v>
          </cell>
          <cell r="AP50">
            <v>0</v>
          </cell>
          <cell r="AQ50">
            <v>28241</v>
          </cell>
          <cell r="AR50">
            <v>14680</v>
          </cell>
          <cell r="AS50">
            <v>42921</v>
          </cell>
          <cell r="AT50" t="str">
            <v>84151093719</v>
          </cell>
          <cell r="AU50">
            <v>1</v>
          </cell>
          <cell r="AV50" t="str">
            <v>COORDINADORA</v>
          </cell>
          <cell r="AW50" t="str">
            <v>Normal</v>
          </cell>
          <cell r="AX50">
            <v>3</v>
          </cell>
          <cell r="AY50">
            <v>45664.606111111112</v>
          </cell>
          <cell r="AZ50" t="str">
            <v>Entregado</v>
          </cell>
          <cell r="BA50" t="str">
            <v>Entregada</v>
          </cell>
          <cell r="BB50">
            <v>45659.606111111112</v>
          </cell>
          <cell r="BC50" t="str">
            <v>José Hernández</v>
          </cell>
          <cell r="BD50">
            <v>45660.720601851863</v>
          </cell>
          <cell r="BE50" t="str">
            <v>sin recaudo</v>
          </cell>
        </row>
        <row r="51">
          <cell r="G51" t="str">
            <v>2994922 -84151093720</v>
          </cell>
          <cell r="H51">
            <v>50000</v>
          </cell>
          <cell r="I51" t="str">
            <v>18</v>
          </cell>
          <cell r="J51" t="str">
            <v>154</v>
          </cell>
          <cell r="K51" t="str">
            <v>5</v>
          </cell>
          <cell r="L51" t="str">
            <v>74</v>
          </cell>
          <cell r="M51">
            <v>45659</v>
          </cell>
          <cell r="N51" t="str">
            <v>62398857</v>
          </cell>
          <cell r="O51" t="str">
            <v>Orden 2363 Superficie</v>
          </cell>
          <cell r="P51" t="str">
            <v>Paula</v>
          </cell>
          <cell r="Q51" t="str">
            <v>Tobar</v>
          </cell>
          <cell r="R51" t="str">
            <v>TECU.CO S.A.S</v>
          </cell>
          <cell r="S51" t="str">
            <v>calle 24 # 15-32</v>
          </cell>
          <cell r="U51" t="str">
            <v>Cafetero</v>
          </cell>
          <cell r="V51" t="str">
            <v>Primer piso</v>
          </cell>
          <cell r="W51" t="str">
            <v>Escuela Olaya Herrera</v>
          </cell>
          <cell r="X51" t="str">
            <v>ARMENIA</v>
          </cell>
          <cell r="Y51" t="str">
            <v>QUINDIO</v>
          </cell>
          <cell r="Z51" t="str">
            <v>3197269827</v>
          </cell>
          <cell r="AA51" t="str">
            <v>operaciones@tecu.co</v>
          </cell>
          <cell r="AB51" t="str">
            <v>Alejandro</v>
          </cell>
          <cell r="AC51" t="str">
            <v>Orozco Mont</v>
          </cell>
          <cell r="AD51" t="str">
            <v>Alejandro</v>
          </cell>
          <cell r="AE51" t="str">
            <v>Cra 17 #95-10</v>
          </cell>
          <cell r="AG51" t="str">
            <v>Chico norte II</v>
          </cell>
          <cell r="AH51" t="str">
            <v>Apto 702 Edif Inkantu</v>
          </cell>
          <cell r="AI51" t="str">
            <v>Chico norte II</v>
          </cell>
          <cell r="AJ51" t="str">
            <v>BOGOTA</v>
          </cell>
          <cell r="AK51" t="str">
            <v>CUNDINAMARCA</v>
          </cell>
          <cell r="AL51" t="str">
            <v>3115190832</v>
          </cell>
          <cell r="AM51" t="str">
            <v>al.orozco31@gmail.com</v>
          </cell>
          <cell r="AN51">
            <v>45659.380624999998</v>
          </cell>
          <cell r="AO51">
            <v>23593</v>
          </cell>
          <cell r="AP51">
            <v>0</v>
          </cell>
          <cell r="AQ51">
            <v>23593</v>
          </cell>
          <cell r="AR51">
            <v>500</v>
          </cell>
          <cell r="AS51">
            <v>24093</v>
          </cell>
          <cell r="AT51" t="str">
            <v>84151093720</v>
          </cell>
          <cell r="AU51">
            <v>1</v>
          </cell>
          <cell r="AV51" t="str">
            <v>COORDINADORA</v>
          </cell>
          <cell r="AW51" t="str">
            <v>Normal</v>
          </cell>
          <cell r="AX51">
            <v>2</v>
          </cell>
          <cell r="AY51">
            <v>45663.606111111112</v>
          </cell>
          <cell r="AZ51" t="str">
            <v>Entregado</v>
          </cell>
          <cell r="BA51" t="str">
            <v>Entregada</v>
          </cell>
          <cell r="BB51">
            <v>45659.606111111112</v>
          </cell>
          <cell r="BC51" t="str">
            <v xml:space="preserve">Arecio Rodríguez </v>
          </cell>
          <cell r="BD51">
            <v>45664.462696759263</v>
          </cell>
          <cell r="BE51" t="str">
            <v>sin recaudo</v>
          </cell>
        </row>
        <row r="52">
          <cell r="G52" t="str">
            <v>3002707 -84151097113</v>
          </cell>
          <cell r="H52">
            <v>2300000</v>
          </cell>
          <cell r="I52" t="str">
            <v>30</v>
          </cell>
          <cell r="J52" t="str">
            <v>114</v>
          </cell>
          <cell r="K52" t="str">
            <v>19</v>
          </cell>
          <cell r="L52" t="str">
            <v>33</v>
          </cell>
          <cell r="M52">
            <v>45664</v>
          </cell>
          <cell r="N52" t="str">
            <v>62469110</v>
          </cell>
          <cell r="O52" t="str">
            <v>Orden 2373 Standing</v>
          </cell>
          <cell r="P52" t="str">
            <v>Paula</v>
          </cell>
          <cell r="Q52" t="str">
            <v>Tobar</v>
          </cell>
          <cell r="R52" t="str">
            <v>TECU.CO S.A.S</v>
          </cell>
          <cell r="S52" t="str">
            <v>calle 24 # 15-32</v>
          </cell>
          <cell r="U52" t="str">
            <v>Cafetero</v>
          </cell>
          <cell r="V52" t="str">
            <v>Primer piso</v>
          </cell>
          <cell r="W52" t="str">
            <v>Escuela Olaya Herrera</v>
          </cell>
          <cell r="X52" t="str">
            <v>ARMENIA</v>
          </cell>
          <cell r="Y52" t="str">
            <v>QUINDIO</v>
          </cell>
          <cell r="Z52" t="str">
            <v>3197269827</v>
          </cell>
          <cell r="AA52" t="str">
            <v>operaciones@tecu.co</v>
          </cell>
          <cell r="AB52" t="str">
            <v>Nicolas</v>
          </cell>
          <cell r="AC52" t="str">
            <v>Becerra</v>
          </cell>
          <cell r="AD52" t="str">
            <v>Nicolas</v>
          </cell>
          <cell r="AE52" t="str">
            <v>cra 19a # 86a-16</v>
          </cell>
          <cell r="AG52" t="str">
            <v>antiguo country</v>
          </cell>
          <cell r="AH52" t="str">
            <v>Apto 401 edf Kubik Virre</v>
          </cell>
          <cell r="AI52" t="str">
            <v>antiguo country</v>
          </cell>
          <cell r="AJ52" t="str">
            <v>BOGOTA</v>
          </cell>
          <cell r="AK52" t="str">
            <v>CUNDINAMARCA</v>
          </cell>
          <cell r="AL52" t="str">
            <v>3006198724</v>
          </cell>
          <cell r="AM52" t="str">
            <v>nicolasbeur@gmail.com</v>
          </cell>
          <cell r="AN52">
            <v>45664.405682870369</v>
          </cell>
          <cell r="AO52">
            <v>28241</v>
          </cell>
          <cell r="AP52">
            <v>0</v>
          </cell>
          <cell r="AQ52">
            <v>28241</v>
          </cell>
          <cell r="AR52">
            <v>14680</v>
          </cell>
          <cell r="AS52">
            <v>42921</v>
          </cell>
          <cell r="AT52" t="str">
            <v>84151097113</v>
          </cell>
          <cell r="AU52">
            <v>1</v>
          </cell>
          <cell r="AV52" t="str">
            <v>COORDINADORA</v>
          </cell>
          <cell r="AW52" t="str">
            <v>Normal</v>
          </cell>
          <cell r="AX52">
            <v>3</v>
          </cell>
          <cell r="AY52">
            <v>45667.709537037037</v>
          </cell>
          <cell r="AZ52" t="str">
            <v>Entregado</v>
          </cell>
          <cell r="BA52" t="str">
            <v>Entregada</v>
          </cell>
          <cell r="BB52">
            <v>45664.709537037037</v>
          </cell>
          <cell r="BC52" t="str">
            <v xml:space="preserve">Jhon Contreras </v>
          </cell>
          <cell r="BD52">
            <v>45665.742372685178</v>
          </cell>
          <cell r="BE52" t="str">
            <v>sin recaudo</v>
          </cell>
        </row>
        <row r="53">
          <cell r="G53" t="str">
            <v>3002708 -84151097114</v>
          </cell>
          <cell r="H53">
            <v>50000</v>
          </cell>
          <cell r="I53" t="str">
            <v>18</v>
          </cell>
          <cell r="J53" t="str">
            <v>154</v>
          </cell>
          <cell r="K53" t="str">
            <v>5</v>
          </cell>
          <cell r="L53" t="str">
            <v>74</v>
          </cell>
          <cell r="M53">
            <v>45664</v>
          </cell>
          <cell r="N53" t="str">
            <v>62469110</v>
          </cell>
          <cell r="O53" t="str">
            <v>Orden 2373 Superficie</v>
          </cell>
          <cell r="P53" t="str">
            <v>Paula</v>
          </cell>
          <cell r="Q53" t="str">
            <v>Tobar</v>
          </cell>
          <cell r="R53" t="str">
            <v>TECU.CO S.A.S</v>
          </cell>
          <cell r="S53" t="str">
            <v>calle 24 # 15-32</v>
          </cell>
          <cell r="U53" t="str">
            <v>Cafetero</v>
          </cell>
          <cell r="V53" t="str">
            <v>Primer piso</v>
          </cell>
          <cell r="W53" t="str">
            <v>Escuela Olaya Herrera</v>
          </cell>
          <cell r="X53" t="str">
            <v>ARMENIA</v>
          </cell>
          <cell r="Y53" t="str">
            <v>QUINDIO</v>
          </cell>
          <cell r="Z53" t="str">
            <v>3197269827</v>
          </cell>
          <cell r="AA53" t="str">
            <v>operaciones@tecu.co</v>
          </cell>
          <cell r="AB53" t="str">
            <v>Nicolas</v>
          </cell>
          <cell r="AC53" t="str">
            <v>Becerra</v>
          </cell>
          <cell r="AD53" t="str">
            <v>Nicolas</v>
          </cell>
          <cell r="AE53" t="str">
            <v>cra 19a # 86a-16</v>
          </cell>
          <cell r="AG53" t="str">
            <v>antiguo country</v>
          </cell>
          <cell r="AH53" t="str">
            <v>Apto 401 edf Kubik Virre</v>
          </cell>
          <cell r="AI53" t="str">
            <v>antiguo country</v>
          </cell>
          <cell r="AJ53" t="str">
            <v>BOGOTA</v>
          </cell>
          <cell r="AK53" t="str">
            <v>CUNDINAMARCA</v>
          </cell>
          <cell r="AL53" t="str">
            <v>3006198724</v>
          </cell>
          <cell r="AM53" t="str">
            <v>nicolasbeur@gmail.com</v>
          </cell>
          <cell r="AN53">
            <v>45664.405763888892</v>
          </cell>
          <cell r="AO53">
            <v>23593</v>
          </cell>
          <cell r="AP53">
            <v>0</v>
          </cell>
          <cell r="AQ53">
            <v>23593</v>
          </cell>
          <cell r="AR53">
            <v>500</v>
          </cell>
          <cell r="AS53">
            <v>24093</v>
          </cell>
          <cell r="AT53" t="str">
            <v>84151097114</v>
          </cell>
          <cell r="AU53">
            <v>1</v>
          </cell>
          <cell r="AV53" t="str">
            <v>COORDINADORA</v>
          </cell>
          <cell r="AW53" t="str">
            <v>Normal</v>
          </cell>
          <cell r="AX53">
            <v>2</v>
          </cell>
          <cell r="AY53">
            <v>45666.709537037037</v>
          </cell>
          <cell r="AZ53" t="str">
            <v>Entregado</v>
          </cell>
          <cell r="BA53" t="str">
            <v>Entregada</v>
          </cell>
          <cell r="BB53">
            <v>45664.709537037037</v>
          </cell>
          <cell r="BC53" t="str">
            <v xml:space="preserve">Jhon Contreras </v>
          </cell>
          <cell r="BD53">
            <v>45665.742372685178</v>
          </cell>
          <cell r="BE53" t="str">
            <v>sin recaudo</v>
          </cell>
        </row>
        <row r="54">
          <cell r="G54" t="str">
            <v>3002714 -84151097123</v>
          </cell>
          <cell r="H54">
            <v>250000</v>
          </cell>
          <cell r="I54" t="str">
            <v>2</v>
          </cell>
          <cell r="J54" t="str">
            <v>81</v>
          </cell>
          <cell r="K54" t="str">
            <v>11</v>
          </cell>
          <cell r="L54" t="str">
            <v>14</v>
          </cell>
          <cell r="M54">
            <v>45664</v>
          </cell>
          <cell r="N54" t="str">
            <v>62469110</v>
          </cell>
          <cell r="O54" t="str">
            <v>Orden 2373 Bandeja Cables</v>
          </cell>
          <cell r="P54" t="str">
            <v>Paula</v>
          </cell>
          <cell r="Q54" t="str">
            <v>Tobar</v>
          </cell>
          <cell r="R54" t="str">
            <v>TECU.CO S.A.S</v>
          </cell>
          <cell r="S54" t="str">
            <v>calle 24 # 15-32</v>
          </cell>
          <cell r="U54" t="str">
            <v>Cafetero</v>
          </cell>
          <cell r="V54" t="str">
            <v>Primer piso</v>
          </cell>
          <cell r="W54" t="str">
            <v>Escuela Olaya Herrera</v>
          </cell>
          <cell r="X54" t="str">
            <v>ARMENIA</v>
          </cell>
          <cell r="Y54" t="str">
            <v>QUINDIO</v>
          </cell>
          <cell r="Z54" t="str">
            <v>3197269827</v>
          </cell>
          <cell r="AA54" t="str">
            <v>operaciones@tecu.co</v>
          </cell>
          <cell r="AB54" t="str">
            <v>Nicolas</v>
          </cell>
          <cell r="AC54" t="str">
            <v>Becerra</v>
          </cell>
          <cell r="AD54" t="str">
            <v>Nicolas</v>
          </cell>
          <cell r="AE54" t="str">
            <v>cra 19a # 86a-16</v>
          </cell>
          <cell r="AG54" t="str">
            <v>antiguo country</v>
          </cell>
          <cell r="AH54" t="str">
            <v>Apto 401 edf Kubik Virre</v>
          </cell>
          <cell r="AI54" t="str">
            <v>antiguo country</v>
          </cell>
          <cell r="AJ54" t="str">
            <v>BOGOTA</v>
          </cell>
          <cell r="AK54" t="str">
            <v>CUNDINAMARCA</v>
          </cell>
          <cell r="AL54" t="str">
            <v>3006198724</v>
          </cell>
          <cell r="AM54" t="str">
            <v>nicolasbeur@gmail.com</v>
          </cell>
          <cell r="AN54">
            <v>45664.407511574071</v>
          </cell>
          <cell r="AO54">
            <v>22920</v>
          </cell>
          <cell r="AP54">
            <v>0</v>
          </cell>
          <cell r="AQ54">
            <v>22920</v>
          </cell>
          <cell r="AR54">
            <v>1965</v>
          </cell>
          <cell r="AS54">
            <v>24885</v>
          </cell>
          <cell r="AT54" t="str">
            <v>84151097123</v>
          </cell>
          <cell r="AU54">
            <v>1</v>
          </cell>
          <cell r="AV54" t="str">
            <v>COORDINADORA</v>
          </cell>
          <cell r="AW54" t="str">
            <v>Normal</v>
          </cell>
          <cell r="AX54">
            <v>3</v>
          </cell>
          <cell r="AY54">
            <v>45667.709537037037</v>
          </cell>
          <cell r="AZ54" t="str">
            <v>Entregado</v>
          </cell>
          <cell r="BA54" t="str">
            <v>Entregada</v>
          </cell>
          <cell r="BB54">
            <v>45664.709537037037</v>
          </cell>
          <cell r="BC54" t="str">
            <v xml:space="preserve">Jhon Contreras </v>
          </cell>
          <cell r="BD54">
            <v>45665.742372685178</v>
          </cell>
          <cell r="BE54" t="str">
            <v>sin recaudo</v>
          </cell>
        </row>
        <row r="55">
          <cell r="G55" t="str">
            <v>3002977 -84151097273</v>
          </cell>
          <cell r="H55">
            <v>200000</v>
          </cell>
          <cell r="I55" t="str">
            <v>2</v>
          </cell>
          <cell r="J55" t="str">
            <v>40</v>
          </cell>
          <cell r="K55" t="str">
            <v>10</v>
          </cell>
          <cell r="L55" t="str">
            <v>10</v>
          </cell>
          <cell r="M55">
            <v>45664</v>
          </cell>
          <cell r="N55" t="str">
            <v>-</v>
          </cell>
          <cell r="O55" t="str">
            <v>Orden 2378 Deskpad largo</v>
          </cell>
          <cell r="P55" t="str">
            <v>Paula</v>
          </cell>
          <cell r="Q55" t="str">
            <v>Tobar</v>
          </cell>
          <cell r="R55" t="str">
            <v>TECU.CO S.A.S</v>
          </cell>
          <cell r="S55" t="str">
            <v>calle 24 # 15-32</v>
          </cell>
          <cell r="U55" t="str">
            <v>Cafetero</v>
          </cell>
          <cell r="V55" t="str">
            <v>Primer piso</v>
          </cell>
          <cell r="W55" t="str">
            <v>Escuela Olaya Herrera</v>
          </cell>
          <cell r="X55" t="str">
            <v>ARMENIA</v>
          </cell>
          <cell r="Y55" t="str">
            <v>QUINDIO</v>
          </cell>
          <cell r="Z55" t="str">
            <v>3197269827</v>
          </cell>
          <cell r="AA55" t="str">
            <v>operaciones@tecu.co</v>
          </cell>
          <cell r="AB55" t="str">
            <v>Andres</v>
          </cell>
          <cell r="AC55" t="str">
            <v>felipe Carreno</v>
          </cell>
          <cell r="AD55" t="str">
            <v>Andres</v>
          </cell>
          <cell r="AE55" t="str">
            <v>cll 80 bis sur # 94 - 80</v>
          </cell>
          <cell r="AG55" t="str">
            <v>San Bernardino  XVII</v>
          </cell>
          <cell r="AH55" t="str">
            <v>Apto 302 T 14 Cunjresd</v>
          </cell>
          <cell r="AI55" t="str">
            <v>San Bernardino  XVII</v>
          </cell>
          <cell r="AJ55" t="str">
            <v>BOGOTA</v>
          </cell>
          <cell r="AK55" t="str">
            <v>CUNDINAMARCA</v>
          </cell>
          <cell r="AL55" t="str">
            <v>3152360475</v>
          </cell>
          <cell r="AM55" t="str">
            <v>andresfelipe5642@hotmail.com</v>
          </cell>
          <cell r="AN55">
            <v>45664.442777777767</v>
          </cell>
          <cell r="AO55">
            <v>15152</v>
          </cell>
          <cell r="AP55">
            <v>0</v>
          </cell>
          <cell r="AQ55">
            <v>15152</v>
          </cell>
          <cell r="AR55">
            <v>1465</v>
          </cell>
          <cell r="AS55">
            <v>16617</v>
          </cell>
          <cell r="AT55" t="str">
            <v>84151097273</v>
          </cell>
          <cell r="AU55">
            <v>1</v>
          </cell>
          <cell r="AV55" t="str">
            <v>COORDINADORA</v>
          </cell>
          <cell r="AW55" t="str">
            <v>Normal</v>
          </cell>
          <cell r="AX55">
            <v>3</v>
          </cell>
          <cell r="AY55">
            <v>45667.709537037037</v>
          </cell>
          <cell r="AZ55" t="str">
            <v>Entregado</v>
          </cell>
          <cell r="BA55" t="str">
            <v>Entregada</v>
          </cell>
          <cell r="BB55">
            <v>45664.709537037037</v>
          </cell>
          <cell r="BC55" t="str">
            <v>jaramillo</v>
          </cell>
          <cell r="BD55">
            <v>45665.680405092593</v>
          </cell>
          <cell r="BE55" t="str">
            <v>sin recaudo</v>
          </cell>
        </row>
        <row r="56">
          <cell r="G56" t="str">
            <v>3003131 -84151097381</v>
          </cell>
          <cell r="H56">
            <v>2300000</v>
          </cell>
          <cell r="I56" t="str">
            <v>28</v>
          </cell>
          <cell r="J56" t="str">
            <v>113</v>
          </cell>
          <cell r="K56" t="str">
            <v>19</v>
          </cell>
          <cell r="L56" t="str">
            <v>33</v>
          </cell>
          <cell r="M56">
            <v>45664</v>
          </cell>
          <cell r="N56" t="str">
            <v>-</v>
          </cell>
          <cell r="O56" t="str">
            <v>Orden 2380 Standing</v>
          </cell>
          <cell r="P56" t="str">
            <v>Paula</v>
          </cell>
          <cell r="Q56" t="str">
            <v>Tobar</v>
          </cell>
          <cell r="R56" t="str">
            <v>TECU.CO S.A.S</v>
          </cell>
          <cell r="S56" t="str">
            <v>calle 24 # 15-32</v>
          </cell>
          <cell r="U56" t="str">
            <v>Cafetero</v>
          </cell>
          <cell r="V56" t="str">
            <v>Primer piso</v>
          </cell>
          <cell r="W56" t="str">
            <v>Escuela Olaya Herrera</v>
          </cell>
          <cell r="X56" t="str">
            <v>ARMENIA</v>
          </cell>
          <cell r="Y56" t="str">
            <v>QUINDIO</v>
          </cell>
          <cell r="Z56" t="str">
            <v>3197269827</v>
          </cell>
          <cell r="AA56" t="str">
            <v>operaciones@tecu.co</v>
          </cell>
          <cell r="AB56" t="str">
            <v>Juan</v>
          </cell>
          <cell r="AC56" t="str">
            <v>Carlos Urbano</v>
          </cell>
          <cell r="AD56" t="str">
            <v>Juan</v>
          </cell>
          <cell r="AE56" t="str">
            <v>calle 7 no 90 - 64</v>
          </cell>
          <cell r="AG56" t="str">
            <v>Tintal</v>
          </cell>
          <cell r="AH56" t="str">
            <v>Apto 626 torre 7</v>
          </cell>
          <cell r="AI56" t="str">
            <v>Tintal</v>
          </cell>
          <cell r="AJ56" t="str">
            <v>BOGOTA</v>
          </cell>
          <cell r="AK56" t="str">
            <v>CUNDINAMARCA</v>
          </cell>
          <cell r="AL56" t="str">
            <v>3008002127</v>
          </cell>
          <cell r="AM56" t="str">
            <v>juan.jjuanmon12@gmail.com</v>
          </cell>
          <cell r="AN56">
            <v>45664.458009259259</v>
          </cell>
          <cell r="AO56">
            <v>26913</v>
          </cell>
          <cell r="AP56">
            <v>0</v>
          </cell>
          <cell r="AQ56">
            <v>26913</v>
          </cell>
          <cell r="AR56">
            <v>14680</v>
          </cell>
          <cell r="AS56">
            <v>41593</v>
          </cell>
          <cell r="AT56" t="str">
            <v>84151097381</v>
          </cell>
          <cell r="AU56">
            <v>1</v>
          </cell>
          <cell r="AV56" t="str">
            <v>COORDINADORA</v>
          </cell>
          <cell r="AW56" t="str">
            <v>Normal</v>
          </cell>
          <cell r="AX56">
            <v>3</v>
          </cell>
          <cell r="AY56">
            <v>45667.709537037037</v>
          </cell>
          <cell r="AZ56" t="str">
            <v>Entregado</v>
          </cell>
          <cell r="BA56" t="str">
            <v>Entregada</v>
          </cell>
          <cell r="BB56">
            <v>45664.709537037037</v>
          </cell>
          <cell r="BC56" t="str">
            <v>Juan urbano</v>
          </cell>
          <cell r="BD56">
            <v>45665.645509259259</v>
          </cell>
          <cell r="BE56" t="str">
            <v>sin recaudo</v>
          </cell>
        </row>
        <row r="57">
          <cell r="G57" t="str">
            <v>3003134 -84151097383</v>
          </cell>
          <cell r="H57">
            <v>50000</v>
          </cell>
          <cell r="I57" t="str">
            <v>18</v>
          </cell>
          <cell r="J57" t="str">
            <v>154</v>
          </cell>
          <cell r="K57" t="str">
            <v>5</v>
          </cell>
          <cell r="L57" t="str">
            <v>74</v>
          </cell>
          <cell r="M57">
            <v>45664</v>
          </cell>
          <cell r="N57" t="str">
            <v>-</v>
          </cell>
          <cell r="O57" t="str">
            <v>Orden 2380 Superficie</v>
          </cell>
          <cell r="P57" t="str">
            <v>Paula</v>
          </cell>
          <cell r="Q57" t="str">
            <v>Tobar</v>
          </cell>
          <cell r="R57" t="str">
            <v>TECU.CO S.A.S</v>
          </cell>
          <cell r="S57" t="str">
            <v>calle 24 # 15-32</v>
          </cell>
          <cell r="U57" t="str">
            <v>Cafetero</v>
          </cell>
          <cell r="V57" t="str">
            <v>Primer piso</v>
          </cell>
          <cell r="W57" t="str">
            <v>Escuela Olaya Herrera</v>
          </cell>
          <cell r="X57" t="str">
            <v>ARMENIA</v>
          </cell>
          <cell r="Y57" t="str">
            <v>QUINDIO</v>
          </cell>
          <cell r="Z57" t="str">
            <v>3197269827</v>
          </cell>
          <cell r="AA57" t="str">
            <v>operaciones@tecu.co</v>
          </cell>
          <cell r="AB57" t="str">
            <v>Juan</v>
          </cell>
          <cell r="AC57" t="str">
            <v>Carlos Urbano</v>
          </cell>
          <cell r="AD57" t="str">
            <v>Juan</v>
          </cell>
          <cell r="AE57" t="str">
            <v>calle 7 no 90 - 64</v>
          </cell>
          <cell r="AG57" t="str">
            <v>Tintal</v>
          </cell>
          <cell r="AH57" t="str">
            <v>Apto 626 torre 7</v>
          </cell>
          <cell r="AI57" t="str">
            <v>Tintal</v>
          </cell>
          <cell r="AJ57" t="str">
            <v>BOGOTA</v>
          </cell>
          <cell r="AK57" t="str">
            <v>CUNDINAMARCA</v>
          </cell>
          <cell r="AL57" t="str">
            <v>3008002127</v>
          </cell>
          <cell r="AM57" t="str">
            <v>juan.jjuanmon12@gmail.com</v>
          </cell>
          <cell r="AN57">
            <v>45664.458090277767</v>
          </cell>
          <cell r="AO57">
            <v>23593</v>
          </cell>
          <cell r="AP57">
            <v>0</v>
          </cell>
          <cell r="AQ57">
            <v>23593</v>
          </cell>
          <cell r="AR57">
            <v>500</v>
          </cell>
          <cell r="AS57">
            <v>24093</v>
          </cell>
          <cell r="AT57" t="str">
            <v>84151097383</v>
          </cell>
          <cell r="AU57">
            <v>1</v>
          </cell>
          <cell r="AV57" t="str">
            <v>COORDINADORA</v>
          </cell>
          <cell r="AW57" t="str">
            <v>Normal</v>
          </cell>
          <cell r="AX57">
            <v>2</v>
          </cell>
          <cell r="AY57">
            <v>45666.709537037037</v>
          </cell>
          <cell r="AZ57" t="str">
            <v>Entregado</v>
          </cell>
          <cell r="BA57" t="str">
            <v>Entregada</v>
          </cell>
          <cell r="BB57">
            <v>45664.709537037037</v>
          </cell>
          <cell r="BC57" t="str">
            <v>juan</v>
          </cell>
          <cell r="BD57">
            <v>45666.422037037039</v>
          </cell>
          <cell r="BE57" t="str">
            <v>sin recaudo</v>
          </cell>
        </row>
        <row r="58">
          <cell r="G58" t="str">
            <v>3003144 -84151097390</v>
          </cell>
          <cell r="H58">
            <v>250000</v>
          </cell>
          <cell r="I58" t="str">
            <v>2</v>
          </cell>
          <cell r="J58" t="str">
            <v>81</v>
          </cell>
          <cell r="K58" t="str">
            <v>11</v>
          </cell>
          <cell r="L58" t="str">
            <v>14</v>
          </cell>
          <cell r="M58">
            <v>45664</v>
          </cell>
          <cell r="N58" t="str">
            <v>-</v>
          </cell>
          <cell r="O58" t="str">
            <v>Orden 2380 Bandeja Cables</v>
          </cell>
          <cell r="P58" t="str">
            <v>Paula</v>
          </cell>
          <cell r="Q58" t="str">
            <v>Tobar</v>
          </cell>
          <cell r="R58" t="str">
            <v>TECU.CO S.A.S</v>
          </cell>
          <cell r="S58" t="str">
            <v>calle 24 # 15-32</v>
          </cell>
          <cell r="U58" t="str">
            <v>Cafetero</v>
          </cell>
          <cell r="V58" t="str">
            <v>Primer piso</v>
          </cell>
          <cell r="W58" t="str">
            <v>Escuela Olaya Herrera</v>
          </cell>
          <cell r="X58" t="str">
            <v>ARMENIA</v>
          </cell>
          <cell r="Y58" t="str">
            <v>QUINDIO</v>
          </cell>
          <cell r="Z58" t="str">
            <v>3197269827</v>
          </cell>
          <cell r="AA58" t="str">
            <v>operaciones@tecu.co</v>
          </cell>
          <cell r="AB58" t="str">
            <v>Juan</v>
          </cell>
          <cell r="AC58" t="str">
            <v>Carlos Urbano</v>
          </cell>
          <cell r="AD58" t="str">
            <v>Juan</v>
          </cell>
          <cell r="AE58" t="str">
            <v>calle 7 no 90 - 64</v>
          </cell>
          <cell r="AG58" t="str">
            <v>Tintal</v>
          </cell>
          <cell r="AH58" t="str">
            <v>Apto 626 torre 7</v>
          </cell>
          <cell r="AI58" t="str">
            <v>Tintal</v>
          </cell>
          <cell r="AJ58" t="str">
            <v>BOGOTA</v>
          </cell>
          <cell r="AK58" t="str">
            <v>CUNDINAMARCA</v>
          </cell>
          <cell r="AL58" t="str">
            <v>3008002127</v>
          </cell>
          <cell r="AM58" t="str">
            <v>juan.jjuanmon12@gmail.com</v>
          </cell>
          <cell r="AN58">
            <v>45664.459374999999</v>
          </cell>
          <cell r="AO58">
            <v>22920</v>
          </cell>
          <cell r="AP58">
            <v>0</v>
          </cell>
          <cell r="AQ58">
            <v>22920</v>
          </cell>
          <cell r="AR58">
            <v>1965</v>
          </cell>
          <cell r="AS58">
            <v>24885</v>
          </cell>
          <cell r="AT58" t="str">
            <v>84151097390</v>
          </cell>
          <cell r="AU58">
            <v>1</v>
          </cell>
          <cell r="AV58" t="str">
            <v>COORDINADORA</v>
          </cell>
          <cell r="AW58" t="str">
            <v>Normal</v>
          </cell>
          <cell r="AX58">
            <v>3</v>
          </cell>
          <cell r="AY58">
            <v>45667.709537037037</v>
          </cell>
          <cell r="AZ58" t="str">
            <v>Entregado</v>
          </cell>
          <cell r="BA58" t="str">
            <v>Entregada</v>
          </cell>
          <cell r="BB58">
            <v>45664.709537037037</v>
          </cell>
          <cell r="BC58" t="str">
            <v>urango</v>
          </cell>
          <cell r="BD58">
            <v>45666.410046296303</v>
          </cell>
          <cell r="BE58" t="str">
            <v>sin recaudo</v>
          </cell>
        </row>
        <row r="59">
          <cell r="G59" t="str">
            <v>3003158 -84151097402</v>
          </cell>
          <cell r="H59">
            <v>2300000</v>
          </cell>
          <cell r="I59" t="str">
            <v>30</v>
          </cell>
          <cell r="J59" t="str">
            <v>114</v>
          </cell>
          <cell r="K59" t="str">
            <v>19</v>
          </cell>
          <cell r="L59" t="str">
            <v>33</v>
          </cell>
          <cell r="M59">
            <v>45664</v>
          </cell>
          <cell r="N59" t="str">
            <v>62494940</v>
          </cell>
          <cell r="O59" t="str">
            <v>Orden 2371 Standing</v>
          </cell>
          <cell r="P59" t="str">
            <v>Paula</v>
          </cell>
          <cell r="Q59" t="str">
            <v>Tobar</v>
          </cell>
          <cell r="R59" t="str">
            <v>TECU.CO S.A.S</v>
          </cell>
          <cell r="S59" t="str">
            <v>calle 24 # 15-32</v>
          </cell>
          <cell r="U59" t="str">
            <v>Cafetero</v>
          </cell>
          <cell r="V59" t="str">
            <v>Primer piso</v>
          </cell>
          <cell r="W59" t="str">
            <v>Escuela Olaya Herrera</v>
          </cell>
          <cell r="X59" t="str">
            <v>ARMENIA</v>
          </cell>
          <cell r="Y59" t="str">
            <v>QUINDIO</v>
          </cell>
          <cell r="Z59" t="str">
            <v>3197269827</v>
          </cell>
          <cell r="AA59" t="str">
            <v>operaciones@tecu.co</v>
          </cell>
          <cell r="AB59" t="str">
            <v>Christiam</v>
          </cell>
          <cell r="AC59" t="str">
            <v>Bohorquez</v>
          </cell>
          <cell r="AD59" t="str">
            <v>Christiam</v>
          </cell>
          <cell r="AE59" t="str">
            <v>Cra 144 no 143 a 19 piso 3</v>
          </cell>
          <cell r="AG59" t="str">
            <v>Bilbao</v>
          </cell>
          <cell r="AH59" t="str">
            <v>Casa piso 3</v>
          </cell>
          <cell r="AI59" t="str">
            <v>Bilbao</v>
          </cell>
          <cell r="AJ59" t="str">
            <v>BOGOTA</v>
          </cell>
          <cell r="AK59" t="str">
            <v>CUNDINAMARCA</v>
          </cell>
          <cell r="AL59" t="str">
            <v>3112105920</v>
          </cell>
          <cell r="AM59" t="str">
            <v>christiam.bohorquez@gmail.com</v>
          </cell>
          <cell r="AN59">
            <v>45664.461099537039</v>
          </cell>
          <cell r="AO59">
            <v>28241</v>
          </cell>
          <cell r="AP59">
            <v>0</v>
          </cell>
          <cell r="AQ59">
            <v>28241</v>
          </cell>
          <cell r="AR59">
            <v>14680</v>
          </cell>
          <cell r="AS59">
            <v>42921</v>
          </cell>
          <cell r="AT59" t="str">
            <v>84151097402</v>
          </cell>
          <cell r="AU59">
            <v>1</v>
          </cell>
          <cell r="AV59" t="str">
            <v>COORDINADORA</v>
          </cell>
          <cell r="AW59" t="str">
            <v>Normal</v>
          </cell>
          <cell r="AX59">
            <v>3</v>
          </cell>
          <cell r="AY59">
            <v>45670.715833333343</v>
          </cell>
          <cell r="AZ59" t="str">
            <v>Entregado</v>
          </cell>
          <cell r="BA59" t="str">
            <v>Entregada</v>
          </cell>
          <cell r="BB59">
            <v>45665.715833333343</v>
          </cell>
          <cell r="BC59" t="str">
            <v>Cristian Bohorquez</v>
          </cell>
          <cell r="BD59">
            <v>45667.427743055552</v>
          </cell>
          <cell r="BE59" t="str">
            <v>sin recaudo</v>
          </cell>
        </row>
        <row r="60">
          <cell r="G60" t="str">
            <v>3003162 -84151097405</v>
          </cell>
          <cell r="H60">
            <v>50000</v>
          </cell>
          <cell r="I60" t="str">
            <v>20</v>
          </cell>
          <cell r="J60" t="str">
            <v>120</v>
          </cell>
          <cell r="K60" t="str">
            <v>19</v>
          </cell>
          <cell r="L60" t="str">
            <v>33</v>
          </cell>
          <cell r="M60">
            <v>45664</v>
          </cell>
          <cell r="N60" t="str">
            <v>62494940</v>
          </cell>
          <cell r="O60" t="str">
            <v>Orden 2371 Superficie</v>
          </cell>
          <cell r="P60" t="str">
            <v>Paula</v>
          </cell>
          <cell r="Q60" t="str">
            <v>Tobar</v>
          </cell>
          <cell r="R60" t="str">
            <v>TECU.CO S.A.S</v>
          </cell>
          <cell r="S60" t="str">
            <v>calle 24 # 15-32</v>
          </cell>
          <cell r="U60" t="str">
            <v>Cafetero</v>
          </cell>
          <cell r="V60" t="str">
            <v>Primer piso</v>
          </cell>
          <cell r="W60" t="str">
            <v>Escuela Olaya Herrera</v>
          </cell>
          <cell r="X60" t="str">
            <v>ARMENIA</v>
          </cell>
          <cell r="Y60" t="str">
            <v>QUINDIO</v>
          </cell>
          <cell r="Z60" t="str">
            <v>3197269827</v>
          </cell>
          <cell r="AA60" t="str">
            <v>operaciones@tecu.co</v>
          </cell>
          <cell r="AB60" t="str">
            <v>Christiam</v>
          </cell>
          <cell r="AC60" t="str">
            <v>Bohorquez</v>
          </cell>
          <cell r="AD60" t="str">
            <v>Christiam</v>
          </cell>
          <cell r="AE60" t="str">
            <v>Cra 144 no 143 a 19 piso 3</v>
          </cell>
          <cell r="AG60" t="str">
            <v>Bilbao</v>
          </cell>
          <cell r="AH60" t="str">
            <v>Casa piso 3</v>
          </cell>
          <cell r="AI60" t="str">
            <v>Bilbao</v>
          </cell>
          <cell r="AJ60" t="str">
            <v>BOGOTA</v>
          </cell>
          <cell r="AK60" t="str">
            <v>CUNDINAMARCA</v>
          </cell>
          <cell r="AL60" t="str">
            <v>3112105920</v>
          </cell>
          <cell r="AM60" t="str">
            <v>christiam.bohorquez@gmail.com</v>
          </cell>
          <cell r="AN60">
            <v>45664.461192129631</v>
          </cell>
          <cell r="AO60">
            <v>28241</v>
          </cell>
          <cell r="AP60">
            <v>0</v>
          </cell>
          <cell r="AQ60">
            <v>28241</v>
          </cell>
          <cell r="AR60">
            <v>500</v>
          </cell>
          <cell r="AS60">
            <v>28741</v>
          </cell>
          <cell r="AT60" t="str">
            <v>84151097405</v>
          </cell>
          <cell r="AU60">
            <v>1</v>
          </cell>
          <cell r="AV60" t="str">
            <v>COORDINADORA</v>
          </cell>
          <cell r="AW60" t="str">
            <v>Normal</v>
          </cell>
          <cell r="AX60">
            <v>3</v>
          </cell>
          <cell r="AY60">
            <v>45670.715833333343</v>
          </cell>
          <cell r="AZ60" t="str">
            <v>Entregado</v>
          </cell>
          <cell r="BA60" t="str">
            <v>Entregada</v>
          </cell>
          <cell r="BB60">
            <v>45665.715833333343</v>
          </cell>
          <cell r="BC60" t="str">
            <v>Cristian Bohorquez</v>
          </cell>
          <cell r="BD60">
            <v>45667.427743055552</v>
          </cell>
          <cell r="BE60" t="str">
            <v>sin recaudo</v>
          </cell>
        </row>
        <row r="61">
          <cell r="G61" t="str">
            <v>3006333 -84151099203</v>
          </cell>
          <cell r="H61">
            <v>2300000</v>
          </cell>
          <cell r="I61" t="str">
            <v>28</v>
          </cell>
          <cell r="J61" t="str">
            <v>113</v>
          </cell>
          <cell r="K61" t="str">
            <v>19</v>
          </cell>
          <cell r="L61" t="str">
            <v>33</v>
          </cell>
          <cell r="M61">
            <v>45665</v>
          </cell>
          <cell r="N61" t="str">
            <v>-</v>
          </cell>
          <cell r="O61" t="str">
            <v>Orden 2379 Standing</v>
          </cell>
          <cell r="P61" t="str">
            <v>Paula</v>
          </cell>
          <cell r="Q61" t="str">
            <v>Tobar</v>
          </cell>
          <cell r="R61" t="str">
            <v>TECU.CO S.A.S</v>
          </cell>
          <cell r="S61" t="str">
            <v>calle 24 # 15-32</v>
          </cell>
          <cell r="U61" t="str">
            <v>Cafetero</v>
          </cell>
          <cell r="V61" t="str">
            <v>Primer piso</v>
          </cell>
          <cell r="W61" t="str">
            <v>Escuela Olaya Herrera</v>
          </cell>
          <cell r="X61" t="str">
            <v>ARMENIA</v>
          </cell>
          <cell r="Y61" t="str">
            <v>QUINDIO</v>
          </cell>
          <cell r="Z61" t="str">
            <v>3197269827</v>
          </cell>
          <cell r="AA61" t="str">
            <v>operaciones@tecu.co</v>
          </cell>
          <cell r="AB61" t="str">
            <v>Juan</v>
          </cell>
          <cell r="AC61" t="str">
            <v>Guevara</v>
          </cell>
          <cell r="AD61" t="str">
            <v>Juan</v>
          </cell>
          <cell r="AE61" t="str">
            <v>Cra 50 102a-31</v>
          </cell>
          <cell r="AG61" t="str">
            <v>Pasadena</v>
          </cell>
          <cell r="AH61" t="str">
            <v>Apto 203</v>
          </cell>
          <cell r="AI61" t="str">
            <v>Pasadena</v>
          </cell>
          <cell r="AJ61" t="str">
            <v>BOGOTA</v>
          </cell>
          <cell r="AK61" t="str">
            <v>CUNDINAMARCA</v>
          </cell>
          <cell r="AL61" t="str">
            <v>3112133532</v>
          </cell>
          <cell r="AM61" t="str">
            <v>juan.s.guevara@gmail.com</v>
          </cell>
          <cell r="AN61">
            <v>45665.445300925923</v>
          </cell>
          <cell r="AO61">
            <v>26913</v>
          </cell>
          <cell r="AP61">
            <v>0</v>
          </cell>
          <cell r="AQ61">
            <v>26913</v>
          </cell>
          <cell r="AR61">
            <v>14680</v>
          </cell>
          <cell r="AS61">
            <v>41593</v>
          </cell>
          <cell r="AT61" t="str">
            <v>84151099203</v>
          </cell>
          <cell r="AU61">
            <v>1</v>
          </cell>
          <cell r="AV61" t="str">
            <v>COORDINADORA</v>
          </cell>
          <cell r="AW61" t="str">
            <v>Normal</v>
          </cell>
          <cell r="AX61">
            <v>3</v>
          </cell>
          <cell r="AY61">
            <v>45670.715833333343</v>
          </cell>
          <cell r="AZ61" t="str">
            <v>Entregado</v>
          </cell>
          <cell r="BA61" t="str">
            <v>Entregada</v>
          </cell>
          <cell r="BB61">
            <v>45665.715833333343</v>
          </cell>
          <cell r="BC61" t="str">
            <v xml:space="preserve">juan Guevara </v>
          </cell>
          <cell r="BD61">
            <v>45667.759976851848</v>
          </cell>
          <cell r="BE61" t="str">
            <v>sin recaudo</v>
          </cell>
        </row>
        <row r="62">
          <cell r="G62" t="str">
            <v>3006334 -84151099205</v>
          </cell>
          <cell r="H62">
            <v>50000</v>
          </cell>
          <cell r="I62" t="str">
            <v>23</v>
          </cell>
          <cell r="J62" t="str">
            <v>120</v>
          </cell>
          <cell r="K62" t="str">
            <v>74</v>
          </cell>
          <cell r="L62" t="str">
            <v>5</v>
          </cell>
          <cell r="M62">
            <v>45665</v>
          </cell>
          <cell r="N62" t="str">
            <v>-</v>
          </cell>
          <cell r="O62" t="str">
            <v>Orden 2379 Superficie</v>
          </cell>
          <cell r="P62" t="str">
            <v>Paula</v>
          </cell>
          <cell r="Q62" t="str">
            <v>Tobar</v>
          </cell>
          <cell r="R62" t="str">
            <v>TECU.CO S.A.S</v>
          </cell>
          <cell r="S62" t="str">
            <v>calle 24 # 15-32</v>
          </cell>
          <cell r="U62" t="str">
            <v>Cafetero</v>
          </cell>
          <cell r="V62" t="str">
            <v>Primer piso</v>
          </cell>
          <cell r="W62" t="str">
            <v>Escuela Olaya Herrera</v>
          </cell>
          <cell r="X62" t="str">
            <v>ARMENIA</v>
          </cell>
          <cell r="Y62" t="str">
            <v>QUINDIO</v>
          </cell>
          <cell r="Z62" t="str">
            <v>3197269827</v>
          </cell>
          <cell r="AA62" t="str">
            <v>operaciones@tecu.co</v>
          </cell>
          <cell r="AB62" t="str">
            <v>Juan</v>
          </cell>
          <cell r="AC62" t="str">
            <v>Guevara</v>
          </cell>
          <cell r="AD62" t="str">
            <v>Juan</v>
          </cell>
          <cell r="AE62" t="str">
            <v>Cra 50 102a-31</v>
          </cell>
          <cell r="AG62" t="str">
            <v>Pasadena</v>
          </cell>
          <cell r="AH62" t="str">
            <v>Apto 203</v>
          </cell>
          <cell r="AI62" t="str">
            <v>Pasadena</v>
          </cell>
          <cell r="AJ62" t="str">
            <v>BOGOTA</v>
          </cell>
          <cell r="AK62" t="str">
            <v>CUNDINAMARCA</v>
          </cell>
          <cell r="AL62" t="str">
            <v>3112133532</v>
          </cell>
          <cell r="AM62" t="str">
            <v>juan.s.guevara@gmail.com</v>
          </cell>
          <cell r="AN62">
            <v>45665.445381944453</v>
          </cell>
          <cell r="AO62">
            <v>23593</v>
          </cell>
          <cell r="AP62">
            <v>0</v>
          </cell>
          <cell r="AQ62">
            <v>23593</v>
          </cell>
          <cell r="AR62">
            <v>500</v>
          </cell>
          <cell r="AS62">
            <v>24093</v>
          </cell>
          <cell r="AT62" t="str">
            <v>84151099205</v>
          </cell>
          <cell r="AU62">
            <v>1</v>
          </cell>
          <cell r="AV62" t="str">
            <v>COORDINADORA</v>
          </cell>
          <cell r="AW62" t="str">
            <v>Normal</v>
          </cell>
          <cell r="AX62">
            <v>3</v>
          </cell>
          <cell r="AY62">
            <v>45670.715833333343</v>
          </cell>
          <cell r="AZ62" t="str">
            <v>Entregado</v>
          </cell>
          <cell r="BA62" t="str">
            <v>Entregada</v>
          </cell>
          <cell r="BB62">
            <v>45665.715833333343</v>
          </cell>
          <cell r="BC62" t="str">
            <v xml:space="preserve">juan Guevara </v>
          </cell>
          <cell r="BD62">
            <v>45667.759976851848</v>
          </cell>
          <cell r="BE62" t="str">
            <v>sin recaudo</v>
          </cell>
        </row>
        <row r="63">
          <cell r="G63" t="str">
            <v>3006341 -84151099209</v>
          </cell>
          <cell r="H63">
            <v>250000</v>
          </cell>
          <cell r="I63" t="str">
            <v>2</v>
          </cell>
          <cell r="J63" t="str">
            <v>81</v>
          </cell>
          <cell r="K63" t="str">
            <v>11</v>
          </cell>
          <cell r="L63" t="str">
            <v>14</v>
          </cell>
          <cell r="M63">
            <v>45665</v>
          </cell>
          <cell r="N63" t="str">
            <v>-</v>
          </cell>
          <cell r="O63" t="str">
            <v>Orden 2379 Bandeja Cables</v>
          </cell>
          <cell r="P63" t="str">
            <v>Paula</v>
          </cell>
          <cell r="Q63" t="str">
            <v>Tobar</v>
          </cell>
          <cell r="R63" t="str">
            <v>TECU.CO S.A.S</v>
          </cell>
          <cell r="S63" t="str">
            <v>calle 24 # 15-32</v>
          </cell>
          <cell r="U63" t="str">
            <v>Cafetero</v>
          </cell>
          <cell r="V63" t="str">
            <v>Primer piso</v>
          </cell>
          <cell r="W63" t="str">
            <v>Escuela Olaya Herrera</v>
          </cell>
          <cell r="X63" t="str">
            <v>ARMENIA</v>
          </cell>
          <cell r="Y63" t="str">
            <v>QUINDIO</v>
          </cell>
          <cell r="Z63" t="str">
            <v>3197269827</v>
          </cell>
          <cell r="AA63" t="str">
            <v>operaciones@tecu.co</v>
          </cell>
          <cell r="AB63" t="str">
            <v>Juan</v>
          </cell>
          <cell r="AC63" t="str">
            <v>Guevara</v>
          </cell>
          <cell r="AD63" t="str">
            <v>Juan</v>
          </cell>
          <cell r="AE63" t="str">
            <v>Cra 50 102a-31</v>
          </cell>
          <cell r="AG63" t="str">
            <v>Pasadena</v>
          </cell>
          <cell r="AH63" t="str">
            <v>Apto 203</v>
          </cell>
          <cell r="AI63" t="str">
            <v>Pasadena</v>
          </cell>
          <cell r="AJ63" t="str">
            <v>BOGOTA</v>
          </cell>
          <cell r="AK63" t="str">
            <v>CUNDINAMARCA</v>
          </cell>
          <cell r="AL63" t="str">
            <v>3112133532</v>
          </cell>
          <cell r="AM63" t="str">
            <v>juan.s.guevara@gmail.com</v>
          </cell>
          <cell r="AN63">
            <v>45665.446331018517</v>
          </cell>
          <cell r="AO63">
            <v>22920</v>
          </cell>
          <cell r="AP63">
            <v>0</v>
          </cell>
          <cell r="AQ63">
            <v>22920</v>
          </cell>
          <cell r="AR63">
            <v>1965</v>
          </cell>
          <cell r="AS63">
            <v>24885</v>
          </cell>
          <cell r="AT63" t="str">
            <v>84151099209</v>
          </cell>
          <cell r="AU63">
            <v>1</v>
          </cell>
          <cell r="AV63" t="str">
            <v>COORDINADORA</v>
          </cell>
          <cell r="AW63" t="str">
            <v>Normal</v>
          </cell>
          <cell r="AX63">
            <v>3</v>
          </cell>
          <cell r="AY63">
            <v>45670.715833333343</v>
          </cell>
          <cell r="AZ63" t="str">
            <v>Entregado</v>
          </cell>
          <cell r="BA63" t="str">
            <v>Entregada</v>
          </cell>
          <cell r="BB63">
            <v>45665.715833333343</v>
          </cell>
          <cell r="BC63" t="str">
            <v xml:space="preserve">Rosalba pico </v>
          </cell>
          <cell r="BD63">
            <v>45666.660983796297</v>
          </cell>
          <cell r="BE63" t="str">
            <v>sin recaudo</v>
          </cell>
        </row>
        <row r="64">
          <cell r="G64" t="str">
            <v>3006368 -84151099224</v>
          </cell>
          <cell r="H64">
            <v>2800000</v>
          </cell>
          <cell r="I64" t="str">
            <v>28</v>
          </cell>
          <cell r="J64" t="str">
            <v>114</v>
          </cell>
          <cell r="K64" t="str">
            <v>19</v>
          </cell>
          <cell r="L64" t="str">
            <v>60</v>
          </cell>
          <cell r="M64">
            <v>45665</v>
          </cell>
          <cell r="N64" t="str">
            <v>-</v>
          </cell>
          <cell r="O64" t="str">
            <v>Orden 2381 Standing</v>
          </cell>
          <cell r="P64" t="str">
            <v>Paula</v>
          </cell>
          <cell r="Q64" t="str">
            <v>Tobar</v>
          </cell>
          <cell r="R64" t="str">
            <v>TECU.CO S.A.S</v>
          </cell>
          <cell r="S64" t="str">
            <v>calle 24 # 15-32</v>
          </cell>
          <cell r="U64" t="str">
            <v>Cafetero</v>
          </cell>
          <cell r="V64" t="str">
            <v>Primer piso</v>
          </cell>
          <cell r="W64" t="str">
            <v>Escuela Olaya Herrera</v>
          </cell>
          <cell r="X64" t="str">
            <v>ARMENIA</v>
          </cell>
          <cell r="Y64" t="str">
            <v>QUINDIO</v>
          </cell>
          <cell r="Z64" t="str">
            <v>3197269827</v>
          </cell>
          <cell r="AA64" t="str">
            <v>operaciones@tecu.co</v>
          </cell>
          <cell r="AB64" t="str">
            <v>Julian</v>
          </cell>
          <cell r="AC64" t="str">
            <v>Cujabante Vill</v>
          </cell>
          <cell r="AD64" t="str">
            <v>Julian</v>
          </cell>
          <cell r="AE64" t="str">
            <v>calle 106 # 51-02</v>
          </cell>
          <cell r="AG64" t="str">
            <v>Pasadena</v>
          </cell>
          <cell r="AH64" t="str">
            <v>Apto 506</v>
          </cell>
          <cell r="AI64" t="str">
            <v>Pasadena</v>
          </cell>
          <cell r="AJ64" t="str">
            <v>BOGOTA</v>
          </cell>
          <cell r="AK64" t="str">
            <v>CUNDINAMARCA</v>
          </cell>
          <cell r="AL64" t="str">
            <v>3134225401</v>
          </cell>
          <cell r="AM64" t="str">
            <v>juliancujabantevillamil@gmail.com</v>
          </cell>
          <cell r="AN64">
            <v>45665.450995370367</v>
          </cell>
          <cell r="AO64">
            <v>42850</v>
          </cell>
          <cell r="AP64">
            <v>0</v>
          </cell>
          <cell r="AQ64">
            <v>42850</v>
          </cell>
          <cell r="AR64">
            <v>19680</v>
          </cell>
          <cell r="AS64">
            <v>62530</v>
          </cell>
          <cell r="AT64" t="str">
            <v>84151099224</v>
          </cell>
          <cell r="AU64">
            <v>1</v>
          </cell>
          <cell r="AV64" t="str">
            <v>COORDINADORA</v>
          </cell>
          <cell r="AW64" t="str">
            <v>Normal</v>
          </cell>
          <cell r="AX64">
            <v>3</v>
          </cell>
          <cell r="AY64">
            <v>45670.715833333343</v>
          </cell>
          <cell r="AZ64" t="str">
            <v>Entregado</v>
          </cell>
          <cell r="BA64" t="str">
            <v>Entregada</v>
          </cell>
          <cell r="BB64">
            <v>45665.715833333343</v>
          </cell>
          <cell r="BC64" t="str">
            <v xml:space="preserve">elkin </v>
          </cell>
          <cell r="BD64">
            <v>45667.750960648147</v>
          </cell>
          <cell r="BE64" t="str">
            <v>sin recaudo</v>
          </cell>
        </row>
        <row r="65">
          <cell r="G65" t="str">
            <v>3006370 -84151099227</v>
          </cell>
          <cell r="H65">
            <v>50000</v>
          </cell>
          <cell r="I65" t="str">
            <v>23</v>
          </cell>
          <cell r="J65" t="str">
            <v>184</v>
          </cell>
          <cell r="K65" t="str">
            <v>5</v>
          </cell>
          <cell r="L65" t="str">
            <v>74</v>
          </cell>
          <cell r="M65">
            <v>45665</v>
          </cell>
          <cell r="N65" t="str">
            <v>-</v>
          </cell>
          <cell r="O65" t="str">
            <v>Orden 2381 Superficie</v>
          </cell>
          <cell r="P65" t="str">
            <v>Paula</v>
          </cell>
          <cell r="Q65" t="str">
            <v>Tobar</v>
          </cell>
          <cell r="R65" t="str">
            <v>TECU.CO S.A.S</v>
          </cell>
          <cell r="S65" t="str">
            <v>calle 24 # 15-32</v>
          </cell>
          <cell r="U65" t="str">
            <v>Cafetero</v>
          </cell>
          <cell r="V65" t="str">
            <v>Primer piso</v>
          </cell>
          <cell r="W65" t="str">
            <v>Escuela Olaya Herrera</v>
          </cell>
          <cell r="X65" t="str">
            <v>ARMENIA</v>
          </cell>
          <cell r="Y65" t="str">
            <v>QUINDIO</v>
          </cell>
          <cell r="Z65" t="str">
            <v>3197269827</v>
          </cell>
          <cell r="AA65" t="str">
            <v>operaciones@tecu.co</v>
          </cell>
          <cell r="AB65" t="str">
            <v>Julian</v>
          </cell>
          <cell r="AC65" t="str">
            <v>Cujabante Vill</v>
          </cell>
          <cell r="AD65" t="str">
            <v>Julian</v>
          </cell>
          <cell r="AE65" t="str">
            <v>calle 106 # 51-02</v>
          </cell>
          <cell r="AG65" t="str">
            <v>Pasadena</v>
          </cell>
          <cell r="AH65" t="str">
            <v>Apto 506</v>
          </cell>
          <cell r="AI65" t="str">
            <v>Pasadena</v>
          </cell>
          <cell r="AJ65" t="str">
            <v>BOGOTA</v>
          </cell>
          <cell r="AK65" t="str">
            <v>CUNDINAMARCA</v>
          </cell>
          <cell r="AL65" t="str">
            <v>3134225401</v>
          </cell>
          <cell r="AM65" t="str">
            <v>juliancujabantevillamil@gmail.com</v>
          </cell>
          <cell r="AN65">
            <v>45665.451064814813</v>
          </cell>
          <cell r="AO65">
            <v>26249</v>
          </cell>
          <cell r="AP65">
            <v>0</v>
          </cell>
          <cell r="AQ65">
            <v>26249</v>
          </cell>
          <cell r="AR65">
            <v>500</v>
          </cell>
          <cell r="AS65">
            <v>26749</v>
          </cell>
          <cell r="AT65" t="str">
            <v>84151099227</v>
          </cell>
          <cell r="AU65">
            <v>1</v>
          </cell>
          <cell r="AV65" t="str">
            <v>COORDINADORA</v>
          </cell>
          <cell r="AW65" t="str">
            <v>Normal</v>
          </cell>
          <cell r="AX65">
            <v>2</v>
          </cell>
          <cell r="AY65">
            <v>45667.715833333343</v>
          </cell>
          <cell r="AZ65" t="str">
            <v>Entregado</v>
          </cell>
          <cell r="BA65" t="str">
            <v>Entregada</v>
          </cell>
          <cell r="BB65">
            <v>45665.715833333343</v>
          </cell>
          <cell r="BC65" t="str">
            <v xml:space="preserve">elkin </v>
          </cell>
          <cell r="BD65">
            <v>45667.750960648147</v>
          </cell>
          <cell r="BE65" t="str">
            <v>sin recaudo</v>
          </cell>
        </row>
        <row r="66">
          <cell r="G66" t="str">
            <v>3006380 -84151099237</v>
          </cell>
          <cell r="H66">
            <v>700000</v>
          </cell>
          <cell r="I66" t="str">
            <v>8</v>
          </cell>
          <cell r="J66" t="str">
            <v>20</v>
          </cell>
          <cell r="K66" t="str">
            <v>100</v>
          </cell>
          <cell r="L66" t="str">
            <v>45</v>
          </cell>
          <cell r="M66">
            <v>45665</v>
          </cell>
          <cell r="N66" t="str">
            <v>-</v>
          </cell>
          <cell r="O66" t="str">
            <v>Orden 2381 Bandeja Piano</v>
          </cell>
          <cell r="P66" t="str">
            <v>Paula</v>
          </cell>
          <cell r="Q66" t="str">
            <v>Tobar</v>
          </cell>
          <cell r="R66" t="str">
            <v>TECU.CO S.A.S</v>
          </cell>
          <cell r="S66" t="str">
            <v>calle 24 # 15-32</v>
          </cell>
          <cell r="U66" t="str">
            <v>Cafetero</v>
          </cell>
          <cell r="V66" t="str">
            <v>Primer piso</v>
          </cell>
          <cell r="W66" t="str">
            <v>Escuela Olaya Herrera</v>
          </cell>
          <cell r="X66" t="str">
            <v>ARMENIA</v>
          </cell>
          <cell r="Y66" t="str">
            <v>QUINDIO</v>
          </cell>
          <cell r="Z66" t="str">
            <v>3197269827</v>
          </cell>
          <cell r="AA66" t="str">
            <v>operaciones@tecu.co</v>
          </cell>
          <cell r="AB66" t="str">
            <v>Julian</v>
          </cell>
          <cell r="AC66" t="str">
            <v>Cujabante Vill</v>
          </cell>
          <cell r="AD66" t="str">
            <v>Julian</v>
          </cell>
          <cell r="AE66" t="str">
            <v>calle 106 # 51-02</v>
          </cell>
          <cell r="AG66" t="str">
            <v>Pasadena</v>
          </cell>
          <cell r="AH66" t="str">
            <v>Apto 506</v>
          </cell>
          <cell r="AI66" t="str">
            <v>Pasadena</v>
          </cell>
          <cell r="AJ66" t="str">
            <v>BOGOTA</v>
          </cell>
          <cell r="AK66" t="str">
            <v>CUNDINAMARCA</v>
          </cell>
          <cell r="AL66" t="str">
            <v>3134225401</v>
          </cell>
          <cell r="AM66" t="str">
            <v>juliancujabantevillamil@gmail.com</v>
          </cell>
          <cell r="AN66">
            <v>45665.452060185176</v>
          </cell>
          <cell r="AO66">
            <v>32225</v>
          </cell>
          <cell r="AP66">
            <v>0</v>
          </cell>
          <cell r="AQ66">
            <v>32225</v>
          </cell>
          <cell r="AR66">
            <v>7000</v>
          </cell>
          <cell r="AS66">
            <v>39225</v>
          </cell>
          <cell r="AT66" t="str">
            <v>84151099237</v>
          </cell>
          <cell r="AU66">
            <v>1</v>
          </cell>
          <cell r="AV66" t="str">
            <v>COORDINADORA</v>
          </cell>
          <cell r="AW66" t="str">
            <v>Normal</v>
          </cell>
          <cell r="AX66">
            <v>3</v>
          </cell>
          <cell r="AY66">
            <v>45670.715833333343</v>
          </cell>
          <cell r="AZ66" t="str">
            <v>Entregado</v>
          </cell>
          <cell r="BA66" t="str">
            <v>Entregada</v>
          </cell>
          <cell r="BB66">
            <v>45665.715833333343</v>
          </cell>
          <cell r="BC66" t="str">
            <v xml:space="preserve">elkin </v>
          </cell>
          <cell r="BD66">
            <v>45667.750960648147</v>
          </cell>
          <cell r="BE66" t="str">
            <v>sin recaudo</v>
          </cell>
        </row>
        <row r="67">
          <cell r="G67" t="str">
            <v>3006387 -84151099241</v>
          </cell>
          <cell r="H67">
            <v>250000</v>
          </cell>
          <cell r="I67" t="str">
            <v>2</v>
          </cell>
          <cell r="J67" t="str">
            <v>81</v>
          </cell>
          <cell r="K67" t="str">
            <v>11</v>
          </cell>
          <cell r="L67" t="str">
            <v>14</v>
          </cell>
          <cell r="M67">
            <v>45665</v>
          </cell>
          <cell r="N67" t="str">
            <v>-</v>
          </cell>
          <cell r="O67" t="str">
            <v>Orden 2381 Bandeja Cables</v>
          </cell>
          <cell r="P67" t="str">
            <v>Paula</v>
          </cell>
          <cell r="Q67" t="str">
            <v>Tobar</v>
          </cell>
          <cell r="R67" t="str">
            <v>TECU.CO S.A.S</v>
          </cell>
          <cell r="S67" t="str">
            <v>calle 24 # 15-32</v>
          </cell>
          <cell r="U67" t="str">
            <v>Cafetero</v>
          </cell>
          <cell r="V67" t="str">
            <v>Primer piso</v>
          </cell>
          <cell r="W67" t="str">
            <v>Escuela Olaya Herrera</v>
          </cell>
          <cell r="X67" t="str">
            <v>ARMENIA</v>
          </cell>
          <cell r="Y67" t="str">
            <v>QUINDIO</v>
          </cell>
          <cell r="Z67" t="str">
            <v>3197269827</v>
          </cell>
          <cell r="AA67" t="str">
            <v>operaciones@tecu.co</v>
          </cell>
          <cell r="AB67" t="str">
            <v>Julian</v>
          </cell>
          <cell r="AC67" t="str">
            <v>Cujabante Vill</v>
          </cell>
          <cell r="AD67" t="str">
            <v>Julian</v>
          </cell>
          <cell r="AE67" t="str">
            <v>calle 106 # 51-02</v>
          </cell>
          <cell r="AG67" t="str">
            <v>Pasadena</v>
          </cell>
          <cell r="AH67" t="str">
            <v>Apto 506</v>
          </cell>
          <cell r="AI67" t="str">
            <v>Pasadena</v>
          </cell>
          <cell r="AJ67" t="str">
            <v>BOGOTA</v>
          </cell>
          <cell r="AK67" t="str">
            <v>CUNDINAMARCA</v>
          </cell>
          <cell r="AL67" t="str">
            <v>3134225401</v>
          </cell>
          <cell r="AM67" t="str">
            <v>juliancujabantevillamil@gmail.com</v>
          </cell>
          <cell r="AN67">
            <v>45665.453032407408</v>
          </cell>
          <cell r="AO67">
            <v>22920</v>
          </cell>
          <cell r="AP67">
            <v>0</v>
          </cell>
          <cell r="AQ67">
            <v>22920</v>
          </cell>
          <cell r="AR67">
            <v>1965</v>
          </cell>
          <cell r="AS67">
            <v>24885</v>
          </cell>
          <cell r="AT67" t="str">
            <v>84151099241</v>
          </cell>
          <cell r="AU67">
            <v>1</v>
          </cell>
          <cell r="AV67" t="str">
            <v>COORDINADORA</v>
          </cell>
          <cell r="AW67" t="str">
            <v>Normal</v>
          </cell>
          <cell r="AX67">
            <v>3</v>
          </cell>
          <cell r="AY67">
            <v>45670.715833333343</v>
          </cell>
          <cell r="AZ67" t="str">
            <v>Entregado</v>
          </cell>
          <cell r="BA67" t="str">
            <v>Entregada</v>
          </cell>
          <cell r="BB67">
            <v>45665.715833333343</v>
          </cell>
          <cell r="BC67" t="str">
            <v xml:space="preserve">Jenny Salinas </v>
          </cell>
          <cell r="BD67">
            <v>45666.689062500001</v>
          </cell>
          <cell r="BE67" t="str">
            <v>sin recaudo</v>
          </cell>
        </row>
        <row r="68">
          <cell r="G68" t="str">
            <v>3006909 -954101121278</v>
          </cell>
          <cell r="H68">
            <v>50000</v>
          </cell>
          <cell r="I68" t="str">
            <v>30</v>
          </cell>
          <cell r="J68" t="str">
            <v>72</v>
          </cell>
          <cell r="K68" t="str">
            <v>43</v>
          </cell>
          <cell r="L68" t="str">
            <v>53</v>
          </cell>
          <cell r="M68">
            <v>45666</v>
          </cell>
          <cell r="N68" t="str">
            <v>95-1061599</v>
          </cell>
          <cell r="O68" t="str">
            <v>Orden 2387 Archivador</v>
          </cell>
          <cell r="P68" t="str">
            <v>Paula</v>
          </cell>
          <cell r="Q68" t="str">
            <v>Tobar</v>
          </cell>
          <cell r="R68" t="str">
            <v>TECU.CO S.A.S</v>
          </cell>
          <cell r="S68" t="str">
            <v>calle 24 # 15-32</v>
          </cell>
          <cell r="U68" t="str">
            <v>Cafetero</v>
          </cell>
          <cell r="V68" t="str">
            <v>Primer piso</v>
          </cell>
          <cell r="W68" t="str">
            <v>Escuela Olaya Herrera</v>
          </cell>
          <cell r="X68" t="str">
            <v>ARMENIA</v>
          </cell>
          <cell r="Y68" t="str">
            <v>QUINDIO</v>
          </cell>
          <cell r="Z68" t="str">
            <v>3197269827</v>
          </cell>
          <cell r="AA68" t="str">
            <v>operaciones@tecu.co</v>
          </cell>
          <cell r="AB68" t="str">
            <v>Miguel</v>
          </cell>
          <cell r="AC68" t="str">
            <v>Saavedra</v>
          </cell>
          <cell r="AD68" t="str">
            <v>Miguel</v>
          </cell>
          <cell r="AE68" t="str">
            <v>cr 54d #134-21</v>
          </cell>
          <cell r="AG68" t="str">
            <v>Bogota</v>
          </cell>
          <cell r="AH68" t="str">
            <v>Apto 703</v>
          </cell>
          <cell r="AI68" t="str">
            <v>Bogota</v>
          </cell>
          <cell r="AJ68" t="str">
            <v>BOGOTA</v>
          </cell>
          <cell r="AK68" t="str">
            <v>CUNDINAMARCA</v>
          </cell>
          <cell r="AL68" t="str">
            <v>3504981056</v>
          </cell>
          <cell r="AM68" t="str">
            <v>miguelernesto911@gmail.com</v>
          </cell>
          <cell r="AN68">
            <v>45665.543912037043</v>
          </cell>
          <cell r="AO68">
            <v>70717</v>
          </cell>
          <cell r="AP68">
            <v>0</v>
          </cell>
          <cell r="AQ68">
            <v>70717</v>
          </cell>
          <cell r="AR68">
            <v>0</v>
          </cell>
          <cell r="AS68">
            <v>70717</v>
          </cell>
          <cell r="AT68" t="str">
            <v>954101121278</v>
          </cell>
          <cell r="AU68">
            <v>1</v>
          </cell>
          <cell r="AV68" t="str">
            <v xml:space="preserve">ENVIA </v>
          </cell>
          <cell r="AW68" t="str">
            <v>Normal</v>
          </cell>
          <cell r="AX68">
            <v>5</v>
          </cell>
          <cell r="AY68">
            <v>45672.714583333327</v>
          </cell>
          <cell r="AZ68" t="str">
            <v>Entregado</v>
          </cell>
          <cell r="BA68" t="str">
            <v>Envio entregado</v>
          </cell>
          <cell r="BB68">
            <v>45665.714583333327</v>
          </cell>
          <cell r="BD68">
            <v>45666.604861111111</v>
          </cell>
          <cell r="BE68" t="str">
            <v>sin recaudo</v>
          </cell>
        </row>
        <row r="69">
          <cell r="G69" t="str">
            <v>3009172 -84151100736</v>
          </cell>
          <cell r="H69">
            <v>2300000</v>
          </cell>
          <cell r="I69" t="str">
            <v>30</v>
          </cell>
          <cell r="J69" t="str">
            <v>114</v>
          </cell>
          <cell r="K69" t="str">
            <v>19</v>
          </cell>
          <cell r="L69" t="str">
            <v>33</v>
          </cell>
          <cell r="M69">
            <v>45667</v>
          </cell>
          <cell r="N69" t="str">
            <v>-</v>
          </cell>
          <cell r="O69" t="str">
            <v>Orden 2385 Standing</v>
          </cell>
          <cell r="P69" t="str">
            <v>Paula</v>
          </cell>
          <cell r="Q69" t="str">
            <v>Tobar</v>
          </cell>
          <cell r="R69" t="str">
            <v>TECU.CO S.A.S</v>
          </cell>
          <cell r="S69" t="str">
            <v>calle 24 # 15-32</v>
          </cell>
          <cell r="U69" t="str">
            <v>Cafetero</v>
          </cell>
          <cell r="V69" t="str">
            <v>Primer piso</v>
          </cell>
          <cell r="W69" t="str">
            <v>Escuela Olaya Herrera</v>
          </cell>
          <cell r="X69" t="str">
            <v>ARMENIA</v>
          </cell>
          <cell r="Y69" t="str">
            <v>QUINDIO</v>
          </cell>
          <cell r="Z69" t="str">
            <v>3197269827</v>
          </cell>
          <cell r="AA69" t="str">
            <v>operaciones@tecu.co</v>
          </cell>
          <cell r="AB69" t="str">
            <v>Diana</v>
          </cell>
          <cell r="AC69" t="str">
            <v>Ruiz</v>
          </cell>
          <cell r="AD69" t="str">
            <v>Diana</v>
          </cell>
          <cell r="AE69" t="str">
            <v>Cra 59a 134 15</v>
          </cell>
          <cell r="AG69" t="str">
            <v>Iberia</v>
          </cell>
          <cell r="AH69" t="str">
            <v>Apto 304 T 1 Prados de la</v>
          </cell>
          <cell r="AI69" t="str">
            <v>Iberia</v>
          </cell>
          <cell r="AJ69" t="str">
            <v>BOGOTA</v>
          </cell>
          <cell r="AK69" t="str">
            <v>CUNDINAMARCA</v>
          </cell>
          <cell r="AL69" t="str">
            <v>3002104747</v>
          </cell>
          <cell r="AM69" t="str">
            <v>dianacruizr@gmail.com</v>
          </cell>
          <cell r="AN69">
            <v>45666.516365740739</v>
          </cell>
          <cell r="AO69">
            <v>28241</v>
          </cell>
          <cell r="AP69">
            <v>0</v>
          </cell>
          <cell r="AQ69">
            <v>28241</v>
          </cell>
          <cell r="AR69">
            <v>14680</v>
          </cell>
          <cell r="AS69">
            <v>42921</v>
          </cell>
          <cell r="AT69" t="str">
            <v>84151100736</v>
          </cell>
          <cell r="AU69">
            <v>1</v>
          </cell>
          <cell r="AV69" t="str">
            <v>COORDINADORA</v>
          </cell>
          <cell r="AW69" t="str">
            <v>Normal</v>
          </cell>
          <cell r="AX69">
            <v>3</v>
          </cell>
          <cell r="AY69">
            <v>45671.726840277777</v>
          </cell>
          <cell r="AZ69" t="str">
            <v>Entregado</v>
          </cell>
          <cell r="BA69" t="str">
            <v>Entregada</v>
          </cell>
          <cell r="BB69">
            <v>45666.726840277777</v>
          </cell>
          <cell r="BC69" t="str">
            <v xml:space="preserve">Diana ruiz </v>
          </cell>
          <cell r="BD69">
            <v>45667.669814814813</v>
          </cell>
          <cell r="BE69" t="str">
            <v>sin recaudo</v>
          </cell>
        </row>
        <row r="70">
          <cell r="G70" t="str">
            <v>3009173 -84151100737</v>
          </cell>
          <cell r="H70">
            <v>50000</v>
          </cell>
          <cell r="I70" t="str">
            <v>18</v>
          </cell>
          <cell r="J70" t="str">
            <v>154</v>
          </cell>
          <cell r="K70" t="str">
            <v>5</v>
          </cell>
          <cell r="L70" t="str">
            <v>74</v>
          </cell>
          <cell r="M70">
            <v>45667</v>
          </cell>
          <cell r="N70" t="str">
            <v>-</v>
          </cell>
          <cell r="O70" t="str">
            <v>Orden 2385 Superficie</v>
          </cell>
          <cell r="P70" t="str">
            <v>Paula</v>
          </cell>
          <cell r="Q70" t="str">
            <v>Tobar</v>
          </cell>
          <cell r="R70" t="str">
            <v>TECU.CO S.A.S</v>
          </cell>
          <cell r="S70" t="str">
            <v>calle 24 # 15-32</v>
          </cell>
          <cell r="U70" t="str">
            <v>Cafetero</v>
          </cell>
          <cell r="V70" t="str">
            <v>Primer piso</v>
          </cell>
          <cell r="W70" t="str">
            <v>Escuela Olaya Herrera</v>
          </cell>
          <cell r="X70" t="str">
            <v>ARMENIA</v>
          </cell>
          <cell r="Y70" t="str">
            <v>QUINDIO</v>
          </cell>
          <cell r="Z70" t="str">
            <v>3197269827</v>
          </cell>
          <cell r="AA70" t="str">
            <v>operaciones@tecu.co</v>
          </cell>
          <cell r="AB70" t="str">
            <v>Diana</v>
          </cell>
          <cell r="AC70" t="str">
            <v>Ruiz</v>
          </cell>
          <cell r="AD70" t="str">
            <v>Diana</v>
          </cell>
          <cell r="AE70" t="str">
            <v>Cra 59a 134 15</v>
          </cell>
          <cell r="AG70" t="str">
            <v>Iberia</v>
          </cell>
          <cell r="AH70" t="str">
            <v>Apto 304 T 1 Prados de la</v>
          </cell>
          <cell r="AI70" t="str">
            <v>Iberia</v>
          </cell>
          <cell r="AJ70" t="str">
            <v>BOGOTA</v>
          </cell>
          <cell r="AK70" t="str">
            <v>CUNDINAMARCA</v>
          </cell>
          <cell r="AL70" t="str">
            <v>3002104747</v>
          </cell>
          <cell r="AM70" t="str">
            <v>dianacruizr@gmail.com</v>
          </cell>
          <cell r="AN70">
            <v>45666.516469907408</v>
          </cell>
          <cell r="AO70">
            <v>23593</v>
          </cell>
          <cell r="AP70">
            <v>0</v>
          </cell>
          <cell r="AQ70">
            <v>23593</v>
          </cell>
          <cell r="AR70">
            <v>500</v>
          </cell>
          <cell r="AS70">
            <v>24093</v>
          </cell>
          <cell r="AT70" t="str">
            <v>84151100737</v>
          </cell>
          <cell r="AU70">
            <v>1</v>
          </cell>
          <cell r="AV70" t="str">
            <v>COORDINADORA</v>
          </cell>
          <cell r="AW70" t="str">
            <v>Normal</v>
          </cell>
          <cell r="AX70">
            <v>2</v>
          </cell>
          <cell r="AY70">
            <v>45670.726840277777</v>
          </cell>
          <cell r="AZ70" t="str">
            <v>Entregado</v>
          </cell>
          <cell r="BA70" t="str">
            <v>Entregada</v>
          </cell>
          <cell r="BB70">
            <v>45666.726840277777</v>
          </cell>
          <cell r="BC70" t="str">
            <v xml:space="preserve">Diana ruiz </v>
          </cell>
          <cell r="BD70">
            <v>45667.669814814813</v>
          </cell>
          <cell r="BE70" t="str">
            <v>sin recaudo</v>
          </cell>
        </row>
        <row r="71">
          <cell r="G71" t="str">
            <v>3011829 -954101123078</v>
          </cell>
          <cell r="H71">
            <v>50000</v>
          </cell>
          <cell r="I71" t="str">
            <v>30</v>
          </cell>
          <cell r="J71" t="str">
            <v>72</v>
          </cell>
          <cell r="K71" t="str">
            <v>43</v>
          </cell>
          <cell r="L71" t="str">
            <v>53</v>
          </cell>
          <cell r="M71">
            <v>45670</v>
          </cell>
          <cell r="N71" t="str">
            <v>95-1061664</v>
          </cell>
          <cell r="O71" t="str">
            <v>Orden 2373 Archivador</v>
          </cell>
          <cell r="P71" t="str">
            <v>Paula</v>
          </cell>
          <cell r="Q71" t="str">
            <v>Tobar</v>
          </cell>
          <cell r="R71" t="str">
            <v>TECU.CO S.A.S</v>
          </cell>
          <cell r="S71" t="str">
            <v>calle 24 # 15-32</v>
          </cell>
          <cell r="U71" t="str">
            <v>Cafetero</v>
          </cell>
          <cell r="V71" t="str">
            <v>Primer piso</v>
          </cell>
          <cell r="W71" t="str">
            <v>Escuela Olaya Herrera</v>
          </cell>
          <cell r="X71" t="str">
            <v>ARMENIA</v>
          </cell>
          <cell r="Y71" t="str">
            <v>QUINDIO</v>
          </cell>
          <cell r="Z71" t="str">
            <v>3197269827</v>
          </cell>
          <cell r="AA71" t="str">
            <v>operaciones@tecu.co</v>
          </cell>
          <cell r="AB71" t="str">
            <v>Nicolas</v>
          </cell>
          <cell r="AC71" t="str">
            <v>Becerra</v>
          </cell>
          <cell r="AD71" t="str">
            <v>Nicolas</v>
          </cell>
          <cell r="AE71" t="str">
            <v>cra 19a # 86a-16,</v>
          </cell>
          <cell r="AG71" t="str">
            <v>antiguo country</v>
          </cell>
          <cell r="AH71" t="str">
            <v>Apto 401 Edf Kubik Virre</v>
          </cell>
          <cell r="AI71" t="str">
            <v>antiguo country</v>
          </cell>
          <cell r="AJ71" t="str">
            <v>BOGOTA</v>
          </cell>
          <cell r="AK71" t="str">
            <v>CUNDINAMARCA</v>
          </cell>
          <cell r="AL71" t="str">
            <v>3006198724</v>
          </cell>
          <cell r="AM71" t="str">
            <v>nicolasbeur@gmail.com</v>
          </cell>
          <cell r="AN71">
            <v>45667.464097222219</v>
          </cell>
          <cell r="AO71">
            <v>70717</v>
          </cell>
          <cell r="AP71">
            <v>0</v>
          </cell>
          <cell r="AQ71">
            <v>70717</v>
          </cell>
          <cell r="AR71">
            <v>0</v>
          </cell>
          <cell r="AS71">
            <v>70717</v>
          </cell>
          <cell r="AT71" t="str">
            <v>954101123078</v>
          </cell>
          <cell r="AU71">
            <v>1</v>
          </cell>
          <cell r="AV71" t="str">
            <v xml:space="preserve">ENVIA </v>
          </cell>
          <cell r="AW71" t="str">
            <v>Normal</v>
          </cell>
          <cell r="AX71">
            <v>5</v>
          </cell>
          <cell r="AY71">
            <v>45674.729166666657</v>
          </cell>
          <cell r="AZ71" t="str">
            <v>Entregado</v>
          </cell>
          <cell r="BA71" t="str">
            <v>Envio entregado</v>
          </cell>
          <cell r="BB71">
            <v>45667.729166666657</v>
          </cell>
          <cell r="BD71">
            <v>45668.486111111109</v>
          </cell>
          <cell r="BE71" t="str">
            <v>sin recaudo</v>
          </cell>
        </row>
        <row r="72">
          <cell r="G72" t="str">
            <v>3023657 -84151107102</v>
          </cell>
          <cell r="H72">
            <v>2300000</v>
          </cell>
          <cell r="I72" t="str">
            <v>28</v>
          </cell>
          <cell r="J72" t="str">
            <v>113</v>
          </cell>
          <cell r="K72" t="str">
            <v>19</v>
          </cell>
          <cell r="L72" t="str">
            <v>33</v>
          </cell>
          <cell r="M72">
            <v>45673</v>
          </cell>
          <cell r="N72" t="str">
            <v>62684963</v>
          </cell>
          <cell r="O72" t="str">
            <v>Orden 2397 Standing</v>
          </cell>
          <cell r="P72" t="str">
            <v>Paula</v>
          </cell>
          <cell r="Q72" t="str">
            <v>Tobar</v>
          </cell>
          <cell r="R72" t="str">
            <v>TECU.CO S.A.S</v>
          </cell>
          <cell r="S72" t="str">
            <v>calle 24 # 15-32</v>
          </cell>
          <cell r="U72" t="str">
            <v>Cafetero</v>
          </cell>
          <cell r="V72" t="str">
            <v>Primer piso</v>
          </cell>
          <cell r="W72" t="str">
            <v>Escuela Olaya Herrera</v>
          </cell>
          <cell r="X72" t="str">
            <v>ARMENIA</v>
          </cell>
          <cell r="Y72" t="str">
            <v>QUINDIO</v>
          </cell>
          <cell r="Z72" t="str">
            <v>3197269827</v>
          </cell>
          <cell r="AA72" t="str">
            <v>operaciones@tecu.co</v>
          </cell>
          <cell r="AB72" t="str">
            <v>Andres</v>
          </cell>
          <cell r="AC72" t="str">
            <v>Felipe Parra R</v>
          </cell>
          <cell r="AD72" t="str">
            <v>Andres</v>
          </cell>
          <cell r="AE72" t="str">
            <v>kr 72b #43-08 sur</v>
          </cell>
          <cell r="AG72" t="str">
            <v>Piso 3</v>
          </cell>
          <cell r="AH72" t="str">
            <v>As</v>
          </cell>
          <cell r="AI72" t="str">
            <v>Piso 3</v>
          </cell>
          <cell r="AJ72" t="str">
            <v>BOGOTA</v>
          </cell>
          <cell r="AK72" t="str">
            <v>CUNDINAMARCA</v>
          </cell>
          <cell r="AL72" t="str">
            <v>3143310052</v>
          </cell>
          <cell r="AM72" t="str">
            <v>andrestupar0@gmail.com</v>
          </cell>
          <cell r="AN72">
            <v>45673.435439814813</v>
          </cell>
          <cell r="AO72">
            <v>26913</v>
          </cell>
          <cell r="AP72">
            <v>0</v>
          </cell>
          <cell r="AQ72">
            <v>26913</v>
          </cell>
          <cell r="AR72">
            <v>14680</v>
          </cell>
          <cell r="AS72">
            <v>41593</v>
          </cell>
          <cell r="AT72" t="str">
            <v>84151107102</v>
          </cell>
          <cell r="AU72">
            <v>1</v>
          </cell>
          <cell r="AV72" t="str">
            <v>COORDINADORA</v>
          </cell>
          <cell r="AW72" t="str">
            <v>Normal</v>
          </cell>
          <cell r="AX72">
            <v>3</v>
          </cell>
          <cell r="AY72">
            <v>45678.694571759261</v>
          </cell>
          <cell r="AZ72" t="str">
            <v>Entregado</v>
          </cell>
          <cell r="BA72" t="str">
            <v>Entregada</v>
          </cell>
          <cell r="BB72">
            <v>45673.694571759261</v>
          </cell>
          <cell r="BC72" t="str">
            <v>andres</v>
          </cell>
          <cell r="BD72">
            <v>45674.681284722217</v>
          </cell>
          <cell r="BE72" t="str">
            <v>sin recaudo</v>
          </cell>
        </row>
        <row r="73">
          <cell r="G73" t="str">
            <v>3023658 -84151107103</v>
          </cell>
          <cell r="H73">
            <v>50000</v>
          </cell>
          <cell r="I73" t="str">
            <v>18</v>
          </cell>
          <cell r="J73" t="str">
            <v>154</v>
          </cell>
          <cell r="K73" t="str">
            <v>5</v>
          </cell>
          <cell r="L73" t="str">
            <v>74</v>
          </cell>
          <cell r="M73">
            <v>45673</v>
          </cell>
          <cell r="N73" t="str">
            <v>62684963</v>
          </cell>
          <cell r="O73" t="str">
            <v>Orden 2397 Superficie</v>
          </cell>
          <cell r="P73" t="str">
            <v>Paula</v>
          </cell>
          <cell r="Q73" t="str">
            <v>Tobar</v>
          </cell>
          <cell r="R73" t="str">
            <v>TECU.CO S.A.S</v>
          </cell>
          <cell r="S73" t="str">
            <v>calle 24 # 15-32</v>
          </cell>
          <cell r="U73" t="str">
            <v>Cafetero</v>
          </cell>
          <cell r="V73" t="str">
            <v>Primer piso</v>
          </cell>
          <cell r="W73" t="str">
            <v>Escuela Olaya Herrera</v>
          </cell>
          <cell r="X73" t="str">
            <v>ARMENIA</v>
          </cell>
          <cell r="Y73" t="str">
            <v>QUINDIO</v>
          </cell>
          <cell r="Z73" t="str">
            <v>3197269827</v>
          </cell>
          <cell r="AA73" t="str">
            <v>operaciones@tecu.co</v>
          </cell>
          <cell r="AB73" t="str">
            <v>Andres</v>
          </cell>
          <cell r="AC73" t="str">
            <v>Felipe Parra R</v>
          </cell>
          <cell r="AD73" t="str">
            <v>Andres</v>
          </cell>
          <cell r="AE73" t="str">
            <v>kr 72b #43-08 sur</v>
          </cell>
          <cell r="AG73" t="str">
            <v>Piso 3</v>
          </cell>
          <cell r="AH73" t="str">
            <v>As</v>
          </cell>
          <cell r="AI73" t="str">
            <v>Piso 3</v>
          </cell>
          <cell r="AJ73" t="str">
            <v>BOGOTA</v>
          </cell>
          <cell r="AK73" t="str">
            <v>CUNDINAMARCA</v>
          </cell>
          <cell r="AL73" t="str">
            <v>3143310052</v>
          </cell>
          <cell r="AM73" t="str">
            <v>andrestupar0@gmail.com</v>
          </cell>
          <cell r="AN73">
            <v>45673.435520833344</v>
          </cell>
          <cell r="AO73">
            <v>23593</v>
          </cell>
          <cell r="AP73">
            <v>0</v>
          </cell>
          <cell r="AQ73">
            <v>23593</v>
          </cell>
          <cell r="AR73">
            <v>500</v>
          </cell>
          <cell r="AS73">
            <v>24093</v>
          </cell>
          <cell r="AT73" t="str">
            <v>84151107103</v>
          </cell>
          <cell r="AU73">
            <v>1</v>
          </cell>
          <cell r="AV73" t="str">
            <v>COORDINADORA</v>
          </cell>
          <cell r="AW73" t="str">
            <v>Normal</v>
          </cell>
          <cell r="AX73">
            <v>2</v>
          </cell>
          <cell r="AY73">
            <v>45677.6953587963</v>
          </cell>
          <cell r="AZ73" t="str">
            <v>Entregado</v>
          </cell>
          <cell r="BA73" t="str">
            <v>Entregada</v>
          </cell>
          <cell r="BB73">
            <v>45673.6953587963</v>
          </cell>
          <cell r="BC73" t="str">
            <v>Jhon parra</v>
          </cell>
          <cell r="BD73">
            <v>45675.587025462963</v>
          </cell>
          <cell r="BE73" t="str">
            <v>sin recaudo</v>
          </cell>
        </row>
        <row r="74">
          <cell r="G74" t="str">
            <v>3023776 -84151107161</v>
          </cell>
          <cell r="H74">
            <v>2300000</v>
          </cell>
          <cell r="I74" t="str">
            <v>28</v>
          </cell>
          <cell r="J74" t="str">
            <v>113</v>
          </cell>
          <cell r="K74" t="str">
            <v>19</v>
          </cell>
          <cell r="L74" t="str">
            <v>33</v>
          </cell>
          <cell r="M74">
            <v>45673</v>
          </cell>
          <cell r="N74" t="str">
            <v>62684963</v>
          </cell>
          <cell r="O74" t="str">
            <v>Orden 2398 Standing</v>
          </cell>
          <cell r="P74" t="str">
            <v>Paula</v>
          </cell>
          <cell r="Q74" t="str">
            <v>Tobar</v>
          </cell>
          <cell r="R74" t="str">
            <v>TECU.CO S.A.S</v>
          </cell>
          <cell r="S74" t="str">
            <v>calle 24 # 15-32</v>
          </cell>
          <cell r="U74" t="str">
            <v>Cafetero</v>
          </cell>
          <cell r="V74" t="str">
            <v>Primer piso</v>
          </cell>
          <cell r="W74" t="str">
            <v>Escuela Olaya Herrera</v>
          </cell>
          <cell r="X74" t="str">
            <v>ARMENIA</v>
          </cell>
          <cell r="Y74" t="str">
            <v>QUINDIO</v>
          </cell>
          <cell r="Z74" t="str">
            <v>3197269827</v>
          </cell>
          <cell r="AA74" t="str">
            <v>operaciones@tecu.co</v>
          </cell>
          <cell r="AB74" t="str">
            <v>Juan</v>
          </cell>
          <cell r="AC74" t="str">
            <v>David Martinez G</v>
          </cell>
          <cell r="AD74" t="str">
            <v>Juan</v>
          </cell>
          <cell r="AE74" t="str">
            <v>Cra 1a #76a-33</v>
          </cell>
          <cell r="AG74" t="str">
            <v>Los Rosales</v>
          </cell>
          <cell r="AH74" t="str">
            <v>Apto 701 Edf Contemporan</v>
          </cell>
          <cell r="AI74" t="str">
            <v>Los Rosales</v>
          </cell>
          <cell r="AJ74" t="str">
            <v>BOGOTA</v>
          </cell>
          <cell r="AK74" t="str">
            <v>CUNDINAMARCA</v>
          </cell>
          <cell r="AL74" t="str">
            <v>3204141661</v>
          </cell>
          <cell r="AM74" t="str">
            <v>jdavidmartinezg@gmail.com</v>
          </cell>
          <cell r="AN74">
            <v>45673.451249999998</v>
          </cell>
          <cell r="AO74">
            <v>26913</v>
          </cell>
          <cell r="AP74">
            <v>0</v>
          </cell>
          <cell r="AQ74">
            <v>26913</v>
          </cell>
          <cell r="AR74">
            <v>14680</v>
          </cell>
          <cell r="AS74">
            <v>41593</v>
          </cell>
          <cell r="AT74" t="str">
            <v>84151107161</v>
          </cell>
          <cell r="AU74">
            <v>1</v>
          </cell>
          <cell r="AV74" t="str">
            <v>COORDINADORA</v>
          </cell>
          <cell r="AW74" t="str">
            <v>Normal</v>
          </cell>
          <cell r="AX74">
            <v>3</v>
          </cell>
          <cell r="AY74">
            <v>45678.694571759261</v>
          </cell>
          <cell r="AZ74" t="str">
            <v>Entregado</v>
          </cell>
          <cell r="BA74" t="str">
            <v>Entregada</v>
          </cell>
          <cell r="BB74">
            <v>45673.694571759261</v>
          </cell>
          <cell r="BC74" t="str">
            <v xml:space="preserve">Nelson Osorio </v>
          </cell>
          <cell r="BD74">
            <v>45675.560590277782</v>
          </cell>
          <cell r="BE74" t="str">
            <v>sin recaudo</v>
          </cell>
        </row>
        <row r="75">
          <cell r="G75" t="str">
            <v>3023777 -84151107162</v>
          </cell>
          <cell r="H75">
            <v>50000</v>
          </cell>
          <cell r="I75" t="str">
            <v>23</v>
          </cell>
          <cell r="J75" t="str">
            <v>120</v>
          </cell>
          <cell r="K75" t="str">
            <v>74</v>
          </cell>
          <cell r="L75" t="str">
            <v>5</v>
          </cell>
          <cell r="M75">
            <v>45673</v>
          </cell>
          <cell r="N75" t="str">
            <v>62684963</v>
          </cell>
          <cell r="O75" t="str">
            <v>Orden 2398 Superficie</v>
          </cell>
          <cell r="P75" t="str">
            <v>Paula</v>
          </cell>
          <cell r="Q75" t="str">
            <v>Tobar</v>
          </cell>
          <cell r="R75" t="str">
            <v>TECU.CO S.A.S</v>
          </cell>
          <cell r="S75" t="str">
            <v>calle 24 # 15-32</v>
          </cell>
          <cell r="U75" t="str">
            <v>Cafetero</v>
          </cell>
          <cell r="V75" t="str">
            <v>Primer piso</v>
          </cell>
          <cell r="W75" t="str">
            <v>Escuela Olaya Herrera</v>
          </cell>
          <cell r="X75" t="str">
            <v>ARMENIA</v>
          </cell>
          <cell r="Y75" t="str">
            <v>QUINDIO</v>
          </cell>
          <cell r="Z75" t="str">
            <v>3197269827</v>
          </cell>
          <cell r="AA75" t="str">
            <v>operaciones@tecu.co</v>
          </cell>
          <cell r="AB75" t="str">
            <v>Juan</v>
          </cell>
          <cell r="AC75" t="str">
            <v>David Martinez G</v>
          </cell>
          <cell r="AD75" t="str">
            <v>Juan</v>
          </cell>
          <cell r="AE75" t="str">
            <v>Cra 1a #76a-33</v>
          </cell>
          <cell r="AG75" t="str">
            <v>Los Rosales</v>
          </cell>
          <cell r="AH75" t="str">
            <v>Apto 701 Edf Contemporan</v>
          </cell>
          <cell r="AI75" t="str">
            <v>Los Rosales</v>
          </cell>
          <cell r="AJ75" t="str">
            <v>BOGOTA</v>
          </cell>
          <cell r="AK75" t="str">
            <v>CUNDINAMARCA</v>
          </cell>
          <cell r="AL75" t="str">
            <v>3204141661</v>
          </cell>
          <cell r="AM75" t="str">
            <v>jdavidmartinezg@gmail.com</v>
          </cell>
          <cell r="AN75">
            <v>45673.451331018521</v>
          </cell>
          <cell r="AO75">
            <v>23593</v>
          </cell>
          <cell r="AP75">
            <v>0</v>
          </cell>
          <cell r="AQ75">
            <v>23593</v>
          </cell>
          <cell r="AR75">
            <v>500</v>
          </cell>
          <cell r="AS75">
            <v>24093</v>
          </cell>
          <cell r="AT75" t="str">
            <v>84151107162</v>
          </cell>
          <cell r="AU75">
            <v>1</v>
          </cell>
          <cell r="AV75" t="str">
            <v>COORDINADORA</v>
          </cell>
          <cell r="AW75" t="str">
            <v>Normal</v>
          </cell>
          <cell r="AX75">
            <v>3</v>
          </cell>
          <cell r="AY75">
            <v>45678.6953587963</v>
          </cell>
          <cell r="AZ75" t="str">
            <v>Entregado</v>
          </cell>
          <cell r="BA75" t="str">
            <v>Entregada</v>
          </cell>
          <cell r="BB75">
            <v>45673.6953587963</v>
          </cell>
          <cell r="BC75" t="str">
            <v xml:space="preserve">Jesús Orozco </v>
          </cell>
          <cell r="BD75">
            <v>45677.606365740743</v>
          </cell>
          <cell r="BE75" t="str">
            <v>sin recaudo</v>
          </cell>
        </row>
        <row r="76">
          <cell r="G76" t="str">
            <v>3026035 -84151108151</v>
          </cell>
          <cell r="H76">
            <v>200000</v>
          </cell>
          <cell r="I76" t="str">
            <v>2</v>
          </cell>
          <cell r="J76" t="str">
            <v>40</v>
          </cell>
          <cell r="K76" t="str">
            <v>10</v>
          </cell>
          <cell r="L76" t="str">
            <v>10</v>
          </cell>
          <cell r="M76">
            <v>45674</v>
          </cell>
          <cell r="N76" t="str">
            <v>62712352</v>
          </cell>
          <cell r="O76" t="str">
            <v>Orden 2400 Deskpad largo</v>
          </cell>
          <cell r="P76" t="str">
            <v>Paula</v>
          </cell>
          <cell r="Q76" t="str">
            <v>Tobar</v>
          </cell>
          <cell r="R76" t="str">
            <v>TECU.CO S.A.S</v>
          </cell>
          <cell r="S76" t="str">
            <v>calle 24 # 15-32</v>
          </cell>
          <cell r="U76" t="str">
            <v>Cafetero</v>
          </cell>
          <cell r="V76" t="str">
            <v>Primer piso</v>
          </cell>
          <cell r="W76" t="str">
            <v>Escuela Olaya Herrera</v>
          </cell>
          <cell r="X76" t="str">
            <v>ARMENIA</v>
          </cell>
          <cell r="Y76" t="str">
            <v>QUINDIO</v>
          </cell>
          <cell r="Z76" t="str">
            <v>3197269827</v>
          </cell>
          <cell r="AA76" t="str">
            <v>operaciones@tecu.co</v>
          </cell>
          <cell r="AB76" t="str">
            <v>Julian</v>
          </cell>
          <cell r="AC76" t="str">
            <v>Cujabante Vill</v>
          </cell>
          <cell r="AD76" t="str">
            <v>Julian</v>
          </cell>
          <cell r="AE76" t="str">
            <v>calle 106 # 51-02</v>
          </cell>
          <cell r="AG76" t="str">
            <v>Pasadena</v>
          </cell>
          <cell r="AH76" t="str">
            <v>Apto 506</v>
          </cell>
          <cell r="AI76" t="str">
            <v>Pasadena</v>
          </cell>
          <cell r="AJ76" t="str">
            <v>BOGOTA</v>
          </cell>
          <cell r="AK76" t="str">
            <v>CUNDINAMARCA</v>
          </cell>
          <cell r="AL76" t="str">
            <v>3134225401</v>
          </cell>
          <cell r="AM76" t="str">
            <v>juliancujabantevillamil@gmail.com</v>
          </cell>
          <cell r="AN76">
            <v>45674.427314814813</v>
          </cell>
          <cell r="AO76">
            <v>15152</v>
          </cell>
          <cell r="AP76">
            <v>0</v>
          </cell>
          <cell r="AQ76">
            <v>15152</v>
          </cell>
          <cell r="AR76">
            <v>1465</v>
          </cell>
          <cell r="AS76">
            <v>16617</v>
          </cell>
          <cell r="AT76" t="str">
            <v>84151108151</v>
          </cell>
          <cell r="AU76">
            <v>1</v>
          </cell>
          <cell r="AV76" t="str">
            <v>COORDINADORA</v>
          </cell>
          <cell r="AW76" t="str">
            <v>Normal</v>
          </cell>
          <cell r="AX76">
            <v>3</v>
          </cell>
          <cell r="AY76">
            <v>45679.630115740743</v>
          </cell>
          <cell r="AZ76" t="str">
            <v>Entregado</v>
          </cell>
          <cell r="BA76" t="str">
            <v>Entregada</v>
          </cell>
          <cell r="BB76">
            <v>45674.630115740743</v>
          </cell>
          <cell r="BC76" t="str">
            <v xml:space="preserve">Leandro López </v>
          </cell>
          <cell r="BD76">
            <v>45677.528506944444</v>
          </cell>
          <cell r="BE76" t="str">
            <v>sin recaudo</v>
          </cell>
        </row>
        <row r="77">
          <cell r="G77" t="str">
            <v>3026040 -84151108154</v>
          </cell>
          <cell r="H77">
            <v>149000</v>
          </cell>
          <cell r="I77" t="str">
            <v>5</v>
          </cell>
          <cell r="J77" t="str">
            <v>15</v>
          </cell>
          <cell r="K77" t="str">
            <v>11</v>
          </cell>
          <cell r="L77" t="str">
            <v>11</v>
          </cell>
          <cell r="M77">
            <v>45674</v>
          </cell>
          <cell r="N77" t="str">
            <v>62712352</v>
          </cell>
          <cell r="O77" t="str">
            <v>Orden 2400 Caja de Ruedas</v>
          </cell>
          <cell r="P77" t="str">
            <v>Paula</v>
          </cell>
          <cell r="Q77" t="str">
            <v>Tobar</v>
          </cell>
          <cell r="R77" t="str">
            <v>TECU.CO S.A.S</v>
          </cell>
          <cell r="S77" t="str">
            <v>calle 24 # 15-32</v>
          </cell>
          <cell r="U77" t="str">
            <v>Cafetero</v>
          </cell>
          <cell r="V77" t="str">
            <v>Primer piso</v>
          </cell>
          <cell r="W77" t="str">
            <v>Escuela Olaya Herrera</v>
          </cell>
          <cell r="X77" t="str">
            <v>ARMENIA</v>
          </cell>
          <cell r="Y77" t="str">
            <v>QUINDIO</v>
          </cell>
          <cell r="Z77" t="str">
            <v>3197269827</v>
          </cell>
          <cell r="AA77" t="str">
            <v>operaciones@tecu.co</v>
          </cell>
          <cell r="AB77" t="str">
            <v>Julian</v>
          </cell>
          <cell r="AC77" t="str">
            <v>Cujabante Vill</v>
          </cell>
          <cell r="AD77" t="str">
            <v>Julian</v>
          </cell>
          <cell r="AE77" t="str">
            <v>calle 106 # 51-02</v>
          </cell>
          <cell r="AG77" t="str">
            <v>Pasadena</v>
          </cell>
          <cell r="AH77" t="str">
            <v>Apto 506</v>
          </cell>
          <cell r="AI77" t="str">
            <v>Pasadena</v>
          </cell>
          <cell r="AJ77" t="str">
            <v>BOGOTA</v>
          </cell>
          <cell r="AK77" t="str">
            <v>CUNDINAMARCA</v>
          </cell>
          <cell r="AL77" t="str">
            <v>3134225401</v>
          </cell>
          <cell r="AM77" t="str">
            <v>juliancujabantevillamil@gmail.com</v>
          </cell>
          <cell r="AN77">
            <v>45674.428541666668</v>
          </cell>
          <cell r="AO77">
            <v>22920</v>
          </cell>
          <cell r="AP77">
            <v>0</v>
          </cell>
          <cell r="AQ77">
            <v>22920</v>
          </cell>
          <cell r="AR77">
            <v>955</v>
          </cell>
          <cell r="AS77">
            <v>23875</v>
          </cell>
          <cell r="AT77" t="str">
            <v>84151108154</v>
          </cell>
          <cell r="AU77">
            <v>1</v>
          </cell>
          <cell r="AV77" t="str">
            <v>COORDINADORA</v>
          </cell>
          <cell r="AW77" t="str">
            <v>Normal</v>
          </cell>
          <cell r="AX77">
            <v>3</v>
          </cell>
          <cell r="AY77">
            <v>45679.630115740743</v>
          </cell>
          <cell r="AZ77" t="str">
            <v>Entregado</v>
          </cell>
          <cell r="BA77" t="str">
            <v>Entregada</v>
          </cell>
          <cell r="BB77">
            <v>45674.630115740743</v>
          </cell>
          <cell r="BC77" t="str">
            <v xml:space="preserve">Leandro López </v>
          </cell>
          <cell r="BD77">
            <v>45677.528506944444</v>
          </cell>
          <cell r="BE77" t="str">
            <v>sin recaudo</v>
          </cell>
        </row>
        <row r="78">
          <cell r="G78" t="str">
            <v>3026126 -84151108195</v>
          </cell>
          <cell r="H78">
            <v>50000</v>
          </cell>
          <cell r="I78" t="str">
            <v>7</v>
          </cell>
          <cell r="J78" t="str">
            <v>93</v>
          </cell>
          <cell r="K78" t="str">
            <v>23</v>
          </cell>
          <cell r="L78" t="str">
            <v>13</v>
          </cell>
          <cell r="M78">
            <v>45674</v>
          </cell>
          <cell r="N78" t="str">
            <v>62712352</v>
          </cell>
          <cell r="O78" t="str">
            <v>Orden 2400 Repisa</v>
          </cell>
          <cell r="P78" t="str">
            <v>Paula</v>
          </cell>
          <cell r="Q78" t="str">
            <v>Tobar</v>
          </cell>
          <cell r="R78" t="str">
            <v>TECU.CO S.A.S</v>
          </cell>
          <cell r="S78" t="str">
            <v>calle 24 # 15-32</v>
          </cell>
          <cell r="U78" t="str">
            <v>Cafetero</v>
          </cell>
          <cell r="V78" t="str">
            <v>Primer piso</v>
          </cell>
          <cell r="W78" t="str">
            <v>Escuela Olaya Herrera</v>
          </cell>
          <cell r="X78" t="str">
            <v>ARMENIA</v>
          </cell>
          <cell r="Y78" t="str">
            <v>QUINDIO</v>
          </cell>
          <cell r="Z78" t="str">
            <v>3197269827</v>
          </cell>
          <cell r="AA78" t="str">
            <v>operaciones@tecu.co</v>
          </cell>
          <cell r="AB78" t="str">
            <v>Julian</v>
          </cell>
          <cell r="AC78" t="str">
            <v>Cujabante Vill</v>
          </cell>
          <cell r="AD78" t="str">
            <v>Julian</v>
          </cell>
          <cell r="AE78" t="str">
            <v>calle 106 # 51-02</v>
          </cell>
          <cell r="AG78" t="str">
            <v>Pasadena</v>
          </cell>
          <cell r="AH78" t="str">
            <v>Apto 506</v>
          </cell>
          <cell r="AI78" t="str">
            <v>Pasadena</v>
          </cell>
          <cell r="AJ78" t="str">
            <v>BOGOTA</v>
          </cell>
          <cell r="AK78" t="str">
            <v>CUNDINAMARCA</v>
          </cell>
          <cell r="AL78" t="str">
            <v>3134225401</v>
          </cell>
          <cell r="AM78" t="str">
            <v>juliancujabantevillamil@gmail.com</v>
          </cell>
          <cell r="AN78">
            <v>45674.453599537039</v>
          </cell>
          <cell r="AO78">
            <v>22929</v>
          </cell>
          <cell r="AP78">
            <v>0</v>
          </cell>
          <cell r="AQ78">
            <v>22929</v>
          </cell>
          <cell r="AR78">
            <v>500</v>
          </cell>
          <cell r="AS78">
            <v>23429</v>
          </cell>
          <cell r="AT78" t="str">
            <v>84151108195</v>
          </cell>
          <cell r="AU78">
            <v>1</v>
          </cell>
          <cell r="AV78" t="str">
            <v>COORDINADORA</v>
          </cell>
          <cell r="AW78" t="str">
            <v>Normal</v>
          </cell>
          <cell r="AX78">
            <v>3</v>
          </cell>
          <cell r="AY78">
            <v>45679.630115740743</v>
          </cell>
          <cell r="AZ78" t="str">
            <v>Entregado</v>
          </cell>
          <cell r="BA78" t="str">
            <v>Entregada</v>
          </cell>
          <cell r="BB78">
            <v>45674.630115740743</v>
          </cell>
          <cell r="BC78" t="str">
            <v xml:space="preserve">Leandro López </v>
          </cell>
          <cell r="BD78">
            <v>45677.528506944444</v>
          </cell>
          <cell r="BE78" t="str">
            <v>sin recaudo</v>
          </cell>
        </row>
        <row r="79">
          <cell r="G79" t="str">
            <v>3026634 -84151108514</v>
          </cell>
          <cell r="H79">
            <v>2300000</v>
          </cell>
          <cell r="I79" t="str">
            <v>28</v>
          </cell>
          <cell r="J79" t="str">
            <v>113</v>
          </cell>
          <cell r="K79" t="str">
            <v>19</v>
          </cell>
          <cell r="L79" t="str">
            <v>33</v>
          </cell>
          <cell r="M79">
            <v>45677</v>
          </cell>
          <cell r="N79" t="str">
            <v>-</v>
          </cell>
          <cell r="O79" t="str">
            <v>Orden 2402 Standing</v>
          </cell>
          <cell r="P79" t="str">
            <v>Paula</v>
          </cell>
          <cell r="Q79" t="str">
            <v>Tobar</v>
          </cell>
          <cell r="R79" t="str">
            <v>TECU.CO S.A.S</v>
          </cell>
          <cell r="S79" t="str">
            <v>calle 24 # 15-32</v>
          </cell>
          <cell r="U79" t="str">
            <v>Cafetero</v>
          </cell>
          <cell r="V79" t="str">
            <v>Primer piso</v>
          </cell>
          <cell r="W79" t="str">
            <v>Escuela Olaya Herrera</v>
          </cell>
          <cell r="X79" t="str">
            <v>ARMENIA</v>
          </cell>
          <cell r="Y79" t="str">
            <v>QUINDIO</v>
          </cell>
          <cell r="Z79" t="str">
            <v>3197269827</v>
          </cell>
          <cell r="AA79" t="str">
            <v>operaciones@tecu.co</v>
          </cell>
          <cell r="AB79" t="str">
            <v>Catalina</v>
          </cell>
          <cell r="AC79" t="str">
            <v>Alvarado</v>
          </cell>
          <cell r="AD79" t="str">
            <v>Catalina</v>
          </cell>
          <cell r="AE79" t="str">
            <v>Cra 9a # 128-40</v>
          </cell>
          <cell r="AG79" t="str">
            <v>El recodo del country</v>
          </cell>
          <cell r="AH79" t="str">
            <v>Apto 1001 T 3 Edf Arbole</v>
          </cell>
          <cell r="AI79" t="str">
            <v>El recodo del country</v>
          </cell>
          <cell r="AJ79" t="str">
            <v>BOGOTA</v>
          </cell>
          <cell r="AK79" t="str">
            <v>CUNDINAMARCA</v>
          </cell>
          <cell r="AL79" t="str">
            <v>3124795397</v>
          </cell>
          <cell r="AM79" t="str">
            <v>catalina.alvarado@hotmail.com</v>
          </cell>
          <cell r="AN79">
            <v>45674.562719907408</v>
          </cell>
          <cell r="AO79">
            <v>26913</v>
          </cell>
          <cell r="AP79">
            <v>0</v>
          </cell>
          <cell r="AQ79">
            <v>26913</v>
          </cell>
          <cell r="AR79">
            <v>14680</v>
          </cell>
          <cell r="AS79">
            <v>41593</v>
          </cell>
          <cell r="AT79" t="str">
            <v>84151108514</v>
          </cell>
          <cell r="AU79">
            <v>1</v>
          </cell>
          <cell r="AV79" t="str">
            <v>COORDINADORA</v>
          </cell>
          <cell r="AW79" t="str">
            <v>Normal</v>
          </cell>
          <cell r="AX79">
            <v>3</v>
          </cell>
          <cell r="AY79">
            <v>45679.630115740743</v>
          </cell>
          <cell r="AZ79" t="str">
            <v>Entregado</v>
          </cell>
          <cell r="BA79" t="str">
            <v>Entregada</v>
          </cell>
          <cell r="BB79">
            <v>45674.630115740743</v>
          </cell>
          <cell r="BC79" t="str">
            <v>José Luis calvo</v>
          </cell>
          <cell r="BD79">
            <v>45677.464814814812</v>
          </cell>
          <cell r="BE79" t="str">
            <v>sin recaudo</v>
          </cell>
        </row>
        <row r="80">
          <cell r="G80" t="str">
            <v>3026635 -84151108515</v>
          </cell>
          <cell r="H80">
            <v>50000</v>
          </cell>
          <cell r="I80" t="str">
            <v>23</v>
          </cell>
          <cell r="J80" t="str">
            <v>120</v>
          </cell>
          <cell r="K80" t="str">
            <v>74</v>
          </cell>
          <cell r="L80" t="str">
            <v>5</v>
          </cell>
          <cell r="M80">
            <v>45677</v>
          </cell>
          <cell r="N80" t="str">
            <v>-</v>
          </cell>
          <cell r="O80" t="str">
            <v>Orden 2402 Superficie</v>
          </cell>
          <cell r="P80" t="str">
            <v>Paula</v>
          </cell>
          <cell r="Q80" t="str">
            <v>Tobar</v>
          </cell>
          <cell r="R80" t="str">
            <v>TECU.CO S.A.S</v>
          </cell>
          <cell r="S80" t="str">
            <v>calle 24 # 15-32</v>
          </cell>
          <cell r="U80" t="str">
            <v>Cafetero</v>
          </cell>
          <cell r="V80" t="str">
            <v>Primer piso</v>
          </cell>
          <cell r="W80" t="str">
            <v>Escuela Olaya Herrera</v>
          </cell>
          <cell r="X80" t="str">
            <v>ARMENIA</v>
          </cell>
          <cell r="Y80" t="str">
            <v>QUINDIO</v>
          </cell>
          <cell r="Z80" t="str">
            <v>3197269827</v>
          </cell>
          <cell r="AA80" t="str">
            <v>operaciones@tecu.co</v>
          </cell>
          <cell r="AB80" t="str">
            <v>Catalina</v>
          </cell>
          <cell r="AC80" t="str">
            <v>Alvarado</v>
          </cell>
          <cell r="AD80" t="str">
            <v>Catalina</v>
          </cell>
          <cell r="AE80" t="str">
            <v>Cra 9a # 128-40</v>
          </cell>
          <cell r="AG80" t="str">
            <v>El recodo del country</v>
          </cell>
          <cell r="AH80" t="str">
            <v>Apto 1001 T 3 Edf Arbole</v>
          </cell>
          <cell r="AI80" t="str">
            <v>El recodo del country</v>
          </cell>
          <cell r="AJ80" t="str">
            <v>BOGOTA</v>
          </cell>
          <cell r="AK80" t="str">
            <v>CUNDINAMARCA</v>
          </cell>
          <cell r="AL80" t="str">
            <v>3124795397</v>
          </cell>
          <cell r="AM80" t="str">
            <v>catalina.alvarado@hotmail.com</v>
          </cell>
          <cell r="AN80">
            <v>45674.562789351847</v>
          </cell>
          <cell r="AO80">
            <v>23593</v>
          </cell>
          <cell r="AP80">
            <v>0</v>
          </cell>
          <cell r="AQ80">
            <v>23593</v>
          </cell>
          <cell r="AR80">
            <v>500</v>
          </cell>
          <cell r="AS80">
            <v>24093</v>
          </cell>
          <cell r="AT80" t="str">
            <v>84151108515</v>
          </cell>
          <cell r="AU80">
            <v>1</v>
          </cell>
          <cell r="AV80" t="str">
            <v>COORDINADORA</v>
          </cell>
          <cell r="AW80" t="str">
            <v>Normal</v>
          </cell>
          <cell r="AX80">
            <v>3</v>
          </cell>
          <cell r="AY80">
            <v>45679.630115740743</v>
          </cell>
          <cell r="AZ80" t="str">
            <v>Entregado</v>
          </cell>
          <cell r="BA80" t="str">
            <v>Entregada</v>
          </cell>
          <cell r="BB80">
            <v>45674.630115740743</v>
          </cell>
          <cell r="BC80" t="str">
            <v>José Luis calvo</v>
          </cell>
          <cell r="BD80">
            <v>45677.463877314818</v>
          </cell>
          <cell r="BE80" t="str">
            <v>sin recaudo</v>
          </cell>
        </row>
        <row r="81">
          <cell r="G81" t="str">
            <v>3026752 -954101129148</v>
          </cell>
          <cell r="H81">
            <v>50000</v>
          </cell>
          <cell r="I81" t="str">
            <v>30</v>
          </cell>
          <cell r="J81" t="str">
            <v>72</v>
          </cell>
          <cell r="K81" t="str">
            <v>43</v>
          </cell>
          <cell r="L81" t="str">
            <v>53</v>
          </cell>
          <cell r="M81">
            <v>45677</v>
          </cell>
          <cell r="N81" t="str">
            <v>95-1061892</v>
          </cell>
          <cell r="O81" t="str">
            <v>Orden 2401 Archivador</v>
          </cell>
          <cell r="P81" t="str">
            <v>Paula</v>
          </cell>
          <cell r="Q81" t="str">
            <v>Tobar</v>
          </cell>
          <cell r="R81" t="str">
            <v>TECU.CO S.A.S</v>
          </cell>
          <cell r="S81" t="str">
            <v>calle 24 # 15-32</v>
          </cell>
          <cell r="U81" t="str">
            <v>Cafetero</v>
          </cell>
          <cell r="V81" t="str">
            <v>Primer piso</v>
          </cell>
          <cell r="W81" t="str">
            <v>Escuela Olaya Herrera</v>
          </cell>
          <cell r="X81" t="str">
            <v>ARMENIA</v>
          </cell>
          <cell r="Y81" t="str">
            <v>QUINDIO</v>
          </cell>
          <cell r="Z81" t="str">
            <v>3197269827</v>
          </cell>
          <cell r="AA81" t="str">
            <v>operaciones@tecu.co</v>
          </cell>
          <cell r="AB81" t="str">
            <v>Julian</v>
          </cell>
          <cell r="AC81" t="str">
            <v>Cujabante Vill</v>
          </cell>
          <cell r="AD81" t="str">
            <v>Julian</v>
          </cell>
          <cell r="AE81" t="str">
            <v>calle 106 # 51-02</v>
          </cell>
          <cell r="AG81" t="str">
            <v>Pasadena</v>
          </cell>
          <cell r="AH81" t="str">
            <v>Apto 506</v>
          </cell>
          <cell r="AI81" t="str">
            <v>Pasadena</v>
          </cell>
          <cell r="AJ81" t="str">
            <v>BOGOTA</v>
          </cell>
          <cell r="AK81" t="str">
            <v>CUNDINAMARCA</v>
          </cell>
          <cell r="AL81" t="str">
            <v>3134225401</v>
          </cell>
          <cell r="AM81" t="str">
            <v>juliancujabantevillamil@gmail.com</v>
          </cell>
          <cell r="AN81">
            <v>45674.58662037037</v>
          </cell>
          <cell r="AO81">
            <v>70717</v>
          </cell>
          <cell r="AP81">
            <v>0</v>
          </cell>
          <cell r="AQ81">
            <v>70717</v>
          </cell>
          <cell r="AR81">
            <v>0</v>
          </cell>
          <cell r="AS81">
            <v>70717</v>
          </cell>
          <cell r="AT81" t="str">
            <v>954101129148</v>
          </cell>
          <cell r="AU81">
            <v>1</v>
          </cell>
          <cell r="AV81" t="str">
            <v xml:space="preserve">ENVIA </v>
          </cell>
          <cell r="AW81" t="str">
            <v>Normal</v>
          </cell>
          <cell r="AX81">
            <v>5</v>
          </cell>
          <cell r="AY81">
            <v>45681.660416666673</v>
          </cell>
          <cell r="AZ81" t="str">
            <v>Entregado</v>
          </cell>
          <cell r="BA81" t="str">
            <v>Envio entregado</v>
          </cell>
          <cell r="BB81">
            <v>45674.660416666673</v>
          </cell>
          <cell r="BD81">
            <v>45675.498611111107</v>
          </cell>
          <cell r="BE81" t="str">
            <v>sin recaudo</v>
          </cell>
        </row>
        <row r="82">
          <cell r="G82" t="str">
            <v>3030945 -84151109872</v>
          </cell>
          <cell r="H82">
            <v>2300000</v>
          </cell>
          <cell r="I82" t="str">
            <v>30</v>
          </cell>
          <cell r="J82" t="str">
            <v>114</v>
          </cell>
          <cell r="K82" t="str">
            <v>19</v>
          </cell>
          <cell r="L82" t="str">
            <v>33</v>
          </cell>
          <cell r="M82">
            <v>45677</v>
          </cell>
          <cell r="N82" t="str">
            <v>62756639</v>
          </cell>
          <cell r="O82" t="str">
            <v>Orden 2403 Standing</v>
          </cell>
          <cell r="P82" t="str">
            <v>Paula</v>
          </cell>
          <cell r="Q82" t="str">
            <v>Tobar</v>
          </cell>
          <cell r="R82" t="str">
            <v>TECU.CO S.A.S</v>
          </cell>
          <cell r="S82" t="str">
            <v>calle 24 # 15-32</v>
          </cell>
          <cell r="U82" t="str">
            <v>Cafetero</v>
          </cell>
          <cell r="V82" t="str">
            <v>Primer piso</v>
          </cell>
          <cell r="W82" t="str">
            <v>Escuela Olaya Herrera</v>
          </cell>
          <cell r="X82" t="str">
            <v>ARMENIA</v>
          </cell>
          <cell r="Y82" t="str">
            <v>QUINDIO</v>
          </cell>
          <cell r="Z82" t="str">
            <v>3197269827</v>
          </cell>
          <cell r="AA82" t="str">
            <v>operaciones@tecu.co</v>
          </cell>
          <cell r="AB82" t="str">
            <v>Alexandra</v>
          </cell>
          <cell r="AC82" t="str">
            <v>Martinez Ru</v>
          </cell>
          <cell r="AD82" t="str">
            <v>Alexandra</v>
          </cell>
          <cell r="AE82" t="str">
            <v>calle 24 # 59 59</v>
          </cell>
          <cell r="AG82" t="str">
            <v>CIUDAD SALITRE ORIENTAL</v>
          </cell>
          <cell r="AH82" t="str">
            <v>Apto  601 Conj Avenida P</v>
          </cell>
          <cell r="AI82" t="str">
            <v>CIUDAD SALITRE ORIENTAL</v>
          </cell>
          <cell r="AJ82" t="str">
            <v>BOGOTA</v>
          </cell>
          <cell r="AK82" t="str">
            <v>CUNDINAMARCA</v>
          </cell>
          <cell r="AL82" t="str">
            <v>3214666898</v>
          </cell>
          <cell r="AM82" t="str">
            <v>alexamartinezr@gmail.com</v>
          </cell>
          <cell r="AN82">
            <v>45677.410717592589</v>
          </cell>
          <cell r="AO82">
            <v>28241</v>
          </cell>
          <cell r="AP82">
            <v>0</v>
          </cell>
          <cell r="AQ82">
            <v>28241</v>
          </cell>
          <cell r="AR82">
            <v>14680</v>
          </cell>
          <cell r="AS82">
            <v>42921</v>
          </cell>
          <cell r="AT82" t="str">
            <v>84151109872</v>
          </cell>
          <cell r="AU82">
            <v>1</v>
          </cell>
          <cell r="AV82" t="str">
            <v>COORDINADORA</v>
          </cell>
          <cell r="AW82" t="str">
            <v>Normal</v>
          </cell>
          <cell r="AX82">
            <v>3</v>
          </cell>
          <cell r="AY82">
            <v>45680.703368055547</v>
          </cell>
          <cell r="AZ82" t="str">
            <v>En ruta de entrega final</v>
          </cell>
          <cell r="BA82" t="str">
            <v>En Reparto</v>
          </cell>
          <cell r="BB82">
            <v>45677.703368055547</v>
          </cell>
          <cell r="BE82" t="str">
            <v>sin recaudo</v>
          </cell>
        </row>
        <row r="83">
          <cell r="G83" t="str">
            <v>3030946 -84151109873</v>
          </cell>
          <cell r="H83">
            <v>50000</v>
          </cell>
          <cell r="I83" t="str">
            <v>20</v>
          </cell>
          <cell r="J83" t="str">
            <v>120</v>
          </cell>
          <cell r="K83" t="str">
            <v>19</v>
          </cell>
          <cell r="L83" t="str">
            <v>33</v>
          </cell>
          <cell r="M83">
            <v>45677</v>
          </cell>
          <cell r="N83" t="str">
            <v>62756639</v>
          </cell>
          <cell r="O83" t="str">
            <v>Orden 2403 Superficie</v>
          </cell>
          <cell r="P83" t="str">
            <v>Paula</v>
          </cell>
          <cell r="Q83" t="str">
            <v>Tobar</v>
          </cell>
          <cell r="R83" t="str">
            <v>TECU.CO S.A.S</v>
          </cell>
          <cell r="S83" t="str">
            <v>calle 24 # 15-32</v>
          </cell>
          <cell r="U83" t="str">
            <v>Cafetero</v>
          </cell>
          <cell r="V83" t="str">
            <v>Primer piso</v>
          </cell>
          <cell r="W83" t="str">
            <v>Escuela Olaya Herrera</v>
          </cell>
          <cell r="X83" t="str">
            <v>ARMENIA</v>
          </cell>
          <cell r="Y83" t="str">
            <v>QUINDIO</v>
          </cell>
          <cell r="Z83" t="str">
            <v>3197269827</v>
          </cell>
          <cell r="AA83" t="str">
            <v>operaciones@tecu.co</v>
          </cell>
          <cell r="AB83" t="str">
            <v>Alexandra</v>
          </cell>
          <cell r="AC83" t="str">
            <v>Martinez Ru</v>
          </cell>
          <cell r="AD83" t="str">
            <v>Alexandra</v>
          </cell>
          <cell r="AE83" t="str">
            <v>calle 24 # 59 59</v>
          </cell>
          <cell r="AG83" t="str">
            <v>CIUDAD SALITRE ORIENTAL</v>
          </cell>
          <cell r="AH83" t="str">
            <v>Apto  601 Conj Avenida P</v>
          </cell>
          <cell r="AI83" t="str">
            <v>CIUDAD SALITRE ORIENTAL</v>
          </cell>
          <cell r="AJ83" t="str">
            <v>BOGOTA</v>
          </cell>
          <cell r="AK83" t="str">
            <v>CUNDINAMARCA</v>
          </cell>
          <cell r="AL83" t="str">
            <v>3214666898</v>
          </cell>
          <cell r="AM83" t="str">
            <v>alexamartinezr@gmail.com</v>
          </cell>
          <cell r="AN83">
            <v>45677.410787037043</v>
          </cell>
          <cell r="AO83">
            <v>28241</v>
          </cell>
          <cell r="AP83">
            <v>0</v>
          </cell>
          <cell r="AQ83">
            <v>28241</v>
          </cell>
          <cell r="AR83">
            <v>500</v>
          </cell>
          <cell r="AS83">
            <v>28741</v>
          </cell>
          <cell r="AT83" t="str">
            <v>84151109873</v>
          </cell>
          <cell r="AU83">
            <v>1</v>
          </cell>
          <cell r="AV83" t="str">
            <v>COORDINADORA</v>
          </cell>
          <cell r="AW83" t="str">
            <v>Normal</v>
          </cell>
          <cell r="AX83">
            <v>3</v>
          </cell>
          <cell r="AY83">
            <v>45680.703368055547</v>
          </cell>
          <cell r="AZ83" t="str">
            <v>Entregado</v>
          </cell>
          <cell r="BA83" t="str">
            <v>Entregada</v>
          </cell>
          <cell r="BB83">
            <v>45677.703368055547</v>
          </cell>
          <cell r="BC83" t="str">
            <v xml:space="preserve">Burgos Recepción </v>
          </cell>
          <cell r="BD83">
            <v>45678.650092592587</v>
          </cell>
          <cell r="BE83" t="str">
            <v>sin recaudo</v>
          </cell>
        </row>
        <row r="84">
          <cell r="G84" t="str">
            <v>3034103 -84151111318</v>
          </cell>
          <cell r="H84">
            <v>2300000</v>
          </cell>
          <cell r="I84" t="str">
            <v>28</v>
          </cell>
          <cell r="J84" t="str">
            <v>113</v>
          </cell>
          <cell r="K84" t="str">
            <v>19</v>
          </cell>
          <cell r="L84" t="str">
            <v>33</v>
          </cell>
          <cell r="M84">
            <v>45678</v>
          </cell>
          <cell r="N84" t="str">
            <v>62790064</v>
          </cell>
          <cell r="O84" t="str">
            <v>Orden 2407 Standing</v>
          </cell>
          <cell r="P84" t="str">
            <v>Paula</v>
          </cell>
          <cell r="Q84" t="str">
            <v>Tobar</v>
          </cell>
          <cell r="R84" t="str">
            <v>TECU.CO S.A.S</v>
          </cell>
          <cell r="S84" t="str">
            <v>calle 24 # 15-32</v>
          </cell>
          <cell r="U84" t="str">
            <v>Cafetero</v>
          </cell>
          <cell r="V84" t="str">
            <v>Primer piso</v>
          </cell>
          <cell r="W84" t="str">
            <v>Escuela Olaya Herrera</v>
          </cell>
          <cell r="X84" t="str">
            <v>ARMENIA</v>
          </cell>
          <cell r="Y84" t="str">
            <v>QUINDIO</v>
          </cell>
          <cell r="Z84" t="str">
            <v>3197269827</v>
          </cell>
          <cell r="AA84" t="str">
            <v>operaciones@tecu.co</v>
          </cell>
          <cell r="AB84" t="str">
            <v>Juan</v>
          </cell>
          <cell r="AC84" t="str">
            <v>Camilo Restrepo</v>
          </cell>
          <cell r="AD84" t="str">
            <v>Juan</v>
          </cell>
          <cell r="AE84" t="str">
            <v>Cra 14c # 157 - 41, edi</v>
          </cell>
          <cell r="AG84" t="str">
            <v>Villas de mediterraneo</v>
          </cell>
          <cell r="AH84" t="str">
            <v>Apto 205 Edf San Pietro</v>
          </cell>
          <cell r="AI84" t="str">
            <v>Villas de mediterraneo</v>
          </cell>
          <cell r="AJ84" t="str">
            <v>BOGOTA</v>
          </cell>
          <cell r="AK84" t="str">
            <v>CUNDINAMARCA</v>
          </cell>
          <cell r="AL84" t="str">
            <v>3105077788</v>
          </cell>
          <cell r="AM84" t="str">
            <v>juancrestrepo16@gmail.com</v>
          </cell>
          <cell r="AN84">
            <v>45678.426701388889</v>
          </cell>
          <cell r="AO84">
            <v>26913</v>
          </cell>
          <cell r="AP84">
            <v>0</v>
          </cell>
          <cell r="AQ84">
            <v>26913</v>
          </cell>
          <cell r="AR84">
            <v>14680</v>
          </cell>
          <cell r="AS84">
            <v>41593</v>
          </cell>
          <cell r="AT84" t="str">
            <v>84151111318</v>
          </cell>
          <cell r="AU84">
            <v>1</v>
          </cell>
          <cell r="AV84" t="str">
            <v>COORDINADORA</v>
          </cell>
          <cell r="AW84" t="str">
            <v>Normal</v>
          </cell>
          <cell r="AX84">
            <v>3</v>
          </cell>
          <cell r="AY84">
            <v>45681.716053240743</v>
          </cell>
          <cell r="AZ84" t="str">
            <v>En tránsito</v>
          </cell>
          <cell r="BA84" t="str">
            <v>En ciudad destino</v>
          </cell>
          <cell r="BB84">
            <v>45678.716053240743</v>
          </cell>
          <cell r="BE84" t="str">
            <v>sin recaudo</v>
          </cell>
        </row>
        <row r="85">
          <cell r="G85" t="str">
            <v>3034104 -84151111319</v>
          </cell>
          <cell r="H85">
            <v>50000</v>
          </cell>
          <cell r="I85" t="str">
            <v>18</v>
          </cell>
          <cell r="J85" t="str">
            <v>154</v>
          </cell>
          <cell r="K85" t="str">
            <v>5</v>
          </cell>
          <cell r="L85" t="str">
            <v>74</v>
          </cell>
          <cell r="M85">
            <v>45678</v>
          </cell>
          <cell r="N85" t="str">
            <v>62790064</v>
          </cell>
          <cell r="O85" t="str">
            <v>Orden 2407 Superficie</v>
          </cell>
          <cell r="P85" t="str">
            <v>Paula</v>
          </cell>
          <cell r="Q85" t="str">
            <v>Tobar</v>
          </cell>
          <cell r="R85" t="str">
            <v>TECU.CO S.A.S</v>
          </cell>
          <cell r="S85" t="str">
            <v>calle 24 # 15-32</v>
          </cell>
          <cell r="U85" t="str">
            <v>Cafetero</v>
          </cell>
          <cell r="V85" t="str">
            <v>Primer piso</v>
          </cell>
          <cell r="W85" t="str">
            <v>Escuela Olaya Herrera</v>
          </cell>
          <cell r="X85" t="str">
            <v>ARMENIA</v>
          </cell>
          <cell r="Y85" t="str">
            <v>QUINDIO</v>
          </cell>
          <cell r="Z85" t="str">
            <v>3197269827</v>
          </cell>
          <cell r="AA85" t="str">
            <v>operaciones@tecu.co</v>
          </cell>
          <cell r="AB85" t="str">
            <v>Juan</v>
          </cell>
          <cell r="AC85" t="str">
            <v>Camilo Restrepo</v>
          </cell>
          <cell r="AD85" t="str">
            <v>Juan</v>
          </cell>
          <cell r="AE85" t="str">
            <v>Cra 14c # 157 - 41, edi</v>
          </cell>
          <cell r="AG85" t="str">
            <v>Villas de mediterraneo</v>
          </cell>
          <cell r="AH85" t="str">
            <v>Apto 205 Edf San Pietro</v>
          </cell>
          <cell r="AI85" t="str">
            <v>Villas de mediterraneo</v>
          </cell>
          <cell r="AJ85" t="str">
            <v>BOGOTA</v>
          </cell>
          <cell r="AK85" t="str">
            <v>CUNDINAMARCA</v>
          </cell>
          <cell r="AL85" t="str">
            <v>3105077788</v>
          </cell>
          <cell r="AM85" t="str">
            <v>juancrestrepo16@gmail.com</v>
          </cell>
          <cell r="AN85">
            <v>45678.426770833343</v>
          </cell>
          <cell r="AO85">
            <v>23593</v>
          </cell>
          <cell r="AP85">
            <v>0</v>
          </cell>
          <cell r="AQ85">
            <v>23593</v>
          </cell>
          <cell r="AR85">
            <v>500</v>
          </cell>
          <cell r="AS85">
            <v>24093</v>
          </cell>
          <cell r="AT85" t="str">
            <v>84151111319</v>
          </cell>
          <cell r="AU85">
            <v>1</v>
          </cell>
          <cell r="AV85" t="str">
            <v>COORDINADORA</v>
          </cell>
          <cell r="AW85" t="str">
            <v>Normal</v>
          </cell>
          <cell r="AX85">
            <v>2</v>
          </cell>
          <cell r="AY85">
            <v>45680.716053240743</v>
          </cell>
          <cell r="AZ85" t="str">
            <v>En tránsito</v>
          </cell>
          <cell r="BA85" t="str">
            <v>En ciudad destino</v>
          </cell>
          <cell r="BB85">
            <v>45678.716053240743</v>
          </cell>
          <cell r="BE85" t="str">
            <v>sin recaudo</v>
          </cell>
        </row>
        <row r="86">
          <cell r="G86" t="str">
            <v>3034115 -84151111325</v>
          </cell>
          <cell r="H86">
            <v>250000</v>
          </cell>
          <cell r="I86" t="str">
            <v>2</v>
          </cell>
          <cell r="J86" t="str">
            <v>81</v>
          </cell>
          <cell r="K86" t="str">
            <v>11</v>
          </cell>
          <cell r="L86" t="str">
            <v>14</v>
          </cell>
          <cell r="M86">
            <v>45678</v>
          </cell>
          <cell r="N86" t="str">
            <v>62790064</v>
          </cell>
          <cell r="O86" t="str">
            <v>Orden 2407 Bandeja Cables</v>
          </cell>
          <cell r="P86" t="str">
            <v>Paula</v>
          </cell>
          <cell r="Q86" t="str">
            <v>Tobar</v>
          </cell>
          <cell r="R86" t="str">
            <v>TECU.CO S.A.S</v>
          </cell>
          <cell r="S86" t="str">
            <v>calle 24 # 15-32</v>
          </cell>
          <cell r="U86" t="str">
            <v>Cafetero</v>
          </cell>
          <cell r="V86" t="str">
            <v>Primer piso</v>
          </cell>
          <cell r="W86" t="str">
            <v>Escuela Olaya Herrera</v>
          </cell>
          <cell r="X86" t="str">
            <v>ARMENIA</v>
          </cell>
          <cell r="Y86" t="str">
            <v>QUINDIO</v>
          </cell>
          <cell r="Z86" t="str">
            <v>3197269827</v>
          </cell>
          <cell r="AA86" t="str">
            <v>operaciones@tecu.co</v>
          </cell>
          <cell r="AB86" t="str">
            <v>Juan</v>
          </cell>
          <cell r="AC86" t="str">
            <v>Camilo Restrepo</v>
          </cell>
          <cell r="AD86" t="str">
            <v>Juan</v>
          </cell>
          <cell r="AE86" t="str">
            <v>Cra 14c # 157 - 41</v>
          </cell>
          <cell r="AG86" t="str">
            <v>Villas de mediterraneo</v>
          </cell>
          <cell r="AH86" t="str">
            <v>Apto 205 Edf San Pietro</v>
          </cell>
          <cell r="AI86" t="str">
            <v>Villas de mediterraneo</v>
          </cell>
          <cell r="AJ86" t="str">
            <v>BOGOTA</v>
          </cell>
          <cell r="AK86" t="str">
            <v>CUNDINAMARCA</v>
          </cell>
          <cell r="AL86" t="str">
            <v>3105077788</v>
          </cell>
          <cell r="AM86" t="str">
            <v>juancrestrepo16@gmail.com</v>
          </cell>
          <cell r="AN86">
            <v>45678.42827546296</v>
          </cell>
          <cell r="AO86">
            <v>22920</v>
          </cell>
          <cell r="AP86">
            <v>0</v>
          </cell>
          <cell r="AQ86">
            <v>22920</v>
          </cell>
          <cell r="AR86">
            <v>1965</v>
          </cell>
          <cell r="AS86">
            <v>24885</v>
          </cell>
          <cell r="AT86" t="str">
            <v>84151111325</v>
          </cell>
          <cell r="AU86">
            <v>1</v>
          </cell>
          <cell r="AV86" t="str">
            <v>COORDINADORA</v>
          </cell>
          <cell r="AW86" t="str">
            <v>Normal</v>
          </cell>
          <cell r="AX86">
            <v>3</v>
          </cell>
          <cell r="AY86">
            <v>45681.716053240743</v>
          </cell>
          <cell r="AZ86" t="str">
            <v>En tránsito</v>
          </cell>
          <cell r="BA86" t="str">
            <v>En ciudad destino</v>
          </cell>
          <cell r="BB86">
            <v>45678.716053240743</v>
          </cell>
          <cell r="BE86" t="str">
            <v>sin recaudo</v>
          </cell>
        </row>
        <row r="87">
          <cell r="G87" t="str">
            <v>3034145 -84151111349</v>
          </cell>
          <cell r="H87">
            <v>2300000</v>
          </cell>
          <cell r="I87" t="str">
            <v>30</v>
          </cell>
          <cell r="J87" t="str">
            <v>114</v>
          </cell>
          <cell r="K87" t="str">
            <v>19</v>
          </cell>
          <cell r="L87" t="str">
            <v>33</v>
          </cell>
          <cell r="M87">
            <v>45678</v>
          </cell>
          <cell r="N87" t="str">
            <v>62790064</v>
          </cell>
          <cell r="O87" t="str">
            <v>Orden 2408 Standing</v>
          </cell>
          <cell r="P87" t="str">
            <v>Paula</v>
          </cell>
          <cell r="Q87" t="str">
            <v>Tobar</v>
          </cell>
          <cell r="R87" t="str">
            <v>TECU.CO S.A.S</v>
          </cell>
          <cell r="S87" t="str">
            <v>calle 24 # 15-32</v>
          </cell>
          <cell r="U87" t="str">
            <v>Cafetero</v>
          </cell>
          <cell r="V87" t="str">
            <v>Primer piso</v>
          </cell>
          <cell r="W87" t="str">
            <v>Escuela Olaya Herrera</v>
          </cell>
          <cell r="X87" t="str">
            <v>ARMENIA</v>
          </cell>
          <cell r="Y87" t="str">
            <v>QUINDIO</v>
          </cell>
          <cell r="Z87" t="str">
            <v>3197269827</v>
          </cell>
          <cell r="AA87" t="str">
            <v>operaciones@tecu.co</v>
          </cell>
          <cell r="AB87" t="str">
            <v>Andres</v>
          </cell>
          <cell r="AC87" t="str">
            <v>Mape</v>
          </cell>
          <cell r="AD87" t="str">
            <v>Andres</v>
          </cell>
          <cell r="AE87" t="str">
            <v>Cra 72bis # 152b - 25</v>
          </cell>
          <cell r="AG87" t="str">
            <v>El Plan</v>
          </cell>
          <cell r="AH87" t="str">
            <v>Apto 505 T 1 Veramonte Ol</v>
          </cell>
          <cell r="AI87" t="str">
            <v>El Plan</v>
          </cell>
          <cell r="AJ87" t="str">
            <v>BOGOTA</v>
          </cell>
          <cell r="AK87" t="str">
            <v>CUNDINAMARCA</v>
          </cell>
          <cell r="AL87" t="str">
            <v>3173798480</v>
          </cell>
          <cell r="AM87" t="str">
            <v>afmappe@hotmail.com</v>
          </cell>
          <cell r="AN87">
            <v>45678.431689814817</v>
          </cell>
          <cell r="AO87">
            <v>28241</v>
          </cell>
          <cell r="AP87">
            <v>0</v>
          </cell>
          <cell r="AQ87">
            <v>28241</v>
          </cell>
          <cell r="AR87">
            <v>14680</v>
          </cell>
          <cell r="AS87">
            <v>42921</v>
          </cell>
          <cell r="AT87" t="str">
            <v>84151111349</v>
          </cell>
          <cell r="AU87">
            <v>1</v>
          </cell>
          <cell r="AV87" t="str">
            <v>COORDINADORA</v>
          </cell>
          <cell r="AW87" t="str">
            <v>Normal</v>
          </cell>
          <cell r="AX87">
            <v>3</v>
          </cell>
          <cell r="AY87">
            <v>45681.716053240743</v>
          </cell>
          <cell r="AZ87" t="str">
            <v>En tránsito</v>
          </cell>
          <cell r="BA87" t="str">
            <v>En ciudad destino</v>
          </cell>
          <cell r="BB87">
            <v>45678.716053240743</v>
          </cell>
          <cell r="BE87" t="str">
            <v>sin recaudo</v>
          </cell>
        </row>
        <row r="88">
          <cell r="G88" t="str">
            <v>3034147 -84151111351</v>
          </cell>
          <cell r="H88">
            <v>50000</v>
          </cell>
          <cell r="I88" t="str">
            <v>23</v>
          </cell>
          <cell r="J88" t="str">
            <v>184</v>
          </cell>
          <cell r="K88" t="str">
            <v>5</v>
          </cell>
          <cell r="L88" t="str">
            <v>74</v>
          </cell>
          <cell r="M88">
            <v>45678</v>
          </cell>
          <cell r="N88" t="str">
            <v>62790064</v>
          </cell>
          <cell r="O88" t="str">
            <v>Orden 2408 Superficie</v>
          </cell>
          <cell r="P88" t="str">
            <v>Paula</v>
          </cell>
          <cell r="Q88" t="str">
            <v>Tobar</v>
          </cell>
          <cell r="R88" t="str">
            <v>TECU.CO S.A.S</v>
          </cell>
          <cell r="S88" t="str">
            <v>calle 24 # 15-32</v>
          </cell>
          <cell r="U88" t="str">
            <v>Cafetero</v>
          </cell>
          <cell r="V88" t="str">
            <v>Primer piso</v>
          </cell>
          <cell r="W88" t="str">
            <v>Escuela Olaya Herrera</v>
          </cell>
          <cell r="X88" t="str">
            <v>ARMENIA</v>
          </cell>
          <cell r="Y88" t="str">
            <v>QUINDIO</v>
          </cell>
          <cell r="Z88" t="str">
            <v>3197269827</v>
          </cell>
          <cell r="AA88" t="str">
            <v>operaciones@tecu.co</v>
          </cell>
          <cell r="AB88" t="str">
            <v>Andres</v>
          </cell>
          <cell r="AC88" t="str">
            <v>Mape</v>
          </cell>
          <cell r="AD88" t="str">
            <v>Andres</v>
          </cell>
          <cell r="AE88" t="str">
            <v>Cra 72bis # 152b - 25</v>
          </cell>
          <cell r="AG88" t="str">
            <v>El Plan</v>
          </cell>
          <cell r="AH88" t="str">
            <v>Apto 505 T 1 Veramonte Ol</v>
          </cell>
          <cell r="AI88" t="str">
            <v>El Plan</v>
          </cell>
          <cell r="AJ88" t="str">
            <v>BOGOTA</v>
          </cell>
          <cell r="AK88" t="str">
            <v>CUNDINAMARCA</v>
          </cell>
          <cell r="AL88" t="str">
            <v>3173798480</v>
          </cell>
          <cell r="AM88" t="str">
            <v>afmappe@hotmail.com</v>
          </cell>
          <cell r="AN88">
            <v>45678.431759259263</v>
          </cell>
          <cell r="AO88">
            <v>26249</v>
          </cell>
          <cell r="AP88">
            <v>0</v>
          </cell>
          <cell r="AQ88">
            <v>26249</v>
          </cell>
          <cell r="AR88">
            <v>500</v>
          </cell>
          <cell r="AS88">
            <v>26749</v>
          </cell>
          <cell r="AT88" t="str">
            <v>84151111351</v>
          </cell>
          <cell r="AU88">
            <v>1</v>
          </cell>
          <cell r="AV88" t="str">
            <v>COORDINADORA</v>
          </cell>
          <cell r="AW88" t="str">
            <v>Normal</v>
          </cell>
          <cell r="AX88">
            <v>2</v>
          </cell>
          <cell r="AY88">
            <v>45680.716053240743</v>
          </cell>
          <cell r="AZ88" t="str">
            <v>En tránsito</v>
          </cell>
          <cell r="BA88" t="str">
            <v>En ciudad destino</v>
          </cell>
          <cell r="BB88">
            <v>45678.716053240743</v>
          </cell>
          <cell r="BE88" t="str">
            <v>sin recaudo</v>
          </cell>
        </row>
        <row r="89">
          <cell r="G89" t="str">
            <v>3034920 -84151111800</v>
          </cell>
          <cell r="H89">
            <v>2300000</v>
          </cell>
          <cell r="I89" t="str">
            <v>30</v>
          </cell>
          <cell r="J89" t="str">
            <v>114</v>
          </cell>
          <cell r="K89" t="str">
            <v>19</v>
          </cell>
          <cell r="L89" t="str">
            <v>33</v>
          </cell>
          <cell r="M89">
            <v>45679</v>
          </cell>
          <cell r="N89" t="str">
            <v>-</v>
          </cell>
          <cell r="O89" t="str">
            <v>Orden 2411 Standing</v>
          </cell>
          <cell r="P89" t="str">
            <v>Paula</v>
          </cell>
          <cell r="Q89" t="str">
            <v>Tobar</v>
          </cell>
          <cell r="R89" t="str">
            <v>TECU.CO S.A.S</v>
          </cell>
          <cell r="S89" t="str">
            <v>calle 24 # 15-32</v>
          </cell>
          <cell r="U89" t="str">
            <v>Cafetero</v>
          </cell>
          <cell r="V89" t="str">
            <v>Primer piso</v>
          </cell>
          <cell r="W89" t="str">
            <v>Escuela Olaya Herrera</v>
          </cell>
          <cell r="X89" t="str">
            <v>ARMENIA</v>
          </cell>
          <cell r="Y89" t="str">
            <v>QUINDIO</v>
          </cell>
          <cell r="Z89" t="str">
            <v>3197269827</v>
          </cell>
          <cell r="AA89" t="str">
            <v>operaciones@tecu.co</v>
          </cell>
          <cell r="AB89" t="str">
            <v>Juan</v>
          </cell>
          <cell r="AC89" t="str">
            <v>David Lagos Rodr</v>
          </cell>
          <cell r="AD89" t="str">
            <v>Juan</v>
          </cell>
          <cell r="AE89" t="str">
            <v>cr 12 #102 - 07</v>
          </cell>
          <cell r="AG89" t="str">
            <v>USAQUEN</v>
          </cell>
          <cell r="AH89" t="str">
            <v>Apto 306</v>
          </cell>
          <cell r="AI89" t="str">
            <v>USAQUEN</v>
          </cell>
          <cell r="AJ89" t="str">
            <v>BOGOTA</v>
          </cell>
          <cell r="AK89" t="str">
            <v>CUNDINAMARCA</v>
          </cell>
          <cell r="AL89" t="str">
            <v>3117191142</v>
          </cell>
          <cell r="AM89" t="str">
            <v>dlajosr@gmail.com</v>
          </cell>
          <cell r="AN89">
            <v>45678.560034722221</v>
          </cell>
          <cell r="AO89">
            <v>28241</v>
          </cell>
          <cell r="AP89">
            <v>0</v>
          </cell>
          <cell r="AQ89">
            <v>28241</v>
          </cell>
          <cell r="AR89">
            <v>14680</v>
          </cell>
          <cell r="AS89">
            <v>42921</v>
          </cell>
          <cell r="AT89" t="str">
            <v>84151111800</v>
          </cell>
          <cell r="AU89">
            <v>1</v>
          </cell>
          <cell r="AV89" t="str">
            <v>COORDINADORA</v>
          </cell>
          <cell r="AW89" t="str">
            <v>Normal</v>
          </cell>
          <cell r="AX89">
            <v>3</v>
          </cell>
          <cell r="AY89">
            <v>45681.716053240743</v>
          </cell>
          <cell r="AZ89" t="str">
            <v>En tránsito</v>
          </cell>
          <cell r="BA89" t="str">
            <v>En ciudad destino</v>
          </cell>
          <cell r="BB89">
            <v>45678.716053240743</v>
          </cell>
          <cell r="BE89" t="str">
            <v>sin recaudo</v>
          </cell>
        </row>
        <row r="90">
          <cell r="G90" t="str">
            <v>3034923 -84151111801</v>
          </cell>
          <cell r="H90">
            <v>149000</v>
          </cell>
          <cell r="I90" t="str">
            <v>5</v>
          </cell>
          <cell r="J90" t="str">
            <v>15</v>
          </cell>
          <cell r="K90" t="str">
            <v>11</v>
          </cell>
          <cell r="L90" t="str">
            <v>11</v>
          </cell>
          <cell r="M90">
            <v>45679</v>
          </cell>
          <cell r="N90" t="str">
            <v>-</v>
          </cell>
          <cell r="O90" t="str">
            <v>Orden 2411 Caja de Ruedas</v>
          </cell>
          <cell r="P90" t="str">
            <v>Paula</v>
          </cell>
          <cell r="Q90" t="str">
            <v>Tobar</v>
          </cell>
          <cell r="R90" t="str">
            <v>TECU.CO S.A.S</v>
          </cell>
          <cell r="S90" t="str">
            <v>calle 24 # 15-32</v>
          </cell>
          <cell r="U90" t="str">
            <v>Cafetero</v>
          </cell>
          <cell r="V90" t="str">
            <v>Primer piso</v>
          </cell>
          <cell r="W90" t="str">
            <v>Escuela Olaya Herrera</v>
          </cell>
          <cell r="X90" t="str">
            <v>ARMENIA</v>
          </cell>
          <cell r="Y90" t="str">
            <v>QUINDIO</v>
          </cell>
          <cell r="Z90" t="str">
            <v>3197269827</v>
          </cell>
          <cell r="AA90" t="str">
            <v>operaciones@tecu.co</v>
          </cell>
          <cell r="AB90" t="str">
            <v>Juan</v>
          </cell>
          <cell r="AC90" t="str">
            <v>David Lagos Rodr</v>
          </cell>
          <cell r="AD90" t="str">
            <v>Juan</v>
          </cell>
          <cell r="AE90" t="str">
            <v>cr 12 #102 - 07</v>
          </cell>
          <cell r="AG90" t="str">
            <v>USAQUEN</v>
          </cell>
          <cell r="AH90" t="str">
            <v>Apto 306</v>
          </cell>
          <cell r="AI90" t="str">
            <v>USAQUEN</v>
          </cell>
          <cell r="AJ90" t="str">
            <v>BOGOTA</v>
          </cell>
          <cell r="AK90" t="str">
            <v>CUNDINAMARCA</v>
          </cell>
          <cell r="AL90" t="str">
            <v>3117191142</v>
          </cell>
          <cell r="AM90" t="str">
            <v>dlajosr@gmail.com</v>
          </cell>
          <cell r="AN90">
            <v>45678.560787037037</v>
          </cell>
          <cell r="AO90">
            <v>22920</v>
          </cell>
          <cell r="AP90">
            <v>0</v>
          </cell>
          <cell r="AQ90">
            <v>22920</v>
          </cell>
          <cell r="AR90">
            <v>955</v>
          </cell>
          <cell r="AS90">
            <v>23875</v>
          </cell>
          <cell r="AT90" t="str">
            <v>84151111801</v>
          </cell>
          <cell r="AU90">
            <v>1</v>
          </cell>
          <cell r="AV90" t="str">
            <v>COORDINADORA</v>
          </cell>
          <cell r="AW90" t="str">
            <v>Normal</v>
          </cell>
          <cell r="AX90">
            <v>3</v>
          </cell>
          <cell r="AY90">
            <v>45681.716053240743</v>
          </cell>
          <cell r="AZ90" t="str">
            <v>En tránsito</v>
          </cell>
          <cell r="BA90" t="str">
            <v>En ciudad destino</v>
          </cell>
          <cell r="BB90">
            <v>45678.716053240743</v>
          </cell>
          <cell r="BE90" t="str">
            <v>sin recaudo</v>
          </cell>
        </row>
        <row r="91">
          <cell r="G91" t="str">
            <v>3035292 -84151112021</v>
          </cell>
          <cell r="H91">
            <v>500000</v>
          </cell>
          <cell r="I91" t="str">
            <v>15</v>
          </cell>
          <cell r="J91" t="str">
            <v>132</v>
          </cell>
          <cell r="K91" t="str">
            <v>70</v>
          </cell>
          <cell r="L91" t="str">
            <v>3</v>
          </cell>
          <cell r="M91">
            <v>45679</v>
          </cell>
          <cell r="N91" t="str">
            <v>-</v>
          </cell>
          <cell r="O91" t="str">
            <v>Orden 2398 Garantia Sup</v>
          </cell>
          <cell r="P91" t="str">
            <v>Paula</v>
          </cell>
          <cell r="Q91" t="str">
            <v>Tobar</v>
          </cell>
          <cell r="R91" t="str">
            <v>TECU.CO S.A.S</v>
          </cell>
          <cell r="S91" t="str">
            <v>Calle 24 #15-32</v>
          </cell>
          <cell r="U91" t="str">
            <v>Centro de Armenia</v>
          </cell>
          <cell r="V91" t="str">
            <v>Primer piso</v>
          </cell>
          <cell r="W91" t="str">
            <v>Escuela Olaya Herrera</v>
          </cell>
          <cell r="X91" t="str">
            <v>ARMENIA</v>
          </cell>
          <cell r="Y91" t="str">
            <v>QUINDIO</v>
          </cell>
          <cell r="Z91" t="str">
            <v>3197269827</v>
          </cell>
          <cell r="AA91" t="str">
            <v>operaciones@tecu.co</v>
          </cell>
          <cell r="AB91" t="str">
            <v>Juan David</v>
          </cell>
          <cell r="AC91" t="str">
            <v>Martínez</v>
          </cell>
          <cell r="AE91" t="str">
            <v>Carrera 1A #76A-33</v>
          </cell>
          <cell r="AG91" t="str">
            <v>Los Rosales</v>
          </cell>
          <cell r="AH91" t="str">
            <v>Apto 701</v>
          </cell>
          <cell r="AI91" t="str">
            <v>Edificio Contemporaneo</v>
          </cell>
          <cell r="AJ91" t="str">
            <v>BOGOTA</v>
          </cell>
          <cell r="AK91" t="str">
            <v>CUNDINAMARCA</v>
          </cell>
          <cell r="AL91" t="str">
            <v>3204141661</v>
          </cell>
          <cell r="AM91" t="str">
            <v>jdavidmartinezg@gmail.com</v>
          </cell>
          <cell r="AN91">
            <v>45678.648668981477</v>
          </cell>
          <cell r="AO91">
            <v>22929</v>
          </cell>
          <cell r="AP91">
            <v>0</v>
          </cell>
          <cell r="AQ91">
            <v>22929</v>
          </cell>
          <cell r="AR91">
            <v>5000</v>
          </cell>
          <cell r="AS91">
            <v>27929</v>
          </cell>
          <cell r="AT91" t="str">
            <v>84151112021</v>
          </cell>
          <cell r="AU91">
            <v>1</v>
          </cell>
          <cell r="AV91" t="str">
            <v>COORDINADORA</v>
          </cell>
          <cell r="AW91" t="str">
            <v>Normal</v>
          </cell>
          <cell r="AX91">
            <v>3</v>
          </cell>
          <cell r="AY91">
            <v>45681.716053240743</v>
          </cell>
          <cell r="AZ91" t="str">
            <v>Retraso de entrega</v>
          </cell>
          <cell r="BA91" t="str">
            <v>Novedad en Carretera</v>
          </cell>
          <cell r="BB91">
            <v>45678.716053240743</v>
          </cell>
          <cell r="BE91" t="str">
            <v>sin recaudo</v>
          </cell>
        </row>
        <row r="92">
          <cell r="G92" t="str">
            <v>3006418 -84151099260</v>
          </cell>
          <cell r="H92">
            <v>2300000</v>
          </cell>
          <cell r="I92" t="str">
            <v>30</v>
          </cell>
          <cell r="J92" t="str">
            <v>114</v>
          </cell>
          <cell r="K92" t="str">
            <v>19</v>
          </cell>
          <cell r="L92" t="str">
            <v>33</v>
          </cell>
          <cell r="M92">
            <v>45665</v>
          </cell>
          <cell r="N92" t="str">
            <v>-</v>
          </cell>
          <cell r="O92" t="str">
            <v>Orden 2384 Standing</v>
          </cell>
          <cell r="P92" t="str">
            <v>Paula</v>
          </cell>
          <cell r="Q92" t="str">
            <v>Tobar</v>
          </cell>
          <cell r="R92" t="str">
            <v>TECU.CO S.A.S</v>
          </cell>
          <cell r="S92" t="str">
            <v>calle 24 # 15-32</v>
          </cell>
          <cell r="U92" t="str">
            <v>Cafetero</v>
          </cell>
          <cell r="V92" t="str">
            <v>Primer piso</v>
          </cell>
          <cell r="W92" t="str">
            <v>Escuela Olaya Herrera</v>
          </cell>
          <cell r="X92" t="str">
            <v>ARMENIA</v>
          </cell>
          <cell r="Y92" t="str">
            <v>QUINDIO</v>
          </cell>
          <cell r="Z92" t="str">
            <v>3197269827</v>
          </cell>
          <cell r="AA92" t="str">
            <v>operaciones@tecu.co</v>
          </cell>
          <cell r="AB92" t="str">
            <v>Samuel</v>
          </cell>
          <cell r="AC92" t="str">
            <v>Antonio Cabeza</v>
          </cell>
          <cell r="AD92" t="str">
            <v>Samuel</v>
          </cell>
          <cell r="AE92" t="str">
            <v>Cra 7 # 8 - 50</v>
          </cell>
          <cell r="AG92" t="str">
            <v>Centro</v>
          </cell>
          <cell r="AH92" t="str">
            <v>Casa</v>
          </cell>
          <cell r="AI92" t="str">
            <v>Centro</v>
          </cell>
          <cell r="AJ92" t="str">
            <v>COTA</v>
          </cell>
          <cell r="AK92" t="str">
            <v>CUNDINAMARCA</v>
          </cell>
          <cell r="AL92" t="str">
            <v>3014660200</v>
          </cell>
          <cell r="AM92" t="str">
            <v>santonioct@gmail.com</v>
          </cell>
          <cell r="AN92">
            <v>45665.45685185185</v>
          </cell>
          <cell r="AO92">
            <v>28241</v>
          </cell>
          <cell r="AP92">
            <v>0</v>
          </cell>
          <cell r="AQ92">
            <v>28241</v>
          </cell>
          <cell r="AR92">
            <v>14680</v>
          </cell>
          <cell r="AS92">
            <v>42921</v>
          </cell>
          <cell r="AT92" t="str">
            <v>84151099260</v>
          </cell>
          <cell r="AU92">
            <v>1</v>
          </cell>
          <cell r="AV92" t="str">
            <v>COORDINADORA</v>
          </cell>
          <cell r="AW92" t="str">
            <v>Normal</v>
          </cell>
          <cell r="AX92">
            <v>2</v>
          </cell>
          <cell r="AY92">
            <v>45667.715833333343</v>
          </cell>
          <cell r="AZ92" t="str">
            <v>Entregado</v>
          </cell>
          <cell r="BA92" t="str">
            <v>Entregada</v>
          </cell>
          <cell r="BB92">
            <v>45665.715833333343</v>
          </cell>
          <cell r="BC92" t="str">
            <v xml:space="preserve">Samuel cabezas </v>
          </cell>
          <cell r="BD92">
            <v>45666.556435185194</v>
          </cell>
          <cell r="BE92" t="str">
            <v>sin recaudo</v>
          </cell>
        </row>
        <row r="93">
          <cell r="G93" t="str">
            <v>3006424 -84151099263</v>
          </cell>
          <cell r="H93">
            <v>1200000</v>
          </cell>
          <cell r="I93" t="str">
            <v>10</v>
          </cell>
          <cell r="J93" t="str">
            <v>50</v>
          </cell>
          <cell r="K93" t="str">
            <v>20</v>
          </cell>
          <cell r="L93" t="str">
            <v>34</v>
          </cell>
          <cell r="M93">
            <v>45665</v>
          </cell>
          <cell r="N93" t="str">
            <v>-</v>
          </cell>
          <cell r="O93" t="str">
            <v>Orden 2384 Desk Stool</v>
          </cell>
          <cell r="P93" t="str">
            <v>Paula</v>
          </cell>
          <cell r="Q93" t="str">
            <v>Tobar</v>
          </cell>
          <cell r="R93" t="str">
            <v>TECU.CO S.A.S</v>
          </cell>
          <cell r="S93" t="str">
            <v>calle 24 # 15-32</v>
          </cell>
          <cell r="U93" t="str">
            <v>Cafetero</v>
          </cell>
          <cell r="V93" t="str">
            <v>Primer piso</v>
          </cell>
          <cell r="W93" t="str">
            <v>Escuela Olaya Herrera</v>
          </cell>
          <cell r="X93" t="str">
            <v>ARMENIA</v>
          </cell>
          <cell r="Y93" t="str">
            <v>QUINDIO</v>
          </cell>
          <cell r="Z93" t="str">
            <v>3197269827</v>
          </cell>
          <cell r="AA93" t="str">
            <v>operaciones@tecu.co</v>
          </cell>
          <cell r="AB93" t="str">
            <v>Samuel</v>
          </cell>
          <cell r="AC93" t="str">
            <v>Antonio Cabeza</v>
          </cell>
          <cell r="AD93" t="str">
            <v>Samuel</v>
          </cell>
          <cell r="AE93" t="str">
            <v>Cra 7 # 8 - 50</v>
          </cell>
          <cell r="AG93" t="str">
            <v>Centro</v>
          </cell>
          <cell r="AH93" t="str">
            <v>Casa</v>
          </cell>
          <cell r="AI93" t="str">
            <v>Centro</v>
          </cell>
          <cell r="AJ93" t="str">
            <v>COTA</v>
          </cell>
          <cell r="AK93" t="str">
            <v>CUNDINAMARCA</v>
          </cell>
          <cell r="AL93" t="str">
            <v>3014660200</v>
          </cell>
          <cell r="AM93" t="str">
            <v>santonioct@gmail.com</v>
          </cell>
          <cell r="AN93">
            <v>45665.457673611112</v>
          </cell>
          <cell r="AO93">
            <v>22929</v>
          </cell>
          <cell r="AP93">
            <v>0</v>
          </cell>
          <cell r="AQ93">
            <v>22929</v>
          </cell>
          <cell r="AR93">
            <v>3680</v>
          </cell>
          <cell r="AS93">
            <v>26609</v>
          </cell>
          <cell r="AT93" t="str">
            <v>84151099263</v>
          </cell>
          <cell r="AU93">
            <v>1</v>
          </cell>
          <cell r="AV93" t="str">
            <v>COORDINADORA</v>
          </cell>
          <cell r="AW93" t="str">
            <v>Normal</v>
          </cell>
          <cell r="AX93">
            <v>2</v>
          </cell>
          <cell r="AY93">
            <v>45667.715833333343</v>
          </cell>
          <cell r="AZ93" t="str">
            <v>Entregado</v>
          </cell>
          <cell r="BA93" t="str">
            <v>Entregada</v>
          </cell>
          <cell r="BB93">
            <v>45665.715833333343</v>
          </cell>
          <cell r="BC93" t="str">
            <v xml:space="preserve">Samuel cabezas </v>
          </cell>
          <cell r="BD93">
            <v>45666.556793981479</v>
          </cell>
          <cell r="BE93" t="str">
            <v>sin recaudo</v>
          </cell>
        </row>
        <row r="94">
          <cell r="G94" t="str">
            <v>3015860 -84151103434</v>
          </cell>
          <cell r="H94">
            <v>300000</v>
          </cell>
          <cell r="I94" t="str">
            <v>5</v>
          </cell>
          <cell r="J94" t="str">
            <v>6.5</v>
          </cell>
          <cell r="K94" t="str">
            <v>9</v>
          </cell>
          <cell r="L94" t="str">
            <v>22</v>
          </cell>
          <cell r="M94">
            <v>45670</v>
          </cell>
          <cell r="N94" t="str">
            <v>62600330</v>
          </cell>
          <cell r="O94" t="str">
            <v>Garantia 2366 Laptop stand</v>
          </cell>
          <cell r="P94" t="str">
            <v>Paula</v>
          </cell>
          <cell r="Q94" t="str">
            <v>Tobar</v>
          </cell>
          <cell r="R94" t="str">
            <v>TECU.CO S.A.S</v>
          </cell>
          <cell r="S94" t="str">
            <v>Calle 24 #15-32</v>
          </cell>
          <cell r="U94" t="str">
            <v>Centro de Armenia</v>
          </cell>
          <cell r="V94" t="str">
            <v>Primer piso</v>
          </cell>
          <cell r="W94" t="str">
            <v>Escuela Olaya Herrera</v>
          </cell>
          <cell r="X94" t="str">
            <v>ARMENIA</v>
          </cell>
          <cell r="Y94" t="str">
            <v>QUINDIO</v>
          </cell>
          <cell r="Z94" t="str">
            <v>3197269827</v>
          </cell>
          <cell r="AA94" t="str">
            <v>operaciones@tecu.co</v>
          </cell>
          <cell r="AB94" t="str">
            <v>Steven</v>
          </cell>
          <cell r="AC94" t="str">
            <v>Hoyos</v>
          </cell>
          <cell r="AE94" t="str">
            <v>Calle 47 Norte # 8-45</v>
          </cell>
          <cell r="AG94" t="str">
            <v>Popayan</v>
          </cell>
          <cell r="AH94" t="str">
            <v>Torre C Apto. 402</v>
          </cell>
          <cell r="AI94" t="str">
            <v>Hojarasca Bosque Residencial</v>
          </cell>
          <cell r="AJ94" t="str">
            <v>POPAYAN</v>
          </cell>
          <cell r="AK94" t="str">
            <v>CAUCA</v>
          </cell>
          <cell r="AL94" t="str">
            <v>3146456737</v>
          </cell>
          <cell r="AM94" t="str">
            <v>stevenhoyosc@gmail.com</v>
          </cell>
          <cell r="AN94">
            <v>45670.458784722221</v>
          </cell>
          <cell r="AO94">
            <v>22920</v>
          </cell>
          <cell r="AP94">
            <v>0</v>
          </cell>
          <cell r="AQ94">
            <v>22920</v>
          </cell>
          <cell r="AR94">
            <v>2465</v>
          </cell>
          <cell r="AS94">
            <v>25385</v>
          </cell>
          <cell r="AT94" t="str">
            <v>84151103434</v>
          </cell>
          <cell r="AU94">
            <v>1</v>
          </cell>
          <cell r="AV94" t="str">
            <v>COORDINADORA</v>
          </cell>
          <cell r="AW94" t="str">
            <v>Normal</v>
          </cell>
          <cell r="AX94">
            <v>3</v>
          </cell>
          <cell r="AY94">
            <v>45673.699618055558</v>
          </cell>
          <cell r="AZ94" t="str">
            <v>Entregado</v>
          </cell>
          <cell r="BA94" t="str">
            <v>Entregada</v>
          </cell>
          <cell r="BB94">
            <v>45670.699618055558</v>
          </cell>
          <cell r="BC94" t="str">
            <v xml:space="preserve">guarda Pérez </v>
          </cell>
          <cell r="BD94">
            <v>45671.494768518518</v>
          </cell>
          <cell r="BE94" t="str">
            <v>sin recaudo</v>
          </cell>
        </row>
        <row r="95">
          <cell r="G95" t="str">
            <v>3023584 -84151107068</v>
          </cell>
          <cell r="H95">
            <v>250000</v>
          </cell>
          <cell r="I95" t="str">
            <v>5</v>
          </cell>
          <cell r="J95" t="str">
            <v>40</v>
          </cell>
          <cell r="K95" t="str">
            <v>10</v>
          </cell>
          <cell r="L95" t="str">
            <v>10</v>
          </cell>
          <cell r="M95">
            <v>45673</v>
          </cell>
          <cell r="N95" t="str">
            <v>-</v>
          </cell>
          <cell r="O95" t="str">
            <v>Orden 2366 Deskpad</v>
          </cell>
          <cell r="P95" t="str">
            <v>Paula</v>
          </cell>
          <cell r="Q95" t="str">
            <v>Tobar</v>
          </cell>
          <cell r="R95" t="str">
            <v>TECU.CO S.A.S</v>
          </cell>
          <cell r="S95" t="str">
            <v>Calle 24 #15-32</v>
          </cell>
          <cell r="U95" t="str">
            <v>Centro de Armenia</v>
          </cell>
          <cell r="V95" t="str">
            <v>Primer piso</v>
          </cell>
          <cell r="W95" t="str">
            <v>Escuela Olaya Herrera</v>
          </cell>
          <cell r="X95" t="str">
            <v>ARMENIA</v>
          </cell>
          <cell r="Y95" t="str">
            <v>QUINDIO</v>
          </cell>
          <cell r="Z95" t="str">
            <v>3197269827</v>
          </cell>
          <cell r="AA95" t="str">
            <v>operaciones@tecu.co</v>
          </cell>
          <cell r="AB95" t="str">
            <v>Steven</v>
          </cell>
          <cell r="AC95" t="str">
            <v>Hoyos</v>
          </cell>
          <cell r="AE95" t="str">
            <v>Calle 47 Norte # 8-45</v>
          </cell>
          <cell r="AG95" t="str">
            <v>Popayan</v>
          </cell>
          <cell r="AH95" t="str">
            <v>Torre C Apto. 402</v>
          </cell>
          <cell r="AI95" t="str">
            <v>Hojarasca Bosque Residencial</v>
          </cell>
          <cell r="AJ95" t="str">
            <v>POPAYAN</v>
          </cell>
          <cell r="AK95" t="str">
            <v>CAUCA</v>
          </cell>
          <cell r="AL95" t="str">
            <v>3146456737</v>
          </cell>
          <cell r="AM95" t="str">
            <v>stevenhoyosc@gmail.com</v>
          </cell>
          <cell r="AN95">
            <v>45673.421284722222</v>
          </cell>
          <cell r="AO95">
            <v>22920</v>
          </cell>
          <cell r="AP95">
            <v>0</v>
          </cell>
          <cell r="AQ95">
            <v>22920</v>
          </cell>
          <cell r="AR95">
            <v>1965</v>
          </cell>
          <cell r="AS95">
            <v>24885</v>
          </cell>
          <cell r="AT95" t="str">
            <v>84151107068</v>
          </cell>
          <cell r="AU95">
            <v>1</v>
          </cell>
          <cell r="AV95" t="str">
            <v>COORDINADORA</v>
          </cell>
          <cell r="AW95" t="str">
            <v>Normal</v>
          </cell>
          <cell r="AX95">
            <v>3</v>
          </cell>
          <cell r="AY95">
            <v>45678.694571759261</v>
          </cell>
          <cell r="AZ95" t="str">
            <v>Entregado</v>
          </cell>
          <cell r="BA95" t="str">
            <v>Entregada</v>
          </cell>
          <cell r="BB95">
            <v>45673.694571759261</v>
          </cell>
          <cell r="BC95" t="str">
            <v>guarda chaux</v>
          </cell>
          <cell r="BD95">
            <v>45675.594409722216</v>
          </cell>
          <cell r="BE95" t="str">
            <v>sin recaudo</v>
          </cell>
        </row>
        <row r="96">
          <cell r="G96" t="str">
            <v xml:space="preserve"> -</v>
          </cell>
        </row>
        <row r="97">
          <cell r="G97" t="str">
            <v xml:space="preserve"> -</v>
          </cell>
        </row>
        <row r="98">
          <cell r="G98" t="str">
            <v xml:space="preserve"> -</v>
          </cell>
        </row>
        <row r="99">
          <cell r="G99" t="str">
            <v xml:space="preserve"> -</v>
          </cell>
        </row>
        <row r="100">
          <cell r="G100" t="str">
            <v xml:space="preserve"> -</v>
          </cell>
        </row>
        <row r="101">
          <cell r="G101" t="str">
            <v xml:space="preserve"> -</v>
          </cell>
        </row>
        <row r="102">
          <cell r="G102" t="str">
            <v xml:space="preserve"> -</v>
          </cell>
        </row>
        <row r="103">
          <cell r="G103" t="str">
            <v xml:space="preserve"> -</v>
          </cell>
        </row>
        <row r="104">
          <cell r="G104" t="str">
            <v xml:space="preserve"> -</v>
          </cell>
        </row>
        <row r="105">
          <cell r="G105" t="str">
            <v xml:space="preserve"> -</v>
          </cell>
        </row>
        <row r="106">
          <cell r="G106" t="str">
            <v xml:space="preserve"> -</v>
          </cell>
        </row>
        <row r="107">
          <cell r="G107" t="str">
            <v xml:space="preserve"> -</v>
          </cell>
        </row>
        <row r="108">
          <cell r="G108" t="str">
            <v xml:space="preserve"> -</v>
          </cell>
        </row>
        <row r="109">
          <cell r="G109" t="str">
            <v xml:space="preserve"> -</v>
          </cell>
        </row>
        <row r="110">
          <cell r="G110" t="str">
            <v xml:space="preserve"> -</v>
          </cell>
        </row>
        <row r="111">
          <cell r="G111" t="str">
            <v xml:space="preserve"> -</v>
          </cell>
        </row>
        <row r="112">
          <cell r="G112" t="str">
            <v xml:space="preserve"> -</v>
          </cell>
        </row>
        <row r="113">
          <cell r="G113" t="str">
            <v xml:space="preserve"> -</v>
          </cell>
        </row>
        <row r="114">
          <cell r="G114" t="str">
            <v xml:space="preserve"> -</v>
          </cell>
        </row>
        <row r="115">
          <cell r="G115" t="str">
            <v xml:space="preserve"> -</v>
          </cell>
        </row>
        <row r="116">
          <cell r="G116" t="str">
            <v xml:space="preserve"> -</v>
          </cell>
        </row>
        <row r="117">
          <cell r="G117" t="str">
            <v xml:space="preserve"> -</v>
          </cell>
        </row>
        <row r="118">
          <cell r="G118" t="str">
            <v xml:space="preserve"> -</v>
          </cell>
        </row>
        <row r="119">
          <cell r="G119" t="str">
            <v xml:space="preserve"> -</v>
          </cell>
        </row>
        <row r="120">
          <cell r="G120" t="str">
            <v xml:space="preserve"> -</v>
          </cell>
        </row>
        <row r="121">
          <cell r="G121" t="str">
            <v xml:space="preserve"> -</v>
          </cell>
        </row>
        <row r="122">
          <cell r="G122" t="str">
            <v xml:space="preserve"> -</v>
          </cell>
        </row>
        <row r="123">
          <cell r="G123" t="str">
            <v xml:space="preserve"> -</v>
          </cell>
        </row>
        <row r="124">
          <cell r="G124" t="str">
            <v xml:space="preserve"> -</v>
          </cell>
        </row>
        <row r="125">
          <cell r="G125" t="str">
            <v xml:space="preserve"> -</v>
          </cell>
        </row>
        <row r="126">
          <cell r="G126" t="str">
            <v xml:space="preserve"> -</v>
          </cell>
        </row>
        <row r="127">
          <cell r="G127" t="str">
            <v xml:space="preserve"> -</v>
          </cell>
        </row>
        <row r="128">
          <cell r="G128" t="str">
            <v xml:space="preserve"> -</v>
          </cell>
        </row>
        <row r="129">
          <cell r="G129" t="str">
            <v xml:space="preserve"> -</v>
          </cell>
        </row>
        <row r="130">
          <cell r="G130" t="str">
            <v xml:space="preserve"> -</v>
          </cell>
        </row>
        <row r="131">
          <cell r="G131" t="str">
            <v xml:space="preserve"> -</v>
          </cell>
        </row>
        <row r="132">
          <cell r="G132" t="str">
            <v xml:space="preserve"> -</v>
          </cell>
        </row>
        <row r="133">
          <cell r="G133" t="str">
            <v xml:space="preserve"> -</v>
          </cell>
        </row>
        <row r="134">
          <cell r="G134" t="str">
            <v xml:space="preserve"> -</v>
          </cell>
        </row>
        <row r="135">
          <cell r="G135" t="str">
            <v xml:space="preserve"> -</v>
          </cell>
        </row>
        <row r="136">
          <cell r="G136" t="str">
            <v xml:space="preserve"> -</v>
          </cell>
        </row>
        <row r="137">
          <cell r="G137" t="str">
            <v xml:space="preserve"> -</v>
          </cell>
        </row>
        <row r="138">
          <cell r="G138" t="str">
            <v xml:space="preserve"> -</v>
          </cell>
        </row>
        <row r="139">
          <cell r="G139" t="str">
            <v xml:space="preserve"> -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Z1" t="str">
            <v xml:space="preserve">No guia </v>
          </cell>
          <cell r="AA1" t="str">
            <v>Nombre - Destinario</v>
          </cell>
          <cell r="AB1" t="str">
            <v>Apellido - Destinario</v>
          </cell>
          <cell r="AC1" t="str">
            <v>Compañia - Destinario</v>
          </cell>
          <cell r="AD1" t="str">
            <v>Dirección - Destinario</v>
          </cell>
          <cell r="AE1" t="str">
            <v>Número ext. - Destinario</v>
          </cell>
          <cell r="AF1" t="str">
            <v>Barrio - Destinario</v>
          </cell>
          <cell r="AG1" t="str">
            <v>Edificio/Interior/Apto - Destinario</v>
          </cell>
          <cell r="AH1" t="str">
            <v>Indicaciones/Referencias - Destinario</v>
          </cell>
          <cell r="AI1" t="str">
            <v>Ciudad  - Destinario</v>
          </cell>
          <cell r="AJ1" t="str">
            <v>Departamento - Destinatario</v>
          </cell>
          <cell r="AK1" t="str">
            <v>Teléfono - Destinario</v>
          </cell>
          <cell r="AL1" t="str">
            <v>Email - Destinario</v>
          </cell>
          <cell r="AM1" t="str">
            <v>Fecha de pago</v>
          </cell>
          <cell r="AN1" t="str">
            <v>Costo Guía</v>
          </cell>
        </row>
        <row r="2">
          <cell r="Z2" t="str">
            <v>3199774-84151181537</v>
          </cell>
          <cell r="AA2" t="str">
            <v>Angie</v>
          </cell>
          <cell r="AB2" t="str">
            <v>Marcela Vargas</v>
          </cell>
          <cell r="AC2" t="str">
            <v>Angie</v>
          </cell>
          <cell r="AD2" t="str">
            <v>calle 46 #81-61</v>
          </cell>
          <cell r="AF2" t="str">
            <v>MedellinAntioquia</v>
          </cell>
          <cell r="AG2" t="str">
            <v>Apto 401 edfSan Rafael</v>
          </cell>
          <cell r="AH2" t="str">
            <v>MedellinAntioquia</v>
          </cell>
          <cell r="AI2" t="str">
            <v>MEDELLIN</v>
          </cell>
          <cell r="AJ2" t="str">
            <v>ANTIOQUIA</v>
          </cell>
          <cell r="AK2" t="str">
            <v>3157901275</v>
          </cell>
          <cell r="AL2" t="str">
            <v>angievarpar@hotmail.com</v>
          </cell>
          <cell r="AM2">
            <v>45748.4534375</v>
          </cell>
          <cell r="AN2">
            <v>26913</v>
          </cell>
        </row>
        <row r="3">
          <cell r="Z3" t="str">
            <v>3199776-84151181538</v>
          </cell>
          <cell r="AA3" t="str">
            <v>Angie</v>
          </cell>
          <cell r="AB3" t="str">
            <v>Marcela Vargas</v>
          </cell>
          <cell r="AC3" t="str">
            <v>Angie</v>
          </cell>
          <cell r="AD3" t="str">
            <v>calle 46 #81-61</v>
          </cell>
          <cell r="AF3" t="str">
            <v>MedellinAntioquia</v>
          </cell>
          <cell r="AG3" t="str">
            <v>Apto 401 edfSan Rafael</v>
          </cell>
          <cell r="AH3" t="str">
            <v>MedellinAntioquia</v>
          </cell>
          <cell r="AI3" t="str">
            <v>MEDELLIN</v>
          </cell>
          <cell r="AJ3" t="str">
            <v>ANTIOQUIA</v>
          </cell>
          <cell r="AK3" t="str">
            <v>3157901275</v>
          </cell>
          <cell r="AL3" t="str">
            <v>angievarpar@hotmail.com</v>
          </cell>
          <cell r="AM3">
            <v>45748.453506944446</v>
          </cell>
          <cell r="AN3">
            <v>23593</v>
          </cell>
        </row>
        <row r="4">
          <cell r="Z4" t="str">
            <v>3199793-84151181545</v>
          </cell>
          <cell r="AA4" t="str">
            <v>Angie</v>
          </cell>
          <cell r="AB4" t="str">
            <v>Marcela Vargas</v>
          </cell>
          <cell r="AC4" t="str">
            <v>Angie</v>
          </cell>
          <cell r="AD4" t="str">
            <v>calle 46 #81-61</v>
          </cell>
          <cell r="AF4" t="str">
            <v>MedellinAntioquia</v>
          </cell>
          <cell r="AG4" t="str">
            <v>Apto 401 edfSan Rafael</v>
          </cell>
          <cell r="AH4" t="str">
            <v>MedellinAntioquia</v>
          </cell>
          <cell r="AI4" t="str">
            <v>MEDELLIN</v>
          </cell>
          <cell r="AJ4" t="str">
            <v>ANTIOQUIA</v>
          </cell>
          <cell r="AK4" t="str">
            <v>3157901275</v>
          </cell>
          <cell r="AL4" t="str">
            <v>angievarpar@hotmail.com</v>
          </cell>
          <cell r="AM4">
            <v>45748.454594907409</v>
          </cell>
          <cell r="AN4">
            <v>22920</v>
          </cell>
        </row>
        <row r="5">
          <cell r="Z5" t="str">
            <v>3205716-954101187697</v>
          </cell>
          <cell r="AA5" t="str">
            <v>Angie</v>
          </cell>
          <cell r="AB5" t="str">
            <v>Marcela Vargas</v>
          </cell>
          <cell r="AC5" t="str">
            <v>Angie</v>
          </cell>
          <cell r="AD5" t="str">
            <v>calle 46 #81-61</v>
          </cell>
          <cell r="AF5" t="str">
            <v>Medellin Antioquia</v>
          </cell>
          <cell r="AG5" t="str">
            <v>Apto 401 edf San Rafael</v>
          </cell>
          <cell r="AH5" t="str">
            <v>Medellin Antioquia</v>
          </cell>
          <cell r="AI5" t="str">
            <v>MEDELLIN</v>
          </cell>
          <cell r="AJ5" t="str">
            <v>ANTIOQUIA</v>
          </cell>
          <cell r="AK5" t="str">
            <v>3157901275</v>
          </cell>
          <cell r="AL5" t="str">
            <v>angievarpar@hotmail.com</v>
          </cell>
          <cell r="AM5">
            <v>45750.406030092592</v>
          </cell>
          <cell r="AN5">
            <v>65682</v>
          </cell>
        </row>
        <row r="6">
          <cell r="Z6" t="str">
            <v>3213937-84151185713</v>
          </cell>
          <cell r="AA6" t="str">
            <v>Esteban</v>
          </cell>
          <cell r="AB6" t="str">
            <v>Salazar Zapat</v>
          </cell>
          <cell r="AC6" t="str">
            <v>Esteban</v>
          </cell>
          <cell r="AD6" t="str">
            <v>calle 30 #52 - 189</v>
          </cell>
          <cell r="AF6" t="str">
            <v>El Mirador del Hato</v>
          </cell>
          <cell r="AG6" t="str">
            <v>Apto 407 Conj Hato Verde</v>
          </cell>
          <cell r="AH6" t="str">
            <v>El Mirador del Hato</v>
          </cell>
          <cell r="AI6" t="str">
            <v>MARINILLA</v>
          </cell>
          <cell r="AJ6" t="str">
            <v>ANTIOQUIA</v>
          </cell>
          <cell r="AK6" t="str">
            <v>3108205176</v>
          </cell>
          <cell r="AL6" t="str">
            <v>salazar.z.esteban@gmail.com</v>
          </cell>
          <cell r="AM6">
            <v>45751.440659722219</v>
          </cell>
          <cell r="AN6">
            <v>28241</v>
          </cell>
        </row>
        <row r="7">
          <cell r="Z7" t="str">
            <v>3213938-84151185714</v>
          </cell>
          <cell r="AA7" t="str">
            <v>Esteban</v>
          </cell>
          <cell r="AB7" t="str">
            <v>Salazar Zapat</v>
          </cell>
          <cell r="AC7" t="str">
            <v>Esteban</v>
          </cell>
          <cell r="AD7" t="str">
            <v>calle 30 #52 - 189</v>
          </cell>
          <cell r="AF7" t="str">
            <v>El Mirador del Hato</v>
          </cell>
          <cell r="AG7" t="str">
            <v>Apto 407 Conj Hato Verde</v>
          </cell>
          <cell r="AH7" t="str">
            <v>El Mirador del Hato</v>
          </cell>
          <cell r="AI7" t="str">
            <v>MARINILLA</v>
          </cell>
          <cell r="AJ7" t="str">
            <v>ANTIOQUIA</v>
          </cell>
          <cell r="AK7" t="str">
            <v>3108205176</v>
          </cell>
          <cell r="AL7" t="str">
            <v>salazar.z.esteban@gmail.com</v>
          </cell>
          <cell r="AM7">
            <v>45751.440740740742</v>
          </cell>
          <cell r="AN7">
            <v>26249</v>
          </cell>
        </row>
        <row r="8">
          <cell r="Z8" t="str">
            <v>3230437-84151191223</v>
          </cell>
          <cell r="AA8" t="str">
            <v>Rafael</v>
          </cell>
          <cell r="AB8" t="str">
            <v xml:space="preserve">del castillo </v>
          </cell>
          <cell r="AC8" t="str">
            <v>Rafael</v>
          </cell>
          <cell r="AD8" t="str">
            <v>bosque Av pedro velez # 20 - 65</v>
          </cell>
          <cell r="AF8" t="str">
            <v>CartagenaBolivar</v>
          </cell>
          <cell r="AG8" t="str">
            <v>Oficina</v>
          </cell>
          <cell r="AH8" t="str">
            <v>CartagenaBolivar</v>
          </cell>
          <cell r="AI8" t="str">
            <v>CARTAGENA</v>
          </cell>
          <cell r="AJ8" t="str">
            <v>BOLIVAR</v>
          </cell>
          <cell r="AK8" t="str">
            <v>3114657710</v>
          </cell>
          <cell r="AL8" t="str">
            <v>rbuelvasm@3castillos.com</v>
          </cell>
          <cell r="AM8">
            <v>45756.523912037039</v>
          </cell>
          <cell r="AN8">
            <v>47787</v>
          </cell>
        </row>
        <row r="9">
          <cell r="Z9" t="str">
            <v>3230439-84151191225</v>
          </cell>
          <cell r="AA9" t="str">
            <v>Rafael</v>
          </cell>
          <cell r="AB9" t="str">
            <v xml:space="preserve">del castillo </v>
          </cell>
          <cell r="AC9" t="str">
            <v>Rafael</v>
          </cell>
          <cell r="AD9" t="str">
            <v>bosque Av pedro velez # 20 - 65</v>
          </cell>
          <cell r="AF9" t="str">
            <v>CartagenaBolivar</v>
          </cell>
          <cell r="AG9" t="str">
            <v>Oficina</v>
          </cell>
          <cell r="AH9" t="str">
            <v>CartagenaBolivar</v>
          </cell>
          <cell r="AI9" t="str">
            <v>CARTAGENA</v>
          </cell>
          <cell r="AJ9" t="str">
            <v>BOLIVAR</v>
          </cell>
          <cell r="AK9" t="str">
            <v>3114657710</v>
          </cell>
          <cell r="AL9" t="str">
            <v>rbuelvasm@3castillos.com</v>
          </cell>
          <cell r="AM9">
            <v>45756.523993055547</v>
          </cell>
          <cell r="AN9">
            <v>38578</v>
          </cell>
        </row>
        <row r="10">
          <cell r="Z10" t="str">
            <v>3230442-84151191228</v>
          </cell>
          <cell r="AA10" t="str">
            <v>Rafael</v>
          </cell>
          <cell r="AB10" t="str">
            <v xml:space="preserve">del castillo </v>
          </cell>
          <cell r="AC10" t="str">
            <v>Rafael</v>
          </cell>
          <cell r="AD10" t="str">
            <v>bosque Av pedro velez # 20 - 65</v>
          </cell>
          <cell r="AF10" t="str">
            <v>CartagenaBolivar</v>
          </cell>
          <cell r="AG10" t="str">
            <v>Oficina</v>
          </cell>
          <cell r="AH10" t="str">
            <v>CartagenaBolivar</v>
          </cell>
          <cell r="AI10" t="str">
            <v>CARTAGENA</v>
          </cell>
          <cell r="AJ10" t="str">
            <v>BOLIVAR</v>
          </cell>
          <cell r="AK10" t="str">
            <v>3114657710</v>
          </cell>
          <cell r="AL10" t="str">
            <v>rbuelvasm@3castillos.com</v>
          </cell>
          <cell r="AM10">
            <v>45756.525300925918</v>
          </cell>
          <cell r="AN10">
            <v>22920</v>
          </cell>
        </row>
        <row r="11">
          <cell r="Z11" t="str">
            <v>3240492-84151194821</v>
          </cell>
          <cell r="AA11" t="str">
            <v>Adrian</v>
          </cell>
          <cell r="AB11" t="str">
            <v>Moya</v>
          </cell>
          <cell r="AC11" t="str">
            <v>Adrian</v>
          </cell>
          <cell r="AD11" t="str">
            <v>cra 43g #19-142</v>
          </cell>
          <cell r="AF11" t="str">
            <v>Ciudad del Rio</v>
          </cell>
          <cell r="AG11" t="str">
            <v>Apto 707 T 1 Unidad la Ri</v>
          </cell>
          <cell r="AH11" t="str">
            <v>Ciudad del Rio</v>
          </cell>
          <cell r="AI11" t="str">
            <v>MEDELLIN</v>
          </cell>
          <cell r="AJ11" t="str">
            <v>ANTIOQUIA</v>
          </cell>
          <cell r="AK11" t="str">
            <v>3102759555</v>
          </cell>
          <cell r="AL11" t="str">
            <v>adrianmoya@gmail.com</v>
          </cell>
          <cell r="AM11">
            <v>45761.430694444447</v>
          </cell>
          <cell r="AN11">
            <v>26913</v>
          </cell>
        </row>
        <row r="12">
          <cell r="Z12" t="str">
            <v>3240493-84151194822</v>
          </cell>
          <cell r="AA12" t="str">
            <v>Adrian</v>
          </cell>
          <cell r="AB12" t="str">
            <v>Moya</v>
          </cell>
          <cell r="AC12" t="str">
            <v>Adrian</v>
          </cell>
          <cell r="AD12" t="str">
            <v>cra 43g #19-142</v>
          </cell>
          <cell r="AF12" t="str">
            <v>Ciudad del Rio</v>
          </cell>
          <cell r="AG12" t="str">
            <v>Apto 707 T 1 Unidad la Ri</v>
          </cell>
          <cell r="AH12" t="str">
            <v>Ciudad del Rio</v>
          </cell>
          <cell r="AI12" t="str">
            <v>MEDELLIN</v>
          </cell>
          <cell r="AJ12" t="str">
            <v>ANTIOQUIA</v>
          </cell>
          <cell r="AK12" t="str">
            <v>3102759555</v>
          </cell>
          <cell r="AL12" t="str">
            <v>adrianmoya@gmail.com</v>
          </cell>
          <cell r="AM12">
            <v>45761.430752314824</v>
          </cell>
          <cell r="AN12">
            <v>23593</v>
          </cell>
        </row>
        <row r="13">
          <cell r="Z13" t="str">
            <v>3240516-84151194831</v>
          </cell>
          <cell r="AA13" t="str">
            <v>Adrian</v>
          </cell>
          <cell r="AB13" t="str">
            <v>Moya</v>
          </cell>
          <cell r="AC13" t="str">
            <v>Adrian</v>
          </cell>
          <cell r="AD13" t="str">
            <v>cra 43g #19-142</v>
          </cell>
          <cell r="AF13" t="str">
            <v>Ciudad del Rio</v>
          </cell>
          <cell r="AG13" t="str">
            <v>Apto 707 T 1 Unidad la Ri</v>
          </cell>
          <cell r="AH13" t="str">
            <v>Ciudad del Rio</v>
          </cell>
          <cell r="AI13" t="str">
            <v>MEDELLIN</v>
          </cell>
          <cell r="AJ13" t="str">
            <v>ANTIOQUIA</v>
          </cell>
          <cell r="AK13" t="str">
            <v>3102759555</v>
          </cell>
          <cell r="AL13" t="str">
            <v>adrianmoya@gmail.com</v>
          </cell>
          <cell r="AM13">
            <v>45761.432928240742</v>
          </cell>
          <cell r="AN13">
            <v>15152</v>
          </cell>
        </row>
        <row r="14">
          <cell r="Z14" t="str">
            <v>3240532-84151194845</v>
          </cell>
          <cell r="AA14" t="str">
            <v>Adrian</v>
          </cell>
          <cell r="AB14" t="str">
            <v>Moya</v>
          </cell>
          <cell r="AC14" t="str">
            <v>Adrian</v>
          </cell>
          <cell r="AD14" t="str">
            <v>cra 43g #19-142</v>
          </cell>
          <cell r="AF14" t="str">
            <v>Ciudad del Rio</v>
          </cell>
          <cell r="AG14" t="str">
            <v>Apto 707 T 1 Unidad la Ri</v>
          </cell>
          <cell r="AH14" t="str">
            <v>Ciudad del Rio</v>
          </cell>
          <cell r="AI14" t="str">
            <v>MEDELLIN</v>
          </cell>
          <cell r="AJ14" t="str">
            <v>ANTIOQUIA</v>
          </cell>
          <cell r="AK14" t="str">
            <v>3102759555</v>
          </cell>
          <cell r="AL14" t="str">
            <v>adrianmoya@gmail.com</v>
          </cell>
          <cell r="AM14">
            <v>45761.434259259258</v>
          </cell>
          <cell r="AN14">
            <v>22920</v>
          </cell>
        </row>
        <row r="15">
          <cell r="Z15" t="str">
            <v>3240547-84151194859</v>
          </cell>
          <cell r="AA15" t="str">
            <v>Adrian</v>
          </cell>
          <cell r="AB15" t="str">
            <v>Moya</v>
          </cell>
          <cell r="AC15" t="str">
            <v>Adrian</v>
          </cell>
          <cell r="AD15" t="str">
            <v>cra 43g #19-142</v>
          </cell>
          <cell r="AF15" t="str">
            <v>Ciudad del Rio</v>
          </cell>
          <cell r="AG15" t="str">
            <v>Apto 707 T 1 Unidad la Ri</v>
          </cell>
          <cell r="AH15" t="str">
            <v>Ciudad del Rio</v>
          </cell>
          <cell r="AI15" t="str">
            <v>MEDELLIN</v>
          </cell>
          <cell r="AJ15" t="str">
            <v>ANTIOQUIA</v>
          </cell>
          <cell r="AK15" t="str">
            <v>3102759555</v>
          </cell>
          <cell r="AL15" t="str">
            <v>adrianmoya@gmail.com</v>
          </cell>
          <cell r="AM15">
            <v>45761.436412037037</v>
          </cell>
          <cell r="AN15">
            <v>22929</v>
          </cell>
        </row>
        <row r="16">
          <cell r="Z16" t="str">
            <v>3240730-84151194968</v>
          </cell>
          <cell r="AA16" t="str">
            <v>Jose</v>
          </cell>
          <cell r="AB16" t="str">
            <v>David Ludian Coh</v>
          </cell>
          <cell r="AC16" t="str">
            <v>Jose</v>
          </cell>
          <cell r="AD16" t="str">
            <v>cra 52ac #33a - 35</v>
          </cell>
          <cell r="AF16" t="str">
            <v>Sector ojo de agua</v>
          </cell>
          <cell r="AG16" t="str">
            <v>Apto 401 T 2 Unidad AQUA</v>
          </cell>
          <cell r="AH16" t="str">
            <v>Sector ojo de agua</v>
          </cell>
          <cell r="AI16" t="str">
            <v>RIONEGRO</v>
          </cell>
          <cell r="AJ16" t="str">
            <v>ANTIOQUIA</v>
          </cell>
          <cell r="AK16" t="str">
            <v>3146744640</v>
          </cell>
          <cell r="AL16" t="str">
            <v>ludiancohen@gmail.com</v>
          </cell>
          <cell r="AM16">
            <v>45761.455416666657</v>
          </cell>
          <cell r="AN16">
            <v>28241</v>
          </cell>
        </row>
        <row r="17">
          <cell r="Z17" t="str">
            <v>3240731-84151194969</v>
          </cell>
          <cell r="AA17" t="str">
            <v>Jose</v>
          </cell>
          <cell r="AB17" t="str">
            <v>David Ludian Coh</v>
          </cell>
          <cell r="AC17" t="str">
            <v>Jose</v>
          </cell>
          <cell r="AD17" t="str">
            <v>cra 52ac #33a - 35</v>
          </cell>
          <cell r="AF17" t="str">
            <v>Sector ojo de agua</v>
          </cell>
          <cell r="AG17" t="str">
            <v>Apto 401 T 2 Unidad AQUA</v>
          </cell>
          <cell r="AH17" t="str">
            <v>Sector ojo de agua</v>
          </cell>
          <cell r="AI17" t="str">
            <v>RIONEGRO</v>
          </cell>
          <cell r="AJ17" t="str">
            <v>ANTIOQUIA</v>
          </cell>
          <cell r="AK17" t="str">
            <v>3146744640</v>
          </cell>
          <cell r="AL17" t="str">
            <v>ludiancohen@gmail.com</v>
          </cell>
          <cell r="AM17">
            <v>45761.455497685187</v>
          </cell>
          <cell r="AN17">
            <v>26249</v>
          </cell>
        </row>
        <row r="18">
          <cell r="Z18" t="str">
            <v>3241373-84151195322</v>
          </cell>
          <cell r="AA18" t="str">
            <v>Adrian</v>
          </cell>
          <cell r="AB18" t="str">
            <v>Moya</v>
          </cell>
          <cell r="AC18" t="str">
            <v>Adrian</v>
          </cell>
          <cell r="AD18" t="str">
            <v>cra 43g #19-142</v>
          </cell>
          <cell r="AF18" t="str">
            <v>Ciudad del Rio</v>
          </cell>
          <cell r="AG18" t="str">
            <v>Apto 707 T 1 Unidad la Ri</v>
          </cell>
          <cell r="AH18" t="str">
            <v>Ciudad del Rio</v>
          </cell>
          <cell r="AI18" t="str">
            <v>MEDELLIN</v>
          </cell>
          <cell r="AJ18" t="str">
            <v>ANTIOQUIA</v>
          </cell>
          <cell r="AK18" t="str">
            <v>3102759555</v>
          </cell>
          <cell r="AL18" t="str">
            <v>adrianmoya@gmail.com</v>
          </cell>
          <cell r="AM18">
            <v>45761.528240740743</v>
          </cell>
          <cell r="AN18">
            <v>22920</v>
          </cell>
        </row>
        <row r="19">
          <cell r="Z19" t="str">
            <v>3243367-84151196160</v>
          </cell>
          <cell r="AA19" t="str">
            <v>Ronald</v>
          </cell>
          <cell r="AB19" t="str">
            <v>Rengifo</v>
          </cell>
          <cell r="AC19" t="str">
            <v>Ronald</v>
          </cell>
          <cell r="AD19" t="str">
            <v>cra 37a no 29 56</v>
          </cell>
          <cell r="AF19" t="str">
            <v>Loma del Indio</v>
          </cell>
          <cell r="AG19" t="str">
            <v>Apto 2808</v>
          </cell>
          <cell r="AH19" t="str">
            <v>Loma del Indio</v>
          </cell>
          <cell r="AI19" t="str">
            <v>MEDELLIN</v>
          </cell>
          <cell r="AJ19" t="str">
            <v>ANTIOQUIA</v>
          </cell>
          <cell r="AK19" t="str">
            <v>3013358722</v>
          </cell>
          <cell r="AL19" t="str">
            <v>shop@ronaldrengifo.com</v>
          </cell>
          <cell r="AM19">
            <v>45762.376215277778</v>
          </cell>
          <cell r="AN19">
            <v>28241</v>
          </cell>
        </row>
        <row r="20">
          <cell r="Z20" t="str">
            <v>3243368-84151196161</v>
          </cell>
          <cell r="AA20" t="str">
            <v>Ronald</v>
          </cell>
          <cell r="AB20" t="str">
            <v>Rengifo</v>
          </cell>
          <cell r="AC20" t="str">
            <v>Ronald</v>
          </cell>
          <cell r="AD20" t="str">
            <v>cra 37a no 29 56</v>
          </cell>
          <cell r="AF20" t="str">
            <v>Loma del Indio</v>
          </cell>
          <cell r="AG20" t="str">
            <v>Apto 2808</v>
          </cell>
          <cell r="AH20" t="str">
            <v>Loma del Indio</v>
          </cell>
          <cell r="AI20" t="str">
            <v>MEDELLIN</v>
          </cell>
          <cell r="AJ20" t="str">
            <v>ANTIOQUIA</v>
          </cell>
          <cell r="AK20" t="str">
            <v>3013358722</v>
          </cell>
          <cell r="AL20" t="str">
            <v>shop@ronaldrengifo.com</v>
          </cell>
          <cell r="AM20">
            <v>45762.376284722217</v>
          </cell>
          <cell r="AN20">
            <v>26249</v>
          </cell>
        </row>
        <row r="21">
          <cell r="Z21" t="str">
            <v>3243462-84151196208</v>
          </cell>
          <cell r="AA21" t="str">
            <v>Adrian</v>
          </cell>
          <cell r="AB21" t="str">
            <v>Cardona</v>
          </cell>
          <cell r="AC21" t="str">
            <v>Adrian</v>
          </cell>
          <cell r="AD21" t="str">
            <v>Cra 43d 5-41</v>
          </cell>
          <cell r="AF21" t="str">
            <v>Patio Bonito</v>
          </cell>
          <cell r="AG21" t="str">
            <v>Apto 302</v>
          </cell>
          <cell r="AH21" t="str">
            <v>Patio Bonito</v>
          </cell>
          <cell r="AI21" t="str">
            <v>MEDELLIN</v>
          </cell>
          <cell r="AJ21" t="str">
            <v>ANTIOQUIA</v>
          </cell>
          <cell r="AK21" t="str">
            <v>3167936641</v>
          </cell>
          <cell r="AL21" t="str">
            <v>cardonadrian@gmail.com</v>
          </cell>
          <cell r="AM21">
            <v>45762.395775462966</v>
          </cell>
          <cell r="AN21">
            <v>26913</v>
          </cell>
        </row>
        <row r="22">
          <cell r="Z22" t="str">
            <v>3243463-84151196210</v>
          </cell>
          <cell r="AA22" t="str">
            <v>Adrian</v>
          </cell>
          <cell r="AB22" t="str">
            <v>Cardona</v>
          </cell>
          <cell r="AC22" t="str">
            <v>Adrian</v>
          </cell>
          <cell r="AD22" t="str">
            <v>Cra 43d 5-41</v>
          </cell>
          <cell r="AF22" t="str">
            <v>Patio Bonito</v>
          </cell>
          <cell r="AG22" t="str">
            <v>Apto 302</v>
          </cell>
          <cell r="AH22" t="str">
            <v>Patio Bonito</v>
          </cell>
          <cell r="AI22" t="str">
            <v>MEDELLIN</v>
          </cell>
          <cell r="AJ22" t="str">
            <v>ANTIOQUIA</v>
          </cell>
          <cell r="AK22" t="str">
            <v>3167936641</v>
          </cell>
          <cell r="AL22" t="str">
            <v>cardonadrian@gmail.com</v>
          </cell>
          <cell r="AM22">
            <v>45762.395844907413</v>
          </cell>
          <cell r="AN22">
            <v>23593</v>
          </cell>
        </row>
        <row r="23">
          <cell r="Z23" t="str">
            <v>3252191-84151199490</v>
          </cell>
          <cell r="AA23" t="str">
            <v>Carlos</v>
          </cell>
          <cell r="AB23" t="str">
            <v>Angel</v>
          </cell>
          <cell r="AC23" t="str">
            <v>Carlos</v>
          </cell>
          <cell r="AD23" t="str">
            <v>serviclip, Km 8.5</v>
          </cell>
          <cell r="AF23" t="str">
            <v>Vereda tres puertas</v>
          </cell>
          <cell r="AG23" t="str">
            <v>Edf121 local 1 Ciudadela</v>
          </cell>
          <cell r="AH23" t="str">
            <v>Vereda tres puertas</v>
          </cell>
          <cell r="AI23" t="str">
            <v>RIONEGRO</v>
          </cell>
          <cell r="AJ23" t="str">
            <v>ANTIOQUIA</v>
          </cell>
          <cell r="AK23" t="str">
            <v>3053554435</v>
          </cell>
          <cell r="AL23" t="str">
            <v>carlos.angel.uribe@gmail.com</v>
          </cell>
          <cell r="AM23">
            <v>45768.454872685194</v>
          </cell>
          <cell r="AN23">
            <v>22929</v>
          </cell>
        </row>
        <row r="24">
          <cell r="Z24" t="str">
            <v>3256028-84151201365</v>
          </cell>
          <cell r="AA24" t="str">
            <v>Christiana</v>
          </cell>
          <cell r="AB24" t="str">
            <v>Bowen</v>
          </cell>
          <cell r="AC24" t="str">
            <v>Christiana</v>
          </cell>
          <cell r="AD24" t="str">
            <v>calle 18a sur #22-130</v>
          </cell>
          <cell r="AF24" t="str">
            <v>MedellinAntioquia</v>
          </cell>
          <cell r="AG24" t="str">
            <v>Apto 1201 Edf Silecia</v>
          </cell>
          <cell r="AH24" t="str">
            <v>MedellinAntioquia</v>
          </cell>
          <cell r="AI24" t="str">
            <v>MEDELLIN</v>
          </cell>
          <cell r="AJ24" t="str">
            <v>ANTIOQUIA</v>
          </cell>
          <cell r="AK24" t="str">
            <v>3144842510</v>
          </cell>
          <cell r="AL24" t="str">
            <v>ux.bowen@gmail.com</v>
          </cell>
          <cell r="AM24">
            <v>45769.412187499998</v>
          </cell>
          <cell r="AN24">
            <v>26913</v>
          </cell>
        </row>
        <row r="25">
          <cell r="Z25" t="str">
            <v>3256029-84151201366</v>
          </cell>
          <cell r="AA25" t="str">
            <v>Christiana</v>
          </cell>
          <cell r="AB25" t="str">
            <v>Bowen</v>
          </cell>
          <cell r="AC25" t="str">
            <v>Christiana</v>
          </cell>
          <cell r="AD25" t="str">
            <v>calle 18a sur #22-130</v>
          </cell>
          <cell r="AF25" t="str">
            <v>MedellinAntioquia</v>
          </cell>
          <cell r="AG25" t="str">
            <v>Apto 1201 Edf Silecia</v>
          </cell>
          <cell r="AH25" t="str">
            <v>MedellinAntioquia</v>
          </cell>
          <cell r="AI25" t="str">
            <v>MEDELLIN</v>
          </cell>
          <cell r="AJ25" t="str">
            <v>ANTIOQUIA</v>
          </cell>
          <cell r="AK25" t="str">
            <v>3144842510</v>
          </cell>
          <cell r="AL25" t="str">
            <v>ux.bowen@gmail.com</v>
          </cell>
          <cell r="AM25">
            <v>45769.412245370368</v>
          </cell>
          <cell r="AN25">
            <v>23593</v>
          </cell>
        </row>
        <row r="26">
          <cell r="Z26" t="str">
            <v>3256053-84151201375</v>
          </cell>
          <cell r="AA26" t="str">
            <v>Christiana</v>
          </cell>
          <cell r="AB26" t="str">
            <v>Bowen</v>
          </cell>
          <cell r="AC26" t="str">
            <v>Christiana</v>
          </cell>
          <cell r="AD26" t="str">
            <v>calle 18a sur #22-130</v>
          </cell>
          <cell r="AF26" t="str">
            <v>MedellinAntioquia</v>
          </cell>
          <cell r="AG26" t="str">
            <v>Apto 1201 Edf Silecia</v>
          </cell>
          <cell r="AH26" t="str">
            <v>MedellinAntioquia</v>
          </cell>
          <cell r="AI26" t="str">
            <v>MEDELLIN</v>
          </cell>
          <cell r="AJ26" t="str">
            <v>ANTIOQUIA</v>
          </cell>
          <cell r="AK26" t="str">
            <v>3144842510</v>
          </cell>
          <cell r="AL26" t="str">
            <v>ux.bowen@gmail.com</v>
          </cell>
          <cell r="AM26">
            <v>45769.413969907408</v>
          </cell>
          <cell r="AN26">
            <v>26913</v>
          </cell>
        </row>
        <row r="27">
          <cell r="Z27" t="str">
            <v>3256054-84151201376</v>
          </cell>
          <cell r="AA27" t="str">
            <v>Christiana</v>
          </cell>
          <cell r="AB27" t="str">
            <v>Bowen</v>
          </cell>
          <cell r="AC27" t="str">
            <v>Christiana</v>
          </cell>
          <cell r="AD27" t="str">
            <v>calle 18a sur #22-130</v>
          </cell>
          <cell r="AF27" t="str">
            <v>MedellinAntioquia</v>
          </cell>
          <cell r="AG27" t="str">
            <v>Apto 1201 Edf Silecia</v>
          </cell>
          <cell r="AH27" t="str">
            <v>MedellinAntioquia</v>
          </cell>
          <cell r="AI27" t="str">
            <v>MEDELLIN</v>
          </cell>
          <cell r="AJ27" t="str">
            <v>ANTIOQUIA</v>
          </cell>
          <cell r="AK27" t="str">
            <v>3144842510</v>
          </cell>
          <cell r="AL27" t="str">
            <v>ux.bowen@gmail.com</v>
          </cell>
          <cell r="AM27">
            <v>45769.414039351846</v>
          </cell>
          <cell r="AN27">
            <v>23593</v>
          </cell>
        </row>
        <row r="28">
          <cell r="Z28" t="str">
            <v>3256066-84151201384</v>
          </cell>
          <cell r="AA28" t="str">
            <v>Christiana</v>
          </cell>
          <cell r="AB28" t="str">
            <v>Bowen</v>
          </cell>
          <cell r="AC28" t="str">
            <v>Christiana</v>
          </cell>
          <cell r="AD28" t="str">
            <v>calle 18a sur #22-130</v>
          </cell>
          <cell r="AF28" t="str">
            <v>MedellinAntioquia</v>
          </cell>
          <cell r="AG28" t="str">
            <v>Apto 1201 Edf Silecia</v>
          </cell>
          <cell r="AH28" t="str">
            <v>MedellinAntioquia</v>
          </cell>
          <cell r="AI28" t="str">
            <v>MEDELLIN</v>
          </cell>
          <cell r="AJ28" t="str">
            <v>ANTIOQUIA</v>
          </cell>
          <cell r="AK28" t="str">
            <v>3144842510</v>
          </cell>
          <cell r="AL28" t="str">
            <v>ux.bowen@gmail.com</v>
          </cell>
          <cell r="AM28">
            <v>45769.415462962963</v>
          </cell>
          <cell r="AN28">
            <v>22929</v>
          </cell>
        </row>
        <row r="29">
          <cell r="Z29" t="str">
            <v>3256077-84151201389</v>
          </cell>
          <cell r="AA29" t="str">
            <v>Christiana</v>
          </cell>
          <cell r="AB29" t="str">
            <v>Bowen</v>
          </cell>
          <cell r="AC29" t="str">
            <v>Christiana</v>
          </cell>
          <cell r="AD29" t="str">
            <v>calle 18a sur #22-130</v>
          </cell>
          <cell r="AF29" t="str">
            <v>MedellinAntioquia</v>
          </cell>
          <cell r="AG29" t="str">
            <v>Apto 1201 Edf Silecia</v>
          </cell>
          <cell r="AH29" t="str">
            <v>MedellinAntioquia</v>
          </cell>
          <cell r="AI29" t="str">
            <v>MEDELLIN</v>
          </cell>
          <cell r="AJ29" t="str">
            <v>ANTIOQUIA</v>
          </cell>
          <cell r="AK29" t="str">
            <v>3144842510</v>
          </cell>
          <cell r="AL29" t="str">
            <v>ux.bowen@gmail.com</v>
          </cell>
          <cell r="AM29">
            <v>45769.416747685187</v>
          </cell>
          <cell r="AN29">
            <v>22929</v>
          </cell>
        </row>
        <row r="30">
          <cell r="Z30" t="str">
            <v>3240311-84151194747</v>
          </cell>
          <cell r="AA30" t="str">
            <v>Willington</v>
          </cell>
          <cell r="AB30" t="str">
            <v>Soto Vives</v>
          </cell>
          <cell r="AC30" t="str">
            <v>Willington</v>
          </cell>
          <cell r="AD30" t="str">
            <v>calle 63a #30-67</v>
          </cell>
          <cell r="AF30" t="str">
            <v>BucaramangaSantander</v>
          </cell>
          <cell r="AG30" t="str">
            <v>Apto 16 etapa 1 Conj Co</v>
          </cell>
          <cell r="AH30" t="str">
            <v>BucaramangaSantander</v>
          </cell>
          <cell r="AI30" t="str">
            <v>BUCARAMANGA</v>
          </cell>
          <cell r="AJ30" t="str">
            <v>SANTANDER</v>
          </cell>
          <cell r="AK30" t="str">
            <v>3214493617</v>
          </cell>
          <cell r="AL30" t="str">
            <v>wisovi@hotmail.com</v>
          </cell>
          <cell r="AM30">
            <v>45761.4062037037</v>
          </cell>
          <cell r="AN30">
            <v>41397</v>
          </cell>
        </row>
        <row r="31">
          <cell r="Z31" t="str">
            <v>3240312-84151194748</v>
          </cell>
          <cell r="AA31" t="str">
            <v>Willington</v>
          </cell>
          <cell r="AB31" t="str">
            <v>Soto Vives</v>
          </cell>
          <cell r="AC31" t="str">
            <v>Willington</v>
          </cell>
          <cell r="AD31" t="str">
            <v>calle 63a #30-67</v>
          </cell>
          <cell r="AF31" t="str">
            <v>BucaramangaSantander</v>
          </cell>
          <cell r="AG31" t="str">
            <v>Apto 16 etapa 1 Conj Co</v>
          </cell>
          <cell r="AH31" t="str">
            <v>BucaramangaSantander</v>
          </cell>
          <cell r="AI31" t="str">
            <v>BUCARAMANGA</v>
          </cell>
          <cell r="AJ31" t="str">
            <v>SANTANDER</v>
          </cell>
          <cell r="AK31" t="str">
            <v>3214493617</v>
          </cell>
          <cell r="AL31" t="str">
            <v>wisovi@hotmail.com</v>
          </cell>
          <cell r="AM31">
            <v>45761.406273148154</v>
          </cell>
          <cell r="AN31">
            <v>38089</v>
          </cell>
        </row>
        <row r="32">
          <cell r="Z32" t="str">
            <v>3240321-84151194750</v>
          </cell>
          <cell r="AA32" t="str">
            <v>Willington</v>
          </cell>
          <cell r="AB32" t="str">
            <v>Soto Vives</v>
          </cell>
          <cell r="AC32" t="str">
            <v>Willington</v>
          </cell>
          <cell r="AD32" t="str">
            <v>calle 63a #30-67</v>
          </cell>
          <cell r="AF32" t="str">
            <v>BucaramangaSantander</v>
          </cell>
          <cell r="AG32" t="str">
            <v>Apto 16 etapa 1 Conj co</v>
          </cell>
          <cell r="AH32" t="str">
            <v>BucaramangaSantander</v>
          </cell>
          <cell r="AI32" t="str">
            <v>BUCARAMANGA</v>
          </cell>
          <cell r="AJ32" t="str">
            <v>SANTANDER</v>
          </cell>
          <cell r="AK32" t="str">
            <v>3214493617</v>
          </cell>
          <cell r="AL32" t="str">
            <v>wisovi@hotmail.com</v>
          </cell>
          <cell r="AM32">
            <v>45761.408634259264</v>
          </cell>
          <cell r="AN32">
            <v>15152</v>
          </cell>
        </row>
        <row r="33">
          <cell r="Z33" t="str">
            <v>3240357-84151194763</v>
          </cell>
          <cell r="AA33" t="str">
            <v>Willington</v>
          </cell>
          <cell r="AB33" t="str">
            <v>Soto Vives</v>
          </cell>
          <cell r="AC33" t="str">
            <v>Willington</v>
          </cell>
          <cell r="AD33" t="str">
            <v>calle 63a #30-67</v>
          </cell>
          <cell r="AF33" t="str">
            <v>BucaramangaSantander</v>
          </cell>
          <cell r="AG33" t="str">
            <v>Conj Conucos apto 16 et</v>
          </cell>
          <cell r="AH33" t="str">
            <v>BucaramangaSantander</v>
          </cell>
          <cell r="AI33" t="str">
            <v>BUCARAMANGA</v>
          </cell>
          <cell r="AJ33" t="str">
            <v>SANTANDER</v>
          </cell>
          <cell r="AK33" t="str">
            <v>3214493617</v>
          </cell>
          <cell r="AL33" t="str">
            <v>wisovi@hotmail.com</v>
          </cell>
          <cell r="AM33">
            <v>45761.412060185183</v>
          </cell>
          <cell r="AN33">
            <v>22920</v>
          </cell>
        </row>
        <row r="34">
          <cell r="Z34" t="str">
            <v>3242140-84151195687</v>
          </cell>
          <cell r="AA34" t="str">
            <v>Willington</v>
          </cell>
          <cell r="AB34" t="str">
            <v>Soto Vives</v>
          </cell>
          <cell r="AC34" t="str">
            <v>Willington</v>
          </cell>
          <cell r="AD34" t="str">
            <v>calle 63a #30-67</v>
          </cell>
          <cell r="AF34" t="str">
            <v>Conjunto Conucos</v>
          </cell>
          <cell r="AG34" t="str">
            <v>Apto 16 etapa 1</v>
          </cell>
          <cell r="AH34" t="str">
            <v>Conjunto Conucos</v>
          </cell>
          <cell r="AI34" t="str">
            <v>BUCARAMANGA</v>
          </cell>
          <cell r="AJ34" t="str">
            <v>SANTANDER</v>
          </cell>
          <cell r="AK34" t="str">
            <v>3214493617</v>
          </cell>
          <cell r="AL34" t="str">
            <v>wisovi@hotmail.com</v>
          </cell>
          <cell r="AM34">
            <v>45761.660231481481</v>
          </cell>
          <cell r="AN34">
            <v>41397</v>
          </cell>
        </row>
        <row r="35">
          <cell r="Z35" t="str">
            <v>3242141-84151195688</v>
          </cell>
          <cell r="AA35" t="str">
            <v>Willington</v>
          </cell>
          <cell r="AB35" t="str">
            <v>Soto Vives</v>
          </cell>
          <cell r="AC35" t="str">
            <v>Willington</v>
          </cell>
          <cell r="AD35" t="str">
            <v>calle 63a #30-67</v>
          </cell>
          <cell r="AF35" t="str">
            <v>Conjunto Conucos</v>
          </cell>
          <cell r="AG35" t="str">
            <v>Apto 16 etapa 1</v>
          </cell>
          <cell r="AH35" t="str">
            <v>Conjunto Conucos</v>
          </cell>
          <cell r="AI35" t="str">
            <v>BUCARAMANGA</v>
          </cell>
          <cell r="AJ35" t="str">
            <v>SANTANDER</v>
          </cell>
          <cell r="AK35" t="str">
            <v>3214493617</v>
          </cell>
          <cell r="AL35" t="str">
            <v>wisovi@hotmail.com</v>
          </cell>
          <cell r="AM35">
            <v>45761.660300925927</v>
          </cell>
          <cell r="AN35">
            <v>38089</v>
          </cell>
        </row>
        <row r="36">
          <cell r="Z36" t="str">
            <v>3242151-84151195696</v>
          </cell>
          <cell r="AA36" t="str">
            <v>Willington</v>
          </cell>
          <cell r="AB36" t="str">
            <v>Soto Vives</v>
          </cell>
          <cell r="AC36" t="str">
            <v>Willington</v>
          </cell>
          <cell r="AD36" t="str">
            <v>calle 63a #30-67</v>
          </cell>
          <cell r="AF36" t="str">
            <v>Conjunto Conucos</v>
          </cell>
          <cell r="AG36" t="str">
            <v>Apto 16 Etapa 1</v>
          </cell>
          <cell r="AH36" t="str">
            <v>Conjunto Conucos</v>
          </cell>
          <cell r="AI36" t="str">
            <v>BUCARAMANGA</v>
          </cell>
          <cell r="AJ36" t="str">
            <v>SANTANDER</v>
          </cell>
          <cell r="AK36" t="str">
            <v>3214493617</v>
          </cell>
          <cell r="AL36" t="str">
            <v>wisovi@hotmail.com</v>
          </cell>
          <cell r="AM36">
            <v>45761.662314814806</v>
          </cell>
          <cell r="AN36">
            <v>15152</v>
          </cell>
        </row>
        <row r="37">
          <cell r="Z37" t="str">
            <v>3242162-84151195701</v>
          </cell>
          <cell r="AA37" t="str">
            <v>Willington</v>
          </cell>
          <cell r="AB37" t="str">
            <v>Soto Vives</v>
          </cell>
          <cell r="AC37" t="str">
            <v>Willington</v>
          </cell>
          <cell r="AD37" t="str">
            <v>calle 63a #30-67</v>
          </cell>
          <cell r="AF37" t="str">
            <v>Conjunto Conucos</v>
          </cell>
          <cell r="AG37" t="str">
            <v>Apto 16 etapa 1</v>
          </cell>
          <cell r="AH37" t="str">
            <v>Conjunto Conucos</v>
          </cell>
          <cell r="AI37" t="str">
            <v>BUCARAMANGA</v>
          </cell>
          <cell r="AJ37" t="str">
            <v>SANTANDER</v>
          </cell>
          <cell r="AK37" t="str">
            <v>3214493617</v>
          </cell>
          <cell r="AL37" t="str">
            <v>wisovi@hotmail.com</v>
          </cell>
          <cell r="AM37">
            <v>45761.663576388892</v>
          </cell>
          <cell r="AN37">
            <v>22920</v>
          </cell>
        </row>
        <row r="38">
          <cell r="Z38" t="str">
            <v>3243414-84151196181</v>
          </cell>
          <cell r="AA38" t="str">
            <v>Jonathan</v>
          </cell>
          <cell r="AB38" t="str">
            <v>Acero</v>
          </cell>
          <cell r="AC38" t="str">
            <v>Jonathan</v>
          </cell>
          <cell r="AD38" t="str">
            <v>calle 3 sur # 6-56</v>
          </cell>
          <cell r="AF38" t="str">
            <v>Vereda la Balsa Chia</v>
          </cell>
          <cell r="AG38" t="str">
            <v>Casa 47 ConjRobles de Gu</v>
          </cell>
          <cell r="AH38" t="str">
            <v>Vereda la Balsa Chia</v>
          </cell>
          <cell r="AI38" t="str">
            <v>CHIA</v>
          </cell>
          <cell r="AJ38" t="str">
            <v>CUNDINAMARCA</v>
          </cell>
          <cell r="AK38" t="str">
            <v>3184077219</v>
          </cell>
          <cell r="AL38" t="str">
            <v>jonathan.acerof@gmail.com</v>
          </cell>
          <cell r="AM38">
            <v>45762.386747685188</v>
          </cell>
          <cell r="AN38">
            <v>22920</v>
          </cell>
        </row>
        <row r="39">
          <cell r="Z39" t="str">
            <v>3270262-84151207171</v>
          </cell>
          <cell r="AA39" t="str">
            <v>Paula</v>
          </cell>
          <cell r="AB39" t="str">
            <v>Tobar</v>
          </cell>
          <cell r="AC39" t="str">
            <v>TECU.CO S.A.S</v>
          </cell>
          <cell r="AD39" t="str">
            <v>Calle 24 #15-32</v>
          </cell>
          <cell r="AF39" t="str">
            <v>Centro de Armenia</v>
          </cell>
          <cell r="AG39" t="str">
            <v>Primer piso</v>
          </cell>
          <cell r="AH39" t="str">
            <v>Escuela Olaya Herrera</v>
          </cell>
          <cell r="AI39" t="str">
            <v>ARMENIA</v>
          </cell>
          <cell r="AJ39" t="str">
            <v>QUINDIO</v>
          </cell>
          <cell r="AK39" t="str">
            <v>3197269827</v>
          </cell>
          <cell r="AL39" t="str">
            <v>operaciones@tecu.co</v>
          </cell>
          <cell r="AM39">
            <v>45775.588009259263</v>
          </cell>
          <cell r="AN39">
            <v>32752</v>
          </cell>
        </row>
        <row r="40">
          <cell r="Z40" t="str">
            <v>3270276-84151207179</v>
          </cell>
          <cell r="AA40" t="str">
            <v>Paula</v>
          </cell>
          <cell r="AB40" t="str">
            <v>Tobar</v>
          </cell>
          <cell r="AC40" t="str">
            <v>TECU.CO S.A.S</v>
          </cell>
          <cell r="AD40" t="str">
            <v>Calle 24 #15-32</v>
          </cell>
          <cell r="AF40" t="str">
            <v>Centro de Armenia</v>
          </cell>
          <cell r="AG40" t="str">
            <v>Primer piso</v>
          </cell>
          <cell r="AH40" t="str">
            <v>Escuela Olaya Herrera</v>
          </cell>
          <cell r="AI40" t="str">
            <v>ARMENIA</v>
          </cell>
          <cell r="AJ40" t="str">
            <v>QUINDIO</v>
          </cell>
          <cell r="AK40" t="str">
            <v>3197269827</v>
          </cell>
          <cell r="AL40" t="str">
            <v>operaciones@tecu.co</v>
          </cell>
          <cell r="AM40">
            <v>45775.591180555559</v>
          </cell>
          <cell r="AN40">
            <v>30309</v>
          </cell>
        </row>
        <row r="41">
          <cell r="Z41" t="str">
            <v>3270406-84151207263</v>
          </cell>
          <cell r="AA41" t="str">
            <v>Paula</v>
          </cell>
          <cell r="AB41" t="str">
            <v>Tobar</v>
          </cell>
          <cell r="AC41" t="str">
            <v>TECU.CO S.A.S</v>
          </cell>
          <cell r="AD41" t="str">
            <v>Calle 24 #15-32</v>
          </cell>
          <cell r="AF41" t="str">
            <v>Centro de Armenia</v>
          </cell>
          <cell r="AG41" t="str">
            <v>Primer piso</v>
          </cell>
          <cell r="AH41" t="str">
            <v>Escuela Olaya Herrera</v>
          </cell>
          <cell r="AI41" t="str">
            <v>ARMENIA</v>
          </cell>
          <cell r="AJ41" t="str">
            <v>QUINDIO</v>
          </cell>
          <cell r="AK41" t="str">
            <v>3197269827</v>
          </cell>
          <cell r="AL41" t="str">
            <v>operaciones@tecu.co</v>
          </cell>
          <cell r="AM41">
            <v>45775.613946759258</v>
          </cell>
          <cell r="AN41">
            <v>36824</v>
          </cell>
        </row>
        <row r="42">
          <cell r="Z42" t="str">
            <v>3222917-84151187890</v>
          </cell>
          <cell r="AA42" t="str">
            <v>Julian</v>
          </cell>
          <cell r="AB42" t="str">
            <v>David Montero</v>
          </cell>
          <cell r="AC42" t="str">
            <v>Julian</v>
          </cell>
          <cell r="AD42" t="str">
            <v>calle 28 sur #26a-92</v>
          </cell>
          <cell r="AF42" t="str">
            <v>Cuarto  Centenario</v>
          </cell>
          <cell r="AG42" t="str">
            <v>Casa</v>
          </cell>
          <cell r="AH42" t="str">
            <v>Cuarto  Centenario</v>
          </cell>
          <cell r="AI42" t="str">
            <v>NEIVA</v>
          </cell>
          <cell r="AJ42" t="str">
            <v>HUILA</v>
          </cell>
          <cell r="AK42" t="str">
            <v>3232477487</v>
          </cell>
          <cell r="AL42" t="str">
            <v>monterogjulian@gmail.com</v>
          </cell>
          <cell r="AM42">
            <v>45754.486111111109</v>
          </cell>
          <cell r="AN42">
            <v>47787</v>
          </cell>
        </row>
        <row r="43">
          <cell r="Z43" t="str">
            <v>3223029-84151187944</v>
          </cell>
          <cell r="AA43" t="str">
            <v>Julian</v>
          </cell>
          <cell r="AB43" t="str">
            <v>David Montero</v>
          </cell>
          <cell r="AC43" t="str">
            <v>Julian</v>
          </cell>
          <cell r="AD43" t="str">
            <v>calle 28 sur #26a-92</v>
          </cell>
          <cell r="AF43" t="str">
            <v>Cuarto Centenario</v>
          </cell>
          <cell r="AG43" t="str">
            <v>Casa</v>
          </cell>
          <cell r="AH43" t="str">
            <v>Cuarto Centenario</v>
          </cell>
          <cell r="AI43" t="str">
            <v>NEIVA</v>
          </cell>
          <cell r="AJ43" t="str">
            <v>HUILA</v>
          </cell>
          <cell r="AK43" t="str">
            <v>3232477487</v>
          </cell>
          <cell r="AL43" t="str">
            <v>monterogjulian@gmail.com</v>
          </cell>
          <cell r="AM43">
            <v>45754.492395833331</v>
          </cell>
          <cell r="AN43">
            <v>47787</v>
          </cell>
        </row>
        <row r="44">
          <cell r="Z44" t="str">
            <v>3223030-84151187946</v>
          </cell>
          <cell r="AA44" t="str">
            <v>Julian</v>
          </cell>
          <cell r="AB44" t="str">
            <v>David Montero</v>
          </cell>
          <cell r="AC44" t="str">
            <v>Julian</v>
          </cell>
          <cell r="AD44" t="str">
            <v>calle 28 sur #26a-92</v>
          </cell>
          <cell r="AF44" t="str">
            <v>Cuarto Centenario</v>
          </cell>
          <cell r="AG44" t="str">
            <v>Casa</v>
          </cell>
          <cell r="AH44" t="str">
            <v>Cuarto Centenario</v>
          </cell>
          <cell r="AI44" t="str">
            <v>NEIVA</v>
          </cell>
          <cell r="AJ44" t="str">
            <v>HUILA</v>
          </cell>
          <cell r="AK44" t="str">
            <v>3232477487</v>
          </cell>
          <cell r="AL44" t="str">
            <v>monterogjulian@gmail.com</v>
          </cell>
          <cell r="AM44">
            <v>45754.4924537037</v>
          </cell>
          <cell r="AN44">
            <v>38578</v>
          </cell>
        </row>
        <row r="45">
          <cell r="Z45" t="str">
            <v>3222689-84151187740</v>
          </cell>
          <cell r="AA45" t="str">
            <v>Andrea</v>
          </cell>
          <cell r="AB45" t="str">
            <v>Beltran Salaza</v>
          </cell>
          <cell r="AC45" t="str">
            <v>Andrea</v>
          </cell>
          <cell r="AD45" t="str">
            <v>cra 14 #25-08</v>
          </cell>
          <cell r="AF45" t="str">
            <v>Comuneros</v>
          </cell>
          <cell r="AG45" t="str">
            <v>Piso 3</v>
          </cell>
          <cell r="AH45" t="str">
            <v>Comuneros</v>
          </cell>
          <cell r="AI45" t="str">
            <v>ZIPAQUIRA</v>
          </cell>
          <cell r="AJ45" t="str">
            <v>CUNDINAMARCA</v>
          </cell>
          <cell r="AK45" t="str">
            <v>3003928209</v>
          </cell>
          <cell r="AL45" t="str">
            <v>paulabeltran993@gmail.com</v>
          </cell>
          <cell r="AM45">
            <v>45754.47152777778</v>
          </cell>
          <cell r="AN45">
            <v>39191</v>
          </cell>
        </row>
        <row r="46">
          <cell r="Z46" t="str">
            <v>3222691-84151187741</v>
          </cell>
          <cell r="AA46" t="str">
            <v>Andrea</v>
          </cell>
          <cell r="AB46" t="str">
            <v>Beltran Salaza</v>
          </cell>
          <cell r="AC46" t="str">
            <v>Andrea</v>
          </cell>
          <cell r="AD46" t="str">
            <v>cra 14 #25-08</v>
          </cell>
          <cell r="AF46" t="str">
            <v>Comuneros</v>
          </cell>
          <cell r="AG46" t="str">
            <v>Piso 3</v>
          </cell>
          <cell r="AH46" t="str">
            <v>Comuneros</v>
          </cell>
          <cell r="AI46" t="str">
            <v>ZIPAQUIRA</v>
          </cell>
          <cell r="AJ46" t="str">
            <v>CUNDINAMARCA</v>
          </cell>
          <cell r="AK46" t="str">
            <v>3003928209</v>
          </cell>
          <cell r="AL46" t="str">
            <v>paulabeltran993@gmail.com</v>
          </cell>
          <cell r="AM46">
            <v>45754.471608796302</v>
          </cell>
          <cell r="AN46">
            <v>33679</v>
          </cell>
        </row>
        <row r="47">
          <cell r="Z47" t="str">
            <v>3252405-84151199621</v>
          </cell>
          <cell r="AA47" t="str">
            <v>Luis</v>
          </cell>
          <cell r="AB47" t="str">
            <v>Pimiento</v>
          </cell>
          <cell r="AC47" t="str">
            <v>Luis</v>
          </cell>
          <cell r="AD47" t="str">
            <v>calle 197, numero 15-382</v>
          </cell>
          <cell r="AF47" t="str">
            <v>Versalles</v>
          </cell>
          <cell r="AG47" t="str">
            <v>Apto708 T 2  Conj Colina</v>
          </cell>
          <cell r="AH47" t="str">
            <v>Versalles</v>
          </cell>
          <cell r="AI47" t="str">
            <v>FLORIDABLANCA</v>
          </cell>
          <cell r="AJ47" t="str">
            <v>SANTANDER</v>
          </cell>
          <cell r="AK47" t="str">
            <v>3157572774</v>
          </cell>
          <cell r="AL47" t="str">
            <v>Lcps1218@gmail.com</v>
          </cell>
          <cell r="AM47">
            <v>45768.478148148148</v>
          </cell>
          <cell r="AN47">
            <v>39191</v>
          </cell>
        </row>
        <row r="48">
          <cell r="Z48" t="str">
            <v>3252409-84151199626</v>
          </cell>
          <cell r="AA48" t="str">
            <v>Luis</v>
          </cell>
          <cell r="AB48" t="str">
            <v>Pimiento</v>
          </cell>
          <cell r="AC48" t="str">
            <v>Luis</v>
          </cell>
          <cell r="AD48" t="str">
            <v>calle 197, numero 15-382</v>
          </cell>
          <cell r="AF48" t="str">
            <v>Versalles</v>
          </cell>
          <cell r="AG48" t="str">
            <v>Apto708 T 2  Conj Colina</v>
          </cell>
          <cell r="AH48" t="str">
            <v>Versalles</v>
          </cell>
          <cell r="AI48" t="str">
            <v>FLORIDABLANCA</v>
          </cell>
          <cell r="AJ48" t="str">
            <v>SANTANDER</v>
          </cell>
          <cell r="AK48" t="str">
            <v>3157572774</v>
          </cell>
          <cell r="AL48" t="str">
            <v>Lcps1218@gmail.com</v>
          </cell>
          <cell r="AM48">
            <v>45768.478506944448</v>
          </cell>
          <cell r="AN48">
            <v>39191</v>
          </cell>
        </row>
        <row r="49">
          <cell r="Z49" t="str">
            <v>3252412-84151199628</v>
          </cell>
          <cell r="AA49" t="str">
            <v>Luis</v>
          </cell>
          <cell r="AB49" t="str">
            <v>Pimiento</v>
          </cell>
          <cell r="AC49" t="str">
            <v>Luis</v>
          </cell>
          <cell r="AD49" t="str">
            <v>calle 197, numero 15-382</v>
          </cell>
          <cell r="AF49" t="str">
            <v>Versalles</v>
          </cell>
          <cell r="AG49" t="str">
            <v>Apto708 T 2  Conj Colina</v>
          </cell>
          <cell r="AH49" t="str">
            <v>Versalles</v>
          </cell>
          <cell r="AI49" t="str">
            <v>FLORIDABLANCA</v>
          </cell>
          <cell r="AJ49" t="str">
            <v>SANTANDER</v>
          </cell>
          <cell r="AK49" t="str">
            <v>3157572774</v>
          </cell>
          <cell r="AL49" t="str">
            <v>Lcps1218@gmail.com</v>
          </cell>
          <cell r="AM49">
            <v>45768.478587962964</v>
          </cell>
          <cell r="AN49">
            <v>33679</v>
          </cell>
        </row>
        <row r="50">
          <cell r="Z50" t="str">
            <v>3243788-84151196357</v>
          </cell>
          <cell r="AA50" t="str">
            <v>Arturo</v>
          </cell>
          <cell r="AB50" t="str">
            <v>Diuza Cuero</v>
          </cell>
          <cell r="AC50" t="str">
            <v>Arturo</v>
          </cell>
          <cell r="AD50" t="str">
            <v>cra 42 # 11 - 06</v>
          </cell>
          <cell r="AF50" t="str">
            <v>Departamental</v>
          </cell>
          <cell r="AG50" t="str">
            <v>Casa   4675</v>
          </cell>
          <cell r="AH50" t="str">
            <v>Departamental</v>
          </cell>
          <cell r="AI50" t="str">
            <v>CALI</v>
          </cell>
          <cell r="AJ50" t="str">
            <v>VALLE DEL CAUCA</v>
          </cell>
          <cell r="AK50" t="str">
            <v>3043390116</v>
          </cell>
          <cell r="AL50" t="str">
            <v>artur145@hotmail.com</v>
          </cell>
          <cell r="AM50">
            <v>45762.462280092594</v>
          </cell>
          <cell r="AN50">
            <v>28241</v>
          </cell>
        </row>
        <row r="51">
          <cell r="Z51" t="str">
            <v>3199745-84151181524</v>
          </cell>
          <cell r="AA51" t="str">
            <v>Estefania</v>
          </cell>
          <cell r="AB51" t="str">
            <v>Granados</v>
          </cell>
          <cell r="AC51" t="str">
            <v>Estefania</v>
          </cell>
          <cell r="AD51" t="str">
            <v>calle 109a 18-72</v>
          </cell>
          <cell r="AF51" t="str">
            <v>San Patricio</v>
          </cell>
          <cell r="AG51" t="str">
            <v>Apto 403</v>
          </cell>
          <cell r="AH51" t="str">
            <v>San Patricio</v>
          </cell>
          <cell r="AI51" t="str">
            <v>BOGOTA</v>
          </cell>
          <cell r="AJ51" t="str">
            <v>CUNDINAMARCA</v>
          </cell>
          <cell r="AK51" t="str">
            <v>3007852656</v>
          </cell>
          <cell r="AL51" t="str">
            <v>e.granados912@gmail.com</v>
          </cell>
          <cell r="AM51">
            <v>45748.449687499997</v>
          </cell>
          <cell r="AN51">
            <v>26913</v>
          </cell>
        </row>
        <row r="52">
          <cell r="Z52" t="str">
            <v>3199746-84151181525</v>
          </cell>
          <cell r="AA52" t="str">
            <v>Estefania</v>
          </cell>
          <cell r="AB52" t="str">
            <v>Granados</v>
          </cell>
          <cell r="AC52" t="str">
            <v>Estefania</v>
          </cell>
          <cell r="AD52" t="str">
            <v>calle 109a 18-72</v>
          </cell>
          <cell r="AF52" t="str">
            <v>San Patricio</v>
          </cell>
          <cell r="AG52" t="str">
            <v>Apto 403</v>
          </cell>
          <cell r="AH52" t="str">
            <v>San Patricio</v>
          </cell>
          <cell r="AI52" t="str">
            <v>BOGOTA</v>
          </cell>
          <cell r="AJ52" t="str">
            <v>CUNDINAMARCA</v>
          </cell>
          <cell r="AK52" t="str">
            <v>3007852656</v>
          </cell>
          <cell r="AL52" t="str">
            <v>e.granados912@gmail.com</v>
          </cell>
          <cell r="AM52">
            <v>45748.449756944443</v>
          </cell>
          <cell r="AN52">
            <v>23593</v>
          </cell>
        </row>
        <row r="53">
          <cell r="Z53" t="str">
            <v>3202877-84151183025</v>
          </cell>
          <cell r="AA53" t="str">
            <v>Juan</v>
          </cell>
          <cell r="AB53" t="str">
            <v>Diego Cruz</v>
          </cell>
          <cell r="AC53" t="str">
            <v>Juan</v>
          </cell>
          <cell r="AD53" t="str">
            <v>Cra 18 no. 93-15</v>
          </cell>
          <cell r="AF53" t="str">
            <v>Chico</v>
          </cell>
          <cell r="AG53" t="str">
            <v>Apto 1002</v>
          </cell>
          <cell r="AH53" t="str">
            <v>Chico</v>
          </cell>
          <cell r="AI53" t="str">
            <v>BOGOTA</v>
          </cell>
          <cell r="AJ53" t="str">
            <v>CUNDINAMARCA</v>
          </cell>
          <cell r="AK53" t="str">
            <v>3007696703</v>
          </cell>
          <cell r="AL53" t="str">
            <v>jd.cruz@construacruz.com</v>
          </cell>
          <cell r="AM53">
            <v>45749.478773148148</v>
          </cell>
          <cell r="AN53">
            <v>22929</v>
          </cell>
        </row>
        <row r="54">
          <cell r="Z54" t="str">
            <v>3204326-84151183729</v>
          </cell>
          <cell r="AA54" t="str">
            <v>Laura</v>
          </cell>
          <cell r="AB54" t="str">
            <v>Camila Barrera</v>
          </cell>
          <cell r="AC54" t="str">
            <v>Laura</v>
          </cell>
          <cell r="AD54" t="str">
            <v>parque logistico e industrial latam calle 80</v>
          </cell>
          <cell r="AF54" t="str">
            <v>Siberia cundinamarca</v>
          </cell>
          <cell r="AG54" t="str">
            <v>Bodega  B600</v>
          </cell>
          <cell r="AH54" t="str">
            <v>Siberia cundinamarca</v>
          </cell>
          <cell r="AI54" t="str">
            <v>TIBIRITA</v>
          </cell>
          <cell r="AJ54" t="str">
            <v>CUNDINAMARCA</v>
          </cell>
          <cell r="AK54" t="str">
            <v>3175911046</v>
          </cell>
          <cell r="AL54" t="str">
            <v>laura.barrera@dsv.com</v>
          </cell>
          <cell r="AM54">
            <v>45749.630277777767</v>
          </cell>
          <cell r="AN54">
            <v>163356</v>
          </cell>
        </row>
        <row r="55">
          <cell r="Z55" t="str">
            <v>3204328-84151183730</v>
          </cell>
          <cell r="AA55" t="str">
            <v>Laura</v>
          </cell>
          <cell r="AB55" t="str">
            <v>Camila Barrera</v>
          </cell>
          <cell r="AC55" t="str">
            <v>Laura</v>
          </cell>
          <cell r="AD55" t="str">
            <v>parque logistico e industrial latam calle 80</v>
          </cell>
          <cell r="AF55" t="str">
            <v>Siberia cundinamarca</v>
          </cell>
          <cell r="AG55" t="str">
            <v>Bodega  B600</v>
          </cell>
          <cell r="AH55" t="str">
            <v>Siberia cundinamarca</v>
          </cell>
          <cell r="AI55" t="str">
            <v>TIBIRITA</v>
          </cell>
          <cell r="AJ55" t="str">
            <v>CUNDINAMARCA</v>
          </cell>
          <cell r="AK55" t="str">
            <v>3175911046</v>
          </cell>
          <cell r="AL55" t="str">
            <v>laura.barrera@dsv.com</v>
          </cell>
          <cell r="AM55">
            <v>45749.630347222221</v>
          </cell>
          <cell r="AN55">
            <v>97764</v>
          </cell>
        </row>
        <row r="56">
          <cell r="Z56" t="str">
            <v>3204501-84151183822</v>
          </cell>
          <cell r="AA56" t="str">
            <v>Laura Camila</v>
          </cell>
          <cell r="AB56" t="str">
            <v>Barrera</v>
          </cell>
          <cell r="AC56" t="str">
            <v>DSV Solutions</v>
          </cell>
          <cell r="AD56" t="str">
            <v>Diagonal 24 C No 96B - 65</v>
          </cell>
          <cell r="AF56" t="str">
            <v>Fontibon</v>
          </cell>
          <cell r="AG56" t="str">
            <v>Bodega</v>
          </cell>
          <cell r="AH56" t="str">
            <v>Bodega - DSV Solutions</v>
          </cell>
          <cell r="AI56" t="str">
            <v>BOGOTA</v>
          </cell>
          <cell r="AJ56" t="str">
            <v>CUNDINAMARCA</v>
          </cell>
          <cell r="AK56" t="str">
            <v>3175911046</v>
          </cell>
          <cell r="AL56" t="str">
            <v>laura.barrera@dsv.com</v>
          </cell>
          <cell r="AM56">
            <v>45749.669629629629</v>
          </cell>
          <cell r="AN56">
            <v>34882</v>
          </cell>
        </row>
        <row r="57">
          <cell r="Z57" t="str">
            <v>3204514-84151183826</v>
          </cell>
          <cell r="AA57" t="str">
            <v>Laura Camila</v>
          </cell>
          <cell r="AB57" t="str">
            <v>Barrera</v>
          </cell>
          <cell r="AC57" t="str">
            <v>DSV Solutions</v>
          </cell>
          <cell r="AD57" t="str">
            <v>Diagonal 24 C No 96B - 65</v>
          </cell>
          <cell r="AF57" t="str">
            <v>Fontibon</v>
          </cell>
          <cell r="AG57" t="str">
            <v>Bodega</v>
          </cell>
          <cell r="AH57" t="str">
            <v>Bodega - DSV Solutions</v>
          </cell>
          <cell r="AI57" t="str">
            <v>BOGOTA</v>
          </cell>
          <cell r="AJ57" t="str">
            <v>CUNDINAMARCA</v>
          </cell>
          <cell r="AK57" t="str">
            <v>3175911046</v>
          </cell>
          <cell r="AL57" t="str">
            <v>laura.barrera@dsv.com</v>
          </cell>
          <cell r="AM57">
            <v>45749.671770833331</v>
          </cell>
          <cell r="AN57">
            <v>28241</v>
          </cell>
        </row>
        <row r="58">
          <cell r="Z58" t="str">
            <v>3213994-84151185740</v>
          </cell>
          <cell r="AA58" t="str">
            <v>Mario</v>
          </cell>
          <cell r="AB58" t="str">
            <v>Alejandro Marti</v>
          </cell>
          <cell r="AC58" t="str">
            <v>Mario</v>
          </cell>
          <cell r="AD58" t="str">
            <v>Cra 19b 168 8</v>
          </cell>
          <cell r="AF58" t="str">
            <v>Toberin</v>
          </cell>
          <cell r="AG58" t="str">
            <v>Apto 1501 torre 1</v>
          </cell>
          <cell r="AH58" t="str">
            <v>Toberin</v>
          </cell>
          <cell r="AI58" t="str">
            <v>BOGOTA</v>
          </cell>
          <cell r="AJ58" t="str">
            <v>CUNDINAMARCA</v>
          </cell>
          <cell r="AK58" t="str">
            <v>3504073062</v>
          </cell>
          <cell r="AL58" t="str">
            <v>alejandro.martinez.az@gmail.com</v>
          </cell>
          <cell r="AM58">
            <v>45751.449247685188</v>
          </cell>
          <cell r="AN58">
            <v>26913</v>
          </cell>
        </row>
        <row r="59">
          <cell r="Z59" t="str">
            <v>3213995-84151185741</v>
          </cell>
          <cell r="AA59" t="str">
            <v>Mario</v>
          </cell>
          <cell r="AB59" t="str">
            <v>Alejandro Marti</v>
          </cell>
          <cell r="AC59" t="str">
            <v>Mario</v>
          </cell>
          <cell r="AD59" t="str">
            <v>Cra 19b 168 8</v>
          </cell>
          <cell r="AF59" t="str">
            <v>Toberin</v>
          </cell>
          <cell r="AG59" t="str">
            <v>Apto 1501 torre 1</v>
          </cell>
          <cell r="AH59" t="str">
            <v>Toberin</v>
          </cell>
          <cell r="AI59" t="str">
            <v>BOGOTA</v>
          </cell>
          <cell r="AJ59" t="str">
            <v>CUNDINAMARCA</v>
          </cell>
          <cell r="AK59" t="str">
            <v>3504073062</v>
          </cell>
          <cell r="AL59" t="str">
            <v>alejandro.martinez.az@gmail.com</v>
          </cell>
          <cell r="AM59">
            <v>45751.449317129627</v>
          </cell>
          <cell r="AN59">
            <v>23593</v>
          </cell>
        </row>
        <row r="60">
          <cell r="Z60" t="str">
            <v>3222672-84151187728</v>
          </cell>
          <cell r="AA60" t="str">
            <v>Juan</v>
          </cell>
          <cell r="AB60" t="str">
            <v>David ballestero</v>
          </cell>
          <cell r="AC60" t="str">
            <v>Juan</v>
          </cell>
          <cell r="AD60" t="str">
            <v>tv 23 # 41 sur 2-47 a</v>
          </cell>
          <cell r="AF60" t="str">
            <v>Multifamiliares Antioquia</v>
          </cell>
          <cell r="AG60" t="str">
            <v>Apto 337 bloque 19 entrad</v>
          </cell>
          <cell r="AH60" t="str">
            <v>Multifamiliares Antioquia</v>
          </cell>
          <cell r="AI60" t="str">
            <v>BOGOTA</v>
          </cell>
          <cell r="AJ60" t="str">
            <v>CUNDINAMARCA</v>
          </cell>
          <cell r="AK60" t="str">
            <v>3105085274</v>
          </cell>
          <cell r="AL60" t="str">
            <v>juandaballesteros014@gmail.com</v>
          </cell>
          <cell r="AM60">
            <v>45754.470138888893</v>
          </cell>
          <cell r="AN60">
            <v>28241</v>
          </cell>
        </row>
        <row r="61">
          <cell r="Z61" t="str">
            <v>3222674-84151187730</v>
          </cell>
          <cell r="AA61" t="str">
            <v>Juan</v>
          </cell>
          <cell r="AB61" t="str">
            <v>David ballestero</v>
          </cell>
          <cell r="AC61" t="str">
            <v>Juan</v>
          </cell>
          <cell r="AD61" t="str">
            <v>tv 23 # 41 sur 2-47 a</v>
          </cell>
          <cell r="AF61" t="str">
            <v>Multifamiliares Antioquia</v>
          </cell>
          <cell r="AG61" t="str">
            <v>Apto 337 bloque 19 entrad</v>
          </cell>
          <cell r="AH61" t="str">
            <v>Multifamiliares Antioquia</v>
          </cell>
          <cell r="AI61" t="str">
            <v>BOGOTA</v>
          </cell>
          <cell r="AJ61" t="str">
            <v>CUNDINAMARCA</v>
          </cell>
          <cell r="AK61" t="str">
            <v>3105085274</v>
          </cell>
          <cell r="AL61" t="str">
            <v>juandaballesteros014@gmail.com</v>
          </cell>
          <cell r="AM61">
            <v>45754.470208333332</v>
          </cell>
          <cell r="AN61">
            <v>23593</v>
          </cell>
        </row>
        <row r="62">
          <cell r="Z62" t="str">
            <v>3222716-84151187757</v>
          </cell>
          <cell r="AA62" t="str">
            <v>Jose</v>
          </cell>
          <cell r="AB62" t="str">
            <v>Miguel Duenas To</v>
          </cell>
          <cell r="AC62" t="str">
            <v>Jose</v>
          </cell>
          <cell r="AD62" t="str">
            <v>Cra 34 f sur # 32-77</v>
          </cell>
          <cell r="AF62" t="str">
            <v>Bogota</v>
          </cell>
          <cell r="AG62" t="str">
            <v>Urb Villa Mayor Conj El</v>
          </cell>
          <cell r="AH62" t="str">
            <v>Bogota</v>
          </cell>
          <cell r="AI62" t="str">
            <v>BOGOTA</v>
          </cell>
          <cell r="AJ62" t="str">
            <v>CUNDINAMARCA</v>
          </cell>
          <cell r="AK62" t="str">
            <v>3022454945</v>
          </cell>
          <cell r="AL62" t="str">
            <v>jomiguel097@gmail.com</v>
          </cell>
          <cell r="AM62">
            <v>45754.474456018521</v>
          </cell>
          <cell r="AN62">
            <v>26913</v>
          </cell>
        </row>
        <row r="63">
          <cell r="Z63" t="str">
            <v>3222718-84151187759</v>
          </cell>
          <cell r="AA63" t="str">
            <v>Jose</v>
          </cell>
          <cell r="AB63" t="str">
            <v>Miguel Duenas To</v>
          </cell>
          <cell r="AC63" t="str">
            <v>Jose</v>
          </cell>
          <cell r="AD63" t="str">
            <v>Cra 34 f sur # 32-77</v>
          </cell>
          <cell r="AF63" t="str">
            <v>Bogota</v>
          </cell>
          <cell r="AG63" t="str">
            <v>Urb Villa Mayor Conj El</v>
          </cell>
          <cell r="AH63" t="str">
            <v>Bogota</v>
          </cell>
          <cell r="AI63" t="str">
            <v>BOGOTA</v>
          </cell>
          <cell r="AJ63" t="str">
            <v>CUNDINAMARCA</v>
          </cell>
          <cell r="AK63" t="str">
            <v>3022454945</v>
          </cell>
          <cell r="AL63" t="str">
            <v>jomiguel097@gmail.com</v>
          </cell>
          <cell r="AM63">
            <v>45754.474537037036</v>
          </cell>
          <cell r="AN63">
            <v>23593</v>
          </cell>
        </row>
        <row r="64">
          <cell r="Z64" t="str">
            <v>3222754-84151187780</v>
          </cell>
          <cell r="AA64" t="str">
            <v>Jose</v>
          </cell>
          <cell r="AB64" t="str">
            <v>Miguel Duenas To</v>
          </cell>
          <cell r="AC64" t="str">
            <v>Jose</v>
          </cell>
          <cell r="AD64" t="str">
            <v>Cra 34 f sur # 32-77</v>
          </cell>
          <cell r="AF64" t="str">
            <v>Conjunto El Progreso</v>
          </cell>
          <cell r="AG64" t="str">
            <v>UrbVilla Mayor  casa 5</v>
          </cell>
          <cell r="AH64" t="str">
            <v>Conjunto El Progreso</v>
          </cell>
          <cell r="AI64" t="str">
            <v>BOGOTA</v>
          </cell>
          <cell r="AJ64" t="str">
            <v>CUNDINAMARCA</v>
          </cell>
          <cell r="AK64" t="str">
            <v>3022454945</v>
          </cell>
          <cell r="AL64" t="str">
            <v>jomiguel097@gmail.com</v>
          </cell>
          <cell r="AM64">
            <v>45754.476689814823</v>
          </cell>
          <cell r="AN64">
            <v>22920</v>
          </cell>
        </row>
        <row r="65">
          <cell r="Z65" t="str">
            <v>3222769-84151187791</v>
          </cell>
          <cell r="AA65" t="str">
            <v>Jose</v>
          </cell>
          <cell r="AB65" t="str">
            <v>Miguel Duenas To</v>
          </cell>
          <cell r="AC65" t="str">
            <v>Jose</v>
          </cell>
          <cell r="AD65" t="str">
            <v>Cra 34 f sur # 32-77</v>
          </cell>
          <cell r="AF65" t="str">
            <v>Conjunto El Progreso Casa 5</v>
          </cell>
          <cell r="AG65" t="str">
            <v>UrbVilla Mayor casa 5</v>
          </cell>
          <cell r="AH65" t="str">
            <v>Conjunto El Progreso Casa 5</v>
          </cell>
          <cell r="AI65" t="str">
            <v>BOGOTA</v>
          </cell>
          <cell r="AJ65" t="str">
            <v>CUNDINAMARCA</v>
          </cell>
          <cell r="AK65" t="str">
            <v>3022454945</v>
          </cell>
          <cell r="AL65" t="str">
            <v>jomiguel097@gmail.com</v>
          </cell>
          <cell r="AM65">
            <v>45754.478206018517</v>
          </cell>
          <cell r="AN65">
            <v>22929</v>
          </cell>
        </row>
        <row r="66">
          <cell r="Z66" t="str">
            <v>3223053-84151187965</v>
          </cell>
          <cell r="AA66" t="str">
            <v>Jose</v>
          </cell>
          <cell r="AB66" t="str">
            <v>Miguel Duenas To</v>
          </cell>
          <cell r="AC66" t="str">
            <v>Jose</v>
          </cell>
          <cell r="AD66" t="str">
            <v>Cra 34 f sur # 32-77</v>
          </cell>
          <cell r="AF66" t="str">
            <v>Conjunto El Progreso</v>
          </cell>
          <cell r="AG66" t="str">
            <v>UrbVilla Mayor casa 5</v>
          </cell>
          <cell r="AH66" t="str">
            <v>Conjunto El Progreso</v>
          </cell>
          <cell r="AI66" t="str">
            <v>BOGOTA</v>
          </cell>
          <cell r="AJ66" t="str">
            <v>CUNDINAMARCA</v>
          </cell>
          <cell r="AK66" t="str">
            <v>3022454945</v>
          </cell>
          <cell r="AL66" t="str">
            <v>jomiguel097@gmail.com</v>
          </cell>
          <cell r="AM66">
            <v>45754.494259259263</v>
          </cell>
          <cell r="AN66">
            <v>26913</v>
          </cell>
        </row>
        <row r="67">
          <cell r="Z67" t="str">
            <v>3223055-84151187967</v>
          </cell>
          <cell r="AA67" t="str">
            <v>Jose</v>
          </cell>
          <cell r="AB67" t="str">
            <v>Miguel Duenas To</v>
          </cell>
          <cell r="AC67" t="str">
            <v>Jose</v>
          </cell>
          <cell r="AD67" t="str">
            <v>Cra 34 f sur # 32-77</v>
          </cell>
          <cell r="AF67" t="str">
            <v>Conjunto El Progreso</v>
          </cell>
          <cell r="AG67" t="str">
            <v>UrbVilla Mayor casa 5</v>
          </cell>
          <cell r="AH67" t="str">
            <v>Conjunto El Progreso</v>
          </cell>
          <cell r="AI67" t="str">
            <v>BOGOTA</v>
          </cell>
          <cell r="AJ67" t="str">
            <v>CUNDINAMARCA</v>
          </cell>
          <cell r="AK67" t="str">
            <v>3022454945</v>
          </cell>
          <cell r="AL67" t="str">
            <v>jomiguel097@gmail.com</v>
          </cell>
          <cell r="AM67">
            <v>45754.494340277779</v>
          </cell>
          <cell r="AN67">
            <v>23593</v>
          </cell>
        </row>
        <row r="68">
          <cell r="Z68" t="str">
            <v>3226991-954101191266</v>
          </cell>
          <cell r="AA68" t="str">
            <v>Jose</v>
          </cell>
          <cell r="AB68" t="str">
            <v>Miguel Duenas To</v>
          </cell>
          <cell r="AC68" t="str">
            <v>Jose</v>
          </cell>
          <cell r="AD68" t="str">
            <v>Cra 34 f sur # 32-77</v>
          </cell>
          <cell r="AF68" t="str">
            <v>Villa Mayor</v>
          </cell>
          <cell r="AG68" t="str">
            <v>Conj El progreso casa 5</v>
          </cell>
          <cell r="AH68" t="str">
            <v>Villa Mayor</v>
          </cell>
          <cell r="AI68" t="str">
            <v>BOGOTA</v>
          </cell>
          <cell r="AJ68" t="str">
            <v>CUNDINAMARCA</v>
          </cell>
          <cell r="AK68" t="str">
            <v>3022454945</v>
          </cell>
          <cell r="AL68" t="str">
            <v>jomiguel097@gmail.com</v>
          </cell>
          <cell r="AM68">
            <v>45755.478796296287</v>
          </cell>
          <cell r="AN68">
            <v>54929</v>
          </cell>
        </row>
        <row r="69">
          <cell r="Z69" t="str">
            <v>3227044-84151189694</v>
          </cell>
          <cell r="AA69" t="str">
            <v>Luis</v>
          </cell>
          <cell r="AB69" t="str">
            <v>Landkoer</v>
          </cell>
          <cell r="AC69" t="str">
            <v>Luis</v>
          </cell>
          <cell r="AD69" t="str">
            <v>calle 62 # 45 18 san remo ii apto 203</v>
          </cell>
          <cell r="AF69" t="str">
            <v>Nicolas de Federman</v>
          </cell>
          <cell r="AG69" t="str">
            <v>Apto 203 sanre</v>
          </cell>
          <cell r="AH69" t="str">
            <v>Nicolas de Federman</v>
          </cell>
          <cell r="AI69" t="str">
            <v>BOGOTA</v>
          </cell>
          <cell r="AJ69" t="str">
            <v>CUNDINAMARCA</v>
          </cell>
          <cell r="AK69" t="str">
            <v>3232917032</v>
          </cell>
          <cell r="AL69" t="str">
            <v>llandkoer@gmail.com</v>
          </cell>
          <cell r="AM69">
            <v>45755.484791666669</v>
          </cell>
          <cell r="AN69">
            <v>28241</v>
          </cell>
        </row>
        <row r="70">
          <cell r="Z70" t="str">
            <v>3227045-84151189695</v>
          </cell>
          <cell r="AA70" t="str">
            <v>Luis</v>
          </cell>
          <cell r="AB70" t="str">
            <v>Landkoer</v>
          </cell>
          <cell r="AC70" t="str">
            <v>Luis</v>
          </cell>
          <cell r="AD70" t="str">
            <v>calle 62 # 45 18 san remo ii apto 203</v>
          </cell>
          <cell r="AF70" t="str">
            <v>Nicolas de Federman</v>
          </cell>
          <cell r="AG70" t="str">
            <v>Apto 203 sanre</v>
          </cell>
          <cell r="AH70" t="str">
            <v>Nicolas de Federman</v>
          </cell>
          <cell r="AI70" t="str">
            <v>BOGOTA</v>
          </cell>
          <cell r="AJ70" t="str">
            <v>CUNDINAMARCA</v>
          </cell>
          <cell r="AK70" t="str">
            <v>3232917032</v>
          </cell>
          <cell r="AL70" t="str">
            <v>llandkoer@gmail.com</v>
          </cell>
          <cell r="AM70">
            <v>45755.484849537039</v>
          </cell>
          <cell r="AN70">
            <v>23593</v>
          </cell>
        </row>
        <row r="71">
          <cell r="Z71" t="str">
            <v>3243391-84151196175</v>
          </cell>
          <cell r="AA71" t="str">
            <v>Carlos</v>
          </cell>
          <cell r="AB71" t="str">
            <v>Contreras</v>
          </cell>
          <cell r="AC71" t="str">
            <v>Carlos</v>
          </cell>
          <cell r="AD71" t="str">
            <v>calle 114 #21-22</v>
          </cell>
          <cell r="AF71" t="str">
            <v>San Patricio</v>
          </cell>
          <cell r="AG71" t="str">
            <v>Apto 203 edfparque calle</v>
          </cell>
          <cell r="AH71" t="str">
            <v>San Patricio</v>
          </cell>
          <cell r="AI71" t="str">
            <v>BOGOTA</v>
          </cell>
          <cell r="AJ71" t="str">
            <v>CUNDINAMARCA</v>
          </cell>
          <cell r="AK71" t="str">
            <v>3024628897</v>
          </cell>
          <cell r="AL71" t="str">
            <v>carlosecontreras@gmail.com</v>
          </cell>
          <cell r="AM71">
            <v>45762.383356481478</v>
          </cell>
          <cell r="AN71">
            <v>28241</v>
          </cell>
        </row>
        <row r="72">
          <cell r="Z72" t="str">
            <v>3243392-84151196176</v>
          </cell>
          <cell r="AA72" t="str">
            <v>Carlos</v>
          </cell>
          <cell r="AB72" t="str">
            <v>Contreras</v>
          </cell>
          <cell r="AC72" t="str">
            <v>Carlos</v>
          </cell>
          <cell r="AD72" t="str">
            <v>calle 114 #21-22</v>
          </cell>
          <cell r="AF72" t="str">
            <v>San Patricio</v>
          </cell>
          <cell r="AG72" t="str">
            <v>Apto 203 edfparque calle</v>
          </cell>
          <cell r="AH72" t="str">
            <v>San Patricio</v>
          </cell>
          <cell r="AI72" t="str">
            <v>BOGOTA</v>
          </cell>
          <cell r="AJ72" t="str">
            <v>CUNDINAMARCA</v>
          </cell>
          <cell r="AK72" t="str">
            <v>3024628897</v>
          </cell>
          <cell r="AL72" t="str">
            <v>carlosecontreras@gmail.com</v>
          </cell>
          <cell r="AM72">
            <v>45762.383425925917</v>
          </cell>
          <cell r="AN72">
            <v>26249</v>
          </cell>
        </row>
        <row r="73">
          <cell r="Z73" t="str">
            <v>3243396-84151196178</v>
          </cell>
          <cell r="AA73" t="str">
            <v>Carlos</v>
          </cell>
          <cell r="AB73" t="str">
            <v>Contreras</v>
          </cell>
          <cell r="AC73" t="str">
            <v>Carlos</v>
          </cell>
          <cell r="AD73" t="str">
            <v>calle 114 #21-22</v>
          </cell>
          <cell r="AF73" t="str">
            <v>San Patricio</v>
          </cell>
          <cell r="AG73" t="str">
            <v>Apto 203 edfparque calle</v>
          </cell>
          <cell r="AH73" t="str">
            <v>San Patricio</v>
          </cell>
          <cell r="AI73" t="str">
            <v>BOGOTA</v>
          </cell>
          <cell r="AJ73" t="str">
            <v>CUNDINAMARCA</v>
          </cell>
          <cell r="AK73" t="str">
            <v>3024628897</v>
          </cell>
          <cell r="AL73" t="str">
            <v>carlosecontreras@gmail.com</v>
          </cell>
          <cell r="AM73">
            <v>45762.384791666656</v>
          </cell>
          <cell r="AN73">
            <v>22920</v>
          </cell>
        </row>
        <row r="74">
          <cell r="Z74" t="str">
            <v>3243753-84151196341</v>
          </cell>
          <cell r="AA74" t="str">
            <v>Doris</v>
          </cell>
          <cell r="AB74" t="str">
            <v>Rodriguez</v>
          </cell>
          <cell r="AC74" t="str">
            <v>Doris</v>
          </cell>
          <cell r="AD74" t="str">
            <v>calle 23 sur # 69 - 67</v>
          </cell>
          <cell r="AF74" t="str">
            <v>Carvajal</v>
          </cell>
          <cell r="AG74" t="str">
            <v>Casa</v>
          </cell>
          <cell r="AH74" t="str">
            <v>Carvajal</v>
          </cell>
          <cell r="AI74" t="str">
            <v>BOGOTA</v>
          </cell>
          <cell r="AJ74" t="str">
            <v>CUNDINAMARCA</v>
          </cell>
          <cell r="AK74" t="str">
            <v>3194971036</v>
          </cell>
          <cell r="AL74" t="str">
            <v>nanodoris1961@gmail.com</v>
          </cell>
          <cell r="AM74">
            <v>45762.456400462957</v>
          </cell>
          <cell r="AN74">
            <v>26913</v>
          </cell>
        </row>
        <row r="75">
          <cell r="Z75" t="str">
            <v>3243756-84151196342</v>
          </cell>
          <cell r="AA75" t="str">
            <v>Doris</v>
          </cell>
          <cell r="AB75" t="str">
            <v>Rodriguez</v>
          </cell>
          <cell r="AC75" t="str">
            <v>Doris</v>
          </cell>
          <cell r="AD75" t="str">
            <v>calle 23 sur # 69 - 67</v>
          </cell>
          <cell r="AF75" t="str">
            <v>Carvajal</v>
          </cell>
          <cell r="AG75" t="str">
            <v>Casa</v>
          </cell>
          <cell r="AH75" t="str">
            <v>Carvajal</v>
          </cell>
          <cell r="AI75" t="str">
            <v>BOGOTA</v>
          </cell>
          <cell r="AJ75" t="str">
            <v>CUNDINAMARCA</v>
          </cell>
          <cell r="AK75" t="str">
            <v>3194971036</v>
          </cell>
          <cell r="AL75" t="str">
            <v>nanodoris1961@gmail.com</v>
          </cell>
          <cell r="AM75">
            <v>45762.45648148148</v>
          </cell>
          <cell r="AN75">
            <v>23593</v>
          </cell>
        </row>
        <row r="76">
          <cell r="Z76" t="str">
            <v>3251862-84151199277</v>
          </cell>
          <cell r="AA76" t="str">
            <v>Angie</v>
          </cell>
          <cell r="AB76" t="str">
            <v>Barbosa Maldona</v>
          </cell>
          <cell r="AC76" t="str">
            <v>Angie</v>
          </cell>
          <cell r="AD76" t="str">
            <v>calle 63 #36-11</v>
          </cell>
          <cell r="AF76" t="str">
            <v>Nicolas de Federman</v>
          </cell>
          <cell r="AG76" t="str">
            <v>Apto 702</v>
          </cell>
          <cell r="AH76" t="str">
            <v>Nicolas de Federman</v>
          </cell>
          <cell r="AI76" t="str">
            <v>BOGOTA</v>
          </cell>
          <cell r="AJ76" t="str">
            <v>CUNDINAMARCA</v>
          </cell>
          <cell r="AK76" t="str">
            <v>3172236651</v>
          </cell>
          <cell r="AL76" t="str">
            <v>angiebarbosa_@hotmail.com</v>
          </cell>
          <cell r="AM76">
            <v>45768.426423611112</v>
          </cell>
          <cell r="AN76">
            <v>28241</v>
          </cell>
        </row>
        <row r="77">
          <cell r="Z77" t="str">
            <v>3251865-84151199278</v>
          </cell>
          <cell r="AA77" t="str">
            <v>Angie</v>
          </cell>
          <cell r="AB77" t="str">
            <v>Barbosa Maldona</v>
          </cell>
          <cell r="AC77" t="str">
            <v>Angie</v>
          </cell>
          <cell r="AD77" t="str">
            <v>calle 63 #36-11</v>
          </cell>
          <cell r="AF77" t="str">
            <v>Nicolas de Federman</v>
          </cell>
          <cell r="AG77" t="str">
            <v>Apto 702</v>
          </cell>
          <cell r="AH77" t="str">
            <v>Nicolas de Federman</v>
          </cell>
          <cell r="AI77" t="str">
            <v>BOGOTA</v>
          </cell>
          <cell r="AJ77" t="str">
            <v>CUNDINAMARCA</v>
          </cell>
          <cell r="AK77" t="str">
            <v>3172236651</v>
          </cell>
          <cell r="AL77" t="str">
            <v>angiebarbosa_@hotmail.com</v>
          </cell>
          <cell r="AM77">
            <v>45768.426493055558</v>
          </cell>
          <cell r="AN77">
            <v>23593</v>
          </cell>
        </row>
        <row r="78">
          <cell r="Z78" t="str">
            <v>3253757-84151200430</v>
          </cell>
          <cell r="AA78" t="str">
            <v>Carlos</v>
          </cell>
          <cell r="AB78" t="str">
            <v>Contreras</v>
          </cell>
          <cell r="AD78" t="str">
            <v>Calle 114 #21-22</v>
          </cell>
          <cell r="AF78" t="str">
            <v>San Patricio</v>
          </cell>
          <cell r="AG78" t="str">
            <v>Apto 203</v>
          </cell>
          <cell r="AH78" t="str">
            <v>Edificio Parque Calle 114</v>
          </cell>
          <cell r="AI78" t="str">
            <v>BOGOTA</v>
          </cell>
          <cell r="AJ78" t="str">
            <v>CUNDINAMARCA</v>
          </cell>
          <cell r="AK78" t="str">
            <v>3024628897</v>
          </cell>
          <cell r="AL78" t="str">
            <v>carlosecontreras@gmail.com</v>
          </cell>
          <cell r="AM78">
            <v>45768.647523148153</v>
          </cell>
          <cell r="AN78">
            <v>26249</v>
          </cell>
        </row>
        <row r="79">
          <cell r="Z79" t="str">
            <v>3256310-84151201489</v>
          </cell>
          <cell r="AA79" t="str">
            <v>David</v>
          </cell>
          <cell r="AB79" t="str">
            <v>Felipe Bayona H</v>
          </cell>
          <cell r="AC79" t="str">
            <v>David</v>
          </cell>
          <cell r="AD79" t="str">
            <v>Cra 68b 96 70</v>
          </cell>
          <cell r="AF79" t="str">
            <v>Julio Florez</v>
          </cell>
          <cell r="AG79" t="str">
            <v>Apto 804 torre 4</v>
          </cell>
          <cell r="AH79" t="str">
            <v>Julio Florez</v>
          </cell>
          <cell r="AI79" t="str">
            <v>BOGOTA</v>
          </cell>
          <cell r="AJ79" t="str">
            <v>CUNDINAMARCA</v>
          </cell>
          <cell r="AK79" t="str">
            <v>3002691155</v>
          </cell>
          <cell r="AL79" t="str">
            <v>dafe_523@hotmail.com</v>
          </cell>
          <cell r="AM79">
            <v>45769.448958333327</v>
          </cell>
          <cell r="AN79">
            <v>28241</v>
          </cell>
        </row>
        <row r="80">
          <cell r="Z80" t="str">
            <v>3259082-84151202778</v>
          </cell>
          <cell r="AA80" t="str">
            <v>Diego</v>
          </cell>
          <cell r="AB80" t="str">
            <v>Alejandro Forer</v>
          </cell>
          <cell r="AC80" t="str">
            <v>Diego</v>
          </cell>
          <cell r="AD80" t="str">
            <v>cra 87b #6d-10</v>
          </cell>
          <cell r="AF80" t="str">
            <v>El Tintal</v>
          </cell>
          <cell r="AG80" t="str">
            <v>Apto 545 torre 7</v>
          </cell>
          <cell r="AH80" t="str">
            <v>El Tintal</v>
          </cell>
          <cell r="AI80" t="str">
            <v>BOGOTA</v>
          </cell>
          <cell r="AJ80" t="str">
            <v>CUNDINAMARCA</v>
          </cell>
          <cell r="AK80" t="str">
            <v>3128020598</v>
          </cell>
          <cell r="AL80" t="str">
            <v>diegoforero_11@hotmail.com</v>
          </cell>
          <cell r="AM80">
            <v>45770.444374999999</v>
          </cell>
          <cell r="AN80">
            <v>28241</v>
          </cell>
        </row>
        <row r="81">
          <cell r="Z81" t="str">
            <v>3259084-84151202780</v>
          </cell>
          <cell r="AA81" t="str">
            <v>Diego</v>
          </cell>
          <cell r="AB81" t="str">
            <v>Alejandro Forer</v>
          </cell>
          <cell r="AC81" t="str">
            <v>Diego</v>
          </cell>
          <cell r="AD81" t="str">
            <v>cra 87b #6d-10</v>
          </cell>
          <cell r="AF81" t="str">
            <v>El Tintal</v>
          </cell>
          <cell r="AG81" t="str">
            <v>Apto 545 torre 7</v>
          </cell>
          <cell r="AH81" t="str">
            <v>El Tintal</v>
          </cell>
          <cell r="AI81" t="str">
            <v>BOGOTA</v>
          </cell>
          <cell r="AJ81" t="str">
            <v>CUNDINAMARCA</v>
          </cell>
          <cell r="AK81" t="str">
            <v>3128020598</v>
          </cell>
          <cell r="AL81" t="str">
            <v>diegoforero_11@hotmail.com</v>
          </cell>
          <cell r="AM81">
            <v>45770.444467592592</v>
          </cell>
          <cell r="AN81">
            <v>28241</v>
          </cell>
        </row>
        <row r="82">
          <cell r="Z82" t="str">
            <v>3261900-84151204039</v>
          </cell>
          <cell r="AA82" t="str">
            <v>Fabian</v>
          </cell>
          <cell r="AB82" t="str">
            <v>Andres Mojica</v>
          </cell>
          <cell r="AC82" t="str">
            <v>Fabian</v>
          </cell>
          <cell r="AD82" t="str">
            <v>calle 23 # 68 - 50</v>
          </cell>
          <cell r="AF82" t="str">
            <v>BogotaBogota</v>
          </cell>
          <cell r="AG82" t="str">
            <v>Apto 1004 T 12 Conjres</v>
          </cell>
          <cell r="AH82" t="str">
            <v>BogotaBogota</v>
          </cell>
          <cell r="AI82" t="str">
            <v>BOGOTA</v>
          </cell>
          <cell r="AJ82" t="str">
            <v>CUNDINAMARCA</v>
          </cell>
          <cell r="AK82" t="str">
            <v>3103242240</v>
          </cell>
          <cell r="AL82" t="str">
            <v>info@colibriit.com</v>
          </cell>
          <cell r="AM82">
            <v>45771.46943287037</v>
          </cell>
          <cell r="AN82">
            <v>28241</v>
          </cell>
        </row>
        <row r="83">
          <cell r="Z83" t="str">
            <v>3261902-84151204040</v>
          </cell>
          <cell r="AA83" t="str">
            <v>Fabian</v>
          </cell>
          <cell r="AB83" t="str">
            <v>Andres Mojica</v>
          </cell>
          <cell r="AC83" t="str">
            <v>Fabian</v>
          </cell>
          <cell r="AD83" t="str">
            <v>calle 23 # 68 - 50</v>
          </cell>
          <cell r="AF83" t="str">
            <v>BogotaBogota</v>
          </cell>
          <cell r="AG83" t="str">
            <v>Apto 1004 T 12 Conjres</v>
          </cell>
          <cell r="AH83" t="str">
            <v>BogotaBogota</v>
          </cell>
          <cell r="AI83" t="str">
            <v>BOGOTA</v>
          </cell>
          <cell r="AJ83" t="str">
            <v>CUNDINAMARCA</v>
          </cell>
          <cell r="AK83" t="str">
            <v>3103242240</v>
          </cell>
          <cell r="AL83" t="str">
            <v>info@colibriit.com</v>
          </cell>
          <cell r="AM83">
            <v>45771.469502314823</v>
          </cell>
          <cell r="AN83">
            <v>28241</v>
          </cell>
        </row>
        <row r="84">
          <cell r="Z84" t="str">
            <v>3261909-84151204046</v>
          </cell>
          <cell r="AA84" t="str">
            <v>Fabian</v>
          </cell>
          <cell r="AB84" t="str">
            <v>Andres Mojica</v>
          </cell>
          <cell r="AC84" t="str">
            <v>Fabian</v>
          </cell>
          <cell r="AD84" t="str">
            <v>calle 23 # 68 - 50</v>
          </cell>
          <cell r="AF84" t="str">
            <v>Puerto Bahia</v>
          </cell>
          <cell r="AG84" t="str">
            <v>Apto 1004 T 12 Conj Res</v>
          </cell>
          <cell r="AH84" t="str">
            <v>Puerto Bahia</v>
          </cell>
          <cell r="AI84" t="str">
            <v>BOGOTA</v>
          </cell>
          <cell r="AJ84" t="str">
            <v>CUNDINAMARCA</v>
          </cell>
          <cell r="AK84" t="str">
            <v>3103242240</v>
          </cell>
          <cell r="AL84" t="str">
            <v>info@colibriit.com</v>
          </cell>
          <cell r="AM84">
            <v>45771.471956018519</v>
          </cell>
          <cell r="AN84">
            <v>28241</v>
          </cell>
        </row>
        <row r="85">
          <cell r="Z85" t="str">
            <v>3261911-84151204048</v>
          </cell>
          <cell r="AA85" t="str">
            <v>Fabian</v>
          </cell>
          <cell r="AB85" t="str">
            <v>Andres Mojica</v>
          </cell>
          <cell r="AC85" t="str">
            <v>Fabian</v>
          </cell>
          <cell r="AD85" t="str">
            <v>calle 23 # 68 - 50</v>
          </cell>
          <cell r="AF85" t="str">
            <v>Puerto Bahia</v>
          </cell>
          <cell r="AG85" t="str">
            <v>Apto 1004 T 12 Conj Res</v>
          </cell>
          <cell r="AH85" t="str">
            <v>Puerto Bahia</v>
          </cell>
          <cell r="AI85" t="str">
            <v>BOGOTA</v>
          </cell>
          <cell r="AJ85" t="str">
            <v>CUNDINAMARCA</v>
          </cell>
          <cell r="AK85" t="str">
            <v>3103242240</v>
          </cell>
          <cell r="AL85" t="str">
            <v>info@colibriit.com</v>
          </cell>
          <cell r="AM85">
            <v>45771.472025462957</v>
          </cell>
          <cell r="AN85">
            <v>28241</v>
          </cell>
        </row>
        <row r="86">
          <cell r="Z86" t="str">
            <v>3261906-84151204049</v>
          </cell>
          <cell r="AA86" t="str">
            <v>Carlos</v>
          </cell>
          <cell r="AB86" t="str">
            <v>Contreras</v>
          </cell>
          <cell r="AD86" t="str">
            <v>Calle 114 #21-22</v>
          </cell>
          <cell r="AF86" t="str">
            <v>Alhambra</v>
          </cell>
          <cell r="AG86" t="str">
            <v>Apto 203</v>
          </cell>
          <cell r="AH86" t="str">
            <v>Edificio Parque Calle 114</v>
          </cell>
          <cell r="AI86" t="str">
            <v>BOGOTA</v>
          </cell>
          <cell r="AJ86" t="str">
            <v>CUNDINAMARCA</v>
          </cell>
          <cell r="AK86" t="str">
            <v>3024628897</v>
          </cell>
          <cell r="AL86" t="str">
            <v>carlosecontreras@gmail.com</v>
          </cell>
          <cell r="AM86">
            <v>45771.472824074073</v>
          </cell>
          <cell r="AN86">
            <v>31561</v>
          </cell>
        </row>
        <row r="87">
          <cell r="Z87" t="str">
            <v>3261957-84151204068</v>
          </cell>
          <cell r="AA87" t="str">
            <v>Fabian</v>
          </cell>
          <cell r="AB87" t="str">
            <v>Andres Mojica</v>
          </cell>
          <cell r="AC87" t="str">
            <v>Fabian</v>
          </cell>
          <cell r="AD87" t="str">
            <v>calle 23 # 68 -50</v>
          </cell>
          <cell r="AF87" t="str">
            <v>Conjresid Puerto Bahia</v>
          </cell>
          <cell r="AG87" t="str">
            <v>Apto 1004 T 12 ConjResd</v>
          </cell>
          <cell r="AH87" t="str">
            <v>Conjresid Puerto Bahia</v>
          </cell>
          <cell r="AI87" t="str">
            <v>BOGOTA</v>
          </cell>
          <cell r="AJ87" t="str">
            <v>CUNDINAMARCA</v>
          </cell>
          <cell r="AK87" t="str">
            <v>3103242240</v>
          </cell>
          <cell r="AL87" t="str">
            <v>info@colibriit.com</v>
          </cell>
          <cell r="AM87">
            <v>45771.478483796287</v>
          </cell>
          <cell r="AN87">
            <v>28241</v>
          </cell>
        </row>
        <row r="88">
          <cell r="Z88" t="str">
            <v>3261958-84151204069</v>
          </cell>
          <cell r="AA88" t="str">
            <v>Fabian</v>
          </cell>
          <cell r="AB88" t="str">
            <v>Andres Mojica</v>
          </cell>
          <cell r="AC88" t="str">
            <v>Fabian</v>
          </cell>
          <cell r="AD88" t="str">
            <v>calle 23 # 68 -50</v>
          </cell>
          <cell r="AF88" t="str">
            <v>Conjresid Puerto Bahia</v>
          </cell>
          <cell r="AG88" t="str">
            <v>Apto 1004 T 12 ConjResd</v>
          </cell>
          <cell r="AH88" t="str">
            <v>Conjresid Puerto Bahia</v>
          </cell>
          <cell r="AI88" t="str">
            <v>BOGOTA</v>
          </cell>
          <cell r="AJ88" t="str">
            <v>CUNDINAMARCA</v>
          </cell>
          <cell r="AK88" t="str">
            <v>3103242240</v>
          </cell>
          <cell r="AL88" t="str">
            <v>info@colibriit.com</v>
          </cell>
          <cell r="AM88">
            <v>45771.478564814817</v>
          </cell>
          <cell r="AN88">
            <v>28241</v>
          </cell>
        </row>
        <row r="89">
          <cell r="Z89" t="str">
            <v>3261976-84151204073</v>
          </cell>
          <cell r="AA89" t="str">
            <v>Fabian</v>
          </cell>
          <cell r="AB89" t="str">
            <v>Andres Mojica</v>
          </cell>
          <cell r="AC89" t="str">
            <v>Fabian</v>
          </cell>
          <cell r="AD89" t="str">
            <v>calle 23 # 68 - 50</v>
          </cell>
          <cell r="AF89" t="str">
            <v>ConjResd Puerto Bahia</v>
          </cell>
          <cell r="AG89" t="str">
            <v>Apto 1004 T 12 Conjres</v>
          </cell>
          <cell r="AH89" t="str">
            <v>ConjResd Puerto Bahia</v>
          </cell>
          <cell r="AI89" t="str">
            <v>BOGOTA</v>
          </cell>
          <cell r="AJ89" t="str">
            <v>CUNDINAMARCA</v>
          </cell>
          <cell r="AK89" t="str">
            <v>3103242240</v>
          </cell>
          <cell r="AL89" t="str">
            <v>info@colibriit.com</v>
          </cell>
          <cell r="AM89">
            <v>45771.481053240743</v>
          </cell>
          <cell r="AN89">
            <v>22920</v>
          </cell>
        </row>
        <row r="90">
          <cell r="Z90" t="str">
            <v>3261985-84151204075</v>
          </cell>
          <cell r="AA90" t="str">
            <v>Fabian</v>
          </cell>
          <cell r="AB90" t="str">
            <v>Andres Mojica</v>
          </cell>
          <cell r="AC90" t="str">
            <v>Fabian</v>
          </cell>
          <cell r="AD90" t="str">
            <v>calle 23 # 68 - 50</v>
          </cell>
          <cell r="AF90" t="str">
            <v>ConjResd Puerto Bahia</v>
          </cell>
          <cell r="AG90" t="str">
            <v>Apto 1004 T 12 ConjResd</v>
          </cell>
          <cell r="AH90" t="str">
            <v>ConjResd Puerto Bahia</v>
          </cell>
          <cell r="AI90" t="str">
            <v>BOGOTA</v>
          </cell>
          <cell r="AJ90" t="str">
            <v>CUNDINAMARCA</v>
          </cell>
          <cell r="AK90" t="str">
            <v>3103242240</v>
          </cell>
          <cell r="AL90" t="str">
            <v>info@colibriit.com</v>
          </cell>
          <cell r="AM90">
            <v>45771.482685185183</v>
          </cell>
          <cell r="AN90">
            <v>22920</v>
          </cell>
        </row>
        <row r="91">
          <cell r="Z91" t="str">
            <v>3262000-84151204082</v>
          </cell>
          <cell r="AA91" t="str">
            <v>Carlos</v>
          </cell>
          <cell r="AB91" t="str">
            <v>Eduardo Ramire</v>
          </cell>
          <cell r="AC91" t="str">
            <v>Carlos</v>
          </cell>
          <cell r="AD91" t="str">
            <v>calle 102 # 50-57</v>
          </cell>
          <cell r="AF91" t="str">
            <v>ConjResd Ciien ApartS</v>
          </cell>
          <cell r="AG91" t="str">
            <v>Apto 1502 T 2 ConjResdC</v>
          </cell>
          <cell r="AH91" t="str">
            <v>ConjResd Ciien ApartS</v>
          </cell>
          <cell r="AI91" t="str">
            <v>BOGOTA</v>
          </cell>
          <cell r="AJ91" t="str">
            <v>CUNDINAMARCA</v>
          </cell>
          <cell r="AK91" t="str">
            <v>3160448041</v>
          </cell>
          <cell r="AL91" t="str">
            <v>info@colibriit.com</v>
          </cell>
          <cell r="AM91">
            <v>45771.485069444447</v>
          </cell>
          <cell r="AN91">
            <v>28241</v>
          </cell>
        </row>
        <row r="92">
          <cell r="Z92" t="str">
            <v>3262209-84151204206</v>
          </cell>
          <cell r="AA92" t="str">
            <v>Carlos</v>
          </cell>
          <cell r="AB92" t="str">
            <v>Eduardo Ramire</v>
          </cell>
          <cell r="AC92" t="str">
            <v>Carlos</v>
          </cell>
          <cell r="AD92" t="str">
            <v>calle 102 # 50-57</v>
          </cell>
          <cell r="AF92" t="str">
            <v>ConjResd Ciien Aparts</v>
          </cell>
          <cell r="AG92" t="str">
            <v>Apto 1502 T 2 ConjResd</v>
          </cell>
          <cell r="AH92" t="str">
            <v>ConjResd Ciien Aparts</v>
          </cell>
          <cell r="AI92" t="str">
            <v>BOGOTA</v>
          </cell>
          <cell r="AJ92" t="str">
            <v>CUNDINAMARCA</v>
          </cell>
          <cell r="AK92" t="str">
            <v>3160448041</v>
          </cell>
          <cell r="AL92" t="str">
            <v>info@colibriit.com</v>
          </cell>
          <cell r="AM92">
            <v>45771.524930555563</v>
          </cell>
          <cell r="AN92">
            <v>28241</v>
          </cell>
        </row>
        <row r="93">
          <cell r="Z93" t="str">
            <v>3262210-84151204211</v>
          </cell>
          <cell r="AA93" t="str">
            <v>Carlos</v>
          </cell>
          <cell r="AB93" t="str">
            <v>Eduardo Ramire</v>
          </cell>
          <cell r="AC93" t="str">
            <v>Carlos</v>
          </cell>
          <cell r="AD93" t="str">
            <v>calle 102 # 50-57</v>
          </cell>
          <cell r="AF93" t="str">
            <v>ConjResd Ciien Aparts</v>
          </cell>
          <cell r="AG93" t="str">
            <v>Apto 1502 T 2 ConjResd</v>
          </cell>
          <cell r="AH93" t="str">
            <v>ConjResd Ciien Aparts</v>
          </cell>
          <cell r="AI93" t="str">
            <v>BOGOTA</v>
          </cell>
          <cell r="AJ93" t="str">
            <v>CUNDINAMARCA</v>
          </cell>
          <cell r="AK93" t="str">
            <v>3160448041</v>
          </cell>
          <cell r="AL93" t="str">
            <v>info@colibriit.com</v>
          </cell>
          <cell r="AM93">
            <v>45771.525000000001</v>
          </cell>
          <cell r="AN93">
            <v>23593</v>
          </cell>
        </row>
        <row r="94">
          <cell r="Z94" t="str">
            <v>3262218-84151204217</v>
          </cell>
          <cell r="AA94" t="str">
            <v>Carlos</v>
          </cell>
          <cell r="AB94" t="str">
            <v>Eduardo Ramire</v>
          </cell>
          <cell r="AC94" t="str">
            <v>Carlos</v>
          </cell>
          <cell r="AD94" t="str">
            <v>calle 102 # 50-57</v>
          </cell>
          <cell r="AF94" t="str">
            <v>ConjResd Ciien Aparts</v>
          </cell>
          <cell r="AG94" t="str">
            <v>Apto 1502 T 2 ConjResd</v>
          </cell>
          <cell r="AH94" t="str">
            <v>ConjResd Ciien Aparts</v>
          </cell>
          <cell r="AI94" t="str">
            <v>BOGOTA</v>
          </cell>
          <cell r="AJ94" t="str">
            <v>CUNDINAMARCA</v>
          </cell>
          <cell r="AK94" t="str">
            <v>3160448041</v>
          </cell>
          <cell r="AL94" t="str">
            <v>info@colibriit.com</v>
          </cell>
          <cell r="AM94">
            <v>45771.526423611111</v>
          </cell>
          <cell r="AN94">
            <v>22920</v>
          </cell>
        </row>
        <row r="95">
          <cell r="Z95" t="str">
            <v>3264476-84151205271</v>
          </cell>
          <cell r="AA95" t="str">
            <v>Natalia</v>
          </cell>
          <cell r="AB95" t="str">
            <v>Villegas</v>
          </cell>
          <cell r="AC95" t="str">
            <v>Natalia</v>
          </cell>
          <cell r="AD95" t="str">
            <v>Cra 6 # 116-41</v>
          </cell>
          <cell r="AF95" t="str">
            <v>Bogota</v>
          </cell>
          <cell r="AG95" t="str">
            <v>Apto 702</v>
          </cell>
          <cell r="AH95" t="str">
            <v>Bogota</v>
          </cell>
          <cell r="AI95" t="str">
            <v>BOGOTA</v>
          </cell>
          <cell r="AJ95" t="str">
            <v>CUNDINAMARCA</v>
          </cell>
          <cell r="AK95" t="str">
            <v>3112313116</v>
          </cell>
          <cell r="AL95" t="str">
            <v>natalia.villegas@edelman.com</v>
          </cell>
          <cell r="AM95">
            <v>45772.516273148147</v>
          </cell>
          <cell r="AN95">
            <v>28241</v>
          </cell>
        </row>
        <row r="96">
          <cell r="Z96" t="str">
            <v>3264477-84151205272</v>
          </cell>
          <cell r="AA96" t="str">
            <v>Natalia</v>
          </cell>
          <cell r="AB96" t="str">
            <v>Villegas</v>
          </cell>
          <cell r="AC96" t="str">
            <v>Natalia</v>
          </cell>
          <cell r="AD96" t="str">
            <v>Cra 6 # 116-41</v>
          </cell>
          <cell r="AF96" t="str">
            <v>Bogota</v>
          </cell>
          <cell r="AG96" t="str">
            <v>Apto 702</v>
          </cell>
          <cell r="AH96" t="str">
            <v>Bogota</v>
          </cell>
          <cell r="AI96" t="str">
            <v>BOGOTA</v>
          </cell>
          <cell r="AJ96" t="str">
            <v>CUNDINAMARCA</v>
          </cell>
          <cell r="AK96" t="str">
            <v>3112313116</v>
          </cell>
          <cell r="AL96" t="str">
            <v>natalia.villegas@edelman.com</v>
          </cell>
          <cell r="AM96">
            <v>45772.516331018523</v>
          </cell>
          <cell r="AN96">
            <v>23593</v>
          </cell>
        </row>
        <row r="97">
          <cell r="Z97" t="str">
            <v>3264481-84151205274</v>
          </cell>
          <cell r="AA97" t="str">
            <v>Natalia</v>
          </cell>
          <cell r="AB97" t="str">
            <v>Villegas</v>
          </cell>
          <cell r="AC97" t="str">
            <v>Natalia</v>
          </cell>
          <cell r="AD97" t="str">
            <v>Cra 6 # 116-41</v>
          </cell>
          <cell r="AF97" t="str">
            <v>Bogota</v>
          </cell>
          <cell r="AG97" t="str">
            <v>Apto 702</v>
          </cell>
          <cell r="AH97" t="str">
            <v>Bogota</v>
          </cell>
          <cell r="AI97" t="str">
            <v>BOGOTA</v>
          </cell>
          <cell r="AJ97" t="str">
            <v>CUNDINAMARCA</v>
          </cell>
          <cell r="AK97" t="str">
            <v>3112313116</v>
          </cell>
          <cell r="AL97" t="str">
            <v>natalia.villegas@edelman.com</v>
          </cell>
          <cell r="AM97">
            <v>45772.517129629632</v>
          </cell>
          <cell r="AN97">
            <v>22920</v>
          </cell>
        </row>
        <row r="98">
          <cell r="Z98" t="str">
            <v>3268967-84151206707</v>
          </cell>
          <cell r="AA98" t="str">
            <v>Juan</v>
          </cell>
          <cell r="AB98" t="str">
            <v>David Cubillos C</v>
          </cell>
          <cell r="AC98" t="str">
            <v>Juan</v>
          </cell>
          <cell r="AD98" t="str">
            <v>Cra 112f # 88-06</v>
          </cell>
          <cell r="AF98" t="str">
            <v>Ciudadela Colsubsidio</v>
          </cell>
          <cell r="AG98" t="str">
            <v>Apto 302 int 14 Conj Sa</v>
          </cell>
          <cell r="AH98" t="str">
            <v>Ciudadela Colsubsidio</v>
          </cell>
          <cell r="AI98" t="str">
            <v>BOGOTA</v>
          </cell>
          <cell r="AJ98" t="str">
            <v>CUNDINAMARCA</v>
          </cell>
          <cell r="AK98" t="str">
            <v>3244775425</v>
          </cell>
          <cell r="AL98" t="str">
            <v>jdcubillos96@gmail.com</v>
          </cell>
          <cell r="AM98">
            <v>45775.450509259259</v>
          </cell>
          <cell r="AN98">
            <v>28241</v>
          </cell>
        </row>
        <row r="99">
          <cell r="Z99" t="str">
            <v>3268968-84151206708</v>
          </cell>
          <cell r="AA99" t="str">
            <v>Juan</v>
          </cell>
          <cell r="AB99" t="str">
            <v>David Cubillos C</v>
          </cell>
          <cell r="AC99" t="str">
            <v>Juan</v>
          </cell>
          <cell r="AD99" t="str">
            <v>Cra 112f # 88-06</v>
          </cell>
          <cell r="AF99" t="str">
            <v>Ciudadela Colsubsidio</v>
          </cell>
          <cell r="AG99" t="str">
            <v>Apto 302 int 14 Conj Sa</v>
          </cell>
          <cell r="AH99" t="str">
            <v>Ciudadela Colsubsidio</v>
          </cell>
          <cell r="AI99" t="str">
            <v>BOGOTA</v>
          </cell>
          <cell r="AJ99" t="str">
            <v>CUNDINAMARCA</v>
          </cell>
          <cell r="AK99" t="str">
            <v>3244775425</v>
          </cell>
          <cell r="AL99" t="str">
            <v>jdcubillos96@gmail.com</v>
          </cell>
          <cell r="AM99">
            <v>45775.450578703712</v>
          </cell>
          <cell r="AN99">
            <v>23593</v>
          </cell>
        </row>
        <row r="100">
          <cell r="Z100" t="str">
            <v>3269004-84151206724</v>
          </cell>
          <cell r="AA100" t="str">
            <v>Sergio</v>
          </cell>
          <cell r="AB100" t="str">
            <v>Prada</v>
          </cell>
          <cell r="AC100" t="str">
            <v>Sergio</v>
          </cell>
          <cell r="AD100" t="str">
            <v>calle 134a #9a - 9</v>
          </cell>
          <cell r="AF100" t="str">
            <v>Lisboa</v>
          </cell>
          <cell r="AG100" t="str">
            <v>Apto 301</v>
          </cell>
          <cell r="AH100" t="str">
            <v>Lisboa</v>
          </cell>
          <cell r="AI100" t="str">
            <v>BOGOTA</v>
          </cell>
          <cell r="AJ100" t="str">
            <v>CUNDINAMARCA</v>
          </cell>
          <cell r="AK100" t="str">
            <v>3003235400</v>
          </cell>
          <cell r="AL100" t="str">
            <v>serpramo@gmail.com</v>
          </cell>
          <cell r="AM100">
            <v>45775.454479166663</v>
          </cell>
          <cell r="AN100">
            <v>26913</v>
          </cell>
        </row>
        <row r="101">
          <cell r="Z101" t="str">
            <v>3269006-84151206725</v>
          </cell>
          <cell r="AA101" t="str">
            <v>Sergio</v>
          </cell>
          <cell r="AB101" t="str">
            <v>Prada</v>
          </cell>
          <cell r="AC101" t="str">
            <v>Sergio</v>
          </cell>
          <cell r="AD101" t="str">
            <v>calle 134a #9a - 9</v>
          </cell>
          <cell r="AF101" t="str">
            <v>Lisboa</v>
          </cell>
          <cell r="AG101" t="str">
            <v>Apto 301</v>
          </cell>
          <cell r="AH101" t="str">
            <v>Lisboa</v>
          </cell>
          <cell r="AI101" t="str">
            <v>BOGOTA</v>
          </cell>
          <cell r="AJ101" t="str">
            <v>CUNDINAMARCA</v>
          </cell>
          <cell r="AK101" t="str">
            <v>3003235400</v>
          </cell>
          <cell r="AL101" t="str">
            <v>serpramo@gmail.com</v>
          </cell>
          <cell r="AM101">
            <v>45775.45453703704</v>
          </cell>
          <cell r="AN101">
            <v>23593</v>
          </cell>
        </row>
        <row r="102">
          <cell r="Z102" t="str">
            <v>3269598-954101203551</v>
          </cell>
          <cell r="AA102" t="str">
            <v>Rigoberto</v>
          </cell>
          <cell r="AB102" t="str">
            <v>Castelblanc</v>
          </cell>
          <cell r="AC102" t="str">
            <v>Rigoberto</v>
          </cell>
          <cell r="AD102" t="str">
            <v>cra 70d 115a 38</v>
          </cell>
          <cell r="AF102" t="str">
            <v>Morato</v>
          </cell>
          <cell r="AG102" t="str">
            <v>Edf111 Consultorio 602</v>
          </cell>
          <cell r="AH102" t="str">
            <v>Morato</v>
          </cell>
          <cell r="AI102" t="str">
            <v>BOGOTA</v>
          </cell>
          <cell r="AJ102" t="str">
            <v>CUNDINAMARCA</v>
          </cell>
          <cell r="AK102" t="str">
            <v>3153637626</v>
          </cell>
          <cell r="AL102" t="str">
            <v>rcastelb@husky.ca</v>
          </cell>
          <cell r="AM102">
            <v>45775.479780092603</v>
          </cell>
          <cell r="AN102">
            <v>54929</v>
          </cell>
        </row>
        <row r="103">
          <cell r="Z103" t="str">
            <v>3270225-84151207153</v>
          </cell>
          <cell r="AA103" t="str">
            <v>Carlos</v>
          </cell>
          <cell r="AB103" t="str">
            <v>Contreras</v>
          </cell>
          <cell r="AD103" t="str">
            <v>Calle 114 #21-22 Apto 203</v>
          </cell>
          <cell r="AF103" t="str">
            <v>Alhambra</v>
          </cell>
          <cell r="AG103" t="str">
            <v>Apto 203</v>
          </cell>
          <cell r="AH103" t="str">
            <v>Edificio Parque Calle 114</v>
          </cell>
          <cell r="AI103" t="str">
            <v>BOGOTA</v>
          </cell>
          <cell r="AJ103" t="str">
            <v>CUNDINAMARCA</v>
          </cell>
          <cell r="AK103" t="str">
            <v>3024628897</v>
          </cell>
          <cell r="AL103" t="str">
            <v>carlosecontreras@gmail.com</v>
          </cell>
          <cell r="AM103">
            <v>45775.579293981478</v>
          </cell>
          <cell r="AN103">
            <v>28241</v>
          </cell>
        </row>
        <row r="104">
          <cell r="Z104" t="str">
            <v>3270269-84151207172</v>
          </cell>
          <cell r="AA104" t="str">
            <v>Lizeth</v>
          </cell>
          <cell r="AB104" t="str">
            <v>Manchego</v>
          </cell>
          <cell r="AC104" t="str">
            <v>Lizeth</v>
          </cell>
          <cell r="AD104" t="str">
            <v>av 10n #16-02</v>
          </cell>
          <cell r="AF104" t="str">
            <v>Pinares de Granada</v>
          </cell>
          <cell r="AG104" t="str">
            <v>Casa 02 Conj Pinares de</v>
          </cell>
          <cell r="AH104" t="str">
            <v>Pinares de Granada</v>
          </cell>
          <cell r="AI104" t="str">
            <v>PIEDECUESTA</v>
          </cell>
          <cell r="AJ104" t="str">
            <v>SANTANDER</v>
          </cell>
          <cell r="AK104" t="str">
            <v>3176526448</v>
          </cell>
          <cell r="AL104" t="str">
            <v>karinamanchego0416@gmail.com</v>
          </cell>
          <cell r="AM104">
            <v>45775.588182870371</v>
          </cell>
          <cell r="AN104">
            <v>39191</v>
          </cell>
        </row>
        <row r="105">
          <cell r="Z105" t="str">
            <v>3270271-84151207173</v>
          </cell>
          <cell r="AA105" t="str">
            <v>Lizeth</v>
          </cell>
          <cell r="AB105" t="str">
            <v>Manchego</v>
          </cell>
          <cell r="AC105" t="str">
            <v>Lizeth</v>
          </cell>
          <cell r="AD105" t="str">
            <v>av 10n #16-02</v>
          </cell>
          <cell r="AF105" t="str">
            <v>Pinares de Granada</v>
          </cell>
          <cell r="AG105" t="str">
            <v>Casa 02 Conj Pinares de</v>
          </cell>
          <cell r="AH105" t="str">
            <v>Pinares de Granada</v>
          </cell>
          <cell r="AI105" t="str">
            <v>PIEDECUESTA</v>
          </cell>
          <cell r="AJ105" t="str">
            <v>SANTANDER</v>
          </cell>
          <cell r="AK105" t="str">
            <v>3176526448</v>
          </cell>
          <cell r="AL105" t="str">
            <v>karinamanchego0416@gmail.com</v>
          </cell>
          <cell r="AM105">
            <v>45775.588263888887</v>
          </cell>
          <cell r="AN105">
            <v>33679</v>
          </cell>
        </row>
        <row r="106">
          <cell r="Z106" t="str">
            <v>3270272-84151207175</v>
          </cell>
          <cell r="AA106" t="str">
            <v>Lizeth</v>
          </cell>
          <cell r="AB106" t="str">
            <v>Manchego</v>
          </cell>
          <cell r="AC106" t="str">
            <v>Lizeth</v>
          </cell>
          <cell r="AD106" t="str">
            <v>av 10n #16-02</v>
          </cell>
          <cell r="AF106" t="str">
            <v>Pinares de Granada</v>
          </cell>
          <cell r="AG106" t="str">
            <v>Casa 02 Conj Pinares de</v>
          </cell>
          <cell r="AH106" t="str">
            <v>Pinares de Granada</v>
          </cell>
          <cell r="AI106" t="str">
            <v>PIEDECUESTA</v>
          </cell>
          <cell r="AJ106" t="str">
            <v>SANTANDER</v>
          </cell>
          <cell r="AK106" t="str">
            <v>3176526448</v>
          </cell>
          <cell r="AL106" t="str">
            <v>karinamanchego0416@gmail.com</v>
          </cell>
          <cell r="AM106">
            <v>45775.589317129627</v>
          </cell>
          <cell r="AN106">
            <v>22920</v>
          </cell>
        </row>
        <row r="107">
          <cell r="Z107" t="str">
            <v>3204462-84151183811</v>
          </cell>
          <cell r="AA107" t="str">
            <v>Laura Camila</v>
          </cell>
          <cell r="AB107" t="str">
            <v>Barrera</v>
          </cell>
          <cell r="AD107" t="str">
            <v>Parque Logístico e Industrial Latam - Calle 80</v>
          </cell>
          <cell r="AF107" t="str">
            <v>Siberia</v>
          </cell>
          <cell r="AG107" t="str">
            <v>Bodega B600</v>
          </cell>
          <cell r="AH107" t="str">
            <v>Vía Siberia</v>
          </cell>
          <cell r="AI107" t="str">
            <v>COTA</v>
          </cell>
          <cell r="AJ107" t="str">
            <v>CUNDINAMARCA</v>
          </cell>
          <cell r="AK107" t="str">
            <v>3175911046</v>
          </cell>
          <cell r="AL107" t="str">
            <v>laura.barrera@dsv.com</v>
          </cell>
          <cell r="AM107">
            <v>45749.661712962959</v>
          </cell>
          <cell r="AN107">
            <v>38202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671.929746527778" createdVersion="8" refreshedVersion="8" minRefreshableVersion="3" recordCount="1210" xr:uid="{BB43740F-6B9C-4558-A180-7D235D5B967D}">
  <cacheSource type="worksheet">
    <worksheetSource ref="A4:Z39" sheet="Base Ventas"/>
  </cacheSource>
  <cacheFields count="23">
    <cacheField name="Fecha" numFmtId="0">
      <sharedItems containsSemiMixedTypes="0" containsNonDate="0" containsDate="1" containsString="0" minDate="2024-01-02T00:00:00" maxDate="2024-12-31T00:00:00"/>
    </cacheField>
    <cacheField name="Mes" numFmtId="1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Semana" numFmtId="0">
      <sharedItems containsSemiMixedTypes="0" containsString="0" containsNumber="1" containsInteger="1" minValue="1" maxValue="53"/>
    </cacheField>
    <cacheField name="No orden" numFmtId="0">
      <sharedItems containsMixedTypes="1" containsNumber="1" containsInteger="1" minValue="1852" maxValue="2376"/>
    </cacheField>
    <cacheField name="Concepto" numFmtId="0">
      <sharedItems count="7">
        <s v="Venta"/>
        <s v="Garantia"/>
        <s v="RIFA"/>
        <s v="Préstamo"/>
        <s v="Cortesia"/>
        <s v="Cambio"/>
        <s v="Politica Satisfaccion"/>
      </sharedItems>
    </cacheField>
    <cacheField name="Cliente/Proveedor" numFmtId="0">
      <sharedItems/>
    </cacheField>
    <cacheField name="Codigo" numFmtId="0">
      <sharedItems containsBlank="1"/>
    </cacheField>
    <cacheField name="Descripcion del producto" numFmtId="0">
      <sharedItems/>
    </cacheField>
    <cacheField name="Cantidad" numFmtId="1">
      <sharedItems containsSemiMixedTypes="0" containsString="0" containsNumber="1" containsInteger="1" minValue="1" maxValue="3"/>
    </cacheField>
    <cacheField name="Categoria" numFmtId="0">
      <sharedItems count="8">
        <s v="Standing Desk"/>
        <s v="Superficie"/>
        <s v="Repisa"/>
        <s v="Archivador"/>
        <s v="Accesorio"/>
        <s v="Silla"/>
        <s v="Ruedas"/>
        <s v="Instalaciones"/>
      </sharedItems>
    </cacheField>
    <cacheField name="Ciudad" numFmtId="0">
      <sharedItems count="24">
        <s v="Antioquia"/>
        <s v="Bogotá y alrededores"/>
        <s v="Atlantico"/>
        <s v="Cartagena"/>
        <s v="Valle del Cauca"/>
        <s v="Caldas"/>
        <s v="Boyaca"/>
        <s v="Santander"/>
        <s v="Arauca"/>
        <s v="Córdoba"/>
        <s v="Risaralda"/>
        <s v="Nariño"/>
        <s v="Magdalena"/>
        <s v="Tolima"/>
        <s v="Quindio"/>
        <s v="Norte de Santander"/>
        <s v="Cauca"/>
        <s v="Pasto"/>
        <s v="Villavicencio"/>
        <s v="Manizales"/>
        <s v="Santa Martha"/>
        <s v="Pereira"/>
        <s v="Monteria"/>
        <s v="Barranquilla"/>
      </sharedItems>
    </cacheField>
    <cacheField name="Lugar de entrega" numFmtId="0">
      <sharedItems count="55">
        <s v="Sabaneta"/>
        <s v="Bogota"/>
        <s v="Barranquilla"/>
        <s v="Medellin"/>
        <s v="Cartagena"/>
        <s v="Cali"/>
        <s v="Palmira"/>
        <s v="Villamaria"/>
        <s v="Itagui"/>
        <s v="Sogamoso"/>
        <s v="Envigado"/>
        <s v="Rionegro"/>
        <s v="Bello"/>
        <s v="Soledad"/>
        <s v="Chia"/>
        <s v="Zipaquira"/>
        <s v="Tenjo"/>
        <s v="bucaramanga"/>
        <s v="Floridablanca"/>
        <s v="Arauca"/>
        <s v="Monteria"/>
        <s v="Dosquebradas"/>
        <s v="Fusagasuga"/>
        <s v="Tunja"/>
        <s v="Retiro"/>
        <s v="La Union"/>
        <s v="Pereira"/>
        <s v="Santa Marta"/>
        <s v="Ibague"/>
        <s v="Armenia"/>
        <s v="Tulua"/>
        <s v="Marinilla"/>
        <s v="Barrancabermeja"/>
        <s v="Manizales"/>
        <s v="Cucuta"/>
        <s v="Sopo"/>
        <s v="Pasto"/>
        <s v="Popayan"/>
        <s v="la Estrella"/>
        <s v="Jamundi"/>
        <s v="Caucasia"/>
        <s v="Apia"/>
        <s v="Villavicencio"/>
        <s v="Caldas"/>
        <s v="Madrid"/>
        <s v="Cota"/>
        <s v="Chía"/>
        <s v="Santa Rosa de Cabal"/>
        <s v="Calera"/>
        <s v="Santa Martha"/>
        <s v="Mosquera"/>
        <s v="Zipáquira"/>
        <s v="yumbo"/>
        <s v="Meta"/>
        <s v="La tebaida"/>
      </sharedItems>
    </cacheField>
    <cacheField name="Status Despacho" numFmtId="0">
      <sharedItems containsBlank="1" count="5">
        <s v="Despachado"/>
        <s v="En alistamiento"/>
        <m/>
        <s v="NA"/>
        <e v="#N/A"/>
      </sharedItems>
    </cacheField>
    <cacheField name="Transportadora" numFmtId="1">
      <sharedItems containsBlank="1"/>
    </cacheField>
    <cacheField name="No guia" numFmtId="0">
      <sharedItems containsBlank="1" containsMixedTypes="1" containsNumber="1" containsInteger="1" minValue="9173879325" maxValue="9173879327"/>
    </cacheField>
    <cacheField name="Fecha de despacho" numFmtId="164">
      <sharedItems containsDate="1" containsBlank="1" containsMixedTypes="1" minDate="2024-01-03T00:00:00" maxDate="2025-12-11T00:00:00"/>
    </cacheField>
    <cacheField name="Fecha de Entrega" numFmtId="164">
      <sharedItems containsDate="1" containsBlank="1" containsMixedTypes="1" minDate="2024-01-04T00:00:00" maxDate="2025-12-12T00:00:00"/>
    </cacheField>
    <cacheField name="Status entrega " numFmtId="164">
      <sharedItems containsBlank="1" count="3">
        <s v="Entregado"/>
        <s v="En transito"/>
        <m/>
      </sharedItems>
    </cacheField>
    <cacheField name="Tiempo de despacho de orden" numFmtId="1">
      <sharedItems containsBlank="1" containsMixedTypes="1" containsNumber="1" containsInteger="1" minValue="-39118" maxValue="319"/>
    </cacheField>
    <cacheField name="Tiempo de entrega de la orden" numFmtId="1">
      <sharedItems containsBlank="1" containsMixedTypes="1" containsNumber="1" containsInteger="1" minValue="-13" maxValue="320"/>
    </cacheField>
    <cacheField name="Cumple NNS" numFmtId="1">
      <sharedItems containsBlank="1" count="6">
        <s v="No cumple"/>
        <s v="Cumple"/>
        <s v="PTE"/>
        <e v="#N/A"/>
        <e v="#VALUE!"/>
        <m/>
      </sharedItems>
    </cacheField>
    <cacheField name="Valor despacho" numFmtId="0">
      <sharedItems containsString="0" containsBlank="1" containsNumber="1" containsInteger="1" minValue="0" maxValue="133290"/>
    </cacheField>
    <cacheField name="Diferencia valor real vs Estimado" numFmtId="165">
      <sharedItems containsBlank="1" containsMixedTypes="1" containsNumber="1" containsInteger="1" minValue="-78611" maxValue="631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05.6077" createdVersion="8" refreshedVersion="8" minRefreshableVersion="3" recordCount="148" xr:uid="{7F333AF6-FEE4-48F2-B2FF-2F8BEE44CAB3}">
  <cacheSource type="worksheet">
    <worksheetSource ref="A4:AA152" sheet="Base Ventas"/>
  </cacheSource>
  <cacheFields count="23">
    <cacheField name="Fecha" numFmtId="14">
      <sharedItems containsSemiMixedTypes="0" containsNonDate="0" containsDate="1" containsString="0" minDate="2025-01-01T00:00:00" maxDate="2025-02-15T00:00:00"/>
    </cacheField>
    <cacheField name="Mes" numFmtId="1">
      <sharedItems count="2">
        <s v="enero"/>
        <s v="febrero"/>
      </sharedItems>
    </cacheField>
    <cacheField name="No orden" numFmtId="0">
      <sharedItems containsSemiMixedTypes="0" containsString="0" containsNumber="1" containsInteger="1" minValue="2366" maxValue="2443"/>
    </cacheField>
    <cacheField name="Concepto" numFmtId="0">
      <sharedItems count="3">
        <s v="Venta"/>
        <s v="Garantia"/>
        <s v="Cortesia"/>
      </sharedItems>
    </cacheField>
    <cacheField name="Cliente/Proveedor" numFmtId="0">
      <sharedItems/>
    </cacheField>
    <cacheField name="Codigo" numFmtId="0">
      <sharedItems containsBlank="1"/>
    </cacheField>
    <cacheField name="Descripcion del producto" numFmtId="0">
      <sharedItems/>
    </cacheField>
    <cacheField name="Cantidad" numFmtId="1">
      <sharedItems containsSemiMixedTypes="0" containsString="0" containsNumber="1" containsInteger="1" minValue="1" maxValue="1"/>
    </cacheField>
    <cacheField name="Categoria" numFmtId="0">
      <sharedItems count="8">
        <s v="Accesorio"/>
        <s v="Standing Desk"/>
        <s v="Superficie"/>
        <s v="Instalacion"/>
        <s v="Silla"/>
        <s v="Archivador"/>
        <s v="Repisa"/>
        <s v="Ruedas"/>
      </sharedItems>
    </cacheField>
    <cacheField name="Ciudad" numFmtId="0">
      <sharedItems count="11">
        <s v="Antioquia"/>
        <s v="Bogotá y alrededores"/>
        <s v="Atlantico"/>
        <s v="Huila"/>
        <s v="Boyaca"/>
        <s v="Santander"/>
        <s v="Valle del Cauca"/>
        <s v="Monteria"/>
        <s v="Cauca"/>
        <s v="Quindio"/>
        <s v="Tolima"/>
      </sharedItems>
    </cacheField>
    <cacheField name="Lugar de entrega" numFmtId="0">
      <sharedItems count="19">
        <s v="La estrella"/>
        <s v="Bogota"/>
        <s v="Barranquilla"/>
        <s v="Neiva"/>
        <s v="Cota"/>
        <s v="Envigado"/>
        <s v="Carmen de Viboral"/>
        <s v="Tunja"/>
        <s v="Medellin"/>
        <s v="Bucaramanga"/>
        <s v="El Retiro"/>
        <s v="Jamundi"/>
        <s v="Cordoba"/>
        <s v="Duitama"/>
        <s v="Popayan"/>
        <s v="La tebaida"/>
        <s v="Ibague"/>
        <s v="Cali"/>
        <s v="Madrid"/>
      </sharedItems>
    </cacheField>
    <cacheField name="Status Despacho" numFmtId="0">
      <sharedItems count="3">
        <s v="Despachado"/>
        <s v="Instalacion"/>
        <s v="En alistamiento"/>
      </sharedItems>
    </cacheField>
    <cacheField name="Transportadora" numFmtId="1">
      <sharedItems/>
    </cacheField>
    <cacheField name="No guia" numFmtId="0">
      <sharedItems containsBlank="1"/>
    </cacheField>
    <cacheField name="Fecha de despacho" numFmtId="164">
      <sharedItems containsDate="1" containsBlank="1" containsMixedTypes="1" minDate="2025-01-07T00:00:00" maxDate="2025-02-14T00:00:00"/>
    </cacheField>
    <cacheField name="Fecha de Entrega" numFmtId="164">
      <sharedItems containsDate="1" containsBlank="1" containsMixedTypes="1" minDate="2025-01-08T00:00:00" maxDate="2025-02-13T00:00:00"/>
    </cacheField>
    <cacheField name="Status entrega " numFmtId="164">
      <sharedItems containsBlank="1" count="3">
        <s v="Entregado"/>
        <s v="En transito"/>
        <m/>
      </sharedItems>
    </cacheField>
    <cacheField name="Tiempo de despacho de orden" numFmtId="1">
      <sharedItems containsBlank="1" containsMixedTypes="1" containsNumber="1" containsInteger="1" minValue="0" maxValue="3"/>
    </cacheField>
    <cacheField name="Tiempo de entrega de la orden" numFmtId="1">
      <sharedItems containsBlank="1" containsMixedTypes="1" containsNumber="1" containsInteger="1" minValue="0" maxValue="13"/>
    </cacheField>
    <cacheField name="Cumple NNS" numFmtId="1">
      <sharedItems containsBlank="1"/>
    </cacheField>
    <cacheField name="Valor despacho" numFmtId="165">
      <sharedItems containsString="0" containsBlank="1" containsNumber="1" containsInteger="1" minValue="0" maxValue="112444"/>
    </cacheField>
    <cacheField name="Diferencia valor real vs Estimado" numFmtId="165">
      <sharedItems containsString="0" containsBlank="1" containsNumber="1" containsInteger="1" minValue="29257" maxValue="47258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23.436073726851" createdVersion="8" refreshedVersion="8" minRefreshableVersion="3" recordCount="207" xr:uid="{8AF158AB-B977-4E6C-9C81-C00A819C1D9D}">
  <cacheSource type="worksheet">
    <worksheetSource ref="A4:AA212" sheet="Base Ventas"/>
  </cacheSource>
  <cacheFields count="23">
    <cacheField name="Fecha" numFmtId="14">
      <sharedItems containsSemiMixedTypes="0" containsNonDate="0" containsDate="1" containsString="0" minDate="2025-01-01T00:00:00" maxDate="2025-03-07T00:00:00"/>
    </cacheField>
    <cacheField name="Mes" numFmtId="1">
      <sharedItems count="3">
        <s v="enero"/>
        <s v="febrero"/>
        <s v="marzo"/>
      </sharedItems>
    </cacheField>
    <cacheField name="No orden" numFmtId="0">
      <sharedItems containsSemiMixedTypes="0" containsString="0" containsNumber="1" containsInteger="1" minValue="2366" maxValue="2471"/>
    </cacheField>
    <cacheField name="Concepto" numFmtId="0">
      <sharedItems count="3">
        <s v="Venta"/>
        <s v="Garantia"/>
        <s v="Cortesia"/>
      </sharedItems>
    </cacheField>
    <cacheField name="Cliente/Proveedor" numFmtId="0">
      <sharedItems/>
    </cacheField>
    <cacheField name="Codigo" numFmtId="0">
      <sharedItems containsBlank="1"/>
    </cacheField>
    <cacheField name="Descripcion del producto" numFmtId="0">
      <sharedItems count="54">
        <s v="Desk Pad B Negro Café Miel"/>
        <s v="Desk Pad B Negro Azul"/>
        <s v="Electric Standing Desk GO Blanco"/>
        <s v="Superficie  Fresno Europeo 120x70 Clasico Small"/>
        <s v="Bandeja de cables"/>
        <s v="Electric Standing Desk GO Negro"/>
        <s v="Superficie Caramelo 140x70 Clasico"/>
        <s v="Electric Standing Desk  En L Frame Negro 2.0"/>
        <s v="Superficie en L Roble Negro"/>
        <s v="Bandeja Piano"/>
        <s v="Servicio Instalacion"/>
        <s v="Superficie  Roble Negro 120x70 Clasico Small"/>
        <s v="Electric Standing Desk  PRO Negro"/>
        <s v="Desk Stool Negra Silla ajustable"/>
        <s v="Superficie  Fresno Europeo 140x70 Clasico"/>
        <s v="Archivador TECU  Caramelo"/>
        <s v="Superficie  Caramelo 160x70 Clasico"/>
        <s v="Superficie  en L Negro"/>
        <s v="Repisa Negro"/>
        <s v="Superficie  Caramelo 180x70 Clasico"/>
        <s v="Superficie  Roble Negro 160x70 Clasico"/>
        <s v="Superficie  Fresno Europeo 180x70 Clasico"/>
        <s v="Superficie  Roble negro 150x70 Clasico"/>
        <s v="Superficie Caramelo 130x70 Clasico"/>
        <s v="Superficie  Caramelo 160x70 Moderno"/>
        <s v="Rodachines con freno para Standing desk x 6 UN"/>
        <s v="Archivador TECU  Negro"/>
        <s v="Superficie Roble Miel 150x70 Clasico"/>
        <s v="Superficie  Fresno Europeo 160x70 Clasico"/>
        <s v="Superficie  Fresno Europeo 150x70 Clasico"/>
        <s v="Repisa Caramelo"/>
        <s v="Rodachines con freno para Standing desk x 4 UN"/>
        <s v="Laptop Stand B"/>
        <s v="Superficie  Fresno Europeo 180x70 Moderno"/>
        <s v="Electric Standing Desk  PRO Blanco"/>
        <s v="Superficie  Fresno Europeo 170x70 Moderno"/>
        <s v="Superficie Niebla 200x70 Clasico"/>
        <s v="Superficie  Caramelo 120x70 Clasico Small"/>
        <s v="Superficie Niebla 170x70 Clasico"/>
        <s v="Superficie  Fresno Europeo 130x70 Clasico"/>
        <s v="Superficie Caramelo 150x70 Moderno"/>
        <s v="Superficie Niebla 150x70 Moderno"/>
        <s v="Repisa Miel"/>
        <s v="Archivador TECU Fresno Europeo"/>
        <s v="Servicio de instalacion"/>
        <s v="Archivador TECU  Blanco (Niebla)"/>
        <s v="Superficie  en L Caramelo"/>
        <s v="Superficie Niebla 130x70 Clasico"/>
        <s v="Superficie  Fresno Europeo 160x70 Moderno"/>
        <s v="Archivador TECU  Miel"/>
        <s v="Superficie Roble Miel 180x70 Clasico"/>
        <s v="Superficie Niebla 180x70 Moderno"/>
        <s v="Superficie Caramelo 150x70 Clasico"/>
        <s v="Superficie  Roble Negro 150x70 Moderno"/>
      </sharedItems>
    </cacheField>
    <cacheField name="Cantidad" numFmtId="1">
      <sharedItems containsString="0" containsBlank="1" containsNumber="1" containsInteger="1" minValue="1" maxValue="2"/>
    </cacheField>
    <cacheField name="Categoria" numFmtId="0">
      <sharedItems count="8">
        <s v="Accesorio"/>
        <s v="Standing Desk"/>
        <s v="Superficie"/>
        <s v="Instalacion"/>
        <s v="Silla"/>
        <s v="Archivador"/>
        <s v="Repisa"/>
        <s v="Ruedas"/>
      </sharedItems>
    </cacheField>
    <cacheField name="Ciudad" numFmtId="0">
      <sharedItems count="12">
        <s v="Antioquia"/>
        <s v="Bogotá y alrededores"/>
        <s v="Atlantico"/>
        <s v="Huila"/>
        <s v="Boyaca"/>
        <s v="Santander"/>
        <s v="Valle del Cauca"/>
        <s v="Monteria"/>
        <s v="Cauca"/>
        <s v="Quindio"/>
        <s v="Tolima"/>
        <s v="Risaralda"/>
      </sharedItems>
    </cacheField>
    <cacheField name="Lugar de entrega" numFmtId="0">
      <sharedItems count="24">
        <s v="La estrella"/>
        <s v="Bogota"/>
        <s v="Barranquilla"/>
        <s v="Neiva"/>
        <s v="Cota"/>
        <s v="Envigado"/>
        <s v="Carmen de Viboral"/>
        <s v="Tunja"/>
        <s v="Medellin"/>
        <s v="Bucaramanga"/>
        <s v="El Retiro"/>
        <s v="Jamundi"/>
        <s v="Cordoba"/>
        <s v="Duitama"/>
        <s v="Popayan"/>
        <s v="La tebaida"/>
        <s v="Ibague"/>
        <s v="Cali"/>
        <s v="Madrid"/>
        <s v="Pereira"/>
        <s v="Mosquera"/>
        <s v="Cajica"/>
        <s v="Marinilla"/>
        <s v="Bello"/>
      </sharedItems>
    </cacheField>
    <cacheField name="Status Despacho" numFmtId="0">
      <sharedItems count="3">
        <s v="Despachado"/>
        <s v="Instalacion"/>
        <s v="En alistamiento"/>
      </sharedItems>
    </cacheField>
    <cacheField name="Transportadora" numFmtId="1">
      <sharedItems/>
    </cacheField>
    <cacheField name="No guia" numFmtId="0">
      <sharedItems containsBlank="1"/>
    </cacheField>
    <cacheField name="Fecha de despacho" numFmtId="164">
      <sharedItems containsDate="1" containsBlank="1" containsMixedTypes="1" minDate="2025-01-07T00:00:00" maxDate="2025-03-04T15:47:29"/>
    </cacheField>
    <cacheField name="Fecha de Entrega" numFmtId="164">
      <sharedItems containsDate="1" containsBlank="1" containsMixedTypes="1" minDate="1906-09-23T00:00:00" maxDate="2025-03-06T09:33:29"/>
    </cacheField>
    <cacheField name="Status entrega " numFmtId="164">
      <sharedItems count="2">
        <s v="Entregado"/>
        <s v="En transito"/>
      </sharedItems>
    </cacheField>
    <cacheField name="Tiempo de despacho de orden" numFmtId="1">
      <sharedItems containsBlank="1" containsMixedTypes="1" containsNumber="1" containsInteger="1" minValue="-3" maxValue="3"/>
    </cacheField>
    <cacheField name="Tiempo de entrega de la orden" numFmtId="1">
      <sharedItems containsBlank="1" containsMixedTypes="1" containsNumber="1" containsInteger="1" minValue="-39190" maxValue="13"/>
    </cacheField>
    <cacheField name="Cumple NNS" numFmtId="1">
      <sharedItems containsBlank="1"/>
    </cacheField>
    <cacheField name="Valor despacho" numFmtId="165">
      <sharedItems containsString="0" containsBlank="1" containsNumber="1" containsInteger="1" minValue="0" maxValue="112444"/>
    </cacheField>
    <cacheField name="Diferencia valor real vs Estimado" numFmtId="165">
      <sharedItems containsString="0" containsBlank="1" containsNumber="1" containsInteger="1" minValue="29257" maxValue="47258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19.454963194446" createdVersion="8" refreshedVersion="8" minRefreshableVersion="3" recordCount="492" xr:uid="{2B6967E5-CC9B-468D-B8BE-03C02DC64CEF}">
  <cacheSource type="worksheet">
    <worksheetSource ref="A4:AA496" sheet="Base Ventas"/>
  </cacheSource>
  <cacheFields count="23">
    <cacheField name="Fecha" numFmtId="14">
      <sharedItems containsSemiMixedTypes="0" containsNonDate="0" containsDate="1" containsString="0" minDate="2025-01-01T00:00:00" maxDate="2025-06-07T00:00:00"/>
    </cacheField>
    <cacheField name="Mes" numFmtId="1">
      <sharedItems count="6">
        <s v="enero"/>
        <s v="febrero"/>
        <s v="marzo"/>
        <s v="abril"/>
        <s v="mayo"/>
        <s v="junio"/>
      </sharedItems>
    </cacheField>
    <cacheField name="No orden" numFmtId="0">
      <sharedItems containsSemiMixedTypes="0" containsString="0" containsNumber="1" containsInteger="1" minValue="2120" maxValue="2580"/>
    </cacheField>
    <cacheField name="Concepto" numFmtId="0">
      <sharedItems count="5">
        <s v="Venta"/>
        <s v="Garantia"/>
        <s v="Cortesia"/>
        <s v="Novedad"/>
        <s v="Obsequio"/>
      </sharedItems>
    </cacheField>
    <cacheField name="Cliente/Proveedor" numFmtId="0">
      <sharedItems/>
    </cacheField>
    <cacheField name="Codigo" numFmtId="0">
      <sharedItems containsBlank="1"/>
    </cacheField>
    <cacheField name="Descripcion del producto" numFmtId="0">
      <sharedItems count="73">
        <s v="Desk Pad B Negro Café Miel"/>
        <s v="Desk Pad B Negro Azul"/>
        <s v="Electric Standing Desk GO Blanco"/>
        <s v="Superficie  Fresno Europeo 120x70 Clasico Small"/>
        <s v="Bandeja de cables"/>
        <s v="Electric Standing Desk GO Negro"/>
        <s v="Superficie Caramelo 140x70 Clasico"/>
        <s v="Electric Standing Desk  En L Frame Negro 2.0"/>
        <s v="Superficie en L Roble Negro"/>
        <s v="Bandeja Piano"/>
        <s v="Servicio Instalacion"/>
        <s v="Superficie  Roble Negro 120x70 Clasico Small"/>
        <s v="Electric Standing Desk  PRO Negro"/>
        <s v="Desk Stool Negra Silla ajustable"/>
        <s v="Superficie  Fresno Europeo 140x70 Clasico"/>
        <s v="Archivador TECU  Caramelo"/>
        <s v="Superficie  Caramelo 160x70 Clasico"/>
        <s v="Superficie  en L Negro"/>
        <s v="Repisa Negro"/>
        <s v="Superficie  Caramelo 180x70 Clasico"/>
        <s v="Superficie  Roble Negro 160x70 Clasico"/>
        <s v="Superficie  Fresno Europeo 180x70 Clasico"/>
        <s v="Superficie  Roble negro 150x70 Clasico"/>
        <s v="Superficie Caramelo 130x70 Clasico"/>
        <s v="Superficie  Caramelo 160x70 Moderno"/>
        <s v="Rodachines con freno para Standing desk x 6 UN"/>
        <s v="Archivador TECU  Negro"/>
        <s v="Superficie Roble Miel 150x70 Clasico"/>
        <s v="Superficie  Fresno Europeo 160x70 Clasico"/>
        <s v="Superficie  Fresno Europeo 150x70 Clasico"/>
        <s v="Repisa Caramelo"/>
        <s v="Rodachines con freno para Standing desk x 4 UN"/>
        <s v="Laptop Stand B"/>
        <s v="Superficie  Fresno Europeo 180x70 Moderno"/>
        <s v="Electric Standing Desk  PRO Blanco"/>
        <s v="Superficie  Fresno Europeo 170x70 Moderno"/>
        <s v="Superficie Niebla 200x70 Clasico"/>
        <s v="Superficie  Caramelo 120x70 Clasico Small"/>
        <s v="Superficie Niebla 170x70 Clasico"/>
        <s v="Superficie  Fresno Europeo 130x70 Clasico"/>
        <s v="Superficie Caramelo 150x70 Moderno"/>
        <s v="Superficie Niebla 150x70 Moderno"/>
        <s v="Repisa Miel"/>
        <s v="Archivador TECU Fresno Europeo"/>
        <s v="Archivador TECU  Blanco (Niebla)"/>
        <s v="Superficie  en L Caramelo"/>
        <s v="Superficie Niebla 130x70 Clasico"/>
        <s v="Superficie  Fresno Europeo 160x70 Moderno"/>
        <s v="Archivador TECU  Miel"/>
        <s v="Superficie Roble Miel 180x70 Clasico"/>
        <s v="Superficie Niebla 180x70 Moderno"/>
        <s v="Superficie Caramelo 150x70 Clasico"/>
        <s v="Superficie  Roble Negro 150x70 Moderno"/>
        <s v="Superficie  Fresno Europeo 170x70 Clasico"/>
        <s v="Bandeja de teclado"/>
        <s v="Electric Standing Desk  PRO Negro circular"/>
        <s v="Superficie Niebla 150x70 Clasico"/>
        <s v="Superficie  Roble Negro 140x70 Clasico"/>
        <s v="Superficie  Roble Negro 180x70 Clasico"/>
        <s v="Superficie  Music Caramelo"/>
        <s v="Superficie  Roble Negro 170x70 Clasico"/>
        <s v="Superficie  en L Niebla"/>
        <s v="Superficie  Caramelo 200x70 Clasico"/>
        <s v="Superficie en L Fresno Europeo"/>
        <s v="Desk Stool Gris Silla ajustable"/>
        <s v="Superficie  Roble Negro 200x70 Clasico"/>
        <s v="Electric Standing Desk  PRO Blanco circular"/>
        <s v="Superficie  Roble Negro 130x70 Clasico"/>
        <s v="Superficie Niebla 120x70 Clasico Small"/>
        <s v="Superficie  Music Roble Negro"/>
        <s v="Superficie  Caramelo 170x70 Clasico"/>
        <s v="Repisa TECU Fresno Europeo"/>
        <s v="Superficie Niebla 160x70 Clasico"/>
      </sharedItems>
    </cacheField>
    <cacheField name="Cantidad" numFmtId="1">
      <sharedItems containsSemiMixedTypes="0" containsString="0" containsNumber="1" containsInteger="1" minValue="0" maxValue="2"/>
    </cacheField>
    <cacheField name="Categoria" numFmtId="0">
      <sharedItems count="8">
        <s v="Accesorio"/>
        <s v="Standing Desk"/>
        <s v="Superficie"/>
        <s v="Instalacion"/>
        <s v="Silla"/>
        <s v="Archivador"/>
        <s v="Repisa"/>
        <s v="Ruedas"/>
      </sharedItems>
    </cacheField>
    <cacheField name="Ciudad" numFmtId="0">
      <sharedItems count="15">
        <s v="Antioquia"/>
        <s v="Bogotá y alrededores"/>
        <s v="Atlantico"/>
        <s v="Huila"/>
        <s v="Boyaca"/>
        <s v="Santander"/>
        <s v="Valle del Cauca"/>
        <s v="Monteria"/>
        <s v="Cauca"/>
        <s v="Quindio"/>
        <s v="Tolima"/>
        <s v="Risaralda"/>
        <s v="Norte de Santander"/>
        <s v="Caldas"/>
        <s v="Cartagena"/>
      </sharedItems>
    </cacheField>
    <cacheField name="Lugar de entrega" numFmtId="0">
      <sharedItems count="45">
        <s v="La estrella"/>
        <s v="Bogota"/>
        <s v="Barranquilla"/>
        <s v="Neiva"/>
        <s v="Cota"/>
        <s v="Envigado"/>
        <s v="Carmen de Viboral"/>
        <s v="Tunja"/>
        <s v="Medellin"/>
        <s v="Bucaramanga"/>
        <s v="El Retiro"/>
        <s v="Jamundi"/>
        <s v="Cordoba"/>
        <s v="Duitama"/>
        <s v="Popayan"/>
        <s v="La tebaida"/>
        <s v="Ibague"/>
        <s v="Cali"/>
        <s v="Madrid"/>
        <s v="Pereira"/>
        <s v="Mosquera"/>
        <s v="Cajica"/>
        <s v="Marinilla"/>
        <s v="Bello"/>
        <s v="Los patios"/>
        <s v="Villa del rosario"/>
        <s v="Santa Rosa de Cabal"/>
        <s v="Copcabana"/>
        <s v="Manizales"/>
        <s v="Siberia"/>
        <s v="Itagui"/>
        <s v="Sogamoso"/>
        <s v="Cartagena"/>
        <s v="Zipaquira"/>
        <s v="Rionegro"/>
        <s v="Chía"/>
        <s v="Floridablanca"/>
        <s v="Piedacuesta"/>
        <s v="Soacha"/>
        <s v="Retiro"/>
        <s v="Palmira"/>
        <s v="Funza"/>
        <s v="Chia"/>
        <s v="Barrancabermeja"/>
        <s v="Candelaria"/>
      </sharedItems>
    </cacheField>
    <cacheField name="Status Despacho" numFmtId="0">
      <sharedItems count="3">
        <s v="Despachado"/>
        <s v="Instalacion"/>
        <s v="En alistamiento"/>
      </sharedItems>
    </cacheField>
    <cacheField name="Transportadora" numFmtId="1">
      <sharedItems/>
    </cacheField>
    <cacheField name="No guia" numFmtId="0">
      <sharedItems containsBlank="1"/>
    </cacheField>
    <cacheField name="Fecha de despacho" numFmtId="14">
      <sharedItems containsDate="1" containsBlank="1" containsMixedTypes="1" minDate="2025-01-07T00:00:00" maxDate="2025-06-11T00:00:00"/>
    </cacheField>
    <cacheField name="Fecha de Entrega" numFmtId="14">
      <sharedItems containsDate="1" containsBlank="1" containsMixedTypes="1" minDate="2025-01-08T00:00:00" maxDate="2025-06-10T00:00:00"/>
    </cacheField>
    <cacheField name="Status entrega " numFmtId="164">
      <sharedItems containsBlank="1" count="3">
        <s v="Entregado"/>
        <s v="En transito"/>
        <m/>
      </sharedItems>
    </cacheField>
    <cacheField name="Tiempo de despacho de orden" numFmtId="1">
      <sharedItems containsBlank="1" containsMixedTypes="1" containsNumber="1" containsInteger="1" minValue="-3" maxValue="18"/>
    </cacheField>
    <cacheField name="Tiempo de entrega de la orden" numFmtId="1">
      <sharedItems containsBlank="1" containsMixedTypes="1" containsNumber="1" containsInteger="1" minValue="-39264" maxValue="20"/>
    </cacheField>
    <cacheField name="Cumple NNS" numFmtId="1">
      <sharedItems containsBlank="1"/>
    </cacheField>
    <cacheField name="Valor despacho" numFmtId="165">
      <sharedItems containsString="0" containsBlank="1" containsNumber="1" containsInteger="1" minValue="0" maxValue="153778"/>
    </cacheField>
    <cacheField name="Diferencia valor real vs Estimado" numFmtId="165">
      <sharedItems containsBlank="1" containsMixedTypes="1" containsNumber="1" containsInteger="1" minValue="24093" maxValue="54929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rodriguez" refreshedDate="46004.807070023147" createdVersion="8" refreshedVersion="8" minRefreshableVersion="3" recordCount="1024" xr:uid="{793E530E-1664-4248-834B-ABF736C70847}">
  <cacheSource type="worksheet">
    <worksheetSource ref="A4:Z1030" sheet="Base Ventas"/>
  </cacheSource>
  <cacheFields count="22">
    <cacheField name="Fecha" numFmtId="14">
      <sharedItems containsNonDate="0" containsDate="1" containsString="0" containsBlank="1" minDate="2025-01-01T00:00:00" maxDate="2025-12-01T00:00:00"/>
    </cacheField>
    <cacheField name="Mes" numFmtId="1">
      <sharedItems count="11">
        <s v="enero"/>
        <s v="febrero"/>
        <s v="marzo"/>
        <s v="abril"/>
        <s v="mayo"/>
        <s v="junio"/>
        <s v="julio"/>
        <s v="agosto"/>
        <s v="septiembre"/>
        <s v="octubre"/>
        <s v="noviembre"/>
      </sharedItems>
    </cacheField>
    <cacheField name="No orden" numFmtId="0">
      <sharedItems containsMixedTypes="1" containsNumber="1" containsInteger="1" minValue="2120" maxValue="100226"/>
    </cacheField>
    <cacheField name="Concepto" numFmtId="0">
      <sharedItems count="5">
        <s v="Venta"/>
        <s v="Garantia"/>
        <s v="Cortesia"/>
        <s v="Novedad"/>
        <s v="Obsequio"/>
      </sharedItems>
    </cacheField>
    <cacheField name="Cliente/Proveedor" numFmtId="0">
      <sharedItems/>
    </cacheField>
    <cacheField name="Codigo" numFmtId="0">
      <sharedItems containsBlank="1"/>
    </cacheField>
    <cacheField name="Descripcion del producto" numFmtId="0">
      <sharedItems/>
    </cacheField>
    <cacheField name="Cantidad" numFmtId="1">
      <sharedItems containsString="0" containsBlank="1" containsNumber="1" containsInteger="1" minValue="1" maxValue="2"/>
    </cacheField>
    <cacheField name="Categoria" numFmtId="0">
      <sharedItems count="10">
        <s v="Accesorio"/>
        <s v="Standing Desk"/>
        <s v="Superficie"/>
        <s v="Instalacion"/>
        <s v="Silla"/>
        <s v="Archivador"/>
        <s v="Repisa"/>
        <s v="Ruedas"/>
        <s v="Escritorio Fijo"/>
        <s v=" "/>
      </sharedItems>
    </cacheField>
    <cacheField name="Ciudad" numFmtId="0">
      <sharedItems/>
    </cacheField>
    <cacheField name="Lugar de entrega" numFmtId="0">
      <sharedItems/>
    </cacheField>
    <cacheField name="Status Despacho" numFmtId="0">
      <sharedItems count="3">
        <s v="Despachado"/>
        <s v="Instalacion"/>
        <s v="En alistamiento"/>
      </sharedItems>
    </cacheField>
    <cacheField name="Transportadora" numFmtId="1">
      <sharedItems containsBlank="1"/>
    </cacheField>
    <cacheField name="No guia" numFmtId="0">
      <sharedItems containsBlank="1"/>
    </cacheField>
    <cacheField name="Fecha de despacho" numFmtId="14">
      <sharedItems containsDate="1" containsBlank="1" containsMixedTypes="1" minDate="2025-01-07T00:00:00" maxDate="2025-08-29T00:00:00"/>
    </cacheField>
    <cacheField name="Fecha de Entrega" numFmtId="14">
      <sharedItems containsDate="1" containsBlank="1" containsMixedTypes="1" minDate="2025-01-08T00:00:00" maxDate="2025-09-02T00:00:00"/>
    </cacheField>
    <cacheField name="Status entrega " numFmtId="164">
      <sharedItems containsBlank="1"/>
    </cacheField>
    <cacheField name="Tiempo de despacho de orden" numFmtId="1">
      <sharedItems containsBlank="1" containsMixedTypes="1" containsNumber="1" containsInteger="1" minValue="-4" maxValue="39259"/>
    </cacheField>
    <cacheField name="Tiempo de entrega de la orden" numFmtId="1">
      <sharedItems containsBlank="1" containsMixedTypes="1" containsNumber="1" containsInteger="1" minValue="0" maxValue="39261"/>
    </cacheField>
    <cacheField name="Cumple NNS" numFmtId="1">
      <sharedItems containsBlank="1"/>
    </cacheField>
    <cacheField name="Valor despacho" numFmtId="165">
      <sharedItems containsString="0" containsBlank="1" containsNumber="1" containsInteger="1" minValue="0" maxValue="183036"/>
    </cacheField>
    <cacheField name="Diferencia valor real vs Estimado" numFmtId="165">
      <sharedItems containsBlank="1" containsMixedTypes="1" containsNumber="1" containsInteger="1" minValue="24093" maxValue="549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rodriguez" refreshedDate="46010.588914236112" createdVersion="8" refreshedVersion="8" minRefreshableVersion="3" recordCount="1024" xr:uid="{1C9FCCE2-AC84-4327-81D3-42BBAA178AC4}">
  <cacheSource type="worksheet">
    <worksheetSource ref="A4:AA1030" sheet="Base Ventas"/>
  </cacheSource>
  <cacheFields count="23">
    <cacheField name="Fecha" numFmtId="14">
      <sharedItems containsNonDate="0" containsDate="1" containsString="0" containsBlank="1" minDate="2025-01-01T00:00:00" maxDate="2025-12-01T00:00:00"/>
    </cacheField>
    <cacheField name="Mes" numFmtId="1">
      <sharedItems count="11">
        <s v="enero"/>
        <s v="febrero"/>
        <s v="marzo"/>
        <s v="abril"/>
        <s v="mayo"/>
        <s v="junio"/>
        <s v="julio"/>
        <s v="agosto"/>
        <s v="septiembre"/>
        <s v="octubre"/>
        <s v="noviembre"/>
      </sharedItems>
    </cacheField>
    <cacheField name="No orden" numFmtId="0">
      <sharedItems containsMixedTypes="1" containsNumber="1" containsInteger="1" minValue="2120" maxValue="100226"/>
    </cacheField>
    <cacheField name="Concepto" numFmtId="0">
      <sharedItems count="5">
        <s v="Venta"/>
        <s v="Garantia"/>
        <s v="Cortesia"/>
        <s v="Novedad"/>
        <s v="Obsequio"/>
      </sharedItems>
    </cacheField>
    <cacheField name="Cliente/Proveedor" numFmtId="0">
      <sharedItems/>
    </cacheField>
    <cacheField name="Codigo" numFmtId="0">
      <sharedItems containsBlank="1"/>
    </cacheField>
    <cacheField name="Descripcion del producto" numFmtId="0">
      <sharedItems count="116">
        <s v="Desk Pad B Negro Café Miel"/>
        <s v="Desk Pad B Negro Azul"/>
        <s v="Electric Standing Desk GO Blanco"/>
        <s v="Superficie  Fresno Europeo 120x70 Clasico Small"/>
        <s v="Bandeja de cables"/>
        <s v="Electric Standing Desk GO Negro"/>
        <s v="Superficie Caramelo 140x70 Clasico"/>
        <s v="Electric Standing Desk  En L Frame Negro 2.0"/>
        <s v="Superficie en L Roble Negro 180x150cm x 70"/>
        <s v="Bandeja Piano"/>
        <s v="Servicio de instalacion"/>
        <s v="Superficie  Roble Negro 120x70 Clasico Small"/>
        <s v="Electric Standing Desk  PRO Negro"/>
        <s v="Desk Stool Negra Silla ajustable"/>
        <s v="Superficie  Fresno Europeo 140x70 Clasico"/>
        <s v="Archivador TECU  Caramelo"/>
        <s v="Superficie  Caramelo 160x70 Clasico"/>
        <s v="Superficie  en L Negro 180x150cm x 70"/>
        <s v="Repisa Negro"/>
        <s v="Superficie  Caramelo 180x70 Clasico"/>
        <s v="Superficie  Roble Negro 160x70 Clasico"/>
        <s v="Superficie  Fresno Europeo 180x70 Clasico"/>
        <s v="Superficie  Roble negro 150x70 Clasico"/>
        <s v="Superficie Caramelo 130x70 Clasico"/>
        <s v="Superficie  Caramelo 160x70 Moderno"/>
        <s v="Rodachines con freno para Standing desk x 6 UN"/>
        <s v="Archivador TECU  Negro"/>
        <s v="Superficie Roble Miel 150x70 Clasico"/>
        <s v="Superficie  Fresno Europeo 160x70 Clasico"/>
        <s v="Superficie  Fresno Europeo 150x70 Clasico"/>
        <s v="Repisa Caramelo"/>
        <s v="Rodachines con freno para Standing desk x 4 UN"/>
        <s v="Laptop Stand B"/>
        <s v="Superficie  Fresno Europeo 180x70 Moderno"/>
        <s v="Electric Standing Desk  PRO Blanco"/>
        <s v="Superficie  Fresno Europeo 170x70 Moderno"/>
        <s v="Superficie Niebla 200x70 Clasico"/>
        <s v="Superficie  Caramelo 120x70 Clasico Small"/>
        <s v="Superficie Niebla 170x70 Clasico"/>
        <s v="Superficie  Fresno Europeo 130x70 Clasico"/>
        <s v="Superficie Caramelo 150x70 Moderno"/>
        <s v="Superficie Niebla 150x70 Moderno"/>
        <s v="Repisa Miel"/>
        <s v="Archivador TECU Fresno Europeo"/>
        <s v="Archivador TECU  Blanco (Niebla)"/>
        <s v="Superficie  en L Caramelo 180x150cm x 70"/>
        <s v="Superficie Niebla 130x70 Clasico"/>
        <s v="Superficie  Fresno Europeo 160x70 Moderno"/>
        <s v="Archivador TECU  Miel"/>
        <s v="Superficie Roble Miel 180x70 Clasico"/>
        <s v="Superficie Niebla 180x70 Moderno"/>
        <s v="Superficie Caramelo 150x70 Clasico"/>
        <s v="Superficie  Roble Negro 150x70 Moderno"/>
        <s v="Superficie  Fresno Europeo 170x70 Clasico"/>
        <s v="Bandeja de teclado"/>
        <s v="Electric Standing Desk  PRO Negro circular"/>
        <s v="Superficie Niebla 150x70 Clasico"/>
        <s v="Superficie  Roble Negro 140x70 Clasico"/>
        <s v="Superficie  Roble Negro 180x70 Clasico"/>
        <s v="Superficie  Music Caramelo"/>
        <s v="Superficie  Roble Negro 170x70 Clasico"/>
        <s v="Superficie  en L Niebla 180x150cm x 70"/>
        <s v="Superficie  Caramelo 200x70 Clasico"/>
        <s v="Superficie en L Fresno 180x150cm x 70"/>
        <s v="Desk Stool Gris Silla ajustable"/>
        <s v="Superficie  Roble Negro 200x70 Clasico"/>
        <s v="Electric Standing Desk  PRO Blanco circular"/>
        <s v="Superficie  Roble Negro 130x70 Clasico"/>
        <s v="Superficie Niebla 120x70 Clasico Small"/>
        <s v="Superficie  Music Roble Negro"/>
        <s v="Superficie  Caramelo 170x70 Clasico"/>
        <s v="Repisa TECU Fresno Europeo"/>
        <s v="Superficie Niebla 160x70 Clasico"/>
        <s v="Superficie Roble Miel 180x70 Moderno"/>
        <s v="Superficie  Fresno Europeo 150x70 Moderno"/>
        <s v="Repisa Niebla"/>
        <s v="Superficie Niebla 180x70 Clasico"/>
        <s v="Superficie  Roble Negro 180x70 Moderno"/>
        <s v="Superficie Roble Caramelo 180x70 Clasico"/>
        <s v="Superficie Escritorio Caramelo 160x60 Clasico"/>
        <s v="Repisa Flotante Caramelo x 80cm"/>
        <s v="Cajonero 2.0 Bicolor Caramelo x77cm"/>
        <s v="Superficie Escritorio Caramelo 130x60 Clasico"/>
        <s v="Repisa Escritorio Fresno Europeo x 110cm"/>
        <s v="Repisa Escritorio Negro x 80cm"/>
        <s v="Superficie Escritorio Fresno Europeo 120x60 Clasico Small"/>
        <s v="Escritorio FIjo Linea - T x 72,5 cm"/>
        <s v="Superficie Escritorio Caramelo 150x60 Clasico"/>
        <s v="Repisa Escritorio Caramelo x 110cm"/>
        <s v="Cajonero 2.0 Bicolor Caramelo x73cm"/>
        <s v="Superficie  Fresno Europeo 190x70 Clasico"/>
        <s v="Superficie Escritorio Blanco (Niebla) 130x60 Clasico"/>
        <s v="Superficie Escritorio Fresno Europeo 180x80 Clasico"/>
        <s v="Superficie Escritorio Fresno Europeo 180x80 Moderno"/>
        <s v="Superficie  en L Roble Negro 150x150cm x60"/>
        <s v="Superficie Escritorio Blanco (Niebla) 120x60 Clasico Small"/>
        <s v=" "/>
        <s v="Cajonero 2.0 Unicolor Fresno Europeo x65cm"/>
        <s v="Repisa Escritorio Caramelo x 80cm"/>
        <s v="Superficie Escritorio Fresno Europeo 160x80 Clasico"/>
        <s v="Superficie Escritorio Roble Negro 200x80 Clasico"/>
        <s v="Superficie  en L Fresno 180x150cm x60"/>
        <s v="Repisa Flotante Fresno Europeo x 80cm"/>
        <s v="Cajonero 2.0 Bicolor Fresno Europeo x73cm"/>
        <s v="Superficie Escritorio Roble Negro 120x60 Clasico Small"/>
        <s v="Superficie Escritorio Fresno Europeo 140x60 Clasico"/>
        <s v="Superficie Escritorio Blanco (Niebla) 160x80 Clasico"/>
        <s v="Superficie Escritorio Caramelo 120x60 Clasico Small"/>
        <s v="Superficie  Caramelo 190x70 Clasico"/>
        <s v="Superficie Escritorio Fresno Europeo 150x80 Clasico"/>
        <s v="Cajonero 2.0 Bicolor Caramelo x65cm"/>
        <s v="Superficie Escritorio Fresno Europeo 160x60 Clasico"/>
        <s v="Superficie Escritorio Caramelo en L 150x70"/>
        <s v="Escritorio FIjo Linea - E x 72,5 cm"/>
        <s v="Superficie Escritorio Fresno Europeo 120x80 Clasico Small"/>
        <s v="Superficie Escritorio Fresno Europeo 130x60 Clasico"/>
      </sharedItems>
    </cacheField>
    <cacheField name="Cantidad" numFmtId="1">
      <sharedItems containsString="0" containsBlank="1" containsNumber="1" containsInteger="1" minValue="1" maxValue="2"/>
    </cacheField>
    <cacheField name="Categoria" numFmtId="0">
      <sharedItems count="10">
        <s v="Accesorio"/>
        <s v="Standing Desk"/>
        <s v="Superficie"/>
        <s v="Instalacion"/>
        <s v="Silla"/>
        <s v="Archivador"/>
        <s v="Repisa"/>
        <s v="Ruedas"/>
        <s v="Escritorio Fijo"/>
        <s v=" "/>
      </sharedItems>
    </cacheField>
    <cacheField name="Ciudad" numFmtId="0">
      <sharedItems/>
    </cacheField>
    <cacheField name="Lugar de entrega" numFmtId="0">
      <sharedItems/>
    </cacheField>
    <cacheField name="Status Despacho" numFmtId="0">
      <sharedItems/>
    </cacheField>
    <cacheField name="Transportadora" numFmtId="1">
      <sharedItems containsBlank="1"/>
    </cacheField>
    <cacheField name="No guia" numFmtId="0">
      <sharedItems containsBlank="1"/>
    </cacheField>
    <cacheField name="Fecha de despacho" numFmtId="14">
      <sharedItems containsDate="1" containsBlank="1" containsMixedTypes="1" minDate="2025-01-07T00:00:00" maxDate="2025-08-29T00:00:00"/>
    </cacheField>
    <cacheField name="Fecha de Entrega" numFmtId="14">
      <sharedItems containsDate="1" containsBlank="1" containsMixedTypes="1" minDate="2025-01-08T00:00:00" maxDate="2025-09-02T00:00:00"/>
    </cacheField>
    <cacheField name="Status entrega " numFmtId="164">
      <sharedItems containsBlank="1"/>
    </cacheField>
    <cacheField name="Tiempo de despacho de orden" numFmtId="1">
      <sharedItems containsBlank="1" containsMixedTypes="1" containsNumber="1" containsInteger="1" minValue="-4" maxValue="39259"/>
    </cacheField>
    <cacheField name="Tiempo de entrega de la orden" numFmtId="1">
      <sharedItems containsBlank="1" containsMixedTypes="1" containsNumber="1" containsInteger="1" minValue="0" maxValue="39261"/>
    </cacheField>
    <cacheField name="Cumple NNS" numFmtId="1">
      <sharedItems containsBlank="1"/>
    </cacheField>
    <cacheField name="Valor despacho" numFmtId="165">
      <sharedItems containsString="0" containsBlank="1" containsNumber="1" containsInteger="1" minValue="0" maxValue="183036"/>
    </cacheField>
    <cacheField name="Diferencia valor real vs Estimado" numFmtId="165">
      <sharedItems containsBlank="1" containsMixedTypes="1" containsNumber="1" containsInteger="1" minValue="24093" maxValue="54929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0">
  <r>
    <d v="2024-01-02T00:00:00"/>
    <x v="0"/>
    <n v="1"/>
    <n v="1852"/>
    <x v="0"/>
    <s v="Claudio Rosa"/>
    <s v="TECU3FBRO"/>
    <s v="Electric Standing Desk  PRO Blanco"/>
    <n v="1"/>
    <x v="0"/>
    <x v="0"/>
    <x v="0"/>
    <x v="0"/>
    <s v="Envioclick- Coordinadora"/>
    <s v="2078718 - 84150743987"/>
    <d v="2024-01-05T00:00:00"/>
    <d v="2024-01-06T00:00:00"/>
    <x v="0"/>
    <n v="3"/>
    <n v="4"/>
    <x v="0"/>
    <n v="42002"/>
    <n v="-2002"/>
  </r>
  <r>
    <d v="2024-01-02T00:00:00"/>
    <x v="0"/>
    <n v="1"/>
    <n v="1852"/>
    <x v="0"/>
    <s v="Claudio Rosa"/>
    <s v="TECUTCO2C"/>
    <s v="Superficie Escritorio Caramelo 120x70 Clasico Small"/>
    <n v="1"/>
    <x v="1"/>
    <x v="0"/>
    <x v="0"/>
    <x v="0"/>
    <s v="Envioclick- Coordinadora"/>
    <s v="2078719 - 84150743988"/>
    <d v="2024-01-05T00:00:00"/>
    <d v="2024-01-06T00:00:00"/>
    <x v="0"/>
    <n v="3"/>
    <n v="4"/>
    <x v="0"/>
    <n v="27422"/>
    <n v="7578"/>
  </r>
  <r>
    <d v="2024-01-02T00:00:00"/>
    <x v="0"/>
    <n v="1"/>
    <n v="1852"/>
    <x v="0"/>
    <s v="Claudio Rosa"/>
    <s v="TECURCO"/>
    <s v="Repisa TECU  Caramelo"/>
    <n v="1"/>
    <x v="2"/>
    <x v="0"/>
    <x v="0"/>
    <x v="0"/>
    <s v="Envioclick- Coordinadora"/>
    <s v="2078702 - 84150743980"/>
    <d v="2024-01-05T00:00:00"/>
    <d v="2024-01-06T00:00:00"/>
    <x v="0"/>
    <n v="3"/>
    <n v="4"/>
    <x v="0"/>
    <n v="22355"/>
    <n v="2645"/>
  </r>
  <r>
    <d v="2024-01-02T00:00:00"/>
    <x v="0"/>
    <n v="1"/>
    <n v="1853"/>
    <x v="0"/>
    <s v="Carolina Arevalo Silva"/>
    <s v="TECU2FNG"/>
    <s v="Electric Standing Desk GO Negro"/>
    <n v="1"/>
    <x v="0"/>
    <x v="1"/>
    <x v="1"/>
    <x v="0"/>
    <s v="Envioclick- Coordinadora"/>
    <s v="2078836 - 84150744058"/>
    <d v="2024-01-05T00:00:00"/>
    <d v="2024-01-09T00:00:00"/>
    <x v="0"/>
    <n v="3"/>
    <n v="5"/>
    <x v="0"/>
    <n v="40734"/>
    <n v="-734"/>
  </r>
  <r>
    <d v="2024-01-02T00:00:00"/>
    <x v="0"/>
    <n v="1"/>
    <n v="1853"/>
    <x v="0"/>
    <s v="Carolina Arevalo Silva"/>
    <s v="TECUTCO4C"/>
    <s v="Superficie Escritorio Caramelo 140x70 Clasico"/>
    <n v="1"/>
    <x v="1"/>
    <x v="1"/>
    <x v="1"/>
    <x v="0"/>
    <s v="Envioclick- Coordinadora"/>
    <s v="2078837 - 84150744059"/>
    <d v="2024-01-09T00:00:00"/>
    <d v="2024-01-10T00:00:00"/>
    <x v="0"/>
    <n v="5"/>
    <n v="6"/>
    <x v="0"/>
    <n v="22988"/>
    <n v="12012"/>
  </r>
  <r>
    <d v="2024-01-02T00:00:00"/>
    <x v="0"/>
    <n v="1"/>
    <n v="1854"/>
    <x v="0"/>
    <s v="Oscar Javier García García"/>
    <s v="TECUACC"/>
    <s v="Archivador TECU  Miel"/>
    <n v="1"/>
    <x v="3"/>
    <x v="1"/>
    <x v="1"/>
    <x v="0"/>
    <s v="Envioclick- Coordinadora"/>
    <s v="2073779 - 84150741882"/>
    <d v="2024-01-03T00:00:00"/>
    <d v="2024-01-04T00:00:00"/>
    <x v="0"/>
    <n v="1"/>
    <n v="2"/>
    <x v="1"/>
    <n v="50224"/>
    <n v="-224"/>
  </r>
  <r>
    <d v="2024-01-03T00:00:00"/>
    <x v="0"/>
    <n v="1"/>
    <n v="1855"/>
    <x v="0"/>
    <s v="Felipe Erazo"/>
    <s v="TECU2FNG"/>
    <s v="Electric Standing Desk GO Negro"/>
    <n v="1"/>
    <x v="0"/>
    <x v="0"/>
    <x v="0"/>
    <x v="0"/>
    <s v="Envioclick- Coordinadora"/>
    <s v="2075437 - 84150742790"/>
    <d v="2024-01-04T00:00:00"/>
    <d v="2024-01-05T00:00:00"/>
    <x v="0"/>
    <n v="1"/>
    <n v="2"/>
    <x v="1"/>
    <n v="40734"/>
    <n v="-734"/>
  </r>
  <r>
    <d v="2024-01-03T00:00:00"/>
    <x v="0"/>
    <n v="1"/>
    <n v="1855"/>
    <x v="0"/>
    <s v="Felipe Erazo"/>
    <s v="TECUTCO2C"/>
    <s v="Superficie Escritorio Caramelo 120x70 Clasico Small"/>
    <n v="1"/>
    <x v="1"/>
    <x v="0"/>
    <x v="0"/>
    <x v="0"/>
    <s v="Envioclick- Coordinadora"/>
    <s v="2075438 - 84150742791"/>
    <d v="2024-01-04T00:00:00"/>
    <d v="2024-01-05T00:00:00"/>
    <x v="0"/>
    <n v="1"/>
    <n v="2"/>
    <x v="1"/>
    <n v="22988"/>
    <n v="12012"/>
  </r>
  <r>
    <d v="2024-01-03T00:00:00"/>
    <x v="0"/>
    <n v="1"/>
    <n v="1856"/>
    <x v="0"/>
    <s v="Nicolas Parada"/>
    <s v="TECU3FNPRO"/>
    <s v="Electric Standing Desk  PRO Negro"/>
    <n v="1"/>
    <x v="0"/>
    <x v="1"/>
    <x v="1"/>
    <x v="0"/>
    <s v="Envioclick- Coordinadora"/>
    <s v="2078820 - 84150744048"/>
    <d v="2024-01-05T00:00:00"/>
    <d v="2024-01-09T00:00:00"/>
    <x v="0"/>
    <n v="2"/>
    <n v="4"/>
    <x v="0"/>
    <n v="42002"/>
    <n v="-2002"/>
  </r>
  <r>
    <d v="2024-01-03T00:00:00"/>
    <x v="0"/>
    <n v="1"/>
    <n v="1856"/>
    <x v="0"/>
    <s v="Nicolas Parada"/>
    <s v="TECUTRN6C"/>
    <s v="Superficie Escritorio Roble Negro 160x70 Clasico"/>
    <n v="1"/>
    <x v="1"/>
    <x v="1"/>
    <x v="1"/>
    <x v="0"/>
    <s v="Envioclick- Coordinadora"/>
    <s v="2078821 - 84150744049"/>
    <d v="2024-01-05T00:00:00"/>
    <d v="2024-01-09T00:00:00"/>
    <x v="0"/>
    <n v="2"/>
    <n v="4"/>
    <x v="0"/>
    <n v="22988"/>
    <n v="12012"/>
  </r>
  <r>
    <d v="2024-01-03T00:00:00"/>
    <x v="0"/>
    <n v="1"/>
    <n v="1856"/>
    <x v="0"/>
    <s v="Nicolas Parada"/>
    <s v="TECURN"/>
    <s v="Repisa TECU  Negro (Wengue)"/>
    <n v="1"/>
    <x v="2"/>
    <x v="1"/>
    <x v="1"/>
    <x v="0"/>
    <s v="Envioclick- Coordinadora"/>
    <s v="2078815 - 84150744047"/>
    <d v="2024-01-05T00:00:00"/>
    <d v="2024-01-09T00:00:00"/>
    <x v="0"/>
    <n v="2"/>
    <n v="4"/>
    <x v="0"/>
    <n v="22355"/>
    <n v="2645"/>
  </r>
  <r>
    <d v="2024-01-03T00:00:00"/>
    <x v="0"/>
    <n v="1"/>
    <n v="1857"/>
    <x v="0"/>
    <s v="Henry De Alba"/>
    <s v="TECUACC"/>
    <s v="Archivador TECU  Miel"/>
    <n v="1"/>
    <x v="3"/>
    <x v="2"/>
    <x v="2"/>
    <x v="0"/>
    <s v="Envioclick- Coordinadora"/>
    <s v="2084901 - 84150746682"/>
    <d v="2024-01-10T00:00:00"/>
    <d v="2024-01-13T00:00:00"/>
    <x v="0"/>
    <n v="5"/>
    <n v="8"/>
    <x v="0"/>
    <n v="91466"/>
    <n v="-41466"/>
  </r>
  <r>
    <d v="2024-01-03T00:00:00"/>
    <x v="0"/>
    <n v="1"/>
    <n v="1858"/>
    <x v="0"/>
    <s v="Edward Monsalve Castrillon"/>
    <s v="TECU3FBRO"/>
    <s v="Electric Standing Desk  PRO Blanco"/>
    <n v="1"/>
    <x v="0"/>
    <x v="0"/>
    <x v="0"/>
    <x v="0"/>
    <s v="Envioclick- Coordinadora"/>
    <s v="2078676 - 84150743975"/>
    <d v="2024-01-05T00:00:00"/>
    <d v="2024-01-09T00:00:00"/>
    <x v="0"/>
    <n v="2"/>
    <n v="4"/>
    <x v="0"/>
    <n v="42002"/>
    <n v="-2002"/>
  </r>
  <r>
    <d v="2024-01-03T00:00:00"/>
    <x v="0"/>
    <n v="1"/>
    <n v="1858"/>
    <x v="0"/>
    <s v="Edward Monsalve Castrillon"/>
    <s v="TECUTB2C"/>
    <s v="Superficie Escritorio Blanco (Niebla) 120x70 Clasico Small"/>
    <n v="1"/>
    <x v="1"/>
    <x v="0"/>
    <x v="0"/>
    <x v="0"/>
    <s v="Envioclick- Coordinadora"/>
    <s v="2078677 - 84150743976"/>
    <d v="2024-01-05T00:00:00"/>
    <d v="2024-01-09T00:00:00"/>
    <x v="0"/>
    <n v="2"/>
    <n v="4"/>
    <x v="0"/>
    <n v="27422"/>
    <n v="7578"/>
  </r>
  <r>
    <d v="2024-01-03T00:00:00"/>
    <x v="0"/>
    <n v="1"/>
    <n v="1858"/>
    <x v="0"/>
    <s v="Edward Monsalve Castrillon"/>
    <s v="TECURB"/>
    <s v="Repisa TECU  Blanco (Niebla)"/>
    <n v="1"/>
    <x v="2"/>
    <x v="0"/>
    <x v="0"/>
    <x v="0"/>
    <s v="Envioclick- Coordinadora"/>
    <s v="2078619 - 84150743971"/>
    <d v="2024-01-05T00:00:00"/>
    <d v="2024-01-09T00:00:00"/>
    <x v="0"/>
    <n v="2"/>
    <n v="4"/>
    <x v="0"/>
    <n v="22355"/>
    <n v="2645"/>
  </r>
  <r>
    <d v="2024-01-05T00:00:00"/>
    <x v="0"/>
    <n v="1"/>
    <n v="1860"/>
    <x v="0"/>
    <s v="Aili Carolina Tovar"/>
    <s v="TECUACC"/>
    <s v="Archivador TECU  Miel"/>
    <n v="1"/>
    <x v="3"/>
    <x v="1"/>
    <x v="1"/>
    <x v="0"/>
    <s v="Envioclick- Coordinadora"/>
    <s v="2085408 - 84150746964"/>
    <d v="2024-01-10T00:00:00"/>
    <d v="2024-01-11T00:00:00"/>
    <x v="0"/>
    <n v="3"/>
    <n v="4"/>
    <x v="0"/>
    <n v="50224"/>
    <n v="-224"/>
  </r>
  <r>
    <d v="2024-01-09T00:00:00"/>
    <x v="0"/>
    <n v="2"/>
    <n v="1861"/>
    <x v="0"/>
    <s v="Miguel Botia"/>
    <s v="TECU3FNPRO"/>
    <s v="Electric Standing Desk  PRO Negro"/>
    <n v="1"/>
    <x v="0"/>
    <x v="1"/>
    <x v="1"/>
    <x v="0"/>
    <s v="Envioclick- Coordinadora"/>
    <s v="2086307 - 84150747347"/>
    <d v="2024-01-11T00:00:00"/>
    <d v="2024-01-12T00:00:00"/>
    <x v="0"/>
    <n v="2"/>
    <n v="3"/>
    <x v="1"/>
    <n v="42001"/>
    <n v="-2001"/>
  </r>
  <r>
    <d v="2024-01-09T00:00:00"/>
    <x v="0"/>
    <n v="2"/>
    <n v="1861"/>
    <x v="0"/>
    <s v="Miguel Botia"/>
    <s v="TECUTCO7C"/>
    <s v="Superficie Escritorio Caramelo 170x70 Clasico"/>
    <n v="1"/>
    <x v="1"/>
    <x v="1"/>
    <x v="1"/>
    <x v="0"/>
    <s v="Envioclick- Coordinadora"/>
    <s v="2086308 - 84150747348"/>
    <d v="2024-01-11T00:00:00"/>
    <d v="2024-01-12T00:00:00"/>
    <x v="0"/>
    <n v="2"/>
    <n v="3"/>
    <x v="1"/>
    <n v="25521"/>
    <n v="9479"/>
  </r>
  <r>
    <d v="2024-01-09T00:00:00"/>
    <x v="0"/>
    <n v="2"/>
    <n v="1861"/>
    <x v="0"/>
    <s v="Miguel Botia"/>
    <s v="TECURCO"/>
    <s v="Repisa TECU  Caramelo"/>
    <n v="1"/>
    <x v="2"/>
    <x v="1"/>
    <x v="1"/>
    <x v="0"/>
    <s v="Envioclick- Coordinadora"/>
    <s v="2086303 - 84150747345"/>
    <d v="2024-01-11T00:00:00"/>
    <d v="2024-01-12T00:00:00"/>
    <x v="0"/>
    <n v="2"/>
    <n v="3"/>
    <x v="1"/>
    <n v="22355"/>
    <n v="2645"/>
  </r>
  <r>
    <d v="2024-01-09T00:00:00"/>
    <x v="0"/>
    <n v="2"/>
    <n v="1862"/>
    <x v="0"/>
    <s v="Alexander Gesell"/>
    <s v="TECU3FBRO"/>
    <s v="Electric Standing Desk  PRO Blanco"/>
    <n v="1"/>
    <x v="0"/>
    <x v="0"/>
    <x v="3"/>
    <x v="0"/>
    <s v="Envioclick- Coordinadora"/>
    <s v="2086549 - 84150747474"/>
    <d v="2024-01-11T00:00:00"/>
    <d v="2024-01-20T00:00:00"/>
    <x v="0"/>
    <n v="2"/>
    <n v="10"/>
    <x v="0"/>
    <m/>
    <n v="40000"/>
  </r>
  <r>
    <d v="2024-01-09T00:00:00"/>
    <x v="0"/>
    <n v="2"/>
    <n v="1862"/>
    <x v="0"/>
    <s v="Alexander Gesell"/>
    <s v="TECUTCC20C"/>
    <s v="Superficie Escritorio Miel 200x70 Clasico"/>
    <n v="1"/>
    <x v="1"/>
    <x v="0"/>
    <x v="3"/>
    <x v="0"/>
    <s v="Envioclick- Coordinadora"/>
    <s v="2086554 - 84150747476"/>
    <d v="2024-01-11T00:00:00"/>
    <d v="2024-01-20T00:00:00"/>
    <x v="0"/>
    <n v="2"/>
    <n v="10"/>
    <x v="0"/>
    <m/>
    <n v="35000"/>
  </r>
  <r>
    <d v="2024-01-09T00:00:00"/>
    <x v="0"/>
    <n v="2"/>
    <n v="1862"/>
    <x v="0"/>
    <s v="Alexander Gesell"/>
    <s v="TECURCC"/>
    <s v="Repisa TECU  Miel"/>
    <n v="1"/>
    <x v="2"/>
    <x v="0"/>
    <x v="3"/>
    <x v="0"/>
    <s v="Envioclick- Coordinadora"/>
    <s v="2086507 - 84150747456"/>
    <d v="2024-01-11T00:00:00"/>
    <d v="2024-01-20T00:00:00"/>
    <x v="0"/>
    <n v="2"/>
    <n v="10"/>
    <x v="0"/>
    <n v="22355"/>
    <n v="2645"/>
  </r>
  <r>
    <d v="2024-01-09T00:00:00"/>
    <x v="0"/>
    <n v="2"/>
    <n v="1862"/>
    <x v="0"/>
    <s v="Alexander Gesell"/>
    <s v="TECURCC"/>
    <s v="Repisa TECU  Miel"/>
    <n v="1"/>
    <x v="2"/>
    <x v="0"/>
    <x v="3"/>
    <x v="1"/>
    <s v="Envioclick- Coordinadora"/>
    <s v="Error de compra"/>
    <m/>
    <m/>
    <x v="1"/>
    <n v="-38828"/>
    <s v="PTE"/>
    <x v="2"/>
    <m/>
    <n v="25000"/>
  </r>
  <r>
    <d v="2024-01-09T00:00:00"/>
    <x v="0"/>
    <n v="2"/>
    <n v="1863"/>
    <x v="0"/>
    <s v="Jaime Steven Gonzalez Cardenas"/>
    <s v="TECU2FNG"/>
    <s v="Electric Standing Desk GO Negro"/>
    <n v="1"/>
    <x v="0"/>
    <x v="1"/>
    <x v="1"/>
    <x v="0"/>
    <s v="Envioclick- Coordinadora"/>
    <s v="2086565 - 84150747484"/>
    <d v="2024-01-11T00:00:00"/>
    <d v="2024-01-12T00:00:00"/>
    <x v="0"/>
    <n v="2"/>
    <n v="3"/>
    <x v="1"/>
    <n v="40734"/>
    <n v="-734"/>
  </r>
  <r>
    <d v="2024-01-09T00:00:00"/>
    <x v="0"/>
    <n v="2"/>
    <n v="1863"/>
    <x v="0"/>
    <s v="Jaime Steven Gonzalez Cardenas"/>
    <s v="TECUTCC4C"/>
    <s v="Superficie Escritorio Miel 140x70 Clasico"/>
    <n v="1"/>
    <x v="1"/>
    <x v="1"/>
    <x v="1"/>
    <x v="0"/>
    <s v="Envioclick- Coordinadora"/>
    <s v="2086568 - 84150747485"/>
    <d v="2024-01-11T00:00:00"/>
    <d v="2024-01-12T00:00:00"/>
    <x v="0"/>
    <n v="2"/>
    <n v="3"/>
    <x v="1"/>
    <n v="22988"/>
    <n v="12012"/>
  </r>
  <r>
    <d v="2024-01-09T00:00:00"/>
    <x v="0"/>
    <n v="2"/>
    <n v="1864"/>
    <x v="0"/>
    <s v="Adelmo Rafael Cuadrado Vega"/>
    <s v="TECUBDPA"/>
    <s v="TECU Desk Pad B Negro Azul"/>
    <n v="1"/>
    <x v="4"/>
    <x v="3"/>
    <x v="4"/>
    <x v="0"/>
    <s v="Envioclick- Coordinadora"/>
    <s v="2081725 - 84150745017"/>
    <d v="2024-01-10T00:00:00"/>
    <d v="2024-01-11T00:00:00"/>
    <x v="0"/>
    <n v="1"/>
    <n v="2"/>
    <x v="1"/>
    <n v="16131"/>
    <n v="33869"/>
  </r>
  <r>
    <d v="2024-01-09T00:00:00"/>
    <x v="0"/>
    <n v="2"/>
    <n v="1865"/>
    <x v="0"/>
    <s v="Sebastian Zambrano Torres"/>
    <s v="TECURCO"/>
    <s v="Repisa TECU  Caramelo"/>
    <n v="1"/>
    <x v="2"/>
    <x v="1"/>
    <x v="1"/>
    <x v="0"/>
    <s v="Envioclick- Coordinadora"/>
    <s v="2081732 - 84150745020"/>
    <d v="2024-01-09T00:00:00"/>
    <d v="2024-01-10T00:00:00"/>
    <x v="0"/>
    <n v="0"/>
    <n v="1"/>
    <x v="1"/>
    <n v="22355"/>
    <n v="2645"/>
  </r>
  <r>
    <d v="2024-01-09T00:00:00"/>
    <x v="0"/>
    <n v="2"/>
    <n v="1866"/>
    <x v="0"/>
    <s v="Steven Iglesias Martinez"/>
    <s v="TECU2FNG"/>
    <s v="Electric Standing Desk GO Negro"/>
    <n v="1"/>
    <x v="0"/>
    <x v="2"/>
    <x v="2"/>
    <x v="0"/>
    <s v="Envioclick- Coordinadora"/>
    <s v="2086827 - 84150747602"/>
    <d v="2024-01-11T00:00:00"/>
    <d v="2024-01-15T00:00:00"/>
    <x v="0"/>
    <n v="2"/>
    <n v="5"/>
    <x v="1"/>
    <n v="58232"/>
    <n v="-18232"/>
  </r>
  <r>
    <d v="2024-01-09T00:00:00"/>
    <x v="0"/>
    <n v="2"/>
    <n v="1866"/>
    <x v="0"/>
    <s v="Steven Iglesias Martinez"/>
    <s v="TECUTCC4C"/>
    <s v="Superficie Escritorio Miel 140x70 Clasico"/>
    <n v="1"/>
    <x v="1"/>
    <x v="2"/>
    <x v="2"/>
    <x v="0"/>
    <s v="Envioclick- Coordinadora"/>
    <s v="2086828 - 84150747603"/>
    <d v="2024-01-11T00:00:00"/>
    <d v="2024-01-13T00:00:00"/>
    <x v="0"/>
    <n v="2"/>
    <n v="4"/>
    <x v="1"/>
    <n v="37361"/>
    <n v="-2361"/>
  </r>
  <r>
    <d v="2024-01-09T00:00:00"/>
    <x v="0"/>
    <n v="2"/>
    <n v="1867"/>
    <x v="0"/>
    <s v="Jose Castañeda"/>
    <s v="TECU2FNG"/>
    <s v="Electric Standing Desk GO Negro"/>
    <n v="1"/>
    <x v="0"/>
    <x v="0"/>
    <x v="3"/>
    <x v="0"/>
    <s v="Envioclick- Coordinadora"/>
    <s v="2086919 - 84150747652"/>
    <d v="2024-01-11T00:00:00"/>
    <d v="2024-01-12T00:00:00"/>
    <x v="0"/>
    <n v="2"/>
    <n v="3"/>
    <x v="1"/>
    <n v="40734"/>
    <n v="-734"/>
  </r>
  <r>
    <d v="2024-01-09T00:00:00"/>
    <x v="0"/>
    <n v="2"/>
    <n v="1867"/>
    <x v="0"/>
    <s v="Jose Castañeda"/>
    <s v="TECUTCC4C"/>
    <s v="Superficie Escritorio Miel 140x70 Clasico"/>
    <n v="1"/>
    <x v="1"/>
    <x v="0"/>
    <x v="3"/>
    <x v="0"/>
    <s v="Envioclick- Coordinadora"/>
    <s v="2086920 - 84150747654"/>
    <d v="2024-01-11T00:00:00"/>
    <d v="2024-01-12T00:00:00"/>
    <x v="0"/>
    <n v="2"/>
    <n v="3"/>
    <x v="1"/>
    <n v="22988"/>
    <n v="12012"/>
  </r>
  <r>
    <d v="2024-01-10T00:00:00"/>
    <x v="0"/>
    <n v="2"/>
    <n v="1868"/>
    <x v="0"/>
    <s v="Andrea Sogamoso"/>
    <s v="TECU3FNPRO"/>
    <s v="Electric Standing Desk  PRO Negro"/>
    <n v="1"/>
    <x v="0"/>
    <x v="1"/>
    <x v="1"/>
    <x v="0"/>
    <s v="Envioclick- Coordinadora"/>
    <s v="2088697 - 84150748433"/>
    <d v="2024-01-12T00:00:00"/>
    <d v="2024-01-15T00:00:00"/>
    <x v="0"/>
    <n v="2"/>
    <n v="4"/>
    <x v="0"/>
    <n v="42002"/>
    <n v="-2002"/>
  </r>
  <r>
    <d v="2024-01-10T00:00:00"/>
    <x v="0"/>
    <n v="2"/>
    <n v="1868"/>
    <x v="0"/>
    <s v="Andrea Sogamoso"/>
    <s v="TECUTB5C"/>
    <s v="Superficie Escritorio Blanco(Niebla) 150x70 Clasico"/>
    <n v="1"/>
    <x v="1"/>
    <x v="1"/>
    <x v="1"/>
    <x v="0"/>
    <s v="Envioclick- Coordinadora"/>
    <s v="2088698 - 84150748434"/>
    <d v="2024-01-12T00:00:00"/>
    <d v="2024-01-15T00:00:00"/>
    <x v="0"/>
    <n v="2"/>
    <n v="4"/>
    <x v="0"/>
    <n v="22988"/>
    <e v="#N/A"/>
  </r>
  <r>
    <d v="2024-01-10T00:00:00"/>
    <x v="0"/>
    <n v="2"/>
    <n v="1868"/>
    <x v="0"/>
    <s v="Andrea Sogamoso"/>
    <s v="TECURB"/>
    <s v="Repisa TECU  Blanco (Niebla)"/>
    <n v="1"/>
    <x v="2"/>
    <x v="1"/>
    <x v="1"/>
    <x v="0"/>
    <s v="Envioclick- Coordinadora"/>
    <s v="2088700 - 84150748435"/>
    <d v="2024-01-12T00:00:00"/>
    <d v="2024-01-15T00:00:00"/>
    <x v="0"/>
    <n v="2"/>
    <n v="4"/>
    <x v="0"/>
    <n v="22355"/>
    <n v="2645"/>
  </r>
  <r>
    <d v="2024-01-10T00:00:00"/>
    <x v="0"/>
    <n v="2"/>
    <n v="1869"/>
    <x v="0"/>
    <s v="Jairo Niño"/>
    <s v="TECU3FNPRO"/>
    <s v="Electric Standing Desk  PRO Negro"/>
    <n v="1"/>
    <x v="0"/>
    <x v="4"/>
    <x v="5"/>
    <x v="0"/>
    <s v="Envioclick- Coordinadora"/>
    <s v="2086861 - 84150747620"/>
    <d v="2024-01-12T00:00:00"/>
    <d v="2024-01-13T00:00:00"/>
    <x v="0"/>
    <n v="2"/>
    <n v="3"/>
    <x v="1"/>
    <n v="42002"/>
    <n v="-2002"/>
  </r>
  <r>
    <d v="2024-01-10T00:00:00"/>
    <x v="0"/>
    <n v="2"/>
    <n v="1869"/>
    <x v="0"/>
    <s v="Jairo Niño"/>
    <s v="TECUTCC8C"/>
    <s v="Superficie Escritorio Miel 180x70 Clasico"/>
    <n v="1"/>
    <x v="1"/>
    <x v="4"/>
    <x v="5"/>
    <x v="0"/>
    <s v="Envioclick- Coordinadora"/>
    <s v="2086862 - 84150747621"/>
    <d v="2024-01-11T00:00:00"/>
    <d v="2024-01-12T00:00:00"/>
    <x v="0"/>
    <n v="1"/>
    <n v="2"/>
    <x v="1"/>
    <n v="25521"/>
    <n v="9479"/>
  </r>
  <r>
    <d v="2024-01-10T00:00:00"/>
    <x v="0"/>
    <n v="2"/>
    <n v="1869"/>
    <x v="0"/>
    <s v="Jairo Niño"/>
    <s v="TECURCC"/>
    <s v="Repisa TECU  Miel"/>
    <n v="1"/>
    <x v="2"/>
    <x v="4"/>
    <x v="5"/>
    <x v="0"/>
    <s v="Envioclick- Coordinadora"/>
    <s v="2086854 - 84150747618"/>
    <d v="2024-01-11T00:00:00"/>
    <d v="2024-01-12T00:00:00"/>
    <x v="0"/>
    <n v="1"/>
    <n v="2"/>
    <x v="1"/>
    <n v="22355"/>
    <n v="2645"/>
  </r>
  <r>
    <d v="2024-01-10T00:00:00"/>
    <x v="0"/>
    <n v="2"/>
    <n v="1870"/>
    <x v="0"/>
    <s v="Jhoan Steven Delgado Villarrea"/>
    <s v="TECULFN2"/>
    <s v="Electric Standing Desk | Escritorio Ajustable En L Frame Negro 2.0"/>
    <n v="1"/>
    <x v="0"/>
    <x v="4"/>
    <x v="6"/>
    <x v="0"/>
    <s v="Envioclick- Coordinadora"/>
    <s v="2086895 - 84150747642"/>
    <d v="2024-01-11T00:00:00"/>
    <d v="2024-01-12T00:00:00"/>
    <x v="0"/>
    <n v="1"/>
    <n v="2"/>
    <x v="1"/>
    <n v="60937"/>
    <n v="-20937"/>
  </r>
  <r>
    <d v="2024-01-10T00:00:00"/>
    <x v="0"/>
    <n v="2"/>
    <n v="1870"/>
    <x v="0"/>
    <s v="Jhoan Steven Delgado Villarrea"/>
    <s v="TECUTLCCS"/>
    <s v="Superficie Escritorio en L Caramelo Set completo"/>
    <n v="1"/>
    <x v="1"/>
    <x v="4"/>
    <x v="6"/>
    <x v="0"/>
    <s v="Envioclick- Coordinadora"/>
    <s v="2086896 - 84150747643"/>
    <d v="2024-01-11T00:00:00"/>
    <d v="2024-01-12T00:00:00"/>
    <x v="0"/>
    <n v="1"/>
    <n v="2"/>
    <x v="1"/>
    <n v="25521"/>
    <n v="9479"/>
  </r>
  <r>
    <d v="2024-01-10T00:00:00"/>
    <x v="0"/>
    <n v="2"/>
    <n v="1870"/>
    <x v="0"/>
    <s v="Jhoan Steven Delgado Villarrea"/>
    <s v="TECUBDPA"/>
    <s v="TECU Desk Pad B Negro Azul"/>
    <n v="1"/>
    <x v="4"/>
    <x v="4"/>
    <x v="6"/>
    <x v="0"/>
    <s v="Envioclick- Coordinadora"/>
    <s v="2086887 - 84150747638"/>
    <d v="2024-01-11T00:00:00"/>
    <d v="2024-01-12T00:00:00"/>
    <x v="0"/>
    <n v="1"/>
    <n v="2"/>
    <x v="1"/>
    <n v="16131"/>
    <n v="33869"/>
  </r>
  <r>
    <d v="2024-01-11T00:00:00"/>
    <x v="0"/>
    <n v="2"/>
    <n v="1871"/>
    <x v="0"/>
    <s v="Nicolás López Torres"/>
    <s v="TECU2FNG"/>
    <s v="Electric Standing Desk GO Negro"/>
    <n v="1"/>
    <x v="0"/>
    <x v="1"/>
    <x v="1"/>
    <x v="0"/>
    <s v="Envioclick- Coordinadora"/>
    <s v="2088711 - 84150748438"/>
    <d v="2024-01-12T00:00:00"/>
    <d v="2024-01-15T00:00:00"/>
    <x v="0"/>
    <n v="1"/>
    <n v="3"/>
    <x v="1"/>
    <n v="40734"/>
    <n v="-734"/>
  </r>
  <r>
    <d v="2024-01-11T00:00:00"/>
    <x v="0"/>
    <n v="2"/>
    <n v="1871"/>
    <x v="0"/>
    <s v="Nicolás López Torres"/>
    <s v="TECUTRN4C"/>
    <s v="Superficie Escritorio Roble Negro 140x70 Clasico"/>
    <n v="1"/>
    <x v="1"/>
    <x v="1"/>
    <x v="1"/>
    <x v="0"/>
    <s v="Envioclick- Coordinadora"/>
    <s v="2088712 - 84150748439"/>
    <d v="2024-01-12T00:00:00"/>
    <d v="2024-01-15T00:00:00"/>
    <x v="0"/>
    <n v="1"/>
    <n v="3"/>
    <x v="1"/>
    <n v="22988"/>
    <n v="12012"/>
  </r>
  <r>
    <d v="2024-01-05T00:00:00"/>
    <x v="0"/>
    <n v="1"/>
    <n v="1860"/>
    <x v="1"/>
    <s v="Aili Carolina Tovar"/>
    <s v="TECUACC"/>
    <s v="Archivador TECU  Miel"/>
    <n v="1"/>
    <x v="3"/>
    <x v="1"/>
    <x v="1"/>
    <x v="0"/>
    <s v="Envioclick- Envia"/>
    <s v="2100801 - 954100889910"/>
    <d v="2024-01-19T00:00:00"/>
    <d v="2024-01-25T00:00:00"/>
    <x v="0"/>
    <n v="11"/>
    <n v="16"/>
    <x v="0"/>
    <n v="53837"/>
    <n v="-3837"/>
  </r>
  <r>
    <d v="2024-01-13T00:00:00"/>
    <x v="0"/>
    <n v="2"/>
    <n v="1872"/>
    <x v="0"/>
    <s v="Juan Sebastian Parra Quintero"/>
    <s v="TECURCO"/>
    <s v="Repisa TECU  Caramelo"/>
    <n v="1"/>
    <x v="2"/>
    <x v="1"/>
    <x v="1"/>
    <x v="0"/>
    <s v="Envioclick- Coordinadora"/>
    <s v="2091733 - 84150749643"/>
    <d v="2024-01-15T00:00:00"/>
    <d v="2024-01-16T00:00:00"/>
    <x v="0"/>
    <n v="1"/>
    <n v="2"/>
    <x v="1"/>
    <n v="22355"/>
    <n v="2645"/>
  </r>
  <r>
    <d v="2024-01-16T00:00:00"/>
    <x v="0"/>
    <n v="3"/>
    <n v="1873"/>
    <x v="0"/>
    <s v="Juan David Arias Molina"/>
    <s v="TECURCC"/>
    <s v="Repisa TECU  Miel"/>
    <n v="1"/>
    <x v="2"/>
    <x v="5"/>
    <x v="7"/>
    <x v="0"/>
    <s v="Envioclick- Coordinadora"/>
    <s v="2099052 - 84150753037"/>
    <d v="2024-01-18T00:00:00"/>
    <d v="2024-01-19T00:00:00"/>
    <x v="0"/>
    <n v="2"/>
    <n v="3"/>
    <x v="1"/>
    <n v="14206"/>
    <n v="10794"/>
  </r>
  <r>
    <d v="2024-01-16T00:00:00"/>
    <x v="0"/>
    <n v="3"/>
    <n v="1874"/>
    <x v="0"/>
    <s v="Petronella Suzanna van Buuren"/>
    <s v="TECU3FNPRO"/>
    <s v="Electric Standing Desk  PRO Negro"/>
    <n v="1"/>
    <x v="0"/>
    <x v="1"/>
    <x v="1"/>
    <x v="0"/>
    <s v="Envioclick- Coordinadora"/>
    <s v="2096703 - 84150751911"/>
    <d v="2024-01-17T00:00:00"/>
    <d v="2024-01-18T00:00:00"/>
    <x v="0"/>
    <n v="1"/>
    <n v="2"/>
    <x v="1"/>
    <n v="42002"/>
    <n v="-2002"/>
  </r>
  <r>
    <d v="2024-01-16T00:00:00"/>
    <x v="0"/>
    <n v="3"/>
    <n v="1874"/>
    <x v="0"/>
    <s v="Petronella Suzanna van Buuren"/>
    <s v="TECUTCO3C"/>
    <s v="Superficie Escritorio Caramelo 130x70 Clasico"/>
    <n v="1"/>
    <x v="1"/>
    <x v="1"/>
    <x v="1"/>
    <x v="0"/>
    <s v="Envioclick- Coordinadora"/>
    <s v="2096704 - 84150751912"/>
    <d v="2024-01-17T00:00:00"/>
    <d v="2024-01-18T00:00:00"/>
    <x v="0"/>
    <n v="1"/>
    <n v="2"/>
    <x v="1"/>
    <n v="27422"/>
    <n v="7578"/>
  </r>
  <r>
    <d v="2024-01-16T00:00:00"/>
    <x v="0"/>
    <n v="3"/>
    <n v="1874"/>
    <x v="0"/>
    <s v="Petronella Suzanna van Buuren"/>
    <s v="TECURCO"/>
    <s v="Repisa TECU  Caramelo"/>
    <n v="1"/>
    <x v="2"/>
    <x v="1"/>
    <x v="1"/>
    <x v="0"/>
    <s v="Envioclick- Coordinadora"/>
    <s v="2096686 - 84150751902"/>
    <d v="2024-01-17T00:00:00"/>
    <d v="2024-01-18T00:00:00"/>
    <x v="0"/>
    <n v="1"/>
    <n v="2"/>
    <x v="1"/>
    <n v="22355"/>
    <n v="2645"/>
  </r>
  <r>
    <d v="2024-01-16T00:00:00"/>
    <x v="0"/>
    <n v="3"/>
    <n v="1875"/>
    <x v="0"/>
    <s v="Santiago Rodriguez Gutierrez"/>
    <s v="TECU2FNG"/>
    <s v="Electric Standing Desk GO Negro"/>
    <n v="1"/>
    <x v="0"/>
    <x v="0"/>
    <x v="8"/>
    <x v="0"/>
    <s v="Envioclick- Coordinadora"/>
    <s v="2096730 - 84150751928"/>
    <d v="2024-01-17T00:00:00"/>
    <d v="2024-01-18T00:00:00"/>
    <x v="0"/>
    <n v="1"/>
    <n v="2"/>
    <x v="1"/>
    <n v="40734"/>
    <n v="-734"/>
  </r>
  <r>
    <d v="2024-01-16T00:00:00"/>
    <x v="0"/>
    <n v="3"/>
    <n v="1875"/>
    <x v="0"/>
    <s v="Santiago Rodriguez Gutierrez"/>
    <s v="TECUTCO4C"/>
    <s v="Superficie Escritorio Caramelo 140x70 Clasico"/>
    <n v="1"/>
    <x v="1"/>
    <x v="0"/>
    <x v="8"/>
    <x v="0"/>
    <s v="Envioclick- Coordinadora"/>
    <s v="2096731 - 84150751929"/>
    <d v="2024-01-17T00:00:00"/>
    <d v="2024-01-18T00:00:00"/>
    <x v="0"/>
    <n v="1"/>
    <n v="2"/>
    <x v="1"/>
    <n v="22988"/>
    <n v="12012"/>
  </r>
  <r>
    <d v="2024-01-16T00:00:00"/>
    <x v="0"/>
    <n v="3"/>
    <n v="1875"/>
    <x v="0"/>
    <s v="Santiago Rodriguez Gutierrez"/>
    <s v="TECUACO"/>
    <s v="Archivador TECU  Caramelo"/>
    <n v="1"/>
    <x v="3"/>
    <x v="0"/>
    <x v="8"/>
    <x v="0"/>
    <s v="Envioclick- Envia"/>
    <s v="2127774 - 954100899756"/>
    <d v="2024-02-02T00:00:00"/>
    <d v="2024-02-03T00:00:00"/>
    <x v="0"/>
    <n v="15"/>
    <n v="16"/>
    <x v="0"/>
    <n v="61902"/>
    <n v="-11902"/>
  </r>
  <r>
    <d v="2024-01-17T00:00:00"/>
    <x v="0"/>
    <n v="3"/>
    <n v="1876"/>
    <x v="0"/>
    <s v="Bengt Kindgren"/>
    <s v="TECUDSN"/>
    <s v="TECU Desk Stool Negra Silla ajustable"/>
    <n v="1"/>
    <x v="5"/>
    <x v="1"/>
    <x v="1"/>
    <x v="0"/>
    <s v="Envioclick- Coordinadora"/>
    <s v="2097655 - 84150752427"/>
    <d v="2024-01-17T00:00:00"/>
    <d v="2024-01-18T00:00:00"/>
    <x v="0"/>
    <n v="0"/>
    <n v="1"/>
    <x v="1"/>
    <n v="25935"/>
    <n v="-935"/>
  </r>
  <r>
    <d v="2024-01-17T00:00:00"/>
    <x v="0"/>
    <n v="3"/>
    <n v="1876"/>
    <x v="0"/>
    <s v="Bengt Kindgren"/>
    <s v="TECUDSN"/>
    <s v="TECU Desk Stool Negra Silla ajustable"/>
    <n v="1"/>
    <x v="5"/>
    <x v="1"/>
    <x v="1"/>
    <x v="0"/>
    <s v="Envioclick- Coordinadora"/>
    <s v="2097658 - 84150752429"/>
    <d v="2024-01-17T00:00:00"/>
    <d v="2024-01-18T00:00:00"/>
    <x v="0"/>
    <n v="0"/>
    <n v="1"/>
    <x v="1"/>
    <n v="25935"/>
    <n v="-935"/>
  </r>
  <r>
    <d v="2024-01-18T00:00:00"/>
    <x v="0"/>
    <n v="3"/>
    <n v="1877"/>
    <x v="0"/>
    <s v="Andres Velasquez"/>
    <s v="TECU3FNPRO"/>
    <s v="Electric Standing Desk  PRO Negro"/>
    <n v="1"/>
    <x v="0"/>
    <x v="1"/>
    <x v="1"/>
    <x v="0"/>
    <s v="Envioclick- Coordinadora"/>
    <s v="2098689 - 84150752851"/>
    <d v="2024-01-18T00:00:00"/>
    <d v="2024-01-19T00:00:00"/>
    <x v="0"/>
    <n v="0"/>
    <n v="1"/>
    <x v="1"/>
    <n v="42002"/>
    <n v="-2002"/>
  </r>
  <r>
    <d v="2024-01-18T00:00:00"/>
    <x v="0"/>
    <n v="3"/>
    <n v="1877"/>
    <x v="0"/>
    <s v="Andres Velasquez"/>
    <s v="TECUTRN5C"/>
    <s v="Superficie Escritorio Roble negro 150x70 Clasico"/>
    <n v="1"/>
    <x v="1"/>
    <x v="1"/>
    <x v="1"/>
    <x v="0"/>
    <s v="Envioclick- Coordinadora"/>
    <s v="2098690 - 84150752852"/>
    <d v="2024-01-18T00:00:00"/>
    <d v="2024-01-19T00:00:00"/>
    <x v="0"/>
    <n v="0"/>
    <n v="1"/>
    <x v="1"/>
    <n v="22988"/>
    <n v="12012"/>
  </r>
  <r>
    <d v="2024-01-18T00:00:00"/>
    <x v="0"/>
    <n v="3"/>
    <n v="1877"/>
    <x v="0"/>
    <s v="Andres Velasquez"/>
    <s v="TECURN"/>
    <s v="Repisa TECU  Negro (Wengue)"/>
    <n v="1"/>
    <x v="2"/>
    <x v="1"/>
    <x v="1"/>
    <x v="0"/>
    <s v="Envioclick- Coordinadora"/>
    <s v="2101403 - 84150753913"/>
    <d v="2024-01-19T00:00:00"/>
    <d v="2024-01-20T00:00:00"/>
    <x v="0"/>
    <n v="1"/>
    <n v="2"/>
    <x v="1"/>
    <n v="22355"/>
    <n v="2645"/>
  </r>
  <r>
    <d v="2024-01-09T00:00:00"/>
    <x v="0"/>
    <n v="2"/>
    <n v="1867"/>
    <x v="1"/>
    <s v="Jose Castañeda"/>
    <s v="TECUTCC4C"/>
    <s v="Superficie Escritorio Miel 140x70 Clasico"/>
    <n v="1"/>
    <x v="1"/>
    <x v="0"/>
    <x v="3"/>
    <x v="0"/>
    <s v="Envioclick- Coordinadora"/>
    <s v="2099091 - 84150753064"/>
    <d v="2024-01-18T00:00:00"/>
    <d v="2024-01-19T00:00:00"/>
    <x v="0"/>
    <n v="8"/>
    <n v="9"/>
    <x v="0"/>
    <n v="27488"/>
    <n v="7512"/>
  </r>
  <r>
    <d v="2024-01-18T00:00:00"/>
    <x v="0"/>
    <n v="3"/>
    <n v="1878"/>
    <x v="0"/>
    <s v="SANDRA HURTADO"/>
    <s v="TECU2FNG"/>
    <s v="Electric Standing Desk GO Negro"/>
    <n v="1"/>
    <x v="0"/>
    <x v="1"/>
    <x v="1"/>
    <x v="0"/>
    <s v="Envioclick- Coordinadora"/>
    <s v="2099135 - 84150753079"/>
    <d v="2024-01-18T00:00:00"/>
    <d v="2024-01-19T00:00:00"/>
    <x v="0"/>
    <n v="0"/>
    <n v="1"/>
    <x v="1"/>
    <n v="40734"/>
    <n v="-734"/>
  </r>
  <r>
    <d v="2024-01-18T00:00:00"/>
    <x v="0"/>
    <n v="3"/>
    <n v="1878"/>
    <x v="0"/>
    <s v="SANDRA HURTADO"/>
    <s v="TECUTCO4C"/>
    <s v="Superficie Escritorio Caramelo 140x70 Clasico"/>
    <n v="1"/>
    <x v="1"/>
    <x v="1"/>
    <x v="1"/>
    <x v="0"/>
    <s v="Envioclick- Coordinadora"/>
    <s v="2099136 - 84150753080"/>
    <d v="2024-01-18T00:00:00"/>
    <d v="2024-01-19T00:00:00"/>
    <x v="0"/>
    <n v="0"/>
    <n v="1"/>
    <x v="1"/>
    <n v="22988"/>
    <n v="12012"/>
  </r>
  <r>
    <d v="2024-01-19T00:00:00"/>
    <x v="0"/>
    <n v="3"/>
    <n v="1879"/>
    <x v="0"/>
    <s v="mauricio camacho"/>
    <s v="TECU3FNPRO"/>
    <s v="Electric Standing Desk  PRO Negro"/>
    <n v="1"/>
    <x v="0"/>
    <x v="1"/>
    <x v="1"/>
    <x v="0"/>
    <s v="Envioclick- Coordinadora"/>
    <s v="2101707 - 84150754033"/>
    <d v="2024-01-19T00:00:00"/>
    <d v="2024-01-22T00:00:00"/>
    <x v="0"/>
    <n v="0"/>
    <n v="2"/>
    <x v="1"/>
    <n v="42002"/>
    <n v="-2002"/>
  </r>
  <r>
    <d v="2024-01-19T00:00:00"/>
    <x v="0"/>
    <n v="3"/>
    <n v="1879"/>
    <x v="0"/>
    <s v="mauricio camacho"/>
    <s v="TECUTRN8M"/>
    <s v="Superficie Escritorio Roble Negro 180x70 Moderno"/>
    <n v="1"/>
    <x v="1"/>
    <x v="1"/>
    <x v="1"/>
    <x v="0"/>
    <s v="Envioclick- Coordinadora"/>
    <s v="2101709 - 84150754034"/>
    <d v="2024-01-19T00:00:00"/>
    <d v="2024-01-22T00:00:00"/>
    <x v="0"/>
    <n v="0"/>
    <n v="2"/>
    <x v="1"/>
    <n v="25521"/>
    <n v="9479"/>
  </r>
  <r>
    <d v="2024-01-19T00:00:00"/>
    <x v="0"/>
    <n v="3"/>
    <n v="1879"/>
    <x v="0"/>
    <s v="mauricio camacho"/>
    <s v="TECURN"/>
    <s v="Repisa TECU  Negro (Wengue)"/>
    <n v="1"/>
    <x v="2"/>
    <x v="1"/>
    <x v="1"/>
    <x v="0"/>
    <s v="Envioclick- Coordinadora"/>
    <s v="2101704 - 84150754027"/>
    <d v="2024-01-19T00:00:00"/>
    <d v="2024-01-22T00:00:00"/>
    <x v="0"/>
    <n v="0"/>
    <n v="2"/>
    <x v="1"/>
    <n v="22355"/>
    <n v="2645"/>
  </r>
  <r>
    <d v="2024-01-19T00:00:00"/>
    <x v="0"/>
    <n v="3"/>
    <n v="1880"/>
    <x v="0"/>
    <s v="Brayan Chaparro"/>
    <s v="TECUAN"/>
    <s v="Archivador TECU  Negro (Wengue)"/>
    <n v="1"/>
    <x v="3"/>
    <x v="6"/>
    <x v="9"/>
    <x v="0"/>
    <s v="Envioclick- Envia"/>
    <s v="2128474 - 954100900026"/>
    <d v="2024-02-02T00:00:00"/>
    <d v="2024-02-05T00:00:00"/>
    <x v="0"/>
    <n v="12"/>
    <n v="14"/>
    <x v="0"/>
    <n v="128611"/>
    <n v="-78611"/>
  </r>
  <r>
    <d v="2024-01-19T00:00:00"/>
    <x v="0"/>
    <n v="3"/>
    <n v="1881"/>
    <x v="0"/>
    <s v="Michelle Silvera"/>
    <s v="TECU2FBGO"/>
    <s v="Electric Standing Desk GO Blanco"/>
    <n v="1"/>
    <x v="0"/>
    <x v="0"/>
    <x v="3"/>
    <x v="0"/>
    <s v="Envioclick- Coordinadora"/>
    <s v="2102201 - 84150754275"/>
    <d v="2024-01-19T00:00:00"/>
    <d v="2024-01-20T00:00:00"/>
    <x v="0"/>
    <n v="0"/>
    <n v="1"/>
    <x v="1"/>
    <n v="40734"/>
    <n v="-734"/>
  </r>
  <r>
    <d v="2024-01-19T00:00:00"/>
    <x v="0"/>
    <n v="3"/>
    <n v="1881"/>
    <x v="0"/>
    <s v="Michelle Silvera"/>
    <s v="TECUTB2C"/>
    <s v="Superficie Escritorio Blanco (Niebla) 120x70 Clasico Small"/>
    <n v="1"/>
    <x v="1"/>
    <x v="0"/>
    <x v="3"/>
    <x v="0"/>
    <s v="Envioclick- Coordinadora"/>
    <s v="2102202 - 84150754276"/>
    <d v="2024-01-19T00:00:00"/>
    <d v="2024-02-04T00:00:00"/>
    <x v="0"/>
    <n v="0"/>
    <n v="13"/>
    <x v="0"/>
    <n v="22988"/>
    <n v="12012"/>
  </r>
  <r>
    <d v="2024-01-22T00:00:00"/>
    <x v="0"/>
    <n v="4"/>
    <n v="1882"/>
    <x v="0"/>
    <s v="Juan Sebastian Mendez Rubiano"/>
    <s v="TECU3FNPRO"/>
    <s v="Electric Standing Desk  PRO Negro"/>
    <n v="1"/>
    <x v="0"/>
    <x v="1"/>
    <x v="1"/>
    <x v="0"/>
    <s v="Envioclick- Coordinadora"/>
    <s v="2105245 - 84150755404"/>
    <d v="2024-01-22T00:00:00"/>
    <d v="2024-01-23T00:00:00"/>
    <x v="0"/>
    <n v="0"/>
    <n v="1"/>
    <x v="1"/>
    <n v="42002"/>
    <n v="-2002"/>
  </r>
  <r>
    <d v="2024-01-22T00:00:00"/>
    <x v="0"/>
    <n v="4"/>
    <n v="1882"/>
    <x v="0"/>
    <s v="Juan Sebastian Mendez Rubiano"/>
    <s v="TECUTCC2C"/>
    <s v="Superficie Escritorio Miel 120x70 Clasico Small"/>
    <n v="1"/>
    <x v="1"/>
    <x v="1"/>
    <x v="1"/>
    <x v="0"/>
    <s v="Envioclick- Coordinadora"/>
    <s v="2105246 - 84150755406"/>
    <d v="2024-01-22T00:00:00"/>
    <d v="2024-01-23T00:00:00"/>
    <x v="0"/>
    <n v="0"/>
    <n v="1"/>
    <x v="1"/>
    <n v="27422"/>
    <n v="7578"/>
  </r>
  <r>
    <d v="2024-01-22T00:00:00"/>
    <x v="0"/>
    <n v="4"/>
    <n v="1882"/>
    <x v="0"/>
    <s v="Juan Sebastian Mendez Rubiano"/>
    <s v="TECURCC"/>
    <s v="Repisa TECU  Miel"/>
    <n v="1"/>
    <x v="2"/>
    <x v="1"/>
    <x v="1"/>
    <x v="0"/>
    <s v="Envioclick- Coordinadora"/>
    <s v="2107646 - 84150756568"/>
    <d v="2024-01-23T00:00:00"/>
    <d v="2024-01-24T00:00:00"/>
    <x v="0"/>
    <n v="1"/>
    <n v="2"/>
    <x v="1"/>
    <n v="22355"/>
    <n v="2645"/>
  </r>
  <r>
    <d v="2024-01-22T00:00:00"/>
    <x v="0"/>
    <n v="4"/>
    <n v="1883"/>
    <x v="0"/>
    <s v="Luis Londono"/>
    <s v="TECU3FNPRO"/>
    <s v="Electric Standing Desk  PRO Negro"/>
    <n v="1"/>
    <x v="0"/>
    <x v="0"/>
    <x v="3"/>
    <x v="0"/>
    <s v="Envioclick- Coordinadora"/>
    <s v="2112146 - 84150758493"/>
    <d v="2024-01-25T00:00:00"/>
    <d v="2024-01-26T00:00:00"/>
    <x v="0"/>
    <n v="3"/>
    <n v="4"/>
    <x v="0"/>
    <n v="42002"/>
    <n v="-2002"/>
  </r>
  <r>
    <d v="2024-01-22T00:00:00"/>
    <x v="0"/>
    <n v="4"/>
    <n v="1883"/>
    <x v="0"/>
    <s v="Luis Londono"/>
    <s v="TECUTCO3C"/>
    <s v="Superficie Escritorio Caramelo 130x70 Clasico"/>
    <n v="1"/>
    <x v="1"/>
    <x v="0"/>
    <x v="3"/>
    <x v="0"/>
    <s v="Envioclick- Coordinadora"/>
    <s v="2112147 - 84150758494"/>
    <d v="2024-01-25T00:00:00"/>
    <d v="2024-01-26T00:00:00"/>
    <x v="0"/>
    <n v="3"/>
    <n v="4"/>
    <x v="0"/>
    <n v="22988"/>
    <n v="12012"/>
  </r>
  <r>
    <d v="2024-01-22T00:00:00"/>
    <x v="0"/>
    <n v="4"/>
    <n v="1883"/>
    <x v="0"/>
    <s v="Luis Londono"/>
    <s v="TECURCO"/>
    <s v="Repisa TECU  Caramelo"/>
    <n v="1"/>
    <x v="2"/>
    <x v="0"/>
    <x v="3"/>
    <x v="0"/>
    <s v="Envioclick- Coordinadora"/>
    <s v="2114132 - 84150759341"/>
    <d v="2024-01-26T00:00:00"/>
    <d v="2024-01-27T00:00:00"/>
    <x v="0"/>
    <n v="4"/>
    <n v="5"/>
    <x v="0"/>
    <n v="22355"/>
    <n v="2645"/>
  </r>
  <r>
    <d v="2024-01-24T00:00:00"/>
    <x v="0"/>
    <n v="4"/>
    <n v="1884"/>
    <x v="0"/>
    <s v="Johanna Rodriguez Chavez"/>
    <s v="TECU3FBRO"/>
    <s v="Electric Standing Desk  PRO Blanco"/>
    <n v="1"/>
    <x v="0"/>
    <x v="0"/>
    <x v="0"/>
    <x v="0"/>
    <s v="Envioclick- Coordinadora"/>
    <s v="2112158 - 84150758502"/>
    <d v="2024-01-25T00:00:00"/>
    <d v="2024-01-27T00:00:00"/>
    <x v="0"/>
    <n v="1"/>
    <n v="3"/>
    <x v="1"/>
    <n v="42002"/>
    <n v="-2002"/>
  </r>
  <r>
    <d v="2024-01-24T00:00:00"/>
    <x v="0"/>
    <n v="4"/>
    <n v="1884"/>
    <x v="0"/>
    <s v="Johanna Rodriguez Chavez"/>
    <s v="TECUTCC2C"/>
    <s v="Superficie Escritorio Miel 120x70 Clasico Small"/>
    <n v="1"/>
    <x v="1"/>
    <x v="0"/>
    <x v="0"/>
    <x v="0"/>
    <s v="Envioclick- Coordinadora"/>
    <s v="2112160 - 84150758504"/>
    <d v="2024-01-25T00:00:00"/>
    <d v="2024-01-26T00:00:00"/>
    <x v="0"/>
    <n v="1"/>
    <n v="2"/>
    <x v="1"/>
    <n v="27422"/>
    <n v="7578"/>
  </r>
  <r>
    <d v="2024-01-24T00:00:00"/>
    <x v="0"/>
    <n v="4"/>
    <n v="1884"/>
    <x v="0"/>
    <s v="Johanna Rodriguez Chavez"/>
    <s v="TECURCC"/>
    <s v="Repisa TECU  Miel"/>
    <n v="1"/>
    <x v="2"/>
    <x v="0"/>
    <x v="0"/>
    <x v="0"/>
    <s v="Envioclick- Coordinadora"/>
    <s v="2114141 - 84150759347"/>
    <d v="2024-01-26T00:00:00"/>
    <d v="2024-01-27T00:00:00"/>
    <x v="0"/>
    <n v="2"/>
    <n v="3"/>
    <x v="1"/>
    <n v="22355"/>
    <n v="2645"/>
  </r>
  <r>
    <d v="2024-01-25T00:00:00"/>
    <x v="0"/>
    <n v="4"/>
    <n v="1885"/>
    <x v="0"/>
    <s v="Aili Carolina Tovar"/>
    <s v="TECU3FNPRO"/>
    <s v="Electric Standing Desk  PRO Negro"/>
    <n v="1"/>
    <x v="0"/>
    <x v="1"/>
    <x v="1"/>
    <x v="0"/>
    <s v="Envioclick- Coordinadora"/>
    <s v="2115166 - 84150759937"/>
    <d v="2024-01-26T00:00:00"/>
    <d v="2024-01-27T00:00:00"/>
    <x v="0"/>
    <n v="1"/>
    <n v="2"/>
    <x v="1"/>
    <n v="42002"/>
    <n v="-2002"/>
  </r>
  <r>
    <d v="2024-01-25T00:00:00"/>
    <x v="0"/>
    <n v="4"/>
    <n v="1885"/>
    <x v="0"/>
    <s v="Aili Carolina Tovar"/>
    <s v="TECUTCC7C"/>
    <s v="Superficie Escritorio Miel 170x70 Clasico"/>
    <n v="1"/>
    <x v="1"/>
    <x v="1"/>
    <x v="1"/>
    <x v="0"/>
    <s v="Envioclick- Coordinadora"/>
    <s v="2115167 - 84150759938"/>
    <d v="2024-01-26T00:00:00"/>
    <d v="2024-01-27T00:00:00"/>
    <x v="0"/>
    <n v="1"/>
    <n v="2"/>
    <x v="1"/>
    <n v="27422"/>
    <n v="7578"/>
  </r>
  <r>
    <d v="2024-01-25T00:00:00"/>
    <x v="0"/>
    <n v="4"/>
    <n v="1885"/>
    <x v="0"/>
    <s v="Aili Carolina Tovar"/>
    <s v="TECURCC"/>
    <s v="Repisa TECU  Miel"/>
    <n v="1"/>
    <x v="2"/>
    <x v="1"/>
    <x v="1"/>
    <x v="0"/>
    <s v="Envioclick- Coordinadora"/>
    <s v="2115162 - 84150759936"/>
    <d v="2024-01-26T00:00:00"/>
    <d v="2024-01-27T00:00:00"/>
    <x v="0"/>
    <n v="1"/>
    <n v="2"/>
    <x v="1"/>
    <n v="22355"/>
    <n v="2645"/>
  </r>
  <r>
    <d v="2024-01-26T00:00:00"/>
    <x v="0"/>
    <n v="4"/>
    <n v="1886"/>
    <x v="0"/>
    <s v="Juan Camilo Gaviria Villa"/>
    <s v="TECU3FNPRO"/>
    <s v="Electric Standing Desk  PRO Negro"/>
    <n v="1"/>
    <x v="0"/>
    <x v="0"/>
    <x v="10"/>
    <x v="0"/>
    <s v="Envioclick- Coordinadora"/>
    <s v="2114649 - 84150759650"/>
    <d v="2024-01-26T00:00:00"/>
    <d v="2024-01-27T00:00:00"/>
    <x v="0"/>
    <n v="0"/>
    <n v="1"/>
    <x v="1"/>
    <m/>
    <n v="40000"/>
  </r>
  <r>
    <d v="2024-01-26T00:00:00"/>
    <x v="0"/>
    <n v="4"/>
    <n v="1886"/>
    <x v="0"/>
    <s v="Juan Camilo Gaviria Villa"/>
    <s v="TECUTCO2C"/>
    <s v="Superficie Escritorio Caramelo 120x70 Clasico Small"/>
    <n v="1"/>
    <x v="1"/>
    <x v="0"/>
    <x v="10"/>
    <x v="0"/>
    <s v="Envioclick- Coordinadora"/>
    <s v="2114650 - 84150759652"/>
    <d v="2024-01-26T00:00:00"/>
    <d v="2024-01-27T00:00:00"/>
    <x v="0"/>
    <n v="0"/>
    <n v="1"/>
    <x v="1"/>
    <n v="27422"/>
    <n v="7578"/>
  </r>
  <r>
    <d v="2024-01-26T00:00:00"/>
    <x v="0"/>
    <n v="4"/>
    <n v="1886"/>
    <x v="0"/>
    <s v="Juan Camilo Gaviria Villa"/>
    <s v="TECURCO"/>
    <s v="Repisa TECU  Caramelo"/>
    <n v="1"/>
    <x v="2"/>
    <x v="0"/>
    <x v="10"/>
    <x v="0"/>
    <s v="Envioclick- Coordinadora"/>
    <s v="2114601 - 84150759624"/>
    <d v="2024-01-26T00:00:00"/>
    <d v="2024-01-27T00:00:00"/>
    <x v="0"/>
    <n v="0"/>
    <n v="1"/>
    <x v="1"/>
    <n v="22355"/>
    <n v="2645"/>
  </r>
  <r>
    <d v="2024-01-29T00:00:00"/>
    <x v="0"/>
    <n v="5"/>
    <n v="1887"/>
    <x v="0"/>
    <s v="Junior Jose Carrillo Corona"/>
    <s v="TECURCC"/>
    <s v="Repisa TECU  Miel"/>
    <n v="1"/>
    <x v="2"/>
    <x v="1"/>
    <x v="1"/>
    <x v="0"/>
    <s v="Envioclick- Coordinadora"/>
    <s v="2117786 - 84150760962"/>
    <d v="2024-01-29T00:00:00"/>
    <d v="2024-01-30T00:00:00"/>
    <x v="0"/>
    <n v="0"/>
    <n v="1"/>
    <x v="1"/>
    <n v="22355"/>
    <n v="2645"/>
  </r>
  <r>
    <d v="2024-01-29T00:00:00"/>
    <x v="0"/>
    <n v="5"/>
    <n v="1888"/>
    <x v="0"/>
    <s v="Franco Gazzani"/>
    <s v="TECU3FNPRO"/>
    <s v="Electric Standing Desk  PRO Negro"/>
    <n v="1"/>
    <x v="0"/>
    <x v="0"/>
    <x v="3"/>
    <x v="0"/>
    <s v="Envioclick- Coordinadora"/>
    <s v="2117765 - 84150760947"/>
    <d v="2024-01-29T00:00:00"/>
    <d v="2024-01-30T00:00:00"/>
    <x v="0"/>
    <n v="0"/>
    <n v="1"/>
    <x v="1"/>
    <n v="42002"/>
    <n v="-2002"/>
  </r>
  <r>
    <d v="2024-01-29T00:00:00"/>
    <x v="0"/>
    <n v="5"/>
    <n v="1888"/>
    <x v="0"/>
    <s v="Franco Gazzani"/>
    <s v="TECUTCO7C"/>
    <s v="Superficie Escritorio Caramelo 170x70 Clasico"/>
    <n v="1"/>
    <x v="1"/>
    <x v="0"/>
    <x v="3"/>
    <x v="0"/>
    <s v="Envioclick- Coordinadora"/>
    <s v="2117767 - 84150760948"/>
    <d v="2024-01-29T00:00:00"/>
    <d v="2024-01-30T00:00:00"/>
    <x v="0"/>
    <n v="0"/>
    <n v="1"/>
    <x v="1"/>
    <n v="25521"/>
    <n v="9479"/>
  </r>
  <r>
    <d v="2024-01-29T00:00:00"/>
    <x v="0"/>
    <n v="5"/>
    <n v="1888"/>
    <x v="0"/>
    <s v="Franco Gazzani"/>
    <s v="TECURCO"/>
    <s v="Repisa TECU  Caramelo"/>
    <n v="1"/>
    <x v="2"/>
    <x v="0"/>
    <x v="3"/>
    <x v="0"/>
    <s v="Envioclick- Coordinadora"/>
    <s v="2117747 - 84150760932"/>
    <d v="2024-01-29T00:00:00"/>
    <d v="2024-01-31T00:00:00"/>
    <x v="0"/>
    <n v="0"/>
    <n v="2"/>
    <x v="1"/>
    <n v="22355"/>
    <n v="2645"/>
  </r>
  <r>
    <d v="2024-01-29T00:00:00"/>
    <x v="0"/>
    <n v="5"/>
    <n v="1888"/>
    <x v="0"/>
    <s v="Franco Gazzani"/>
    <s v="TECUCT"/>
    <s v="TECU bandeja de cables"/>
    <n v="2"/>
    <x v="4"/>
    <x v="0"/>
    <x v="3"/>
    <x v="0"/>
    <s v="Envioclick- Coordinadora"/>
    <s v="2119005 - 84150761654"/>
    <d v="2024-01-29T00:00:00"/>
    <d v="2024-01-31T00:00:00"/>
    <x v="0"/>
    <n v="0"/>
    <n v="2"/>
    <x v="1"/>
    <n v="26855"/>
    <n v="-1855"/>
  </r>
  <r>
    <d v="2024-01-29T00:00:00"/>
    <x v="0"/>
    <n v="5"/>
    <n v="1889"/>
    <x v="0"/>
    <s v="Angie Prieto"/>
    <s v="TECU3FNPRO"/>
    <s v="Electric Standing Desk  PRO Negro"/>
    <n v="1"/>
    <x v="0"/>
    <x v="1"/>
    <x v="1"/>
    <x v="0"/>
    <s v="Envioclick- Coordinadora"/>
    <s v="2117807 - 84150760975"/>
    <d v="2024-01-29T00:00:00"/>
    <d v="2024-01-30T00:00:00"/>
    <x v="0"/>
    <n v="0"/>
    <n v="1"/>
    <x v="1"/>
    <n v="42002"/>
    <n v="-2002"/>
  </r>
  <r>
    <d v="2024-01-29T00:00:00"/>
    <x v="0"/>
    <n v="5"/>
    <n v="1889"/>
    <x v="0"/>
    <s v="Angie Prieto"/>
    <s v="TECUTCC4C"/>
    <s v="Superficie Escritorio Miel 140x70 Clasico"/>
    <n v="1"/>
    <x v="1"/>
    <x v="1"/>
    <x v="1"/>
    <x v="0"/>
    <s v="Envioclick- Coordinadora"/>
    <s v="2117808 - 84150760976"/>
    <d v="2024-01-29T00:00:00"/>
    <d v="2024-01-30T00:00:00"/>
    <x v="0"/>
    <n v="0"/>
    <n v="1"/>
    <x v="1"/>
    <n v="22988"/>
    <n v="12012"/>
  </r>
  <r>
    <d v="2024-01-29T00:00:00"/>
    <x v="0"/>
    <n v="5"/>
    <n v="1889"/>
    <x v="0"/>
    <s v="Angie Prieto"/>
    <s v="TECURCC"/>
    <s v="Repisa TECU  Miel"/>
    <n v="1"/>
    <x v="2"/>
    <x v="1"/>
    <x v="1"/>
    <x v="0"/>
    <s v="Envioclick- Coordinadora"/>
    <s v="2117795 - 84150760968"/>
    <d v="2024-01-29T00:00:00"/>
    <d v="2024-01-30T00:00:00"/>
    <x v="0"/>
    <n v="0"/>
    <n v="1"/>
    <x v="1"/>
    <m/>
    <n v="25000"/>
  </r>
  <r>
    <d v="2024-01-29T00:00:00"/>
    <x v="0"/>
    <n v="5"/>
    <n v="1890"/>
    <x v="0"/>
    <s v="Luis Felipe Salinas"/>
    <s v="TECURCO"/>
    <s v="Repisa TECU  Caramelo"/>
    <n v="1"/>
    <x v="2"/>
    <x v="0"/>
    <x v="3"/>
    <x v="0"/>
    <s v="Envioclick- Coordinadora"/>
    <s v="2118296 - 84150761250"/>
    <d v="2024-01-29T00:00:00"/>
    <d v="2024-01-30T00:00:00"/>
    <x v="0"/>
    <n v="0"/>
    <n v="1"/>
    <x v="1"/>
    <n v="22355"/>
    <n v="2645"/>
  </r>
  <r>
    <d v="2024-01-30T00:00:00"/>
    <x v="0"/>
    <n v="5"/>
    <n v="1891"/>
    <x v="0"/>
    <s v="Andres Bayona"/>
    <s v="TECU3FNPRO"/>
    <s v="Electric Standing Desk  PRO Negro"/>
    <n v="1"/>
    <x v="0"/>
    <x v="4"/>
    <x v="5"/>
    <x v="0"/>
    <s v="Envioclick- Coordinadora"/>
    <s v="2123230 - 84150763345"/>
    <d v="2024-01-31T00:00:00"/>
    <d v="2024-02-01T00:00:00"/>
    <x v="0"/>
    <n v="1"/>
    <n v="2"/>
    <x v="1"/>
    <n v="42002"/>
    <n v="-2002"/>
  </r>
  <r>
    <d v="2024-01-30T00:00:00"/>
    <x v="0"/>
    <n v="5"/>
    <n v="1891"/>
    <x v="0"/>
    <s v="Andres Bayona"/>
    <s v="TECUTCC5M"/>
    <s v="Superficie Escritorio Miel 150x70 Moderno"/>
    <n v="1"/>
    <x v="1"/>
    <x v="4"/>
    <x v="5"/>
    <x v="0"/>
    <s v="Envioclick- Coordinadora"/>
    <s v="2123231 - 84150763346"/>
    <d v="2024-01-31T00:00:00"/>
    <d v="2024-02-01T00:00:00"/>
    <x v="0"/>
    <n v="1"/>
    <n v="2"/>
    <x v="1"/>
    <n v="22988"/>
    <n v="12012"/>
  </r>
  <r>
    <d v="2024-01-30T00:00:00"/>
    <x v="0"/>
    <n v="5"/>
    <n v="1891"/>
    <x v="0"/>
    <s v="Andres Bayona"/>
    <s v="TECURCC"/>
    <s v="Repisa TECU  Miel"/>
    <n v="1"/>
    <x v="2"/>
    <x v="4"/>
    <x v="5"/>
    <x v="0"/>
    <s v="Envioclick- Coordinadora"/>
    <s v="2123223 - 84150763343"/>
    <d v="2024-01-31T00:00:00"/>
    <d v="2024-02-01T00:00:00"/>
    <x v="0"/>
    <n v="1"/>
    <n v="2"/>
    <x v="1"/>
    <n v="22355"/>
    <n v="2645"/>
  </r>
  <r>
    <d v="2024-01-31T00:00:00"/>
    <x v="0"/>
    <n v="5"/>
    <n v="1892"/>
    <x v="0"/>
    <s v="Sebastian Patiño Barrientos"/>
    <s v="TECU3FGPRO"/>
    <s v="Electric Standing Desk  PRO Gris"/>
    <n v="1"/>
    <x v="0"/>
    <x v="0"/>
    <x v="3"/>
    <x v="0"/>
    <s v="Envioclick- Coordinadora"/>
    <s v="2123237 - 84150763351"/>
    <d v="2024-02-01T00:00:00"/>
    <d v="2024-02-02T00:00:00"/>
    <x v="0"/>
    <n v="1"/>
    <n v="2"/>
    <x v="1"/>
    <n v="42002"/>
    <n v="-2002"/>
  </r>
  <r>
    <d v="2024-01-31T00:00:00"/>
    <x v="0"/>
    <n v="5"/>
    <n v="1892"/>
    <x v="0"/>
    <s v="Sebastian Patiño Barrientos"/>
    <s v="TECUTCO5C"/>
    <s v="Superficie Escritorio Caramelo 150x70 Clasico"/>
    <n v="1"/>
    <x v="1"/>
    <x v="0"/>
    <x v="3"/>
    <x v="0"/>
    <s v="Envioclick- Coordinadora"/>
    <s v="2123238 - 84150763352"/>
    <d v="2024-02-01T00:00:00"/>
    <d v="2024-02-02T00:00:00"/>
    <x v="0"/>
    <n v="1"/>
    <n v="2"/>
    <x v="1"/>
    <n v="22988"/>
    <e v="#N/A"/>
  </r>
  <r>
    <d v="2024-01-31T00:00:00"/>
    <x v="0"/>
    <n v="5"/>
    <n v="1892"/>
    <x v="0"/>
    <s v="Sebastian Patiño Barrientos"/>
    <s v="TECURCO"/>
    <s v="Repisa TECU  Caramelo"/>
    <n v="1"/>
    <x v="2"/>
    <x v="0"/>
    <x v="3"/>
    <x v="0"/>
    <s v="Envioclick- Coordinadora"/>
    <s v="2123234 - 84150763348"/>
    <d v="2024-02-01T00:00:00"/>
    <d v="2024-02-02T00:00:00"/>
    <x v="0"/>
    <n v="1"/>
    <n v="2"/>
    <x v="1"/>
    <n v="22355"/>
    <n v="2645"/>
  </r>
  <r>
    <d v="2024-01-31T00:00:00"/>
    <x v="0"/>
    <n v="5"/>
    <n v="1893"/>
    <x v="0"/>
    <s v="Juan Camilo Lopez Montes"/>
    <s v="TECU3FNPRO"/>
    <s v="Electric Standing Desk  PRO Negro"/>
    <n v="1"/>
    <x v="0"/>
    <x v="0"/>
    <x v="11"/>
    <x v="0"/>
    <s v="Envioclick- Coordinadora"/>
    <s v="2126413 - 84150764453"/>
    <d v="2024-02-01T00:00:00"/>
    <d v="2024-02-03T00:00:00"/>
    <x v="0"/>
    <n v="1"/>
    <n v="3"/>
    <x v="1"/>
    <n v="42002"/>
    <n v="-2002"/>
  </r>
  <r>
    <d v="2024-01-31T00:00:00"/>
    <x v="0"/>
    <n v="5"/>
    <n v="1893"/>
    <x v="0"/>
    <s v="Juan Camilo Lopez Montes"/>
    <s v="TECUTCO8M"/>
    <s v="Superficie Escritorio Caramelo 180x70 Moderno"/>
    <n v="1"/>
    <x v="1"/>
    <x v="0"/>
    <x v="11"/>
    <x v="0"/>
    <s v="Envioclick- Coordinadora"/>
    <s v="2126416 - 84150764454"/>
    <d v="2024-02-01T00:00:00"/>
    <d v="2024-02-03T00:00:00"/>
    <x v="0"/>
    <n v="1"/>
    <n v="3"/>
    <x v="1"/>
    <n v="25521"/>
    <n v="9479"/>
  </r>
  <r>
    <d v="2024-01-31T00:00:00"/>
    <x v="0"/>
    <n v="5"/>
    <n v="1893"/>
    <x v="0"/>
    <s v="Juan Camilo Lopez Montes"/>
    <s v="TECURCO"/>
    <s v="Repisa TECU  Caramelo"/>
    <n v="1"/>
    <x v="2"/>
    <x v="0"/>
    <x v="11"/>
    <x v="0"/>
    <s v="Envioclick- Coordinadora"/>
    <s v="2126358 - 84150764434"/>
    <d v="2024-02-01T00:00:00"/>
    <d v="2024-02-03T00:00:00"/>
    <x v="0"/>
    <n v="1"/>
    <n v="3"/>
    <x v="1"/>
    <n v="22355"/>
    <n v="2645"/>
  </r>
  <r>
    <d v="2024-02-01T00:00:00"/>
    <x v="1"/>
    <n v="5"/>
    <n v="1894"/>
    <x v="0"/>
    <s v="felipe martinez"/>
    <s v="TECU2FBGO"/>
    <s v="Electric Standing Desk GO Blanco"/>
    <n v="1"/>
    <x v="0"/>
    <x v="1"/>
    <x v="1"/>
    <x v="0"/>
    <s v="Envioclick- Coordinadora"/>
    <s v="2126758 - 84150764584"/>
    <d v="2024-02-01T00:00:00"/>
    <d v="2024-02-02T00:00:00"/>
    <x v="0"/>
    <n v="0"/>
    <n v="1"/>
    <x v="1"/>
    <n v="40734"/>
    <n v="-734"/>
  </r>
  <r>
    <d v="2024-02-02T00:00:00"/>
    <x v="1"/>
    <n v="5"/>
    <n v="1895"/>
    <x v="0"/>
    <s v="Laura Calle"/>
    <s v="TECU3FNPRO"/>
    <s v="Electric Standing Desk  PRO Negro"/>
    <n v="1"/>
    <x v="0"/>
    <x v="0"/>
    <x v="3"/>
    <x v="0"/>
    <s v="Envioclick- Coordinadora"/>
    <s v="2133689 - 84150767410"/>
    <d v="2024-02-05T00:00:00"/>
    <d v="2024-02-07T00:00:00"/>
    <x v="0"/>
    <n v="2"/>
    <n v="4"/>
    <x v="0"/>
    <n v="42002"/>
    <n v="-2002"/>
  </r>
  <r>
    <d v="2024-02-04T00:00:00"/>
    <x v="1"/>
    <n v="6"/>
    <n v="1896"/>
    <x v="0"/>
    <s v="Juan Camilo Muñoz Bedoya"/>
    <s v="TECU2FNG"/>
    <s v="Electric Standing Desk GO Negro"/>
    <n v="1"/>
    <x v="0"/>
    <x v="0"/>
    <x v="12"/>
    <x v="0"/>
    <s v="Envioclick- Coordinadora"/>
    <s v="2133229 - 84150767211"/>
    <d v="2024-02-05T00:00:00"/>
    <d v="2024-02-06T00:00:00"/>
    <x v="0"/>
    <n v="0"/>
    <n v="1"/>
    <x v="1"/>
    <n v="40734"/>
    <n v="-734"/>
  </r>
  <r>
    <d v="2024-02-04T00:00:00"/>
    <x v="1"/>
    <n v="6"/>
    <n v="1896"/>
    <x v="0"/>
    <s v="Juan Camilo Muñoz Bedoya"/>
    <s v="TECU2FNG"/>
    <s v="Electric Standing Desk GO Negro"/>
    <n v="1"/>
    <x v="0"/>
    <x v="0"/>
    <x v="12"/>
    <x v="0"/>
    <s v="Envioclick- Coordinadora"/>
    <s v="2133240 - 84150767212"/>
    <d v="2024-02-05T00:00:00"/>
    <d v="2024-02-06T00:00:00"/>
    <x v="0"/>
    <n v="0"/>
    <n v="1"/>
    <x v="1"/>
    <n v="22988"/>
    <n v="17012"/>
  </r>
  <r>
    <d v="2024-02-04T00:00:00"/>
    <x v="1"/>
    <n v="6"/>
    <n v="1896"/>
    <x v="0"/>
    <s v="Juan Camilo Muñoz Bedoya"/>
    <s v="TECUTRN4C"/>
    <s v="Superficie Escritorio Roble Negro 140x70 Clasico"/>
    <n v="1"/>
    <x v="1"/>
    <x v="0"/>
    <x v="12"/>
    <x v="0"/>
    <s v="Envioclick- Coordinadora"/>
    <s v="2133740 - 84150767424"/>
    <d v="2024-02-05T00:00:00"/>
    <d v="2024-02-06T00:00:00"/>
    <x v="0"/>
    <n v="0"/>
    <n v="1"/>
    <x v="1"/>
    <n v="40734"/>
    <n v="-5734"/>
  </r>
  <r>
    <d v="2024-02-04T00:00:00"/>
    <x v="1"/>
    <n v="6"/>
    <n v="1896"/>
    <x v="0"/>
    <s v="Juan Camilo Muñoz Bedoya"/>
    <s v="TECUTRN4C"/>
    <s v="Superficie Escritorio Roble Negro 140x70 Clasico"/>
    <n v="1"/>
    <x v="1"/>
    <x v="0"/>
    <x v="12"/>
    <x v="0"/>
    <s v="Envioclick- Coordinadora"/>
    <s v="2133742 - 84150767425"/>
    <d v="2024-02-05T00:00:00"/>
    <d v="2024-02-06T00:00:00"/>
    <x v="0"/>
    <n v="0"/>
    <n v="1"/>
    <x v="1"/>
    <n v="22988"/>
    <n v="12012"/>
  </r>
  <r>
    <d v="2024-02-05T00:00:00"/>
    <x v="1"/>
    <n v="6"/>
    <n v="1897"/>
    <x v="0"/>
    <s v="yamit cardenas"/>
    <s v="TECU3FNPRO"/>
    <s v="Electric Standing Desk  PRO Negro"/>
    <n v="1"/>
    <x v="0"/>
    <x v="1"/>
    <x v="1"/>
    <x v="0"/>
    <s v="Envioclick- Coordinadora"/>
    <s v="2133765 - 84150767432"/>
    <d v="2024-02-05T00:00:00"/>
    <d v="2024-02-07T00:00:00"/>
    <x v="0"/>
    <n v="0"/>
    <n v="2"/>
    <x v="1"/>
    <n v="42002"/>
    <n v="-2002"/>
  </r>
  <r>
    <d v="2024-02-05T00:00:00"/>
    <x v="1"/>
    <n v="6"/>
    <n v="1897"/>
    <x v="0"/>
    <s v="yamit cardenas"/>
    <s v="TECUTCO7M"/>
    <s v="Superficie Escritorio Caramelo 170x70 Moderno"/>
    <n v="1"/>
    <x v="1"/>
    <x v="1"/>
    <x v="1"/>
    <x v="0"/>
    <s v="Envioclick- Coordinadora"/>
    <s v="2133766 - 84150767433"/>
    <d v="2024-02-05T00:00:00"/>
    <d v="2024-02-07T00:00:00"/>
    <x v="0"/>
    <n v="0"/>
    <n v="2"/>
    <x v="1"/>
    <n v="25521"/>
    <e v="#N/A"/>
  </r>
  <r>
    <d v="2024-02-05T00:00:00"/>
    <x v="1"/>
    <n v="6"/>
    <n v="1897"/>
    <x v="0"/>
    <s v="yamit cardenas"/>
    <s v="TECURCO"/>
    <s v="Repisa TECU  Caramelo"/>
    <n v="1"/>
    <x v="2"/>
    <x v="1"/>
    <x v="1"/>
    <x v="0"/>
    <s v="Envioclick- Coordinadora"/>
    <s v="2133753 - 84150767427"/>
    <d v="2024-02-05T00:00:00"/>
    <d v="2024-02-07T00:00:00"/>
    <x v="0"/>
    <n v="0"/>
    <n v="2"/>
    <x v="1"/>
    <n v="22355"/>
    <n v="2645"/>
  </r>
  <r>
    <d v="2024-02-05T00:00:00"/>
    <x v="1"/>
    <n v="6"/>
    <n v="1898"/>
    <x v="0"/>
    <s v="Nicole Gomez"/>
    <s v="TECULFN2"/>
    <s v="Electric Standing Desk | Escritorio Ajustable En L Frame Negro 2.0"/>
    <n v="1"/>
    <x v="0"/>
    <x v="0"/>
    <x v="3"/>
    <x v="0"/>
    <s v="Envioclick- Coordinadora"/>
    <s v="2136153 - 84150768690"/>
    <d v="2024-02-05T00:00:00"/>
    <d v="2024-02-07T00:00:00"/>
    <x v="0"/>
    <n v="0"/>
    <n v="2"/>
    <x v="1"/>
    <n v="60937"/>
    <n v="-20937"/>
  </r>
  <r>
    <d v="2024-02-05T00:00:00"/>
    <x v="1"/>
    <n v="6"/>
    <n v="1898"/>
    <x v="0"/>
    <s v="Nicole Gomez"/>
    <s v="TECUTLNS"/>
    <s v="Superficie Escritorio en L Negro (Wengue) Set completo"/>
    <n v="1"/>
    <x v="1"/>
    <x v="0"/>
    <x v="3"/>
    <x v="0"/>
    <s v="Envioclick- Coordinadora"/>
    <s v="2136155 - 84150768691"/>
    <d v="2024-02-05T00:00:00"/>
    <d v="2024-02-07T00:00:00"/>
    <x v="0"/>
    <n v="0"/>
    <n v="2"/>
    <x v="1"/>
    <n v="25521"/>
    <n v="9479"/>
  </r>
  <r>
    <d v="2024-02-05T00:00:00"/>
    <x v="1"/>
    <n v="6"/>
    <n v="1898"/>
    <x v="0"/>
    <s v="Nicole Gomez"/>
    <s v="TECURN"/>
    <s v="Repisa TECU  Negro (Wengue)"/>
    <n v="1"/>
    <x v="2"/>
    <x v="0"/>
    <x v="3"/>
    <x v="0"/>
    <s v="Envioclick- Coordinadora"/>
    <s v="2136135 - 84150768684"/>
    <d v="2024-02-05T00:00:00"/>
    <d v="2024-02-07T00:00:00"/>
    <x v="0"/>
    <n v="0"/>
    <n v="2"/>
    <x v="1"/>
    <n v="22355"/>
    <n v="2645"/>
  </r>
  <r>
    <d v="2024-02-05T00:00:00"/>
    <x v="1"/>
    <n v="6"/>
    <n v="1899"/>
    <x v="0"/>
    <s v="Leiner Lenin Lucero Sanchez"/>
    <s v="TECU3FNPRO"/>
    <s v="Electric Standing Desk  PRO Negro"/>
    <n v="1"/>
    <x v="0"/>
    <x v="1"/>
    <x v="1"/>
    <x v="0"/>
    <s v="Envioclick- Coordinadora"/>
    <s v="2136185 - 84150768699"/>
    <d v="2024-02-05T00:00:00"/>
    <d v="2024-02-07T00:00:00"/>
    <x v="0"/>
    <n v="0"/>
    <n v="2"/>
    <x v="1"/>
    <n v="42002"/>
    <n v="-2002"/>
  </r>
  <r>
    <d v="2024-02-05T00:00:00"/>
    <x v="1"/>
    <n v="6"/>
    <n v="1899"/>
    <x v="0"/>
    <s v="Leiner Lenin Lucero Sanchez"/>
    <s v="TECUTCC6C"/>
    <s v="Superficie Escritorio Miel 160x70 Clasico"/>
    <n v="1"/>
    <x v="1"/>
    <x v="1"/>
    <x v="1"/>
    <x v="0"/>
    <s v="Envioclick- Coordinadora"/>
    <s v="2136187 - 84150768701"/>
    <d v="2024-02-05T00:00:00"/>
    <d v="2024-02-07T00:00:00"/>
    <x v="0"/>
    <n v="0"/>
    <n v="2"/>
    <x v="1"/>
    <n v="22988"/>
    <n v="12012"/>
  </r>
  <r>
    <d v="2024-02-05T00:00:00"/>
    <x v="1"/>
    <n v="6"/>
    <n v="1899"/>
    <x v="0"/>
    <s v="Leiner Lenin Lucero Sanchez"/>
    <s v="TECURCC"/>
    <s v="Repisa TECU  Miel"/>
    <n v="1"/>
    <x v="2"/>
    <x v="1"/>
    <x v="1"/>
    <x v="0"/>
    <s v="Envioclick- Coordinadora"/>
    <s v="2136177 - 84150768696"/>
    <d v="2024-02-05T00:00:00"/>
    <d v="2024-02-07T00:00:00"/>
    <x v="0"/>
    <n v="0"/>
    <n v="2"/>
    <x v="1"/>
    <n v="22355"/>
    <n v="2645"/>
  </r>
  <r>
    <d v="2024-02-07T00:00:00"/>
    <x v="1"/>
    <n v="6"/>
    <n v="1900"/>
    <x v="0"/>
    <s v="William Munoz Rodas"/>
    <s v="TECU3FNPRO"/>
    <s v="Electric Standing Desk  PRO Negro"/>
    <n v="1"/>
    <x v="0"/>
    <x v="0"/>
    <x v="10"/>
    <x v="0"/>
    <s v="Envioclick- Coordinadora"/>
    <s v="2138480 - 84150769778"/>
    <d v="2024-02-07T00:00:00"/>
    <d v="2024-02-08T00:00:00"/>
    <x v="0"/>
    <n v="0"/>
    <n v="1"/>
    <x v="1"/>
    <n v="42002"/>
    <n v="-2002"/>
  </r>
  <r>
    <d v="2024-02-07T00:00:00"/>
    <x v="1"/>
    <n v="6"/>
    <n v="1900"/>
    <x v="0"/>
    <s v="William Munoz Rodas"/>
    <s v="TECUTCO8M"/>
    <s v="Superficie Escritorio Caramelo 180x70 Moderno"/>
    <n v="1"/>
    <x v="1"/>
    <x v="0"/>
    <x v="10"/>
    <x v="0"/>
    <s v="Envioclick- Coordinadora"/>
    <s v="2138481 - 84150769779"/>
    <d v="2024-02-07T00:00:00"/>
    <d v="2024-02-08T00:00:00"/>
    <x v="0"/>
    <n v="0"/>
    <n v="1"/>
    <x v="1"/>
    <n v="25521"/>
    <n v="9479"/>
  </r>
  <r>
    <d v="2024-02-07T00:00:00"/>
    <x v="1"/>
    <n v="6"/>
    <n v="1900"/>
    <x v="0"/>
    <s v="William Munoz Rodas"/>
    <s v="TECURCO"/>
    <s v="Repisa TECU  Caramelo"/>
    <n v="1"/>
    <x v="2"/>
    <x v="0"/>
    <x v="10"/>
    <x v="0"/>
    <s v="Envioclick- Coordinadora"/>
    <s v="2138471 - 84150769771"/>
    <d v="2024-02-07T00:00:00"/>
    <d v="2024-02-08T00:00:00"/>
    <x v="0"/>
    <n v="0"/>
    <n v="1"/>
    <x v="1"/>
    <n v="22355"/>
    <n v="2645"/>
  </r>
  <r>
    <d v="2024-02-07T00:00:00"/>
    <x v="1"/>
    <n v="6"/>
    <n v="1901"/>
    <x v="0"/>
    <s v="valentina plazas"/>
    <s v="TECU3FNPRO"/>
    <s v="Electric Standing Desk  PRO Negro"/>
    <n v="1"/>
    <x v="0"/>
    <x v="1"/>
    <x v="1"/>
    <x v="0"/>
    <s v="Envioclick- Coordinadora"/>
    <s v="2138494 - 84150769790"/>
    <d v="2024-02-07T00:00:00"/>
    <d v="2024-02-08T00:00:00"/>
    <x v="0"/>
    <n v="0"/>
    <n v="1"/>
    <x v="1"/>
    <n v="42002"/>
    <n v="-2002"/>
  </r>
  <r>
    <d v="2024-02-07T00:00:00"/>
    <x v="1"/>
    <n v="6"/>
    <n v="1901"/>
    <x v="0"/>
    <s v="valentina plazas"/>
    <s v="TECUTCC4C"/>
    <s v="Superficie Escritorio Miel 140x70 Clasico"/>
    <n v="1"/>
    <x v="1"/>
    <x v="1"/>
    <x v="1"/>
    <x v="0"/>
    <s v="Envioclick- Coordinadora"/>
    <s v="2138495 - 84150769791"/>
    <d v="2024-02-07T00:00:00"/>
    <d v="2024-02-08T00:00:00"/>
    <x v="0"/>
    <n v="0"/>
    <n v="1"/>
    <x v="1"/>
    <n v="22988"/>
    <n v="12012"/>
  </r>
  <r>
    <d v="2024-02-07T00:00:00"/>
    <x v="1"/>
    <n v="6"/>
    <n v="1901"/>
    <x v="0"/>
    <s v="valentina plazas"/>
    <s v="TECURCC"/>
    <s v="Repisa TECU  Miel"/>
    <n v="1"/>
    <x v="2"/>
    <x v="1"/>
    <x v="1"/>
    <x v="0"/>
    <s v="Envioclick- Coordinadora"/>
    <s v="2138489 -84150769785"/>
    <d v="2024-02-07T00:00:00"/>
    <d v="2024-02-08T00:00:00"/>
    <x v="0"/>
    <n v="0"/>
    <n v="1"/>
    <x v="1"/>
    <n v="22355"/>
    <n v="2645"/>
  </r>
  <r>
    <d v="2024-02-09T00:00:00"/>
    <x v="1"/>
    <n v="6"/>
    <n v="1902"/>
    <x v="0"/>
    <s v="Andrés Valencia"/>
    <s v="TECU3FNPRO"/>
    <s v="Electric Standing Desk  PRO Negro"/>
    <n v="1"/>
    <x v="0"/>
    <x v="4"/>
    <x v="5"/>
    <x v="0"/>
    <s v="Envioclick- Coordinadora"/>
    <s v="2142716 - 84150771614"/>
    <d v="2024-02-09T00:00:00"/>
    <d v="2024-02-10T00:00:00"/>
    <x v="0"/>
    <n v="0"/>
    <n v="1"/>
    <x v="1"/>
    <n v="42002"/>
    <n v="-2002"/>
  </r>
  <r>
    <d v="2024-02-09T00:00:00"/>
    <x v="1"/>
    <n v="6"/>
    <n v="1902"/>
    <x v="0"/>
    <s v="Andrés Valencia"/>
    <s v="TECUTRN20C"/>
    <s v="Superficie Escritorio Roble Negro 200x70 Clasico"/>
    <n v="1"/>
    <x v="1"/>
    <x v="4"/>
    <x v="5"/>
    <x v="0"/>
    <s v="Envioclick- Coordinadora"/>
    <s v="2142717 - 84150771615"/>
    <d v="2024-02-09T00:00:00"/>
    <d v="2024-02-10T00:00:00"/>
    <x v="0"/>
    <n v="0"/>
    <n v="1"/>
    <x v="1"/>
    <n v="25521"/>
    <n v="9479"/>
  </r>
  <r>
    <d v="2024-02-09T00:00:00"/>
    <x v="1"/>
    <n v="6"/>
    <n v="1902"/>
    <x v="0"/>
    <s v="Andrés Valencia"/>
    <s v="TECURN"/>
    <s v="Repisa TECU  Negro (Wengue)"/>
    <n v="1"/>
    <x v="2"/>
    <x v="4"/>
    <x v="5"/>
    <x v="0"/>
    <s v="Envioclick- Coordinadora"/>
    <s v="2142710 - 84150771613"/>
    <d v="2024-02-09T00:00:00"/>
    <d v="2024-02-10T00:00:00"/>
    <x v="0"/>
    <n v="0"/>
    <n v="1"/>
    <x v="1"/>
    <n v="22355"/>
    <n v="2645"/>
  </r>
  <r>
    <d v="2024-02-09T00:00:00"/>
    <x v="1"/>
    <n v="6"/>
    <n v="1903"/>
    <x v="0"/>
    <s v="Mario Mauricio Galvis Ruiz"/>
    <s v="TECU2FNG"/>
    <s v="Electric Standing Desk GO Negro"/>
    <n v="1"/>
    <x v="0"/>
    <x v="0"/>
    <x v="0"/>
    <x v="0"/>
    <s v="Envioclick- Coordinadora"/>
    <s v="2143508 - 84150772041"/>
    <d v="2024-02-09T00:00:00"/>
    <d v="2024-02-15T00:00:00"/>
    <x v="0"/>
    <n v="0"/>
    <n v="5"/>
    <x v="0"/>
    <n v="90555"/>
    <n v="-50555"/>
  </r>
  <r>
    <d v="2024-02-09T00:00:00"/>
    <x v="1"/>
    <n v="6"/>
    <n v="1903"/>
    <x v="0"/>
    <s v="Mario Mauricio Galvis Ruiz"/>
    <s v="TECUTCC2C"/>
    <s v="Superficie Escritorio Miel 120x70 Clasico Small"/>
    <n v="1"/>
    <x v="1"/>
    <x v="0"/>
    <x v="0"/>
    <x v="0"/>
    <s v="Envioclick- Coordinadora"/>
    <s v="2143511 - 84150772043"/>
    <d v="2024-02-09T00:00:00"/>
    <d v="2024-02-20T00:00:00"/>
    <x v="0"/>
    <n v="0"/>
    <n v="9"/>
    <x v="0"/>
    <n v="75975"/>
    <n v="-40975"/>
  </r>
  <r>
    <d v="2024-02-12T00:00:00"/>
    <x v="1"/>
    <n v="7"/>
    <n v="1904"/>
    <x v="0"/>
    <s v="Andres Aristizabal"/>
    <s v="TECU3FBRO"/>
    <s v="Electric Standing Desk  PRO Blanco"/>
    <n v="1"/>
    <x v="0"/>
    <x v="2"/>
    <x v="13"/>
    <x v="0"/>
    <s v="Envioclick- Coordinadora"/>
    <s v="2145993 - 84150773156"/>
    <d v="2024-02-12T00:00:00"/>
    <d v="2024-02-14T00:00:00"/>
    <x v="0"/>
    <n v="0"/>
    <n v="2"/>
    <x v="1"/>
    <n v="60748"/>
    <n v="-20748"/>
  </r>
  <r>
    <d v="2024-02-13T00:00:00"/>
    <x v="1"/>
    <n v="7"/>
    <n v="1905"/>
    <x v="0"/>
    <s v="Jaeckel Montoya Abogados SAS"/>
    <s v="TECU3FNPRO"/>
    <s v="Electric Standing Desk  PRO Negro"/>
    <n v="1"/>
    <x v="0"/>
    <x v="1"/>
    <x v="1"/>
    <x v="0"/>
    <s v="Envioclick- Coordinadora"/>
    <s v="2167315 - 84150775743"/>
    <d v="2024-02-14T00:00:00"/>
    <d v="2024-02-15T00:00:00"/>
    <x v="0"/>
    <n v="1"/>
    <n v="2"/>
    <x v="1"/>
    <n v="42002"/>
    <n v="-2002"/>
  </r>
  <r>
    <d v="2024-02-13T00:00:00"/>
    <x v="1"/>
    <n v="7"/>
    <n v="1905"/>
    <x v="0"/>
    <s v="Jaeckel Montoya Abogados SAS"/>
    <s v="TECUTRN20C"/>
    <s v="Superficie Escritorio Roble Negro 200x70 Clasico"/>
    <n v="1"/>
    <x v="1"/>
    <x v="1"/>
    <x v="1"/>
    <x v="0"/>
    <s v="Envioclick- Coordinadora"/>
    <s v="2167316 - 84150775744"/>
    <d v="2024-02-14T00:00:00"/>
    <d v="2024-02-15T00:00:00"/>
    <x v="0"/>
    <n v="1"/>
    <n v="2"/>
    <x v="1"/>
    <n v="25521"/>
    <n v="9479"/>
  </r>
  <r>
    <d v="2024-02-13T00:00:00"/>
    <x v="1"/>
    <n v="7"/>
    <n v="1905"/>
    <x v="0"/>
    <s v="Jaeckel Montoya Abogados SAS"/>
    <s v="TECURN"/>
    <s v="Repisa TECU  Negro (Wengue)"/>
    <n v="1"/>
    <x v="2"/>
    <x v="1"/>
    <x v="1"/>
    <x v="0"/>
    <s v="Envioclick- Coordinadora"/>
    <s v="2167312 - 84150775742"/>
    <d v="2024-02-14T00:00:00"/>
    <d v="2024-02-15T00:00:00"/>
    <x v="0"/>
    <n v="1"/>
    <n v="2"/>
    <x v="1"/>
    <n v="22355"/>
    <n v="2645"/>
  </r>
  <r>
    <d v="2024-02-15T00:00:00"/>
    <x v="1"/>
    <n v="7"/>
    <n v="1906"/>
    <x v="0"/>
    <s v="JULIO ACONCHA"/>
    <s v="TECURCO"/>
    <s v="Repisa TECU  Caramelo"/>
    <n v="1"/>
    <x v="2"/>
    <x v="0"/>
    <x v="3"/>
    <x v="0"/>
    <s v="Envioclick- Coordinadora"/>
    <s v="2194318 - 84150776632"/>
    <d v="2024-02-15T00:00:00"/>
    <d v="2024-02-16T00:00:00"/>
    <x v="0"/>
    <n v="0"/>
    <n v="1"/>
    <x v="1"/>
    <n v="22355"/>
    <n v="2645"/>
  </r>
  <r>
    <d v="2024-02-15T00:00:00"/>
    <x v="1"/>
    <n v="7"/>
    <n v="1907"/>
    <x v="0"/>
    <s v="Kevin Pedroza"/>
    <s v="TECU2FNG"/>
    <s v="Electric Standing Desk GO Negro"/>
    <n v="1"/>
    <x v="0"/>
    <x v="3"/>
    <x v="4"/>
    <x v="0"/>
    <s v="Envioclick- Coordinadora"/>
    <s v="2194347 - 84150776648"/>
    <d v="2024-02-15T00:00:00"/>
    <d v="2024-02-19T00:00:00"/>
    <x v="0"/>
    <n v="0"/>
    <n v="3"/>
    <x v="1"/>
    <n v="58232"/>
    <n v="-18232"/>
  </r>
  <r>
    <d v="2024-02-15T00:00:00"/>
    <x v="1"/>
    <n v="7"/>
    <n v="1907"/>
    <x v="0"/>
    <s v="Kevin Pedroza"/>
    <s v="TECUTRN2C"/>
    <s v="Superficie Escritorio Roble Negro 120x70 Clasico Small"/>
    <n v="1"/>
    <x v="1"/>
    <x v="3"/>
    <x v="4"/>
    <x v="0"/>
    <s v="Envioclick- Coordinadora"/>
    <s v="2194348 - 84150776649"/>
    <d v="2024-02-15T00:00:00"/>
    <d v="2024-02-19T00:00:00"/>
    <x v="0"/>
    <n v="0"/>
    <n v="3"/>
    <x v="1"/>
    <n v="37361"/>
    <n v="-2361"/>
  </r>
  <r>
    <d v="2024-02-07T00:00:00"/>
    <x v="1"/>
    <n v="6"/>
    <n v="1898"/>
    <x v="1"/>
    <s v="Nicole Gomez"/>
    <s v="TECUTLNS"/>
    <s v="Superficie Escritorio en L Negro (Wengue) Set completo"/>
    <n v="1"/>
    <x v="1"/>
    <x v="0"/>
    <x v="3"/>
    <x v="0"/>
    <s v="Envioclick- Coordinadora"/>
    <s v="2141135 - 84150770945"/>
    <d v="2024-02-08T00:00:00"/>
    <d v="2024-02-09T00:00:00"/>
    <x v="0"/>
    <n v="1"/>
    <n v="2"/>
    <x v="1"/>
    <n v="23855"/>
    <n v="11145"/>
  </r>
  <r>
    <d v="2024-02-09T00:00:00"/>
    <x v="1"/>
    <n v="6"/>
    <n v="1898"/>
    <x v="1"/>
    <s v="Nicole Gomez"/>
    <s v="TECUTLNS"/>
    <s v="Superficie Escritorio en L Negro (Wengue) Set completo"/>
    <n v="1"/>
    <x v="1"/>
    <x v="0"/>
    <x v="3"/>
    <x v="0"/>
    <s v="Envioclick- Coordinadora"/>
    <s v="2146012 - 84150773297"/>
    <d v="2024-02-12T00:00:00"/>
    <d v="2024-02-13T00:00:00"/>
    <x v="0"/>
    <n v="2"/>
    <n v="3"/>
    <x v="1"/>
    <n v="23855"/>
    <n v="11145"/>
  </r>
  <r>
    <d v="2024-02-16T00:00:00"/>
    <x v="1"/>
    <n v="7"/>
    <n v="1908"/>
    <x v="0"/>
    <s v="Kelly Jiménez Brun"/>
    <s v="TECU3FGPRO"/>
    <s v="Electric Standing Desk  PRO Gris"/>
    <n v="1"/>
    <x v="0"/>
    <x v="0"/>
    <x v="0"/>
    <x v="0"/>
    <s v="Envioclick- Coordinadora"/>
    <s v="2201074 - 84150778877"/>
    <d v="2024-02-19T00:00:00"/>
    <d v="2024-02-20T00:00:00"/>
    <x v="0"/>
    <n v="2"/>
    <n v="3"/>
    <x v="1"/>
    <n v="42002"/>
    <n v="-2002"/>
  </r>
  <r>
    <d v="2024-02-16T00:00:00"/>
    <x v="1"/>
    <n v="7"/>
    <n v="1908"/>
    <x v="0"/>
    <s v="Kelly Jiménez Brun"/>
    <s v="TECUTB7C"/>
    <s v="Superficie Escritorio Blanco (Niebla) 170x70 Clasico"/>
    <n v="1"/>
    <x v="1"/>
    <x v="0"/>
    <x v="0"/>
    <x v="0"/>
    <s v="Envioclick- Coordinadora"/>
    <s v="2201077 - 84150778879"/>
    <d v="2024-02-19T00:00:00"/>
    <d v="2024-02-20T00:00:00"/>
    <x v="0"/>
    <n v="2"/>
    <n v="3"/>
    <x v="1"/>
    <n v="25521"/>
    <n v="9479"/>
  </r>
  <r>
    <d v="2024-02-16T00:00:00"/>
    <x v="1"/>
    <n v="7"/>
    <n v="1908"/>
    <x v="0"/>
    <s v="Kelly Jiménez Brun"/>
    <s v="TECURB"/>
    <s v="Repisa TECU  Blanco (Niebla)"/>
    <n v="1"/>
    <x v="2"/>
    <x v="0"/>
    <x v="0"/>
    <x v="0"/>
    <s v="Envioclick- Coordinadora"/>
    <s v="2201061 - 84150778867"/>
    <d v="2024-02-19T00:00:00"/>
    <d v="2024-02-20T00:00:00"/>
    <x v="0"/>
    <n v="2"/>
    <n v="3"/>
    <x v="1"/>
    <n v="22355"/>
    <n v="2645"/>
  </r>
  <r>
    <d v="2024-02-19T00:00:00"/>
    <x v="1"/>
    <n v="8"/>
    <n v="1909"/>
    <x v="0"/>
    <s v="rafael ortega"/>
    <s v="TECU3FNPRO"/>
    <s v="Electric Standing Desk  PRO Negro"/>
    <n v="1"/>
    <x v="0"/>
    <x v="1"/>
    <x v="14"/>
    <x v="0"/>
    <s v="Envioclick- Coordinadora"/>
    <s v="2201127 - 84150778901"/>
    <d v="2024-02-19T00:00:00"/>
    <d v="2024-02-20T00:00:00"/>
    <x v="0"/>
    <n v="0"/>
    <n v="1"/>
    <x v="1"/>
    <n v="42002"/>
    <n v="-2002"/>
  </r>
  <r>
    <d v="2024-02-19T00:00:00"/>
    <x v="1"/>
    <n v="8"/>
    <n v="1909"/>
    <x v="0"/>
    <s v="rafael ortega"/>
    <s v="TECUTRN20C"/>
    <s v="Superficie Escritorio Roble Negro 200x70 Clasico"/>
    <n v="1"/>
    <x v="1"/>
    <x v="1"/>
    <x v="14"/>
    <x v="0"/>
    <s v="Envioclick- Coordinadora"/>
    <s v="2201129 - 84150778902"/>
    <d v="2024-02-19T00:00:00"/>
    <d v="2024-02-21T00:00:00"/>
    <x v="0"/>
    <n v="0"/>
    <n v="2"/>
    <x v="1"/>
    <n v="25521"/>
    <n v="9479"/>
  </r>
  <r>
    <d v="2024-02-19T00:00:00"/>
    <x v="1"/>
    <n v="8"/>
    <n v="1909"/>
    <x v="0"/>
    <s v="rafael ortega"/>
    <s v="TECURN"/>
    <s v="Repisa TECU  Negro (Wengue)"/>
    <n v="1"/>
    <x v="2"/>
    <x v="1"/>
    <x v="14"/>
    <x v="0"/>
    <s v="Envioclick- Coordinadora"/>
    <s v="2201116 -84150778895"/>
    <d v="2024-02-19T00:00:00"/>
    <d v="2024-02-21T00:00:00"/>
    <x v="0"/>
    <n v="0"/>
    <n v="2"/>
    <x v="1"/>
    <n v="22355"/>
    <n v="2645"/>
  </r>
  <r>
    <d v="2024-02-19T00:00:00"/>
    <x v="1"/>
    <n v="8"/>
    <n v="1910"/>
    <x v="0"/>
    <s v="Yornel Romero"/>
    <s v="TECU2FNG"/>
    <s v="Electric Standing Desk GO Negro"/>
    <n v="1"/>
    <x v="0"/>
    <x v="1"/>
    <x v="1"/>
    <x v="0"/>
    <s v="Envioclick- Coordinadora"/>
    <s v="2201138 - 84150778907"/>
    <d v="2024-02-19T00:00:00"/>
    <d v="2024-02-20T00:00:00"/>
    <x v="0"/>
    <n v="0"/>
    <n v="1"/>
    <x v="1"/>
    <n v="40734"/>
    <n v="-734"/>
  </r>
  <r>
    <d v="2024-02-19T00:00:00"/>
    <x v="1"/>
    <n v="8"/>
    <n v="1910"/>
    <x v="0"/>
    <s v="Yornel Romero"/>
    <s v="TECUTCC4C"/>
    <s v="Superficie Escritorio Miel 140x70 Clasico"/>
    <n v="1"/>
    <x v="1"/>
    <x v="1"/>
    <x v="1"/>
    <x v="0"/>
    <s v="Envioclick- Coordinadora"/>
    <s v="2201139 - 84150778908"/>
    <d v="2024-02-19T00:00:00"/>
    <d v="2024-02-20T00:00:00"/>
    <x v="0"/>
    <n v="0"/>
    <n v="1"/>
    <x v="1"/>
    <n v="22988"/>
    <n v="12012"/>
  </r>
  <r>
    <d v="2024-02-19T00:00:00"/>
    <x v="1"/>
    <n v="8"/>
    <n v="1911"/>
    <x v="0"/>
    <s v="Sergio Daniel Lozano Garcia"/>
    <s v="TECULFN2"/>
    <s v="Electric Standing Desk | Escritorio Ajustable En L Frame Negro 2.0"/>
    <n v="1"/>
    <x v="0"/>
    <x v="0"/>
    <x v="3"/>
    <x v="0"/>
    <s v="Envioclick- Coordinadora"/>
    <s v="2201160 - 84150778912"/>
    <d v="2024-02-19T00:00:00"/>
    <d v="2024-02-20T00:00:00"/>
    <x v="0"/>
    <n v="0"/>
    <n v="1"/>
    <x v="1"/>
    <n v="60937"/>
    <n v="-20937"/>
  </r>
  <r>
    <d v="2024-02-19T00:00:00"/>
    <x v="1"/>
    <n v="8"/>
    <n v="1911"/>
    <x v="0"/>
    <s v="Sergio Daniel Lozano Garcia"/>
    <s v="TECUTLCCS"/>
    <s v="Superficie Escritorio en L Caramelo Set completo"/>
    <n v="1"/>
    <x v="1"/>
    <x v="0"/>
    <x v="3"/>
    <x v="0"/>
    <s v="Envioclick- Coordinadora"/>
    <s v="2201161 - 84150778913"/>
    <d v="2024-02-19T00:00:00"/>
    <d v="2024-02-20T00:00:00"/>
    <x v="0"/>
    <n v="0"/>
    <n v="1"/>
    <x v="1"/>
    <n v="25521"/>
    <n v="9479"/>
  </r>
  <r>
    <d v="2024-02-20T00:00:00"/>
    <x v="1"/>
    <n v="8"/>
    <n v="1912"/>
    <x v="0"/>
    <s v="Ricardo Trejos Restrepo"/>
    <s v="TECU3FNPRO"/>
    <s v="Electric Standing Desk  PRO Negro"/>
    <n v="1"/>
    <x v="0"/>
    <x v="0"/>
    <x v="3"/>
    <x v="0"/>
    <s v="Envioclick- Coordinadora"/>
    <s v="2204053 - 84150780333"/>
    <d v="2024-02-20T00:00:00"/>
    <d v="2024-02-21T00:00:00"/>
    <x v="0"/>
    <n v="0"/>
    <n v="1"/>
    <x v="1"/>
    <n v="42002"/>
    <n v="-2002"/>
  </r>
  <r>
    <d v="2024-02-20T00:00:00"/>
    <x v="1"/>
    <n v="8"/>
    <n v="1912"/>
    <x v="0"/>
    <s v="Ricardo Trejos Restrepo"/>
    <s v="TECUTCC8M"/>
    <s v="Superficie Escritorio Miel 180x70 Moderno"/>
    <n v="1"/>
    <x v="1"/>
    <x v="0"/>
    <x v="3"/>
    <x v="0"/>
    <s v="Envioclick- Coordinadora"/>
    <s v="2204054 - 84150780334"/>
    <d v="2024-02-20T00:00:00"/>
    <d v="2024-02-21T00:00:00"/>
    <x v="0"/>
    <n v="0"/>
    <n v="1"/>
    <x v="1"/>
    <n v="25521"/>
    <n v="9479"/>
  </r>
  <r>
    <d v="2024-02-20T00:00:00"/>
    <x v="1"/>
    <n v="8"/>
    <n v="1912"/>
    <x v="0"/>
    <s v="Ricardo Trejos Restrepo"/>
    <s v="TECURCC"/>
    <s v="Repisa TECU  Miel"/>
    <n v="1"/>
    <x v="2"/>
    <x v="0"/>
    <x v="3"/>
    <x v="0"/>
    <s v="Envioclick- Coordinadora"/>
    <s v="2204067 - 84150780338"/>
    <d v="2024-02-20T00:00:00"/>
    <d v="2024-02-21T00:00:00"/>
    <x v="0"/>
    <n v="0"/>
    <n v="1"/>
    <x v="1"/>
    <n v="22355"/>
    <n v="2645"/>
  </r>
  <r>
    <d v="2024-02-20T00:00:00"/>
    <x v="1"/>
    <n v="8"/>
    <n v="1913"/>
    <x v="0"/>
    <s v="Harold Carvajal"/>
    <s v="TECU2FNG"/>
    <s v="Electric Standing Desk GO Negro"/>
    <n v="1"/>
    <x v="0"/>
    <x v="1"/>
    <x v="15"/>
    <x v="0"/>
    <s v="Envioclick- Coordinadora"/>
    <s v="2204032 - 84150780327"/>
    <d v="2024-02-20T00:00:00"/>
    <d v="2024-02-21T00:00:00"/>
    <x v="0"/>
    <n v="0"/>
    <n v="1"/>
    <x v="1"/>
    <n v="52519"/>
    <n v="-12519"/>
  </r>
  <r>
    <d v="2024-02-20T00:00:00"/>
    <x v="1"/>
    <n v="8"/>
    <n v="1913"/>
    <x v="0"/>
    <s v="Harold Carvajal"/>
    <s v="TECUTCC4C"/>
    <s v="Superficie Escritorio Miel 140x70 Clasico"/>
    <n v="1"/>
    <x v="1"/>
    <x v="1"/>
    <x v="15"/>
    <x v="0"/>
    <s v="Envioclick- Coordinadora"/>
    <s v="2204033 - 84150780329"/>
    <d v="2024-02-20T00:00:00"/>
    <d v="2024-02-21T00:00:00"/>
    <x v="0"/>
    <n v="0"/>
    <n v="1"/>
    <x v="1"/>
    <n v="32668"/>
    <n v="2332"/>
  </r>
  <r>
    <d v="2024-02-20T00:00:00"/>
    <x v="1"/>
    <n v="8"/>
    <n v="1914"/>
    <x v="0"/>
    <s v="Jeffrey Hooker"/>
    <s v="TECURCO"/>
    <s v="Repisa TECU  Caramelo"/>
    <n v="1"/>
    <x v="2"/>
    <x v="1"/>
    <x v="1"/>
    <x v="0"/>
    <s v="Envioclick- Coordinadora"/>
    <s v="2204040 - 84150780332"/>
    <d v="2024-02-20T00:00:00"/>
    <d v="2024-02-21T00:00:00"/>
    <x v="0"/>
    <n v="0"/>
    <n v="1"/>
    <x v="1"/>
    <n v="22355"/>
    <n v="2645"/>
  </r>
  <r>
    <d v="2024-02-21T00:00:00"/>
    <x v="1"/>
    <n v="8"/>
    <n v="1915"/>
    <x v="0"/>
    <s v="Andres Felipe Torres Chamorro"/>
    <s v="TECU3FNPRO"/>
    <s v="Electric Standing Desk  PRO Negro"/>
    <n v="1"/>
    <x v="0"/>
    <x v="1"/>
    <x v="1"/>
    <x v="0"/>
    <s v="Envioclick- Coordinadora"/>
    <s v="2206641 - 84150781729"/>
    <d v="2024-02-21T00:00:00"/>
    <d v="2024-02-22T00:00:00"/>
    <x v="0"/>
    <n v="0"/>
    <n v="1"/>
    <x v="1"/>
    <n v="42002"/>
    <n v="-2002"/>
  </r>
  <r>
    <d v="2024-02-21T00:00:00"/>
    <x v="1"/>
    <n v="8"/>
    <n v="1915"/>
    <x v="0"/>
    <s v="Andres Felipe Torres Chamorro"/>
    <s v="TECUTCO20C"/>
    <s v="Superficie Escritorio Caramelo 200x70 Clasico"/>
    <n v="1"/>
    <x v="1"/>
    <x v="1"/>
    <x v="1"/>
    <x v="0"/>
    <s v="Envioclick- Coordinadora"/>
    <s v="2206642 - 84150781730"/>
    <d v="2024-02-21T00:00:00"/>
    <d v="2024-02-22T00:00:00"/>
    <x v="0"/>
    <n v="0"/>
    <n v="1"/>
    <x v="1"/>
    <n v="25521"/>
    <n v="9479"/>
  </r>
  <r>
    <d v="2024-02-21T00:00:00"/>
    <x v="1"/>
    <n v="8"/>
    <n v="1915"/>
    <x v="0"/>
    <s v="Andres Felipe Torres Chamorro"/>
    <s v="TECURCO"/>
    <s v="Repisa TECU  Caramelo"/>
    <n v="1"/>
    <x v="2"/>
    <x v="1"/>
    <x v="1"/>
    <x v="0"/>
    <s v="Envioclick- Coordinadora"/>
    <s v="2206625 - 84150781717"/>
    <d v="2024-02-21T00:00:00"/>
    <d v="2024-02-22T00:00:00"/>
    <x v="0"/>
    <n v="0"/>
    <n v="1"/>
    <x v="1"/>
    <n v="22355"/>
    <n v="2645"/>
  </r>
  <r>
    <d v="2024-02-21T00:00:00"/>
    <x v="1"/>
    <n v="8"/>
    <n v="1915"/>
    <x v="0"/>
    <s v="Andres Felipe Torres Chamorro"/>
    <s v="TECU2FNG"/>
    <s v="Electric Standing Desk GO Negro"/>
    <n v="1"/>
    <x v="0"/>
    <x v="1"/>
    <x v="1"/>
    <x v="0"/>
    <s v="Envioclick- Coordinadora"/>
    <s v="2206663 - 84150781741"/>
    <d v="2024-02-21T00:00:00"/>
    <d v="2024-02-22T00:00:00"/>
    <x v="0"/>
    <n v="0"/>
    <n v="1"/>
    <x v="1"/>
    <n v="40734"/>
    <n v="-734"/>
  </r>
  <r>
    <d v="2024-02-21T00:00:00"/>
    <x v="1"/>
    <n v="8"/>
    <n v="1915"/>
    <x v="0"/>
    <s v="Andres Felipe Torres Chamorro"/>
    <s v="TECUTCO2C"/>
    <s v="Superficie Escritorio Caramelo 120x70 Clasico Small"/>
    <n v="1"/>
    <x v="1"/>
    <x v="1"/>
    <x v="1"/>
    <x v="0"/>
    <s v="Envioclick- Coordinadora"/>
    <s v="2206665 - 84150781742"/>
    <d v="2024-02-21T00:00:00"/>
    <d v="2024-02-22T00:00:00"/>
    <x v="0"/>
    <n v="0"/>
    <n v="1"/>
    <x v="1"/>
    <n v="22988"/>
    <n v="12012"/>
  </r>
  <r>
    <d v="2024-02-21T00:00:00"/>
    <x v="1"/>
    <n v="8"/>
    <n v="1915"/>
    <x v="0"/>
    <s v="Andres Felipe Torres Chamorro"/>
    <s v="TECUCT"/>
    <s v="TECU bandeja de cables"/>
    <n v="2"/>
    <x v="4"/>
    <x v="1"/>
    <x v="1"/>
    <x v="0"/>
    <s v="Envioclick- Coordinadora"/>
    <s v="2208571 - 84150782878"/>
    <d v="2024-02-21T00:00:00"/>
    <d v="2024-02-22T00:00:00"/>
    <x v="0"/>
    <n v="0"/>
    <n v="1"/>
    <x v="1"/>
    <n v="24855"/>
    <n v="145"/>
  </r>
  <r>
    <d v="2024-02-22T00:00:00"/>
    <x v="1"/>
    <n v="8"/>
    <n v="1916"/>
    <x v="0"/>
    <s v="Laura María Alvarez Manrique"/>
    <s v="TECU2FNG"/>
    <s v="Electric Standing Desk GO Negro"/>
    <n v="1"/>
    <x v="0"/>
    <x v="0"/>
    <x v="10"/>
    <x v="0"/>
    <s v="Envioclick- Coordinadora"/>
    <s v="2210171 - 84150783706"/>
    <d v="2024-02-22T00:00:00"/>
    <d v="2024-02-23T00:00:00"/>
    <x v="0"/>
    <n v="0"/>
    <n v="1"/>
    <x v="1"/>
    <n v="40734"/>
    <n v="-734"/>
  </r>
  <r>
    <d v="2024-02-22T00:00:00"/>
    <x v="1"/>
    <n v="8"/>
    <n v="1916"/>
    <x v="0"/>
    <s v="Laura María Alvarez Manrique"/>
    <s v="TECUTCC4C"/>
    <s v="Superficie Escritorio Miel 140x70 Clasico"/>
    <n v="1"/>
    <x v="1"/>
    <x v="0"/>
    <x v="10"/>
    <x v="0"/>
    <s v="Envioclick- Coordinadora"/>
    <s v="2210172 - 84150783707"/>
    <d v="2024-02-22T00:00:00"/>
    <d v="2024-02-23T00:00:00"/>
    <x v="0"/>
    <n v="0"/>
    <n v="1"/>
    <x v="1"/>
    <n v="22988"/>
    <n v="12012"/>
  </r>
  <r>
    <d v="2024-02-22T00:00:00"/>
    <x v="1"/>
    <n v="8"/>
    <n v="1917"/>
    <x v="0"/>
    <s v="Maria Alejandra Gomez Castro"/>
    <s v="TECU3FBRO"/>
    <s v="Electric Standing Desk  PRO Blanco"/>
    <n v="1"/>
    <x v="0"/>
    <x v="1"/>
    <x v="1"/>
    <x v="0"/>
    <s v="Envioclick- Coordinadora"/>
    <s v="2211845 - 84150784618"/>
    <d v="2024-02-22T00:00:00"/>
    <d v="2024-02-23T00:00:00"/>
    <x v="0"/>
    <n v="0"/>
    <n v="1"/>
    <x v="1"/>
    <n v="42002"/>
    <n v="-2002"/>
  </r>
  <r>
    <d v="2024-02-22T00:00:00"/>
    <x v="1"/>
    <n v="8"/>
    <n v="1917"/>
    <x v="0"/>
    <s v="Maria Alejandra Gomez Castro"/>
    <s v="TECUTCC5C"/>
    <s v="Superficie Escritorio Miel 150x70 Clasico"/>
    <n v="1"/>
    <x v="1"/>
    <x v="1"/>
    <x v="1"/>
    <x v="0"/>
    <s v="Envioclick- Coordinadora"/>
    <s v="2211848 - 84150784619"/>
    <d v="2024-02-22T00:00:00"/>
    <d v="2024-02-23T00:00:00"/>
    <x v="0"/>
    <n v="0"/>
    <n v="1"/>
    <x v="1"/>
    <n v="22988"/>
    <n v="12012"/>
  </r>
  <r>
    <d v="2024-02-22T00:00:00"/>
    <x v="1"/>
    <n v="8"/>
    <n v="1917"/>
    <x v="0"/>
    <s v="Maria Alejandra Gomez Castro"/>
    <s v="TECURCC"/>
    <s v="Repisa TECU  Miel"/>
    <n v="1"/>
    <x v="2"/>
    <x v="1"/>
    <x v="1"/>
    <x v="0"/>
    <s v="Envioclick- Coordinadora"/>
    <s v="2211640 - 84150784479"/>
    <d v="2024-02-22T00:00:00"/>
    <d v="2024-02-23T00:00:00"/>
    <x v="0"/>
    <n v="0"/>
    <n v="1"/>
    <x v="1"/>
    <n v="22355"/>
    <n v="2645"/>
  </r>
  <r>
    <d v="2024-02-26T00:00:00"/>
    <x v="1"/>
    <n v="9"/>
    <n v="1918"/>
    <x v="0"/>
    <s v="Daniel Arias"/>
    <s v="TECU3FNPRO"/>
    <s v="Electric Standing Desk  PRO Negro"/>
    <n v="1"/>
    <x v="0"/>
    <x v="1"/>
    <x v="1"/>
    <x v="0"/>
    <s v="Envioclick- Coordinadora"/>
    <s v="2219321 – 84150788412"/>
    <d v="2024-02-26T00:00:00"/>
    <d v="2024-02-27T00:00:00"/>
    <x v="0"/>
    <n v="0"/>
    <n v="1"/>
    <x v="1"/>
    <n v="42002"/>
    <n v="-2002"/>
  </r>
  <r>
    <d v="2024-02-26T00:00:00"/>
    <x v="1"/>
    <n v="9"/>
    <n v="1918"/>
    <x v="0"/>
    <s v="Daniel Arias"/>
    <s v="TECUTCC3C"/>
    <s v="Superficie Escritorio Miel 130x70 Clasico"/>
    <n v="1"/>
    <x v="1"/>
    <x v="1"/>
    <x v="1"/>
    <x v="0"/>
    <s v="Envioclick- Coordinadora"/>
    <s v="2219323 – 84150788414"/>
    <d v="2024-02-26T00:00:00"/>
    <d v="2024-02-27T00:00:00"/>
    <x v="0"/>
    <n v="0"/>
    <n v="1"/>
    <x v="1"/>
    <n v="27422"/>
    <n v="7578"/>
  </r>
  <r>
    <d v="2024-02-26T00:00:00"/>
    <x v="1"/>
    <n v="9"/>
    <n v="1918"/>
    <x v="0"/>
    <s v="Daniel Arias"/>
    <s v="TECURCC"/>
    <s v="Repisa TECU  Miel"/>
    <n v="1"/>
    <x v="2"/>
    <x v="1"/>
    <x v="1"/>
    <x v="0"/>
    <s v="Envioclick- Coordinadora"/>
    <s v="2219341 – 84150788431"/>
    <d v="2024-02-26T00:00:00"/>
    <d v="2024-02-27T00:00:00"/>
    <x v="0"/>
    <n v="0"/>
    <n v="1"/>
    <x v="1"/>
    <n v="22355"/>
    <n v="2645"/>
  </r>
  <r>
    <d v="2024-02-26T00:00:00"/>
    <x v="1"/>
    <n v="9"/>
    <n v="1919"/>
    <x v="0"/>
    <s v="Laura Alvarez"/>
    <s v="TECUACC"/>
    <s v="Archivador TECU  Miel"/>
    <n v="1"/>
    <x v="3"/>
    <x v="0"/>
    <x v="10"/>
    <x v="0"/>
    <s v="Envioclick- Envia"/>
    <s v="2230072 - 954100918778"/>
    <d v="2024-02-29T00:00:00"/>
    <d v="2024-03-01T00:00:00"/>
    <x v="0"/>
    <n v="3"/>
    <n v="4"/>
    <x v="0"/>
    <n v="57224"/>
    <n v="-7224"/>
  </r>
  <r>
    <d v="2024-02-26T00:00:00"/>
    <x v="1"/>
    <n v="9"/>
    <n v="1919"/>
    <x v="0"/>
    <s v="Laura Alvarez"/>
    <s v="TECUBDPM"/>
    <s v="TECU Desk Pad B Negro Café Miel"/>
    <n v="1"/>
    <x v="4"/>
    <x v="0"/>
    <x v="10"/>
    <x v="0"/>
    <s v="Envioclick - Envia"/>
    <s v="2230072 - 954100918778"/>
    <d v="2024-02-29T00:00:00"/>
    <d v="2024-03-01T00:00:00"/>
    <x v="0"/>
    <n v="3"/>
    <n v="4"/>
    <x v="0"/>
    <n v="0"/>
    <n v="50000"/>
  </r>
  <r>
    <d v="2024-02-26T00:00:00"/>
    <x v="1"/>
    <n v="9"/>
    <n v="1920"/>
    <x v="0"/>
    <s v="Cristian Blandon"/>
    <s v="TECU2FNG"/>
    <s v="Electric Standing Desk GO Negro"/>
    <n v="1"/>
    <x v="0"/>
    <x v="1"/>
    <x v="1"/>
    <x v="0"/>
    <s v="Envioclick- Coordinadora"/>
    <s v="2219410 – 84150788480"/>
    <d v="2024-02-26T00:00:00"/>
    <d v="2024-02-27T00:00:00"/>
    <x v="0"/>
    <n v="0"/>
    <n v="1"/>
    <x v="1"/>
    <n v="40734"/>
    <n v="-734"/>
  </r>
  <r>
    <d v="2024-02-26T00:00:00"/>
    <x v="1"/>
    <n v="9"/>
    <n v="1920"/>
    <x v="0"/>
    <s v="Cristian Blandon"/>
    <s v="TECUTRN4C"/>
    <s v="Superficie Escritorio Roble Negro 140x70 Clasico"/>
    <n v="1"/>
    <x v="1"/>
    <x v="1"/>
    <x v="1"/>
    <x v="0"/>
    <s v="Envioclick- Coordinadora"/>
    <s v="2219412 – 84150788481"/>
    <d v="2024-02-26T00:00:00"/>
    <d v="2024-02-27T00:00:00"/>
    <x v="0"/>
    <n v="0"/>
    <n v="1"/>
    <x v="1"/>
    <n v="22988"/>
    <n v="12012"/>
  </r>
  <r>
    <d v="2024-02-26T00:00:00"/>
    <x v="1"/>
    <n v="9"/>
    <n v="1920"/>
    <x v="0"/>
    <s v="Cristian Blandon"/>
    <s v="TECUBDPA"/>
    <s v="TECU Desk Pad B Negro Azul"/>
    <n v="1"/>
    <x v="4"/>
    <x v="1"/>
    <x v="1"/>
    <x v="0"/>
    <s v="Envioclick- Coordinadora"/>
    <s v="2219425 – 84150788492"/>
    <d v="2024-02-26T00:00:00"/>
    <d v="2024-02-27T00:00:00"/>
    <x v="0"/>
    <n v="0"/>
    <n v="1"/>
    <x v="1"/>
    <n v="16131"/>
    <n v="33869"/>
  </r>
  <r>
    <d v="2024-02-26T00:00:00"/>
    <x v="1"/>
    <n v="9"/>
    <n v="1921"/>
    <x v="0"/>
    <s v="Fiorella Tapia Pizo"/>
    <s v="TECU2FNG"/>
    <s v="Electric Standing Desk GO Negro"/>
    <n v="1"/>
    <x v="0"/>
    <x v="4"/>
    <x v="5"/>
    <x v="0"/>
    <s v="Envioclick- Coordinadora"/>
    <s v="2219518 – 84150788537"/>
    <d v="2024-02-26T00:00:00"/>
    <d v="2024-02-27T00:00:00"/>
    <x v="0"/>
    <n v="0"/>
    <n v="1"/>
    <x v="1"/>
    <n v="40734"/>
    <n v="-734"/>
  </r>
  <r>
    <d v="2024-02-26T00:00:00"/>
    <x v="1"/>
    <n v="9"/>
    <n v="1921"/>
    <x v="0"/>
    <s v="Fiorella Tapia Pizo"/>
    <s v="TECUTCC4C"/>
    <s v="Superficie Escritorio Miel 140x70 Clasico"/>
    <n v="1"/>
    <x v="1"/>
    <x v="4"/>
    <x v="5"/>
    <x v="0"/>
    <s v="Envioclick- Coordinadora"/>
    <s v="2219522 – 84150788540"/>
    <d v="2024-02-26T00:00:00"/>
    <d v="2024-02-27T00:00:00"/>
    <x v="0"/>
    <n v="0"/>
    <n v="1"/>
    <x v="1"/>
    <n v="22988"/>
    <n v="12012"/>
  </r>
  <r>
    <d v="2024-02-26T00:00:00"/>
    <x v="1"/>
    <n v="9"/>
    <n v="1922"/>
    <x v="0"/>
    <s v="John Pérez"/>
    <s v="TECU2FNG"/>
    <s v="Electric Standing Desk GO Negro"/>
    <n v="1"/>
    <x v="0"/>
    <x v="4"/>
    <x v="5"/>
    <x v="0"/>
    <s v="Envioclick- Coordinadora"/>
    <s v="2224185 – 84150791179"/>
    <d v="2024-02-27T00:00:00"/>
    <d v="2024-02-28T00:00:00"/>
    <x v="0"/>
    <n v="1"/>
    <n v="2"/>
    <x v="1"/>
    <n v="40734"/>
    <n v="-734"/>
  </r>
  <r>
    <d v="2024-02-26T00:00:00"/>
    <x v="1"/>
    <n v="9"/>
    <n v="1922"/>
    <x v="0"/>
    <s v="John Pérez"/>
    <s v="TECUTRN2C"/>
    <s v="Superficie Escritorio Roble Negro 120x70 Clasico Small"/>
    <n v="1"/>
    <x v="1"/>
    <x v="4"/>
    <x v="5"/>
    <x v="0"/>
    <s v="Envioclick- Coordinadora"/>
    <s v="2219522 – 84150788540"/>
    <d v="2024-02-27T00:00:00"/>
    <d v="2024-02-28T00:00:00"/>
    <x v="0"/>
    <n v="1"/>
    <n v="2"/>
    <x v="1"/>
    <n v="22988"/>
    <n v="12012"/>
  </r>
  <r>
    <d v="2024-02-26T00:00:00"/>
    <x v="1"/>
    <n v="9"/>
    <n v="1923"/>
    <x v="0"/>
    <s v="Engie Ruge"/>
    <s v="TECU3FNPRO"/>
    <s v="Electric Standing Desk  PRO Negro"/>
    <n v="1"/>
    <x v="0"/>
    <x v="1"/>
    <x v="1"/>
    <x v="0"/>
    <s v="Envioclick- Coordinadora"/>
    <s v="2223254 – 84150790646"/>
    <d v="2024-02-27T00:00:00"/>
    <d v="2024-02-28T00:00:00"/>
    <x v="0"/>
    <n v="1"/>
    <n v="2"/>
    <x v="1"/>
    <n v="42002"/>
    <n v="-2002"/>
  </r>
  <r>
    <d v="2024-02-26T00:00:00"/>
    <x v="1"/>
    <n v="9"/>
    <n v="1923"/>
    <x v="0"/>
    <s v="Engie Ruge"/>
    <s v="TECUTCC6C"/>
    <s v="Superficie Escritorio Miel 160x70 Clasico"/>
    <n v="1"/>
    <x v="1"/>
    <x v="1"/>
    <x v="1"/>
    <x v="0"/>
    <s v="Envioclick- Coordinadora"/>
    <s v="2223256 – 84150790648"/>
    <d v="2024-02-27T00:00:00"/>
    <d v="2024-02-28T00:00:00"/>
    <x v="0"/>
    <n v="1"/>
    <n v="2"/>
    <x v="1"/>
    <n v="22988"/>
    <n v="12012"/>
  </r>
  <r>
    <d v="2024-02-26T00:00:00"/>
    <x v="1"/>
    <n v="9"/>
    <n v="1923"/>
    <x v="0"/>
    <s v="Engie Ruge"/>
    <s v="TECURCC"/>
    <s v="Repisa TECU  Miel"/>
    <n v="1"/>
    <x v="2"/>
    <x v="1"/>
    <x v="1"/>
    <x v="0"/>
    <s v="Envioclick- Coordinadora"/>
    <s v="2223291 – 84150790673"/>
    <d v="2024-02-27T00:00:00"/>
    <d v="2024-02-28T00:00:00"/>
    <x v="0"/>
    <n v="1"/>
    <n v="2"/>
    <x v="1"/>
    <n v="22355"/>
    <n v="2645"/>
  </r>
  <r>
    <d v="2024-02-26T00:00:00"/>
    <x v="1"/>
    <n v="9"/>
    <n v="1923"/>
    <x v="0"/>
    <s v="Engie Ruge"/>
    <s v="TECU3FNPRO"/>
    <s v="Electric Standing Desk  PRO Negro"/>
    <n v="1"/>
    <x v="0"/>
    <x v="1"/>
    <x v="1"/>
    <x v="0"/>
    <s v="Envioclick- Coordinadora"/>
    <s v="2223279 – 84150790666"/>
    <d v="2024-02-27T00:00:00"/>
    <d v="2024-02-28T00:00:00"/>
    <x v="0"/>
    <n v="1"/>
    <n v="2"/>
    <x v="1"/>
    <n v="42002"/>
    <n v="-2002"/>
  </r>
  <r>
    <d v="2024-02-26T00:00:00"/>
    <x v="1"/>
    <n v="9"/>
    <n v="1923"/>
    <x v="0"/>
    <s v="Engie Ruge"/>
    <s v="TECUTCC6C"/>
    <s v="Superficie Escritorio Miel 160x70 Clasico"/>
    <n v="1"/>
    <x v="1"/>
    <x v="1"/>
    <x v="1"/>
    <x v="0"/>
    <s v="Envioclick- Coordinadora"/>
    <s v="2223281 – 84150790668"/>
    <d v="2024-02-27T00:00:00"/>
    <d v="2024-02-28T00:00:00"/>
    <x v="0"/>
    <n v="1"/>
    <n v="2"/>
    <x v="1"/>
    <n v="22988"/>
    <n v="12012"/>
  </r>
  <r>
    <d v="2024-02-26T00:00:00"/>
    <x v="1"/>
    <n v="9"/>
    <n v="1923"/>
    <x v="0"/>
    <s v="Engie Ruge"/>
    <s v="TECURCC"/>
    <s v="Repisa TECU  Miel"/>
    <n v="1"/>
    <x v="2"/>
    <x v="1"/>
    <x v="1"/>
    <x v="0"/>
    <s v="Envioclick- Coordinadora"/>
    <s v="2223307 – 84150790683"/>
    <d v="2024-02-27T00:00:00"/>
    <d v="2024-02-28T00:00:00"/>
    <x v="0"/>
    <n v="1"/>
    <n v="2"/>
    <x v="1"/>
    <n v="22355"/>
    <n v="2645"/>
  </r>
  <r>
    <d v="2024-02-27T00:00:00"/>
    <x v="1"/>
    <n v="9"/>
    <n v="1924"/>
    <x v="0"/>
    <s v="Camilo Cruz"/>
    <s v="TECU2FNG"/>
    <s v="Electric Standing Desk GO Negro"/>
    <n v="1"/>
    <x v="0"/>
    <x v="1"/>
    <x v="1"/>
    <x v="0"/>
    <s v="Envioclick- Coordinadora"/>
    <s v="2226374 – 84150792383"/>
    <d v="2024-02-28T00:00:00"/>
    <d v="2024-02-29T00:00:00"/>
    <x v="0"/>
    <n v="1"/>
    <n v="2"/>
    <x v="1"/>
    <n v="40734"/>
    <n v="-734"/>
  </r>
  <r>
    <d v="2024-02-27T00:00:00"/>
    <x v="1"/>
    <n v="9"/>
    <n v="1924"/>
    <x v="0"/>
    <s v="Camilo Cruz"/>
    <s v="TECUTCO4C"/>
    <s v="Superficie Escritorio Caramelo 140x70 Clasico"/>
    <n v="1"/>
    <x v="1"/>
    <x v="1"/>
    <x v="1"/>
    <x v="0"/>
    <s v="Envioclick- Coordinadora"/>
    <s v="2226376 – 84150792385"/>
    <d v="2024-02-28T00:00:00"/>
    <d v="2024-02-29T00:00:00"/>
    <x v="0"/>
    <n v="1"/>
    <n v="2"/>
    <x v="1"/>
    <n v="22988"/>
    <n v="12012"/>
  </r>
  <r>
    <d v="2024-02-28T00:00:00"/>
    <x v="1"/>
    <n v="9"/>
    <n v="1925"/>
    <x v="0"/>
    <s v="Felipe Andrés Silva Gómez"/>
    <s v="TECU2FNG"/>
    <s v="Electric Standing Desk GO Negro"/>
    <n v="1"/>
    <x v="0"/>
    <x v="1"/>
    <x v="16"/>
    <x v="0"/>
    <s v="Envioclick- Coordinadora"/>
    <s v="2227849 – 84150793132"/>
    <d v="2024-02-28T00:00:00"/>
    <d v="2024-02-29T00:00:00"/>
    <x v="0"/>
    <n v="0"/>
    <n v="1"/>
    <x v="1"/>
    <n v="40734"/>
    <n v="-734"/>
  </r>
  <r>
    <d v="2024-02-28T00:00:00"/>
    <x v="1"/>
    <n v="9"/>
    <n v="1925"/>
    <x v="0"/>
    <s v="Felipe Andrés Silva Gómez"/>
    <s v="TECUTCO2C"/>
    <s v="Superficie Escritorio Caramelo 120x70 Clasico Small"/>
    <n v="1"/>
    <x v="1"/>
    <x v="1"/>
    <x v="16"/>
    <x v="0"/>
    <s v="Envioclick- Coordinadora"/>
    <s v="2227851 – 84150793134"/>
    <d v="2024-02-28T00:00:00"/>
    <d v="2024-02-29T00:00:00"/>
    <x v="0"/>
    <n v="0"/>
    <n v="1"/>
    <x v="1"/>
    <n v="22988"/>
    <n v="12012"/>
  </r>
  <r>
    <d v="2024-02-29T00:00:00"/>
    <x v="1"/>
    <n v="9"/>
    <n v="1926"/>
    <x v="0"/>
    <s v="Enteprise RM SAS"/>
    <s v="TECU3FNPRO"/>
    <s v="Electric Standing Desk  PRO Negro"/>
    <n v="1"/>
    <x v="0"/>
    <x v="0"/>
    <x v="3"/>
    <x v="0"/>
    <s v="Envioclick- Coordinadora"/>
    <s v="2230293 – 84150794510"/>
    <d v="2024-02-29T00:00:00"/>
    <d v="2024-03-01T00:00:00"/>
    <x v="0"/>
    <n v="0"/>
    <n v="1"/>
    <x v="1"/>
    <n v="42002"/>
    <n v="-2002"/>
  </r>
  <r>
    <d v="2024-02-29T00:00:00"/>
    <x v="1"/>
    <n v="9"/>
    <n v="1926"/>
    <x v="0"/>
    <s v="Enteprise RM SAS"/>
    <s v="TECUTCC6C"/>
    <s v="Superficie Escritorio Miel 160x70 Clasico"/>
    <n v="1"/>
    <x v="1"/>
    <x v="0"/>
    <x v="3"/>
    <x v="0"/>
    <s v="Envioclick- Coordinadora"/>
    <s v="2230296 – 84150794512"/>
    <d v="2024-02-29T00:00:00"/>
    <d v="2024-03-01T00:00:00"/>
    <x v="0"/>
    <n v="0"/>
    <n v="1"/>
    <x v="1"/>
    <n v="22988"/>
    <n v="12012"/>
  </r>
  <r>
    <d v="2024-02-29T00:00:00"/>
    <x v="1"/>
    <n v="9"/>
    <n v="1926"/>
    <x v="0"/>
    <s v="Enteprise RM SAS"/>
    <s v="TECURCC"/>
    <s v="Repisa TECU  Miel"/>
    <n v="1"/>
    <x v="2"/>
    <x v="0"/>
    <x v="3"/>
    <x v="0"/>
    <s v="Envioclick- Coordinadora"/>
    <s v="2230304 – 84150794517"/>
    <d v="2024-02-29T00:00:00"/>
    <d v="2024-03-01T00:00:00"/>
    <x v="0"/>
    <n v="0"/>
    <n v="1"/>
    <x v="1"/>
    <n v="22355"/>
    <n v="2645"/>
  </r>
  <r>
    <d v="2024-02-29T00:00:00"/>
    <x v="1"/>
    <n v="9"/>
    <n v="1927"/>
    <x v="0"/>
    <s v="Juan Felipe Remolina García"/>
    <s v="TECU3FNPRO"/>
    <s v="Electric Standing Desk  PRO Negro"/>
    <n v="1"/>
    <x v="0"/>
    <x v="7"/>
    <x v="17"/>
    <x v="0"/>
    <s v="Envioclick- Coordinadora"/>
    <s v="2234427 – 84150796700"/>
    <d v="2024-03-01T00:00:00"/>
    <d v="2024-03-04T00:00:00"/>
    <x v="0"/>
    <n v="1"/>
    <n v="3"/>
    <x v="1"/>
    <n v="54627"/>
    <n v="-14627"/>
  </r>
  <r>
    <d v="2024-02-29T00:00:00"/>
    <x v="1"/>
    <n v="9"/>
    <n v="1927"/>
    <x v="0"/>
    <s v="Juan Felipe Remolina García"/>
    <s v="TECUTRN5C"/>
    <s v="Superficie Escritorio Roble negro 150x70 Clasico"/>
    <n v="1"/>
    <x v="1"/>
    <x v="7"/>
    <x v="17"/>
    <x v="0"/>
    <s v="Envioclick- Coordinadora"/>
    <s v="2234428 – 84150796701"/>
    <d v="2024-03-01T00:00:00"/>
    <d v="2024-03-04T00:00:00"/>
    <x v="0"/>
    <n v="1"/>
    <n v="3"/>
    <x v="1"/>
    <n v="32668"/>
    <n v="2332"/>
  </r>
  <r>
    <d v="2024-02-29T00:00:00"/>
    <x v="1"/>
    <n v="9"/>
    <n v="1927"/>
    <x v="0"/>
    <s v="Juan Felipe Remolina García"/>
    <s v="TECURN"/>
    <s v="Repisa TECU  Negro (Wengue)"/>
    <n v="1"/>
    <x v="2"/>
    <x v="7"/>
    <x v="17"/>
    <x v="0"/>
    <s v="Envioclick- Coordinadora"/>
    <s v="2234297 – 84150796624"/>
    <d v="2024-03-01T00:00:00"/>
    <d v="2024-03-04T00:00:00"/>
    <x v="0"/>
    <n v="1"/>
    <n v="3"/>
    <x v="1"/>
    <n v="31613"/>
    <n v="-6613"/>
  </r>
  <r>
    <d v="2024-02-29T00:00:00"/>
    <x v="1"/>
    <n v="9"/>
    <n v="1928"/>
    <x v="0"/>
    <s v="Maria Angelica Sepulveda"/>
    <s v="TECU3FNPRO"/>
    <s v="Electric Standing Desk  PRO Negro"/>
    <n v="1"/>
    <x v="0"/>
    <x v="7"/>
    <x v="18"/>
    <x v="0"/>
    <s v="Envioclick- Coordinadora"/>
    <s v="2233657 – 84150796241"/>
    <d v="2024-03-01T00:00:00"/>
    <d v="2024-03-04T00:00:00"/>
    <x v="0"/>
    <n v="1"/>
    <n v="3"/>
    <x v="1"/>
    <n v="54627"/>
    <n v="-14627"/>
  </r>
  <r>
    <d v="2024-02-29T00:00:00"/>
    <x v="1"/>
    <n v="9"/>
    <n v="1928"/>
    <x v="0"/>
    <s v="Maria Angelica Sepulveda"/>
    <s v="TECUTCC3C"/>
    <s v="Superficie Escritorio Miel 130x70 Clasico"/>
    <n v="1"/>
    <x v="1"/>
    <x v="7"/>
    <x v="18"/>
    <x v="0"/>
    <s v="Envioclick- Coordinadora"/>
    <s v="2233659 – 84150796243"/>
    <d v="2024-03-01T00:00:00"/>
    <d v="2024-03-04T00:00:00"/>
    <x v="0"/>
    <n v="1"/>
    <n v="3"/>
    <x v="1"/>
    <n v="40047"/>
    <n v="-5047"/>
  </r>
  <r>
    <d v="2024-02-29T00:00:00"/>
    <x v="1"/>
    <n v="9"/>
    <n v="1928"/>
    <x v="0"/>
    <s v="Maria Angelica Sepulveda"/>
    <s v="TECURCC"/>
    <s v="Repisa TECU  Miel"/>
    <n v="1"/>
    <x v="2"/>
    <x v="7"/>
    <x v="18"/>
    <x v="0"/>
    <s v="Envioclick- Coordinadora"/>
    <s v="2233294 – 84150796020"/>
    <d v="2024-03-01T00:00:00"/>
    <d v="2024-03-04T00:00:00"/>
    <x v="0"/>
    <n v="1"/>
    <n v="3"/>
    <x v="1"/>
    <n v="31613"/>
    <n v="-6613"/>
  </r>
  <r>
    <d v="2024-03-04T00:00:00"/>
    <x v="2"/>
    <n v="10"/>
    <n v="1930"/>
    <x v="0"/>
    <s v="Jose Daniel Carranza Leguizamo"/>
    <s v="TECU3FNPRO"/>
    <s v="Electric Standing Desk  PRO Negro"/>
    <n v="1"/>
    <x v="0"/>
    <x v="1"/>
    <x v="1"/>
    <x v="0"/>
    <s v="Envioclick- Coordinadora"/>
    <s v="2238825 – 84150798494"/>
    <d v="2024-03-04T00:00:00"/>
    <d v="2024-03-06T00:00:00"/>
    <x v="0"/>
    <n v="0"/>
    <n v="2"/>
    <x v="1"/>
    <n v="42002"/>
    <n v="-2002"/>
  </r>
  <r>
    <d v="2024-03-04T00:00:00"/>
    <x v="2"/>
    <n v="10"/>
    <n v="1930"/>
    <x v="0"/>
    <s v="Jose Daniel Carranza Leguizamo"/>
    <s v="TECUTCO2C"/>
    <s v="Superficie Escritorio Caramelo 120x70 Clasico Small"/>
    <n v="1"/>
    <x v="1"/>
    <x v="1"/>
    <x v="1"/>
    <x v="0"/>
    <s v="Envioclick- Coordinadora"/>
    <s v="2238826 – 84150798495"/>
    <d v="2024-03-04T00:00:00"/>
    <d v="2024-03-07T00:00:00"/>
    <x v="0"/>
    <n v="0"/>
    <n v="3"/>
    <x v="1"/>
    <n v="27422"/>
    <n v="7578"/>
  </r>
  <r>
    <d v="2024-03-04T00:00:00"/>
    <x v="2"/>
    <n v="10"/>
    <n v="1930"/>
    <x v="0"/>
    <s v="Jose Daniel Carranza Leguizamo"/>
    <s v="TECURCO"/>
    <s v="Repisa TECU  Caramelo"/>
    <n v="1"/>
    <x v="2"/>
    <x v="1"/>
    <x v="1"/>
    <x v="0"/>
    <s v="Envioclick- Coordinadora"/>
    <s v="2238972 – 84150798628"/>
    <d v="2024-03-04T00:00:00"/>
    <d v="2024-03-05T00:00:00"/>
    <x v="0"/>
    <n v="0"/>
    <n v="1"/>
    <x v="1"/>
    <n v="22355"/>
    <n v="2645"/>
  </r>
  <r>
    <d v="2024-03-04T00:00:00"/>
    <x v="2"/>
    <n v="10"/>
    <n v="1931"/>
    <x v="0"/>
    <s v="Christian Felipe Jaimes Gonzalez"/>
    <s v="TECU3FNPRO"/>
    <s v="Electric Standing Desk  PRO Negro"/>
    <n v="1"/>
    <x v="0"/>
    <x v="0"/>
    <x v="3"/>
    <x v="0"/>
    <s v="Envioclick- Coordinadora"/>
    <s v="2241544 – 84150799796"/>
    <d v="2024-03-05T00:00:00"/>
    <d v="2024-03-06T00:00:00"/>
    <x v="0"/>
    <n v="1"/>
    <n v="2"/>
    <x v="1"/>
    <n v="42002"/>
    <n v="-2002"/>
  </r>
  <r>
    <d v="2024-03-04T00:00:00"/>
    <x v="2"/>
    <n v="10"/>
    <n v="1931"/>
    <x v="0"/>
    <s v="Christian Felipe Jaimes Gonzalez"/>
    <s v="TECUTCC6C"/>
    <s v="Superficie Escritorio Miel 160x70 Clasico"/>
    <n v="1"/>
    <x v="1"/>
    <x v="0"/>
    <x v="3"/>
    <x v="0"/>
    <s v="Envioclick- Coordinadora"/>
    <s v="2241545 – 84150799797"/>
    <d v="2024-03-05T00:00:00"/>
    <d v="2024-03-06T00:00:00"/>
    <x v="0"/>
    <n v="1"/>
    <n v="2"/>
    <x v="1"/>
    <n v="22988"/>
    <n v="12012"/>
  </r>
  <r>
    <d v="2024-03-04T00:00:00"/>
    <x v="2"/>
    <n v="10"/>
    <n v="1931"/>
    <x v="0"/>
    <s v="Christian Felipe Jaimes Gonzalez"/>
    <s v="TECURCC"/>
    <s v="Repisa TECU  Miel"/>
    <n v="1"/>
    <x v="2"/>
    <x v="0"/>
    <x v="3"/>
    <x v="0"/>
    <s v="Envioclick- Coordinadora"/>
    <s v="2241532 – 84150799789"/>
    <d v="2024-03-05T00:00:00"/>
    <d v="2024-03-06T00:00:00"/>
    <x v="0"/>
    <n v="1"/>
    <n v="2"/>
    <x v="1"/>
    <n v="22355"/>
    <n v="2645"/>
  </r>
  <r>
    <d v="2024-03-05T00:00:00"/>
    <x v="2"/>
    <n v="10"/>
    <n v="1932"/>
    <x v="0"/>
    <s v="Daniel Romero"/>
    <s v="TECU2FNG"/>
    <s v="Electric Standing Desk GO Negro"/>
    <n v="1"/>
    <x v="0"/>
    <x v="8"/>
    <x v="19"/>
    <x v="0"/>
    <s v="Envioclick- Coordinadora"/>
    <s v="2243461 – 84150800675"/>
    <d v="2024-03-06T00:00:00"/>
    <d v="2024-03-10T00:00:00"/>
    <x v="0"/>
    <n v="1"/>
    <n v="4"/>
    <x v="1"/>
    <n v="106410"/>
    <n v="-66410"/>
  </r>
  <r>
    <d v="2024-03-05T00:00:00"/>
    <x v="2"/>
    <n v="10"/>
    <n v="1932"/>
    <x v="0"/>
    <s v="Daniel Romero"/>
    <s v="TECUTCO4C"/>
    <s v="Superficie Escritorio Caramelo 140x70 Clasico"/>
    <n v="1"/>
    <x v="1"/>
    <x v="8"/>
    <x v="19"/>
    <x v="0"/>
    <s v="Envioclick- Coordinadora"/>
    <s v="2243464 – 84150800676"/>
    <d v="2024-03-06T00:00:00"/>
    <d v="2024-03-10T00:00:00"/>
    <x v="0"/>
    <n v="1"/>
    <n v="4"/>
    <x v="1"/>
    <n v="91830"/>
    <n v="-56830"/>
  </r>
  <r>
    <d v="2024-03-07T00:00:00"/>
    <x v="2"/>
    <n v="10"/>
    <n v="1933"/>
    <x v="0"/>
    <s v="Diego Andres Cardozo Gonzalez"/>
    <s v="TECU3FNPRO"/>
    <s v="Electric Standing Desk  PRO Negro"/>
    <n v="1"/>
    <x v="0"/>
    <x v="4"/>
    <x v="6"/>
    <x v="0"/>
    <s v="Envioclick- Coordinadora"/>
    <s v="2246193 - 84150802010"/>
    <d v="2024-03-07T00:00:00"/>
    <d v="2024-03-09T00:00:00"/>
    <x v="0"/>
    <n v="0"/>
    <n v="2"/>
    <x v="1"/>
    <n v="42002"/>
    <n v="-2002"/>
  </r>
  <r>
    <d v="2024-03-07T00:00:00"/>
    <x v="2"/>
    <n v="10"/>
    <n v="1933"/>
    <x v="0"/>
    <s v="Diego Andres Cardozo Gonzalez"/>
    <s v="TECUTCO20C"/>
    <s v="Superficie Escritorio Caramelo 200x70 Clasico"/>
    <n v="1"/>
    <x v="1"/>
    <x v="4"/>
    <x v="6"/>
    <x v="0"/>
    <s v="Envioclick- Coordinadora"/>
    <s v="2246194 - 84150802011"/>
    <d v="2024-03-07T00:00:00"/>
    <d v="2024-03-08T00:00:00"/>
    <x v="0"/>
    <n v="0"/>
    <n v="1"/>
    <x v="1"/>
    <n v="25521"/>
    <n v="9479"/>
  </r>
  <r>
    <d v="2024-03-07T00:00:00"/>
    <x v="2"/>
    <n v="10"/>
    <n v="1933"/>
    <x v="0"/>
    <s v="Diego Andres Cardozo Gonzalez"/>
    <s v="TECURCO"/>
    <s v="Repisa TECU  Caramelo"/>
    <n v="1"/>
    <x v="2"/>
    <x v="4"/>
    <x v="6"/>
    <x v="0"/>
    <s v="Envioclick- Coordinadora"/>
    <s v="2246187 - 84150802007"/>
    <d v="2024-03-07T00:00:00"/>
    <d v="2024-03-08T00:00:00"/>
    <x v="0"/>
    <n v="0"/>
    <n v="1"/>
    <x v="1"/>
    <n v="22355"/>
    <n v="2645"/>
  </r>
  <r>
    <d v="2024-03-07T00:00:00"/>
    <x v="2"/>
    <n v="10"/>
    <n v="1934"/>
    <x v="0"/>
    <s v="Camilo Cruz"/>
    <s v="TECURCO"/>
    <s v="Repisa TECU  Caramelo"/>
    <n v="1"/>
    <x v="2"/>
    <x v="1"/>
    <x v="1"/>
    <x v="0"/>
    <s v="Envioclick- Coordinadora"/>
    <s v="2246278 - 84150802062"/>
    <d v="2024-03-07T00:00:00"/>
    <d v="2024-03-08T00:00:00"/>
    <x v="0"/>
    <n v="0"/>
    <n v="1"/>
    <x v="1"/>
    <n v="22355"/>
    <n v="2645"/>
  </r>
  <r>
    <d v="2024-03-08T00:00:00"/>
    <x v="2"/>
    <n v="10"/>
    <n v="1935"/>
    <x v="0"/>
    <s v="Mauricio Jaramillo Marín"/>
    <s v="TECU3FGPRO"/>
    <s v="Electric Standing Desk  PRO Gris"/>
    <n v="1"/>
    <x v="0"/>
    <x v="1"/>
    <x v="1"/>
    <x v="0"/>
    <s v="Envioclick- Coordinadora"/>
    <s v="2248202 – 84150802925"/>
    <d v="2024-03-08T00:00:00"/>
    <d v="2024-03-11T00:00:00"/>
    <x v="0"/>
    <n v="0"/>
    <n v="2"/>
    <x v="1"/>
    <n v="42002"/>
    <n v="-2002"/>
  </r>
  <r>
    <d v="2024-03-11T00:00:00"/>
    <x v="2"/>
    <n v="11"/>
    <n v="1936"/>
    <x v="0"/>
    <s v="ANDREA BIBIANA LOPEZ CORTES"/>
    <s v="TECU2FNG"/>
    <s v="Electric Standing Desk GO Negro"/>
    <n v="1"/>
    <x v="0"/>
    <x v="1"/>
    <x v="1"/>
    <x v="0"/>
    <s v="Envioclick- Coordinadora"/>
    <s v="2251963 – 84150804581"/>
    <d v="2024-03-11T00:00:00"/>
    <d v="2024-03-12T00:00:00"/>
    <x v="0"/>
    <n v="0"/>
    <n v="1"/>
    <x v="1"/>
    <n v="40734"/>
    <n v="-734"/>
  </r>
  <r>
    <d v="2024-03-11T00:00:00"/>
    <x v="2"/>
    <n v="11"/>
    <n v="1936"/>
    <x v="0"/>
    <s v="ANDREA BIBIANA LOPEZ CORTES"/>
    <s v="TECUTCO2C"/>
    <s v="Superficie Escritorio Caramelo 120x70 Clasico Small"/>
    <n v="1"/>
    <x v="1"/>
    <x v="1"/>
    <x v="1"/>
    <x v="0"/>
    <s v="Envioclick- Coordinadora"/>
    <s v="2251964 – 84150804582"/>
    <d v="2024-03-11T00:00:00"/>
    <d v="2024-03-12T00:00:00"/>
    <x v="0"/>
    <n v="0"/>
    <n v="1"/>
    <x v="1"/>
    <n v="22988"/>
    <n v="12012"/>
  </r>
  <r>
    <d v="2024-03-11T00:00:00"/>
    <x v="2"/>
    <n v="11"/>
    <n v="1937"/>
    <x v="0"/>
    <s v="Alejandro Rodriguez"/>
    <s v="TECU3FGPRO"/>
    <s v="Electric Standing Desk  PRO Gris"/>
    <n v="1"/>
    <x v="0"/>
    <x v="1"/>
    <x v="1"/>
    <x v="0"/>
    <s v="Envioclick- Coordinadora"/>
    <s v="2254974 – 84150806204"/>
    <d v="2024-03-12T00:00:00"/>
    <d v="2024-03-13T00:00:00"/>
    <x v="0"/>
    <n v="1"/>
    <n v="2"/>
    <x v="1"/>
    <n v="42002"/>
    <n v="-2002"/>
  </r>
  <r>
    <d v="2024-03-11T00:00:00"/>
    <x v="2"/>
    <n v="11"/>
    <n v="1937"/>
    <x v="0"/>
    <s v="Alejandro Rodriguez"/>
    <s v="TECUTCC5C"/>
    <s v="Superficie Escritorio Miel 150x70 Clasico"/>
    <n v="1"/>
    <x v="1"/>
    <x v="1"/>
    <x v="1"/>
    <x v="0"/>
    <s v="Envioclick- Coordinadora"/>
    <s v="2254975 – 84150806205"/>
    <d v="2024-03-12T00:00:00"/>
    <d v="2024-03-13T00:00:00"/>
    <x v="0"/>
    <n v="1"/>
    <n v="2"/>
    <x v="1"/>
    <n v="22988"/>
    <n v="12012"/>
  </r>
  <r>
    <d v="2024-03-11T00:00:00"/>
    <x v="2"/>
    <n v="11"/>
    <n v="1937"/>
    <x v="0"/>
    <s v="Alejandro Rodriguez"/>
    <s v="TECURCC"/>
    <s v="Repisa TECU  Miel"/>
    <n v="1"/>
    <x v="2"/>
    <x v="1"/>
    <x v="1"/>
    <x v="0"/>
    <s v="Envioclick- Coordinadora"/>
    <s v="2254805 – 84150806136"/>
    <d v="2024-03-12T00:00:00"/>
    <d v="2024-03-13T00:00:00"/>
    <x v="0"/>
    <n v="1"/>
    <n v="2"/>
    <x v="1"/>
    <n v="22355"/>
    <n v="2645"/>
  </r>
  <r>
    <d v="2024-03-11T00:00:00"/>
    <x v="2"/>
    <n v="11"/>
    <n v="1937"/>
    <x v="0"/>
    <s v="Alejandro Rodriguez"/>
    <s v="TECUCT"/>
    <s v="TECU bandeja de cables"/>
    <n v="1"/>
    <x v="4"/>
    <x v="1"/>
    <x v="1"/>
    <x v="0"/>
    <s v="Envioclick- Coordinadora"/>
    <s v="2255159 – 84150806342"/>
    <d v="2024-03-12T00:00:00"/>
    <d v="2024-03-13T00:00:00"/>
    <x v="0"/>
    <n v="1"/>
    <n v="2"/>
    <x v="1"/>
    <n v="16631"/>
    <n v="8369"/>
  </r>
  <r>
    <d v="2024-03-12T00:00:00"/>
    <x v="2"/>
    <n v="11"/>
    <n v="1938"/>
    <x v="0"/>
    <s v="Jose Leonardo Nunez Amado"/>
    <s v="TECULFN2"/>
    <s v="Electric Standing Desk | Escritorio Ajustable En L Frame Negro 2.0"/>
    <n v="1"/>
    <x v="0"/>
    <x v="1"/>
    <x v="1"/>
    <x v="0"/>
    <s v="Envioclick- Coordinadora"/>
    <s v="2257379 - 84150807322"/>
    <d v="2024-03-13T00:00:00"/>
    <d v="2024-03-14T00:00:00"/>
    <x v="0"/>
    <n v="1"/>
    <n v="2"/>
    <x v="1"/>
    <n v="60937"/>
    <n v="-20937"/>
  </r>
  <r>
    <d v="2024-03-12T00:00:00"/>
    <x v="2"/>
    <n v="11"/>
    <n v="1938"/>
    <x v="0"/>
    <s v="Jose Leonardo Nunez Amado"/>
    <s v="TECUTLCCS"/>
    <s v="Superficie Escritorio en L Caramelo Set completo"/>
    <n v="1"/>
    <x v="1"/>
    <x v="1"/>
    <x v="1"/>
    <x v="0"/>
    <s v="Envioclick- Coordinadora"/>
    <s v="2257380 - 84150807323"/>
    <d v="2024-03-13T00:00:00"/>
    <d v="2024-03-14T00:00:00"/>
    <x v="0"/>
    <n v="1"/>
    <n v="2"/>
    <x v="1"/>
    <n v="25521"/>
    <n v="9479"/>
  </r>
  <r>
    <d v="2024-03-12T00:00:00"/>
    <x v="2"/>
    <n v="11"/>
    <n v="1938"/>
    <x v="0"/>
    <s v="Jose Leonardo Nunez Amado"/>
    <s v="TECUBDPA"/>
    <s v="TECU Desk Pad B Negro Azul"/>
    <n v="1"/>
    <x v="4"/>
    <x v="1"/>
    <x v="1"/>
    <x v="0"/>
    <s v="Envioclick- Coordinadora"/>
    <s v="2257052 - 84150807141"/>
    <d v="2024-03-13T00:00:00"/>
    <d v="2024-03-14T00:00:00"/>
    <x v="0"/>
    <n v="1"/>
    <n v="2"/>
    <x v="1"/>
    <n v="16131"/>
    <n v="33869"/>
  </r>
  <r>
    <d v="2024-03-12T00:00:00"/>
    <x v="2"/>
    <n v="11"/>
    <n v="1938"/>
    <x v="0"/>
    <s v="Jose Leonardo Nunez Amado"/>
    <s v="TECUBLS"/>
    <s v="TECU Laptop Stand B"/>
    <n v="1"/>
    <x v="4"/>
    <x v="1"/>
    <x v="1"/>
    <x v="0"/>
    <s v="Envioclick- Coordinadora"/>
    <s v="2257084 - 84150807161"/>
    <d v="2024-03-13T00:00:00"/>
    <d v="2024-03-14T00:00:00"/>
    <x v="0"/>
    <n v="1"/>
    <n v="2"/>
    <x v="1"/>
    <n v="24042"/>
    <n v="25958"/>
  </r>
  <r>
    <d v="2024-03-12T00:00:00"/>
    <x v="2"/>
    <n v="11"/>
    <n v="1938"/>
    <x v="0"/>
    <s v="Jose Leonardo Nunez Amado"/>
    <s v="TECURCO"/>
    <s v="Repisa TECU  Caramelo"/>
    <n v="1"/>
    <x v="2"/>
    <x v="1"/>
    <x v="1"/>
    <x v="0"/>
    <s v="Envioclick- Coordinadora"/>
    <s v="2257063 - 84150807149"/>
    <d v="2024-03-13T00:00:00"/>
    <d v="2024-03-14T00:00:00"/>
    <x v="0"/>
    <n v="1"/>
    <n v="2"/>
    <x v="1"/>
    <n v="22355"/>
    <n v="2645"/>
  </r>
  <r>
    <d v="2024-03-12T00:00:00"/>
    <x v="2"/>
    <n v="11"/>
    <n v="1938"/>
    <x v="0"/>
    <s v="Jose Leonardo Nunez Amado"/>
    <s v="TECUCT"/>
    <s v="TECU bandeja de cables"/>
    <n v="1"/>
    <x v="4"/>
    <x v="1"/>
    <x v="1"/>
    <x v="0"/>
    <s v="Envioclick- Coordinadora"/>
    <s v="2257329 - 84150807307"/>
    <d v="2024-03-13T00:00:00"/>
    <d v="2024-03-14T00:00:00"/>
    <x v="0"/>
    <n v="1"/>
    <n v="2"/>
    <x v="1"/>
    <n v="16631"/>
    <n v="8369"/>
  </r>
  <r>
    <d v="2024-03-15T00:00:00"/>
    <x v="2"/>
    <n v="11"/>
    <n v="1939"/>
    <x v="0"/>
    <s v="Andres Felipe Torres Chamorro"/>
    <s v="TECUACO"/>
    <s v="Archivador TECU  Caramelo"/>
    <n v="1"/>
    <x v="3"/>
    <x v="1"/>
    <x v="1"/>
    <x v="0"/>
    <s v="Envioclick- Envia"/>
    <s v="2273368 – 954100930358"/>
    <d v="2024-03-18T00:00:00"/>
    <d v="2024-03-19T00:00:00"/>
    <x v="0"/>
    <n v="2"/>
    <n v="3"/>
    <x v="1"/>
    <n v="56461"/>
    <n v="-6461"/>
  </r>
  <r>
    <d v="2024-03-18T00:00:00"/>
    <x v="2"/>
    <n v="12"/>
    <n v="1940"/>
    <x v="0"/>
    <s v="Melissa Aguilar"/>
    <s v="TECU3FNPRO"/>
    <s v="Electric Standing Desk  PRO Negro"/>
    <n v="1"/>
    <x v="0"/>
    <x v="0"/>
    <x v="3"/>
    <x v="0"/>
    <s v="Envioclick- Coordinadora"/>
    <s v="2273554 – 84150811335"/>
    <d v="2024-03-18T00:00:00"/>
    <d v="2024-03-19T00:00:00"/>
    <x v="0"/>
    <n v="0"/>
    <n v="1"/>
    <x v="1"/>
    <n v="42002"/>
    <n v="-2002"/>
  </r>
  <r>
    <d v="2024-03-18T00:00:00"/>
    <x v="2"/>
    <n v="12"/>
    <n v="1940"/>
    <x v="0"/>
    <s v="Melissa Aguilar"/>
    <s v="TECUTCC2C"/>
    <s v="Superficie Escritorio Miel 120x70 Clasico Small"/>
    <n v="1"/>
    <x v="1"/>
    <x v="0"/>
    <x v="3"/>
    <x v="0"/>
    <s v="Envioclick- Coordinadora"/>
    <s v="2273556 – 84150811336"/>
    <d v="2024-03-18T00:00:00"/>
    <d v="2024-03-19T00:00:00"/>
    <x v="0"/>
    <n v="0"/>
    <n v="1"/>
    <x v="1"/>
    <n v="27422"/>
    <n v="7578"/>
  </r>
  <r>
    <d v="2024-03-18T00:00:00"/>
    <x v="2"/>
    <n v="12"/>
    <n v="1940"/>
    <x v="0"/>
    <s v="Melissa Aguilar"/>
    <s v="TECURCC"/>
    <s v="Repisa TECU  Miel"/>
    <n v="1"/>
    <x v="2"/>
    <x v="0"/>
    <x v="3"/>
    <x v="0"/>
    <s v="Envioclick- Coordinadora"/>
    <s v="2274146 – 84150811599"/>
    <d v="2024-03-18T00:00:00"/>
    <d v="2024-03-19T00:00:00"/>
    <x v="0"/>
    <n v="0"/>
    <n v="1"/>
    <x v="1"/>
    <n v="22355"/>
    <n v="2645"/>
  </r>
  <r>
    <d v="2024-03-18T00:00:00"/>
    <x v="2"/>
    <n v="12"/>
    <n v="1940"/>
    <x v="0"/>
    <s v="Melissa Aguilar"/>
    <s v="TECUCT"/>
    <s v="TECU bandeja de cables"/>
    <n v="1"/>
    <x v="4"/>
    <x v="0"/>
    <x v="3"/>
    <x v="0"/>
    <s v="Envioclick- Coordinadora"/>
    <s v="2273926 – 84150811595"/>
    <d v="2024-03-18T00:00:00"/>
    <d v="2024-03-19T00:00:00"/>
    <x v="0"/>
    <n v="0"/>
    <n v="1"/>
    <x v="1"/>
    <n v="16631"/>
    <n v="8369"/>
  </r>
  <r>
    <d v="2024-03-18T00:00:00"/>
    <x v="2"/>
    <n v="12"/>
    <n v="1941"/>
    <x v="0"/>
    <s v="Daniel Quintero"/>
    <s v="TECUBDPM"/>
    <s v="TECU Desk Pad B Negro Café Miel"/>
    <n v="1"/>
    <x v="4"/>
    <x v="2"/>
    <x v="2"/>
    <x v="0"/>
    <s v="Envioclick- Coordinadora"/>
    <s v="2273573 – 84150811349"/>
    <d v="2024-03-18T00:00:00"/>
    <d v="2024-03-20T00:00:00"/>
    <x v="0"/>
    <n v="0"/>
    <n v="2"/>
    <x v="1"/>
    <n v="16131"/>
    <n v="33869"/>
  </r>
  <r>
    <d v="2024-03-18T00:00:00"/>
    <x v="2"/>
    <n v="12"/>
    <n v="1942"/>
    <x v="0"/>
    <s v="juan carlos romero"/>
    <s v="TECU3FNPRO"/>
    <s v="Electric Standing Desk  PRO Negro"/>
    <n v="1"/>
    <x v="0"/>
    <x v="1"/>
    <x v="1"/>
    <x v="0"/>
    <s v="Envioclick- Coordinadora"/>
    <s v="2274373 – 84150811696"/>
    <d v="2024-03-18T00:00:00"/>
    <d v="2024-03-19T00:00:00"/>
    <x v="0"/>
    <n v="0"/>
    <n v="1"/>
    <x v="1"/>
    <n v="42002"/>
    <n v="-2002"/>
  </r>
  <r>
    <d v="2024-03-18T00:00:00"/>
    <x v="2"/>
    <n v="12"/>
    <n v="1943"/>
    <x v="0"/>
    <s v="Luis Alejandro Barragan Ferro"/>
    <s v="TECU3FNPRO"/>
    <s v="Electric Standing Desk  PRO Negro"/>
    <n v="1"/>
    <x v="0"/>
    <x v="1"/>
    <x v="1"/>
    <x v="0"/>
    <s v="Envioclick- Coordinadora"/>
    <s v="2276149 – 84150812458"/>
    <d v="2024-03-19T00:00:00"/>
    <d v="2024-03-20T00:00:00"/>
    <x v="0"/>
    <n v="1"/>
    <n v="2"/>
    <x v="1"/>
    <n v="42002"/>
    <n v="-2002"/>
  </r>
  <r>
    <d v="2024-03-18T00:00:00"/>
    <x v="2"/>
    <n v="12"/>
    <n v="1943"/>
    <x v="0"/>
    <s v="Luis Alejandro Barragan Ferro"/>
    <s v="TECUTCO5C"/>
    <s v="Superficie Escritorio Caramelo 150x70 Clasico"/>
    <n v="1"/>
    <x v="1"/>
    <x v="1"/>
    <x v="1"/>
    <x v="0"/>
    <s v="Envioclick- Coordinadora"/>
    <s v="2276151 – 84150812459"/>
    <d v="2024-03-19T00:00:00"/>
    <d v="2024-03-20T00:00:00"/>
    <x v="0"/>
    <n v="1"/>
    <n v="2"/>
    <x v="1"/>
    <n v="22988"/>
    <e v="#N/A"/>
  </r>
  <r>
    <d v="2024-03-18T00:00:00"/>
    <x v="2"/>
    <n v="12"/>
    <n v="1943"/>
    <x v="0"/>
    <s v="Luis Alejandro Barragan Ferro"/>
    <s v="TECURCO"/>
    <s v="Repisa TECU  Caramelo"/>
    <n v="1"/>
    <x v="2"/>
    <x v="1"/>
    <x v="1"/>
    <x v="0"/>
    <s v="Envioclick- Coordinadora"/>
    <s v="2276159 – 84150812462"/>
    <d v="2024-03-19T00:00:00"/>
    <d v="2024-03-20T00:00:00"/>
    <x v="0"/>
    <n v="1"/>
    <n v="2"/>
    <x v="1"/>
    <n v="22355"/>
    <n v="2645"/>
  </r>
  <r>
    <d v="2024-03-18T00:00:00"/>
    <x v="2"/>
    <n v="12"/>
    <n v="1943"/>
    <x v="0"/>
    <s v="Luis Alejandro Barragan Ferro"/>
    <s v="TECUACO"/>
    <s v="Archivador TECU  Caramelo"/>
    <n v="1"/>
    <x v="3"/>
    <x v="1"/>
    <x v="1"/>
    <x v="0"/>
    <s v="Envioclick- Envia"/>
    <s v="2279290 – 954100931862"/>
    <d v="2024-03-20T00:00:00"/>
    <d v="2024-03-21T00:00:00"/>
    <x v="0"/>
    <n v="2"/>
    <n v="3"/>
    <x v="1"/>
    <n v="51312"/>
    <n v="-1312"/>
  </r>
  <r>
    <d v="2024-03-18T00:00:00"/>
    <x v="2"/>
    <n v="12"/>
    <n v="1944"/>
    <x v="0"/>
    <s v="Ronald Hidalgo"/>
    <s v="TECU2FNG"/>
    <s v="Electric Standing Desk GO Negro"/>
    <n v="1"/>
    <x v="0"/>
    <x v="1"/>
    <x v="1"/>
    <x v="0"/>
    <s v="Envioclick- Coordinadora"/>
    <s v="2276118 – 84150812450"/>
    <d v="2024-03-19T00:00:00"/>
    <d v="2024-03-20T00:00:00"/>
    <x v="0"/>
    <n v="1"/>
    <n v="2"/>
    <x v="1"/>
    <n v="40734"/>
    <n v="-734"/>
  </r>
  <r>
    <d v="2024-03-18T00:00:00"/>
    <x v="2"/>
    <n v="12"/>
    <n v="1944"/>
    <x v="0"/>
    <s v="Ronald Hidalgo"/>
    <s v="TECUTCO4C"/>
    <s v="Superficie Escritorio Caramelo 140x70 Clasico"/>
    <n v="1"/>
    <x v="1"/>
    <x v="1"/>
    <x v="1"/>
    <x v="0"/>
    <s v="Envioclick- Coordinadora"/>
    <s v="2276128 – 84150812451"/>
    <d v="2024-03-19T00:00:00"/>
    <d v="2024-03-20T00:00:00"/>
    <x v="0"/>
    <n v="1"/>
    <n v="2"/>
    <x v="1"/>
    <n v="22988"/>
    <n v="12012"/>
  </r>
  <r>
    <d v="2024-03-18T00:00:00"/>
    <x v="2"/>
    <n v="12"/>
    <n v="1944"/>
    <x v="0"/>
    <s v="Ronald Hidalgo"/>
    <s v="TECU2FNG"/>
    <s v="Electric Standing Desk GO Negro"/>
    <n v="1"/>
    <x v="0"/>
    <x v="1"/>
    <x v="1"/>
    <x v="0"/>
    <s v="Envioclick- Coordinadora"/>
    <s v="2276135 – 84150812454"/>
    <d v="2024-03-19T00:00:00"/>
    <d v="2024-03-20T00:00:00"/>
    <x v="0"/>
    <n v="1"/>
    <n v="2"/>
    <x v="1"/>
    <n v="40734"/>
    <n v="-734"/>
  </r>
  <r>
    <d v="2024-03-18T00:00:00"/>
    <x v="2"/>
    <n v="12"/>
    <n v="1944"/>
    <x v="0"/>
    <s v="Ronald Hidalgo"/>
    <s v="TECUTCO4C"/>
    <s v="Superficie Escritorio Caramelo 140x70 Clasico"/>
    <n v="1"/>
    <x v="1"/>
    <x v="1"/>
    <x v="1"/>
    <x v="0"/>
    <s v="Envioclick- Coordinadora"/>
    <s v="2276137 – 84150812455"/>
    <d v="2024-03-19T00:00:00"/>
    <d v="2024-03-20T00:00:00"/>
    <x v="0"/>
    <n v="1"/>
    <n v="2"/>
    <x v="1"/>
    <n v="22988"/>
    <n v="12012"/>
  </r>
  <r>
    <d v="2024-03-19T00:00:00"/>
    <x v="2"/>
    <n v="12"/>
    <n v="1945"/>
    <x v="0"/>
    <s v="francisco sanchez"/>
    <s v="TECURCO"/>
    <s v="Repisa TECU  Caramelo"/>
    <n v="1"/>
    <x v="2"/>
    <x v="9"/>
    <x v="20"/>
    <x v="0"/>
    <s v="Envioclick- Coordinadora"/>
    <s v="2277540 – 84150812991"/>
    <d v="2024-03-19T00:00:00"/>
    <d v="2024-03-22T00:00:00"/>
    <x v="0"/>
    <n v="0"/>
    <n v="3"/>
    <x v="1"/>
    <n v="45080"/>
    <n v="-20080"/>
  </r>
  <r>
    <d v="2024-03-22T00:00:00"/>
    <x v="2"/>
    <n v="12"/>
    <n v="1946"/>
    <x v="0"/>
    <s v="Juan Pablo Valencia Isaza"/>
    <s v="TECU3FNPRO"/>
    <s v="Electric Standing Desk  PRO Negro"/>
    <n v="1"/>
    <x v="0"/>
    <x v="10"/>
    <x v="21"/>
    <x v="0"/>
    <s v="Envioclick- Coordinadora"/>
    <s v="2283965 - 84150815550"/>
    <d v="2024-03-22T00:00:00"/>
    <d v="2024-03-23T00:00:00"/>
    <x v="0"/>
    <n v="0"/>
    <n v="1"/>
    <x v="1"/>
    <n v="34504"/>
    <n v="5496"/>
  </r>
  <r>
    <d v="2024-03-22T00:00:00"/>
    <x v="2"/>
    <n v="12"/>
    <n v="1946"/>
    <x v="0"/>
    <s v="Juan Pablo Valencia Isaza"/>
    <s v="TECUTCO2C"/>
    <s v="Superficie Escritorio Caramelo 120x70 Clasico Small"/>
    <n v="1"/>
    <x v="1"/>
    <x v="10"/>
    <x v="21"/>
    <x v="0"/>
    <s v="Envioclick- Coordinadora"/>
    <s v="2283966 - 84150815551"/>
    <d v="2024-03-22T00:00:00"/>
    <d v="2024-03-23T00:00:00"/>
    <x v="0"/>
    <n v="0"/>
    <n v="1"/>
    <x v="1"/>
    <n v="17274"/>
    <n v="17726"/>
  </r>
  <r>
    <d v="2024-03-22T00:00:00"/>
    <x v="2"/>
    <n v="12"/>
    <n v="1946"/>
    <x v="0"/>
    <s v="Juan Pablo Valencia Isaza"/>
    <s v="TECURCO"/>
    <s v="Repisa TECU  Caramelo"/>
    <n v="1"/>
    <x v="2"/>
    <x v="10"/>
    <x v="21"/>
    <x v="0"/>
    <s v="Envioclick- Coordinadora"/>
    <s v="2283962 - 84150815548"/>
    <d v="2024-03-22T00:00:00"/>
    <d v="2024-03-23T00:00:00"/>
    <x v="0"/>
    <n v="0"/>
    <n v="1"/>
    <x v="1"/>
    <n v="14206"/>
    <n v="10794"/>
  </r>
  <r>
    <d v="2024-03-21T00:00:00"/>
    <x v="2"/>
    <n v="12"/>
    <n v="1947"/>
    <x v="0"/>
    <s v="Luisa Martinez"/>
    <s v="TECU2FNG"/>
    <s v="Electric Standing Desk GO Negro"/>
    <n v="1"/>
    <x v="0"/>
    <x v="1"/>
    <x v="22"/>
    <x v="0"/>
    <s v="Envioclick- Coordinadora"/>
    <s v="2285770 - 84150816394"/>
    <d v="2024-03-22T00:00:00"/>
    <d v="2024-03-27T00:00:00"/>
    <x v="0"/>
    <n v="1"/>
    <n v="4"/>
    <x v="1"/>
    <n v="58232"/>
    <n v="-18232"/>
  </r>
  <r>
    <d v="2024-03-21T00:00:00"/>
    <x v="2"/>
    <n v="12"/>
    <n v="1947"/>
    <x v="0"/>
    <s v="Luisa Martinez"/>
    <s v="TECUTCO2C"/>
    <s v="Superficie Escritorio Caramelo 120x70 Clasico Small"/>
    <n v="1"/>
    <x v="1"/>
    <x v="1"/>
    <x v="22"/>
    <x v="0"/>
    <s v="Envioclick- Coordinadora"/>
    <s v="2285772 - 84150816396"/>
    <d v="2024-03-22T00:00:00"/>
    <d v="2024-03-27T00:00:00"/>
    <x v="0"/>
    <n v="1"/>
    <n v="4"/>
    <x v="1"/>
    <n v="37361"/>
    <n v="-2361"/>
  </r>
  <r>
    <d v="2024-03-21T00:00:00"/>
    <x v="2"/>
    <n v="12"/>
    <n v="1948"/>
    <x v="0"/>
    <s v="Cesar Rodriguez"/>
    <s v="TECU2FNG"/>
    <s v="Electric Standing Desk GO Negro"/>
    <n v="1"/>
    <x v="0"/>
    <x v="1"/>
    <x v="1"/>
    <x v="0"/>
    <s v="Envioclick- Coordinadora"/>
    <s v="2283970 - 84150815554"/>
    <d v="2024-03-22T00:00:00"/>
    <d v="2024-03-27T00:00:00"/>
    <x v="0"/>
    <n v="1"/>
    <n v="4"/>
    <x v="0"/>
    <n v="40734"/>
    <n v="-734"/>
  </r>
  <r>
    <d v="2024-03-21T00:00:00"/>
    <x v="2"/>
    <n v="12"/>
    <n v="1948"/>
    <x v="0"/>
    <s v="Cesar Rodriguez"/>
    <s v="TECUTCO2C"/>
    <s v="Superficie Escritorio Caramelo 120x70 Clasico Small"/>
    <n v="1"/>
    <x v="1"/>
    <x v="1"/>
    <x v="1"/>
    <x v="0"/>
    <s v="Envioclick- Coordinadora"/>
    <s v="2283971 - 84150815555"/>
    <d v="2024-03-22T00:00:00"/>
    <d v="2024-03-27T00:00:00"/>
    <x v="0"/>
    <n v="1"/>
    <n v="4"/>
    <x v="0"/>
    <n v="22988"/>
    <n v="12012"/>
  </r>
  <r>
    <d v="2024-03-26T00:00:00"/>
    <x v="2"/>
    <n v="13"/>
    <n v="1949"/>
    <x v="0"/>
    <s v="David Montaño Ramírez"/>
    <s v="TECU3FNPRO"/>
    <s v="Electric Standing Desk  PRO Negro"/>
    <n v="1"/>
    <x v="0"/>
    <x v="1"/>
    <x v="1"/>
    <x v="0"/>
    <s v="Envioclick- Coordinadora"/>
    <s v="2288785 - 84150817510"/>
    <d v="2024-03-26T00:00:00"/>
    <d v="2024-03-27T00:00:00"/>
    <x v="0"/>
    <n v="0"/>
    <n v="1"/>
    <x v="1"/>
    <n v="42002"/>
    <n v="-2002"/>
  </r>
  <r>
    <d v="2024-03-26T00:00:00"/>
    <x v="2"/>
    <n v="13"/>
    <n v="1949"/>
    <x v="0"/>
    <s v="David Montaño Ramírez"/>
    <s v="TECUTCC5C"/>
    <s v="Superficie Escritorio Miel 150x70 Clasico"/>
    <n v="1"/>
    <x v="1"/>
    <x v="1"/>
    <x v="1"/>
    <x v="0"/>
    <s v="Envioclick- Coordinadora"/>
    <s v="2288787 - 84150817511"/>
    <d v="2024-03-26T00:00:00"/>
    <d v="2024-03-27T00:00:00"/>
    <x v="0"/>
    <n v="0"/>
    <n v="1"/>
    <x v="1"/>
    <n v="22988"/>
    <n v="12012"/>
  </r>
  <r>
    <d v="2024-03-26T00:00:00"/>
    <x v="2"/>
    <n v="13"/>
    <n v="1949"/>
    <x v="0"/>
    <s v="David Montaño Ramírez"/>
    <s v="TECURCC"/>
    <s v="Repisa TECU  Miel"/>
    <n v="1"/>
    <x v="2"/>
    <x v="1"/>
    <x v="1"/>
    <x v="0"/>
    <s v="Envioclick- Coordinadora"/>
    <s v="2296409 - 84150820469"/>
    <d v="2024-04-01T00:00:00"/>
    <d v="2024-04-02T00:00:00"/>
    <x v="0"/>
    <n v="3"/>
    <n v="4"/>
    <x v="0"/>
    <n v="22355"/>
    <n v="2645"/>
  </r>
  <r>
    <d v="2024-03-26T00:00:00"/>
    <x v="2"/>
    <n v="13"/>
    <s v="RIFA"/>
    <x v="2"/>
    <s v="Juan Sebastián Montaño"/>
    <s v="TECUDSN"/>
    <s v="TECU Desk Stool Negra Silla ajustable"/>
    <n v="1"/>
    <x v="5"/>
    <x v="1"/>
    <x v="1"/>
    <x v="0"/>
    <s v="Envioclick- Coordinadora"/>
    <s v="2288522 - 84150817375"/>
    <d v="2024-03-26T00:00:00"/>
    <d v="2024-03-27T00:00:00"/>
    <x v="0"/>
    <n v="0"/>
    <n v="1"/>
    <x v="1"/>
    <n v="23935"/>
    <n v="1065"/>
  </r>
  <r>
    <d v="2024-03-27T00:00:00"/>
    <x v="2"/>
    <n v="13"/>
    <n v="1950"/>
    <x v="0"/>
    <s v="Luis Moncaris"/>
    <s v="TECU3FBRO"/>
    <s v="Electric Standing Desk  PRO Blanco"/>
    <n v="1"/>
    <x v="0"/>
    <x v="1"/>
    <x v="1"/>
    <x v="0"/>
    <s v="Envioclick- Coordinadora"/>
    <s v="2296674 – 84150820600"/>
    <d v="2024-04-01T00:00:00"/>
    <d v="2024-04-02T00:00:00"/>
    <x v="0"/>
    <n v="2"/>
    <n v="3"/>
    <x v="1"/>
    <n v="42002"/>
    <n v="-2002"/>
  </r>
  <r>
    <d v="2024-03-27T00:00:00"/>
    <x v="2"/>
    <n v="13"/>
    <n v="1950"/>
    <x v="0"/>
    <s v="Luis Moncaris"/>
    <s v="TECUTCC4C"/>
    <s v="Superficie Escritorio Miel 140x70 Clasico"/>
    <n v="1"/>
    <x v="1"/>
    <x v="1"/>
    <x v="1"/>
    <x v="0"/>
    <s v="Envioclick- Coordinadora"/>
    <s v="2296675 – 84150820602"/>
    <d v="2024-04-01T00:00:00"/>
    <d v="2024-04-02T00:00:00"/>
    <x v="0"/>
    <n v="2"/>
    <n v="3"/>
    <x v="1"/>
    <n v="22988"/>
    <n v="12012"/>
  </r>
  <r>
    <d v="2024-03-27T00:00:00"/>
    <x v="2"/>
    <n v="13"/>
    <n v="1950"/>
    <x v="0"/>
    <s v="Luis Moncaris"/>
    <s v="TECURCC"/>
    <s v="Repisa TECU  Miel"/>
    <n v="1"/>
    <x v="2"/>
    <x v="1"/>
    <x v="1"/>
    <x v="0"/>
    <s v="Envioclick- Coordinadora"/>
    <s v="2296694 – 84150820610"/>
    <d v="2024-04-01T00:00:00"/>
    <d v="2024-04-02T00:00:00"/>
    <x v="0"/>
    <n v="2"/>
    <n v="3"/>
    <x v="1"/>
    <n v="22355"/>
    <n v="2645"/>
  </r>
  <r>
    <d v="2024-03-28T00:00:00"/>
    <x v="2"/>
    <n v="13"/>
    <n v="1951"/>
    <x v="0"/>
    <s v="Natalia Gutiérrez"/>
    <s v="TECU2FNG"/>
    <s v="Electric Standing Desk GO Negro"/>
    <n v="1"/>
    <x v="0"/>
    <x v="1"/>
    <x v="1"/>
    <x v="0"/>
    <s v="Envioclick- Coordinadora"/>
    <s v="2296384 – 84150820457"/>
    <d v="2024-04-01T00:00:00"/>
    <d v="2024-04-02T00:00:00"/>
    <x v="0"/>
    <n v="1"/>
    <n v="2"/>
    <x v="1"/>
    <n v="40734"/>
    <n v="-734"/>
  </r>
  <r>
    <d v="2024-03-28T00:00:00"/>
    <x v="2"/>
    <n v="13"/>
    <n v="1951"/>
    <x v="0"/>
    <s v="Natalia Gutiérrez"/>
    <s v="TECUTB4C"/>
    <s v="Superficie Escritorio Blanco (Niebla) 140x70 Clasico"/>
    <n v="1"/>
    <x v="1"/>
    <x v="1"/>
    <x v="1"/>
    <x v="0"/>
    <s v="Envioclick- Coordinadora"/>
    <s v="2296385 – 84150820458"/>
    <d v="2024-04-01T00:00:00"/>
    <d v="2024-04-02T00:00:00"/>
    <x v="0"/>
    <n v="1"/>
    <n v="2"/>
    <x v="1"/>
    <n v="22988"/>
    <n v="12012"/>
  </r>
  <r>
    <d v="2024-03-29T00:00:00"/>
    <x v="2"/>
    <n v="13"/>
    <n v="1952"/>
    <x v="0"/>
    <s v="Jair Rodriguez Rodriguez"/>
    <s v="TECU3FNPRO"/>
    <s v="Electric Standing Desk  PRO Negro"/>
    <n v="1"/>
    <x v="0"/>
    <x v="1"/>
    <x v="1"/>
    <x v="0"/>
    <s v="Envioclick- Coordinadora"/>
    <s v="2296757 – 84150820627"/>
    <d v="2024-04-01T00:00:00"/>
    <d v="2024-04-02T00:00:00"/>
    <x v="0"/>
    <n v="1"/>
    <n v="2"/>
    <x v="1"/>
    <n v="42002"/>
    <n v="-2002"/>
  </r>
  <r>
    <d v="2024-03-29T00:00:00"/>
    <x v="2"/>
    <n v="13"/>
    <n v="1952"/>
    <x v="0"/>
    <s v="Jair Rodriguez Rodriguez"/>
    <s v="TECUTCC6C"/>
    <s v="Superficie Escritorio Miel 160x70 Clasico"/>
    <n v="1"/>
    <x v="1"/>
    <x v="1"/>
    <x v="1"/>
    <x v="0"/>
    <s v="Envioclick- Coordinadora"/>
    <s v="2296759 – 84150820628"/>
    <d v="2024-04-01T00:00:00"/>
    <d v="2024-04-02T00:00:00"/>
    <x v="0"/>
    <n v="1"/>
    <n v="2"/>
    <x v="1"/>
    <n v="22988"/>
    <n v="12012"/>
  </r>
  <r>
    <d v="2024-03-29T00:00:00"/>
    <x v="2"/>
    <n v="13"/>
    <n v="1952"/>
    <x v="0"/>
    <s v="Jair Rodriguez Rodriguez"/>
    <s v="TECURCC"/>
    <s v="Repisa TECU  Miel"/>
    <n v="1"/>
    <x v="2"/>
    <x v="1"/>
    <x v="1"/>
    <x v="0"/>
    <s v="Envioclick- Coordinadora"/>
    <s v="2296721 – 84150820622"/>
    <d v="2024-04-01T00:00:00"/>
    <d v="2024-04-02T00:00:00"/>
    <x v="0"/>
    <n v="1"/>
    <n v="2"/>
    <x v="1"/>
    <n v="22355"/>
    <n v="2645"/>
  </r>
  <r>
    <d v="2024-03-29T00:00:00"/>
    <x v="2"/>
    <n v="13"/>
    <n v="1952"/>
    <x v="0"/>
    <s v="Jair Rodriguez Rodriguez"/>
    <s v="TECUCT"/>
    <s v="TECU bandeja de cables"/>
    <n v="1"/>
    <x v="4"/>
    <x v="1"/>
    <x v="1"/>
    <x v="0"/>
    <s v="Envioclick- Coordinadora"/>
    <s v="2298094 – 84150821176"/>
    <d v="2024-04-01T00:00:00"/>
    <d v="2024-04-02T00:00:00"/>
    <x v="0"/>
    <n v="1"/>
    <n v="2"/>
    <x v="1"/>
    <n v="16631"/>
    <n v="8369"/>
  </r>
  <r>
    <d v="2024-03-29T00:00:00"/>
    <x v="2"/>
    <n v="13"/>
    <n v="1952"/>
    <x v="0"/>
    <s v="Jair Rodriguez Rodriguez"/>
    <s v="TECUACC"/>
    <s v="Archivador TECU  Miel"/>
    <n v="1"/>
    <x v="3"/>
    <x v="1"/>
    <x v="1"/>
    <x v="0"/>
    <s v="Envioclick- Envia"/>
    <s v="2315345 - 954100942765"/>
    <d v="2024-04-09T00:00:00"/>
    <d v="2024-04-10T00:00:00"/>
    <x v="0"/>
    <n v="8"/>
    <n v="9"/>
    <x v="0"/>
    <n v="51312"/>
    <n v="-1312"/>
  </r>
  <r>
    <d v="2024-03-29T00:00:00"/>
    <x v="2"/>
    <n v="13"/>
    <n v="1953"/>
    <x v="0"/>
    <s v="Jorge Paternina Montiel"/>
    <s v="TECU3FNPRO"/>
    <s v="Electric Standing Desk  PRO Negro"/>
    <n v="1"/>
    <x v="0"/>
    <x v="2"/>
    <x v="2"/>
    <x v="0"/>
    <s v="Envioclick- Coordinadora"/>
    <s v="2298006 – 84150821152"/>
    <d v="2024-04-01T00:00:00"/>
    <d v="2024-04-03T00:00:00"/>
    <x v="0"/>
    <n v="1"/>
    <n v="3"/>
    <x v="1"/>
    <n v="60748"/>
    <n v="-20748"/>
  </r>
  <r>
    <d v="2024-03-29T00:00:00"/>
    <x v="2"/>
    <n v="13"/>
    <n v="1953"/>
    <x v="0"/>
    <s v="Jorge Paternina Montiel"/>
    <s v="TECUTCC8C"/>
    <s v="Superficie Escritorio Miel 180x70 Clasico"/>
    <n v="1"/>
    <x v="1"/>
    <x v="2"/>
    <x v="2"/>
    <x v="0"/>
    <s v="Envioclick- Coordinadora"/>
    <s v="2298007 – 84150821153"/>
    <d v="2024-04-01T00:00:00"/>
    <d v="2024-04-02T00:00:00"/>
    <x v="0"/>
    <n v="1"/>
    <n v="2"/>
    <x v="1"/>
    <n v="42393"/>
    <n v="-7393"/>
  </r>
  <r>
    <d v="2024-03-29T00:00:00"/>
    <x v="2"/>
    <n v="13"/>
    <n v="1953"/>
    <x v="0"/>
    <s v="Jorge Paternina Montiel"/>
    <s v="TECURCC"/>
    <s v="Repisa TECU  Miel"/>
    <n v="1"/>
    <x v="2"/>
    <x v="2"/>
    <x v="2"/>
    <x v="0"/>
    <s v="Envioclick- Coordinadora"/>
    <s v="2298001 – 84150821150"/>
    <d v="2024-04-01T00:00:00"/>
    <d v="2024-04-02T00:00:00"/>
    <x v="0"/>
    <n v="1"/>
    <n v="2"/>
    <x v="1"/>
    <n v="36102"/>
    <n v="-11102"/>
  </r>
  <r>
    <d v="2024-03-30T00:00:00"/>
    <x v="2"/>
    <n v="13"/>
    <n v="1954"/>
    <x v="0"/>
    <s v="Cristian Camilo Cruz Camacho"/>
    <s v="TECUACO"/>
    <s v="Archivador TECU  Caramelo"/>
    <n v="1"/>
    <x v="3"/>
    <x v="1"/>
    <x v="1"/>
    <x v="0"/>
    <s v="Envioclick- Envia"/>
    <s v="2315370 - 954100942771"/>
    <d v="2024-04-09T00:00:00"/>
    <d v="2024-04-10T00:00:00"/>
    <x v="0"/>
    <n v="8"/>
    <n v="9"/>
    <x v="0"/>
    <n v="51312"/>
    <n v="-1312"/>
  </r>
  <r>
    <d v="2024-04-01T00:00:00"/>
    <x v="3"/>
    <n v="14"/>
    <n v="1955"/>
    <x v="0"/>
    <s v="Milton Andres Tovar Bonilla"/>
    <s v="TECULFN2"/>
    <s v="Electric Standing Desk | Escritorio Ajustable En L Frame Negro 2.0"/>
    <n v="1"/>
    <x v="0"/>
    <x v="1"/>
    <x v="1"/>
    <x v="0"/>
    <s v="Envioclick- Coordinadora"/>
    <s v="2298232 – 84150821220"/>
    <d v="2024-04-01T00:00:00"/>
    <d v="2024-04-03T00:00:00"/>
    <x v="0"/>
    <n v="0"/>
    <n v="2"/>
    <x v="1"/>
    <n v="60937"/>
    <n v="-20937"/>
  </r>
  <r>
    <d v="2024-04-01T00:00:00"/>
    <x v="3"/>
    <n v="14"/>
    <n v="1955"/>
    <x v="0"/>
    <s v="Milton Andres Tovar Bonilla"/>
    <s v="TECUTLCOS"/>
    <s v="Superficie Escritorio en L Miel Set completo"/>
    <n v="1"/>
    <x v="1"/>
    <x v="1"/>
    <x v="1"/>
    <x v="0"/>
    <s v="Envioclick- Coordinadora"/>
    <s v="2298233 – 84150821221"/>
    <d v="2024-04-01T00:00:00"/>
    <d v="2024-04-02T00:00:00"/>
    <x v="0"/>
    <n v="0"/>
    <n v="1"/>
    <x v="1"/>
    <n v="25521"/>
    <n v="9479"/>
  </r>
  <r>
    <d v="2024-04-01T00:00:00"/>
    <x v="3"/>
    <n v="14"/>
    <n v="1956"/>
    <x v="0"/>
    <s v="CAMILO ANDRES MORENO CIFUENTES"/>
    <s v="TECU3FNPRO"/>
    <s v="Electric Standing Desk  PRO Negro"/>
    <n v="1"/>
    <x v="0"/>
    <x v="6"/>
    <x v="23"/>
    <x v="0"/>
    <s v="Envioclick- Coordinadora"/>
    <s v="2300370 – 84150822212"/>
    <d v="2024-04-02T00:00:00"/>
    <d v="2024-04-04T00:00:00"/>
    <x v="0"/>
    <n v="1"/>
    <n v="3"/>
    <x v="1"/>
    <n v="60748"/>
    <n v="-20748"/>
  </r>
  <r>
    <d v="2024-04-01T00:00:00"/>
    <x v="3"/>
    <n v="14"/>
    <n v="1956"/>
    <x v="0"/>
    <s v="CAMILO ANDRES MORENO CIFUENTES"/>
    <s v="TECUTCO4C"/>
    <s v="Superficie Escritorio Caramelo 140x70 Clasico"/>
    <n v="1"/>
    <x v="1"/>
    <x v="6"/>
    <x v="23"/>
    <x v="0"/>
    <s v="Envioclick- Coordinadora"/>
    <s v="2300371 – 84150822213"/>
    <d v="2024-04-02T00:00:00"/>
    <d v="2024-04-04T00:00:00"/>
    <x v="0"/>
    <n v="1"/>
    <n v="3"/>
    <x v="1"/>
    <n v="37361"/>
    <n v="-2361"/>
  </r>
  <r>
    <d v="2024-04-01T00:00:00"/>
    <x v="3"/>
    <n v="14"/>
    <n v="1956"/>
    <x v="0"/>
    <s v="CAMILO ANDRES MORENO CIFUENTES"/>
    <s v="TECURCO"/>
    <s v="Repisa TECU  Caramelo"/>
    <n v="1"/>
    <x v="2"/>
    <x v="6"/>
    <x v="23"/>
    <x v="0"/>
    <s v="Envioclick- Coordinadora"/>
    <s v="2300363 – 84150822206"/>
    <d v="2024-04-02T00:00:00"/>
    <d v="2024-04-04T00:00:00"/>
    <x v="0"/>
    <n v="1"/>
    <n v="3"/>
    <x v="1"/>
    <n v="36102"/>
    <n v="-11102"/>
  </r>
  <r>
    <d v="2024-04-01T00:00:00"/>
    <x v="3"/>
    <n v="14"/>
    <n v="1956"/>
    <x v="0"/>
    <s v="CAMILO ANDRES MORENO CIFUENTES"/>
    <s v="TECUACO"/>
    <s v="Archivador TECU  Caramelo"/>
    <n v="1"/>
    <x v="3"/>
    <x v="6"/>
    <x v="23"/>
    <x v="0"/>
    <s v="Envioclick- Envia"/>
    <s v="2315432 – 954100942886"/>
    <d v="2024-04-09T00:00:00"/>
    <d v="2024-04-11T00:00:00"/>
    <x v="0"/>
    <n v="7"/>
    <n v="9"/>
    <x v="0"/>
    <n v="110295"/>
    <n v="-60295"/>
  </r>
  <r>
    <d v="2024-04-01T00:00:00"/>
    <x v="3"/>
    <n v="14"/>
    <n v="1957"/>
    <x v="0"/>
    <s v="Sebastian Ordoñez"/>
    <s v="TECU3FNPRO"/>
    <s v="Electric Standing Desk  PRO Negro"/>
    <n v="1"/>
    <x v="0"/>
    <x v="1"/>
    <x v="1"/>
    <x v="0"/>
    <s v="Envioclick- Coordinadora"/>
    <s v="2300453 – 84150822242"/>
    <d v="2024-04-02T00:00:00"/>
    <d v="2024-04-03T00:00:00"/>
    <x v="0"/>
    <n v="1"/>
    <n v="2"/>
    <x v="1"/>
    <n v="42002"/>
    <n v="-2002"/>
  </r>
  <r>
    <d v="2024-04-01T00:00:00"/>
    <x v="3"/>
    <n v="14"/>
    <n v="1957"/>
    <x v="0"/>
    <s v="Sebastian Ordoñez"/>
    <s v="TECUTB7M"/>
    <s v="Superficie Escritorio Blanco (Niebla) 170x70 Moderno"/>
    <n v="1"/>
    <x v="1"/>
    <x v="1"/>
    <x v="1"/>
    <x v="0"/>
    <s v="Envioclick- Coordinadora"/>
    <s v="2300455 – 84150822243"/>
    <d v="2024-04-02T00:00:00"/>
    <d v="2024-04-03T00:00:00"/>
    <x v="0"/>
    <n v="1"/>
    <n v="2"/>
    <x v="1"/>
    <n v="25521"/>
    <n v="9479"/>
  </r>
  <r>
    <d v="2024-04-01T00:00:00"/>
    <x v="3"/>
    <n v="14"/>
    <n v="1957"/>
    <x v="0"/>
    <s v="Sebastian Ordoñez"/>
    <s v="TECURB"/>
    <s v="Repisa TECU  Blanco (Niebla)"/>
    <n v="1"/>
    <x v="2"/>
    <x v="1"/>
    <x v="1"/>
    <x v="0"/>
    <s v="Envioclick- Coordinadora"/>
    <s v="2300437 – 84150822237"/>
    <d v="2024-04-02T00:00:00"/>
    <d v="2024-04-03T00:00:00"/>
    <x v="0"/>
    <n v="1"/>
    <n v="2"/>
    <x v="1"/>
    <n v="22355"/>
    <n v="2645"/>
  </r>
  <r>
    <d v="2024-04-01T00:00:00"/>
    <x v="3"/>
    <n v="14"/>
    <n v="1957"/>
    <x v="0"/>
    <s v="Sebastian Ordoñez"/>
    <s v="TECUDSN"/>
    <s v="TECU Desk Stool Negra Silla ajustable"/>
    <n v="1"/>
    <x v="5"/>
    <x v="1"/>
    <x v="1"/>
    <x v="0"/>
    <s v="Envioclick- Coordinadora"/>
    <s v="2304848 – 84150823623"/>
    <d v="2024-04-03T00:00:00"/>
    <d v="2024-04-04T00:00:00"/>
    <x v="0"/>
    <n v="2"/>
    <n v="3"/>
    <x v="1"/>
    <n v="23835"/>
    <n v="1165"/>
  </r>
  <r>
    <d v="2024-04-01T00:00:00"/>
    <x v="3"/>
    <n v="14"/>
    <n v="1957"/>
    <x v="0"/>
    <s v="Sebastian Ordoñez"/>
    <s v="TECUCT"/>
    <s v="TECU bandeja de cables"/>
    <n v="1"/>
    <x v="4"/>
    <x v="1"/>
    <x v="1"/>
    <x v="0"/>
    <s v="Envioclick- Coordinadora"/>
    <s v="2300404 – 84150822229"/>
    <d v="2024-04-02T00:00:00"/>
    <d v="2024-04-03T00:00:00"/>
    <x v="0"/>
    <n v="1"/>
    <n v="2"/>
    <x v="1"/>
    <n v="16631"/>
    <n v="8369"/>
  </r>
  <r>
    <d v="2024-04-01T00:00:00"/>
    <x v="3"/>
    <n v="14"/>
    <n v="1958"/>
    <x v="0"/>
    <s v="Hernán Perez"/>
    <s v="TECU3FNPRO"/>
    <s v="Electric Standing Desk  PRO Negro"/>
    <n v="1"/>
    <x v="0"/>
    <x v="0"/>
    <x v="3"/>
    <x v="0"/>
    <s v="Envioclick- Coordinadora"/>
    <s v="2299856 – 84150821956"/>
    <d v="2024-04-02T00:00:00"/>
    <d v="2024-04-03T00:00:00"/>
    <x v="0"/>
    <n v="1"/>
    <n v="2"/>
    <x v="1"/>
    <n v="42002"/>
    <n v="-2002"/>
  </r>
  <r>
    <d v="2024-04-01T00:00:00"/>
    <x v="3"/>
    <n v="14"/>
    <n v="1958"/>
    <x v="0"/>
    <s v="Hernán Perez"/>
    <s v="TECUTCO7M"/>
    <s v="Superficie Escritorio Caramelo 170x70 Moderno"/>
    <n v="1"/>
    <x v="1"/>
    <x v="0"/>
    <x v="3"/>
    <x v="0"/>
    <s v="Envioclick- Coordinadora"/>
    <s v="2299857 – 84150821957"/>
    <d v="2024-04-02T00:00:00"/>
    <d v="2024-04-03T00:00:00"/>
    <x v="0"/>
    <n v="1"/>
    <n v="2"/>
    <x v="1"/>
    <n v="25521"/>
    <e v="#N/A"/>
  </r>
  <r>
    <d v="2024-04-01T00:00:00"/>
    <x v="3"/>
    <n v="14"/>
    <n v="1958"/>
    <x v="0"/>
    <s v="Hernán Perez"/>
    <s v="TECURCO"/>
    <s v="Repisa TECU  Caramelo"/>
    <n v="1"/>
    <x v="2"/>
    <x v="0"/>
    <x v="3"/>
    <x v="0"/>
    <s v="Envioclick- Coordinadora"/>
    <s v="2299853 – 84150821954"/>
    <d v="2024-04-02T00:00:00"/>
    <d v="2024-04-03T00:00:00"/>
    <x v="0"/>
    <n v="1"/>
    <n v="2"/>
    <x v="1"/>
    <n v="22355"/>
    <n v="2645"/>
  </r>
  <r>
    <d v="2024-04-02T00:00:00"/>
    <x v="3"/>
    <n v="14"/>
    <n v="1959"/>
    <x v="0"/>
    <s v="Néstor David Pérez Castellanos"/>
    <s v="TECU3FNPRO"/>
    <s v="Electric Standing Desk  PRO Negro"/>
    <n v="1"/>
    <x v="0"/>
    <x v="1"/>
    <x v="1"/>
    <x v="0"/>
    <s v="Envioclick- Coordinadora"/>
    <s v="2303665 – 84150823073"/>
    <d v="2024-04-03T00:00:00"/>
    <d v="2024-04-04T00:00:00"/>
    <x v="0"/>
    <n v="1"/>
    <n v="2"/>
    <x v="1"/>
    <n v="42002"/>
    <n v="-2002"/>
  </r>
  <r>
    <d v="2024-04-02T00:00:00"/>
    <x v="3"/>
    <n v="14"/>
    <n v="1959"/>
    <x v="0"/>
    <s v="Néstor David Pérez Castellanos"/>
    <s v="TECUTCO8C"/>
    <s v="Superficie Escritorio Caramelo 180x70 Clasico"/>
    <n v="1"/>
    <x v="1"/>
    <x v="1"/>
    <x v="1"/>
    <x v="0"/>
    <s v="Envioclick- Coordinadora"/>
    <s v="2303666 – 84150823074"/>
    <d v="2024-04-03T00:00:00"/>
    <d v="2024-04-04T00:00:00"/>
    <x v="0"/>
    <n v="1"/>
    <n v="2"/>
    <x v="1"/>
    <n v="25521"/>
    <e v="#N/A"/>
  </r>
  <r>
    <d v="2024-04-02T00:00:00"/>
    <x v="3"/>
    <n v="14"/>
    <n v="1959"/>
    <x v="0"/>
    <s v="Néstor David Pérez Castellanos"/>
    <s v="TECURCO"/>
    <s v="Repisa TECU  Caramelo"/>
    <n v="1"/>
    <x v="2"/>
    <x v="1"/>
    <x v="1"/>
    <x v="0"/>
    <s v="Envioclick- Coordinadora"/>
    <s v="2303661 – 84150823070"/>
    <d v="2024-04-03T00:00:00"/>
    <d v="2024-04-04T00:00:00"/>
    <x v="0"/>
    <n v="1"/>
    <n v="2"/>
    <x v="1"/>
    <n v="22355"/>
    <n v="2645"/>
  </r>
  <r>
    <d v="2024-04-03T00:00:00"/>
    <x v="3"/>
    <n v="14"/>
    <n v="1960"/>
    <x v="0"/>
    <s v="Melissa Ballesteros Puerta"/>
    <s v="TECU2FNG"/>
    <s v="Electric Standing Desk GO Negro"/>
    <n v="1"/>
    <x v="0"/>
    <x v="0"/>
    <x v="24"/>
    <x v="0"/>
    <s v="Envioclick- Coordinadora"/>
    <s v="2303922 – 84150823198"/>
    <d v="2024-04-03T00:00:00"/>
    <d v="2024-04-04T00:00:00"/>
    <x v="0"/>
    <n v="0"/>
    <n v="1"/>
    <x v="1"/>
    <n v="40734"/>
    <n v="-734"/>
  </r>
  <r>
    <d v="2024-04-03T00:00:00"/>
    <x v="3"/>
    <n v="14"/>
    <n v="1960"/>
    <x v="0"/>
    <s v="Melissa Ballesteros Puerta"/>
    <s v="TECUTCC4C"/>
    <s v="Superficie Escritorio Miel 140x70 Clasico"/>
    <n v="1"/>
    <x v="1"/>
    <x v="0"/>
    <x v="24"/>
    <x v="0"/>
    <s v="Envioclick- Coordinadora"/>
    <s v="2303923 – 84150823199"/>
    <d v="2024-04-03T00:00:00"/>
    <d v="2024-04-04T00:00:00"/>
    <x v="0"/>
    <n v="0"/>
    <n v="1"/>
    <x v="1"/>
    <n v="22988"/>
    <n v="12012"/>
  </r>
  <r>
    <d v="2024-04-03T00:00:00"/>
    <x v="3"/>
    <n v="14"/>
    <n v="1961"/>
    <x v="0"/>
    <s v="silvana camacho"/>
    <s v="TECU2FBGO"/>
    <s v="Electric Standing Desk GO Blanco"/>
    <n v="1"/>
    <x v="0"/>
    <x v="1"/>
    <x v="1"/>
    <x v="0"/>
    <s v="Envioclick- Coordinadora"/>
    <s v="2304704 – 84150823539"/>
    <d v="2024-04-03T00:00:00"/>
    <d v="2024-04-17T00:00:00"/>
    <x v="0"/>
    <n v="0"/>
    <n v="12"/>
    <x v="0"/>
    <n v="40734"/>
    <n v="-734"/>
  </r>
  <r>
    <d v="2024-04-03T00:00:00"/>
    <x v="3"/>
    <n v="14"/>
    <n v="1961"/>
    <x v="0"/>
    <s v="silvana camacho"/>
    <s v="TECUTCC2C"/>
    <s v="Superficie Escritorio Miel 120x70 Clasico Small"/>
    <n v="1"/>
    <x v="1"/>
    <x v="1"/>
    <x v="1"/>
    <x v="0"/>
    <s v="Envioclick- Coordinadora"/>
    <s v="2304705 – 84150823540"/>
    <d v="2024-04-03T00:00:00"/>
    <d v="2024-04-09T00:00:00"/>
    <x v="0"/>
    <n v="0"/>
    <n v="5"/>
    <x v="0"/>
    <n v="22988"/>
    <n v="12012"/>
  </r>
  <r>
    <d v="2024-04-19T00:00:00"/>
    <x v="3"/>
    <n v="16"/>
    <n v="1961"/>
    <x v="0"/>
    <s v="silvana camacho"/>
    <s v="TECUCT"/>
    <s v="TECU bandeja de cables"/>
    <n v="1"/>
    <x v="4"/>
    <x v="1"/>
    <x v="1"/>
    <x v="0"/>
    <s v="Envioclick- Coordinadora"/>
    <s v="2338483 - 84150837194"/>
    <d v="2024-04-19T00:00:00"/>
    <d v="2024-04-22T00:00:00"/>
    <x v="0"/>
    <n v="0"/>
    <n v="2"/>
    <x v="1"/>
    <n v="16631"/>
    <n v="8369"/>
  </r>
  <r>
    <d v="2024-04-03T00:00:00"/>
    <x v="3"/>
    <n v="14"/>
    <n v="1962"/>
    <x v="0"/>
    <s v="Daniel De La Pava Suarez"/>
    <s v="TECU3FNPRO"/>
    <s v="Electric Standing Desk  PRO Negro"/>
    <n v="1"/>
    <x v="0"/>
    <x v="4"/>
    <x v="5"/>
    <x v="0"/>
    <s v="Envioclick- Coordinadora"/>
    <s v="2306161 – 84150824140"/>
    <d v="2024-04-04T00:00:00"/>
    <d v="2024-04-05T00:00:00"/>
    <x v="0"/>
    <n v="1"/>
    <n v="2"/>
    <x v="1"/>
    <n v="42002"/>
    <n v="-2002"/>
  </r>
  <r>
    <d v="2024-04-03T00:00:00"/>
    <x v="3"/>
    <n v="14"/>
    <n v="1962"/>
    <x v="0"/>
    <s v="Daniel De La Pava Suarez"/>
    <s v="TECUTRN5C"/>
    <s v="Superficie Escritorio Roble negro 150x70 Clasico"/>
    <n v="1"/>
    <x v="1"/>
    <x v="4"/>
    <x v="5"/>
    <x v="0"/>
    <s v="Envioclick- Coordinadora"/>
    <s v="2306162 – 84150824141"/>
    <d v="2024-04-04T00:00:00"/>
    <d v="2024-04-05T00:00:00"/>
    <x v="0"/>
    <n v="1"/>
    <n v="2"/>
    <x v="1"/>
    <n v="22988"/>
    <n v="12012"/>
  </r>
  <r>
    <d v="2024-04-03T00:00:00"/>
    <x v="3"/>
    <n v="14"/>
    <n v="1962"/>
    <x v="0"/>
    <s v="Daniel De La Pava Suarez"/>
    <s v="TECURN"/>
    <s v="Repisa TECU  Negro (Wengue)"/>
    <n v="1"/>
    <x v="2"/>
    <x v="4"/>
    <x v="5"/>
    <x v="0"/>
    <s v="Envioclick- Coordinadora"/>
    <s v="2306158 – 84150824137"/>
    <d v="2024-04-04T00:00:00"/>
    <d v="2024-04-05T00:00:00"/>
    <x v="0"/>
    <n v="1"/>
    <n v="2"/>
    <x v="1"/>
    <n v="22355"/>
    <n v="2645"/>
  </r>
  <r>
    <d v="2024-04-03T00:00:00"/>
    <x v="3"/>
    <n v="14"/>
    <n v="1963"/>
    <x v="0"/>
    <s v="Melisa Arias Diaz"/>
    <s v="TECU3FNPRO"/>
    <s v="Electric Standing Desk  PRO Negro"/>
    <n v="1"/>
    <x v="0"/>
    <x v="1"/>
    <x v="1"/>
    <x v="0"/>
    <s v="Envioclick- Coordinadora"/>
    <s v="2306207 – 84150824157"/>
    <d v="2024-04-04T00:00:00"/>
    <d v="2024-04-05T00:00:00"/>
    <x v="0"/>
    <n v="1"/>
    <n v="2"/>
    <x v="1"/>
    <n v="42002"/>
    <n v="-2002"/>
  </r>
  <r>
    <d v="2024-04-03T00:00:00"/>
    <x v="3"/>
    <n v="14"/>
    <n v="1963"/>
    <x v="0"/>
    <s v="Melisa Arias Diaz"/>
    <s v="TECUTCO20C"/>
    <s v="Superficie Escritorio Caramelo 200x70 Clasico"/>
    <n v="1"/>
    <x v="1"/>
    <x v="1"/>
    <x v="1"/>
    <x v="0"/>
    <s v="Envioclick- Coordinadora"/>
    <s v="2306208 – 84150824158"/>
    <d v="2024-04-04T00:00:00"/>
    <d v="2024-04-05T00:00:00"/>
    <x v="0"/>
    <n v="1"/>
    <n v="2"/>
    <x v="1"/>
    <n v="25521"/>
    <n v="9479"/>
  </r>
  <r>
    <d v="2024-04-03T00:00:00"/>
    <x v="3"/>
    <n v="14"/>
    <n v="1963"/>
    <x v="0"/>
    <s v="Melisa Arias Diaz"/>
    <s v="TECURCO"/>
    <s v="Repisa TECU  Caramelo"/>
    <n v="1"/>
    <x v="2"/>
    <x v="1"/>
    <x v="1"/>
    <x v="0"/>
    <s v="Envioclick- Coordinadora"/>
    <s v="2306163 – 84150824143"/>
    <d v="2024-04-04T00:00:00"/>
    <d v="2024-04-05T00:00:00"/>
    <x v="0"/>
    <n v="1"/>
    <n v="2"/>
    <x v="1"/>
    <n v="22355"/>
    <n v="2645"/>
  </r>
  <r>
    <d v="2024-04-04T00:00:00"/>
    <x v="3"/>
    <n v="14"/>
    <n v="1964"/>
    <x v="0"/>
    <s v="Damián Cárdenas Loboguerrero"/>
    <s v="TECU2FGGO"/>
    <s v="Electric Standing Desk GO Gris"/>
    <n v="1"/>
    <x v="0"/>
    <x v="1"/>
    <x v="1"/>
    <x v="0"/>
    <s v="Envioclick- Coordinadora"/>
    <s v="2307342 – 84150824458"/>
    <d v="2024-04-04T00:00:00"/>
    <d v="2024-04-05T00:00:00"/>
    <x v="0"/>
    <n v="0"/>
    <n v="1"/>
    <x v="1"/>
    <n v="40734"/>
    <n v="-734"/>
  </r>
  <r>
    <d v="2024-04-04T00:00:00"/>
    <x v="3"/>
    <n v="14"/>
    <n v="1964"/>
    <x v="0"/>
    <s v="Damián Cárdenas Loboguerrero"/>
    <s v="TECUTCO4C"/>
    <s v="Superficie Escritorio Caramelo 140x70 Clasico"/>
    <n v="1"/>
    <x v="1"/>
    <x v="1"/>
    <x v="1"/>
    <x v="0"/>
    <s v="Envioclick- Coordinadora"/>
    <s v="2307343 – 84150824459"/>
    <d v="2024-04-04T00:00:00"/>
    <d v="2024-04-05T00:00:00"/>
    <x v="0"/>
    <n v="0"/>
    <n v="1"/>
    <x v="1"/>
    <n v="22988"/>
    <n v="12012"/>
  </r>
  <r>
    <d v="2024-04-04T00:00:00"/>
    <x v="3"/>
    <n v="14"/>
    <n v="1965"/>
    <x v="0"/>
    <s v="Gabriel Contreras"/>
    <s v="TECU3FNPRO"/>
    <s v="Electric Standing Desk  PRO Negro"/>
    <n v="1"/>
    <x v="0"/>
    <x v="1"/>
    <x v="1"/>
    <x v="0"/>
    <s v="Envioclick- Coordinadora"/>
    <s v="2308710 – 84150825086"/>
    <d v="2024-04-05T00:00:00"/>
    <d v="2024-04-06T00:00:00"/>
    <x v="0"/>
    <n v="1"/>
    <n v="2"/>
    <x v="1"/>
    <n v="42002"/>
    <n v="-2002"/>
  </r>
  <r>
    <d v="2024-04-04T00:00:00"/>
    <x v="3"/>
    <n v="14"/>
    <n v="1965"/>
    <x v="0"/>
    <s v="Gabriel Contreras"/>
    <s v="TECUTCO2C"/>
    <s v="Superficie Escritorio Caramelo 120x70 Clasico Small"/>
    <n v="1"/>
    <x v="1"/>
    <x v="1"/>
    <x v="1"/>
    <x v="0"/>
    <s v="Envioclick- Coordinadora"/>
    <s v="2308712 – 84150825087"/>
    <d v="2024-04-05T00:00:00"/>
    <d v="2024-04-06T00:00:00"/>
    <x v="0"/>
    <n v="1"/>
    <n v="2"/>
    <x v="1"/>
    <n v="27422"/>
    <n v="7578"/>
  </r>
  <r>
    <d v="2024-04-04T00:00:00"/>
    <x v="3"/>
    <n v="14"/>
    <n v="1965"/>
    <x v="0"/>
    <s v="Gabriel Contreras"/>
    <s v="TECURCO"/>
    <s v="Repisa TECU  Caramelo"/>
    <n v="1"/>
    <x v="2"/>
    <x v="1"/>
    <x v="1"/>
    <x v="0"/>
    <s v="Envioclick- Coordinadora"/>
    <s v="2308715 – 84150825088"/>
    <d v="2024-04-05T00:00:00"/>
    <d v="2024-04-06T00:00:00"/>
    <x v="0"/>
    <n v="1"/>
    <n v="2"/>
    <x v="1"/>
    <n v="22355"/>
    <n v="2645"/>
  </r>
  <r>
    <d v="2024-04-04T00:00:00"/>
    <x v="3"/>
    <n v="14"/>
    <n v="1965"/>
    <x v="0"/>
    <s v="Gabriel Contreras"/>
    <s v="TECU3FNPRO"/>
    <s v="Electric Standing Desk  PRO Negro"/>
    <n v="1"/>
    <x v="0"/>
    <x v="1"/>
    <x v="1"/>
    <x v="0"/>
    <s v="Envioclick- Coordinadora"/>
    <s v="2308716 – 84150825090"/>
    <d v="2024-04-05T00:00:00"/>
    <d v="2024-04-06T00:00:00"/>
    <x v="0"/>
    <n v="1"/>
    <n v="2"/>
    <x v="1"/>
    <n v="42002"/>
    <n v="-2002"/>
  </r>
  <r>
    <d v="2024-04-04T00:00:00"/>
    <x v="3"/>
    <n v="14"/>
    <n v="1965"/>
    <x v="0"/>
    <s v="Gabriel Contreras"/>
    <s v="TECUTCO2C"/>
    <s v="Superficie Escritorio Caramelo 120x70 Clasico Small"/>
    <n v="1"/>
    <x v="1"/>
    <x v="1"/>
    <x v="1"/>
    <x v="0"/>
    <s v="Envioclick- Coordinadora"/>
    <s v="2308717 – 84150825091"/>
    <d v="2024-04-05T00:00:00"/>
    <d v="2024-04-06T00:00:00"/>
    <x v="0"/>
    <n v="1"/>
    <n v="2"/>
    <x v="1"/>
    <n v="27422"/>
    <n v="7578"/>
  </r>
  <r>
    <d v="2024-04-04T00:00:00"/>
    <x v="3"/>
    <n v="14"/>
    <n v="1965"/>
    <x v="0"/>
    <s v="Gabriel Contreras"/>
    <s v="TECURCO"/>
    <s v="Repisa TECU  Caramelo"/>
    <n v="1"/>
    <x v="2"/>
    <x v="1"/>
    <x v="1"/>
    <x v="0"/>
    <s v="Envioclick- Coordinadora"/>
    <s v="2308705 – 84150825084"/>
    <d v="2024-04-05T00:00:00"/>
    <d v="2024-04-06T00:00:00"/>
    <x v="0"/>
    <n v="1"/>
    <n v="2"/>
    <x v="1"/>
    <n v="22355"/>
    <n v="2645"/>
  </r>
  <r>
    <d v="2024-04-04T00:00:00"/>
    <x v="3"/>
    <n v="14"/>
    <n v="1966"/>
    <x v="0"/>
    <s v="Jacqueline Piccigallo"/>
    <s v="TECU3FNPRO"/>
    <s v="Electric Standing Desk  PRO Negro"/>
    <n v="1"/>
    <x v="0"/>
    <x v="1"/>
    <x v="1"/>
    <x v="0"/>
    <s v="Envioclick- Coordinadora"/>
    <s v="2318398 – 84150829262"/>
    <d v="2024-04-10T00:00:00"/>
    <d v="2024-04-11T00:00:00"/>
    <x v="0"/>
    <n v="5"/>
    <n v="6"/>
    <x v="0"/>
    <n v="42002"/>
    <n v="-2002"/>
  </r>
  <r>
    <d v="2024-04-04T00:00:00"/>
    <x v="3"/>
    <n v="14"/>
    <n v="1966"/>
    <x v="0"/>
    <s v="Jacqueline Piccigallo"/>
    <s v="TECUTCO2C"/>
    <s v="Superficie Escritorio Caramelo 120x70 Clasico Small"/>
    <n v="1"/>
    <x v="1"/>
    <x v="1"/>
    <x v="1"/>
    <x v="0"/>
    <s v="Envioclick- Coordinadora"/>
    <s v="2318378 – 84150829256"/>
    <d v="2024-04-10T00:00:00"/>
    <d v="2024-04-11T00:00:00"/>
    <x v="0"/>
    <n v="5"/>
    <n v="6"/>
    <x v="0"/>
    <n v="22988"/>
    <n v="12012"/>
  </r>
  <r>
    <d v="2024-04-04T00:00:00"/>
    <x v="3"/>
    <n v="14"/>
    <n v="1966"/>
    <x v="0"/>
    <s v="Jacqueline Piccigallo"/>
    <s v="TECURCO"/>
    <s v="Repisa TECU  Caramelo"/>
    <n v="1"/>
    <x v="2"/>
    <x v="1"/>
    <x v="1"/>
    <x v="0"/>
    <s v="Envioclick- Coordinadora"/>
    <s v="2318403 – 84150829265"/>
    <d v="2024-04-10T00:00:00"/>
    <d v="2024-04-11T00:00:00"/>
    <x v="0"/>
    <n v="5"/>
    <n v="6"/>
    <x v="0"/>
    <n v="22355"/>
    <n v="2645"/>
  </r>
  <r>
    <d v="2024-04-05T00:00:00"/>
    <x v="3"/>
    <n v="14"/>
    <n v="1967"/>
    <x v="0"/>
    <s v="Johan Sebastian Meneses"/>
    <s v="TECU2FNG"/>
    <s v="Electric Standing Desk GO Negro"/>
    <n v="1"/>
    <x v="0"/>
    <x v="11"/>
    <x v="25"/>
    <x v="0"/>
    <s v="Envioclick- Coordinadora"/>
    <s v="2316254 – 84150828391"/>
    <d v="2024-04-09T00:00:00"/>
    <d v="2024-04-12T00:00:00"/>
    <x v="0"/>
    <n v="3"/>
    <n v="6"/>
    <x v="3"/>
    <n v="99555"/>
    <n v="-59555"/>
  </r>
  <r>
    <d v="2024-04-05T00:00:00"/>
    <x v="3"/>
    <n v="14"/>
    <n v="1967"/>
    <x v="0"/>
    <s v="Johan Sebastian Meneses"/>
    <s v="TECUTCC4C"/>
    <s v="Superficie Escritorio Miel 140x70 Clasico"/>
    <n v="1"/>
    <x v="1"/>
    <x v="11"/>
    <x v="25"/>
    <x v="0"/>
    <s v="Envioclick- Coordinadora"/>
    <s v="2316255 – 84150828392"/>
    <d v="2024-04-09T00:00:00"/>
    <d v="2024-04-12T00:00:00"/>
    <x v="0"/>
    <n v="3"/>
    <n v="6"/>
    <x v="3"/>
    <n v="75975"/>
    <n v="-40975"/>
  </r>
  <r>
    <d v="2024-04-05T00:00:00"/>
    <x v="3"/>
    <n v="14"/>
    <n v="1968"/>
    <x v="0"/>
    <s v="Jorge Medrano"/>
    <s v="TECU2FNG"/>
    <s v="Electric Standing Desk GO Negro"/>
    <n v="1"/>
    <x v="0"/>
    <x v="1"/>
    <x v="1"/>
    <x v="0"/>
    <s v="Envioclick- Coordinadora"/>
    <s v="2315669 – 84150828110"/>
    <d v="2024-04-09T00:00:00"/>
    <d v="2024-04-10T00:00:00"/>
    <x v="0"/>
    <n v="3"/>
    <n v="4"/>
    <x v="0"/>
    <n v="40734"/>
    <n v="-734"/>
  </r>
  <r>
    <d v="2024-04-05T00:00:00"/>
    <x v="3"/>
    <n v="14"/>
    <n v="1968"/>
    <x v="0"/>
    <s v="Jorge Medrano"/>
    <s v="TECUTCO4C"/>
    <s v="Superficie Escritorio Caramelo 140x70 Clasico"/>
    <n v="1"/>
    <x v="1"/>
    <x v="1"/>
    <x v="1"/>
    <x v="0"/>
    <s v="Envioclick- Coordinadora"/>
    <s v="2315670 – 84150828111"/>
    <d v="2024-04-09T00:00:00"/>
    <d v="2024-04-10T00:00:00"/>
    <x v="0"/>
    <n v="3"/>
    <n v="4"/>
    <x v="0"/>
    <n v="22988"/>
    <n v="12012"/>
  </r>
  <r>
    <d v="2024-04-05T00:00:00"/>
    <x v="3"/>
    <n v="14"/>
    <n v="1969"/>
    <x v="0"/>
    <s v="Ronald Ramirez"/>
    <s v="TECU2FNG"/>
    <s v="Electric Standing Desk GO Negro"/>
    <n v="1"/>
    <x v="0"/>
    <x v="1"/>
    <x v="1"/>
    <x v="0"/>
    <s v="Envioclick- Coordinadora"/>
    <s v="2312379 – 84150826569"/>
    <d v="2024-04-08T00:00:00"/>
    <d v="2024-04-09T00:00:00"/>
    <x v="0"/>
    <n v="2"/>
    <n v="3"/>
    <x v="1"/>
    <n v="40734"/>
    <n v="-734"/>
  </r>
  <r>
    <d v="2024-04-05T00:00:00"/>
    <x v="3"/>
    <n v="14"/>
    <n v="1969"/>
    <x v="0"/>
    <s v="Ronald Ramirez"/>
    <s v="TECUTRN2C"/>
    <s v="Superficie Escritorio Roble Negro 120x70 Clasico Small"/>
    <n v="1"/>
    <x v="1"/>
    <x v="1"/>
    <x v="1"/>
    <x v="0"/>
    <s v="Envioclick- Coordinadora"/>
    <s v="2312380 – 84150826570"/>
    <d v="2024-04-08T00:00:00"/>
    <d v="2024-04-09T00:00:00"/>
    <x v="0"/>
    <n v="2"/>
    <n v="3"/>
    <x v="1"/>
    <n v="22988"/>
    <n v="12012"/>
  </r>
  <r>
    <d v="2024-04-08T00:00:00"/>
    <x v="3"/>
    <n v="15"/>
    <n v="1970"/>
    <x v="0"/>
    <s v="carlos morales"/>
    <s v="TECU3FNPRO"/>
    <s v="Electric Standing Desk  PRO Negro"/>
    <n v="1"/>
    <x v="0"/>
    <x v="1"/>
    <x v="1"/>
    <x v="0"/>
    <s v="Envioclick- Coordinadora"/>
    <s v="2315690 – 84150828120"/>
    <d v="2024-04-09T00:00:00"/>
    <d v="2024-04-10T00:00:00"/>
    <x v="0"/>
    <n v="1"/>
    <n v="2"/>
    <x v="1"/>
    <n v="42002"/>
    <n v="-2002"/>
  </r>
  <r>
    <d v="2024-04-08T00:00:00"/>
    <x v="3"/>
    <n v="15"/>
    <n v="1970"/>
    <x v="0"/>
    <s v="carlos morales"/>
    <s v="TECUTCO3C"/>
    <s v="Superficie Escritorio Caramelo 130x70 Clasico"/>
    <n v="1"/>
    <x v="1"/>
    <x v="1"/>
    <x v="1"/>
    <x v="0"/>
    <s v="Envioclick- Coordinadora"/>
    <s v="2315691 – 84150828121"/>
    <d v="2024-04-09T00:00:00"/>
    <d v="2024-04-10T00:00:00"/>
    <x v="0"/>
    <n v="1"/>
    <n v="2"/>
    <x v="1"/>
    <n v="27422"/>
    <n v="7578"/>
  </r>
  <r>
    <d v="2024-04-08T00:00:00"/>
    <x v="3"/>
    <n v="15"/>
    <n v="1970"/>
    <x v="0"/>
    <s v="carlos morales"/>
    <s v="TECURCO"/>
    <s v="Repisa TECU  Caramelo"/>
    <n v="1"/>
    <x v="2"/>
    <x v="1"/>
    <x v="1"/>
    <x v="0"/>
    <s v="Envioclick- Coordinadora"/>
    <s v="2315686 – 84150828118"/>
    <d v="2024-04-09T00:00:00"/>
    <d v="2024-04-10T00:00:00"/>
    <x v="0"/>
    <n v="1"/>
    <n v="2"/>
    <x v="1"/>
    <n v="22355"/>
    <n v="2645"/>
  </r>
  <r>
    <d v="2024-04-08T00:00:00"/>
    <x v="3"/>
    <n v="15"/>
    <n v="1971"/>
    <x v="0"/>
    <s v="Carolina Guevara"/>
    <s v="TECU2FNG"/>
    <s v="Electric Standing Desk GO Negro"/>
    <n v="1"/>
    <x v="0"/>
    <x v="1"/>
    <x v="1"/>
    <x v="0"/>
    <s v="Envioclick- Coordinadora"/>
    <s v="2317529 – 84150828922"/>
    <d v="2024-04-10T00:00:00"/>
    <d v="2024-04-11T00:00:00"/>
    <x v="0"/>
    <n v="2"/>
    <n v="3"/>
    <x v="1"/>
    <n v="40734"/>
    <n v="-734"/>
  </r>
  <r>
    <d v="2024-04-08T00:00:00"/>
    <x v="3"/>
    <n v="15"/>
    <n v="1971"/>
    <x v="0"/>
    <s v="Carolina Guevara"/>
    <s v="TECUTCC4C"/>
    <s v="Superficie Escritorio Miel 140x70 Clasico"/>
    <n v="1"/>
    <x v="1"/>
    <x v="1"/>
    <x v="1"/>
    <x v="0"/>
    <s v="Envioclick- Coordinadora"/>
    <s v="2317520 – 84150828914"/>
    <d v="2024-04-10T00:00:00"/>
    <d v="2024-04-11T00:00:00"/>
    <x v="0"/>
    <n v="2"/>
    <n v="3"/>
    <x v="1"/>
    <n v="22988"/>
    <n v="12012"/>
  </r>
  <r>
    <d v="2024-04-08T00:00:00"/>
    <x v="3"/>
    <n v="15"/>
    <n v="1972"/>
    <x v="0"/>
    <s v="Jorge Paternina Montiel"/>
    <s v="TECUACC"/>
    <s v="Archivador TECU  Miel"/>
    <n v="1"/>
    <x v="3"/>
    <x v="2"/>
    <x v="2"/>
    <x v="0"/>
    <s v="Envioclick- Envia"/>
    <s v="2315795 – 954100942937"/>
    <d v="2024-04-09T00:00:00"/>
    <d v="2024-04-11T00:00:00"/>
    <x v="0"/>
    <n v="1"/>
    <n v="3"/>
    <x v="1"/>
    <n v="89267"/>
    <n v="-39267"/>
  </r>
  <r>
    <d v="2024-04-08T00:00:00"/>
    <x v="3"/>
    <n v="15"/>
    <n v="1973"/>
    <x v="0"/>
    <s v="Carlos Saballeth"/>
    <s v="TECU3FNPRO"/>
    <s v="Electric Standing Desk  PRO Negro"/>
    <n v="1"/>
    <x v="0"/>
    <x v="7"/>
    <x v="18"/>
    <x v="0"/>
    <s v="Envioclick- Coordinadora"/>
    <s v="2315755 – 84150828154"/>
    <d v="2024-04-09T00:00:00"/>
    <d v="2024-04-10T00:00:00"/>
    <x v="0"/>
    <n v="1"/>
    <n v="2"/>
    <x v="1"/>
    <n v="54627"/>
    <n v="-14627"/>
  </r>
  <r>
    <d v="2024-04-08T00:00:00"/>
    <x v="3"/>
    <n v="15"/>
    <n v="1974"/>
    <x v="0"/>
    <s v="Angela Hernandez"/>
    <s v="TECU3FNPRO"/>
    <s v="Electric Standing Desk  PRO Negro"/>
    <n v="1"/>
    <x v="0"/>
    <x v="4"/>
    <x v="5"/>
    <x v="0"/>
    <s v="Envioclick- Coordinadora"/>
    <s v="2317642 – 84150828940"/>
    <d v="2024-04-10T00:00:00"/>
    <d v="2024-04-11T00:00:00"/>
    <x v="0"/>
    <n v="2"/>
    <n v="3"/>
    <x v="1"/>
    <n v="42002"/>
    <n v="-2002"/>
  </r>
  <r>
    <d v="2024-04-08T00:00:00"/>
    <x v="3"/>
    <n v="15"/>
    <n v="1974"/>
    <x v="0"/>
    <s v="Angela Hernandez"/>
    <s v="TECUTCC5C"/>
    <s v="Superficie Escritorio Miel 150x70 Clasico"/>
    <n v="1"/>
    <x v="1"/>
    <x v="4"/>
    <x v="5"/>
    <x v="0"/>
    <s v="Envioclick- Coordinadora"/>
    <s v="2317582 – 84150828933"/>
    <d v="2024-04-10T00:00:00"/>
    <d v="2024-04-11T00:00:00"/>
    <x v="0"/>
    <n v="2"/>
    <n v="3"/>
    <x v="1"/>
    <n v="22988"/>
    <n v="12012"/>
  </r>
  <r>
    <d v="2024-04-08T00:00:00"/>
    <x v="3"/>
    <n v="15"/>
    <n v="1974"/>
    <x v="0"/>
    <s v="Angela Hernandez"/>
    <s v="TECURCC"/>
    <s v="Repisa TECU  Miel"/>
    <n v="1"/>
    <x v="2"/>
    <x v="4"/>
    <x v="5"/>
    <x v="0"/>
    <s v="Envioclick- Coordinadora"/>
    <s v="2317766 – 84150828992"/>
    <d v="2024-04-10T00:00:00"/>
    <d v="2024-04-11T00:00:00"/>
    <x v="0"/>
    <n v="2"/>
    <n v="3"/>
    <x v="1"/>
    <n v="22355"/>
    <n v="2645"/>
  </r>
  <r>
    <d v="2024-04-08T00:00:00"/>
    <x v="3"/>
    <n v="15"/>
    <n v="1974"/>
    <x v="0"/>
    <s v="Angela Hernandez"/>
    <s v="TECUACC"/>
    <s v="Archivador TECU  Miel"/>
    <n v="1"/>
    <x v="3"/>
    <x v="4"/>
    <x v="5"/>
    <x v="0"/>
    <s v="Envioclick- Envia"/>
    <s v="2332844 – 954100948110"/>
    <d v="2024-04-17T00:00:00"/>
    <d v="2024-04-19T00:00:00"/>
    <x v="0"/>
    <n v="8"/>
    <n v="10"/>
    <x v="0"/>
    <n v="65442"/>
    <n v="-15442"/>
  </r>
  <r>
    <d v="2024-04-08T00:00:00"/>
    <x v="3"/>
    <n v="15"/>
    <n v="1975"/>
    <x v="0"/>
    <s v="SANTIAGO MONTOYA SUAREZ"/>
    <s v="TECU2FNG"/>
    <s v="Electric Standing Desk GO Negro"/>
    <n v="1"/>
    <x v="0"/>
    <x v="10"/>
    <x v="26"/>
    <x v="0"/>
    <s v="Envioclick- Coordinadora"/>
    <s v="2315779 – 84150828174"/>
    <d v="2024-04-09T00:00:00"/>
    <d v="2024-04-10T00:00:00"/>
    <x v="0"/>
    <n v="1"/>
    <n v="2"/>
    <x v="1"/>
    <n v="33736"/>
    <n v="6264"/>
  </r>
  <r>
    <d v="2024-04-08T00:00:00"/>
    <x v="3"/>
    <n v="15"/>
    <n v="1975"/>
    <x v="0"/>
    <s v="SANTIAGO MONTOYA SUAREZ"/>
    <s v="TECUTCO4C"/>
    <s v="Superficie Escritorio Caramelo 140x70 Clasico"/>
    <n v="1"/>
    <x v="1"/>
    <x v="10"/>
    <x v="26"/>
    <x v="0"/>
    <s v="Envioclick- Coordinadora"/>
    <s v="2315780 – 84150828175"/>
    <d v="2024-04-09T00:00:00"/>
    <d v="2024-04-10T00:00:00"/>
    <x v="0"/>
    <n v="1"/>
    <n v="2"/>
    <x v="1"/>
    <n v="14589"/>
    <n v="20411"/>
  </r>
  <r>
    <d v="2024-04-09T00:00:00"/>
    <x v="3"/>
    <n v="15"/>
    <n v="1976"/>
    <x v="0"/>
    <s v="3D CONSULTING GROUP S.A.S"/>
    <s v="TECULFN2"/>
    <s v="Electric Standing Desk | Escritorio Ajustable En L Frame Negro 2.0"/>
    <n v="1"/>
    <x v="0"/>
    <x v="1"/>
    <x v="1"/>
    <x v="0"/>
    <s v="Envioclick- Coordinadora"/>
    <s v="2320189 – 84150829917"/>
    <d v="2024-04-11T00:00:00"/>
    <d v="2024-04-12T00:00:00"/>
    <x v="0"/>
    <n v="2"/>
    <n v="3"/>
    <x v="1"/>
    <n v="60937"/>
    <n v="-20937"/>
  </r>
  <r>
    <d v="2024-04-10T00:00:00"/>
    <x v="3"/>
    <n v="15"/>
    <n v="1977"/>
    <x v="0"/>
    <s v="Felipe Guerrero"/>
    <s v="TECU3FNPRO"/>
    <s v="Electric Standing Desk  PRO Negro"/>
    <n v="1"/>
    <x v="0"/>
    <x v="1"/>
    <x v="1"/>
    <x v="0"/>
    <s v="Envioclick- Coordinadora"/>
    <s v="2325972 – 84150832229"/>
    <d v="2024-04-15T00:00:00"/>
    <d v="2024-04-16T00:00:00"/>
    <x v="0"/>
    <n v="4"/>
    <n v="5"/>
    <x v="0"/>
    <n v="42002"/>
    <n v="-2002"/>
  </r>
  <r>
    <d v="2024-04-10T00:00:00"/>
    <x v="3"/>
    <n v="15"/>
    <n v="1977"/>
    <x v="0"/>
    <s v="Felipe Guerrero"/>
    <s v="TECUTB6C"/>
    <s v="Superficie Escritorio Blanco (Niebla) 160x70 Clasico"/>
    <n v="1"/>
    <x v="1"/>
    <x v="1"/>
    <x v="1"/>
    <x v="0"/>
    <s v="Envioclick- Coordinadora"/>
    <s v="2325974 – 84150832230"/>
    <d v="2024-04-15T00:00:00"/>
    <d v="2024-04-16T00:00:00"/>
    <x v="0"/>
    <n v="4"/>
    <n v="5"/>
    <x v="0"/>
    <n v="22988"/>
    <n v="12012"/>
  </r>
  <r>
    <d v="2024-04-10T00:00:00"/>
    <x v="3"/>
    <n v="15"/>
    <n v="1977"/>
    <x v="0"/>
    <s v="Felipe Guerrero"/>
    <s v="TECURB"/>
    <s v="Repisa TECU  Blanco (Niebla)"/>
    <n v="1"/>
    <x v="2"/>
    <x v="1"/>
    <x v="1"/>
    <x v="0"/>
    <s v="Envioclick- Coordinadora"/>
    <s v="2325968 – 84150832223"/>
    <d v="2024-04-15T00:00:00"/>
    <d v="2024-04-16T00:00:00"/>
    <x v="0"/>
    <n v="4"/>
    <n v="5"/>
    <x v="0"/>
    <n v="22355"/>
    <n v="2645"/>
  </r>
  <r>
    <d v="2024-04-11T00:00:00"/>
    <x v="3"/>
    <n v="15"/>
    <n v="1978"/>
    <x v="0"/>
    <s v="Juan Restrepo"/>
    <s v="TECU3FNPRO"/>
    <s v="Electric Standing Desk  PRO Negro"/>
    <n v="1"/>
    <x v="0"/>
    <x v="0"/>
    <x v="0"/>
    <x v="0"/>
    <s v="Envioclick- Coordinadora"/>
    <s v="2326298 – 84150832373"/>
    <d v="2024-04-15T00:00:00"/>
    <d v="2024-04-16T00:00:00"/>
    <x v="0"/>
    <n v="3"/>
    <n v="4"/>
    <x v="0"/>
    <n v="42002"/>
    <n v="-2002"/>
  </r>
  <r>
    <d v="2024-04-11T00:00:00"/>
    <x v="3"/>
    <n v="15"/>
    <n v="1978"/>
    <x v="0"/>
    <s v="Juan Restrepo"/>
    <s v="TECUTCC6C"/>
    <s v="Superficie Escritorio Miel 160x70 Clasico"/>
    <n v="1"/>
    <x v="1"/>
    <x v="0"/>
    <x v="0"/>
    <x v="0"/>
    <s v="Envioclick- Coordinadora"/>
    <s v="2326299 – 84150832374"/>
    <d v="2024-04-15T00:00:00"/>
    <d v="2024-04-16T00:00:00"/>
    <x v="0"/>
    <n v="3"/>
    <n v="4"/>
    <x v="0"/>
    <n v="22988"/>
    <n v="12012"/>
  </r>
  <r>
    <d v="2024-04-11T00:00:00"/>
    <x v="3"/>
    <n v="15"/>
    <n v="1978"/>
    <x v="0"/>
    <s v="Juan Restrepo"/>
    <s v="TECURCC"/>
    <s v="Repisa TECU  Miel"/>
    <n v="1"/>
    <x v="2"/>
    <x v="0"/>
    <x v="0"/>
    <x v="0"/>
    <s v="Envioclick- Coordinadora"/>
    <s v="2326281 – 84150832364"/>
    <d v="2024-04-15T00:00:00"/>
    <d v="2024-04-16T00:00:00"/>
    <x v="0"/>
    <n v="3"/>
    <n v="4"/>
    <x v="0"/>
    <n v="22355"/>
    <n v="2645"/>
  </r>
  <r>
    <d v="2024-04-11T00:00:00"/>
    <x v="3"/>
    <n v="15"/>
    <n v="1979"/>
    <x v="0"/>
    <s v="carlos morales"/>
    <s v="TECUCT"/>
    <s v="TECU bandeja de cables"/>
    <n v="1"/>
    <x v="4"/>
    <x v="1"/>
    <x v="1"/>
    <x v="0"/>
    <s v="Envioclick- Coordinadora"/>
    <s v="2322099 – 84150830688"/>
    <d v="2024-04-12T00:00:00"/>
    <d v="2024-04-13T00:00:00"/>
    <x v="0"/>
    <n v="1"/>
    <n v="2"/>
    <x v="1"/>
    <n v="16631"/>
    <n v="8369"/>
  </r>
  <r>
    <d v="2024-04-12T00:00:00"/>
    <x v="3"/>
    <n v="15"/>
    <n v="1980"/>
    <x v="0"/>
    <s v="Marco Useche"/>
    <s v="TECU3FNPRO"/>
    <s v="Electric Standing Desk  PRO Negro"/>
    <n v="1"/>
    <x v="0"/>
    <x v="1"/>
    <x v="1"/>
    <x v="0"/>
    <s v="Envioclick- Coordinadora"/>
    <s v="2326005 – 84150832247"/>
    <d v="2024-04-15T00:00:00"/>
    <d v="2024-04-16T00:00:00"/>
    <x v="0"/>
    <n v="2"/>
    <n v="3"/>
    <x v="1"/>
    <n v="42002"/>
    <n v="-2002"/>
  </r>
  <r>
    <d v="2024-04-12T00:00:00"/>
    <x v="3"/>
    <n v="15"/>
    <n v="1980"/>
    <x v="0"/>
    <s v="Marco Useche"/>
    <s v="TECUTRN6M"/>
    <s v="Superficie Escritorio Roble Negro 160x70 Moderno"/>
    <n v="1"/>
    <x v="1"/>
    <x v="1"/>
    <x v="1"/>
    <x v="0"/>
    <s v="Envioclick- Coordinadora"/>
    <s v="2326007 – 84150832248"/>
    <d v="2024-04-15T00:00:00"/>
    <d v="2024-04-16T00:00:00"/>
    <x v="0"/>
    <n v="2"/>
    <n v="3"/>
    <x v="1"/>
    <n v="22988"/>
    <e v="#N/A"/>
  </r>
  <r>
    <d v="2024-04-12T00:00:00"/>
    <x v="3"/>
    <n v="15"/>
    <n v="1980"/>
    <x v="0"/>
    <s v="Marco Useche"/>
    <s v="TECURN"/>
    <s v="Repisa TECU  Negro (Wengue)"/>
    <n v="1"/>
    <x v="2"/>
    <x v="1"/>
    <x v="1"/>
    <x v="0"/>
    <s v="Envioclick- Coordinadora"/>
    <s v="2325999 – 84150832244"/>
    <d v="2024-04-15T00:00:00"/>
    <d v="2024-04-16T00:00:00"/>
    <x v="0"/>
    <n v="2"/>
    <n v="3"/>
    <x v="1"/>
    <n v="22355"/>
    <n v="2645"/>
  </r>
  <r>
    <d v="2024-04-12T00:00:00"/>
    <x v="3"/>
    <n v="15"/>
    <n v="1981"/>
    <x v="0"/>
    <s v="Santiago Tovar Ruiz"/>
    <s v="TECU2FNG"/>
    <s v="Electric Standing Desk GO Negro"/>
    <n v="1"/>
    <x v="0"/>
    <x v="1"/>
    <x v="1"/>
    <x v="0"/>
    <s v="Envioclick- Coordinadora"/>
    <s v="2326219 – 84150832320"/>
    <d v="2024-04-15T00:00:00"/>
    <d v="2024-04-16T00:00:00"/>
    <x v="0"/>
    <n v="2"/>
    <n v="3"/>
    <x v="1"/>
    <n v="40734"/>
    <n v="-734"/>
  </r>
  <r>
    <d v="2024-04-12T00:00:00"/>
    <x v="3"/>
    <n v="15"/>
    <n v="1981"/>
    <x v="0"/>
    <s v="Santiago Tovar Ruiz"/>
    <s v="TECUTB4C"/>
    <s v="Superficie Escritorio Blanco (Niebla) 140x70 Clasico"/>
    <n v="1"/>
    <x v="1"/>
    <x v="1"/>
    <x v="1"/>
    <x v="0"/>
    <s v="Envioclick- Coordinadora"/>
    <s v="2326221 – 84150832322"/>
    <d v="2024-04-15T00:00:00"/>
    <d v="2024-04-16T00:00:00"/>
    <x v="0"/>
    <n v="2"/>
    <n v="3"/>
    <x v="1"/>
    <n v="22988"/>
    <n v="12012"/>
  </r>
  <r>
    <d v="2024-04-15T00:00:00"/>
    <x v="3"/>
    <n v="16"/>
    <n v="1982"/>
    <x v="0"/>
    <s v="john diaz"/>
    <s v="TECUACO"/>
    <s v="Archivador TECU  Caramelo"/>
    <n v="1"/>
    <x v="3"/>
    <x v="1"/>
    <x v="1"/>
    <x v="0"/>
    <s v="Envioclick- Envia"/>
    <s v="2332874 – 954100948127"/>
    <d v="2024-04-18T00:00:00"/>
    <d v="2024-04-23T00:00:00"/>
    <x v="0"/>
    <n v="3"/>
    <n v="7"/>
    <x v="0"/>
    <n v="56461"/>
    <n v="-6461"/>
  </r>
  <r>
    <d v="2024-04-15T00:00:00"/>
    <x v="3"/>
    <n v="16"/>
    <s v="INFLUENCER"/>
    <x v="0"/>
    <s v="Brown Studio"/>
    <s v="TECU3FNPRO"/>
    <s v="Electric Standing Desk  PRO Negro"/>
    <n v="1"/>
    <x v="0"/>
    <x v="1"/>
    <x v="1"/>
    <x v="0"/>
    <s v="Envioclick- Coordinadora"/>
    <s v="2327381 – 84150832968"/>
    <d v="2024-04-15T00:00:00"/>
    <d v="2024-04-16T00:00:00"/>
    <x v="0"/>
    <n v="0"/>
    <n v="1"/>
    <x v="1"/>
    <n v="42042"/>
    <n v="-2042"/>
  </r>
  <r>
    <d v="2024-04-15T00:00:00"/>
    <x v="3"/>
    <n v="16"/>
    <s v="INFLUENCER"/>
    <x v="0"/>
    <s v="Brown Studio"/>
    <s v="TECUTRM8C"/>
    <s v="Superficie Roble Miel 180x70 Clasico"/>
    <n v="1"/>
    <x v="1"/>
    <x v="1"/>
    <x v="1"/>
    <x v="0"/>
    <s v="Envioclick- Coordinadora"/>
    <s v="2327362 – 84150832960"/>
    <d v="2024-04-15T00:00:00"/>
    <d v="2024-04-16T00:00:00"/>
    <x v="0"/>
    <n v="0"/>
    <n v="1"/>
    <x v="1"/>
    <n v="30589"/>
    <n v="4411"/>
  </r>
  <r>
    <d v="2024-04-15T00:00:00"/>
    <x v="3"/>
    <n v="16"/>
    <s v="INFLUENCER"/>
    <x v="0"/>
    <s v="Brown Studio"/>
    <s v="TECURRM"/>
    <s v="Repisa Roble Miel"/>
    <n v="1"/>
    <x v="2"/>
    <x v="1"/>
    <x v="1"/>
    <x v="0"/>
    <s v="Envioclick- Coordinadora"/>
    <s v="2334211 – 84150835985"/>
    <d v="2024-04-18T00:00:00"/>
    <d v="2024-04-19T00:00:00"/>
    <x v="0"/>
    <n v="3"/>
    <n v="4"/>
    <x v="0"/>
    <n v="23545"/>
    <e v="#N/A"/>
  </r>
  <r>
    <d v="2024-04-15T00:00:00"/>
    <x v="3"/>
    <n v="16"/>
    <s v="INFLUENCER"/>
    <x v="0"/>
    <s v="Brown Studio"/>
    <s v="TECUCT"/>
    <s v="TECU bandeja de cables"/>
    <n v="1"/>
    <x v="4"/>
    <x v="1"/>
    <x v="1"/>
    <x v="0"/>
    <s v="Envioclick- Coordinadora"/>
    <s v="2334292 – 84150836012"/>
    <d v="2024-04-18T00:00:00"/>
    <d v="2024-04-19T00:00:00"/>
    <x v="0"/>
    <n v="3"/>
    <n v="4"/>
    <x v="0"/>
    <n v="16631"/>
    <n v="8369"/>
  </r>
  <r>
    <d v="2024-04-15T00:00:00"/>
    <x v="3"/>
    <n v="16"/>
    <s v="INFLUENCER"/>
    <x v="0"/>
    <s v="Brown Studio"/>
    <s v="TECUDSN"/>
    <s v="TECU Desk Stool Negra Silla ajustable"/>
    <n v="1"/>
    <x v="5"/>
    <x v="1"/>
    <x v="1"/>
    <x v="0"/>
    <s v="Envioclick- Coordinadora"/>
    <s v="2334117 – 84150835964"/>
    <d v="2024-04-18T00:00:00"/>
    <d v="2024-04-19T00:00:00"/>
    <x v="0"/>
    <n v="3"/>
    <n v="4"/>
    <x v="0"/>
    <n v="23835"/>
    <n v="1165"/>
  </r>
  <r>
    <d v="2024-04-15T00:00:00"/>
    <x v="3"/>
    <n v="16"/>
    <s v="INFLUENCER"/>
    <x v="0"/>
    <s v="Brown Studio"/>
    <s v="TECUBLS"/>
    <s v="TECU Laptop Stand B"/>
    <n v="1"/>
    <x v="4"/>
    <x v="1"/>
    <x v="1"/>
    <x v="0"/>
    <s v="Envioclick- Coordinadora"/>
    <s v="2334268 – 84150836000"/>
    <d v="2024-04-18T00:00:00"/>
    <d v="2024-04-19T00:00:00"/>
    <x v="0"/>
    <n v="3"/>
    <n v="4"/>
    <x v="0"/>
    <n v="23432"/>
    <n v="26568"/>
  </r>
  <r>
    <d v="2024-04-15T00:00:00"/>
    <x v="3"/>
    <n v="16"/>
    <s v="INFLUENCER"/>
    <x v="0"/>
    <s v="Brown Studio"/>
    <s v="TECUBDPM"/>
    <s v="TECU Desk Pad B Negro Café Miel"/>
    <n v="1"/>
    <x v="4"/>
    <x v="1"/>
    <x v="1"/>
    <x v="0"/>
    <s v="Envioclick- Coordinadora"/>
    <s v="2334349 – 84150836019"/>
    <d v="2024-04-18T00:00:00"/>
    <d v="2024-04-19T00:00:00"/>
    <x v="0"/>
    <n v="3"/>
    <n v="4"/>
    <x v="0"/>
    <n v="15721"/>
    <n v="34279"/>
  </r>
  <r>
    <d v="2024-04-15T00:00:00"/>
    <x v="3"/>
    <n v="16"/>
    <s v="INFLUENCER"/>
    <x v="0"/>
    <s v="Brown Studio"/>
    <s v="TECUAN"/>
    <s v="Archivador TECU  Negro (Wengue)"/>
    <n v="1"/>
    <x v="3"/>
    <x v="1"/>
    <x v="1"/>
    <x v="0"/>
    <s v="Envioclick- Envia"/>
    <s v="2332919 – 954100948211"/>
    <d v="2024-04-18T00:00:00"/>
    <d v="2024-04-26T00:00:00"/>
    <x v="0"/>
    <n v="3"/>
    <n v="10"/>
    <x v="0"/>
    <n v="56461"/>
    <n v="-6461"/>
  </r>
  <r>
    <d v="2024-04-16T00:00:00"/>
    <x v="3"/>
    <n v="16"/>
    <n v="1983"/>
    <x v="0"/>
    <s v="Kristian Espitia"/>
    <s v="TECU3FNPRO"/>
    <s v="Electric Standing Desk  PRO Negro"/>
    <n v="1"/>
    <x v="0"/>
    <x v="1"/>
    <x v="1"/>
    <x v="0"/>
    <s v="Envioclick- Coordinadora"/>
    <s v="2328938 – 84150833844"/>
    <d v="2024-04-16T00:00:00"/>
    <d v="2024-04-17T00:00:00"/>
    <x v="0"/>
    <n v="0"/>
    <n v="1"/>
    <x v="1"/>
    <n v="42002"/>
    <n v="-2002"/>
  </r>
  <r>
    <d v="2024-04-16T00:00:00"/>
    <x v="3"/>
    <n v="16"/>
    <n v="1983"/>
    <x v="0"/>
    <s v="Kristian Espitia"/>
    <s v="TECUTRN2C"/>
    <s v="Superficie Escritorio Roble Negro 120x70 Clasico Small"/>
    <n v="1"/>
    <x v="1"/>
    <x v="1"/>
    <x v="1"/>
    <x v="0"/>
    <s v="Envioclick- Coordinadora"/>
    <s v="2328941 – 84150833847"/>
    <d v="2024-04-16T00:00:00"/>
    <d v="2024-04-17T00:00:00"/>
    <x v="0"/>
    <n v="0"/>
    <n v="1"/>
    <x v="1"/>
    <n v="27422"/>
    <n v="7578"/>
  </r>
  <r>
    <d v="2024-04-16T00:00:00"/>
    <x v="3"/>
    <n v="16"/>
    <n v="1983"/>
    <x v="0"/>
    <s v="Kristian Espitia"/>
    <s v="TECURN"/>
    <s v="Repisa TECU  Negro (Wengue)"/>
    <n v="1"/>
    <x v="2"/>
    <x v="1"/>
    <x v="1"/>
    <x v="0"/>
    <s v="Envioclick- Coordinadora"/>
    <s v="2328936 – 84150833840"/>
    <d v="2024-04-16T00:00:00"/>
    <d v="2024-04-17T00:00:00"/>
    <x v="0"/>
    <n v="0"/>
    <n v="1"/>
    <x v="1"/>
    <n v="22355"/>
    <n v="2645"/>
  </r>
  <r>
    <d v="2024-04-16T00:00:00"/>
    <x v="3"/>
    <n v="16"/>
    <n v="1984"/>
    <x v="0"/>
    <s v="Victor Orobio Hurtado"/>
    <s v="TECULFN2"/>
    <s v="Electric Standing Desk | Escritorio Ajustable En L Frame Negro 2.0"/>
    <n v="1"/>
    <x v="0"/>
    <x v="4"/>
    <x v="6"/>
    <x v="0"/>
    <s v="Envioclick- Coordinadora"/>
    <s v="2335040 – 84150836219"/>
    <d v="2024-04-18T00:00:00"/>
    <d v="2024-04-19T00:00:00"/>
    <x v="0"/>
    <n v="2"/>
    <n v="3"/>
    <x v="1"/>
    <n v="60937"/>
    <n v="-20937"/>
  </r>
  <r>
    <d v="2024-04-16T00:00:00"/>
    <x v="3"/>
    <n v="16"/>
    <n v="1984"/>
    <x v="0"/>
    <s v="Victor Orobio Hurtado"/>
    <s v="TECUTLCCS"/>
    <s v="Superficie Escritorio en L Caramelo Set completo"/>
    <n v="1"/>
    <x v="1"/>
    <x v="4"/>
    <x v="6"/>
    <x v="0"/>
    <s v="Envioclick- Coordinadora"/>
    <s v="2335042 – 84150836220"/>
    <d v="2024-04-18T00:00:00"/>
    <d v="2024-04-19T00:00:00"/>
    <x v="0"/>
    <n v="2"/>
    <n v="3"/>
    <x v="1"/>
    <n v="25521"/>
    <n v="9479"/>
  </r>
  <r>
    <d v="2024-04-16T00:00:00"/>
    <x v="3"/>
    <n v="16"/>
    <n v="1985"/>
    <x v="0"/>
    <s v="Jose Luis Polanco Morales"/>
    <s v="TECU3FNPRO"/>
    <s v="Electric Standing Desk  PRO Negro"/>
    <n v="1"/>
    <x v="0"/>
    <x v="1"/>
    <x v="1"/>
    <x v="0"/>
    <s v="Envioclick- Coordinadora"/>
    <s v="2335022 – 84150836206"/>
    <d v="2024-04-18T00:00:00"/>
    <d v="2024-04-19T00:00:00"/>
    <x v="0"/>
    <n v="2"/>
    <n v="3"/>
    <x v="1"/>
    <n v="42002"/>
    <n v="-2002"/>
  </r>
  <r>
    <d v="2024-04-16T00:00:00"/>
    <x v="3"/>
    <n v="16"/>
    <n v="1985"/>
    <x v="0"/>
    <s v="Jose Luis Polanco Morales"/>
    <s v="TECUTCO5M"/>
    <s v="Superficie Escritorio Caramelo 150x70 Moderno"/>
    <n v="1"/>
    <x v="1"/>
    <x v="1"/>
    <x v="1"/>
    <x v="0"/>
    <s v="Envioclick- Coordinadora"/>
    <s v="2335023 – 84150836207"/>
    <d v="2024-04-18T00:00:00"/>
    <d v="2024-04-19T00:00:00"/>
    <x v="0"/>
    <n v="2"/>
    <n v="3"/>
    <x v="1"/>
    <n v="22988"/>
    <n v="12012"/>
  </r>
  <r>
    <d v="2024-04-16T00:00:00"/>
    <x v="3"/>
    <n v="16"/>
    <n v="1985"/>
    <x v="0"/>
    <s v="Jose Luis Polanco Morales"/>
    <s v="TECURCO"/>
    <s v="Repisa TECU  Caramelo"/>
    <n v="1"/>
    <x v="2"/>
    <x v="1"/>
    <x v="1"/>
    <x v="0"/>
    <s v="Envioclick- Coordinadora"/>
    <s v="2335020 – 84150836204"/>
    <d v="2024-04-18T00:00:00"/>
    <d v="2024-04-19T00:00:00"/>
    <x v="0"/>
    <n v="2"/>
    <n v="3"/>
    <x v="1"/>
    <n v="22355"/>
    <n v="2645"/>
  </r>
  <r>
    <d v="2024-04-16T00:00:00"/>
    <x v="3"/>
    <n v="16"/>
    <n v="1986"/>
    <x v="0"/>
    <s v="Nestor David Perez Catellanos"/>
    <s v="TECUBDPG"/>
    <s v="TECU Desk Pad B Negro Gris"/>
    <n v="1"/>
    <x v="4"/>
    <x v="1"/>
    <x v="1"/>
    <x v="0"/>
    <s v="Envioclick- Coordinadora"/>
    <s v="2331134 – 84150834779"/>
    <d v="2024-04-17T00:00:00"/>
    <d v="2024-04-18T00:00:00"/>
    <x v="0"/>
    <n v="1"/>
    <n v="2"/>
    <x v="1"/>
    <n v="16131"/>
    <n v="33869"/>
  </r>
  <r>
    <d v="2024-04-16T00:00:00"/>
    <x v="3"/>
    <n v="16"/>
    <n v="1987"/>
    <x v="0"/>
    <s v="Camilo Torres Callejas"/>
    <s v="TECURCC"/>
    <s v="Repisa TECU  Miel"/>
    <n v="1"/>
    <x v="2"/>
    <x v="12"/>
    <x v="27"/>
    <x v="0"/>
    <s v="Envioclick- Coordinadora"/>
    <s v="2335031 – 84150836211"/>
    <d v="2024-04-18T00:00:00"/>
    <d v="2024-04-20T00:00:00"/>
    <x v="0"/>
    <n v="2"/>
    <n v="4"/>
    <x v="3"/>
    <n v="36102"/>
    <n v="-11102"/>
  </r>
  <r>
    <d v="2024-04-16T00:00:00"/>
    <x v="3"/>
    <n v="16"/>
    <n v="1988"/>
    <x v="0"/>
    <s v="Marta Sanchez"/>
    <s v="TECUCT"/>
    <s v="TECU bandeja de cables"/>
    <n v="1"/>
    <x v="4"/>
    <x v="1"/>
    <x v="1"/>
    <x v="0"/>
    <s v="Envioclick- Coordinadora"/>
    <s v="2331186 – 84150834792"/>
    <d v="2024-04-17T00:00:00"/>
    <d v="2024-04-18T00:00:00"/>
    <x v="0"/>
    <n v="1"/>
    <n v="2"/>
    <x v="1"/>
    <n v="16631"/>
    <n v="8369"/>
  </r>
  <r>
    <d v="2024-04-16T00:00:00"/>
    <x v="3"/>
    <n v="16"/>
    <n v="1988"/>
    <x v="0"/>
    <s v="Marta Sanchez"/>
    <s v="TECUDSN"/>
    <s v="TECU Desk Stool Negra Silla ajustable"/>
    <n v="1"/>
    <x v="5"/>
    <x v="1"/>
    <x v="1"/>
    <x v="0"/>
    <s v="Envioclick- Coordinadora"/>
    <s v="2331249 – 84150834802"/>
    <d v="2024-04-17T00:00:00"/>
    <d v="2024-04-18T00:00:00"/>
    <x v="0"/>
    <n v="1"/>
    <n v="2"/>
    <x v="1"/>
    <n v="25935"/>
    <n v="-935"/>
  </r>
  <r>
    <d v="2024-04-17T00:00:00"/>
    <x v="3"/>
    <n v="16"/>
    <n v="1989"/>
    <x v="0"/>
    <s v="Alejandro Rodriguez"/>
    <s v="TECUBDPM"/>
    <s v="TECU Desk Pad B Negro Café Miel"/>
    <n v="1"/>
    <x v="4"/>
    <x v="1"/>
    <x v="1"/>
    <x v="0"/>
    <s v="Envioclick- Coordinadora"/>
    <s v="2331946 – 84150835035"/>
    <d v="2024-04-17T00:00:00"/>
    <d v="2024-04-18T00:00:00"/>
    <x v="0"/>
    <n v="0"/>
    <n v="1"/>
    <x v="1"/>
    <n v="16131"/>
    <n v="33869"/>
  </r>
  <r>
    <d v="2024-04-18T00:00:00"/>
    <x v="3"/>
    <n v="16"/>
    <n v="1990"/>
    <x v="0"/>
    <s v="Lucas Cosoli"/>
    <s v="TECU3FNPRO"/>
    <s v="Electric Standing Desk  PRO Negro"/>
    <n v="1"/>
    <x v="0"/>
    <x v="1"/>
    <x v="1"/>
    <x v="0"/>
    <s v="Envioclick- Coordinadora"/>
    <s v="2337521 – 84150836792"/>
    <d v="2024-04-19T00:00:00"/>
    <d v="2024-04-20T00:00:00"/>
    <x v="0"/>
    <n v="1"/>
    <n v="2"/>
    <x v="1"/>
    <n v="42002"/>
    <n v="-2002"/>
  </r>
  <r>
    <d v="2024-04-18T00:00:00"/>
    <x v="3"/>
    <n v="16"/>
    <n v="1990"/>
    <x v="0"/>
    <s v="Lucas Cosoli"/>
    <s v="TECUTCO7M"/>
    <s v="Superficie Escritorio Caramelo 170x70 Moderno"/>
    <n v="1"/>
    <x v="1"/>
    <x v="1"/>
    <x v="1"/>
    <x v="0"/>
    <s v="Envioclick- Coordinadora"/>
    <s v="2337522 – 84150836793"/>
    <d v="2024-04-19T00:00:00"/>
    <d v="2024-04-20T00:00:00"/>
    <x v="0"/>
    <n v="1"/>
    <n v="2"/>
    <x v="1"/>
    <n v="25521"/>
    <e v="#N/A"/>
  </r>
  <r>
    <d v="2024-04-18T00:00:00"/>
    <x v="3"/>
    <n v="16"/>
    <n v="1990"/>
    <x v="0"/>
    <s v="Lucas Cosoli"/>
    <s v="TECURCO"/>
    <s v="Repisa TECU  Caramelo"/>
    <n v="1"/>
    <x v="2"/>
    <x v="1"/>
    <x v="1"/>
    <x v="0"/>
    <s v="Envioclick- Coordinadora"/>
    <s v="2337520 – 84150836790"/>
    <d v="2024-04-19T00:00:00"/>
    <d v="2024-04-20T00:00:00"/>
    <x v="0"/>
    <n v="1"/>
    <n v="2"/>
    <x v="1"/>
    <n v="22355"/>
    <n v="2645"/>
  </r>
  <r>
    <d v="2024-04-18T00:00:00"/>
    <x v="3"/>
    <n v="16"/>
    <n v="1990"/>
    <x v="0"/>
    <s v="Lucas Cosoli"/>
    <s v="TECUBDPA"/>
    <s v="TECU Desk Pad B Negro Azul"/>
    <n v="1"/>
    <x v="4"/>
    <x v="1"/>
    <x v="1"/>
    <x v="0"/>
    <s v="Envioclick- Coordinadora"/>
    <s v="2337518 – 84150836788"/>
    <d v="2024-04-19T00:00:00"/>
    <d v="2024-04-20T00:00:00"/>
    <x v="0"/>
    <n v="1"/>
    <n v="2"/>
    <x v="1"/>
    <n v="16131"/>
    <n v="33869"/>
  </r>
  <r>
    <d v="2024-04-22T00:00:00"/>
    <x v="3"/>
    <n v="17"/>
    <n v="1991"/>
    <x v="0"/>
    <s v="Jose Manuel Medina Cano"/>
    <s v="TECU2FNG"/>
    <s v="Electric Standing Desk GO Negro"/>
    <n v="1"/>
    <x v="0"/>
    <x v="0"/>
    <x v="3"/>
    <x v="0"/>
    <s v="Envioclick- Coordinadora"/>
    <s v="2341817 – 84150838486"/>
    <d v="2024-04-22T00:00:00"/>
    <d v="2024-04-23T00:00:00"/>
    <x v="0"/>
    <n v="0"/>
    <n v="1"/>
    <x v="1"/>
    <n v="40734"/>
    <n v="-734"/>
  </r>
  <r>
    <d v="2024-04-22T00:00:00"/>
    <x v="3"/>
    <n v="17"/>
    <n v="1991"/>
    <x v="0"/>
    <s v="Jose Manuel Medina Cano"/>
    <s v="TECUTCC4C"/>
    <s v="Superficie Escritorio Miel 140x70 Clasico"/>
    <n v="1"/>
    <x v="1"/>
    <x v="0"/>
    <x v="3"/>
    <x v="0"/>
    <s v="Envioclick- Coordinadora"/>
    <s v="2341818 – 84150838487"/>
    <d v="2024-04-22T00:00:00"/>
    <d v="2024-04-23T00:00:00"/>
    <x v="0"/>
    <n v="0"/>
    <n v="1"/>
    <x v="1"/>
    <n v="22988"/>
    <n v="12012"/>
  </r>
  <r>
    <d v="2024-04-22T00:00:00"/>
    <x v="3"/>
    <n v="17"/>
    <n v="1992"/>
    <x v="0"/>
    <s v="Carlos Torres"/>
    <s v="TECU3FNPRO"/>
    <s v="Electric Standing Desk  PRO Negro"/>
    <n v="1"/>
    <x v="0"/>
    <x v="0"/>
    <x v="12"/>
    <x v="0"/>
    <s v="Envioclick- Coordinadora"/>
    <s v="2341889 – 84150838516"/>
    <d v="2024-04-22T00:00:00"/>
    <d v="2024-04-23T00:00:00"/>
    <x v="0"/>
    <n v="0"/>
    <n v="1"/>
    <x v="1"/>
    <n v="42002"/>
    <n v="-2002"/>
  </r>
  <r>
    <d v="2024-04-22T00:00:00"/>
    <x v="3"/>
    <n v="17"/>
    <n v="1992"/>
    <x v="0"/>
    <s v="Carlos Torres"/>
    <s v="TECUTCO8M"/>
    <s v="Superficie Escritorio Caramelo 180x70 Moderno"/>
    <n v="1"/>
    <x v="1"/>
    <x v="0"/>
    <x v="12"/>
    <x v="0"/>
    <s v="Envioclick- Coordinadora"/>
    <s v="2341891 – 84150838517"/>
    <d v="2024-04-22T00:00:00"/>
    <d v="2024-04-23T00:00:00"/>
    <x v="0"/>
    <n v="0"/>
    <n v="1"/>
    <x v="1"/>
    <n v="25521"/>
    <n v="9479"/>
  </r>
  <r>
    <d v="2024-04-22T00:00:00"/>
    <x v="3"/>
    <n v="17"/>
    <n v="1992"/>
    <x v="0"/>
    <s v="Carlos Torres"/>
    <s v="TECURCO"/>
    <s v="Repisa TECU  Caramelo"/>
    <n v="1"/>
    <x v="2"/>
    <x v="0"/>
    <x v="12"/>
    <x v="0"/>
    <s v="Envioclick- Coordinadora"/>
    <s v="2341863 - 84150838511"/>
    <d v="2024-04-22T00:00:00"/>
    <d v="2024-04-23T00:00:00"/>
    <x v="0"/>
    <n v="0"/>
    <n v="1"/>
    <x v="1"/>
    <n v="22355"/>
    <n v="2645"/>
  </r>
  <r>
    <d v="2024-04-22T00:00:00"/>
    <x v="3"/>
    <n v="17"/>
    <n v="1993"/>
    <x v="0"/>
    <s v="Daniel Cuervo Arevalo"/>
    <s v="TECU2FNG"/>
    <s v="Electric Standing Desk GO Negro"/>
    <n v="1"/>
    <x v="0"/>
    <x v="1"/>
    <x v="1"/>
    <x v="0"/>
    <s v="Envioclick- Coordinadora"/>
    <s v="2346594 – 84150840783"/>
    <d v="2024-04-24T00:00:00"/>
    <d v="2024-04-25T00:00:00"/>
    <x v="0"/>
    <n v="2"/>
    <n v="3"/>
    <x v="1"/>
    <n v="40734"/>
    <n v="-734"/>
  </r>
  <r>
    <d v="2024-04-22T00:00:00"/>
    <x v="3"/>
    <n v="17"/>
    <n v="1993"/>
    <x v="0"/>
    <s v="Daniel Cuervo Arevalo"/>
    <s v="TECUTCO2C"/>
    <s v="Superficie Escritorio Caramelo 120x70 Clasico Small"/>
    <n v="1"/>
    <x v="1"/>
    <x v="1"/>
    <x v="1"/>
    <x v="0"/>
    <s v="Envioclick- Coordinadora"/>
    <s v="2346595 – 84150840784"/>
    <d v="2024-04-24T00:00:00"/>
    <d v="2024-04-25T00:00:00"/>
    <x v="0"/>
    <n v="2"/>
    <n v="3"/>
    <x v="1"/>
    <n v="22988"/>
    <n v="12012"/>
  </r>
  <r>
    <d v="2024-04-22T00:00:00"/>
    <x v="3"/>
    <n v="17"/>
    <n v="1993"/>
    <x v="0"/>
    <s v="Daniel Cuervo Arevalo"/>
    <s v="TECU3FNPRO"/>
    <s v="Electric Standing Desk  PRO Negro"/>
    <n v="1"/>
    <x v="0"/>
    <x v="1"/>
    <x v="1"/>
    <x v="0"/>
    <s v="Envioclick- Coordinadora"/>
    <s v="2346597 – 84150840786"/>
    <d v="2024-04-24T00:00:00"/>
    <d v="2024-04-25T00:00:00"/>
    <x v="0"/>
    <n v="2"/>
    <n v="3"/>
    <x v="1"/>
    <n v="42002"/>
    <n v="-2002"/>
  </r>
  <r>
    <d v="2024-04-22T00:00:00"/>
    <x v="3"/>
    <n v="17"/>
    <n v="1993"/>
    <x v="0"/>
    <s v="Daniel Cuervo Arevalo"/>
    <s v="TECUTCO2C"/>
    <s v="Superficie Escritorio Caramelo 120x70 Clasico Small"/>
    <n v="1"/>
    <x v="1"/>
    <x v="1"/>
    <x v="1"/>
    <x v="0"/>
    <s v="Envioclick- Coordinadora"/>
    <s v="2346598 – 84150840787"/>
    <d v="2024-04-24T00:00:00"/>
    <d v="2024-04-25T00:00:00"/>
    <x v="0"/>
    <n v="2"/>
    <n v="3"/>
    <x v="1"/>
    <n v="27422"/>
    <n v="7578"/>
  </r>
  <r>
    <d v="2024-04-22T00:00:00"/>
    <x v="3"/>
    <n v="17"/>
    <n v="1993"/>
    <x v="0"/>
    <s v="Daniel Cuervo Arevalo"/>
    <s v="TECURCO"/>
    <s v="Repisa TECU  Caramelo"/>
    <n v="1"/>
    <x v="2"/>
    <x v="1"/>
    <x v="1"/>
    <x v="0"/>
    <s v="Envioclick- Coordinadora"/>
    <s v="2346588 – 84150840779"/>
    <d v="2024-04-24T00:00:00"/>
    <d v="2024-04-25T00:00:00"/>
    <x v="0"/>
    <n v="2"/>
    <n v="3"/>
    <x v="1"/>
    <n v="22355"/>
    <n v="2645"/>
  </r>
  <r>
    <d v="2024-04-24T00:00:00"/>
    <x v="3"/>
    <n v="17"/>
    <n v="1994"/>
    <x v="0"/>
    <s v="Juan Carlos Gomez"/>
    <s v="TECUACC"/>
    <s v="Archivador TECU  Miel"/>
    <n v="1"/>
    <x v="3"/>
    <x v="1"/>
    <x v="1"/>
    <x v="0"/>
    <s v="Envioclick- Envia"/>
    <s v="2348798 – 954100952512"/>
    <d v="2024-04-25T00:00:00"/>
    <d v="2024-04-26T00:00:00"/>
    <x v="0"/>
    <n v="1"/>
    <n v="2"/>
    <x v="1"/>
    <n v="56461"/>
    <n v="-6461"/>
  </r>
  <r>
    <d v="2024-04-24T00:00:00"/>
    <x v="3"/>
    <n v="17"/>
    <n v="1994"/>
    <x v="0"/>
    <s v="Juan Carlos Gomez"/>
    <s v="TECUAB"/>
    <s v="Archivador TECU  Blanco (Niebla)"/>
    <n v="1"/>
    <x v="3"/>
    <x v="1"/>
    <x v="1"/>
    <x v="0"/>
    <s v="Envioclick- Envia"/>
    <s v="2348806 – 954100952519"/>
    <d v="2024-04-25T00:00:00"/>
    <d v="2024-04-26T00:00:00"/>
    <x v="0"/>
    <n v="1"/>
    <n v="2"/>
    <x v="1"/>
    <n v="56461"/>
    <n v="-6461"/>
  </r>
  <r>
    <d v="2024-04-24T00:00:00"/>
    <x v="3"/>
    <n v="17"/>
    <n v="1994"/>
    <x v="0"/>
    <s v="Juan Carlos Gomez"/>
    <s v="TECURB"/>
    <s v="Repisa TECU  Blanco (Niebla)"/>
    <n v="1"/>
    <x v="2"/>
    <x v="1"/>
    <x v="1"/>
    <x v="0"/>
    <s v="Envioclick- Coordinadora"/>
    <s v="2348840 – 84150841828"/>
    <d v="2024-04-25T00:00:00"/>
    <d v="2024-04-26T00:00:00"/>
    <x v="0"/>
    <n v="1"/>
    <n v="2"/>
    <x v="1"/>
    <n v="22355"/>
    <n v="2645"/>
  </r>
  <r>
    <d v="2024-04-25T00:00:00"/>
    <x v="3"/>
    <n v="17"/>
    <n v="1995"/>
    <x v="0"/>
    <s v="Javier Andrés Collazos Gómez"/>
    <s v="TECUTRN7C"/>
    <s v="Superficie Escritorio Roble Negro 170x70 Clasico"/>
    <n v="1"/>
    <x v="1"/>
    <x v="13"/>
    <x v="28"/>
    <x v="0"/>
    <s v="Envioclick- Coordinadora"/>
    <s v="2351181 – 84150842798"/>
    <d v="2024-04-26T00:00:00"/>
    <d v="2024-04-27T00:00:00"/>
    <x v="0"/>
    <n v="1"/>
    <n v="2"/>
    <x v="1"/>
    <n v="25521"/>
    <n v="9479"/>
  </r>
  <r>
    <d v="2024-04-25T00:00:00"/>
    <x v="3"/>
    <n v="17"/>
    <n v="1995"/>
    <x v="0"/>
    <s v="Javier Andrés Collazos Gómez"/>
    <s v="TECU3FNPRO"/>
    <s v="Electric Standing Desk  PRO Negro"/>
    <n v="1"/>
    <x v="0"/>
    <x v="13"/>
    <x v="28"/>
    <x v="0"/>
    <s v="Envioclick- Coordinadora"/>
    <s v="2351180 – 84150842797"/>
    <d v="2024-04-26T00:00:00"/>
    <d v="2024-04-27T00:00:00"/>
    <x v="0"/>
    <n v="1"/>
    <n v="2"/>
    <x v="1"/>
    <n v="42002"/>
    <n v="-2002"/>
  </r>
  <r>
    <d v="2024-04-25T00:00:00"/>
    <x v="3"/>
    <n v="17"/>
    <n v="1995"/>
    <x v="0"/>
    <s v="Javier Andrés Collazos Gómez"/>
    <s v="TECURN"/>
    <s v="Repisa TECU  Negro (Wengue)"/>
    <n v="1"/>
    <x v="2"/>
    <x v="13"/>
    <x v="28"/>
    <x v="0"/>
    <s v="Envioclick- Coordinadora"/>
    <s v="2351177 – 84150842786"/>
    <d v="2024-04-26T00:00:00"/>
    <d v="2024-04-29T00:00:00"/>
    <x v="0"/>
    <n v="1"/>
    <n v="3"/>
    <x v="1"/>
    <n v="22355"/>
    <n v="2645"/>
  </r>
  <r>
    <d v="2024-04-25T00:00:00"/>
    <x v="3"/>
    <n v="17"/>
    <n v="1996"/>
    <x v="0"/>
    <s v="3D CONSULTING GROUP S.A.S."/>
    <s v="TECULFN2"/>
    <s v="Electric Standing Desk | Escritorio Ajustable En L Frame Negro 2.0"/>
    <n v="1"/>
    <x v="0"/>
    <x v="1"/>
    <x v="1"/>
    <x v="0"/>
    <s v="Envioclick- Coordinadora"/>
    <s v="2362164 - 84150846913"/>
    <d v="2024-05-02T00:00:00"/>
    <d v="2024-05-03T00:00:00"/>
    <x v="0"/>
    <n v="5"/>
    <n v="6"/>
    <x v="0"/>
    <n v="60937"/>
    <n v="-20937"/>
  </r>
  <r>
    <d v="2024-04-25T00:00:00"/>
    <x v="3"/>
    <n v="17"/>
    <n v="1996"/>
    <x v="0"/>
    <s v="3D CONSULTING GROUP S.A.S."/>
    <s v="TECULFN2"/>
    <s v="Electric Standing Desk | Escritorio Ajustable En L Frame Negro 2.0"/>
    <n v="1"/>
    <x v="0"/>
    <x v="1"/>
    <x v="1"/>
    <x v="0"/>
    <s v="Envioclick- Coordinadora"/>
    <s v="2362178 - 84150846917"/>
    <d v="2024-05-02T00:00:00"/>
    <d v="2024-05-03T00:00:00"/>
    <x v="0"/>
    <n v="5"/>
    <n v="6"/>
    <x v="0"/>
    <n v="60937"/>
    <n v="-20937"/>
  </r>
  <r>
    <d v="2024-04-25T00:00:00"/>
    <x v="3"/>
    <n v="17"/>
    <n v="1997"/>
    <x v="0"/>
    <s v="ROLANDO COGOLLO"/>
    <s v="TECUTCC7C"/>
    <s v="Superficie Escritorio Miel 170x70 Clasico"/>
    <n v="1"/>
    <x v="1"/>
    <x v="1"/>
    <x v="1"/>
    <x v="0"/>
    <s v="Envioclick- Coordinadora"/>
    <s v="2351205 – 84150842818"/>
    <d v="2024-04-26T00:00:00"/>
    <d v="2024-04-27T00:00:00"/>
    <x v="0"/>
    <n v="1"/>
    <n v="2"/>
    <x v="1"/>
    <n v="25521"/>
    <n v="9479"/>
  </r>
  <r>
    <d v="2024-04-25T00:00:00"/>
    <x v="3"/>
    <n v="17"/>
    <n v="1997"/>
    <x v="0"/>
    <s v="ROLANDO COGOLLO"/>
    <s v="TECU3FGPRO"/>
    <s v="Electric Standing Desk  PRO Gris"/>
    <n v="1"/>
    <x v="0"/>
    <x v="1"/>
    <x v="1"/>
    <x v="0"/>
    <s v="Envioclick- Coordinadora"/>
    <s v="2351204 – 84150842817"/>
    <d v="2024-04-26T00:00:00"/>
    <d v="2024-04-27T00:00:00"/>
    <x v="0"/>
    <n v="1"/>
    <n v="2"/>
    <x v="1"/>
    <n v="42002"/>
    <n v="-2002"/>
  </r>
  <r>
    <d v="2024-04-25T00:00:00"/>
    <x v="3"/>
    <n v="17"/>
    <n v="1997"/>
    <x v="0"/>
    <s v="ROLANDO COGOLLO"/>
    <s v="TECURCC"/>
    <s v="Repisa TECU  Miel"/>
    <n v="1"/>
    <x v="2"/>
    <x v="1"/>
    <x v="1"/>
    <x v="0"/>
    <s v="Envioclick- Coordinadora"/>
    <s v="2351201 – 84150842814"/>
    <d v="2024-04-26T00:00:00"/>
    <d v="2024-04-27T00:00:00"/>
    <x v="0"/>
    <n v="1"/>
    <n v="2"/>
    <x v="1"/>
    <n v="22355"/>
    <n v="2645"/>
  </r>
  <r>
    <d v="2024-04-25T00:00:00"/>
    <x v="3"/>
    <n v="17"/>
    <n v="1997"/>
    <x v="0"/>
    <s v="ROLANDO COGOLLO"/>
    <s v="TECUCT"/>
    <s v="TECU bandeja de cables"/>
    <n v="1"/>
    <x v="4"/>
    <x v="1"/>
    <x v="1"/>
    <x v="0"/>
    <s v="Envioclick- Coordinadora"/>
    <s v="2351189 – 84150842809"/>
    <d v="2024-04-26T00:00:00"/>
    <d v="2024-04-27T00:00:00"/>
    <x v="0"/>
    <n v="1"/>
    <n v="2"/>
    <x v="1"/>
    <n v="16631"/>
    <n v="8369"/>
  </r>
  <r>
    <d v="2024-04-26T00:00:00"/>
    <x v="3"/>
    <n v="17"/>
    <n v="1998"/>
    <x v="0"/>
    <s v="David Alonso Ladino Medina"/>
    <s v="TECU3FNPRO"/>
    <s v="Electric Standing Desk  PRO Negro"/>
    <n v="1"/>
    <x v="0"/>
    <x v="1"/>
    <x v="1"/>
    <x v="0"/>
    <s v="Envioclick- Coordinadora"/>
    <s v="2351224 – 84150842822"/>
    <d v="2024-04-26T00:00:00"/>
    <d v="2024-04-27T00:00:00"/>
    <x v="0"/>
    <n v="0"/>
    <n v="1"/>
    <x v="1"/>
    <n v="42002"/>
    <n v="-2002"/>
  </r>
  <r>
    <d v="2024-04-26T00:00:00"/>
    <x v="3"/>
    <n v="17"/>
    <n v="1998"/>
    <x v="0"/>
    <s v="David Alonso Ladino Medina"/>
    <s v="TECUTCO5C"/>
    <s v="Superficie Escritorio Caramelo 150x70 Clasico"/>
    <n v="1"/>
    <x v="1"/>
    <x v="1"/>
    <x v="1"/>
    <x v="0"/>
    <s v="Envioclick- Coordinadora"/>
    <s v="2351226 – 84150842823"/>
    <d v="2024-04-26T00:00:00"/>
    <d v="2024-04-27T00:00:00"/>
    <x v="0"/>
    <n v="0"/>
    <n v="1"/>
    <x v="1"/>
    <n v="22988"/>
    <e v="#N/A"/>
  </r>
  <r>
    <d v="2024-04-26T00:00:00"/>
    <x v="3"/>
    <n v="17"/>
    <n v="1998"/>
    <x v="0"/>
    <s v="David Alonso Ladino Medina"/>
    <s v="TECURCO"/>
    <s v="Repisa TECU  Caramelo"/>
    <n v="1"/>
    <x v="2"/>
    <x v="1"/>
    <x v="1"/>
    <x v="0"/>
    <s v="Envioclick- Coordinadora"/>
    <s v="2351222 – 84150842821"/>
    <d v="2024-04-26T00:00:00"/>
    <d v="2024-04-27T00:00:00"/>
    <x v="0"/>
    <n v="0"/>
    <n v="1"/>
    <x v="1"/>
    <n v="22355"/>
    <n v="2645"/>
  </r>
  <r>
    <d v="2024-04-26T00:00:00"/>
    <x v="3"/>
    <n v="17"/>
    <n v="1999"/>
    <x v="0"/>
    <s v="Juan David Espitia Aguillon"/>
    <s v="TECULFN2"/>
    <s v="Electric Standing Desk | Escritorio Ajustable En L Frame Negro 2.0"/>
    <n v="1"/>
    <x v="0"/>
    <x v="14"/>
    <x v="29"/>
    <x v="0"/>
    <s v="Entrega directa"/>
    <s v="NA"/>
    <d v="2024-04-30T00:00:00"/>
    <d v="2024-04-30T00:00:00"/>
    <x v="0"/>
    <n v="3"/>
    <n v="3"/>
    <x v="1"/>
    <n v="25000"/>
    <n v="15000"/>
  </r>
  <r>
    <d v="2024-04-26T00:00:00"/>
    <x v="3"/>
    <n v="17"/>
    <n v="1999"/>
    <x v="0"/>
    <s v="Juan David Espitia Aguillon"/>
    <s v="TECUTLCCS"/>
    <s v="Superficie Escritorio en L Caramelo Set completo"/>
    <n v="1"/>
    <x v="1"/>
    <x v="14"/>
    <x v="29"/>
    <x v="0"/>
    <s v="Entrega directa"/>
    <s v="NA"/>
    <d v="2024-04-30T00:00:00"/>
    <d v="2024-04-30T00:00:00"/>
    <x v="0"/>
    <n v="3"/>
    <n v="3"/>
    <x v="1"/>
    <n v="25000"/>
    <n v="10000"/>
  </r>
  <r>
    <d v="2024-04-26T00:00:00"/>
    <x v="3"/>
    <n v="17"/>
    <n v="2000"/>
    <x v="0"/>
    <s v="Misael Gutierrez"/>
    <s v="TECU3FNPRO"/>
    <s v="Electric Standing Desk  PRO Negro"/>
    <n v="1"/>
    <x v="0"/>
    <x v="1"/>
    <x v="15"/>
    <x v="0"/>
    <s v="Envioclick- Coordinadora"/>
    <s v="2354800 – 84150844174"/>
    <d v="2024-04-29T00:00:00"/>
    <d v="2024-04-30T00:00:00"/>
    <x v="0"/>
    <n v="2"/>
    <n v="3"/>
    <x v="1"/>
    <n v="54627"/>
    <n v="-14627"/>
  </r>
  <r>
    <d v="2024-04-26T00:00:00"/>
    <x v="3"/>
    <n v="17"/>
    <n v="2000"/>
    <x v="0"/>
    <s v="Misael Gutierrez"/>
    <s v="TECUTCC8M"/>
    <s v="Superficie Escritorio Miel 180x70 Moderno"/>
    <n v="1"/>
    <x v="1"/>
    <x v="1"/>
    <x v="15"/>
    <x v="0"/>
    <s v="Envioclick- Coordinadora"/>
    <s v="2354801 – 84150844175"/>
    <d v="2024-04-29T00:00:00"/>
    <d v="2024-04-30T00:00:00"/>
    <x v="0"/>
    <n v="2"/>
    <n v="3"/>
    <x v="1"/>
    <n v="36884"/>
    <n v="-1884"/>
  </r>
  <r>
    <d v="2024-04-26T00:00:00"/>
    <x v="3"/>
    <n v="17"/>
    <n v="2000"/>
    <x v="0"/>
    <s v="Misael Gutierrez"/>
    <s v="TECURCC"/>
    <s v="Repisa TECU  Miel"/>
    <n v="1"/>
    <x v="2"/>
    <x v="1"/>
    <x v="15"/>
    <x v="0"/>
    <s v="Envioclick- Coordinadora"/>
    <s v="2354787 – 84150844172"/>
    <d v="2024-04-29T00:00:00"/>
    <d v="2024-04-30T00:00:00"/>
    <x v="0"/>
    <n v="2"/>
    <n v="3"/>
    <x v="1"/>
    <n v="31613"/>
    <n v="-6613"/>
  </r>
  <r>
    <d v="2024-04-29T00:00:00"/>
    <x v="3"/>
    <n v="18"/>
    <n v="2001"/>
    <x v="0"/>
    <s v="RUBEN ORTIZ"/>
    <s v="TECU3FNPRO"/>
    <s v="Electric Standing Desk  PRO Negro"/>
    <n v="1"/>
    <x v="0"/>
    <x v="1"/>
    <x v="1"/>
    <x v="0"/>
    <s v="Envioclick- Coordinadora"/>
    <s v="2354774 – 84150844163"/>
    <d v="2024-04-29T00:00:00"/>
    <d v="2024-04-30T00:00:00"/>
    <x v="0"/>
    <n v="0"/>
    <n v="1"/>
    <x v="1"/>
    <n v="42002"/>
    <n v="-2002"/>
  </r>
  <r>
    <d v="2024-04-29T00:00:00"/>
    <x v="3"/>
    <n v="18"/>
    <n v="2001"/>
    <x v="0"/>
    <s v="RUBEN ORTIZ"/>
    <s v="TECUTCO20C"/>
    <s v="Superficie Escritorio Caramelo 200x70 Clasico"/>
    <n v="1"/>
    <x v="1"/>
    <x v="1"/>
    <x v="1"/>
    <x v="0"/>
    <s v="Envioclick- Coordinadora"/>
    <s v="2354775 – 84150844164"/>
    <d v="2024-04-29T00:00:00"/>
    <d v="2024-04-30T00:00:00"/>
    <x v="0"/>
    <n v="0"/>
    <n v="1"/>
    <x v="1"/>
    <n v="25521"/>
    <n v="9479"/>
  </r>
  <r>
    <d v="2024-04-29T00:00:00"/>
    <x v="3"/>
    <n v="18"/>
    <n v="2001"/>
    <x v="0"/>
    <s v="RUBEN ORTIZ"/>
    <s v="TECURCO"/>
    <s v="Repisa TECU  Caramelo"/>
    <n v="1"/>
    <x v="2"/>
    <x v="1"/>
    <x v="1"/>
    <x v="0"/>
    <s v="Envioclick- Coordinadora"/>
    <s v="2354755 – 84150844157"/>
    <d v="2024-04-29T00:00:00"/>
    <d v="2024-04-30T00:00:00"/>
    <x v="0"/>
    <n v="0"/>
    <n v="1"/>
    <x v="1"/>
    <n v="22355"/>
    <n v="2645"/>
  </r>
  <r>
    <d v="2024-04-29T00:00:00"/>
    <x v="3"/>
    <n v="18"/>
    <n v="2002"/>
    <x v="0"/>
    <s v="Daniel Correa"/>
    <s v="TECU2FBGO"/>
    <s v="Electric Standing Desk GO Blanco"/>
    <n v="1"/>
    <x v="0"/>
    <x v="0"/>
    <x v="10"/>
    <x v="0"/>
    <s v="Envioclick- Coordinadora"/>
    <s v="2354740 – 84150844148"/>
    <d v="2024-04-29T00:00:00"/>
    <d v="2024-04-30T00:00:00"/>
    <x v="0"/>
    <n v="0"/>
    <n v="1"/>
    <x v="1"/>
    <n v="40734"/>
    <n v="-734"/>
  </r>
  <r>
    <d v="2024-04-29T00:00:00"/>
    <x v="3"/>
    <n v="18"/>
    <n v="2002"/>
    <x v="0"/>
    <s v="Daniel Correa"/>
    <s v="TECUTB2C"/>
    <s v="Superficie Escritorio Blanco (Niebla) 120x70 Clasico Small"/>
    <n v="1"/>
    <x v="1"/>
    <x v="0"/>
    <x v="10"/>
    <x v="0"/>
    <s v="Envioclick- Coordinadora"/>
    <s v="2354741 – 84150844150"/>
    <d v="2024-04-29T00:00:00"/>
    <d v="2024-04-30T00:00:00"/>
    <x v="0"/>
    <n v="0"/>
    <n v="1"/>
    <x v="1"/>
    <n v="22988"/>
    <n v="12012"/>
  </r>
  <r>
    <d v="2024-04-29T00:00:00"/>
    <x v="3"/>
    <n v="18"/>
    <n v="2003"/>
    <x v="0"/>
    <s v="Latin Leap SAS"/>
    <s v="TECU3FNPRO"/>
    <s v="Electric Standing Desk  PRO Negro"/>
    <n v="1"/>
    <x v="0"/>
    <x v="0"/>
    <x v="10"/>
    <x v="0"/>
    <s v="Envioclick- Coordinadora"/>
    <s v="2354836 – 84150844189"/>
    <d v="2024-04-29T00:00:00"/>
    <d v="2024-04-30T00:00:00"/>
    <x v="0"/>
    <n v="0"/>
    <n v="1"/>
    <x v="1"/>
    <n v="42002"/>
    <n v="-2002"/>
  </r>
  <r>
    <d v="2024-04-29T00:00:00"/>
    <x v="3"/>
    <n v="18"/>
    <n v="2003"/>
    <x v="0"/>
    <s v="Latin Leap SAS"/>
    <s v="TECUTCO6M"/>
    <s v="Superficie Escritorio Caramelo 160x70 Moderno"/>
    <n v="1"/>
    <x v="1"/>
    <x v="0"/>
    <x v="10"/>
    <x v="0"/>
    <s v="Envioclick- Coordinadora"/>
    <s v="2354853 – 84150844190"/>
    <d v="2024-04-29T00:00:00"/>
    <d v="2024-04-30T00:00:00"/>
    <x v="0"/>
    <n v="0"/>
    <n v="1"/>
    <x v="1"/>
    <n v="22988"/>
    <e v="#N/A"/>
  </r>
  <r>
    <d v="2024-04-29T00:00:00"/>
    <x v="3"/>
    <n v="18"/>
    <n v="2003"/>
    <x v="0"/>
    <s v="Latin Leap SAS"/>
    <s v="TECURCO"/>
    <s v="Repisa TECU  Caramelo"/>
    <n v="1"/>
    <x v="2"/>
    <x v="0"/>
    <x v="10"/>
    <x v="0"/>
    <s v="Envioclick- Coordinadora"/>
    <s v="2354829 – 84150844183"/>
    <d v="2024-04-29T00:00:00"/>
    <d v="2024-04-30T00:00:00"/>
    <x v="0"/>
    <n v="0"/>
    <n v="1"/>
    <x v="1"/>
    <n v="22355"/>
    <n v="2645"/>
  </r>
  <r>
    <d v="2024-04-30T00:00:00"/>
    <x v="3"/>
    <n v="18"/>
    <n v="2004"/>
    <x v="0"/>
    <s v="Juan David Cano"/>
    <s v="TECU3FNPRO"/>
    <s v="Electric Standing Desk  PRO Negro"/>
    <n v="1"/>
    <x v="0"/>
    <x v="0"/>
    <x v="3"/>
    <x v="0"/>
    <s v="Envioclick- Coordinadora"/>
    <s v="2361905 – 84150846832"/>
    <d v="2024-05-02T00:00:00"/>
    <d v="2024-05-03T00:00:00"/>
    <x v="0"/>
    <n v="1"/>
    <n v="2"/>
    <x v="1"/>
    <n v="42002"/>
    <n v="-2002"/>
  </r>
  <r>
    <d v="2024-04-30T00:00:00"/>
    <x v="3"/>
    <n v="18"/>
    <n v="2004"/>
    <x v="0"/>
    <s v="Juan David Cano"/>
    <s v="TECUTCO5C"/>
    <s v="Superficie Escritorio Caramelo 150x70 Clasico"/>
    <n v="1"/>
    <x v="1"/>
    <x v="0"/>
    <x v="3"/>
    <x v="0"/>
    <s v="Envioclick- Coordinadora"/>
    <s v="2361907 – 84150846835"/>
    <d v="2024-05-02T00:00:00"/>
    <d v="2024-05-03T00:00:00"/>
    <x v="0"/>
    <n v="1"/>
    <n v="2"/>
    <x v="1"/>
    <n v="22988"/>
    <e v="#N/A"/>
  </r>
  <r>
    <d v="2024-04-30T00:00:00"/>
    <x v="3"/>
    <n v="18"/>
    <n v="2004"/>
    <x v="0"/>
    <s v="Juan David Cano"/>
    <s v="TECURCO"/>
    <s v="Repisa TECU  Caramelo"/>
    <n v="1"/>
    <x v="2"/>
    <x v="0"/>
    <x v="3"/>
    <x v="0"/>
    <s v="Envioclick- Coordinadora"/>
    <s v="2361900 – 84150846827"/>
    <d v="2024-05-02T00:00:00"/>
    <d v="2024-05-03T00:00:00"/>
    <x v="0"/>
    <n v="1"/>
    <n v="2"/>
    <x v="1"/>
    <n v="22355"/>
    <n v="2645"/>
  </r>
  <r>
    <d v="2024-05-01T00:00:00"/>
    <x v="4"/>
    <n v="18"/>
    <n v="2005"/>
    <x v="0"/>
    <s v="David Lopez"/>
    <s v="TECURCC"/>
    <s v="Repisa TECU  Miel"/>
    <n v="1"/>
    <x v="2"/>
    <x v="1"/>
    <x v="1"/>
    <x v="0"/>
    <s v="Envioclick- Coordinadora"/>
    <s v="2362056 – 84150846854"/>
    <d v="2024-05-02T00:00:00"/>
    <d v="2024-05-03T00:00:00"/>
    <x v="0"/>
    <n v="0"/>
    <n v="1"/>
    <x v="1"/>
    <n v="22355"/>
    <n v="2645"/>
  </r>
  <r>
    <d v="2024-05-01T00:00:00"/>
    <x v="4"/>
    <n v="18"/>
    <n v="2006"/>
    <x v="0"/>
    <s v="Ronald Ramirez"/>
    <s v="TECUCT"/>
    <s v="TECU bandeja de cables"/>
    <n v="1"/>
    <x v="4"/>
    <x v="1"/>
    <x v="1"/>
    <x v="0"/>
    <s v="Envioclick- Coordinadora"/>
    <s v="2362450 – 84150847053"/>
    <d v="2024-05-02T00:00:00"/>
    <d v="2024-05-03T00:00:00"/>
    <x v="0"/>
    <n v="0"/>
    <n v="1"/>
    <x v="1"/>
    <n v="16121"/>
    <n v="8879"/>
  </r>
  <r>
    <d v="2024-04-30T00:00:00"/>
    <x v="3"/>
    <n v="18"/>
    <n v="1993"/>
    <x v="1"/>
    <s v="Daniel Cuervo Arevalo"/>
    <s v="TECURCO"/>
    <s v="Repisa TECU  Caramelo"/>
    <n v="1"/>
    <x v="2"/>
    <x v="1"/>
    <x v="1"/>
    <x v="0"/>
    <s v="Envioclick- Coordinadora"/>
    <s v="2358111 - 84150845766"/>
    <d v="2024-04-30T00:00:00"/>
    <d v="2024-05-02T00:00:00"/>
    <x v="0"/>
    <n v="0"/>
    <n v="1"/>
    <x v="1"/>
    <n v="23545"/>
    <n v="1455"/>
  </r>
  <r>
    <d v="2024-04-30T00:00:00"/>
    <x v="3"/>
    <n v="18"/>
    <n v="1994"/>
    <x v="1"/>
    <s v="Juan Carlos Gomez"/>
    <s v="TECUACC"/>
    <s v="Archivador TECU  Miel"/>
    <n v="1"/>
    <x v="3"/>
    <x v="1"/>
    <x v="1"/>
    <x v="0"/>
    <s v="Envioclick- Envia"/>
    <s v="2379789 - 954100958823"/>
    <d v="2024-05-06T00:00:00"/>
    <d v="2024-05-07T00:00:00"/>
    <x v="0"/>
    <n v="4"/>
    <n v="5"/>
    <x v="0"/>
    <n v="56461"/>
    <n v="-6461"/>
  </r>
  <r>
    <d v="2024-04-15T00:00:00"/>
    <x v="3"/>
    <n v="16"/>
    <s v="INFLUENCER"/>
    <x v="1"/>
    <s v="Brown Studio"/>
    <s v="TECUAN"/>
    <s v="Archivador TECU  Negro (Wengue)"/>
    <n v="1"/>
    <x v="3"/>
    <x v="1"/>
    <x v="1"/>
    <x v="0"/>
    <s v="Envioclick- Envia"/>
    <s v="2379196 - 954100958746"/>
    <d v="2024-05-06T00:00:00"/>
    <d v="2024-05-07T00:00:00"/>
    <x v="0"/>
    <n v="17"/>
    <n v="18"/>
    <x v="0"/>
    <n v="56461"/>
    <n v="-6461"/>
  </r>
  <r>
    <d v="2024-05-02T00:00:00"/>
    <x v="4"/>
    <n v="18"/>
    <n v="2007"/>
    <x v="0"/>
    <s v="PRICESMART COLOMBIA SAS"/>
    <s v="TECU3FNPRO"/>
    <s v="Electric Standing Desk  PRO Negro"/>
    <n v="1"/>
    <x v="0"/>
    <x v="1"/>
    <x v="1"/>
    <x v="0"/>
    <s v="Envioclick- Coordinadora"/>
    <s v="2446146 - 84150879597"/>
    <d v="2024-05-28T00:00:00"/>
    <d v="2024-05-31T00:00:00"/>
    <x v="0"/>
    <n v="21"/>
    <n v="24"/>
    <x v="0"/>
    <n v="40734"/>
    <n v="-734"/>
  </r>
  <r>
    <d v="2024-05-02T00:00:00"/>
    <x v="4"/>
    <n v="18"/>
    <n v="2007"/>
    <x v="0"/>
    <s v="PRICESMART COLOMBIA SAS"/>
    <s v="TECUTCC5C"/>
    <s v="Superficie Escritorio Miel 150x70 Clasico"/>
    <n v="1"/>
    <x v="1"/>
    <x v="1"/>
    <x v="1"/>
    <x v="0"/>
    <s v="Envioclick- Coordinadora"/>
    <s v="2446148 - 84150879599"/>
    <d v="2024-05-28T00:00:00"/>
    <d v="2024-05-31T00:00:00"/>
    <x v="0"/>
    <n v="21"/>
    <n v="24"/>
    <x v="0"/>
    <n v="22988"/>
    <n v="12012"/>
  </r>
  <r>
    <d v="2024-05-03T00:00:00"/>
    <x v="4"/>
    <n v="18"/>
    <n v="2008"/>
    <x v="0"/>
    <s v="Jose Leonardo Nuñez Amado"/>
    <s v="TECUDSN"/>
    <s v="TECU Desk Stool Negra Silla ajustable"/>
    <n v="1"/>
    <x v="5"/>
    <x v="1"/>
    <x v="1"/>
    <x v="0"/>
    <s v="Envioclick- Coordinadora"/>
    <s v="2373252 – 84150849127"/>
    <d v="2024-05-03T00:00:00"/>
    <d v="2024-05-04T00:00:00"/>
    <x v="0"/>
    <n v="0"/>
    <n v="1"/>
    <x v="1"/>
    <n v="22355"/>
    <n v="2645"/>
  </r>
  <r>
    <d v="2024-05-06T00:00:00"/>
    <x v="4"/>
    <n v="19"/>
    <n v="2009"/>
    <x v="0"/>
    <s v="Juan Felipe Montaña Perdomo"/>
    <s v="TECU2FNG"/>
    <s v="Electric Standing Desk GO Negro"/>
    <n v="1"/>
    <x v="0"/>
    <x v="1"/>
    <x v="14"/>
    <x v="0"/>
    <s v="Envioclick- Coordinadora"/>
    <s v="2380007 – 84150852218"/>
    <d v="2024-05-06T00:00:00"/>
    <d v="2024-05-07T00:00:00"/>
    <x v="0"/>
    <n v="0"/>
    <n v="1"/>
    <x v="1"/>
    <n v="60937"/>
    <n v="-20937"/>
  </r>
  <r>
    <d v="2024-05-06T00:00:00"/>
    <x v="4"/>
    <n v="19"/>
    <n v="2009"/>
    <x v="0"/>
    <s v="Juan Felipe Montaña Perdomo"/>
    <s v="TECUTCC4C"/>
    <s v="Superficie Escritorio Miel 140x70 Clasico"/>
    <n v="1"/>
    <x v="1"/>
    <x v="1"/>
    <x v="14"/>
    <x v="0"/>
    <s v="Envioclick- Coordinadora"/>
    <s v="2380009 – 84150852220"/>
    <d v="2024-05-06T00:00:00"/>
    <d v="2024-05-07T00:00:00"/>
    <x v="0"/>
    <n v="0"/>
    <n v="1"/>
    <x v="1"/>
    <n v="60937"/>
    <n v="-25937"/>
  </r>
  <r>
    <d v="2024-05-06T00:00:00"/>
    <x v="4"/>
    <n v="19"/>
    <n v="2010"/>
    <x v="0"/>
    <s v="Carlos Aroca"/>
    <s v="TECU3FNPRO"/>
    <s v="Electric Standing Desk  PRO Negro"/>
    <n v="1"/>
    <x v="0"/>
    <x v="1"/>
    <x v="1"/>
    <x v="0"/>
    <s v="Servientrega"/>
    <n v="9173879326"/>
    <d v="2024-05-06T00:00:00"/>
    <d v="2024-05-09T00:00:00"/>
    <x v="0"/>
    <n v="0"/>
    <n v="3"/>
    <x v="1"/>
    <n v="25521"/>
    <n v="14479"/>
  </r>
  <r>
    <d v="2024-05-06T00:00:00"/>
    <x v="4"/>
    <n v="19"/>
    <n v="2010"/>
    <x v="0"/>
    <s v="Carlos Aroca"/>
    <s v="TECUTCO8C"/>
    <s v="Superficie Escritorio Caramelo 180x70 Clasico"/>
    <n v="1"/>
    <x v="1"/>
    <x v="1"/>
    <x v="1"/>
    <x v="0"/>
    <s v="Servientrega"/>
    <n v="9173879325"/>
    <d v="2024-05-06T00:00:00"/>
    <d v="2024-05-09T00:00:00"/>
    <x v="0"/>
    <n v="0"/>
    <n v="3"/>
    <x v="1"/>
    <n v="42002"/>
    <e v="#N/A"/>
  </r>
  <r>
    <d v="2024-05-06T00:00:00"/>
    <x v="4"/>
    <n v="19"/>
    <n v="2010"/>
    <x v="0"/>
    <s v="Carlos Aroca"/>
    <s v="TECURCO"/>
    <s v="Repisa TECU  Caramelo"/>
    <n v="1"/>
    <x v="2"/>
    <x v="1"/>
    <x v="1"/>
    <x v="0"/>
    <s v="Servientrega"/>
    <n v="9173879327"/>
    <d v="2024-05-06T00:00:00"/>
    <d v="2024-05-09T00:00:00"/>
    <x v="0"/>
    <n v="0"/>
    <n v="3"/>
    <x v="1"/>
    <n v="22355"/>
    <n v="2645"/>
  </r>
  <r>
    <d v="2024-05-06T00:00:00"/>
    <x v="4"/>
    <n v="19"/>
    <n v="2011"/>
    <x v="0"/>
    <s v="Andrés Sarria Castillo"/>
    <s v="TECU3FNPRO"/>
    <s v="Electric Standing Desk  PRO Negro"/>
    <n v="1"/>
    <x v="0"/>
    <x v="4"/>
    <x v="30"/>
    <x v="0"/>
    <s v="Envioclick- Coordinadora"/>
    <s v="2379872 – 84150852154"/>
    <d v="2024-05-06T00:00:00"/>
    <d v="2024-05-07T00:00:00"/>
    <x v="0"/>
    <n v="0"/>
    <n v="1"/>
    <x v="1"/>
    <n v="16631"/>
    <n v="23369"/>
  </r>
  <r>
    <d v="2024-05-06T00:00:00"/>
    <x v="4"/>
    <n v="19"/>
    <n v="2012"/>
    <x v="0"/>
    <s v="John Alejandro Nuñez Giraldo"/>
    <s v="TECULFN2"/>
    <s v="Electric Standing Desk | Escritorio Ajustable En L Frame Negro 2.0"/>
    <n v="1"/>
    <x v="0"/>
    <x v="0"/>
    <x v="3"/>
    <x v="0"/>
    <s v="Envioclick- Coordinadora"/>
    <s v="2384109 – 84150854286"/>
    <d v="2024-05-07T00:00:00"/>
    <d v="2024-05-08T00:00:00"/>
    <x v="0"/>
    <n v="1"/>
    <n v="2"/>
    <x v="1"/>
    <n v="42002"/>
    <n v="-2002"/>
  </r>
  <r>
    <d v="2024-05-06T00:00:00"/>
    <x v="4"/>
    <n v="19"/>
    <n v="2012"/>
    <x v="0"/>
    <s v="John Alejandro Nuñez Giraldo"/>
    <s v="TECUTLCCS"/>
    <s v="Superficie Escritorio en L Caramelo Set completo"/>
    <n v="1"/>
    <x v="1"/>
    <x v="0"/>
    <x v="3"/>
    <x v="0"/>
    <s v="Envioclick- Coordinadora"/>
    <s v="2384113 – 84150854287"/>
    <d v="2024-05-07T00:00:00"/>
    <d v="2024-05-08T00:00:00"/>
    <x v="0"/>
    <n v="1"/>
    <n v="2"/>
    <x v="1"/>
    <n v="22988"/>
    <n v="12012"/>
  </r>
  <r>
    <d v="2024-05-06T00:00:00"/>
    <x v="4"/>
    <n v="19"/>
    <n v="2013"/>
    <x v="0"/>
    <s v="Alejandro Garzon"/>
    <s v="TECU3FNPRO"/>
    <s v="Electric Standing Desk  PRO Negro"/>
    <n v="1"/>
    <x v="0"/>
    <x v="4"/>
    <x v="5"/>
    <x v="0"/>
    <s v="Envioclick- Coordinadora"/>
    <s v="2384300 – 84150854380"/>
    <d v="2024-05-07T00:00:00"/>
    <d v="2024-05-08T00:00:00"/>
    <x v="0"/>
    <n v="1"/>
    <n v="2"/>
    <x v="1"/>
    <n v="22355"/>
    <n v="17645"/>
  </r>
  <r>
    <d v="2024-05-06T00:00:00"/>
    <x v="4"/>
    <n v="19"/>
    <n v="2013"/>
    <x v="0"/>
    <s v="Alejandro Garzon"/>
    <s v="TECUTCO20C"/>
    <s v="Superficie Escritorio Caramelo 200x70 Clasico"/>
    <n v="1"/>
    <x v="1"/>
    <x v="4"/>
    <x v="5"/>
    <x v="0"/>
    <s v="Envioclick- Coordinadora"/>
    <s v="2384302 – 84150854382"/>
    <d v="2024-05-07T00:00:00"/>
    <d v="2024-05-08T00:00:00"/>
    <x v="0"/>
    <n v="1"/>
    <n v="2"/>
    <x v="1"/>
    <m/>
    <n v="35000"/>
  </r>
  <r>
    <d v="2024-05-06T00:00:00"/>
    <x v="4"/>
    <n v="19"/>
    <n v="2013"/>
    <x v="0"/>
    <s v="Alejandro Garzon"/>
    <s v="TECURCO"/>
    <s v="Repisa TECU  Caramelo"/>
    <n v="1"/>
    <x v="2"/>
    <x v="4"/>
    <x v="5"/>
    <x v="0"/>
    <s v="Envioclick- Coordinadora"/>
    <s v="2384294 – 84150854374"/>
    <d v="2024-05-07T00:00:00"/>
    <d v="2024-05-08T00:00:00"/>
    <x v="0"/>
    <n v="1"/>
    <n v="2"/>
    <x v="1"/>
    <m/>
    <n v="25000"/>
  </r>
  <r>
    <d v="2024-05-06T00:00:00"/>
    <x v="4"/>
    <n v="19"/>
    <n v="2014"/>
    <x v="0"/>
    <s v="Santiago Carmona Rincon"/>
    <s v="TECU2FNG"/>
    <s v="Electric Standing Desk GO Negro"/>
    <n v="1"/>
    <x v="0"/>
    <x v="0"/>
    <x v="31"/>
    <x v="0"/>
    <s v="Envioclick- Coordinadora"/>
    <s v="2384263 – 84150854361"/>
    <d v="2024-05-07T00:00:00"/>
    <d v="2024-05-08T00:00:00"/>
    <x v="0"/>
    <n v="1"/>
    <n v="2"/>
    <x v="3"/>
    <n v="54627"/>
    <n v="-14627"/>
  </r>
  <r>
    <d v="2024-05-06T00:00:00"/>
    <x v="4"/>
    <n v="19"/>
    <n v="2014"/>
    <x v="0"/>
    <s v="Santiago Carmona Rincon"/>
    <s v="TECUTCC4C"/>
    <s v="Superficie Escritorio Miel 140x70 Clasico"/>
    <n v="1"/>
    <x v="1"/>
    <x v="0"/>
    <x v="31"/>
    <x v="0"/>
    <s v="Envioclick- Coordinadora"/>
    <s v="2384267 – 84150854363"/>
    <d v="2024-05-07T00:00:00"/>
    <d v="2024-05-08T00:00:00"/>
    <x v="0"/>
    <n v="1"/>
    <n v="2"/>
    <x v="3"/>
    <n v="36884"/>
    <n v="-1884"/>
  </r>
  <r>
    <d v="2024-05-06T00:00:00"/>
    <x v="4"/>
    <n v="19"/>
    <n v="2014"/>
    <x v="0"/>
    <s v="Santiago Carmona Rincon"/>
    <s v="TECUBLS"/>
    <s v="TECU Laptop Stand B"/>
    <n v="1"/>
    <x v="4"/>
    <x v="0"/>
    <x v="31"/>
    <x v="0"/>
    <s v="Envioclick- Coordinadora"/>
    <s v="2384133 – 84150854299"/>
    <d v="2024-05-07T00:00:00"/>
    <d v="2024-05-08T00:00:00"/>
    <x v="0"/>
    <n v="1"/>
    <n v="2"/>
    <x v="3"/>
    <n v="31613"/>
    <n v="18387"/>
  </r>
  <r>
    <d v="2024-05-06T00:00:00"/>
    <x v="4"/>
    <n v="19"/>
    <n v="2014"/>
    <x v="0"/>
    <s v="Santiago Carmona Rincon"/>
    <s v="TECUBDPA"/>
    <s v="TECU Desk Pad B Negro Azul"/>
    <n v="1"/>
    <x v="4"/>
    <x v="0"/>
    <x v="31"/>
    <x v="0"/>
    <s v="Envioclick- Coordinadora"/>
    <s v="2384126 – 84150854297"/>
    <d v="2024-05-07T00:00:00"/>
    <d v="2024-05-08T00:00:00"/>
    <x v="0"/>
    <n v="1"/>
    <n v="2"/>
    <x v="3"/>
    <n v="42002"/>
    <n v="7998"/>
  </r>
  <r>
    <d v="2024-05-06T00:00:00"/>
    <x v="4"/>
    <n v="19"/>
    <n v="2014"/>
    <x v="0"/>
    <s v="Santiago Carmona Rincon"/>
    <s v="TECUCT"/>
    <s v="TECU bandeja de cables"/>
    <n v="1"/>
    <x v="4"/>
    <x v="0"/>
    <x v="31"/>
    <x v="0"/>
    <s v="Envioclick- Coordinadora"/>
    <s v="2384422 – 84150854464"/>
    <d v="2024-05-07T00:00:00"/>
    <d v="2024-05-08T00:00:00"/>
    <x v="0"/>
    <n v="1"/>
    <n v="2"/>
    <x v="3"/>
    <n v="25521"/>
    <n v="-521"/>
  </r>
  <r>
    <d v="2024-05-07T00:00:00"/>
    <x v="4"/>
    <n v="19"/>
    <n v="2015"/>
    <x v="0"/>
    <s v="wpd Colombia SAS"/>
    <s v="TECU2FNG"/>
    <s v="Electric Standing Desk GO Negro"/>
    <n v="1"/>
    <x v="0"/>
    <x v="1"/>
    <x v="1"/>
    <x v="0"/>
    <s v="Envioclick- Coordinadora"/>
    <s v="2396490 – 84150860126"/>
    <d v="2024-05-11T00:00:00"/>
    <d v="2024-05-14T00:00:00"/>
    <x v="0"/>
    <n v="4"/>
    <n v="5"/>
    <x v="0"/>
    <n v="22355"/>
    <n v="17645"/>
  </r>
  <r>
    <d v="2024-05-07T00:00:00"/>
    <x v="4"/>
    <n v="19"/>
    <n v="2015"/>
    <x v="0"/>
    <s v="wpd Colombia SAS"/>
    <s v="TECUTCC4C"/>
    <s v="Superficie Escritorio Miel 140x70 Clasico"/>
    <n v="1"/>
    <x v="1"/>
    <x v="1"/>
    <x v="1"/>
    <x v="0"/>
    <s v="Envioclick- Coordinadora"/>
    <s v="2396491 – 84150860127"/>
    <d v="2024-05-11T00:00:00"/>
    <d v="2024-05-14T00:00:00"/>
    <x v="0"/>
    <n v="4"/>
    <n v="5"/>
    <x v="0"/>
    <n v="40734"/>
    <n v="-5734"/>
  </r>
  <r>
    <d v="2024-05-07T00:00:00"/>
    <x v="4"/>
    <n v="19"/>
    <n v="2015"/>
    <x v="0"/>
    <s v="wpd Colombia SAS"/>
    <s v="TECU2FNG"/>
    <s v="Electric Standing Desk GO Negro"/>
    <n v="1"/>
    <x v="0"/>
    <x v="1"/>
    <x v="1"/>
    <x v="0"/>
    <s v="Envioclick- Coordinadora"/>
    <s v="2396492 – 84150860128"/>
    <d v="2024-05-11T00:00:00"/>
    <d v="2024-05-14T00:00:00"/>
    <x v="0"/>
    <n v="4"/>
    <n v="5"/>
    <x v="0"/>
    <n v="22988"/>
    <n v="17012"/>
  </r>
  <r>
    <d v="2024-05-07T00:00:00"/>
    <x v="4"/>
    <n v="19"/>
    <n v="2015"/>
    <x v="0"/>
    <s v="wpd Colombia SAS"/>
    <s v="TECUTCC4C"/>
    <s v="Superficie Escritorio Miel 140x70 Clasico"/>
    <n v="1"/>
    <x v="1"/>
    <x v="1"/>
    <x v="1"/>
    <x v="0"/>
    <s v="Envioclick- Coordinadora"/>
    <s v="2396493 – 84150860129"/>
    <d v="2024-05-11T00:00:00"/>
    <d v="2024-05-14T00:00:00"/>
    <x v="0"/>
    <n v="4"/>
    <n v="5"/>
    <x v="0"/>
    <n v="42002"/>
    <n v="-7002"/>
  </r>
  <r>
    <d v="2024-05-07T00:00:00"/>
    <x v="4"/>
    <n v="19"/>
    <n v="2015"/>
    <x v="0"/>
    <s v="wpd Colombia SAS"/>
    <s v="TECU2FNG"/>
    <s v="Electric Standing Desk GO Negro"/>
    <n v="1"/>
    <x v="0"/>
    <x v="1"/>
    <x v="1"/>
    <x v="0"/>
    <s v="Envioclick- Coordinadora"/>
    <s v="2396501 – 84150860134"/>
    <d v="2024-05-11T00:00:00"/>
    <d v="2024-05-14T00:00:00"/>
    <x v="0"/>
    <n v="4"/>
    <n v="5"/>
    <x v="0"/>
    <n v="22988"/>
    <n v="17012"/>
  </r>
  <r>
    <d v="2024-05-07T00:00:00"/>
    <x v="4"/>
    <n v="19"/>
    <n v="2015"/>
    <x v="0"/>
    <s v="wpd Colombia SAS"/>
    <s v="TECUTCC4C"/>
    <s v="Superficie Escritorio Miel 140x70 Clasico"/>
    <n v="1"/>
    <x v="1"/>
    <x v="1"/>
    <x v="1"/>
    <x v="0"/>
    <s v="Envioclick- Coordinadora"/>
    <s v="2396502 – 84150860135"/>
    <d v="2024-05-11T00:00:00"/>
    <d v="2024-05-14T00:00:00"/>
    <x v="0"/>
    <n v="4"/>
    <n v="5"/>
    <x v="0"/>
    <n v="22355"/>
    <n v="12645"/>
  </r>
  <r>
    <d v="2024-05-07T00:00:00"/>
    <x v="4"/>
    <n v="19"/>
    <n v="2016"/>
    <x v="0"/>
    <s v="American KPO SAS"/>
    <s v="TECU3FNPRO"/>
    <s v="Electric Standing Desk  PRO Negro"/>
    <n v="1"/>
    <x v="0"/>
    <x v="1"/>
    <x v="1"/>
    <x v="0"/>
    <s v="Envioclick- Coordinadora"/>
    <s v="2389993 – 84150857088"/>
    <d v="2024-05-09T00:00:00"/>
    <d v="2024-05-10T00:00:00"/>
    <x v="0"/>
    <n v="2"/>
    <n v="3"/>
    <x v="1"/>
    <n v="42002"/>
    <n v="-2002"/>
  </r>
  <r>
    <d v="2024-05-07T00:00:00"/>
    <x v="4"/>
    <n v="19"/>
    <n v="2016"/>
    <x v="0"/>
    <s v="American KPO SAS"/>
    <s v="TECUDSN"/>
    <s v="TECU Desk Stool Negra Silla ajustable"/>
    <n v="1"/>
    <x v="5"/>
    <x v="1"/>
    <x v="1"/>
    <x v="0"/>
    <s v="Envioclick- Coordinadora"/>
    <s v="2390007 – 84150857099"/>
    <d v="2024-05-09T00:00:00"/>
    <d v="2024-05-10T00:00:00"/>
    <x v="0"/>
    <n v="2"/>
    <n v="3"/>
    <x v="1"/>
    <n v="22988"/>
    <n v="2012"/>
  </r>
  <r>
    <d v="2024-05-07T00:00:00"/>
    <x v="4"/>
    <n v="19"/>
    <n v="2016"/>
    <x v="0"/>
    <s v="American KPO SAS"/>
    <s v="TECURN"/>
    <s v="Repisa TECU  Negro (Wengue)"/>
    <n v="1"/>
    <x v="2"/>
    <x v="1"/>
    <x v="1"/>
    <x v="0"/>
    <s v="Envioclick- Coordinadora"/>
    <s v="2390024 – 84150857107"/>
    <d v="2024-05-09T00:00:00"/>
    <d v="2024-05-10T00:00:00"/>
    <x v="0"/>
    <n v="2"/>
    <n v="3"/>
    <x v="1"/>
    <n v="22355"/>
    <n v="2645"/>
  </r>
  <r>
    <d v="2024-05-07T00:00:00"/>
    <x v="4"/>
    <n v="19"/>
    <n v="2017"/>
    <x v="0"/>
    <s v="Diandra Escobar"/>
    <s v="TECU2FNG"/>
    <s v="Electric Standing Desk GO Negro"/>
    <n v="1"/>
    <x v="0"/>
    <x v="0"/>
    <x v="3"/>
    <x v="0"/>
    <s v="Envioclick- Coordinadora"/>
    <s v="2386834 – 84150855623"/>
    <d v="2024-05-08T00:00:00"/>
    <d v="2024-05-09T00:00:00"/>
    <x v="0"/>
    <n v="1"/>
    <n v="2"/>
    <x v="1"/>
    <n v="22355"/>
    <n v="17645"/>
  </r>
  <r>
    <d v="2024-05-07T00:00:00"/>
    <x v="4"/>
    <n v="19"/>
    <n v="2017"/>
    <x v="0"/>
    <s v="Diandra Escobar"/>
    <s v="TECUTB2C"/>
    <s v="Superficie Escritorio Blanco (Niebla) 120x70 Clasico Small"/>
    <n v="1"/>
    <x v="1"/>
    <x v="0"/>
    <x v="3"/>
    <x v="0"/>
    <s v="Envioclick- Coordinadora"/>
    <s v="2386835 – 84150855625"/>
    <d v="2024-05-08T00:00:00"/>
    <d v="2024-05-09T00:00:00"/>
    <x v="0"/>
    <n v="1"/>
    <n v="2"/>
    <x v="1"/>
    <n v="16121"/>
    <n v="18879"/>
  </r>
  <r>
    <d v="2024-05-08T00:00:00"/>
    <x v="4"/>
    <n v="19"/>
    <n v="2018"/>
    <x v="0"/>
    <s v="Luis Fernando Amezquita Vasquez"/>
    <s v="TECU2FNG"/>
    <s v="Electric Standing Desk GO Negro"/>
    <n v="1"/>
    <x v="0"/>
    <x v="1"/>
    <x v="1"/>
    <x v="0"/>
    <s v="Envioclick- Coordinadora"/>
    <s v="2390036 – 84150857116"/>
    <d v="2024-05-09T00:00:00"/>
    <d v="2024-05-10T00:00:00"/>
    <x v="0"/>
    <n v="1"/>
    <n v="2"/>
    <x v="1"/>
    <m/>
    <n v="40000"/>
  </r>
  <r>
    <d v="2024-05-08T00:00:00"/>
    <x v="4"/>
    <n v="19"/>
    <n v="2018"/>
    <x v="0"/>
    <s v="Luis Fernando Amezquita Vasquez"/>
    <s v="TECUTCO4C"/>
    <s v="Superficie Escritorio Caramelo 140x70 Clasico"/>
    <n v="1"/>
    <x v="1"/>
    <x v="1"/>
    <x v="1"/>
    <x v="0"/>
    <s v="Envioclick- Coordinadora"/>
    <s v="2390038 – 84150857117"/>
    <d v="2024-05-09T00:00:00"/>
    <d v="2024-05-10T00:00:00"/>
    <x v="0"/>
    <n v="1"/>
    <n v="2"/>
    <x v="1"/>
    <m/>
    <n v="35000"/>
  </r>
  <r>
    <d v="2024-05-08T00:00:00"/>
    <x v="4"/>
    <n v="19"/>
    <n v="2018"/>
    <x v="0"/>
    <s v="Luis Fernando Amezquita Vasquez"/>
    <s v="TECURCO"/>
    <s v="Repisa TECU  Caramelo"/>
    <n v="1"/>
    <x v="2"/>
    <x v="1"/>
    <x v="1"/>
    <x v="0"/>
    <s v="Envioclick- Coordinadora"/>
    <s v="2390038 – 84150857117"/>
    <d v="2024-05-09T00:00:00"/>
    <d v="2024-05-10T00:00:00"/>
    <x v="0"/>
    <n v="1"/>
    <n v="2"/>
    <x v="1"/>
    <m/>
    <n v="25000"/>
  </r>
  <r>
    <d v="2024-05-09T00:00:00"/>
    <x v="4"/>
    <n v="19"/>
    <n v="2019"/>
    <x v="0"/>
    <s v="Gabriel Herrera Zarate"/>
    <s v="TECUBDPA"/>
    <s v="TECU Desk Pad B Negro Azul"/>
    <n v="1"/>
    <x v="4"/>
    <x v="7"/>
    <x v="32"/>
    <x v="0"/>
    <s v="Envioclick- Coordinadora"/>
    <s v="2390067 – 84150857137"/>
    <d v="2024-05-09T00:00:00"/>
    <d v="2024-05-11T00:00:00"/>
    <x v="0"/>
    <n v="0"/>
    <n v="2"/>
    <x v="3"/>
    <n v="25935"/>
    <n v="24065"/>
  </r>
  <r>
    <d v="2024-05-09T00:00:00"/>
    <x v="4"/>
    <n v="19"/>
    <n v="2020"/>
    <x v="0"/>
    <s v="Luisa Gonzalez"/>
    <s v="TECU3FGPRO"/>
    <s v="Electric Standing Desk  PRO Gris"/>
    <n v="1"/>
    <x v="0"/>
    <x v="1"/>
    <x v="1"/>
    <x v="0"/>
    <s v="Envioclick- Coordinadora"/>
    <s v="2394100 – 84150858973"/>
    <d v="2024-05-10T00:00:00"/>
    <d v="2024-05-14T00:00:00"/>
    <x v="0"/>
    <n v="1"/>
    <n v="3"/>
    <x v="1"/>
    <n v="40734"/>
    <n v="-734"/>
  </r>
  <r>
    <d v="2024-05-09T00:00:00"/>
    <x v="4"/>
    <n v="19"/>
    <n v="2020"/>
    <x v="0"/>
    <s v="Luisa Gonzalez"/>
    <s v="TECUTB5M"/>
    <s v="Superficie Escritorio Blanco(Niebla) 150x70 Moderno"/>
    <n v="1"/>
    <x v="1"/>
    <x v="1"/>
    <x v="1"/>
    <x v="0"/>
    <s v="Envioclick- Coordinadora"/>
    <s v="2394101 – 84150858974"/>
    <d v="2024-05-10T00:00:00"/>
    <d v="2024-05-14T00:00:00"/>
    <x v="0"/>
    <n v="1"/>
    <n v="3"/>
    <x v="1"/>
    <n v="22988"/>
    <n v="12012"/>
  </r>
  <r>
    <d v="2024-05-09T00:00:00"/>
    <x v="4"/>
    <n v="19"/>
    <n v="2020"/>
    <x v="0"/>
    <s v="Luisa Gonzalez"/>
    <s v="TECURB"/>
    <s v="Repisa TECU  Blanco (Niebla)"/>
    <n v="1"/>
    <x v="2"/>
    <x v="1"/>
    <x v="1"/>
    <x v="0"/>
    <s v="Envioclick- Coordinadora"/>
    <s v="2394101 – 84150858974"/>
    <d v="2024-05-10T00:00:00"/>
    <d v="2024-05-14T00:00:00"/>
    <x v="0"/>
    <n v="1"/>
    <n v="3"/>
    <x v="1"/>
    <n v="67500"/>
    <n v="-42500"/>
  </r>
  <r>
    <d v="2024-05-08T00:00:00"/>
    <x v="4"/>
    <n v="19"/>
    <s v="Dra Paola"/>
    <x v="3"/>
    <s v="Paola Castañeda Guti"/>
    <s v="TECU2FNG"/>
    <s v="Electric Standing Desk GO Negro"/>
    <n v="1"/>
    <x v="0"/>
    <x v="1"/>
    <x v="1"/>
    <x v="0"/>
    <s v="Envioclick- Coordinadora"/>
    <s v="2387596 – 84150855933"/>
    <d v="2024-05-08T00:00:00"/>
    <d v="2024-05-09T00:00:00"/>
    <x v="0"/>
    <n v="0"/>
    <n v="1"/>
    <x v="1"/>
    <n v="25521"/>
    <n v="14479"/>
  </r>
  <r>
    <d v="2024-05-08T00:00:00"/>
    <x v="4"/>
    <n v="19"/>
    <s v="Dra Paola"/>
    <x v="3"/>
    <s v="Paola Castañeda Guti"/>
    <s v="TECUTCO4C"/>
    <s v="Superficie Escritorio Caramelo 140x70 Clasico"/>
    <n v="1"/>
    <x v="1"/>
    <x v="1"/>
    <x v="1"/>
    <x v="0"/>
    <s v="Envioclick- Coordinadora"/>
    <s v="2387567 – 84150855923"/>
    <d v="2024-05-08T00:00:00"/>
    <d v="2024-05-09T00:00:00"/>
    <x v="0"/>
    <n v="0"/>
    <n v="1"/>
    <x v="1"/>
    <n v="22355"/>
    <n v="12645"/>
  </r>
  <r>
    <d v="2024-05-10T00:00:00"/>
    <x v="4"/>
    <n v="19"/>
    <n v="1961"/>
    <x v="4"/>
    <s v="silvana camacho"/>
    <s v="TECURCC"/>
    <s v="Repisa TECU  Miel"/>
    <n v="1"/>
    <x v="2"/>
    <x v="1"/>
    <x v="1"/>
    <x v="0"/>
    <s v="Envioclick- Coordinadora"/>
    <s v="2394745 - 84150859365"/>
    <d v="2024-05-10T00:00:00"/>
    <d v="2024-05-11T00:00:00"/>
    <x v="0"/>
    <n v="0"/>
    <n v="1"/>
    <x v="1"/>
    <n v="40734"/>
    <n v="-15734"/>
  </r>
  <r>
    <d v="2024-05-10T00:00:00"/>
    <x v="4"/>
    <n v="19"/>
    <n v="2021"/>
    <x v="0"/>
    <s v="Sergio Pomárico Hernández"/>
    <s v="TECURCC"/>
    <s v="Repisa TECU  Miel"/>
    <n v="1"/>
    <x v="2"/>
    <x v="0"/>
    <x v="3"/>
    <x v="0"/>
    <s v="Envioclick- Coordinadora"/>
    <s v="2398798 – 84150860999"/>
    <d v="2024-05-14T00:00:00"/>
    <d v="2024-05-15T00:00:00"/>
    <x v="0"/>
    <n v="2"/>
    <n v="3"/>
    <x v="1"/>
    <n v="22988"/>
    <n v="2012"/>
  </r>
  <r>
    <d v="2024-05-10T00:00:00"/>
    <x v="4"/>
    <n v="19"/>
    <n v="2022"/>
    <x v="0"/>
    <s v="Daniel Roberto Prada Granada"/>
    <s v="TECUDSN"/>
    <s v="TECU Desk Stool Negra Silla ajustable"/>
    <n v="1"/>
    <x v="5"/>
    <x v="1"/>
    <x v="1"/>
    <x v="0"/>
    <s v="Envioclick- Coordinadora"/>
    <s v="2396509 – 84150860140"/>
    <d v="2024-05-11T00:00:00"/>
    <d v="2024-05-14T00:00:00"/>
    <x v="0"/>
    <n v="1"/>
    <n v="2"/>
    <x v="1"/>
    <n v="24042"/>
    <n v="958"/>
  </r>
  <r>
    <d v="2024-05-14T00:00:00"/>
    <x v="4"/>
    <n v="20"/>
    <n v="2023"/>
    <x v="0"/>
    <s v="Francisco Tabares"/>
    <s v="TECU3FGPRO"/>
    <s v="Electric Standing Desk  PRO Gris"/>
    <n v="1"/>
    <x v="0"/>
    <x v="1"/>
    <x v="15"/>
    <x v="0"/>
    <s v="Envioclick- Coordinadora"/>
    <s v="2398905 – 84150861048"/>
    <d v="2024-05-14T00:00:00"/>
    <d v="2024-05-17T00:00:00"/>
    <x v="0"/>
    <n v="0"/>
    <n v="3"/>
    <x v="1"/>
    <n v="16131"/>
    <n v="23869"/>
  </r>
  <r>
    <d v="2024-05-14T00:00:00"/>
    <x v="4"/>
    <n v="20"/>
    <n v="2023"/>
    <x v="0"/>
    <s v="Francisco Tabares"/>
    <s v="TECUTCC8C"/>
    <s v="Superficie Escritorio Miel 180x70 Clasico"/>
    <n v="1"/>
    <x v="1"/>
    <x v="1"/>
    <x v="15"/>
    <x v="0"/>
    <s v="Envioclick- Coordinadora"/>
    <s v="2398908 – 84150861050"/>
    <d v="2024-05-14T00:00:00"/>
    <d v="2024-05-17T00:00:00"/>
    <x v="0"/>
    <n v="0"/>
    <n v="3"/>
    <x v="1"/>
    <n v="16131"/>
    <n v="18869"/>
  </r>
  <r>
    <d v="2024-05-14T00:00:00"/>
    <x v="4"/>
    <n v="20"/>
    <n v="2023"/>
    <x v="0"/>
    <s v="Francisco Tabares"/>
    <s v="TECURCC"/>
    <s v="Repisa TECU  Miel"/>
    <n v="1"/>
    <x v="2"/>
    <x v="1"/>
    <x v="15"/>
    <x v="0"/>
    <s v="Envioclick- Coordinadora"/>
    <s v="2398908 – 84150861050"/>
    <d v="2024-05-14T00:00:00"/>
    <d v="2024-05-17T00:00:00"/>
    <x v="0"/>
    <n v="0"/>
    <n v="3"/>
    <x v="1"/>
    <n v="40734"/>
    <n v="-15734"/>
  </r>
  <r>
    <d v="2024-05-14T00:00:00"/>
    <x v="4"/>
    <n v="20"/>
    <n v="2024"/>
    <x v="0"/>
    <s v="Brahayan David Mindiola Joiro"/>
    <s v="TECU3FBRO"/>
    <s v="Electric Standing Desk  PRO Blanco"/>
    <n v="1"/>
    <x v="0"/>
    <x v="1"/>
    <x v="15"/>
    <x v="0"/>
    <s v="Envioclick- Coordinadora"/>
    <s v="2399334 – 84150861298"/>
    <d v="2024-05-14T00:00:00"/>
    <d v="2024-05-15T00:00:00"/>
    <x v="0"/>
    <n v="0"/>
    <n v="1"/>
    <x v="1"/>
    <n v="22988"/>
    <n v="17012"/>
  </r>
  <r>
    <d v="2024-05-14T00:00:00"/>
    <x v="4"/>
    <n v="20"/>
    <n v="2024"/>
    <x v="0"/>
    <s v="Brahayan David Mindiola Joiro"/>
    <s v="TECUTCO7C"/>
    <s v="Superficie Escritorio Caramelo 170x70 Clasico"/>
    <n v="1"/>
    <x v="1"/>
    <x v="1"/>
    <x v="15"/>
    <x v="0"/>
    <s v="Envioclick- Coordinadora"/>
    <s v="2399336 – 84150861300"/>
    <d v="2024-05-14T00:00:00"/>
    <d v="2024-05-15T00:00:00"/>
    <x v="0"/>
    <n v="0"/>
    <n v="1"/>
    <x v="1"/>
    <n v="40734"/>
    <n v="-5734"/>
  </r>
  <r>
    <d v="2024-05-14T00:00:00"/>
    <x v="4"/>
    <n v="20"/>
    <n v="2024"/>
    <x v="0"/>
    <s v="Brahayan David Mindiola Joiro"/>
    <s v="TECURCO"/>
    <s v="Repisa TECU  Caramelo"/>
    <n v="1"/>
    <x v="2"/>
    <x v="1"/>
    <x v="15"/>
    <x v="0"/>
    <s v="Envioclick- Coordinadora"/>
    <s v="2399336 – 84150861300"/>
    <d v="2024-05-14T00:00:00"/>
    <d v="2024-05-15T00:00:00"/>
    <x v="0"/>
    <n v="0"/>
    <n v="1"/>
    <x v="1"/>
    <n v="22988"/>
    <n v="2012"/>
  </r>
  <r>
    <d v="2024-05-14T00:00:00"/>
    <x v="4"/>
    <n v="20"/>
    <n v="2024"/>
    <x v="0"/>
    <s v="Brahayan David Mindiola Joiro"/>
    <s v="TECUBDPA"/>
    <s v="TECU Desk Pad B Negro Azul"/>
    <n v="1"/>
    <x v="4"/>
    <x v="1"/>
    <x v="15"/>
    <x v="0"/>
    <s v="Envioclick- Coordinadora"/>
    <s v="2399219 – 84150861235"/>
    <d v="2024-05-14T00:00:00"/>
    <d v="2024-05-15T00:00:00"/>
    <x v="0"/>
    <n v="0"/>
    <n v="1"/>
    <x v="1"/>
    <n v="40734"/>
    <n v="9266"/>
  </r>
  <r>
    <d v="2024-05-14T00:00:00"/>
    <x v="4"/>
    <n v="20"/>
    <n v="2025"/>
    <x v="0"/>
    <s v="Jhon Vega"/>
    <s v="TECU3FNPRO"/>
    <s v="Electric Standing Desk  PRO Negro"/>
    <n v="1"/>
    <x v="0"/>
    <x v="6"/>
    <x v="23"/>
    <x v="0"/>
    <s v="Envioclick- Coordinadora"/>
    <s v="2403740 – 84150863835"/>
    <d v="2024-05-15T00:00:00"/>
    <d v="2024-05-17T00:00:00"/>
    <x v="0"/>
    <n v="1"/>
    <n v="3"/>
    <x v="1"/>
    <n v="60748"/>
    <n v="-20748"/>
  </r>
  <r>
    <d v="2024-05-14T00:00:00"/>
    <x v="4"/>
    <n v="20"/>
    <n v="2025"/>
    <x v="0"/>
    <s v="Jhon Vega"/>
    <s v="TECUTRN2C"/>
    <s v="Superficie Escritorio Roble Negro 120x70 Clasico Small"/>
    <n v="1"/>
    <x v="1"/>
    <x v="6"/>
    <x v="23"/>
    <x v="0"/>
    <s v="Envioclick- Coordinadora"/>
    <s v="2403741 – 84150863836"/>
    <d v="2024-05-15T00:00:00"/>
    <d v="2024-05-17T00:00:00"/>
    <x v="0"/>
    <n v="1"/>
    <n v="3"/>
    <x v="1"/>
    <n v="46168"/>
    <n v="-11168"/>
  </r>
  <r>
    <d v="2024-05-14T00:00:00"/>
    <x v="4"/>
    <n v="20"/>
    <n v="2026"/>
    <x v="0"/>
    <s v="Alejandro Galante"/>
    <s v="TECU2FNG"/>
    <s v="Electric Standing Desk GO Negro"/>
    <n v="1"/>
    <x v="0"/>
    <x v="1"/>
    <x v="1"/>
    <x v="0"/>
    <s v="Envioclick- Coordinadora"/>
    <s v="2402610 – 84150863213"/>
    <d v="2024-05-15T00:00:00"/>
    <d v="2024-05-16T00:00:00"/>
    <x v="0"/>
    <n v="1"/>
    <n v="2"/>
    <x v="1"/>
    <n v="40734"/>
    <n v="-734"/>
  </r>
  <r>
    <d v="2024-05-15T00:00:00"/>
    <x v="4"/>
    <n v="20"/>
    <n v="2027"/>
    <x v="0"/>
    <s v="Mauricio Diaz Martinez"/>
    <s v="TECU2FNG"/>
    <s v="Electric Standing Desk GO Negro"/>
    <n v="1"/>
    <x v="0"/>
    <x v="1"/>
    <x v="1"/>
    <x v="0"/>
    <s v="Envioclick- Coordinadora"/>
    <s v="2406719 – 84150865508"/>
    <d v="2024-05-16T00:00:00"/>
    <d v="2024-05-17T00:00:00"/>
    <x v="0"/>
    <n v="1"/>
    <n v="2"/>
    <x v="1"/>
    <n v="40734"/>
    <n v="-734"/>
  </r>
  <r>
    <d v="2024-05-15T00:00:00"/>
    <x v="4"/>
    <n v="20"/>
    <n v="2027"/>
    <x v="0"/>
    <s v="Mauricio Diaz Martinez"/>
    <s v="TECUTCC2C"/>
    <s v="Superficie Escritorio Miel 120x70 Clasico Small"/>
    <n v="1"/>
    <x v="1"/>
    <x v="1"/>
    <x v="1"/>
    <x v="0"/>
    <s v="Envioclick- Coordinadora"/>
    <s v="2406720 – 84150865509"/>
    <d v="2024-05-16T00:00:00"/>
    <d v="2024-05-17T00:00:00"/>
    <x v="0"/>
    <n v="1"/>
    <n v="2"/>
    <x v="1"/>
    <n v="22988"/>
    <n v="12012"/>
  </r>
  <r>
    <d v="2024-05-17T00:00:00"/>
    <x v="4"/>
    <n v="20"/>
    <s v="James"/>
    <x v="0"/>
    <s v="James Alonso"/>
    <s v="TECURCO"/>
    <s v="Repisa TECU  Caramelo"/>
    <n v="1"/>
    <x v="2"/>
    <x v="2"/>
    <x v="2"/>
    <x v="0"/>
    <s v="Envioclick- Coordinadora"/>
    <s v="2409431 – 84150866922"/>
    <d v="2024-05-17T00:00:00"/>
    <d v="2024-05-20T00:00:00"/>
    <x v="0"/>
    <n v="0"/>
    <n v="2"/>
    <x v="1"/>
    <n v="37292"/>
    <n v="-12292"/>
  </r>
  <r>
    <d v="2024-05-20T00:00:00"/>
    <x v="4"/>
    <n v="21"/>
    <n v="2028"/>
    <x v="0"/>
    <s v="Juan David Alvarino Abril"/>
    <s v="TECURCO"/>
    <s v="Repisa TECU  Caramelo"/>
    <n v="1"/>
    <x v="2"/>
    <x v="1"/>
    <x v="1"/>
    <x v="0"/>
    <s v="Envioclick- Coordinadora"/>
    <s v="2418061 – 84150871974"/>
    <d v="2024-05-20T00:00:00"/>
    <d v="2024-05-21T00:00:00"/>
    <x v="0"/>
    <n v="0"/>
    <n v="1"/>
    <x v="1"/>
    <n v="22355"/>
    <n v="2645"/>
  </r>
  <r>
    <d v="2024-05-20T00:00:00"/>
    <x v="4"/>
    <n v="21"/>
    <n v="2029"/>
    <x v="0"/>
    <s v="Maria Virginia Alvarez Maya"/>
    <s v="TECU2FBGO"/>
    <s v="Electric Standing Desk GO Blanco"/>
    <n v="1"/>
    <x v="0"/>
    <x v="1"/>
    <x v="1"/>
    <x v="0"/>
    <s v="Envioclick- Coordinadora"/>
    <s v="2418069 – 84150871979"/>
    <d v="2024-05-20T00:00:00"/>
    <d v="2024-05-21T00:00:00"/>
    <x v="0"/>
    <n v="0"/>
    <n v="1"/>
    <x v="1"/>
    <n v="40734"/>
    <n v="-734"/>
  </r>
  <r>
    <d v="2024-05-20T00:00:00"/>
    <x v="4"/>
    <n v="21"/>
    <n v="2029"/>
    <x v="0"/>
    <s v="Maria Virginia Alvarez Maya"/>
    <s v="TECUTCC2C"/>
    <s v="Superficie Escritorio Miel 120x70 Clasico Small"/>
    <n v="1"/>
    <x v="1"/>
    <x v="1"/>
    <x v="1"/>
    <x v="0"/>
    <s v="Envioclick- Coordinadora"/>
    <s v="2418072 – 84150871982"/>
    <d v="2024-05-20T00:00:00"/>
    <d v="2024-05-21T00:00:00"/>
    <x v="0"/>
    <n v="0"/>
    <n v="1"/>
    <x v="1"/>
    <n v="22988"/>
    <n v="12012"/>
  </r>
  <r>
    <d v="2024-05-20T00:00:00"/>
    <x v="4"/>
    <n v="21"/>
    <n v="2030"/>
    <x v="0"/>
    <s v="Mateo Tobón Henao"/>
    <s v="TECU3FBRO"/>
    <s v="Electric Standing Desk  PRO Blanco"/>
    <n v="1"/>
    <x v="0"/>
    <x v="5"/>
    <x v="33"/>
    <x v="0"/>
    <s v="Envioclick- Coordinadora"/>
    <s v="2418087 – 84150871985"/>
    <d v="2024-05-20T00:00:00"/>
    <d v="2024-05-21T00:00:00"/>
    <x v="0"/>
    <n v="0"/>
    <n v="1"/>
    <x v="1"/>
    <n v="34504"/>
    <n v="5496"/>
  </r>
  <r>
    <d v="2024-05-20T00:00:00"/>
    <x v="4"/>
    <n v="21"/>
    <n v="2030"/>
    <x v="0"/>
    <s v="Mateo Tobón Henao"/>
    <s v="TECUTCC5C"/>
    <s v="Superficie Escritorio Miel 150x70 Clasico"/>
    <n v="1"/>
    <x v="1"/>
    <x v="5"/>
    <x v="33"/>
    <x v="0"/>
    <s v="Envioclick- Coordinadora"/>
    <s v="2418145 – 84150871986"/>
    <d v="2024-05-20T00:00:00"/>
    <d v="2024-05-21T00:00:00"/>
    <x v="0"/>
    <n v="0"/>
    <n v="1"/>
    <x v="1"/>
    <n v="14589"/>
    <n v="20411"/>
  </r>
  <r>
    <d v="2024-05-20T00:00:00"/>
    <x v="4"/>
    <n v="21"/>
    <n v="2031"/>
    <x v="0"/>
    <s v="Jesus Antonio Zapata Cruz"/>
    <s v="TECU3FNPRO"/>
    <s v="Electric Standing Desk  PRO Negro"/>
    <n v="1"/>
    <x v="0"/>
    <x v="0"/>
    <x v="0"/>
    <x v="0"/>
    <s v="Envioclick- Coordinadora"/>
    <s v="2421369 – 84150873451"/>
    <d v="2024-05-21T00:00:00"/>
    <d v="2024-05-22T00:00:00"/>
    <x v="0"/>
    <n v="1"/>
    <n v="2"/>
    <x v="1"/>
    <n v="42002"/>
    <n v="-2002"/>
  </r>
  <r>
    <d v="2024-05-20T00:00:00"/>
    <x v="4"/>
    <n v="21"/>
    <n v="2031"/>
    <x v="0"/>
    <s v="Jesus Antonio Zapata Cruz"/>
    <s v="TECUTCC8M"/>
    <s v="Superficie Escritorio Miel 180x70 Moderno"/>
    <n v="1"/>
    <x v="1"/>
    <x v="0"/>
    <x v="0"/>
    <x v="0"/>
    <s v="Envioclick- Coordinadora"/>
    <s v="2421370 – 84150873452"/>
    <d v="2024-05-21T00:00:00"/>
    <d v="2024-05-22T00:00:00"/>
    <x v="0"/>
    <n v="1"/>
    <n v="2"/>
    <x v="1"/>
    <n v="25521"/>
    <n v="9479"/>
  </r>
  <r>
    <d v="2024-05-20T00:00:00"/>
    <x v="4"/>
    <n v="21"/>
    <n v="2031"/>
    <x v="0"/>
    <s v="Jesus Antonio Zapata Cruz"/>
    <s v="TECUBLS"/>
    <s v="TECU Laptop Stand B"/>
    <n v="1"/>
    <x v="4"/>
    <x v="0"/>
    <x v="0"/>
    <x v="0"/>
    <s v="Envioclick- Coordinadora"/>
    <s v="2422649 – 84150874080"/>
    <d v="2024-05-21T00:00:00"/>
    <d v="2024-05-22T00:00:00"/>
    <x v="0"/>
    <n v="1"/>
    <n v="2"/>
    <x v="1"/>
    <n v="16131"/>
    <n v="33869"/>
  </r>
  <r>
    <d v="2024-05-20T00:00:00"/>
    <x v="4"/>
    <n v="21"/>
    <n v="2032"/>
    <x v="0"/>
    <s v="Jesus Antonio Zapata Cruz"/>
    <s v="TECUCT"/>
    <s v="TECU bandeja de cables"/>
    <n v="1"/>
    <x v="4"/>
    <x v="0"/>
    <x v="0"/>
    <x v="0"/>
    <s v="Envioclick- Coordinadora"/>
    <s v="2421862 – 84150873726"/>
    <d v="2024-05-21T00:00:00"/>
    <d v="2024-05-22T00:00:00"/>
    <x v="0"/>
    <n v="1"/>
    <n v="2"/>
    <x v="1"/>
    <n v="16121"/>
    <n v="8879"/>
  </r>
  <r>
    <d v="2024-05-20T00:00:00"/>
    <x v="4"/>
    <n v="21"/>
    <n v="2032"/>
    <x v="0"/>
    <s v="Jesus Antonio Zapata Cruz"/>
    <s v="TECUBDPM"/>
    <s v="TECU Desk Pad B Negro Café Miel"/>
    <n v="1"/>
    <x v="4"/>
    <x v="0"/>
    <x v="0"/>
    <x v="0"/>
    <s v="Envioclick- Coordinadora"/>
    <s v="2421373 - 84150873453"/>
    <d v="2024-05-21T00:00:00"/>
    <d v="2024-05-22T00:00:00"/>
    <x v="0"/>
    <n v="1"/>
    <n v="2"/>
    <x v="1"/>
    <n v="16131"/>
    <n v="33869"/>
  </r>
  <r>
    <d v="2024-05-20T00:00:00"/>
    <x v="4"/>
    <n v="21"/>
    <n v="2033"/>
    <x v="0"/>
    <s v="Fernando Giraldo"/>
    <s v="TECU3FNPRO"/>
    <s v="Electric Standing Desk  PRO Negro"/>
    <n v="1"/>
    <x v="0"/>
    <x v="0"/>
    <x v="0"/>
    <x v="0"/>
    <s v="Envioclick- Coordinadora"/>
    <s v="2421381 – 84150873458"/>
    <d v="2024-05-21T00:00:00"/>
    <d v="2024-05-22T00:00:00"/>
    <x v="0"/>
    <n v="1"/>
    <n v="2"/>
    <x v="1"/>
    <n v="42002"/>
    <n v="-2002"/>
  </r>
  <r>
    <d v="2024-05-20T00:00:00"/>
    <x v="4"/>
    <n v="21"/>
    <n v="2033"/>
    <x v="0"/>
    <s v="Fernando Giraldo"/>
    <s v="TECUTCC2C"/>
    <s v="Superficie Escritorio Miel 120x70 Clasico Small"/>
    <n v="1"/>
    <x v="1"/>
    <x v="0"/>
    <x v="0"/>
    <x v="0"/>
    <s v="Envioclick- Coordinadora"/>
    <s v="2421382 – 84150873459"/>
    <d v="2024-05-21T00:00:00"/>
    <d v="2024-05-22T00:00:00"/>
    <x v="0"/>
    <n v="1"/>
    <n v="2"/>
    <x v="1"/>
    <n v="27422"/>
    <n v="7578"/>
  </r>
  <r>
    <d v="2024-05-21T00:00:00"/>
    <x v="4"/>
    <n v="21"/>
    <n v="2034"/>
    <x v="0"/>
    <s v="Brayan Carreño"/>
    <s v="TECU3FNPRO"/>
    <s v="Electric Standing Desk  PRO Negro"/>
    <n v="1"/>
    <x v="0"/>
    <x v="15"/>
    <x v="34"/>
    <x v="0"/>
    <s v="Envioclick- Coordinadora"/>
    <s v="2421961 – 84150873786"/>
    <d v="2024-05-21T00:00:00"/>
    <d v="2024-05-23T00:00:00"/>
    <x v="0"/>
    <n v="0"/>
    <n v="2"/>
    <x v="3"/>
    <n v="72991"/>
    <n v="-32991"/>
  </r>
  <r>
    <d v="2024-05-21T00:00:00"/>
    <x v="4"/>
    <n v="21"/>
    <n v="2034"/>
    <x v="0"/>
    <s v="Brayan Carreño"/>
    <s v="TECUTCO8C"/>
    <s v="Superficie Escritorio Caramelo 180x70 Clasico"/>
    <n v="1"/>
    <x v="1"/>
    <x v="15"/>
    <x v="34"/>
    <x v="0"/>
    <s v="Envioclick- Coordinadora"/>
    <s v="2421962 – 84150873788"/>
    <d v="2024-05-21T00:00:00"/>
    <d v="2024-05-23T00:00:00"/>
    <x v="0"/>
    <n v="0"/>
    <n v="2"/>
    <x v="3"/>
    <n v="53412"/>
    <e v="#N/A"/>
  </r>
  <r>
    <d v="2024-05-21T00:00:00"/>
    <x v="4"/>
    <n v="21"/>
    <n v="2035"/>
    <x v="0"/>
    <s v="Brayan Carreño"/>
    <s v="TECUCT"/>
    <s v="TECU bandeja de cables"/>
    <n v="1"/>
    <x v="4"/>
    <x v="15"/>
    <x v="34"/>
    <x v="0"/>
    <s v="Envioclick- Coordinadora"/>
    <s v="2422493 – 84150873997"/>
    <d v="2024-05-21T00:00:00"/>
    <d v="2024-05-23T00:00:00"/>
    <x v="0"/>
    <n v="0"/>
    <n v="2"/>
    <x v="3"/>
    <n v="46580"/>
    <n v="-21580"/>
  </r>
  <r>
    <d v="2024-05-21T00:00:00"/>
    <x v="4"/>
    <n v="21"/>
    <n v="2036"/>
    <x v="0"/>
    <s v="Luis Carrion"/>
    <s v="TECU3FNPRO"/>
    <s v="Electric Standing Desk  PRO Negro"/>
    <n v="1"/>
    <x v="0"/>
    <x v="1"/>
    <x v="35"/>
    <x v="0"/>
    <s v="Envioclick- Coordinadora"/>
    <s v="2422562 – 84150874026"/>
    <d v="2024-05-21T00:00:00"/>
    <d v="2024-05-22T00:00:00"/>
    <x v="0"/>
    <n v="0"/>
    <n v="1"/>
    <x v="3"/>
    <n v="42002"/>
    <n v="-2002"/>
  </r>
  <r>
    <d v="2024-05-21T00:00:00"/>
    <x v="4"/>
    <n v="21"/>
    <n v="2036"/>
    <x v="0"/>
    <s v="Luis Carrion"/>
    <s v="TECUTB2C"/>
    <s v="Superficie Escritorio Blanco (Niebla) 120x70 Clasico Small"/>
    <n v="1"/>
    <x v="1"/>
    <x v="1"/>
    <x v="35"/>
    <x v="0"/>
    <s v="Envioclick- Coordinadora"/>
    <s v="2422563 – 84150874027"/>
    <d v="2024-05-21T00:00:00"/>
    <d v="2024-05-22T00:00:00"/>
    <x v="0"/>
    <n v="0"/>
    <n v="1"/>
    <x v="3"/>
    <n v="27422"/>
    <m/>
  </r>
  <r>
    <d v="2024-05-21T00:00:00"/>
    <x v="4"/>
    <n v="21"/>
    <n v="2037"/>
    <x v="0"/>
    <s v="Oliver Johnson"/>
    <s v="TECU3FGPRO"/>
    <s v="Electric Standing Desk  PRO Gris"/>
    <n v="1"/>
    <x v="0"/>
    <x v="0"/>
    <x v="3"/>
    <x v="0"/>
    <s v="Envioclick- Coordinadora"/>
    <s v="2432584 – 84150876593"/>
    <d v="2024-05-24T00:00:00"/>
    <d v="2024-05-25T00:00:00"/>
    <x v="0"/>
    <n v="3"/>
    <n v="4"/>
    <x v="0"/>
    <n v="42002"/>
    <m/>
  </r>
  <r>
    <d v="2024-05-21T00:00:00"/>
    <x v="4"/>
    <n v="21"/>
    <n v="2037"/>
    <x v="0"/>
    <s v="Oliver Johnson"/>
    <s v="TECUTB3C"/>
    <s v="Superficie Escritorio Blanco (Niebla) 130x70 Clasico"/>
    <n v="1"/>
    <x v="1"/>
    <x v="0"/>
    <x v="3"/>
    <x v="0"/>
    <s v="Envioclick- Coordinadora"/>
    <s v="2432585 – 84150876594"/>
    <d v="2024-05-24T00:00:00"/>
    <d v="2024-05-25T00:00:00"/>
    <x v="0"/>
    <n v="3"/>
    <n v="4"/>
    <x v="0"/>
    <n v="27422"/>
    <m/>
  </r>
  <r>
    <d v="2024-05-22T00:00:00"/>
    <x v="4"/>
    <n v="21"/>
    <n v="2038"/>
    <x v="0"/>
    <s v="Juan Nicolas Nontoa Caballero"/>
    <s v="TECU2FNG"/>
    <s v="Electric Standing Desk GO Negro"/>
    <n v="1"/>
    <x v="0"/>
    <x v="1"/>
    <x v="1"/>
    <x v="0"/>
    <s v="Envioclick- Coordinadora"/>
    <s v="2426137 – 84150875803"/>
    <d v="2024-05-23T00:00:00"/>
    <d v="2024-05-24T00:00:00"/>
    <x v="0"/>
    <n v="1"/>
    <n v="2"/>
    <x v="1"/>
    <n v="40734"/>
    <m/>
  </r>
  <r>
    <d v="2024-05-22T00:00:00"/>
    <x v="4"/>
    <n v="21"/>
    <n v="2038"/>
    <x v="0"/>
    <s v="Juan Nicolas Nontoa Caballero"/>
    <s v="TECUTCO4C"/>
    <s v="Superficie Escritorio Caramelo 140x70 Clasico"/>
    <n v="1"/>
    <x v="1"/>
    <x v="1"/>
    <x v="1"/>
    <x v="0"/>
    <s v="Envioclick- Coordinadora"/>
    <s v="2426138 – 84150875804"/>
    <d v="2024-05-23T00:00:00"/>
    <d v="2024-05-24T00:00:00"/>
    <x v="0"/>
    <n v="1"/>
    <n v="2"/>
    <x v="1"/>
    <n v="22988"/>
    <m/>
  </r>
  <r>
    <d v="2024-05-22T00:00:00"/>
    <x v="4"/>
    <n v="21"/>
    <n v="2039"/>
    <x v="0"/>
    <s v="Oscar Rojas Cerquera"/>
    <s v="TECU3FNPRO"/>
    <s v="Electric Standing Desk  PRO Negro"/>
    <n v="1"/>
    <x v="0"/>
    <x v="1"/>
    <x v="1"/>
    <x v="0"/>
    <s v="Envioclick- Coordinadora"/>
    <s v="2432610 – 84150876607"/>
    <d v="2024-05-24T00:00:00"/>
    <d v="2024-05-27T00:00:00"/>
    <x v="0"/>
    <n v="2"/>
    <n v="4"/>
    <x v="0"/>
    <n v="42002"/>
    <m/>
  </r>
  <r>
    <d v="2024-05-22T00:00:00"/>
    <x v="4"/>
    <n v="21"/>
    <n v="2039"/>
    <x v="0"/>
    <s v="Oscar Rojas Cerquera"/>
    <s v="TECUTRM5C"/>
    <s v="Superficie Roble Miel 150x70 Clasico"/>
    <n v="1"/>
    <x v="1"/>
    <x v="1"/>
    <x v="1"/>
    <x v="0"/>
    <s v="Envioclick- Coordinadora"/>
    <s v="2432612 – 84150876609"/>
    <d v="2024-05-24T00:00:00"/>
    <d v="2024-05-27T00:00:00"/>
    <x v="0"/>
    <n v="2"/>
    <n v="4"/>
    <x v="0"/>
    <n v="22988"/>
    <m/>
  </r>
  <r>
    <d v="2024-05-22T00:00:00"/>
    <x v="4"/>
    <n v="21"/>
    <n v="2039"/>
    <x v="0"/>
    <s v="Oscar Rojas Cerquera"/>
    <s v="TECUCT"/>
    <s v="TECU bandeja de cables"/>
    <n v="1"/>
    <x v="4"/>
    <x v="1"/>
    <x v="1"/>
    <x v="0"/>
    <s v="Envioclick- Coordinadora"/>
    <s v="2440407 – 84150877080"/>
    <d v="2024-05-24T00:00:00"/>
    <d v="2024-05-27T00:00:00"/>
    <x v="0"/>
    <n v="2"/>
    <n v="4"/>
    <x v="0"/>
    <n v="16121"/>
    <m/>
  </r>
  <r>
    <d v="2024-05-22T00:00:00"/>
    <x v="4"/>
    <n v="21"/>
    <n v="2039"/>
    <x v="0"/>
    <s v="Oscar Rojas Cerquera"/>
    <s v="TECURRM"/>
    <s v="Repisa Roble Miel"/>
    <n v="1"/>
    <x v="2"/>
    <x v="1"/>
    <x v="1"/>
    <x v="0"/>
    <s v="Envioclick- Coordinadora"/>
    <s v="2432615 - 84150876611"/>
    <d v="2024-05-24T00:00:00"/>
    <d v="2024-05-27T00:00:00"/>
    <x v="0"/>
    <n v="2"/>
    <n v="4"/>
    <x v="0"/>
    <n v="22355"/>
    <m/>
  </r>
  <r>
    <d v="2024-05-22T00:00:00"/>
    <x v="4"/>
    <n v="21"/>
    <n v="2039"/>
    <x v="0"/>
    <s v="Oscar Rojas Cerquera"/>
    <s v="TECUAN"/>
    <s v="Archivador TECU  Negro (Wengue)"/>
    <n v="1"/>
    <x v="3"/>
    <x v="1"/>
    <x v="1"/>
    <x v="0"/>
    <s v="Envioclick- Envia"/>
    <s v="2451306 - 954100974401"/>
    <d v="2024-05-30T00:00:00"/>
    <d v="2024-06-01T00:00:00"/>
    <x v="0"/>
    <n v="7"/>
    <n v="9"/>
    <x v="0"/>
    <n v="49332"/>
    <m/>
  </r>
  <r>
    <d v="2024-05-22T00:00:00"/>
    <x v="4"/>
    <n v="21"/>
    <n v="2040"/>
    <x v="0"/>
    <s v="Julian Rojas"/>
    <s v="TECU3FNPRO"/>
    <s v="Electric Standing Desk  PRO Negro"/>
    <n v="1"/>
    <x v="0"/>
    <x v="0"/>
    <x v="10"/>
    <x v="0"/>
    <s v="Envioclick- Coordinadora"/>
    <s v="2425946 – 84150875714"/>
    <d v="2024-05-23T00:00:00"/>
    <d v="2024-05-24T00:00:00"/>
    <x v="0"/>
    <n v="1"/>
    <n v="2"/>
    <x v="1"/>
    <n v="42002"/>
    <m/>
  </r>
  <r>
    <d v="2024-05-22T00:00:00"/>
    <x v="4"/>
    <n v="21"/>
    <n v="2040"/>
    <x v="0"/>
    <s v="Julian Rojas"/>
    <s v="TECUTCC2C"/>
    <s v="Superficie Escritorio Miel 120x70 Clasico Small"/>
    <n v="1"/>
    <x v="1"/>
    <x v="0"/>
    <x v="10"/>
    <x v="0"/>
    <s v="Envioclick- Coordinadora"/>
    <s v="2425959 – 84150875720"/>
    <d v="2024-05-23T00:00:00"/>
    <d v="2024-05-24T00:00:00"/>
    <x v="0"/>
    <n v="1"/>
    <n v="2"/>
    <x v="1"/>
    <n v="27422"/>
    <m/>
  </r>
  <r>
    <d v="2024-05-22T00:00:00"/>
    <x v="4"/>
    <n v="21"/>
    <n v="2041"/>
    <x v="0"/>
    <s v="Silvana Bahamon"/>
    <s v="TECU3FBRO"/>
    <s v="Electric Standing Desk  PRO Blanco"/>
    <n v="1"/>
    <x v="0"/>
    <x v="4"/>
    <x v="5"/>
    <x v="0"/>
    <s v="Envioclick- Coordinadora"/>
    <s v="2425956 – 84150875719"/>
    <d v="2024-05-23T00:00:00"/>
    <d v="2024-05-24T00:00:00"/>
    <x v="0"/>
    <n v="1"/>
    <n v="2"/>
    <x v="1"/>
    <n v="42002"/>
    <m/>
  </r>
  <r>
    <d v="2024-05-22T00:00:00"/>
    <x v="4"/>
    <n v="21"/>
    <n v="2041"/>
    <x v="0"/>
    <s v="Silvana Bahamon"/>
    <s v="TECUTCC3C"/>
    <s v="Superficie Escritorio Miel 130x70 Clasico"/>
    <n v="1"/>
    <x v="1"/>
    <x v="4"/>
    <x v="5"/>
    <x v="0"/>
    <s v="Envioclick- Coordinadora"/>
    <s v="2425959 – 84150875720"/>
    <d v="2024-05-23T00:00:00"/>
    <d v="2024-05-24T00:00:00"/>
    <x v="0"/>
    <n v="1"/>
    <n v="2"/>
    <x v="1"/>
    <n v="27422"/>
    <m/>
  </r>
  <r>
    <d v="2024-05-23T00:00:00"/>
    <x v="4"/>
    <n v="21"/>
    <n v="2042"/>
    <x v="0"/>
    <s v="Jose Roldán"/>
    <s v="TECU2FGGO"/>
    <s v="Electric Standing Desk GO Gris"/>
    <n v="1"/>
    <x v="0"/>
    <x v="0"/>
    <x v="3"/>
    <x v="0"/>
    <s v="Envioclick- Coordinadora"/>
    <s v="2426083 – 84150875773"/>
    <d v="2024-05-23T00:00:00"/>
    <d v="2024-05-24T00:00:00"/>
    <x v="0"/>
    <n v="0"/>
    <n v="1"/>
    <x v="1"/>
    <n v="40734"/>
    <m/>
  </r>
  <r>
    <d v="2024-05-23T00:00:00"/>
    <x v="4"/>
    <n v="21"/>
    <n v="2042"/>
    <x v="0"/>
    <s v="Jose Roldán"/>
    <s v="TECUTRN4C"/>
    <s v="Superficie Escritorio Roble Negro 140x70 Clasico"/>
    <n v="1"/>
    <x v="1"/>
    <x v="0"/>
    <x v="3"/>
    <x v="0"/>
    <s v="Envioclick- Coordinadora"/>
    <s v="2426085 – 84150875774"/>
    <d v="2024-05-23T00:00:00"/>
    <d v="2024-05-24T00:00:00"/>
    <x v="0"/>
    <n v="0"/>
    <n v="1"/>
    <x v="1"/>
    <n v="22988"/>
    <m/>
  </r>
  <r>
    <d v="2024-05-23T00:00:00"/>
    <x v="4"/>
    <n v="21"/>
    <n v="2043"/>
    <x v="0"/>
    <s v="Maria Camila Alzate Restrepo"/>
    <s v="TECU2FNG"/>
    <s v="Electric Standing Desk GO Negro"/>
    <n v="1"/>
    <x v="0"/>
    <x v="0"/>
    <x v="8"/>
    <x v="0"/>
    <s v="Envioclick- Coordinadora"/>
    <s v="2426153 – 84150875811"/>
    <d v="2024-05-23T00:00:00"/>
    <d v="2024-05-24T00:00:00"/>
    <x v="0"/>
    <n v="0"/>
    <n v="1"/>
    <x v="1"/>
    <n v="40734"/>
    <m/>
  </r>
  <r>
    <d v="2024-05-23T00:00:00"/>
    <x v="4"/>
    <n v="21"/>
    <n v="2043"/>
    <x v="0"/>
    <s v="Maria Camila Alzate Restrepo"/>
    <s v="TECUTCC2C"/>
    <s v="Superficie Escritorio Miel 120x70 Clasico Small"/>
    <n v="1"/>
    <x v="1"/>
    <x v="0"/>
    <x v="8"/>
    <x v="0"/>
    <s v="Envioclick- Coordinadora"/>
    <s v="2426155 – 84150875812"/>
    <d v="2024-05-23T00:00:00"/>
    <d v="2024-05-24T00:00:00"/>
    <x v="0"/>
    <n v="0"/>
    <n v="1"/>
    <x v="1"/>
    <n v="22988"/>
    <m/>
  </r>
  <r>
    <d v="2024-05-23T00:00:00"/>
    <x v="4"/>
    <n v="21"/>
    <n v="2043"/>
    <x v="0"/>
    <s v="Maria Camila Alzate Restrepo"/>
    <s v="TECUACC"/>
    <s v="Archivador TECU  Miel"/>
    <n v="1"/>
    <x v="3"/>
    <x v="0"/>
    <x v="8"/>
    <x v="0"/>
    <s v="Envioclick- Envia"/>
    <s v="2443032 – 954100971980"/>
    <d v="2024-05-27T00:00:00"/>
    <d v="2024-05-28T00:00:00"/>
    <x v="0"/>
    <n v="3"/>
    <n v="4"/>
    <x v="0"/>
    <n v="59204"/>
    <m/>
  </r>
  <r>
    <d v="2024-05-23T00:00:00"/>
    <x v="4"/>
    <n v="21"/>
    <s v="Dra Paola"/>
    <x v="3"/>
    <s v="Paola Castañeda Gutierrez"/>
    <s v="TECU2FNG"/>
    <s v="Electric Standing Desk GO Negro"/>
    <n v="1"/>
    <x v="0"/>
    <x v="1"/>
    <x v="1"/>
    <x v="0"/>
    <s v="Envioclick- Coordinadora"/>
    <s v="NA"/>
    <d v="2024-05-08T00:00:00"/>
    <d v="2024-05-09T00:00:00"/>
    <x v="0"/>
    <n v="-14"/>
    <n v="-13"/>
    <x v="1"/>
    <n v="44782"/>
    <m/>
  </r>
  <r>
    <d v="2024-05-23T00:00:00"/>
    <x v="4"/>
    <n v="21"/>
    <s v="Dra Paola"/>
    <x v="3"/>
    <s v="Paola Castañeda Gutierrez"/>
    <s v="TECUTCC5C"/>
    <s v="Superficie Escritorio Miel 150x70 Clasico"/>
    <n v="1"/>
    <x v="1"/>
    <x v="1"/>
    <x v="1"/>
    <x v="0"/>
    <s v="Envioclick- Coordinadora"/>
    <s v="NA"/>
    <d v="2024-05-08T00:00:00"/>
    <d v="2024-05-09T00:00:00"/>
    <x v="0"/>
    <n v="-14"/>
    <n v="-13"/>
    <x v="1"/>
    <n v="26312"/>
    <m/>
  </r>
  <r>
    <d v="2024-05-24T00:00:00"/>
    <x v="4"/>
    <n v="21"/>
    <n v="2044"/>
    <x v="0"/>
    <s v="Johan Sebastian Meneses Cifuentes"/>
    <s v="TECUACC"/>
    <s v="Archivador TECU  Miel"/>
    <n v="1"/>
    <x v="3"/>
    <x v="11"/>
    <x v="25"/>
    <x v="0"/>
    <s v="Envioclick- Envia"/>
    <s v="2451278 - 954100974399"/>
    <d v="2024-05-30T00:00:00"/>
    <d v="2024-06-06T00:00:00"/>
    <x v="0"/>
    <n v="5"/>
    <n v="10"/>
    <x v="3"/>
    <n v="133290"/>
    <m/>
  </r>
  <r>
    <d v="2024-05-27T00:00:00"/>
    <x v="4"/>
    <n v="22"/>
    <n v="2045"/>
    <x v="0"/>
    <s v="Sergio Pomárico Hernández"/>
    <s v="TECU3FNPRO"/>
    <s v="Electric Standing Desk  PRO Negro"/>
    <n v="1"/>
    <x v="0"/>
    <x v="0"/>
    <x v="3"/>
    <x v="0"/>
    <s v="Envioclick- Coordinadora"/>
    <s v="2443052 – 84150878046"/>
    <d v="2024-05-27T00:00:00"/>
    <d v="2024-05-28T00:00:00"/>
    <x v="0"/>
    <n v="0"/>
    <n v="1"/>
    <x v="1"/>
    <n v="42002"/>
    <m/>
  </r>
  <r>
    <d v="2024-05-27T00:00:00"/>
    <x v="4"/>
    <n v="22"/>
    <n v="2045"/>
    <x v="0"/>
    <s v="Sergio Pomárico Hernández"/>
    <s v="TECUTCC8C"/>
    <s v="Superficie Escritorio Miel 180x70 Clasico"/>
    <n v="1"/>
    <x v="1"/>
    <x v="0"/>
    <x v="3"/>
    <x v="0"/>
    <s v="Envioclick- Coordinadora"/>
    <s v="2443054 – 84150878047"/>
    <d v="2024-05-27T00:00:00"/>
    <d v="2024-05-28T00:00:00"/>
    <x v="0"/>
    <n v="0"/>
    <n v="1"/>
    <x v="1"/>
    <n v="25521"/>
    <m/>
  </r>
  <r>
    <d v="2024-05-27T00:00:00"/>
    <x v="4"/>
    <n v="22"/>
    <n v="2046"/>
    <x v="0"/>
    <s v="Insight Technologies"/>
    <s v="TECU3FNPRO"/>
    <s v="Electric Standing Desk  PRO Negro"/>
    <n v="1"/>
    <x v="0"/>
    <x v="11"/>
    <x v="36"/>
    <x v="0"/>
    <s v="Envioclick- Coordinadora"/>
    <s v="2443078 – 84150878062 / 39722779585"/>
    <d v="2024-05-27T00:00:00"/>
    <d v="2024-05-31T00:00:00"/>
    <x v="0"/>
    <n v="0"/>
    <n v="4"/>
    <x v="1"/>
    <n v="42002"/>
    <m/>
  </r>
  <r>
    <d v="2024-05-27T00:00:00"/>
    <x v="4"/>
    <n v="22"/>
    <n v="2046"/>
    <x v="0"/>
    <s v="Insight Technologies"/>
    <s v="TECUTRN7C"/>
    <s v="Superficie Escritorio Roble Negro 170x70 Clasico"/>
    <n v="1"/>
    <x v="1"/>
    <x v="11"/>
    <x v="36"/>
    <x v="0"/>
    <s v="Envioclick- Coordinadora"/>
    <s v="2443080 – 84150878063 / 39722781562"/>
    <d v="2024-05-27T00:00:00"/>
    <d v="2024-05-31T00:00:00"/>
    <x v="0"/>
    <n v="0"/>
    <n v="4"/>
    <x v="1"/>
    <n v="25521"/>
    <m/>
  </r>
  <r>
    <d v="2024-05-27T00:00:00"/>
    <x v="4"/>
    <n v="22"/>
    <n v="2047"/>
    <x v="0"/>
    <s v="Jose Sema"/>
    <s v="TECURCO"/>
    <s v="Repisa TECU  Caramelo"/>
    <n v="1"/>
    <x v="2"/>
    <x v="8"/>
    <x v="19"/>
    <x v="0"/>
    <s v="Envioclick- Envia"/>
    <s v="2443745 - 954100972127"/>
    <d v="2024-05-27T00:00:00"/>
    <d v="2024-05-31T00:00:00"/>
    <x v="0"/>
    <n v="0"/>
    <n v="4"/>
    <x v="1"/>
    <n v="49618"/>
    <m/>
  </r>
  <r>
    <d v="2024-05-28T00:00:00"/>
    <x v="4"/>
    <n v="22"/>
    <n v="2048"/>
    <x v="0"/>
    <s v="Oliver Johnson"/>
    <s v="TECU2FBGO"/>
    <s v="Electric Standing Desk GO Blanco"/>
    <n v="1"/>
    <x v="0"/>
    <x v="0"/>
    <x v="3"/>
    <x v="0"/>
    <s v="Envioclick- Coordinadora"/>
    <s v="2446522 - 84150879791"/>
    <d v="2024-05-28T00:00:00"/>
    <d v="2024-05-29T00:00:00"/>
    <x v="0"/>
    <n v="0"/>
    <n v="1"/>
    <x v="1"/>
    <n v="40734"/>
    <m/>
  </r>
  <r>
    <d v="2024-05-28T00:00:00"/>
    <x v="4"/>
    <n v="22"/>
    <n v="2048"/>
    <x v="0"/>
    <s v="Oliver Johnson"/>
    <s v="TECUTRN2C"/>
    <s v="Superficie Escritorio Roble Negro 120x70 Clasico Small"/>
    <n v="1"/>
    <x v="1"/>
    <x v="0"/>
    <x v="3"/>
    <x v="0"/>
    <s v="Envioclick- Coordinadora"/>
    <s v="2450983 - 84150881625"/>
    <d v="2024-05-28T00:00:00"/>
    <d v="2024-05-29T00:00:00"/>
    <x v="0"/>
    <n v="0"/>
    <n v="1"/>
    <x v="1"/>
    <n v="22988"/>
    <m/>
  </r>
  <r>
    <d v="2024-05-29T00:00:00"/>
    <x v="4"/>
    <n v="22"/>
    <n v="2049"/>
    <x v="0"/>
    <s v="Luis Alfredo Velasco Davila"/>
    <s v="TECU2FBGO"/>
    <s v="Electric Standing Desk GO Blanco"/>
    <n v="1"/>
    <x v="0"/>
    <x v="1"/>
    <x v="1"/>
    <x v="0"/>
    <s v="Envioclick- Coordinadora"/>
    <s v="2450982 - 84150881624"/>
    <d v="2024-05-30T00:00:00"/>
    <d v="2024-05-31T00:00:00"/>
    <x v="0"/>
    <n v="1"/>
    <n v="2"/>
    <x v="1"/>
    <n v="40734"/>
    <m/>
  </r>
  <r>
    <d v="2024-05-29T00:00:00"/>
    <x v="4"/>
    <n v="22"/>
    <n v="2049"/>
    <x v="0"/>
    <s v="Luis Alfredo Velasco Davila"/>
    <s v="TECUTB2C"/>
    <s v="Superficie Escritorio Blanco (Niebla) 120x70 Clasico Small"/>
    <n v="1"/>
    <x v="1"/>
    <x v="1"/>
    <x v="1"/>
    <x v="0"/>
    <s v="Envioclick- Coordinadora"/>
    <s v="2450983 - 84150881625"/>
    <d v="2024-05-30T00:00:00"/>
    <d v="2024-05-31T00:00:00"/>
    <x v="0"/>
    <n v="1"/>
    <n v="2"/>
    <x v="1"/>
    <n v="22988"/>
    <m/>
  </r>
  <r>
    <d v="2024-05-29T00:00:00"/>
    <x v="4"/>
    <n v="22"/>
    <n v="2050"/>
    <x v="0"/>
    <s v="Obed Gonzalez Velez"/>
    <s v="TECU3FNPRO"/>
    <s v="Electric Standing Desk  PRO Negro"/>
    <n v="1"/>
    <x v="0"/>
    <x v="0"/>
    <x v="3"/>
    <x v="0"/>
    <s v="Envioclick- Coordinadora"/>
    <s v="2451010 - 84150881638"/>
    <d v="2024-05-30T00:00:00"/>
    <d v="2024-05-31T00:00:00"/>
    <x v="0"/>
    <n v="1"/>
    <n v="2"/>
    <x v="1"/>
    <n v="42002"/>
    <m/>
  </r>
  <r>
    <d v="2024-05-29T00:00:00"/>
    <x v="4"/>
    <n v="22"/>
    <n v="2050"/>
    <x v="0"/>
    <s v="Obed Gonzalez Velez"/>
    <s v="TECUTCO5M"/>
    <s v="Superficie Escritorio Caramelo 150x70 Moderno"/>
    <n v="1"/>
    <x v="1"/>
    <x v="0"/>
    <x v="3"/>
    <x v="0"/>
    <s v="Envioclick- Coordinadora"/>
    <s v="2451011 - 84150881639"/>
    <d v="2024-05-30T00:00:00"/>
    <d v="2024-05-31T00:00:00"/>
    <x v="0"/>
    <n v="1"/>
    <n v="2"/>
    <x v="1"/>
    <n v="22988"/>
    <m/>
  </r>
  <r>
    <d v="2024-05-29T00:00:00"/>
    <x v="4"/>
    <n v="22"/>
    <n v="2050"/>
    <x v="0"/>
    <s v="Obed Gonzalez Velez"/>
    <s v="TECUACO"/>
    <s v="Archivador TECU  Caramelo"/>
    <n v="1"/>
    <x v="3"/>
    <x v="0"/>
    <x v="3"/>
    <x v="0"/>
    <s v="Envioclick- Envia"/>
    <s v="2451258 - 954100974389"/>
    <d v="2024-05-30T00:00:00"/>
    <d v="2024-06-04T00:00:00"/>
    <x v="0"/>
    <n v="1"/>
    <n v="4"/>
    <x v="0"/>
    <n v="57224"/>
    <m/>
  </r>
  <r>
    <d v="2024-06-01T00:00:00"/>
    <x v="5"/>
    <n v="22"/>
    <n v="2051"/>
    <x v="0"/>
    <s v="Jairo Andrés Ospina Mendoza"/>
    <s v="TECULFN2"/>
    <s v="Electric Standing Desk | Escritorio Ajustable En L Frame Negro 2.0"/>
    <n v="1"/>
    <x v="0"/>
    <x v="1"/>
    <x v="1"/>
    <x v="0"/>
    <s v="Envioclick- Coordinadora"/>
    <s v="2460322 - 84150884439"/>
    <d v="2024-06-04T00:00:00"/>
    <d v="2024-06-06T00:00:00"/>
    <x v="0"/>
    <n v="1"/>
    <n v="3"/>
    <x v="1"/>
    <n v="60937"/>
    <m/>
  </r>
  <r>
    <d v="2024-06-01T00:00:00"/>
    <x v="5"/>
    <n v="22"/>
    <n v="2051"/>
    <x v="0"/>
    <s v="Jairo Andrés Ospina Mendoza"/>
    <s v="TECUTLCCS"/>
    <s v="Superficie Escritorio en L Caramelo Set completo"/>
    <n v="1"/>
    <x v="1"/>
    <x v="1"/>
    <x v="1"/>
    <x v="0"/>
    <s v="Envioclick- Coordinadora"/>
    <s v="2460324 - 84150884440"/>
    <d v="2024-06-04T00:00:00"/>
    <d v="2024-06-06T00:00:00"/>
    <x v="0"/>
    <n v="1"/>
    <n v="3"/>
    <x v="1"/>
    <n v="25521"/>
    <m/>
  </r>
  <r>
    <d v="2024-06-03T00:00:00"/>
    <x v="5"/>
    <n v="23"/>
    <n v="2052"/>
    <x v="0"/>
    <s v="Fernanda Sánchez"/>
    <s v="TECULFN2"/>
    <s v="Electric Standing Desk | Escritorio Ajustable En L Frame Negro 2.0"/>
    <n v="1"/>
    <x v="0"/>
    <x v="16"/>
    <x v="37"/>
    <x v="0"/>
    <s v="Envioclick- Coordinadora"/>
    <s v="2460836 - 84150884719"/>
    <d v="2024-06-04T00:00:00"/>
    <d v="2024-06-05T00:00:00"/>
    <x v="0"/>
    <n v="0"/>
    <n v="1"/>
    <x v="1"/>
    <n v="68452"/>
    <m/>
  </r>
  <r>
    <d v="2024-06-03T00:00:00"/>
    <x v="5"/>
    <n v="23"/>
    <n v="2052"/>
    <x v="0"/>
    <s v="Fernanda Sánchez"/>
    <s v="TECUTLCCS"/>
    <s v="Superficie Escritorio en L Caramelo Set completo"/>
    <n v="1"/>
    <x v="1"/>
    <x v="16"/>
    <x v="37"/>
    <x v="0"/>
    <s v="Envioclick- Coordinadora"/>
    <s v="2460837 - 84150884720"/>
    <d v="2024-06-04T00:00:00"/>
    <d v="2024-06-05T00:00:00"/>
    <x v="0"/>
    <n v="0"/>
    <n v="1"/>
    <x v="1"/>
    <n v="29424"/>
    <m/>
  </r>
  <r>
    <d v="2024-06-03T00:00:00"/>
    <x v="5"/>
    <n v="23"/>
    <n v="2053"/>
    <x v="0"/>
    <s v="Kyle Duff"/>
    <s v="TECU2FNG"/>
    <s v="Electric Standing Desk GO Negro"/>
    <n v="1"/>
    <x v="0"/>
    <x v="0"/>
    <x v="10"/>
    <x v="0"/>
    <s v="Envioclick- Coordinadora"/>
    <s v="2460361 - 84150884474"/>
    <d v="2024-06-04T00:00:00"/>
    <d v="2024-06-05T00:00:00"/>
    <x v="0"/>
    <n v="0"/>
    <n v="1"/>
    <x v="1"/>
    <n v="40734"/>
    <m/>
  </r>
  <r>
    <d v="2024-06-03T00:00:00"/>
    <x v="5"/>
    <n v="23"/>
    <n v="2053"/>
    <x v="0"/>
    <s v="Kyle Duff"/>
    <s v="TECUTRN4C"/>
    <s v="Superficie Escritorio Roble Negro 140x70 Clasico"/>
    <n v="1"/>
    <x v="1"/>
    <x v="0"/>
    <x v="10"/>
    <x v="0"/>
    <s v="Envioclick- Coordinadora"/>
    <s v="2460365 - 84150884476"/>
    <d v="2024-06-04T00:00:00"/>
    <d v="2024-06-05T00:00:00"/>
    <x v="0"/>
    <n v="0"/>
    <n v="1"/>
    <x v="1"/>
    <n v="22988"/>
    <m/>
  </r>
  <r>
    <d v="2024-06-03T00:00:00"/>
    <x v="5"/>
    <n v="23"/>
    <n v="2054"/>
    <x v="0"/>
    <s v="Sergio Pomárico Hernández"/>
    <s v="TECUCT"/>
    <s v="TECU bandeja de cables"/>
    <n v="1"/>
    <x v="4"/>
    <x v="0"/>
    <x v="3"/>
    <x v="0"/>
    <s v="Envioclick- Coordinadora"/>
    <s v="2461207 - 84150884971"/>
    <d v="2024-06-04T00:00:00"/>
    <d v="2024-06-05T00:00:00"/>
    <x v="0"/>
    <n v="0"/>
    <n v="1"/>
    <x v="1"/>
    <n v="23855"/>
    <m/>
  </r>
  <r>
    <d v="2024-06-04T00:00:00"/>
    <x v="5"/>
    <n v="23"/>
    <n v="2055"/>
    <x v="0"/>
    <s v="Gustavo Salgado"/>
    <s v="TECU3FNPRO"/>
    <s v="Electric Standing Desk  PRO Negro"/>
    <n v="1"/>
    <x v="0"/>
    <x v="0"/>
    <x v="0"/>
    <x v="0"/>
    <s v="Envioclick- Coordinadora"/>
    <s v="2464117 - 84150886295"/>
    <d v="2024-06-05T00:00:00"/>
    <d v="2024-06-06T00:00:00"/>
    <x v="0"/>
    <n v="1"/>
    <n v="2"/>
    <x v="1"/>
    <n v="42002"/>
    <m/>
  </r>
  <r>
    <d v="2024-06-04T00:00:00"/>
    <x v="5"/>
    <n v="23"/>
    <n v="2055"/>
    <x v="0"/>
    <s v="Gustavo Salgado"/>
    <s v="TECUTCO8M"/>
    <s v="Superficie Escritorio Caramelo 180x70 Moderno"/>
    <n v="1"/>
    <x v="1"/>
    <x v="0"/>
    <x v="0"/>
    <x v="0"/>
    <s v="Envioclick- Coordinadora"/>
    <s v="2464120 - 84150886297"/>
    <d v="2024-06-05T00:00:00"/>
    <d v="2024-06-06T00:00:00"/>
    <x v="0"/>
    <n v="1"/>
    <n v="2"/>
    <x v="1"/>
    <n v="25521"/>
    <m/>
  </r>
  <r>
    <d v="2024-06-04T00:00:00"/>
    <x v="5"/>
    <n v="23"/>
    <n v="2056"/>
    <x v="0"/>
    <s v="Juan Jose Olave Romero"/>
    <s v="TECU3FNPRO"/>
    <s v="Electric Standing Desk  PRO Negro"/>
    <n v="1"/>
    <x v="0"/>
    <x v="7"/>
    <x v="18"/>
    <x v="0"/>
    <s v="Envioclick- Coordinadora"/>
    <s v="2464140 - 84150886310"/>
    <d v="2024-06-05T00:00:00"/>
    <d v="2024-06-06T00:00:00"/>
    <x v="0"/>
    <n v="1"/>
    <n v="2"/>
    <x v="1"/>
    <n v="54627"/>
    <m/>
  </r>
  <r>
    <d v="2024-06-04T00:00:00"/>
    <x v="5"/>
    <n v="23"/>
    <n v="2056"/>
    <x v="0"/>
    <s v="Juan Jose Olave Romero"/>
    <s v="TECUTRN20C"/>
    <s v="Superficie Escritorio Roble Negro 200x70 Clasico"/>
    <n v="1"/>
    <x v="1"/>
    <x v="7"/>
    <x v="18"/>
    <x v="0"/>
    <s v="Envioclick- Coordinadora"/>
    <s v="2464141 - 84150886311"/>
    <d v="2024-06-05T00:00:00"/>
    <d v="2024-06-06T00:00:00"/>
    <x v="0"/>
    <n v="1"/>
    <n v="2"/>
    <x v="1"/>
    <n v="36884"/>
    <m/>
  </r>
  <r>
    <d v="2024-06-04T00:00:00"/>
    <x v="5"/>
    <n v="23"/>
    <n v="2056"/>
    <x v="0"/>
    <s v="Juan Jose Olave Romero"/>
    <s v="TECUCT"/>
    <s v="TECU bandeja de cables"/>
    <n v="1"/>
    <x v="4"/>
    <x v="7"/>
    <x v="18"/>
    <x v="0"/>
    <s v="Envioclick- Coordinadora"/>
    <s v="2464707 - 84150886611"/>
    <d v="2024-06-05T00:00:00"/>
    <d v="2024-06-06T00:00:00"/>
    <x v="0"/>
    <n v="1"/>
    <n v="2"/>
    <x v="1"/>
    <n v="61686"/>
    <m/>
  </r>
  <r>
    <d v="2024-06-05T00:00:00"/>
    <x v="5"/>
    <n v="23"/>
    <n v="2057"/>
    <x v="0"/>
    <s v="Juliana Martinez"/>
    <s v="TECU3FNPRO"/>
    <s v="Electric Standing Desk  PRO Negro"/>
    <n v="1"/>
    <x v="0"/>
    <x v="1"/>
    <x v="1"/>
    <x v="0"/>
    <s v="Envioclick- Coordinadora"/>
    <s v="2477753 - 84150892156"/>
    <d v="2024-06-12T00:00:00"/>
    <d v="2024-06-14T00:00:00"/>
    <x v="0"/>
    <n v="5"/>
    <n v="7"/>
    <x v="0"/>
    <n v="42002"/>
    <s v="Cliente pide que el pedido se le despache el 12 Junio por mudanza"/>
  </r>
  <r>
    <d v="2024-06-05T00:00:00"/>
    <x v="5"/>
    <n v="23"/>
    <n v="2057"/>
    <x v="0"/>
    <s v="Juliana Martinez"/>
    <s v="TECUTCO7M"/>
    <s v="Superficie Escritorio Caramelo 170x70 Moderno"/>
    <n v="1"/>
    <x v="1"/>
    <x v="1"/>
    <x v="1"/>
    <x v="0"/>
    <s v="Envioclick- Coordinadora"/>
    <s v="2477754 - 84150892157"/>
    <d v="2024-06-12T00:00:00"/>
    <d v="2024-06-14T00:00:00"/>
    <x v="0"/>
    <n v="5"/>
    <n v="7"/>
    <x v="0"/>
    <n v="25521"/>
    <s v="Cliente pide que el pedido se le despache el 12 Junio por mudanza"/>
  </r>
  <r>
    <d v="2024-06-05T00:00:00"/>
    <x v="5"/>
    <n v="23"/>
    <n v="2058"/>
    <x v="0"/>
    <s v="Ernesto Betancourt Ramirez"/>
    <s v="TECU3FNPRO"/>
    <s v="Electric Standing Desk  PRO Negro"/>
    <n v="1"/>
    <x v="0"/>
    <x v="4"/>
    <x v="5"/>
    <x v="0"/>
    <s v="Envioclick- Coordinadora"/>
    <s v="2464152 - 84150886316"/>
    <d v="2024-06-05T00:00:00"/>
    <d v="2024-06-06T00:00:00"/>
    <x v="0"/>
    <n v="0"/>
    <n v="1"/>
    <x v="1"/>
    <n v="42002"/>
    <m/>
  </r>
  <r>
    <d v="2024-06-06T00:00:00"/>
    <x v="5"/>
    <n v="23"/>
    <n v="2059"/>
    <x v="0"/>
    <s v="Kyle Duff"/>
    <s v="TECUCT"/>
    <s v="TECU bandeja de cables"/>
    <n v="1"/>
    <x v="4"/>
    <x v="0"/>
    <x v="10"/>
    <x v="0"/>
    <s v="Envioclick- Coordinadora"/>
    <s v="2466900 - 84150887492"/>
    <d v="2024-06-06T00:00:00"/>
    <d v="2024-06-07T00:00:00"/>
    <x v="0"/>
    <n v="0"/>
    <n v="1"/>
    <x v="1"/>
    <n v="24355"/>
    <m/>
  </r>
  <r>
    <d v="2024-06-06T00:00:00"/>
    <x v="5"/>
    <n v="23"/>
    <n v="2059"/>
    <x v="1"/>
    <s v="Kyle Duff"/>
    <s v="TECUCT"/>
    <s v="TECU bandeja de cables"/>
    <n v="1"/>
    <x v="4"/>
    <x v="0"/>
    <x v="10"/>
    <x v="0"/>
    <s v="Envioclick- Coordinadora"/>
    <s v="2473918 - 84150890326"/>
    <d v="2024-06-11T00:00:00"/>
    <d v="2024-06-12T00:00:00"/>
    <x v="0"/>
    <n v="3"/>
    <n v="4"/>
    <x v="0"/>
    <n v="24355"/>
    <m/>
  </r>
  <r>
    <d v="2024-06-06T00:00:00"/>
    <x v="5"/>
    <n v="23"/>
    <n v="2060"/>
    <x v="0"/>
    <s v="Fabio José Cuello Henández"/>
    <s v="TECU3FNPRO"/>
    <s v="Electric Standing Desk  PRO Negro"/>
    <n v="1"/>
    <x v="0"/>
    <x v="2"/>
    <x v="2"/>
    <x v="0"/>
    <s v="Envioclick- Coordinadora"/>
    <s v="2469408 - 84150888582"/>
    <d v="2024-06-07T00:00:00"/>
    <d v="2024-06-11T00:00:00"/>
    <x v="0"/>
    <n v="1"/>
    <n v="3"/>
    <x v="1"/>
    <n v="60748"/>
    <m/>
  </r>
  <r>
    <d v="2024-06-06T00:00:00"/>
    <x v="5"/>
    <n v="23"/>
    <n v="2060"/>
    <x v="0"/>
    <s v="Fabio José Cuello Henández"/>
    <s v="TECUTCO7C"/>
    <s v="Superficie Escritorio Caramelo 170x70 Clasico"/>
    <n v="1"/>
    <x v="1"/>
    <x v="2"/>
    <x v="2"/>
    <x v="0"/>
    <s v="Envioclick- Coordinadora"/>
    <s v="2469409 - 84150888583"/>
    <d v="2024-06-07T00:00:00"/>
    <d v="2024-06-11T00:00:00"/>
    <x v="0"/>
    <n v="1"/>
    <n v="3"/>
    <x v="1"/>
    <n v="42393"/>
    <m/>
  </r>
  <r>
    <d v="2024-06-07T00:00:00"/>
    <x v="5"/>
    <n v="23"/>
    <n v="2061"/>
    <x v="0"/>
    <s v="Alejandra Alvarez"/>
    <s v="TECULFN2"/>
    <s v="Electric Standing Desk | Escritorio Ajustable En L Frame Negro 2.0"/>
    <n v="1"/>
    <x v="0"/>
    <x v="1"/>
    <x v="1"/>
    <x v="0"/>
    <s v="Envioclick- Coordinadora"/>
    <s v="2474105 - 84150890381"/>
    <d v="2024-06-11T00:00:00"/>
    <d v="2024-06-12T00:00:00"/>
    <x v="0"/>
    <n v="2"/>
    <n v="3"/>
    <x v="1"/>
    <n v="60937"/>
    <m/>
  </r>
  <r>
    <d v="2024-06-07T00:00:00"/>
    <x v="5"/>
    <n v="23"/>
    <n v="2061"/>
    <x v="0"/>
    <s v="Alejandra Alvarez"/>
    <s v="TECUTLCCS"/>
    <s v="Superficie Escritorio en L Caramelo Set completo"/>
    <n v="1"/>
    <x v="1"/>
    <x v="1"/>
    <x v="1"/>
    <x v="0"/>
    <s v="Envioclick- Coordinadora"/>
    <s v="2474106 - 84150890382"/>
    <d v="2024-06-11T00:00:00"/>
    <d v="2024-06-12T00:00:00"/>
    <x v="0"/>
    <n v="2"/>
    <n v="3"/>
    <x v="1"/>
    <n v="25251"/>
    <m/>
  </r>
  <r>
    <d v="2024-06-07T00:00:00"/>
    <x v="5"/>
    <n v="23"/>
    <n v="2061"/>
    <x v="0"/>
    <s v="Alejandra Alvarez"/>
    <s v="TECUACO"/>
    <s v="Archivador TECU  Caramelo"/>
    <n v="1"/>
    <x v="3"/>
    <x v="1"/>
    <x v="1"/>
    <x v="0"/>
    <s v="Envioclick- Envia"/>
    <s v="2486924 - 954100984812"/>
    <d v="2024-06-17T00:00:00"/>
    <d v="2024-06-18T00:00:00"/>
    <x v="0"/>
    <n v="7"/>
    <n v="8"/>
    <x v="0"/>
    <n v="49332"/>
    <m/>
  </r>
  <r>
    <d v="2024-06-07T00:00:00"/>
    <x v="5"/>
    <n v="23"/>
    <n v="2061"/>
    <x v="0"/>
    <s v="Alejandra Alvarez"/>
    <s v="TECURCO"/>
    <s v="Repisa TECU  Caramelo"/>
    <n v="1"/>
    <x v="2"/>
    <x v="1"/>
    <x v="1"/>
    <x v="0"/>
    <s v="Envioclick- Coordinadora"/>
    <s v="2474135 - 84150890397"/>
    <d v="2024-06-11T00:00:00"/>
    <d v="2024-06-12T00:00:00"/>
    <x v="0"/>
    <n v="2"/>
    <n v="3"/>
    <x v="1"/>
    <n v="22355"/>
    <m/>
  </r>
  <r>
    <d v="2024-06-07T00:00:00"/>
    <x v="5"/>
    <n v="23"/>
    <n v="2061"/>
    <x v="0"/>
    <s v="Alejandra Alvarez"/>
    <s v="TECUBDPA"/>
    <s v="TECU Desk Pad B Negro Azul"/>
    <n v="1"/>
    <x v="4"/>
    <x v="1"/>
    <x v="1"/>
    <x v="0"/>
    <s v="Envioclick- Coordinadora"/>
    <s v="2474120 - 84150890388"/>
    <d v="2024-06-11T00:00:00"/>
    <d v="2024-06-13T00:00:00"/>
    <x v="0"/>
    <n v="2"/>
    <n v="4"/>
    <x v="0"/>
    <n v="16131"/>
    <m/>
  </r>
  <r>
    <d v="2024-06-07T00:00:00"/>
    <x v="5"/>
    <n v="23"/>
    <n v="2061"/>
    <x v="0"/>
    <s v="Alejandra Alvarez"/>
    <s v="TECUBLS"/>
    <s v="TECU Laptop Stand B"/>
    <n v="1"/>
    <x v="4"/>
    <x v="1"/>
    <x v="1"/>
    <x v="0"/>
    <s v="Envioclick- Coordinadora"/>
    <s v="2474125 - 84150890393"/>
    <d v="2024-06-11T00:00:00"/>
    <d v="2024-06-15T00:00:00"/>
    <x v="0"/>
    <n v="2"/>
    <n v="6"/>
    <x v="0"/>
    <n v="24042"/>
    <m/>
  </r>
  <r>
    <d v="2024-06-18T00:00:00"/>
    <x v="5"/>
    <n v="25"/>
    <n v="2061"/>
    <x v="1"/>
    <s v="Alejandra Alvarez"/>
    <s v="TECURCO"/>
    <s v="Repisa TECU  Caramelo"/>
    <n v="1"/>
    <x v="2"/>
    <x v="1"/>
    <x v="1"/>
    <x v="0"/>
    <s v="Envioclick- Coordinadora"/>
    <s v="2474135 - 84150890397"/>
    <d v="2024-06-11T00:00:00"/>
    <d v="2024-06-12T00:00:00"/>
    <x v="0"/>
    <n v="-8"/>
    <n v="-7"/>
    <x v="1"/>
    <n v="16401"/>
    <m/>
  </r>
  <r>
    <d v="2024-06-11T00:00:00"/>
    <x v="5"/>
    <n v="24"/>
    <n v="2062"/>
    <x v="0"/>
    <s v="Daniel Valderrama"/>
    <s v="TECURCC"/>
    <s v="Repisa TECU  Miel"/>
    <n v="1"/>
    <x v="2"/>
    <x v="0"/>
    <x v="0"/>
    <x v="0"/>
    <s v="Envioclick- Coordinadora"/>
    <s v="2474562 - 84150890577"/>
    <d v="2024-06-11T00:00:00"/>
    <d v="2024-06-12T00:00:00"/>
    <x v="0"/>
    <n v="0"/>
    <n v="1"/>
    <x v="1"/>
    <n v="22355"/>
    <m/>
  </r>
  <r>
    <d v="2024-06-11T00:00:00"/>
    <x v="5"/>
    <n v="24"/>
    <n v="2063"/>
    <x v="0"/>
    <s v="soraya silva"/>
    <s v="TECU3FNPRO"/>
    <s v="Electric Standing Desk  PRO Negro"/>
    <n v="1"/>
    <x v="0"/>
    <x v="1"/>
    <x v="1"/>
    <x v="0"/>
    <s v="Envioclick- Coordinadora"/>
    <s v="2474576 - 84150890584"/>
    <d v="2024-06-11T00:00:00"/>
    <d v="2024-06-12T00:00:00"/>
    <x v="0"/>
    <n v="0"/>
    <n v="1"/>
    <x v="1"/>
    <n v="42002"/>
    <m/>
  </r>
  <r>
    <d v="2024-06-11T00:00:00"/>
    <x v="5"/>
    <n v="24"/>
    <n v="2063"/>
    <x v="0"/>
    <s v="soraya silva"/>
    <s v="TECUCT"/>
    <s v="TECU bandeja de cables"/>
    <n v="1"/>
    <x v="4"/>
    <x v="1"/>
    <x v="1"/>
    <x v="0"/>
    <s v="Envioclick- Coordinadora"/>
    <s v="2473897 - 84150890302"/>
    <d v="2024-06-11T00:00:00"/>
    <d v="2024-06-12T00:00:00"/>
    <x v="0"/>
    <n v="0"/>
    <n v="1"/>
    <x v="1"/>
    <n v="24355"/>
    <m/>
  </r>
  <r>
    <d v="2024-06-11T00:00:00"/>
    <x v="5"/>
    <n v="24"/>
    <n v="2063"/>
    <x v="0"/>
    <s v="soraya silva"/>
    <s v="TECUBLS"/>
    <s v="TECU Laptop Stand B"/>
    <n v="1"/>
    <x v="4"/>
    <x v="1"/>
    <x v="1"/>
    <x v="0"/>
    <s v="Envioclick- Coordinadora"/>
    <s v="2474596 - 84150890597"/>
    <d v="2024-06-11T00:00:00"/>
    <d v="2024-06-12T00:00:00"/>
    <x v="0"/>
    <n v="0"/>
    <n v="1"/>
    <x v="1"/>
    <n v="24042"/>
    <m/>
  </r>
  <r>
    <d v="2024-06-11T00:00:00"/>
    <x v="5"/>
    <n v="24"/>
    <n v="2064"/>
    <x v="0"/>
    <s v="Ivan Dario Ocampo Abril / Juan David Alvarino Abril"/>
    <s v="TECURCC"/>
    <s v="Repisa TECU  Miel"/>
    <n v="1"/>
    <x v="2"/>
    <x v="1"/>
    <x v="1"/>
    <x v="0"/>
    <s v="Envioclick- Coordinadora"/>
    <s v="2474604 - 84150890604"/>
    <d v="2024-06-11T00:00:00"/>
    <d v="2024-06-12T00:00:00"/>
    <x v="0"/>
    <n v="0"/>
    <n v="1"/>
    <x v="1"/>
    <n v="22355"/>
    <m/>
  </r>
  <r>
    <d v="2024-06-14T00:00:00"/>
    <x v="5"/>
    <n v="24"/>
    <n v="2065"/>
    <x v="0"/>
    <s v="Jonathan Prieto"/>
    <s v="TECU2FNG"/>
    <s v="Electric Standing Desk GO Negro"/>
    <n v="1"/>
    <x v="0"/>
    <x v="1"/>
    <x v="1"/>
    <x v="0"/>
    <s v="Envioclick- Coordinadora"/>
    <s v="2486903 - 84150895996"/>
    <d v="2024-06-17T00:00:00"/>
    <d v="2024-06-18T00:00:00"/>
    <x v="0"/>
    <n v="2"/>
    <n v="3"/>
    <x v="1"/>
    <n v="40734"/>
    <m/>
  </r>
  <r>
    <d v="2024-06-14T00:00:00"/>
    <x v="5"/>
    <n v="24"/>
    <n v="2065"/>
    <x v="0"/>
    <s v="Jonathan Prieto"/>
    <s v="TECUTB2C"/>
    <s v="Superficie Escritorio Blanco (Niebla) 120x70 Clasico Small"/>
    <n v="1"/>
    <x v="1"/>
    <x v="1"/>
    <x v="1"/>
    <x v="0"/>
    <s v="Envioclick- Coordinadora"/>
    <s v="2486904 - 84150895998"/>
    <d v="2024-06-17T00:00:00"/>
    <d v="2024-06-18T00:00:00"/>
    <x v="0"/>
    <n v="2"/>
    <n v="3"/>
    <x v="1"/>
    <n v="22988"/>
    <m/>
  </r>
  <r>
    <d v="2024-06-17T00:00:00"/>
    <x v="5"/>
    <n v="25"/>
    <n v="2066"/>
    <x v="0"/>
    <s v="John Fredy Herrera Herrera"/>
    <s v="TECULFN2"/>
    <s v="Electric Standing Desk | Escritorio Ajustable En L Frame Negro 2.0"/>
    <n v="1"/>
    <x v="0"/>
    <x v="0"/>
    <x v="38"/>
    <x v="0"/>
    <s v="Envioclick- Coordinadora"/>
    <s v="2486913 - 84150896003"/>
    <d v="2024-06-17T00:00:00"/>
    <d v="2024-06-18T00:00:00"/>
    <x v="0"/>
    <n v="0"/>
    <n v="1"/>
    <x v="3"/>
    <n v="60937"/>
    <m/>
  </r>
  <r>
    <d v="2024-06-17T00:00:00"/>
    <x v="5"/>
    <n v="25"/>
    <n v="2069"/>
    <x v="0"/>
    <s v="Daniel Esteban Yepes Palacio"/>
    <s v="TECU3FGPRO"/>
    <s v="Electric Standing Desk  PRO Gris"/>
    <n v="1"/>
    <x v="0"/>
    <x v="0"/>
    <x v="10"/>
    <x v="0"/>
    <s v="Envioclick- Coordinadora"/>
    <s v="2486919 - 84150896006"/>
    <d v="2024-06-17T00:00:00"/>
    <d v="2024-06-18T00:00:00"/>
    <x v="0"/>
    <n v="0"/>
    <n v="1"/>
    <x v="1"/>
    <n v="42002"/>
    <m/>
  </r>
  <r>
    <d v="2024-06-17T00:00:00"/>
    <x v="5"/>
    <n v="25"/>
    <n v="2069"/>
    <x v="0"/>
    <s v="Daniel Esteban Yepes Palacio"/>
    <s v="TECUTCC5C"/>
    <s v="Superficie Escritorio Miel 150x70 Clasico"/>
    <n v="1"/>
    <x v="1"/>
    <x v="0"/>
    <x v="10"/>
    <x v="0"/>
    <s v="Envioclick- Coordinadora"/>
    <s v="2486920 - 84150896007"/>
    <d v="2024-06-17T00:00:00"/>
    <d v="2024-06-18T00:00:00"/>
    <x v="0"/>
    <n v="0"/>
    <n v="1"/>
    <x v="1"/>
    <n v="22988"/>
    <m/>
  </r>
  <r>
    <d v="2024-06-17T00:00:00"/>
    <x v="5"/>
    <n v="25"/>
    <n v="2069"/>
    <x v="0"/>
    <s v="Daniel Esteban Yepes Palacio"/>
    <s v="TECUCT"/>
    <s v="TECU bandeja de cables"/>
    <n v="1"/>
    <x v="4"/>
    <x v="0"/>
    <x v="10"/>
    <x v="0"/>
    <s v="Envioclick- Coordinadora"/>
    <s v="2488137 - 84150896641"/>
    <d v="2024-06-17T00:00:00"/>
    <d v="2024-06-18T00:00:00"/>
    <x v="0"/>
    <n v="0"/>
    <n v="1"/>
    <x v="1"/>
    <n v="24355"/>
    <m/>
  </r>
  <r>
    <d v="2024-06-18T00:00:00"/>
    <x v="5"/>
    <n v="25"/>
    <n v="2070"/>
    <x v="0"/>
    <s v="German Andres Perez Escobar"/>
    <s v="TECU3FGPRO"/>
    <s v="Electric Standing Desk  PRO Gris"/>
    <n v="1"/>
    <x v="0"/>
    <x v="4"/>
    <x v="5"/>
    <x v="0"/>
    <s v="Envioclick- Coordinadora"/>
    <s v="2489822 - 84150897307"/>
    <d v="2024-06-18T00:00:00"/>
    <d v="2024-06-19T00:00:00"/>
    <x v="0"/>
    <n v="0"/>
    <n v="1"/>
    <x v="1"/>
    <n v="42002"/>
    <m/>
  </r>
  <r>
    <d v="2024-06-18T00:00:00"/>
    <x v="5"/>
    <n v="25"/>
    <n v="2070"/>
    <x v="0"/>
    <s v="German Andres Perez Escobar"/>
    <s v="TECUTCC8C"/>
    <s v="Superficie Escritorio Miel 180x70 Clasico"/>
    <n v="1"/>
    <x v="1"/>
    <x v="4"/>
    <x v="5"/>
    <x v="0"/>
    <s v="Envioclick- Coordinadora"/>
    <s v="2489823 - 84150897309"/>
    <d v="2024-06-18T00:00:00"/>
    <d v="2024-06-19T00:00:00"/>
    <x v="0"/>
    <n v="0"/>
    <n v="1"/>
    <x v="1"/>
    <n v="25521"/>
    <m/>
  </r>
  <r>
    <d v="2024-06-18T00:00:00"/>
    <x v="5"/>
    <n v="25"/>
    <n v="2070"/>
    <x v="0"/>
    <s v="German Andres Perez Escobar"/>
    <s v="TECUCT"/>
    <s v="TECU bandeja de cables"/>
    <n v="1"/>
    <x v="4"/>
    <x v="4"/>
    <x v="5"/>
    <x v="0"/>
    <s v="Envioclick- Coordinadora"/>
    <s v="2489994 - 84150897400"/>
    <d v="2024-06-18T00:00:00"/>
    <d v="2024-06-19T00:00:00"/>
    <x v="0"/>
    <n v="0"/>
    <n v="1"/>
    <x v="1"/>
    <n v="24355"/>
    <m/>
  </r>
  <r>
    <d v="2024-06-18T00:00:00"/>
    <x v="5"/>
    <n v="25"/>
    <n v="2071"/>
    <x v="0"/>
    <s v="Luis Caballero"/>
    <s v="TECU3FNPRO"/>
    <s v="Electric Standing Desk  PRO Negro"/>
    <n v="1"/>
    <x v="0"/>
    <x v="1"/>
    <x v="1"/>
    <x v="0"/>
    <s v="Envioclick- Coordinadora"/>
    <s v="2491946 - 84150898326"/>
    <d v="2024-06-19T00:00:00"/>
    <d v="2024-06-20T00:00:00"/>
    <x v="0"/>
    <n v="1"/>
    <n v="2"/>
    <x v="1"/>
    <n v="42002"/>
    <m/>
  </r>
  <r>
    <d v="2024-06-18T00:00:00"/>
    <x v="5"/>
    <n v="25"/>
    <n v="2071"/>
    <x v="0"/>
    <s v="Luis Caballero"/>
    <s v="TECUTCO6M"/>
    <s v="Superficie Escritorio Caramelo 160x70 Moderno"/>
    <n v="1"/>
    <x v="1"/>
    <x v="1"/>
    <x v="1"/>
    <x v="0"/>
    <s v="Envioclick- Coordinadora"/>
    <s v="2491948 - 84150898328"/>
    <d v="2024-06-19T00:00:00"/>
    <d v="2024-06-20T00:00:00"/>
    <x v="0"/>
    <n v="1"/>
    <n v="2"/>
    <x v="1"/>
    <n v="22988"/>
    <m/>
  </r>
  <r>
    <d v="2024-06-18T00:00:00"/>
    <x v="5"/>
    <n v="25"/>
    <n v="2071"/>
    <x v="0"/>
    <s v="Luis Caballero"/>
    <s v="TECUCT"/>
    <s v="TECU bandeja de cables"/>
    <n v="1"/>
    <x v="4"/>
    <x v="1"/>
    <x v="1"/>
    <x v="0"/>
    <s v="Envioclick- Coordinadora"/>
    <s v="2491991 - 84150898355"/>
    <d v="2024-06-19T00:00:00"/>
    <d v="2024-06-20T00:00:00"/>
    <x v="0"/>
    <n v="1"/>
    <n v="2"/>
    <x v="1"/>
    <n v="24355"/>
    <m/>
  </r>
  <r>
    <d v="2024-06-18T00:00:00"/>
    <x v="5"/>
    <n v="25"/>
    <n v="2071"/>
    <x v="0"/>
    <s v="Luis Caballero"/>
    <s v="TECUDSN"/>
    <s v="TECU Desk Stool Negra Silla ajustable"/>
    <n v="1"/>
    <x v="5"/>
    <x v="1"/>
    <x v="1"/>
    <x v="0"/>
    <s v="Envioclick- Coordinadora"/>
    <s v="2491942 - 84150898324"/>
    <d v="2024-06-19T00:00:00"/>
    <d v="2024-06-20T00:00:00"/>
    <x v="0"/>
    <n v="1"/>
    <n v="2"/>
    <x v="1"/>
    <n v="25935"/>
    <m/>
  </r>
  <r>
    <d v="2024-06-18T00:00:00"/>
    <x v="5"/>
    <n v="25"/>
    <n v="2071"/>
    <x v="0"/>
    <s v="Luis Caballero"/>
    <s v="TECUACO"/>
    <s v="Archivador TECU  Caramelo"/>
    <n v="1"/>
    <x v="3"/>
    <x v="1"/>
    <x v="1"/>
    <x v="0"/>
    <s v="Envioclick- Envia"/>
    <s v="2492025 - 954100986487"/>
    <d v="2024-06-19T00:00:00"/>
    <d v="2024-06-20T00:00:00"/>
    <x v="0"/>
    <n v="1"/>
    <n v="2"/>
    <x v="1"/>
    <n v="49332"/>
    <m/>
  </r>
  <r>
    <d v="2024-06-19T00:00:00"/>
    <x v="5"/>
    <n v="25"/>
    <n v="2072"/>
    <x v="0"/>
    <s v="Juan Bonilla"/>
    <s v="TECU3FBRO"/>
    <s v="Electric Standing Desk  PRO Blanco"/>
    <n v="1"/>
    <x v="0"/>
    <x v="1"/>
    <x v="1"/>
    <x v="0"/>
    <s v="Envioclick- Coordinadora"/>
    <s v="2491958 - 84150898334"/>
    <d v="2024-06-19T00:00:00"/>
    <d v="2024-06-21T00:00:00"/>
    <x v="0"/>
    <n v="0"/>
    <n v="2"/>
    <x v="1"/>
    <n v="42002"/>
    <m/>
  </r>
  <r>
    <d v="2024-06-19T00:00:00"/>
    <x v="5"/>
    <n v="25"/>
    <n v="2072"/>
    <x v="0"/>
    <s v="Juan Bonilla"/>
    <s v="TECUTCO6C"/>
    <s v="Superficie Escritorio Caramelo 160x70 Clasico"/>
    <n v="1"/>
    <x v="1"/>
    <x v="1"/>
    <x v="1"/>
    <x v="0"/>
    <s v="Envioclick- Coordinadora"/>
    <s v="2491959 -84150898335"/>
    <d v="2024-06-19T00:00:00"/>
    <d v="2024-06-20T00:00:00"/>
    <x v="0"/>
    <n v="0"/>
    <n v="1"/>
    <x v="1"/>
    <n v="22988"/>
    <m/>
  </r>
  <r>
    <d v="2024-06-19T00:00:00"/>
    <x v="5"/>
    <n v="25"/>
    <n v="2072"/>
    <x v="0"/>
    <s v="Juan Bonilla"/>
    <s v="TECUCT"/>
    <s v="TECU bandeja de cables"/>
    <n v="1"/>
    <x v="4"/>
    <x v="1"/>
    <x v="1"/>
    <x v="0"/>
    <s v="Envioclick- Coordinadora"/>
    <s v="2492055 - 84150898384"/>
    <d v="2024-06-19T00:00:00"/>
    <d v="2024-06-20T00:00:00"/>
    <x v="0"/>
    <n v="0"/>
    <n v="1"/>
    <x v="1"/>
    <n v="24355"/>
    <m/>
  </r>
  <r>
    <d v="2024-06-18T00:00:00"/>
    <x v="5"/>
    <n v="25"/>
    <n v="2073"/>
    <x v="0"/>
    <s v="Angela Hernandez"/>
    <s v="TECUCT"/>
    <s v="TECU bandeja de cables"/>
    <n v="1"/>
    <x v="4"/>
    <x v="4"/>
    <x v="5"/>
    <x v="0"/>
    <s v="Envioclick- Coordinadora"/>
    <s v="2492071 - 84150898393"/>
    <d v="2024-06-19T00:00:00"/>
    <d v="2024-06-20T00:00:00"/>
    <x v="0"/>
    <n v="1"/>
    <n v="2"/>
    <x v="1"/>
    <n v="24355"/>
    <m/>
  </r>
  <r>
    <d v="2024-06-19T00:00:00"/>
    <x v="5"/>
    <n v="25"/>
    <n v="2074"/>
    <x v="0"/>
    <s v="Laura Mogollón"/>
    <s v="TECU2FNG"/>
    <s v="Electric Standing Desk GO Negro"/>
    <n v="1"/>
    <x v="0"/>
    <x v="1"/>
    <x v="1"/>
    <x v="0"/>
    <s v="Envioclick- Coordinadora"/>
    <s v="2494265 - 84150898882"/>
    <d v="2024-06-19T00:00:00"/>
    <d v="2024-06-20T00:00:00"/>
    <x v="0"/>
    <n v="0"/>
    <n v="1"/>
    <x v="1"/>
    <n v="40735"/>
    <m/>
  </r>
  <r>
    <d v="2024-06-19T00:00:00"/>
    <x v="5"/>
    <n v="25"/>
    <n v="2074"/>
    <x v="0"/>
    <s v="Laura Mogollón"/>
    <s v="TECUTCC2C"/>
    <s v="Superficie Escritorio Miel 120x70 Clasico Small"/>
    <n v="1"/>
    <x v="1"/>
    <x v="1"/>
    <x v="1"/>
    <x v="0"/>
    <s v="Envioclick- Coordinadora"/>
    <s v="2499547 - 84150899566"/>
    <d v="2024-06-19T00:00:00"/>
    <d v="2024-06-21T00:00:00"/>
    <x v="0"/>
    <n v="0"/>
    <n v="2"/>
    <x v="1"/>
    <n v="22988"/>
    <m/>
  </r>
  <r>
    <d v="2024-06-19T00:00:00"/>
    <x v="5"/>
    <n v="25"/>
    <n v="2074"/>
    <x v="0"/>
    <s v="Laura Mogollón"/>
    <s v="TECUCT"/>
    <s v="TECU bandeja de cables"/>
    <n v="1"/>
    <x v="4"/>
    <x v="1"/>
    <x v="1"/>
    <x v="0"/>
    <s v="Envioclick- Coordinadora"/>
    <s v="2494244 - 84150898877"/>
    <d v="2024-06-19T00:00:00"/>
    <d v="2024-06-20T00:00:00"/>
    <x v="0"/>
    <n v="0"/>
    <n v="1"/>
    <x v="1"/>
    <n v="16631"/>
    <m/>
  </r>
  <r>
    <d v="2024-06-20T00:00:00"/>
    <x v="5"/>
    <n v="25"/>
    <n v="2075"/>
    <x v="0"/>
    <s v="Rene Jassen Vasquez Campo"/>
    <s v="TECU3FBRO"/>
    <s v="Electric Standing Desk  PRO Blanco"/>
    <n v="1"/>
    <x v="0"/>
    <x v="2"/>
    <x v="2"/>
    <x v="0"/>
    <s v="Envioclick- Coordinadora"/>
    <s v="2501566 - 84150900338"/>
    <d v="2024-06-21T00:00:00"/>
    <d v="2024-06-24T00:00:00"/>
    <x v="0"/>
    <n v="1"/>
    <n v="3"/>
    <x v="1"/>
    <n v="60748"/>
    <m/>
  </r>
  <r>
    <d v="2024-06-20T00:00:00"/>
    <x v="5"/>
    <n v="25"/>
    <n v="2075"/>
    <x v="0"/>
    <s v="Rene Jassen Vasquez Campo"/>
    <s v="TECUTB7C"/>
    <s v="Superficie Escritorio Blanco (Niebla) 170x70 Clasico"/>
    <n v="1"/>
    <x v="1"/>
    <x v="2"/>
    <x v="2"/>
    <x v="0"/>
    <s v="Envioclick- Coordinadora"/>
    <s v="2501569 - 84150900339"/>
    <d v="2024-06-21T00:00:00"/>
    <d v="2024-06-24T00:00:00"/>
    <x v="0"/>
    <n v="1"/>
    <n v="3"/>
    <x v="1"/>
    <n v="42393"/>
    <m/>
  </r>
  <r>
    <d v="2024-06-20T00:00:00"/>
    <x v="5"/>
    <n v="25"/>
    <n v="2075"/>
    <x v="0"/>
    <s v="Rene Jassen Vasquez Campo"/>
    <s v="TECUCT"/>
    <s v="TECU bandeja de cables"/>
    <n v="1"/>
    <x v="4"/>
    <x v="2"/>
    <x v="2"/>
    <x v="0"/>
    <s v="Envioclick- Coordinadora"/>
    <s v="2501442 - 84150900293"/>
    <d v="2024-06-21T00:00:00"/>
    <d v="2024-06-24T00:00:00"/>
    <x v="0"/>
    <n v="1"/>
    <n v="3"/>
    <x v="1"/>
    <n v="38102"/>
    <m/>
  </r>
  <r>
    <d v="2024-06-20T00:00:00"/>
    <x v="5"/>
    <n v="25"/>
    <n v="2075"/>
    <x v="0"/>
    <s v="Rene Jassen Vasquez Campo"/>
    <s v="TECUAB"/>
    <s v="Archivador TECU  Blanco (Niebla)"/>
    <n v="1"/>
    <x v="3"/>
    <x v="2"/>
    <x v="2"/>
    <x v="0"/>
    <s v="Envioclick- Envia"/>
    <s v="2501609 - 954100988177"/>
    <d v="2024-06-21T00:00:00"/>
    <d v="2024-06-24T00:00:00"/>
    <x v="0"/>
    <n v="1"/>
    <n v="3"/>
    <x v="1"/>
    <n v="87287"/>
    <m/>
  </r>
  <r>
    <d v="2024-06-21T00:00:00"/>
    <x v="5"/>
    <n v="25"/>
    <n v="2076"/>
    <x v="0"/>
    <s v="Juan Felipe Zapata"/>
    <s v="TECULFN2"/>
    <s v="Electric Standing Desk | Escritorio Ajustable En L Frame Negro 2.0"/>
    <n v="1"/>
    <x v="0"/>
    <x v="4"/>
    <x v="39"/>
    <x v="0"/>
    <s v="Envioclick- Coordinadora"/>
    <s v="2501680 - 84150900398"/>
    <d v="2024-06-21T00:00:00"/>
    <d v="2024-06-24T00:00:00"/>
    <x v="0"/>
    <n v="0"/>
    <n v="2"/>
    <x v="3"/>
    <n v="60937"/>
    <m/>
  </r>
  <r>
    <d v="2024-06-21T00:00:00"/>
    <x v="5"/>
    <n v="25"/>
    <n v="2076"/>
    <x v="0"/>
    <s v="Juan Felipe Zapata"/>
    <s v="TECUTLCCS"/>
    <s v="Superficie Escritorio en L Caramelo Set completo"/>
    <n v="1"/>
    <x v="1"/>
    <x v="4"/>
    <x v="39"/>
    <x v="0"/>
    <s v="Envioclick- Coordinadora"/>
    <s v="2501682 - 84150900399"/>
    <d v="2024-06-21T00:00:00"/>
    <d v="2024-06-24T00:00:00"/>
    <x v="0"/>
    <n v="0"/>
    <n v="2"/>
    <x v="3"/>
    <n v="25521"/>
    <m/>
  </r>
  <r>
    <d v="2024-06-21T00:00:00"/>
    <x v="5"/>
    <n v="25"/>
    <n v="2077"/>
    <x v="0"/>
    <s v="Sebastian Zambrano Torres"/>
    <s v="TECU3FNPRO"/>
    <s v="Electric Standing Desk  PRO Negro"/>
    <n v="1"/>
    <x v="0"/>
    <x v="1"/>
    <x v="1"/>
    <x v="0"/>
    <s v="Envioclick- Coordinadora"/>
    <s v="2501798 - 84150900438"/>
    <d v="2024-06-21T00:00:00"/>
    <d v="2024-06-24T00:00:00"/>
    <x v="0"/>
    <n v="0"/>
    <n v="2"/>
    <x v="1"/>
    <n v="42002"/>
    <m/>
  </r>
  <r>
    <d v="2024-06-21T00:00:00"/>
    <x v="5"/>
    <n v="25"/>
    <n v="2077"/>
    <x v="0"/>
    <s v="Sebastian Zambrano Torres"/>
    <s v="TECUTCC8C"/>
    <s v="Superficie Escritorio Miel 180x70 Clasico"/>
    <n v="1"/>
    <x v="1"/>
    <x v="1"/>
    <x v="1"/>
    <x v="0"/>
    <s v="Envioclick- Coordinadora"/>
    <s v="2501799 - 84150900439"/>
    <d v="2024-06-21T00:00:00"/>
    <d v="2024-06-24T00:00:00"/>
    <x v="0"/>
    <n v="0"/>
    <n v="2"/>
    <x v="1"/>
    <n v="25521"/>
    <m/>
  </r>
  <r>
    <d v="2024-06-21T00:00:00"/>
    <x v="5"/>
    <n v="25"/>
    <n v="2077"/>
    <x v="0"/>
    <s v="Sebastian Zambrano Torres"/>
    <s v="TECUCT"/>
    <s v="TECU bandeja de cables"/>
    <n v="1"/>
    <x v="4"/>
    <x v="1"/>
    <x v="1"/>
    <x v="0"/>
    <s v="Envioclick- Coordinadora"/>
    <s v="2502337 - 84150900738"/>
    <d v="2024-06-21T00:00:00"/>
    <d v="2024-06-22T00:00:00"/>
    <x v="0"/>
    <n v="0"/>
    <n v="1"/>
    <x v="1"/>
    <n v="24355"/>
    <m/>
  </r>
  <r>
    <d v="2024-06-22T00:00:00"/>
    <x v="5"/>
    <n v="25"/>
    <n v="2078"/>
    <x v="0"/>
    <s v="Carolina Navarrete"/>
    <s v="TECU3FNPRO"/>
    <s v="Electric Standing Desk  PRO Negro"/>
    <n v="1"/>
    <x v="0"/>
    <x v="4"/>
    <x v="5"/>
    <x v="0"/>
    <s v="Envioclick- Coordinadora"/>
    <s v="2601629 - 84150936186"/>
    <d v="2024-08-01T00:00:00"/>
    <d v="2024-08-02T00:00:00"/>
    <x v="0"/>
    <n v="33"/>
    <n v="34"/>
    <x v="0"/>
    <n v="42002"/>
    <s v="Cliente solicita envio 01 Agosto"/>
  </r>
  <r>
    <d v="2024-06-22T00:00:00"/>
    <x v="5"/>
    <n v="25"/>
    <n v="2078"/>
    <x v="0"/>
    <s v="Carolina Navarrete"/>
    <s v="TECUTCO2C"/>
    <s v="Superficie Escritorio Caramelo 120x70 Clasico Small"/>
    <n v="1"/>
    <x v="1"/>
    <x v="4"/>
    <x v="5"/>
    <x v="0"/>
    <s v="Envioclick- Coordinadora"/>
    <s v="2601630 - 84150936187"/>
    <d v="2024-08-01T00:00:00"/>
    <d v="2024-08-02T00:00:00"/>
    <x v="0"/>
    <n v="33"/>
    <n v="34"/>
    <x v="0"/>
    <n v="27422"/>
    <s v="Cliente solicita envio 01 Agosto"/>
  </r>
  <r>
    <d v="2024-06-22T00:00:00"/>
    <x v="5"/>
    <n v="25"/>
    <n v="2078"/>
    <x v="0"/>
    <s v="Carolina Navarrete"/>
    <s v="TECUCT"/>
    <s v="TECU bandeja de cables"/>
    <n v="1"/>
    <x v="4"/>
    <x v="4"/>
    <x v="5"/>
    <x v="0"/>
    <s v="Envioclick- Coordinadora"/>
    <s v="2601804 - 84150936286"/>
    <d v="2024-08-01T00:00:00"/>
    <d v="2024-08-02T00:00:00"/>
    <x v="0"/>
    <n v="33"/>
    <n v="34"/>
    <x v="0"/>
    <n v="16631"/>
    <s v="Cliente solicita envio 01 Agosto"/>
  </r>
  <r>
    <d v="2024-06-24T00:00:00"/>
    <x v="5"/>
    <n v="26"/>
    <n v="2079"/>
    <x v="0"/>
    <s v="Jordan Fares"/>
    <s v="TECU3FNPRO"/>
    <s v="Electric Standing Desk  PRO Negro"/>
    <n v="1"/>
    <x v="0"/>
    <x v="0"/>
    <x v="3"/>
    <x v="0"/>
    <s v="Envioclick- Coordinadora"/>
    <s v="2507722 - 84150903090"/>
    <d v="2024-06-25T00:00:00"/>
    <d v="2024-06-26T00:00:00"/>
    <x v="0"/>
    <n v="1"/>
    <n v="2"/>
    <x v="1"/>
    <n v="42002"/>
    <m/>
  </r>
  <r>
    <d v="2024-06-24T00:00:00"/>
    <x v="5"/>
    <n v="26"/>
    <n v="2079"/>
    <x v="0"/>
    <s v="Jordan Fares"/>
    <s v="TECUTCC20C"/>
    <s v="Superficie Escritorio Miel 200x70 Clasico"/>
    <n v="1"/>
    <x v="1"/>
    <x v="0"/>
    <x v="3"/>
    <x v="0"/>
    <s v="Envioclick- Coordinadora"/>
    <s v="2507723 - 84150903092"/>
    <d v="2024-06-25T00:00:00"/>
    <d v="2024-06-26T00:00:00"/>
    <x v="0"/>
    <n v="1"/>
    <n v="2"/>
    <x v="1"/>
    <n v="25521"/>
    <m/>
  </r>
  <r>
    <d v="2024-06-24T00:00:00"/>
    <x v="5"/>
    <n v="26"/>
    <n v="2079"/>
    <x v="0"/>
    <s v="Jordan Fares"/>
    <s v="TECUCT"/>
    <s v="TECU bandeja de cables"/>
    <n v="1"/>
    <x v="4"/>
    <x v="0"/>
    <x v="3"/>
    <x v="0"/>
    <s v="Envioclick- Coordinadora"/>
    <s v="2508322 - 84150903373"/>
    <d v="2024-06-25T00:00:00"/>
    <d v="2024-06-26T00:00:00"/>
    <x v="0"/>
    <n v="1"/>
    <n v="2"/>
    <x v="1"/>
    <n v="24355"/>
    <m/>
  </r>
  <r>
    <d v="2024-06-24T00:00:00"/>
    <x v="5"/>
    <n v="26"/>
    <n v="2080"/>
    <x v="0"/>
    <s v="Jorge Guerrero"/>
    <s v="TECU2FNG"/>
    <s v="Electric Standing Desk GO Negro"/>
    <n v="1"/>
    <x v="0"/>
    <x v="1"/>
    <x v="1"/>
    <x v="0"/>
    <s v="Envioclick- Coordinadora"/>
    <s v="2505223 - 84150901828"/>
    <d v="2024-06-24T00:00:00"/>
    <d v="2024-06-25T00:00:00"/>
    <x v="0"/>
    <n v="0"/>
    <n v="1"/>
    <x v="1"/>
    <n v="40734"/>
    <m/>
  </r>
  <r>
    <d v="2024-06-24T00:00:00"/>
    <x v="5"/>
    <n v="26"/>
    <n v="2080"/>
    <x v="0"/>
    <s v="Jorge Guerrero"/>
    <s v="TECUTCO2C"/>
    <s v="Superficie Escritorio Caramelo 120x70 Clasico Small"/>
    <n v="1"/>
    <x v="1"/>
    <x v="1"/>
    <x v="1"/>
    <x v="0"/>
    <s v="Envioclick- Coordinadora"/>
    <s v="2505374 - 84150901910"/>
    <d v="2024-06-24T00:00:00"/>
    <d v="2024-06-25T00:00:00"/>
    <x v="0"/>
    <n v="0"/>
    <n v="1"/>
    <x v="1"/>
    <n v="22988"/>
    <m/>
  </r>
  <r>
    <d v="2024-06-24T00:00:00"/>
    <x v="5"/>
    <n v="26"/>
    <n v="2080"/>
    <x v="0"/>
    <s v="Jorge Guerrero"/>
    <s v="TECUCT"/>
    <s v="TECU bandeja de cables"/>
    <n v="1"/>
    <x v="4"/>
    <x v="1"/>
    <x v="1"/>
    <x v="0"/>
    <s v="Envioclick- Coordinadora"/>
    <s v="2505959 - 84150902208"/>
    <d v="2024-06-24T00:00:00"/>
    <d v="2024-06-25T00:00:00"/>
    <x v="0"/>
    <n v="0"/>
    <n v="1"/>
    <x v="1"/>
    <n v="24355"/>
    <m/>
  </r>
  <r>
    <d v="2024-06-24T00:00:00"/>
    <x v="5"/>
    <n v="26"/>
    <n v="2081"/>
    <x v="0"/>
    <s v="Fredy Mosquera Lemus"/>
    <s v="TECU2FBGO"/>
    <s v="Electric Standing Desk GO Blanco"/>
    <n v="1"/>
    <x v="0"/>
    <x v="0"/>
    <x v="10"/>
    <x v="0"/>
    <s v="Envioclick- Coordinadora"/>
    <s v="2505373 - 84150901909"/>
    <d v="2024-06-24T00:00:00"/>
    <d v="2024-06-25T00:00:00"/>
    <x v="0"/>
    <n v="0"/>
    <n v="1"/>
    <x v="1"/>
    <n v="40734"/>
    <m/>
  </r>
  <r>
    <d v="2024-06-24T00:00:00"/>
    <x v="5"/>
    <n v="26"/>
    <n v="2081"/>
    <x v="0"/>
    <s v="Fredy Mosquera Lemus"/>
    <s v="TECUTB4C"/>
    <s v="Superficie Escritorio Blanco (Niebla) 140x70 Clasico"/>
    <n v="1"/>
    <x v="1"/>
    <x v="0"/>
    <x v="10"/>
    <x v="0"/>
    <s v="Envioclick- Coordinadora"/>
    <s v="2505374 - 84150901910"/>
    <d v="2024-06-24T00:00:00"/>
    <d v="2024-06-25T00:00:00"/>
    <x v="0"/>
    <n v="0"/>
    <n v="1"/>
    <x v="1"/>
    <n v="22988"/>
    <m/>
  </r>
  <r>
    <d v="2024-06-24T00:00:00"/>
    <x v="5"/>
    <n v="26"/>
    <n v="2081"/>
    <x v="0"/>
    <s v="Fredy Mosquera Lemus"/>
    <s v="TECUCT"/>
    <s v="TECU bandeja de cables"/>
    <n v="1"/>
    <x v="4"/>
    <x v="0"/>
    <x v="10"/>
    <x v="0"/>
    <s v="Envioclick- Coordinadora"/>
    <s v="2505973 - 84150902212"/>
    <d v="2024-06-24T00:00:00"/>
    <d v="2024-06-25T00:00:00"/>
    <x v="0"/>
    <n v="0"/>
    <n v="1"/>
    <x v="1"/>
    <n v="24988"/>
    <m/>
  </r>
  <r>
    <d v="2024-06-25T00:00:00"/>
    <x v="5"/>
    <n v="26"/>
    <n v="2083"/>
    <x v="0"/>
    <s v="Natalia Betancur"/>
    <s v="TECU3FGPRO"/>
    <s v="Electric Standing Desk  PRO Gris"/>
    <n v="1"/>
    <x v="0"/>
    <x v="0"/>
    <x v="3"/>
    <x v="0"/>
    <s v="Envioclick- Coordinadora"/>
    <s v="2507746 - 84150903097"/>
    <d v="2024-06-25T00:00:00"/>
    <d v="2024-06-26T00:00:00"/>
    <x v="0"/>
    <n v="0"/>
    <n v="1"/>
    <x v="1"/>
    <n v="42002"/>
    <m/>
  </r>
  <r>
    <d v="2024-06-25T00:00:00"/>
    <x v="5"/>
    <n v="26"/>
    <n v="2083"/>
    <x v="0"/>
    <s v="Natalia Betancur"/>
    <s v="TECUTCC6C"/>
    <s v="Superficie Escritorio Miel 160x70 Clasico"/>
    <n v="1"/>
    <x v="1"/>
    <x v="0"/>
    <x v="3"/>
    <x v="0"/>
    <s v="Envioclick- Coordinadora"/>
    <s v="2507747 - 84150903098"/>
    <d v="2024-06-25T00:00:00"/>
    <d v="2024-06-26T00:00:00"/>
    <x v="0"/>
    <n v="0"/>
    <n v="1"/>
    <x v="1"/>
    <n v="22988"/>
    <m/>
  </r>
  <r>
    <d v="2024-06-25T00:00:00"/>
    <x v="5"/>
    <n v="26"/>
    <n v="2083"/>
    <x v="0"/>
    <s v="Natalia Betancur"/>
    <s v="TECUCT"/>
    <s v="TECU bandeja de cables"/>
    <n v="1"/>
    <x v="4"/>
    <x v="0"/>
    <x v="3"/>
    <x v="0"/>
    <s v="Envioclick- Coordinadora"/>
    <s v="2508356 - 84150903388"/>
    <d v="2024-06-25T00:00:00"/>
    <d v="2024-06-26T00:00:00"/>
    <x v="0"/>
    <n v="0"/>
    <n v="1"/>
    <x v="1"/>
    <n v="24355"/>
    <m/>
  </r>
  <r>
    <d v="2024-06-27T00:00:00"/>
    <x v="5"/>
    <n v="26"/>
    <n v="2084"/>
    <x v="0"/>
    <s v="Maricela del Pilar Coral Palacios"/>
    <s v="TECU2FBGO"/>
    <s v="Electric Standing Desk GO Blanco"/>
    <n v="1"/>
    <x v="0"/>
    <x v="1"/>
    <x v="1"/>
    <x v="0"/>
    <s v="Envioclick- Coordinadora"/>
    <s v="2527730 - 84150905020"/>
    <d v="2024-06-27T00:00:00"/>
    <d v="2024-06-28T00:00:00"/>
    <x v="0"/>
    <n v="0"/>
    <n v="1"/>
    <x v="1"/>
    <n v="40734"/>
    <m/>
  </r>
  <r>
    <d v="2024-06-27T00:00:00"/>
    <x v="5"/>
    <n v="26"/>
    <n v="2084"/>
    <x v="0"/>
    <s v="Maricela del Pilar Coral Palacios"/>
    <s v="TECUTB4C"/>
    <s v="Superficie Escritorio Blanco (Niebla) 140x70 Clasico"/>
    <n v="1"/>
    <x v="1"/>
    <x v="1"/>
    <x v="1"/>
    <x v="0"/>
    <s v="Envioclick- Coordinadora"/>
    <s v="2527731 - 84150905021"/>
    <d v="2024-06-27T00:00:00"/>
    <d v="2024-06-28T00:00:00"/>
    <x v="0"/>
    <n v="0"/>
    <n v="1"/>
    <x v="1"/>
    <n v="22988"/>
    <m/>
  </r>
  <r>
    <d v="2024-06-27T00:00:00"/>
    <x v="5"/>
    <n v="26"/>
    <n v="2084"/>
    <x v="0"/>
    <s v="Maricela del Pilar Coral Palacios"/>
    <s v="TECUCT"/>
    <s v="TECU bandeja de cables"/>
    <n v="1"/>
    <x v="4"/>
    <x v="1"/>
    <x v="1"/>
    <x v="0"/>
    <s v="Envioclick- Coordinadora"/>
    <s v="2528749 - 84150905487"/>
    <d v="2024-06-27T00:00:00"/>
    <d v="2024-06-28T00:00:00"/>
    <x v="0"/>
    <n v="0"/>
    <n v="1"/>
    <x v="1"/>
    <n v="21855"/>
    <m/>
  </r>
  <r>
    <d v="2024-06-27T00:00:00"/>
    <x v="5"/>
    <n v="26"/>
    <n v="2085"/>
    <x v="0"/>
    <s v="Diego Alejandro Jaramillo Rendon"/>
    <s v="TECU2FNG"/>
    <s v="Electric Standing Desk GO Negro"/>
    <n v="1"/>
    <x v="0"/>
    <x v="0"/>
    <x v="3"/>
    <x v="0"/>
    <s v="Envioclick- Coordinadora"/>
    <s v="2527814 - 84150905057"/>
    <d v="2024-06-27T00:00:00"/>
    <d v="2024-06-28T00:00:00"/>
    <x v="0"/>
    <n v="0"/>
    <n v="1"/>
    <x v="1"/>
    <n v="40734"/>
    <m/>
  </r>
  <r>
    <d v="2024-06-27T00:00:00"/>
    <x v="5"/>
    <n v="26"/>
    <n v="2085"/>
    <x v="0"/>
    <s v="Diego Alejandro Jaramillo Rendon"/>
    <s v="TECUTCO2C"/>
    <s v="Superficie Escritorio Caramelo 120x70 Clasico Small"/>
    <n v="1"/>
    <x v="1"/>
    <x v="0"/>
    <x v="3"/>
    <x v="0"/>
    <s v="Envioclick- Coordinadora"/>
    <s v="2527816 - 84150905059"/>
    <d v="2024-06-27T00:00:00"/>
    <d v="2024-06-28T00:00:00"/>
    <x v="0"/>
    <n v="0"/>
    <n v="1"/>
    <x v="1"/>
    <n v="22988"/>
    <m/>
  </r>
  <r>
    <d v="2024-06-27T00:00:00"/>
    <x v="5"/>
    <n v="26"/>
    <n v="2085"/>
    <x v="0"/>
    <s v="Diego Alejandro Jaramillo Rendon"/>
    <s v="TECUCT"/>
    <s v="TECU bandeja de cables"/>
    <n v="1"/>
    <x v="4"/>
    <x v="0"/>
    <x v="3"/>
    <x v="0"/>
    <s v="Envioclick- Coordinadora"/>
    <s v="2528762 - 84150905493"/>
    <d v="2024-06-27T00:00:00"/>
    <d v="2024-06-28T00:00:00"/>
    <x v="0"/>
    <n v="0"/>
    <n v="1"/>
    <x v="1"/>
    <n v="24355"/>
    <m/>
  </r>
  <r>
    <d v="2024-06-28T00:00:00"/>
    <x v="5"/>
    <n v="26"/>
    <n v="2086"/>
    <x v="0"/>
    <s v="Vivian Toro"/>
    <s v="TECU2FBGO"/>
    <s v="Electric Standing Desk GO Blanco"/>
    <n v="1"/>
    <x v="0"/>
    <x v="1"/>
    <x v="1"/>
    <x v="0"/>
    <s v="Envioclick- Coordinadora"/>
    <s v="2530261 - 84150905978"/>
    <d v="2024-06-28T00:00:00"/>
    <d v="2024-07-02T00:00:00"/>
    <x v="0"/>
    <n v="0"/>
    <n v="2"/>
    <x v="1"/>
    <n v="40734"/>
    <m/>
  </r>
  <r>
    <d v="2024-06-28T00:00:00"/>
    <x v="5"/>
    <n v="26"/>
    <n v="2086"/>
    <x v="0"/>
    <s v="Vivian Toro"/>
    <s v="TECUTCC2C"/>
    <s v="Superficie Escritorio Miel 120x70 Clasico Small"/>
    <n v="1"/>
    <x v="1"/>
    <x v="1"/>
    <x v="1"/>
    <x v="0"/>
    <s v="Envioclick- Coordinadora"/>
    <s v="2530262 - 84150905979"/>
    <d v="2024-06-28T00:00:00"/>
    <d v="2024-07-02T00:00:00"/>
    <x v="0"/>
    <n v="0"/>
    <n v="2"/>
    <x v="1"/>
    <n v="22988"/>
    <m/>
  </r>
  <r>
    <d v="2024-06-28T00:00:00"/>
    <x v="5"/>
    <n v="26"/>
    <n v="2086"/>
    <x v="0"/>
    <s v="Vivian Toro"/>
    <s v="TECUCT"/>
    <s v="TECU bandeja de cables"/>
    <n v="1"/>
    <x v="4"/>
    <x v="1"/>
    <x v="1"/>
    <x v="0"/>
    <s v="Envioclick- Coordinadora"/>
    <s v="2531168 - 84150906429"/>
    <d v="2024-06-28T00:00:00"/>
    <d v="2024-07-02T00:00:00"/>
    <x v="0"/>
    <n v="0"/>
    <n v="2"/>
    <x v="1"/>
    <n v="24355"/>
    <m/>
  </r>
  <r>
    <d v="2024-06-29T00:00:00"/>
    <x v="5"/>
    <n v="26"/>
    <n v="2087"/>
    <x v="0"/>
    <s v="Laura Melisa Carmona Manjarrez"/>
    <s v="TECU2FNG"/>
    <s v="Electric Standing Desk GO Negro"/>
    <n v="1"/>
    <x v="0"/>
    <x v="3"/>
    <x v="4"/>
    <x v="0"/>
    <s v="Envioclick- Coordinadora"/>
    <s v="2535128 - 84150907779"/>
    <d v="2024-07-02T00:00:00"/>
    <d v="2024-07-05T00:00:00"/>
    <x v="0"/>
    <n v="1"/>
    <n v="4"/>
    <x v="1"/>
    <n v="58232"/>
    <m/>
  </r>
  <r>
    <d v="2024-06-29T00:00:00"/>
    <x v="5"/>
    <n v="26"/>
    <n v="2087"/>
    <x v="0"/>
    <s v="Laura Melisa Carmona Manjarrez"/>
    <s v="TECUTCO2C"/>
    <s v="Superficie Escritorio Caramelo 120x70 Clasico Small"/>
    <n v="1"/>
    <x v="1"/>
    <x v="3"/>
    <x v="4"/>
    <x v="0"/>
    <s v="Envioclick- Coordinadora"/>
    <s v="2535130 - 84150907781"/>
    <d v="2024-07-02T00:00:00"/>
    <d v="2024-07-05T00:00:00"/>
    <x v="0"/>
    <n v="1"/>
    <n v="4"/>
    <x v="1"/>
    <n v="37361"/>
    <m/>
  </r>
  <r>
    <d v="2024-06-29T00:00:00"/>
    <x v="5"/>
    <n v="26"/>
    <n v="2087"/>
    <x v="0"/>
    <s v="Laura Melisa Carmona Manjarrez"/>
    <s v="TECUCT"/>
    <s v="TECU bandeja de cables"/>
    <n v="1"/>
    <x v="4"/>
    <x v="3"/>
    <x v="4"/>
    <x v="0"/>
    <s v="Envioclick- Coordinadora"/>
    <s v="2536834 - 84150908584"/>
    <d v="2024-07-02T00:00:00"/>
    <d v="2024-07-05T00:00:00"/>
    <x v="0"/>
    <n v="1"/>
    <n v="4"/>
    <x v="1"/>
    <n v="38102"/>
    <m/>
  </r>
  <r>
    <d v="2024-06-29T00:00:00"/>
    <x v="5"/>
    <n v="26"/>
    <n v="2088"/>
    <x v="0"/>
    <s v="Valentina Jaimes Osman"/>
    <s v="TECU3FNPRO"/>
    <s v="Electric Standing Desk  PRO Negro"/>
    <n v="1"/>
    <x v="0"/>
    <x v="7"/>
    <x v="17"/>
    <x v="0"/>
    <s v="Envioclick- Coordinadora"/>
    <s v="2535156 - 84150907791"/>
    <d v="2024-07-02T00:00:00"/>
    <d v="2024-07-03T00:00:00"/>
    <x v="0"/>
    <n v="1"/>
    <n v="2"/>
    <x v="1"/>
    <n v="54627"/>
    <m/>
  </r>
  <r>
    <d v="2024-06-29T00:00:00"/>
    <x v="5"/>
    <n v="26"/>
    <n v="2088"/>
    <x v="0"/>
    <s v="Valentina Jaimes Osman"/>
    <s v="TECUTCO8C"/>
    <s v="Superficie Escritorio Caramelo 180x70 Clasico"/>
    <n v="1"/>
    <x v="1"/>
    <x v="7"/>
    <x v="17"/>
    <x v="0"/>
    <s v="Envioclick- Coordinadora"/>
    <s v="2535157 -84150907792"/>
    <d v="2024-07-02T00:00:00"/>
    <d v="2024-07-03T00:00:00"/>
    <x v="0"/>
    <n v="1"/>
    <n v="2"/>
    <x v="1"/>
    <n v="36884"/>
    <m/>
  </r>
  <r>
    <d v="2024-06-29T00:00:00"/>
    <x v="5"/>
    <n v="26"/>
    <n v="2088"/>
    <x v="0"/>
    <s v="Valentina Jaimes Osman"/>
    <s v="TECUCT"/>
    <s v="TECU bandeja de cables"/>
    <n v="1"/>
    <x v="4"/>
    <x v="7"/>
    <x v="17"/>
    <x v="0"/>
    <s v="Envioclick- Coordinadora"/>
    <s v="2536951 - 84150908642"/>
    <d v="2024-07-02T00:00:00"/>
    <d v="2024-07-03T00:00:00"/>
    <x v="0"/>
    <n v="1"/>
    <n v="2"/>
    <x v="1"/>
    <n v="33613"/>
    <m/>
  </r>
  <r>
    <d v="2024-06-30T00:00:00"/>
    <x v="5"/>
    <n v="27"/>
    <n v="2089"/>
    <x v="0"/>
    <s v="John Fredy Herrera Herrera"/>
    <s v="TECUBDPA"/>
    <s v="TECU Desk Pad B Negro Azul"/>
    <n v="1"/>
    <x v="4"/>
    <x v="0"/>
    <x v="38"/>
    <x v="0"/>
    <s v="Envioclick- Coordinadora"/>
    <s v="2535174 - 84150907801"/>
    <d v="2024-07-02T00:00:00"/>
    <d v="2024-07-03T00:00:00"/>
    <x v="0"/>
    <n v="0"/>
    <n v="1"/>
    <x v="3"/>
    <n v="16131"/>
    <m/>
  </r>
  <r>
    <d v="2024-06-30T00:00:00"/>
    <x v="5"/>
    <n v="27"/>
    <n v="2089"/>
    <x v="0"/>
    <s v="John Fredy Herrera Herrera"/>
    <s v="TECUCT"/>
    <s v="TECU bandeja de cables"/>
    <n v="1"/>
    <x v="4"/>
    <x v="0"/>
    <x v="38"/>
    <x v="0"/>
    <s v="Envioclick- Coordinadora"/>
    <s v="2536975 - 84150908667"/>
    <d v="2024-07-02T00:00:00"/>
    <d v="2024-07-04T00:00:00"/>
    <x v="0"/>
    <n v="0"/>
    <n v="2"/>
    <x v="3"/>
    <n v="24355"/>
    <m/>
  </r>
  <r>
    <d v="2024-06-30T00:00:00"/>
    <x v="5"/>
    <n v="27"/>
    <n v="2090"/>
    <x v="0"/>
    <s v="Nicolas Forero Puello"/>
    <s v="TECU3FGPRO"/>
    <s v="Electric Standing Desk  PRO Gris"/>
    <n v="1"/>
    <x v="0"/>
    <x v="0"/>
    <x v="3"/>
    <x v="0"/>
    <s v="Envioclick- Coordinadora"/>
    <s v="2535196 - 84150907815"/>
    <d v="2024-07-02T00:00:00"/>
    <d v="2024-07-03T00:00:00"/>
    <x v="0"/>
    <n v="0"/>
    <n v="1"/>
    <x v="1"/>
    <n v="42002"/>
    <m/>
  </r>
  <r>
    <d v="2024-06-30T00:00:00"/>
    <x v="5"/>
    <n v="27"/>
    <n v="2090"/>
    <x v="0"/>
    <s v="Nicolas Forero Puello"/>
    <s v="TECUTCC8M"/>
    <s v="Superficie Escritorio Miel 180x70 Moderno"/>
    <n v="1"/>
    <x v="1"/>
    <x v="0"/>
    <x v="3"/>
    <x v="0"/>
    <s v="Envioclick- Coordinadora"/>
    <s v="2535198 - 84150907816"/>
    <d v="2024-07-02T00:00:00"/>
    <d v="2024-07-03T00:00:00"/>
    <x v="0"/>
    <n v="0"/>
    <n v="1"/>
    <x v="1"/>
    <n v="25521"/>
    <m/>
  </r>
  <r>
    <d v="2024-07-01T00:00:00"/>
    <x v="6"/>
    <n v="27"/>
    <n v="2091"/>
    <x v="0"/>
    <s v="Mateo Cuervo Taylor"/>
    <s v="TECU2FNG"/>
    <s v="Electric Standing Desk GO Negro"/>
    <n v="1"/>
    <x v="0"/>
    <x v="1"/>
    <x v="14"/>
    <x v="0"/>
    <s v="Envioclick- Coordinadora"/>
    <s v="2535232 - 84150907832"/>
    <d v="2024-07-02T00:00:00"/>
    <d v="2024-07-04T00:00:00"/>
    <x v="0"/>
    <n v="0"/>
    <n v="2"/>
    <x v="1"/>
    <n v="40734"/>
    <m/>
  </r>
  <r>
    <d v="2024-07-01T00:00:00"/>
    <x v="6"/>
    <n v="27"/>
    <n v="2091"/>
    <x v="0"/>
    <s v="Mateo Cuervo Taylor"/>
    <s v="TECUTCO4C"/>
    <s v="Superficie Escritorio Caramelo 140x70 Clasico"/>
    <n v="1"/>
    <x v="1"/>
    <x v="1"/>
    <x v="14"/>
    <x v="0"/>
    <s v="Envioclick- Coordinadora"/>
    <s v="2535234 - 84150907834"/>
    <d v="2024-07-02T00:00:00"/>
    <d v="2024-07-04T00:00:00"/>
    <x v="0"/>
    <n v="0"/>
    <n v="2"/>
    <x v="1"/>
    <n v="22988"/>
    <m/>
  </r>
  <r>
    <d v="2024-07-01T00:00:00"/>
    <x v="6"/>
    <n v="27"/>
    <n v="2091"/>
    <x v="0"/>
    <s v="Mateo Cuervo Taylor"/>
    <s v="TECUCT"/>
    <s v="TECU bandeja de cables"/>
    <n v="1"/>
    <x v="4"/>
    <x v="1"/>
    <x v="1"/>
    <x v="0"/>
    <s v="Envioclick- Coordinadora"/>
    <s v="2537009 - 84150908682"/>
    <d v="2024-07-02T00:00:00"/>
    <d v="2024-07-08T00:00:00"/>
    <x v="0"/>
    <n v="0"/>
    <n v="5"/>
    <x v="0"/>
    <n v="21855"/>
    <m/>
  </r>
  <r>
    <d v="2024-07-01T00:00:00"/>
    <x v="6"/>
    <n v="27"/>
    <n v="2092"/>
    <x v="0"/>
    <s v="Luis Angel Cortes Buitrago"/>
    <s v="TECU3FBRO"/>
    <s v="Electric Standing Desk  PRO Blanco"/>
    <n v="1"/>
    <x v="0"/>
    <x v="1"/>
    <x v="1"/>
    <x v="0"/>
    <s v="Envioclick- Coordinadora"/>
    <s v="2535655 - 84150907903"/>
    <d v="2024-07-02T00:00:00"/>
    <d v="2024-07-04T00:00:00"/>
    <x v="0"/>
    <n v="0"/>
    <n v="2"/>
    <x v="1"/>
    <n v="42002"/>
    <m/>
  </r>
  <r>
    <d v="2024-07-01T00:00:00"/>
    <x v="6"/>
    <n v="27"/>
    <n v="2092"/>
    <x v="0"/>
    <s v="Luis Angel Cortes Buitrago"/>
    <s v="TECUTRN20C"/>
    <s v="Superficie Escritorio Roble Negro 200x70 Clasico"/>
    <n v="1"/>
    <x v="1"/>
    <x v="1"/>
    <x v="1"/>
    <x v="0"/>
    <s v="Envioclick- Coordinadora"/>
    <s v="2535656 - 84150907904"/>
    <d v="2024-07-02T00:00:00"/>
    <d v="2024-07-04T00:00:00"/>
    <x v="0"/>
    <n v="0"/>
    <n v="2"/>
    <x v="1"/>
    <n v="25521"/>
    <m/>
  </r>
  <r>
    <d v="2024-07-01T00:00:00"/>
    <x v="6"/>
    <n v="27"/>
    <n v="2092"/>
    <x v="0"/>
    <s v="Luis Angel Cortes Buitrago"/>
    <s v="TECUCT"/>
    <s v="TECU bandeja de cables"/>
    <n v="1"/>
    <x v="4"/>
    <x v="1"/>
    <x v="1"/>
    <x v="0"/>
    <s v="Envioclick- Coordinadora"/>
    <s v="2537027 - 84150908701"/>
    <d v="2024-07-02T00:00:00"/>
    <d v="2024-07-04T00:00:00"/>
    <x v="0"/>
    <n v="0"/>
    <n v="2"/>
    <x v="1"/>
    <n v="24355"/>
    <m/>
  </r>
  <r>
    <d v="2024-07-03T00:00:00"/>
    <x v="6"/>
    <n v="27"/>
    <n v="2093"/>
    <x v="0"/>
    <s v="Jose Manuel Fajardo Dueñas"/>
    <s v="TECU3FNPRO"/>
    <s v="Electric Standing Desk  PRO Negro"/>
    <n v="1"/>
    <x v="0"/>
    <x v="1"/>
    <x v="1"/>
    <x v="0"/>
    <s v="Envioclick- Coordinadora"/>
    <s v="2539375 - 84150909793"/>
    <d v="2024-07-03T00:00:00"/>
    <d v="2024-07-04T00:00:00"/>
    <x v="0"/>
    <n v="0"/>
    <n v="1"/>
    <x v="1"/>
    <n v="42002"/>
    <m/>
  </r>
  <r>
    <d v="2024-07-03T00:00:00"/>
    <x v="6"/>
    <n v="27"/>
    <n v="2093"/>
    <x v="0"/>
    <s v="Jose Manuel Fajardo Dueñas"/>
    <s v="TECUTRM5C"/>
    <s v="Superficie Roble Miel 150x70 Clasico"/>
    <n v="1"/>
    <x v="1"/>
    <x v="1"/>
    <x v="1"/>
    <x v="0"/>
    <s v="Envioclick- Coordinadora"/>
    <s v="2539376 - 84150909794"/>
    <d v="2024-07-03T00:00:00"/>
    <d v="2024-07-04T00:00:00"/>
    <x v="0"/>
    <n v="0"/>
    <n v="1"/>
    <x v="1"/>
    <n v="22988"/>
    <m/>
  </r>
  <r>
    <d v="2024-07-03T00:00:00"/>
    <x v="6"/>
    <n v="27"/>
    <n v="2093"/>
    <x v="0"/>
    <s v="Jose Manuel Fajardo Dueñas"/>
    <s v="TECURRM"/>
    <s v="Repisa Roble Miel"/>
    <n v="1"/>
    <x v="2"/>
    <x v="1"/>
    <x v="1"/>
    <x v="0"/>
    <s v="Envioclick- Coordinadora"/>
    <s v="2539773 - 84150910013"/>
    <d v="2024-07-03T00:00:00"/>
    <d v="2024-07-04T00:00:00"/>
    <x v="0"/>
    <n v="0"/>
    <n v="1"/>
    <x v="1"/>
    <n v="24355"/>
    <m/>
  </r>
  <r>
    <d v="2024-07-03T00:00:00"/>
    <x v="6"/>
    <n v="27"/>
    <n v="2094"/>
    <x v="0"/>
    <s v="Jorge Humberto Valderrama Ortiz"/>
    <s v="TECU2FNG"/>
    <s v="Electric Standing Desk GO Negro"/>
    <n v="1"/>
    <x v="0"/>
    <x v="0"/>
    <x v="38"/>
    <x v="0"/>
    <s v="Envioclick- Coordinadora"/>
    <s v="2539445 - 84150909826"/>
    <d v="2024-07-03T00:00:00"/>
    <d v="2024-07-04T00:00:00"/>
    <x v="0"/>
    <n v="0"/>
    <n v="1"/>
    <x v="3"/>
    <n v="40734"/>
    <m/>
  </r>
  <r>
    <d v="2024-07-03T00:00:00"/>
    <x v="6"/>
    <n v="27"/>
    <n v="2094"/>
    <x v="0"/>
    <s v="Jorge Humberto Valderrama Ortiz"/>
    <s v="TECUTCC2C"/>
    <s v="Superficie Escritorio Miel 120x70 Clasico Small"/>
    <n v="1"/>
    <x v="1"/>
    <x v="0"/>
    <x v="38"/>
    <x v="0"/>
    <s v="Envioclick- Coordinadora"/>
    <s v="2539815 - 84150910027"/>
    <d v="2024-07-03T00:00:00"/>
    <d v="2024-07-04T00:00:00"/>
    <x v="0"/>
    <n v="0"/>
    <n v="1"/>
    <x v="3"/>
    <n v="24355"/>
    <m/>
  </r>
  <r>
    <d v="2024-07-03T00:00:00"/>
    <x v="6"/>
    <n v="27"/>
    <n v="2094"/>
    <x v="0"/>
    <s v="Jorge Humberto Valderrama Ortiz"/>
    <s v="TECUCT"/>
    <s v="TECU bandeja de cables"/>
    <n v="1"/>
    <x v="4"/>
    <x v="0"/>
    <x v="38"/>
    <x v="0"/>
    <s v="Envioclick- Coordinadora"/>
    <s v="2539815 - 84150910027"/>
    <d v="2024-07-03T00:00:00"/>
    <d v="2024-07-04T00:00:00"/>
    <x v="0"/>
    <n v="0"/>
    <n v="1"/>
    <x v="3"/>
    <n v="24355"/>
    <m/>
  </r>
  <r>
    <d v="2024-07-03T00:00:00"/>
    <x v="6"/>
    <n v="27"/>
    <n v="2095"/>
    <x v="0"/>
    <s v="Neiber Padierna Perez"/>
    <s v="TECULFN2"/>
    <s v="Electric Standing Desk | Escritorio Ajustable En L Frame Negro 2.0"/>
    <n v="1"/>
    <x v="0"/>
    <x v="0"/>
    <x v="3"/>
    <x v="0"/>
    <s v="Envioclick- Coordinadora"/>
    <s v="2539967 - 84150910122"/>
    <d v="2024-07-03T00:00:00"/>
    <d v="2024-07-04T00:00:00"/>
    <x v="0"/>
    <n v="0"/>
    <n v="1"/>
    <x v="1"/>
    <n v="60937"/>
    <m/>
  </r>
  <r>
    <d v="2024-07-03T00:00:00"/>
    <x v="6"/>
    <n v="27"/>
    <n v="2095"/>
    <x v="0"/>
    <s v="Neiber Padierna Perez"/>
    <s v="TECUTLNS"/>
    <s v="Superficie Escritorio en L Negro (Wengue) Set completo"/>
    <n v="1"/>
    <x v="1"/>
    <x v="0"/>
    <x v="3"/>
    <x v="0"/>
    <s v="Envioclick- Coordinadora"/>
    <s v="2539969 - 84150910123"/>
    <d v="2024-07-03T00:00:00"/>
    <d v="2024-07-04T00:00:00"/>
    <x v="0"/>
    <n v="0"/>
    <n v="1"/>
    <x v="1"/>
    <n v="25521"/>
    <m/>
  </r>
  <r>
    <d v="2024-07-03T00:00:00"/>
    <x v="6"/>
    <n v="27"/>
    <n v="2095"/>
    <x v="0"/>
    <s v="Neiber Padierna Perez"/>
    <s v="TECUCT"/>
    <s v="TECU bandeja de cables"/>
    <n v="1"/>
    <x v="4"/>
    <x v="0"/>
    <x v="3"/>
    <x v="0"/>
    <s v="Envioclick- Coordinadora"/>
    <s v="2540080 - 84150910189"/>
    <d v="2024-07-02T00:00:00"/>
    <d v="2024-07-04T00:00:00"/>
    <x v="0"/>
    <n v="-3"/>
    <n v="1"/>
    <x v="1"/>
    <n v="24355"/>
    <m/>
  </r>
  <r>
    <d v="2024-07-03T00:00:00"/>
    <x v="6"/>
    <n v="27"/>
    <n v="2096"/>
    <x v="0"/>
    <s v="DANIEL RODRIGUEZ"/>
    <s v="TECU3FNPRO"/>
    <s v="Electric Standing Desk  PRO Negro"/>
    <n v="1"/>
    <x v="0"/>
    <x v="17"/>
    <x v="36"/>
    <x v="0"/>
    <s v="Envioclick- Coordinadora"/>
    <s v="2542435 - 84150911229"/>
    <d v="2024-07-04T00:00:00"/>
    <d v="2024-07-06T00:00:00"/>
    <x v="0"/>
    <n v="1"/>
    <n v="3"/>
    <x v="1"/>
    <n v="60748"/>
    <m/>
  </r>
  <r>
    <d v="2024-07-03T00:00:00"/>
    <x v="6"/>
    <n v="27"/>
    <n v="2096"/>
    <x v="0"/>
    <s v="DANIEL RODRIGUEZ"/>
    <s v="TECUTCO5M"/>
    <s v="Superficie Escritorio Caramelo 150x70 Moderno"/>
    <n v="1"/>
    <x v="1"/>
    <x v="17"/>
    <x v="36"/>
    <x v="0"/>
    <s v="Envioclick- Coordinadora"/>
    <s v="2542436 - 84150911230"/>
    <d v="2024-07-04T00:00:00"/>
    <d v="2024-07-06T00:00:00"/>
    <x v="0"/>
    <n v="1"/>
    <n v="3"/>
    <x v="1"/>
    <n v="37761"/>
    <m/>
  </r>
  <r>
    <d v="2024-07-03T00:00:00"/>
    <x v="6"/>
    <n v="27"/>
    <n v="2096"/>
    <x v="0"/>
    <s v="DANIEL RODRIGUEZ"/>
    <s v="TECUBDPA"/>
    <s v="TECU Desk Pad B Negro Azul"/>
    <n v="1"/>
    <x v="4"/>
    <x v="17"/>
    <x v="36"/>
    <x v="0"/>
    <s v="Envioclick- Coordinadora"/>
    <s v="2542429 - 84150911223"/>
    <d v="2024-07-04T00:00:00"/>
    <d v="2024-07-07T00:00:00"/>
    <x v="0"/>
    <n v="1"/>
    <n v="3"/>
    <x v="1"/>
    <n v="16131"/>
    <m/>
  </r>
  <r>
    <d v="2024-07-03T00:00:00"/>
    <x v="6"/>
    <n v="27"/>
    <n v="2096"/>
    <x v="0"/>
    <s v="DANIEL RODRIGUEZ"/>
    <s v="TECUCT"/>
    <s v="TECU bandeja de cables"/>
    <n v="1"/>
    <x v="4"/>
    <x v="17"/>
    <x v="36"/>
    <x v="0"/>
    <s v="Envioclick- Coordinadora"/>
    <s v="2542422 - 84150911231"/>
    <d v="2024-07-04T00:00:00"/>
    <d v="2024-07-06T00:00:00"/>
    <x v="0"/>
    <n v="1"/>
    <n v="3"/>
    <x v="1"/>
    <n v="38102"/>
    <m/>
  </r>
  <r>
    <d v="2024-07-05T00:00:00"/>
    <x v="6"/>
    <n v="27"/>
    <n v="2097"/>
    <x v="0"/>
    <s v="Angela Franco"/>
    <s v="TECU3FBRO"/>
    <s v="Electric Standing Desk  PRO Blanco"/>
    <n v="1"/>
    <x v="0"/>
    <x v="1"/>
    <x v="1"/>
    <x v="0"/>
    <s v="Envioclick- Coordinadora"/>
    <s v="2548324 - 84150913677"/>
    <d v="2024-07-08T00:00:00"/>
    <d v="2024-07-09T00:00:00"/>
    <x v="0"/>
    <n v="2"/>
    <n v="3"/>
    <x v="1"/>
    <n v="42002"/>
    <m/>
  </r>
  <r>
    <d v="2024-07-05T00:00:00"/>
    <x v="6"/>
    <n v="27"/>
    <n v="2097"/>
    <x v="0"/>
    <s v="Angela Franco"/>
    <s v="TECUTCC3C"/>
    <s v="Superficie Escritorio Miel 130x70 Clasico"/>
    <n v="1"/>
    <x v="1"/>
    <x v="1"/>
    <x v="1"/>
    <x v="0"/>
    <s v="Envioclick- Coordinadora"/>
    <s v="2548326 - 84150913678"/>
    <d v="2024-07-08T00:00:00"/>
    <d v="2024-07-09T00:00:00"/>
    <x v="0"/>
    <n v="2"/>
    <n v="3"/>
    <x v="1"/>
    <n v="27422"/>
    <m/>
  </r>
  <r>
    <d v="2024-07-05T00:00:00"/>
    <x v="6"/>
    <n v="27"/>
    <n v="2097"/>
    <x v="0"/>
    <s v="Angela Franco"/>
    <s v="TECUCT"/>
    <s v="TECU bandeja de cables"/>
    <n v="1"/>
    <x v="4"/>
    <x v="1"/>
    <x v="1"/>
    <x v="0"/>
    <s v="Envioclick- Coordinadora"/>
    <s v="2549629 - 84150914360"/>
    <d v="2024-07-08T00:00:00"/>
    <d v="2024-07-09T00:00:00"/>
    <x v="0"/>
    <n v="2"/>
    <n v="3"/>
    <x v="1"/>
    <n v="16631"/>
    <m/>
  </r>
  <r>
    <d v="2024-07-05T00:00:00"/>
    <x v="6"/>
    <n v="27"/>
    <n v="2098"/>
    <x v="0"/>
    <s v="Juan Camilo Clement Santacruz"/>
    <s v="TECU3FNPRO"/>
    <s v="Electric Standing Desk  PRO Negro"/>
    <n v="1"/>
    <x v="0"/>
    <x v="4"/>
    <x v="5"/>
    <x v="0"/>
    <s v="Envioclick- Coordinadora"/>
    <s v="2548332 - 84150913683"/>
    <d v="2024-07-08T00:00:00"/>
    <d v="2024-07-09T00:00:00"/>
    <x v="0"/>
    <n v="2"/>
    <n v="3"/>
    <x v="1"/>
    <n v="42002"/>
    <m/>
  </r>
  <r>
    <d v="2024-07-05T00:00:00"/>
    <x v="6"/>
    <n v="27"/>
    <n v="2098"/>
    <x v="0"/>
    <s v="Juan Camilo Clement Santacruz"/>
    <s v="TECUTRM8C"/>
    <s v="Superficie Roble Miel 180x70 Clasico"/>
    <n v="1"/>
    <x v="1"/>
    <x v="4"/>
    <x v="5"/>
    <x v="0"/>
    <s v="Envioclick- Coordinadora"/>
    <s v="2548333 - 84150913684"/>
    <d v="2024-07-08T00:00:00"/>
    <d v="2024-07-09T00:00:00"/>
    <x v="0"/>
    <n v="2"/>
    <n v="3"/>
    <x v="1"/>
    <n v="25521"/>
    <m/>
  </r>
  <r>
    <d v="2024-07-05T00:00:00"/>
    <x v="6"/>
    <n v="27"/>
    <n v="2098"/>
    <x v="0"/>
    <s v="Juan Camilo Clement Santacruz"/>
    <s v="TECURRM"/>
    <s v="Repisa Roble Miel"/>
    <n v="1"/>
    <x v="2"/>
    <x v="4"/>
    <x v="5"/>
    <x v="0"/>
    <s v="Envioclick- Coordinadora"/>
    <s v="2549657 - 84150914381"/>
    <d v="2024-07-08T00:00:00"/>
    <d v="2024-07-09T00:00:00"/>
    <x v="0"/>
    <n v="2"/>
    <n v="3"/>
    <x v="1"/>
    <n v="24545"/>
    <m/>
  </r>
  <r>
    <d v="2024-07-05T00:00:00"/>
    <x v="6"/>
    <n v="27"/>
    <n v="2098"/>
    <x v="0"/>
    <s v="Juan Camilo Clement Santacruz"/>
    <s v="TECUCT"/>
    <s v="TECU bandeja de cables"/>
    <n v="1"/>
    <x v="4"/>
    <x v="4"/>
    <x v="5"/>
    <x v="0"/>
    <s v="Envioclick- Coordinadora"/>
    <s v="2554327  - 84150916497"/>
    <d v="2024-07-10T00:00:00"/>
    <d v="2024-07-11T00:00:00"/>
    <x v="0"/>
    <n v="4"/>
    <n v="5"/>
    <x v="0"/>
    <n v="24355"/>
    <m/>
  </r>
  <r>
    <d v="2024-07-07T00:00:00"/>
    <x v="6"/>
    <n v="28"/>
    <n v="2099"/>
    <x v="0"/>
    <s v="Daniel Quiceno Calderón"/>
    <s v="TECU3FNPRO"/>
    <s v="Electric Standing Desk  PRO Negro"/>
    <n v="1"/>
    <x v="0"/>
    <x v="10"/>
    <x v="26"/>
    <x v="0"/>
    <s v="Envioclick- Coordinadora"/>
    <s v="2563973 - 84150920680"/>
    <d v="2024-07-15T00:00:00"/>
    <d v="2024-07-16T00:00:00"/>
    <x v="0"/>
    <n v="6"/>
    <n v="7"/>
    <x v="0"/>
    <n v="34504"/>
    <m/>
  </r>
  <r>
    <d v="2024-07-07T00:00:00"/>
    <x v="6"/>
    <n v="28"/>
    <n v="2099"/>
    <x v="0"/>
    <s v="Daniel Quiceno Calderón"/>
    <s v="TECUTRM8C"/>
    <s v="Superficie Roble Miel 180x70 Clasico"/>
    <n v="1"/>
    <x v="1"/>
    <x v="10"/>
    <x v="26"/>
    <x v="0"/>
    <s v="Envioclick- Coordinadora"/>
    <s v="2563975 - 84150920681"/>
    <d v="2024-07-15T00:00:00"/>
    <d v="2024-07-16T00:00:00"/>
    <x v="0"/>
    <n v="6"/>
    <n v="7"/>
    <x v="0"/>
    <n v="16123"/>
    <m/>
  </r>
  <r>
    <d v="2024-07-07T00:00:00"/>
    <x v="6"/>
    <n v="28"/>
    <n v="2099"/>
    <x v="0"/>
    <s v="Daniel Quiceno Calderón"/>
    <s v="TECURRM"/>
    <s v="Repisa Roble Miel"/>
    <n v="1"/>
    <x v="2"/>
    <x v="10"/>
    <x v="26"/>
    <x v="0"/>
    <s v="Envioclick- Coordinadora"/>
    <s v="2564522 - 84150920848"/>
    <d v="2024-07-15T00:00:00"/>
    <d v="2024-07-16T00:00:00"/>
    <x v="0"/>
    <n v="6"/>
    <n v="7"/>
    <x v="0"/>
    <n v="14206"/>
    <m/>
  </r>
  <r>
    <d v="2024-07-07T00:00:00"/>
    <x v="6"/>
    <n v="28"/>
    <n v="2099"/>
    <x v="0"/>
    <s v="Daniel Quiceno Calderón"/>
    <s v="TECUCT"/>
    <s v="TECU bandeja de cables"/>
    <n v="1"/>
    <x v="4"/>
    <x v="10"/>
    <x v="26"/>
    <x v="0"/>
    <s v="Envioclick- Coordinadora"/>
    <s v="2564544 - 84150920856"/>
    <d v="2024-07-15T00:00:00"/>
    <d v="2024-07-16T00:00:00"/>
    <x v="0"/>
    <n v="6"/>
    <n v="7"/>
    <x v="0"/>
    <n v="9393"/>
    <m/>
  </r>
  <r>
    <d v="2024-07-07T00:00:00"/>
    <x v="6"/>
    <n v="28"/>
    <n v="2099"/>
    <x v="0"/>
    <s v="Daniel Quiceno Calderón"/>
    <s v="TECUACO"/>
    <s v="Archivador TECU  Caramelo"/>
    <n v="1"/>
    <x v="3"/>
    <x v="10"/>
    <x v="26"/>
    <x v="0"/>
    <s v="Envioclick- Envia"/>
    <s v="2566264 - 954101003439"/>
    <d v="2024-07-16T00:00:00"/>
    <d v="2024-07-17T00:00:00"/>
    <x v="0"/>
    <n v="7"/>
    <n v="8"/>
    <x v="0"/>
    <n v="40246"/>
    <m/>
  </r>
  <r>
    <d v="2024-07-08T00:00:00"/>
    <x v="6"/>
    <n v="28"/>
    <n v="2100"/>
    <x v="0"/>
    <s v="Carlos Francisco Salazar Velasco"/>
    <s v="TECU2FNG"/>
    <s v="Electric Standing Desk GO Negro"/>
    <n v="1"/>
    <x v="0"/>
    <x v="4"/>
    <x v="5"/>
    <x v="0"/>
    <s v="Envioclick- Coordinadora"/>
    <s v="2549621 - 84150914353"/>
    <d v="2024-07-08T00:00:00"/>
    <d v="2024-07-09T00:00:00"/>
    <x v="0"/>
    <n v="0"/>
    <n v="1"/>
    <x v="1"/>
    <n v="40734"/>
    <m/>
  </r>
  <r>
    <d v="2024-07-08T00:00:00"/>
    <x v="6"/>
    <n v="28"/>
    <n v="2100"/>
    <x v="0"/>
    <s v="Carlos Francisco Salazar Velasco"/>
    <s v="TECUTCO4C"/>
    <s v="Superficie Escritorio Caramelo 140x70 Clasico"/>
    <n v="1"/>
    <x v="1"/>
    <x v="4"/>
    <x v="5"/>
    <x v="0"/>
    <s v="Envioclick- Coordinadora"/>
    <s v="2549622 - 84150914355"/>
    <d v="2024-07-08T00:00:00"/>
    <d v="2024-07-09T00:00:00"/>
    <x v="0"/>
    <n v="0"/>
    <n v="1"/>
    <x v="1"/>
    <n v="22988"/>
    <m/>
  </r>
  <r>
    <d v="2024-07-08T00:00:00"/>
    <x v="6"/>
    <n v="28"/>
    <n v="2100"/>
    <x v="0"/>
    <s v="Carlos Francisco Salazar Velasco"/>
    <s v="TECUBDPM"/>
    <s v="TECU Desk Pad B Negro Café Miel"/>
    <n v="1"/>
    <x v="4"/>
    <x v="4"/>
    <x v="5"/>
    <x v="0"/>
    <s v="Envioclick- Coordinadora"/>
    <s v="2549595 - 84150914341"/>
    <d v="2024-07-08T00:00:00"/>
    <d v="2024-07-09T00:00:00"/>
    <x v="0"/>
    <n v="0"/>
    <n v="1"/>
    <x v="1"/>
    <n v="16131"/>
    <m/>
  </r>
  <r>
    <d v="2024-07-09T00:00:00"/>
    <x v="6"/>
    <n v="28"/>
    <n v="2101"/>
    <x v="0"/>
    <s v="Hilda gicela Escobar rojas Escobar"/>
    <s v="TECU2FNG"/>
    <s v="Electric Standing Desk GO Negro"/>
    <n v="1"/>
    <x v="0"/>
    <x v="0"/>
    <x v="40"/>
    <x v="0"/>
    <s v="Envioclick- Coordinadora"/>
    <s v="2551457 - 84150915177"/>
    <d v="2024-07-09T00:00:00"/>
    <d v="2024-07-12T00:00:00"/>
    <x v="0"/>
    <n v="0"/>
    <n v="3"/>
    <x v="3"/>
    <n v="106410"/>
    <m/>
  </r>
  <r>
    <d v="2024-07-09T00:00:00"/>
    <x v="6"/>
    <n v="28"/>
    <n v="2101"/>
    <x v="0"/>
    <s v="Hilda gicela Escobar rojas Escobar"/>
    <s v="TECUTCO4C"/>
    <s v="Superficie Escritorio Caramelo 140x70 Clasico"/>
    <n v="1"/>
    <x v="1"/>
    <x v="0"/>
    <x v="40"/>
    <x v="0"/>
    <s v="Envioclick- Coordinadora"/>
    <s v="2551458 - 84150915178"/>
    <d v="2024-07-09T00:00:00"/>
    <d v="2024-07-12T00:00:00"/>
    <x v="0"/>
    <n v="0"/>
    <n v="3"/>
    <x v="3"/>
    <n v="91830"/>
    <m/>
  </r>
  <r>
    <d v="2024-07-09T00:00:00"/>
    <x v="6"/>
    <n v="28"/>
    <n v="2102"/>
    <x v="0"/>
    <s v="Juan Sebastian Cortes Torres"/>
    <s v="TECU3FNPRO"/>
    <s v="Electric Standing Desk  PRO Negro"/>
    <n v="1"/>
    <x v="0"/>
    <x v="4"/>
    <x v="5"/>
    <x v="0"/>
    <s v="Envioclick- Coordinadora"/>
    <s v="2551469 - 84150915181"/>
    <d v="2024-07-09T00:00:00"/>
    <d v="2024-07-10T00:00:00"/>
    <x v="0"/>
    <n v="0"/>
    <n v="1"/>
    <x v="1"/>
    <n v="42002"/>
    <m/>
  </r>
  <r>
    <d v="2024-07-09T00:00:00"/>
    <x v="6"/>
    <n v="28"/>
    <n v="2102"/>
    <x v="0"/>
    <s v="Juan Sebastian Cortes Torres"/>
    <s v="TECUTCO6C"/>
    <s v="Superficie Escritorio Caramelo 160x70 Clasico"/>
    <n v="1"/>
    <x v="1"/>
    <x v="4"/>
    <x v="5"/>
    <x v="0"/>
    <s v="Envioclick- Coordinadora"/>
    <s v="2551470 - 84150915182"/>
    <d v="2024-07-09T00:00:00"/>
    <d v="2024-07-10T00:00:00"/>
    <x v="0"/>
    <n v="0"/>
    <n v="1"/>
    <x v="1"/>
    <n v="22988"/>
    <m/>
  </r>
  <r>
    <d v="2024-07-10T00:00:00"/>
    <x v="6"/>
    <n v="28"/>
    <n v="2103"/>
    <x v="0"/>
    <s v="Lucia Moreno Cristancho"/>
    <s v="TECU2FNG"/>
    <s v="Electric Standing Desk GO Negro"/>
    <n v="1"/>
    <x v="0"/>
    <x v="1"/>
    <x v="1"/>
    <x v="0"/>
    <s v="Envioclick- Coordinadora"/>
    <s v="2554381 - 84150916517"/>
    <d v="2024-07-10T00:00:00"/>
    <d v="2024-07-11T00:00:00"/>
    <x v="0"/>
    <n v="0"/>
    <n v="1"/>
    <x v="1"/>
    <n v="40734"/>
    <m/>
  </r>
  <r>
    <d v="2024-07-10T00:00:00"/>
    <x v="6"/>
    <n v="28"/>
    <n v="2103"/>
    <x v="0"/>
    <s v="Lucia Moreno Cristancho"/>
    <s v="TECUTCO2C"/>
    <s v="Superficie Escritorio Caramelo 120x70 Clasico Small"/>
    <n v="1"/>
    <x v="1"/>
    <x v="1"/>
    <x v="1"/>
    <x v="0"/>
    <s v="Envioclick- Coordinadora"/>
    <s v="2554383 - 84150916518"/>
    <d v="2024-07-10T00:00:00"/>
    <d v="2024-07-11T00:00:00"/>
    <x v="0"/>
    <n v="0"/>
    <n v="1"/>
    <x v="1"/>
    <n v="22988"/>
    <m/>
  </r>
  <r>
    <d v="2024-07-11T00:00:00"/>
    <x v="6"/>
    <n v="28"/>
    <n v="2104"/>
    <x v="0"/>
    <s v="Nicolás steven Martín Castellanos"/>
    <s v="TECU2FNG"/>
    <s v="Electric Standing Desk GO Negro"/>
    <n v="1"/>
    <x v="0"/>
    <x v="1"/>
    <x v="1"/>
    <x v="0"/>
    <s v="Envioclick- Coordinadora"/>
    <s v="2556751 - 84150917560"/>
    <d v="2024-07-11T00:00:00"/>
    <d v="2024-07-12T00:00:00"/>
    <x v="0"/>
    <n v="0"/>
    <n v="1"/>
    <x v="1"/>
    <n v="40734"/>
    <m/>
  </r>
  <r>
    <d v="2024-07-11T00:00:00"/>
    <x v="6"/>
    <n v="28"/>
    <n v="2104"/>
    <x v="0"/>
    <s v="Nicolás steven Martín Castellanos"/>
    <s v="TECUTCO2C"/>
    <s v="Superficie Escritorio Caramelo 120x70 Clasico Small"/>
    <n v="1"/>
    <x v="1"/>
    <x v="1"/>
    <x v="1"/>
    <x v="0"/>
    <s v="Envioclick- Coordinadora"/>
    <s v="2556752 - 84150917562"/>
    <d v="2024-07-11T00:00:00"/>
    <d v="2024-07-12T00:00:00"/>
    <x v="0"/>
    <n v="0"/>
    <n v="1"/>
    <x v="1"/>
    <n v="22988"/>
    <m/>
  </r>
  <r>
    <d v="2024-07-11T00:00:00"/>
    <x v="6"/>
    <n v="28"/>
    <n v="2105"/>
    <x v="0"/>
    <s v="German David Ruiz Figueroa"/>
    <s v="TECU3FGPRO"/>
    <s v="Electric Standing Desk  PRO Gris"/>
    <n v="1"/>
    <x v="0"/>
    <x v="17"/>
    <x v="36"/>
    <x v="0"/>
    <s v="Envioclick- Coordinadora"/>
    <s v="2556759 - 84150917565"/>
    <d v="2024-07-11T00:00:00"/>
    <d v="2024-07-13T00:00:00"/>
    <x v="0"/>
    <n v="0"/>
    <n v="2"/>
    <x v="1"/>
    <n v="60748"/>
    <m/>
  </r>
  <r>
    <d v="2024-07-11T00:00:00"/>
    <x v="6"/>
    <n v="28"/>
    <n v="2105"/>
    <x v="0"/>
    <s v="German David Ruiz Figueroa"/>
    <s v="TECUTB5C"/>
    <s v="Superficie Escritorio Blanco(Niebla) 150x70 Clasico"/>
    <n v="1"/>
    <x v="1"/>
    <x v="17"/>
    <x v="36"/>
    <x v="0"/>
    <s v="Envioclick- Coordinadora"/>
    <s v="2556760 - 84150917567"/>
    <d v="2024-07-11T00:00:00"/>
    <d v="2024-07-13T00:00:00"/>
    <x v="0"/>
    <n v="0"/>
    <n v="2"/>
    <x v="1"/>
    <n v="37361"/>
    <m/>
  </r>
  <r>
    <d v="2024-07-12T00:00:00"/>
    <x v="6"/>
    <n v="28"/>
    <n v="2106"/>
    <x v="0"/>
    <s v="Ronald Ramirez"/>
    <s v="TECURN"/>
    <s v="Repisa TECU  Negro (Wengue)"/>
    <n v="1"/>
    <x v="2"/>
    <x v="1"/>
    <x v="1"/>
    <x v="0"/>
    <s v="Envioclick- Coordinadora"/>
    <s v="2559184 - 84150918734"/>
    <d v="2024-07-12T00:00:00"/>
    <d v="2024-07-17T00:00:00"/>
    <x v="0"/>
    <n v="0"/>
    <n v="4"/>
    <x v="0"/>
    <n v="22355"/>
    <m/>
  </r>
  <r>
    <d v="2024-07-12T00:00:00"/>
    <x v="6"/>
    <n v="28"/>
    <n v="2107"/>
    <x v="0"/>
    <s v="Sebastian David Rendon Soto"/>
    <s v="TECU3FNPRO"/>
    <s v="Electric Standing Desk  PRO Negro"/>
    <n v="1"/>
    <x v="0"/>
    <x v="14"/>
    <x v="29"/>
    <x v="0"/>
    <s v="Entrega directa"/>
    <s v="NA"/>
    <d v="2024-07-12T00:00:00"/>
    <d v="2024-07-12T00:00:00"/>
    <x v="0"/>
    <n v="0"/>
    <n v="0"/>
    <x v="1"/>
    <n v="40000"/>
    <m/>
  </r>
  <r>
    <d v="2024-07-12T00:00:00"/>
    <x v="6"/>
    <n v="28"/>
    <n v="2108"/>
    <x v="0"/>
    <s v="Adam Smiarowski"/>
    <s v="TECU3FBRO"/>
    <s v="Electric Standing Desk  PRO Blanco"/>
    <n v="1"/>
    <x v="0"/>
    <x v="1"/>
    <x v="1"/>
    <x v="0"/>
    <s v="Envioclick- Coordinadora"/>
    <s v="2562818 - 84150920131"/>
    <d v="2024-07-15T00:00:00"/>
    <d v="2024-07-16T00:00:00"/>
    <x v="0"/>
    <n v="2"/>
    <n v="3"/>
    <x v="1"/>
    <n v="42002"/>
    <m/>
  </r>
  <r>
    <d v="2024-07-12T00:00:00"/>
    <x v="6"/>
    <n v="28"/>
    <n v="2108"/>
    <x v="0"/>
    <s v="Adam Smiarowski"/>
    <s v="TECUTCC6C"/>
    <s v="Superficie Escritorio Miel 160x70 Clasico"/>
    <n v="1"/>
    <x v="1"/>
    <x v="1"/>
    <x v="1"/>
    <x v="0"/>
    <s v="Envioclick- Coordinadora"/>
    <s v="2562819 - 84150920132"/>
    <d v="2024-07-15T00:00:00"/>
    <d v="2024-07-16T00:00:00"/>
    <x v="0"/>
    <n v="2"/>
    <n v="3"/>
    <x v="1"/>
    <n v="22988"/>
    <m/>
  </r>
  <r>
    <d v="2024-07-14T00:00:00"/>
    <x v="6"/>
    <n v="29"/>
    <n v="2109"/>
    <x v="0"/>
    <s v="David Ernesto Vargas"/>
    <s v="TECU3FBRO"/>
    <s v="Electric Standing Desk  PRO Blanco"/>
    <n v="1"/>
    <x v="0"/>
    <x v="1"/>
    <x v="1"/>
    <x v="0"/>
    <s v="Envioclick- Coordinadora"/>
    <s v="2562799 - 84150920116"/>
    <d v="2024-07-15T00:00:00"/>
    <d v="2024-07-16T00:00:00"/>
    <x v="0"/>
    <n v="0"/>
    <n v="1"/>
    <x v="1"/>
    <n v="42002"/>
    <m/>
  </r>
  <r>
    <d v="2024-07-14T00:00:00"/>
    <x v="6"/>
    <n v="29"/>
    <n v="2109"/>
    <x v="0"/>
    <s v="David Ernesto Vargas"/>
    <s v="TECUTRN4C"/>
    <s v="Superficie Escritorio Roble Negro 140x70 Clasico"/>
    <n v="1"/>
    <x v="1"/>
    <x v="1"/>
    <x v="1"/>
    <x v="0"/>
    <s v="Envioclick- Coordinadora"/>
    <s v="2562801 - 84150920118"/>
    <d v="2024-07-15T00:00:00"/>
    <d v="2024-07-16T00:00:00"/>
    <x v="0"/>
    <n v="0"/>
    <n v="1"/>
    <x v="1"/>
    <n v="22988"/>
    <m/>
  </r>
  <r>
    <d v="2024-07-15T00:00:00"/>
    <x v="6"/>
    <n v="29"/>
    <n v="2110"/>
    <x v="0"/>
    <s v="Johnnatan Nicolás Ruiz Sánchez"/>
    <s v="TECU3FNPRO"/>
    <s v="Electric Standing Desk  PRO Negro"/>
    <n v="1"/>
    <x v="0"/>
    <x v="1"/>
    <x v="1"/>
    <x v="0"/>
    <s v="Envioclick- Coordinadora"/>
    <s v="2566111 - 84150921490"/>
    <d v="2024-07-16T00:00:00"/>
    <d v="2024-07-17T00:00:00"/>
    <x v="0"/>
    <n v="1"/>
    <n v="2"/>
    <x v="1"/>
    <n v="42002"/>
    <m/>
  </r>
  <r>
    <d v="2024-07-15T00:00:00"/>
    <x v="6"/>
    <n v="29"/>
    <n v="2110"/>
    <x v="0"/>
    <s v="Johnnatan Nicolás Ruiz Sánchez"/>
    <s v="TECUTRN8M"/>
    <s v="Superficie Escritorio Roble Negro 180x70 Moderno"/>
    <n v="1"/>
    <x v="1"/>
    <x v="1"/>
    <x v="1"/>
    <x v="0"/>
    <s v="Envioclick- Coordinadora"/>
    <s v="2566114 - 84150921492"/>
    <d v="2024-07-16T00:00:00"/>
    <d v="2024-07-17T00:00:00"/>
    <x v="0"/>
    <n v="1"/>
    <n v="2"/>
    <x v="1"/>
    <n v="25521"/>
    <m/>
  </r>
  <r>
    <d v="2024-07-15T00:00:00"/>
    <x v="6"/>
    <n v="29"/>
    <n v="2111"/>
    <x v="0"/>
    <s v="Patricia Arenas Mosquera"/>
    <s v="TECU2FNG"/>
    <s v="Electric Standing Desk GO Negro"/>
    <n v="1"/>
    <x v="0"/>
    <x v="1"/>
    <x v="1"/>
    <x v="0"/>
    <s v="Envioclick- Coordinadora"/>
    <s v="2566142 - 84150921511"/>
    <d v="2024-07-16T00:00:00"/>
    <d v="2024-07-17T00:00:00"/>
    <x v="0"/>
    <n v="1"/>
    <n v="2"/>
    <x v="1"/>
    <n v="40734"/>
    <m/>
  </r>
  <r>
    <d v="2024-07-15T00:00:00"/>
    <x v="6"/>
    <n v="29"/>
    <n v="2111"/>
    <x v="0"/>
    <s v="Patricia Arenas Mosquera"/>
    <s v="TECUTCC2C"/>
    <s v="Superficie Escritorio Miel 120x70 Clasico Small"/>
    <n v="1"/>
    <x v="1"/>
    <x v="1"/>
    <x v="1"/>
    <x v="0"/>
    <s v="Envioclick- Coordinadora"/>
    <s v="2566144 - 84150921512"/>
    <d v="2024-07-16T00:00:00"/>
    <d v="2024-07-17T00:00:00"/>
    <x v="0"/>
    <n v="1"/>
    <n v="2"/>
    <x v="1"/>
    <m/>
    <m/>
  </r>
  <r>
    <d v="2024-07-15T00:00:00"/>
    <x v="6"/>
    <n v="29"/>
    <n v="2112"/>
    <x v="0"/>
    <s v="Luis Alberto Moreno Chanchay"/>
    <s v="TECURCC"/>
    <s v="Repisa TECU  Miel"/>
    <n v="1"/>
    <x v="2"/>
    <x v="1"/>
    <x v="1"/>
    <x v="0"/>
    <s v="Envioclick- Coordinadora"/>
    <s v="2566149 - 84150921515"/>
    <d v="2024-07-16T00:00:00"/>
    <d v="2024-07-17T00:00:00"/>
    <x v="0"/>
    <n v="1"/>
    <n v="2"/>
    <x v="1"/>
    <n v="22355"/>
    <m/>
  </r>
  <r>
    <d v="2024-07-16T00:00:00"/>
    <x v="6"/>
    <n v="29"/>
    <n v="2113"/>
    <x v="0"/>
    <s v="Diana Ramirez"/>
    <s v="TECU2FBGO"/>
    <s v="Electric Standing Desk GO Blanco"/>
    <n v="1"/>
    <x v="0"/>
    <x v="0"/>
    <x v="8"/>
    <x v="0"/>
    <s v="Envioclick- Coordinadora"/>
    <s v="2566331 - 84150921605"/>
    <d v="2024-07-16T00:00:00"/>
    <d v="2024-07-17T00:00:00"/>
    <x v="0"/>
    <n v="0"/>
    <n v="1"/>
    <x v="1"/>
    <n v="40734"/>
    <m/>
  </r>
  <r>
    <d v="2024-07-16T00:00:00"/>
    <x v="6"/>
    <n v="29"/>
    <n v="2113"/>
    <x v="0"/>
    <s v="Diana Ramirez"/>
    <s v="TECUTCC4C"/>
    <s v="Superficie Escritorio Miel 140x70 Clasico"/>
    <n v="1"/>
    <x v="1"/>
    <x v="0"/>
    <x v="8"/>
    <x v="0"/>
    <s v="Envioclick- Coordinadora"/>
    <s v="2566332 - 84150921606"/>
    <d v="2024-07-16T00:00:00"/>
    <d v="2024-07-17T00:00:00"/>
    <x v="0"/>
    <n v="0"/>
    <n v="1"/>
    <x v="1"/>
    <n v="22988"/>
    <m/>
  </r>
  <r>
    <d v="2024-07-17T00:00:00"/>
    <x v="6"/>
    <n v="29"/>
    <n v="2114"/>
    <x v="0"/>
    <s v="Diego Alejandro Velásquez García"/>
    <s v="TECU3FNPRO"/>
    <s v="Electric Standing Desk  PRO Negro"/>
    <n v="1"/>
    <x v="0"/>
    <x v="10"/>
    <x v="41"/>
    <x v="0"/>
    <s v="Envioclick- Coordinadora"/>
    <s v="2568922 - 84150922845"/>
    <d v="2024-07-17T00:00:00"/>
    <d v="2024-07-19T00:00:00"/>
    <x v="0"/>
    <n v="0"/>
    <n v="2"/>
    <x v="3"/>
    <n v="106410"/>
    <m/>
  </r>
  <r>
    <d v="2024-07-17T00:00:00"/>
    <x v="6"/>
    <n v="29"/>
    <n v="2114"/>
    <x v="0"/>
    <s v="Diego Alejandro Velásquez García"/>
    <s v="TECUTRM8C"/>
    <s v="Superficie Roble Miel 180x70 Clasico"/>
    <n v="1"/>
    <x v="1"/>
    <x v="10"/>
    <x v="41"/>
    <x v="0"/>
    <s v="Envioclick- Coordinadora"/>
    <s v="2568979 - 84150922862"/>
    <d v="2024-07-17T00:00:00"/>
    <d v="2024-07-19T00:00:00"/>
    <x v="0"/>
    <n v="0"/>
    <n v="2"/>
    <x v="3"/>
    <n v="91830"/>
    <m/>
  </r>
  <r>
    <d v="2024-07-17T00:00:00"/>
    <x v="6"/>
    <n v="29"/>
    <n v="2114"/>
    <x v="0"/>
    <s v="Diego Alejandro Velásquez García"/>
    <s v="TECURRM"/>
    <s v="Repisa Roble Miel"/>
    <n v="1"/>
    <x v="2"/>
    <x v="10"/>
    <x v="41"/>
    <x v="0"/>
    <s v="Envioclick- Coordinadora"/>
    <s v="2569043 - 84150922889"/>
    <d v="2024-07-17T00:00:00"/>
    <d v="2024-07-19T00:00:00"/>
    <x v="0"/>
    <n v="0"/>
    <n v="2"/>
    <x v="3"/>
    <n v="93020"/>
    <m/>
  </r>
  <r>
    <d v="2024-07-17T00:00:00"/>
    <x v="6"/>
    <n v="29"/>
    <n v="2114"/>
    <x v="0"/>
    <s v="Diego Alejandro Velásquez García"/>
    <s v="TECUCT"/>
    <s v="TECU bandeja de cables"/>
    <n v="1"/>
    <x v="4"/>
    <x v="10"/>
    <x v="41"/>
    <x v="0"/>
    <s v="Envioclick- Coordinadora"/>
    <s v="2569021 - 84150922880"/>
    <d v="2024-07-17T00:00:00"/>
    <d v="2024-07-19T00:00:00"/>
    <x v="0"/>
    <n v="0"/>
    <n v="2"/>
    <x v="3"/>
    <n v="32371"/>
    <m/>
  </r>
  <r>
    <d v="2024-07-18T00:00:00"/>
    <x v="6"/>
    <n v="29"/>
    <n v="2115"/>
    <x v="0"/>
    <s v="Carlos Andrés Fernández Ramos"/>
    <s v="TECU3FBRO"/>
    <s v="Electric Standing Desk  PRO Blanco"/>
    <n v="1"/>
    <x v="0"/>
    <x v="1"/>
    <x v="1"/>
    <x v="0"/>
    <s v="Envioclick- Coordinadora"/>
    <s v="2573631 - 84150924878"/>
    <d v="2024-07-19T00:00:00"/>
    <d v="2024-07-22T00:00:00"/>
    <x v="0"/>
    <n v="1"/>
    <n v="3"/>
    <x v="1"/>
    <n v="42002"/>
    <m/>
  </r>
  <r>
    <d v="2024-07-18T00:00:00"/>
    <x v="6"/>
    <n v="29"/>
    <n v="2115"/>
    <x v="0"/>
    <s v="Carlos Andrés Fernández Ramos"/>
    <s v="TECUTCO7C"/>
    <s v="Superficie Escritorio Caramelo 170x70 Clasico"/>
    <n v="1"/>
    <x v="1"/>
    <x v="1"/>
    <x v="1"/>
    <x v="0"/>
    <s v="Envioclick- Coordinadora"/>
    <s v="2573632 - 84150924879"/>
    <d v="2024-07-19T00:00:00"/>
    <d v="2024-07-22T00:00:00"/>
    <x v="0"/>
    <n v="1"/>
    <n v="3"/>
    <x v="1"/>
    <n v="25521"/>
    <m/>
  </r>
  <r>
    <d v="2024-07-18T00:00:00"/>
    <x v="6"/>
    <n v="29"/>
    <n v="2115"/>
    <x v="0"/>
    <s v="Carlos Andrés Fernández Ramos"/>
    <s v="TECUROD"/>
    <s v="Rodachines con freno para Standing desk x 4 UN"/>
    <n v="1"/>
    <x v="6"/>
    <x v="1"/>
    <x v="1"/>
    <x v="0"/>
    <s v="Envioclick- Coordinadora"/>
    <s v="2574278 - 84150925124"/>
    <d v="2024-07-19T00:00:00"/>
    <d v="2024-07-22T00:00:00"/>
    <x v="0"/>
    <n v="1"/>
    <n v="3"/>
    <x v="1"/>
    <n v="23042"/>
    <m/>
  </r>
  <r>
    <d v="2024-07-19T00:00:00"/>
    <x v="6"/>
    <n v="29"/>
    <n v="2116"/>
    <x v="0"/>
    <s v="Juan Angulo"/>
    <s v="TECU3FBRO"/>
    <s v="Electric Standing Desk  PRO Blanco"/>
    <n v="1"/>
    <x v="0"/>
    <x v="2"/>
    <x v="2"/>
    <x v="0"/>
    <s v="Envioclick- Coordinadora"/>
    <s v="2591509 - 84150932281"/>
    <d v="2024-07-29T00:00:00"/>
    <d v="2024-07-31T00:00:00"/>
    <x v="0"/>
    <n v="8"/>
    <n v="10"/>
    <x v="0"/>
    <n v="60748"/>
    <s v="Pedido influencer / especial con bandeja- Piden salir 29 Jul"/>
  </r>
  <r>
    <d v="2024-07-19T00:00:00"/>
    <x v="6"/>
    <n v="29"/>
    <n v="2116"/>
    <x v="0"/>
    <s v="Juan Angulo"/>
    <s v="TECUTCC5C"/>
    <s v="Superficie Escritorio Miel 150x70 Clasico"/>
    <n v="1"/>
    <x v="1"/>
    <x v="2"/>
    <x v="2"/>
    <x v="0"/>
    <s v="Envioclick- Coordinadora"/>
    <s v="2591513 - 84150932282"/>
    <d v="2024-07-29T00:00:00"/>
    <d v="2024-07-31T00:00:00"/>
    <x v="0"/>
    <n v="8"/>
    <n v="10"/>
    <x v="0"/>
    <n v="37361"/>
    <s v="Pedido influencer / especial con bandeja- Piden salir 29 Jul"/>
  </r>
  <r>
    <d v="2024-07-19T00:00:00"/>
    <x v="6"/>
    <n v="29"/>
    <n v="2117"/>
    <x v="0"/>
    <s v="Juan Angulo"/>
    <s v="TECULFN2"/>
    <s v="Electric Standing Desk | Escritorio Ajustable En L Frame Negro 2.0"/>
    <n v="1"/>
    <x v="0"/>
    <x v="2"/>
    <x v="2"/>
    <x v="0"/>
    <s v="Envioclick- Coordinadora"/>
    <s v="2591486 - 84150932262"/>
    <d v="2024-07-29T00:00:00"/>
    <d v="2024-07-31T00:00:00"/>
    <x v="0"/>
    <n v="8"/>
    <n v="10"/>
    <x v="0"/>
    <n v="93429"/>
    <s v="Pedido influencer / especial con bandeja- Piden salir 29 Jul"/>
  </r>
  <r>
    <d v="2024-07-19T00:00:00"/>
    <x v="6"/>
    <n v="29"/>
    <n v="2117"/>
    <x v="0"/>
    <s v="Juan Angulo"/>
    <s v="TECUTLRNS"/>
    <s v="Superficie Escritorio en L Roble Negro Set completo"/>
    <n v="1"/>
    <x v="1"/>
    <x v="2"/>
    <x v="2"/>
    <x v="0"/>
    <s v="Envioclick- Coordinadora"/>
    <s v="2591488 - 84150932264"/>
    <d v="2024-07-29T00:00:00"/>
    <d v="2024-07-31T00:00:00"/>
    <x v="0"/>
    <n v="8"/>
    <n v="10"/>
    <x v="0"/>
    <n v="42393"/>
    <s v="Pedido influencer / especial con bandeja- Piden salir 29 Jul"/>
  </r>
  <r>
    <d v="2024-07-19T00:00:00"/>
    <x v="6"/>
    <n v="29"/>
    <n v="2118"/>
    <x v="0"/>
    <s v="Maria Camila Baquero Vargas"/>
    <s v="TECU3FBRO"/>
    <s v="Electric Standing Desk  PRO Blanco"/>
    <n v="1"/>
    <x v="0"/>
    <x v="1"/>
    <x v="14"/>
    <x v="0"/>
    <s v="Envioclick- Coordinadora"/>
    <s v="2574487 - 84150925267"/>
    <d v="2024-07-19T00:00:00"/>
    <d v="2024-07-22T00:00:00"/>
    <x v="0"/>
    <n v="0"/>
    <n v="2"/>
    <x v="1"/>
    <n v="42002"/>
    <m/>
  </r>
  <r>
    <d v="2024-07-19T00:00:00"/>
    <x v="6"/>
    <n v="29"/>
    <n v="2118"/>
    <x v="0"/>
    <s v="Maria Camila Baquero Vargas"/>
    <s v="TECUTCC2C"/>
    <s v="Superficie Escritorio Miel 120x70 Clasico Small"/>
    <n v="1"/>
    <x v="1"/>
    <x v="1"/>
    <x v="14"/>
    <x v="0"/>
    <s v="Envioclick- Coordinadora"/>
    <s v="2574489 - 84150925269"/>
    <d v="2024-07-19T00:00:00"/>
    <d v="2024-07-22T00:00:00"/>
    <x v="0"/>
    <n v="0"/>
    <n v="2"/>
    <x v="1"/>
    <n v="27422"/>
    <m/>
  </r>
  <r>
    <d v="2024-07-19T00:00:00"/>
    <x v="6"/>
    <n v="29"/>
    <n v="2119"/>
    <x v="0"/>
    <s v="Víctor Morales"/>
    <s v="TECUROD"/>
    <s v="Rodachines con freno para Standing desk x 4 UN"/>
    <n v="1"/>
    <x v="6"/>
    <x v="1"/>
    <x v="14"/>
    <x v="0"/>
    <s v="Envioclick- Coordinadora"/>
    <s v="2574899 - 84150925483"/>
    <d v="2024-07-19T00:00:00"/>
    <d v="2024-07-22T00:00:00"/>
    <x v="0"/>
    <n v="0"/>
    <n v="2"/>
    <x v="1"/>
    <n v="23042"/>
    <m/>
  </r>
  <r>
    <d v="2024-07-19T00:00:00"/>
    <x v="6"/>
    <n v="29"/>
    <n v="2120"/>
    <x v="0"/>
    <s v="Ivo Leonardo Ochoa Galeano"/>
    <s v="TECUROD"/>
    <s v="Rodachines con freno para Standing desk x 4 UN"/>
    <n v="1"/>
    <x v="6"/>
    <x v="1"/>
    <x v="1"/>
    <x v="0"/>
    <s v="Envioclick- Coordinadora"/>
    <s v="2584860 - 84150929669"/>
    <d v="2024-07-25T00:00:00"/>
    <d v="2024-07-26T00:00:00"/>
    <x v="0"/>
    <n v="5"/>
    <n v="6"/>
    <x v="0"/>
    <n v="23042"/>
    <m/>
  </r>
  <r>
    <d v="2024-07-22T00:00:00"/>
    <x v="6"/>
    <n v="30"/>
    <n v="2121"/>
    <x v="0"/>
    <s v="Diana Gonzalez"/>
    <s v="TECU3FNPRO"/>
    <s v="Electric Standing Desk  PRO Negro"/>
    <n v="1"/>
    <x v="0"/>
    <x v="0"/>
    <x v="10"/>
    <x v="0"/>
    <s v="Envioclick- Coordinadora"/>
    <s v="2577423 - 84150926352"/>
    <d v="2024-07-22T00:00:00"/>
    <d v="2024-07-23T00:00:00"/>
    <x v="0"/>
    <n v="0"/>
    <n v="1"/>
    <x v="1"/>
    <n v="42002"/>
    <m/>
  </r>
  <r>
    <d v="2024-07-22T00:00:00"/>
    <x v="6"/>
    <n v="30"/>
    <n v="2121"/>
    <x v="0"/>
    <s v="Diana Gonzalez"/>
    <s v="TECUTCO5C"/>
    <s v="Superficie Escritorio Caramelo 150x70 Clasico"/>
    <n v="1"/>
    <x v="1"/>
    <x v="0"/>
    <x v="10"/>
    <x v="0"/>
    <s v="Envioclick- Coordinadora"/>
    <s v="2577425 - 84150926353"/>
    <d v="2024-07-22T00:00:00"/>
    <d v="2024-07-23T00:00:00"/>
    <x v="0"/>
    <n v="0"/>
    <n v="1"/>
    <x v="1"/>
    <n v="22988"/>
    <m/>
  </r>
  <r>
    <d v="2024-07-22T00:00:00"/>
    <x v="6"/>
    <n v="30"/>
    <n v="2122"/>
    <x v="0"/>
    <s v="Jorge Montes"/>
    <s v="TECU3FNPRO"/>
    <s v="Electric Standing Desk  PRO Negro"/>
    <n v="1"/>
    <x v="0"/>
    <x v="0"/>
    <x v="3"/>
    <x v="0"/>
    <s v="Envioclick- Coordinadora"/>
    <s v="2578545 - 84150926830"/>
    <d v="2024-07-22T00:00:00"/>
    <d v="2024-07-24T00:00:00"/>
    <x v="0"/>
    <n v="0"/>
    <n v="2"/>
    <x v="1"/>
    <n v="42002"/>
    <m/>
  </r>
  <r>
    <d v="2024-07-22T00:00:00"/>
    <x v="6"/>
    <n v="30"/>
    <n v="2122"/>
    <x v="0"/>
    <s v="Jorge Montes"/>
    <s v="TECUTRN6M"/>
    <s v="Superficie Escritorio Roble Negro 160x70 Moderno"/>
    <n v="1"/>
    <x v="1"/>
    <x v="0"/>
    <x v="3"/>
    <x v="0"/>
    <s v="Envioclick- Coordinadora"/>
    <s v="2578546 - 84150926831"/>
    <d v="2024-07-22T00:00:00"/>
    <d v="2024-07-24T00:00:00"/>
    <x v="0"/>
    <n v="0"/>
    <n v="2"/>
    <x v="1"/>
    <n v="22988"/>
    <m/>
  </r>
  <r>
    <d v="2024-07-22T00:00:00"/>
    <x v="6"/>
    <n v="30"/>
    <n v="2122"/>
    <x v="0"/>
    <s v="Jorge Montes"/>
    <s v="TECU3FNPRO"/>
    <s v="Electric Standing Desk  PRO Negro"/>
    <n v="1"/>
    <x v="0"/>
    <x v="0"/>
    <x v="3"/>
    <x v="0"/>
    <s v="Envioclick- Coordinadora"/>
    <s v="2578555 - 84150926837"/>
    <d v="2024-07-22T00:00:00"/>
    <d v="2024-07-24T00:00:00"/>
    <x v="0"/>
    <n v="0"/>
    <n v="2"/>
    <x v="1"/>
    <n v="42002"/>
    <m/>
  </r>
  <r>
    <d v="2024-07-22T00:00:00"/>
    <x v="6"/>
    <n v="30"/>
    <n v="2122"/>
    <x v="0"/>
    <s v="Jorge Montes"/>
    <s v="TECUTCC5C"/>
    <s v="Superficie Escritorio Miel 150x70 Clasico"/>
    <n v="1"/>
    <x v="1"/>
    <x v="0"/>
    <x v="3"/>
    <x v="0"/>
    <s v="Envioclick- Coordinadora"/>
    <s v="2578556 - 84150926838"/>
    <d v="2024-07-22T00:00:00"/>
    <d v="2024-07-24T00:00:00"/>
    <x v="0"/>
    <n v="0"/>
    <n v="2"/>
    <x v="1"/>
    <n v="22988"/>
    <m/>
  </r>
  <r>
    <d v="2024-07-22T00:00:00"/>
    <x v="6"/>
    <n v="30"/>
    <n v="2123"/>
    <x v="0"/>
    <s v="Hernan Belalcazar"/>
    <s v="TECU3FBRO"/>
    <s v="Electric Standing Desk  PRO Blanco"/>
    <n v="1"/>
    <x v="0"/>
    <x v="16"/>
    <x v="37"/>
    <x v="0"/>
    <s v="Envioclick- Coordinadora"/>
    <s v="2578562 - 84150926841"/>
    <d v="2024-07-22T00:00:00"/>
    <d v="2024-07-23T00:00:00"/>
    <x v="0"/>
    <n v="0"/>
    <n v="1"/>
    <x v="1"/>
    <n v="46338"/>
    <m/>
  </r>
  <r>
    <d v="2024-07-22T00:00:00"/>
    <x v="6"/>
    <n v="30"/>
    <n v="2123"/>
    <x v="0"/>
    <s v="Hernan Belalcazar"/>
    <s v="TECUTCO4C"/>
    <s v="Superficie Escritorio Caramelo 140x70 Clasico"/>
    <n v="1"/>
    <x v="1"/>
    <x v="16"/>
    <x v="37"/>
    <x v="0"/>
    <s v="Envioclick- Coordinadora"/>
    <s v="2578564 - 84150926843"/>
    <d v="2024-07-22T00:00:00"/>
    <d v="2024-07-23T00:00:00"/>
    <x v="0"/>
    <n v="0"/>
    <n v="1"/>
    <x v="1"/>
    <n v="26312"/>
    <m/>
  </r>
  <r>
    <d v="2024-07-23T00:00:00"/>
    <x v="6"/>
    <n v="30"/>
    <n v="2124"/>
    <x v="0"/>
    <s v="Cristian Andres Gonzalez Rodriguez"/>
    <s v="TECU3FBRO"/>
    <s v="Electric Standing Desk  PRO Blanco"/>
    <n v="1"/>
    <x v="0"/>
    <x v="0"/>
    <x v="8"/>
    <x v="0"/>
    <s v="Envioclick- Coordinadora"/>
    <s v="2580670 - 84150927827"/>
    <d v="2024-07-23T00:00:00"/>
    <d v="2024-07-25T00:00:00"/>
    <x v="0"/>
    <n v="0"/>
    <n v="2"/>
    <x v="1"/>
    <n v="42002"/>
    <m/>
  </r>
  <r>
    <d v="2024-07-23T00:00:00"/>
    <x v="6"/>
    <n v="30"/>
    <n v="2124"/>
    <x v="0"/>
    <s v="Cristian Andres Gonzalez Rodriguez"/>
    <s v="TECUTRN5M"/>
    <s v="Superficie Escritorio Roble Negro 150x70 Moderno"/>
    <n v="1"/>
    <x v="1"/>
    <x v="0"/>
    <x v="8"/>
    <x v="0"/>
    <s v="Envioclick- Coordinadora"/>
    <s v="2580671 - 84150927828"/>
    <d v="2024-07-23T00:00:00"/>
    <d v="2024-07-25T00:00:00"/>
    <x v="0"/>
    <n v="0"/>
    <n v="2"/>
    <x v="1"/>
    <n v="22988"/>
    <m/>
  </r>
  <r>
    <d v="2024-07-23T00:00:00"/>
    <x v="6"/>
    <n v="30"/>
    <n v="2125"/>
    <x v="0"/>
    <s v="Christian Gonzalez"/>
    <s v="TECUROD"/>
    <s v="Rodachines con freno para Standing desk x 4 UN"/>
    <n v="1"/>
    <x v="6"/>
    <x v="0"/>
    <x v="8"/>
    <x v="0"/>
    <s v="Envioclick- Coordinadora"/>
    <s v="2581430 - 84150928212"/>
    <d v="2024-07-23T00:00:00"/>
    <d v="2024-07-24T00:00:00"/>
    <x v="0"/>
    <n v="0"/>
    <n v="1"/>
    <x v="1"/>
    <n v="23042"/>
    <m/>
  </r>
  <r>
    <d v="2024-07-23T00:00:00"/>
    <x v="6"/>
    <n v="30"/>
    <n v="2126"/>
    <x v="0"/>
    <s v="Andrea Rosales"/>
    <s v="TECUTCC4C"/>
    <s v="Superficie Escritorio Miel 140x70 Clasico"/>
    <n v="1"/>
    <x v="1"/>
    <x v="0"/>
    <x v="10"/>
    <x v="0"/>
    <s v="Envioclick- Coordinadora"/>
    <s v="2583443 - 84150929073"/>
    <d v="2024-07-24T00:00:00"/>
    <d v="2024-07-25T00:00:00"/>
    <x v="0"/>
    <n v="1"/>
    <n v="2"/>
    <x v="1"/>
    <n v="23042"/>
    <m/>
  </r>
  <r>
    <d v="2024-07-23T00:00:00"/>
    <x v="6"/>
    <n v="30"/>
    <n v="2126"/>
    <x v="0"/>
    <s v="Andrea Rosales"/>
    <s v="TECURCC"/>
    <s v="Repisa TECU  Miel"/>
    <n v="1"/>
    <x v="2"/>
    <x v="0"/>
    <x v="10"/>
    <x v="0"/>
    <s v="Envioclick- Coordinadora"/>
    <s v="2583443 - 84150929073"/>
    <d v="2024-07-24T00:00:00"/>
    <d v="2024-07-25T00:00:00"/>
    <x v="0"/>
    <n v="1"/>
    <n v="2"/>
    <x v="1"/>
    <n v="23042"/>
    <m/>
  </r>
  <r>
    <d v="2024-07-24T00:00:00"/>
    <x v="6"/>
    <n v="30"/>
    <n v="2127"/>
    <x v="0"/>
    <s v="Carolina Navarrete"/>
    <s v="TECUROD"/>
    <s v="Rodachines con freno para Standing desk x 4 UN"/>
    <n v="1"/>
    <x v="6"/>
    <x v="4"/>
    <x v="5"/>
    <x v="0"/>
    <s v="Envioclick- Coordinadora"/>
    <s v="2601819 - 84150936295"/>
    <d v="2024-08-01T00:00:00"/>
    <d v="2024-08-02T00:00:00"/>
    <x v="0"/>
    <n v="7"/>
    <n v="8"/>
    <x v="0"/>
    <n v="23032"/>
    <s v="Ciente pide despacho hasta el 1 Agosto"/>
  </r>
  <r>
    <d v="2024-07-24T00:00:00"/>
    <x v="6"/>
    <n v="30"/>
    <n v="2128"/>
    <x v="0"/>
    <s v="Miguel Saavedra"/>
    <s v="TECU3FNPRO"/>
    <s v="Electric Standing Desk  PRO Negro"/>
    <n v="1"/>
    <x v="0"/>
    <x v="1"/>
    <x v="1"/>
    <x v="0"/>
    <s v="Envioclick- Coordinadora"/>
    <s v="2583120 - 84150928908"/>
    <d v="2024-07-24T00:00:00"/>
    <d v="2024-07-25T00:00:00"/>
    <x v="0"/>
    <n v="0"/>
    <n v="1"/>
    <x v="1"/>
    <n v="42002"/>
    <m/>
  </r>
  <r>
    <d v="2024-07-24T00:00:00"/>
    <x v="6"/>
    <n v="30"/>
    <n v="2128"/>
    <x v="0"/>
    <s v="Miguel Saavedra"/>
    <s v="TECUTCO8C"/>
    <s v="Superficie Escritorio Caramelo 180x70 Clasico"/>
    <n v="1"/>
    <x v="1"/>
    <x v="1"/>
    <x v="1"/>
    <x v="0"/>
    <s v="Envioclick- Coordinadora"/>
    <s v="2583123 - 84150928909"/>
    <d v="2024-07-24T00:00:00"/>
    <d v="2024-07-25T00:00:00"/>
    <x v="0"/>
    <n v="0"/>
    <n v="1"/>
    <x v="1"/>
    <n v="25521"/>
    <m/>
  </r>
  <r>
    <d v="2024-07-25T00:00:00"/>
    <x v="6"/>
    <n v="30"/>
    <n v="2129"/>
    <x v="0"/>
    <s v="Juan Camilo Romero Sarmiento"/>
    <s v="TECU2FNG"/>
    <s v="Electric Standing Desk GO Negro"/>
    <n v="1"/>
    <x v="0"/>
    <x v="1"/>
    <x v="1"/>
    <x v="0"/>
    <s v="Envioclick- Coordinadora"/>
    <s v="2585211 - 84150929823"/>
    <d v="2024-07-25T00:00:00"/>
    <d v="2024-07-26T00:00:00"/>
    <x v="0"/>
    <n v="0"/>
    <n v="1"/>
    <x v="1"/>
    <n v="40734"/>
    <m/>
  </r>
  <r>
    <d v="2024-07-25T00:00:00"/>
    <x v="6"/>
    <n v="30"/>
    <n v="2129"/>
    <x v="0"/>
    <s v="Juan Camilo Romero Sarmiento"/>
    <s v="TECUTCC4C"/>
    <s v="Superficie Escritorio Miel 140x70 Clasico"/>
    <n v="1"/>
    <x v="1"/>
    <x v="1"/>
    <x v="1"/>
    <x v="0"/>
    <s v="Envioclick- Coordinadora"/>
    <s v="2585212 - 84150929824"/>
    <d v="2024-07-25T00:00:00"/>
    <d v="2024-08-02T00:00:00"/>
    <x v="0"/>
    <n v="0"/>
    <n v="7"/>
    <x v="0"/>
    <n v="22988"/>
    <s v="Novedad en entrega de transporte porque al momento de la entrega indican no conocer persona para entregar se pide Notificacion para cambio de direccion. "/>
  </r>
  <r>
    <d v="2024-07-25T00:00:00"/>
    <x v="6"/>
    <n v="30"/>
    <n v="2130"/>
    <x v="0"/>
    <s v="Steven Obando"/>
    <s v="TECURN"/>
    <s v="Repisa TECU  Negro (Wengue)"/>
    <n v="1"/>
    <x v="2"/>
    <x v="0"/>
    <x v="0"/>
    <x v="0"/>
    <s v="Envioclick- Coordinadora"/>
    <s v="2585476 - 84150929918"/>
    <d v="2024-07-25T00:00:00"/>
    <d v="2024-07-26T00:00:00"/>
    <x v="0"/>
    <n v="0"/>
    <n v="1"/>
    <x v="1"/>
    <n v="22355"/>
    <m/>
  </r>
  <r>
    <d v="2024-07-29T00:00:00"/>
    <x v="6"/>
    <n v="31"/>
    <n v="2131"/>
    <x v="0"/>
    <s v="Andres Lubo Carracedo"/>
    <s v="TECU3FNPRO"/>
    <s v="Electric Standing Desk  PRO Negro"/>
    <n v="1"/>
    <x v="0"/>
    <x v="1"/>
    <x v="1"/>
    <x v="0"/>
    <s v="Envioclick- Coordinadora"/>
    <s v="2591428 - 84150932233"/>
    <d v="2024-07-29T00:00:00"/>
    <d v="2024-07-30T00:00:00"/>
    <x v="0"/>
    <n v="0"/>
    <n v="1"/>
    <x v="1"/>
    <n v="42002"/>
    <m/>
  </r>
  <r>
    <d v="2024-07-29T00:00:00"/>
    <x v="6"/>
    <n v="31"/>
    <n v="2131"/>
    <x v="0"/>
    <s v="Andres Lubo Carracedo"/>
    <s v="TECUTCC8C"/>
    <s v="Superficie Escritorio Miel 180x70 Clasico"/>
    <n v="1"/>
    <x v="1"/>
    <x v="1"/>
    <x v="1"/>
    <x v="0"/>
    <s v="Envioclick- Coordinadora"/>
    <s v="2591430 - 84150932234"/>
    <d v="2024-07-29T00:00:00"/>
    <d v="2024-07-30T00:00:00"/>
    <x v="0"/>
    <n v="0"/>
    <n v="1"/>
    <x v="1"/>
    <n v="25521"/>
    <m/>
  </r>
  <r>
    <d v="2024-07-29T00:00:00"/>
    <x v="6"/>
    <n v="31"/>
    <n v="2131"/>
    <x v="0"/>
    <s v="Andres Lubo Carracedo"/>
    <s v="TECUACC"/>
    <s v="Archivador TECU  Miel"/>
    <n v="1"/>
    <x v="3"/>
    <x v="1"/>
    <x v="1"/>
    <x v="0"/>
    <s v="Envioclick- Envia"/>
    <s v="2595304 - 954101011304"/>
    <d v="2024-07-30T00:00:00"/>
    <d v="2024-07-31T00:00:00"/>
    <x v="0"/>
    <n v="1"/>
    <n v="2"/>
    <x v="1"/>
    <n v="51312"/>
    <m/>
  </r>
  <r>
    <d v="2024-07-29T00:00:00"/>
    <x v="6"/>
    <n v="31"/>
    <n v="2132"/>
    <x v="0"/>
    <s v="Juan Pablo Jiménez Pérez"/>
    <s v="TECU2FGGO"/>
    <s v="Electric Standing Desk GO Gris"/>
    <n v="1"/>
    <x v="0"/>
    <x v="1"/>
    <x v="1"/>
    <x v="0"/>
    <s v="Envioclick- Coordinadora"/>
    <s v="2595310 - 84150933569"/>
    <d v="2024-07-30T00:00:00"/>
    <d v="2024-07-31T00:00:00"/>
    <x v="0"/>
    <n v="1"/>
    <n v="2"/>
    <x v="1"/>
    <n v="40734"/>
    <m/>
  </r>
  <r>
    <d v="2024-07-29T00:00:00"/>
    <x v="6"/>
    <n v="31"/>
    <n v="2132"/>
    <x v="0"/>
    <s v="Juan Pablo Jiménez Pérez"/>
    <s v="TECUTRN4C"/>
    <s v="Superficie Escritorio Roble Negro 140x70 Clasico"/>
    <n v="1"/>
    <x v="1"/>
    <x v="1"/>
    <x v="1"/>
    <x v="0"/>
    <s v="Envioclick- Coordinadora"/>
    <s v="2595311 - 84150933570"/>
    <d v="2024-07-30T00:00:00"/>
    <d v="2024-07-31T00:00:00"/>
    <x v="0"/>
    <n v="1"/>
    <n v="2"/>
    <x v="1"/>
    <n v="22988"/>
    <m/>
  </r>
  <r>
    <d v="2024-07-29T00:00:00"/>
    <x v="6"/>
    <n v="31"/>
    <n v="2132"/>
    <x v="0"/>
    <s v="Juan Pablo Jiménez Pérez"/>
    <s v="TECUCT"/>
    <s v="TECU bandeja de cables"/>
    <n v="1"/>
    <x v="4"/>
    <x v="1"/>
    <x v="1"/>
    <x v="0"/>
    <s v="Envioclick- Coordinadora"/>
    <s v="2595525 - 84150933640"/>
    <d v="2024-07-30T00:00:00"/>
    <d v="2024-07-31T00:00:00"/>
    <x v="0"/>
    <n v="1"/>
    <n v="2"/>
    <x v="1"/>
    <n v="16631"/>
    <m/>
  </r>
  <r>
    <d v="2024-07-30T00:00:00"/>
    <x v="6"/>
    <n v="31"/>
    <n v="2133"/>
    <x v="0"/>
    <s v="Sebastian Sierra Botero"/>
    <s v="TECU2FBGO"/>
    <s v="Electric Standing Desk GO Blanco"/>
    <n v="1"/>
    <x v="0"/>
    <x v="5"/>
    <x v="33"/>
    <x v="0"/>
    <s v="Envioclick- Coordinadora"/>
    <s v="2596406 - 84150934084"/>
    <d v="2024-07-30T00:00:00"/>
    <d v="2024-07-31T00:00:00"/>
    <x v="0"/>
    <n v="0"/>
    <n v="1"/>
    <x v="1"/>
    <n v="33736"/>
    <m/>
  </r>
  <r>
    <d v="2024-07-30T00:00:00"/>
    <x v="6"/>
    <n v="31"/>
    <n v="2133"/>
    <x v="0"/>
    <s v="Sebastian Sierra Botero"/>
    <s v="TECUTCC4C"/>
    <s v="Superficie Escritorio Miel 140x70 Clasico"/>
    <n v="1"/>
    <x v="1"/>
    <x v="5"/>
    <x v="33"/>
    <x v="0"/>
    <s v="Envioclick- Coordinadora"/>
    <s v="2596407 - 84150934085"/>
    <d v="2024-07-30T00:00:00"/>
    <d v="2024-07-31T00:00:00"/>
    <x v="0"/>
    <n v="0"/>
    <n v="1"/>
    <x v="1"/>
    <n v="14589"/>
    <m/>
  </r>
  <r>
    <d v="2024-07-30T00:00:00"/>
    <x v="6"/>
    <n v="31"/>
    <n v="2133"/>
    <x v="0"/>
    <s v="Sebastian Sierra Botero"/>
    <s v="TECUCT"/>
    <s v="TECU bandeja de cables"/>
    <n v="1"/>
    <x v="4"/>
    <x v="5"/>
    <x v="33"/>
    <x v="0"/>
    <s v="Envioclick- Coordinadora"/>
    <s v="2596398 - 84150934087"/>
    <d v="2024-07-30T00:00:00"/>
    <d v="2024-07-31T00:00:00"/>
    <x v="0"/>
    <n v="0"/>
    <n v="1"/>
    <x v="1"/>
    <n v="9393"/>
    <m/>
  </r>
  <r>
    <d v="2024-07-30T00:00:00"/>
    <x v="6"/>
    <n v="31"/>
    <n v="2090"/>
    <x v="4"/>
    <s v="Nicolas Forero Puello"/>
    <s v="TECUCT"/>
    <s v="TECU bandeja de cables"/>
    <n v="1"/>
    <x v="4"/>
    <x v="0"/>
    <x v="3"/>
    <x v="0"/>
    <s v="Envioclick- Coordinadora"/>
    <s v="2595633 - 84150933687"/>
    <d v="2024-07-30T00:00:00"/>
    <d v="2024-07-31T00:00:00"/>
    <x v="0"/>
    <n v="0"/>
    <n v="1"/>
    <x v="1"/>
    <n v="16631"/>
    <s v="Cortesia por review negativa."/>
  </r>
  <r>
    <d v="2024-07-30T00:00:00"/>
    <x v="6"/>
    <n v="31"/>
    <n v="2134"/>
    <x v="0"/>
    <s v="Alejandro Cardona Suaza"/>
    <s v="TECU2FGGO"/>
    <s v="Electric Standing Desk GO Gris"/>
    <n v="1"/>
    <x v="0"/>
    <x v="0"/>
    <x v="3"/>
    <x v="0"/>
    <s v="Envioclick- Coordinadora"/>
    <s v="2598369 - 84150934860"/>
    <d v="2024-07-31T00:00:00"/>
    <d v="2024-08-01T00:00:00"/>
    <x v="0"/>
    <n v="1"/>
    <n v="2"/>
    <x v="1"/>
    <n v="40734"/>
    <m/>
  </r>
  <r>
    <d v="2024-07-30T00:00:00"/>
    <x v="6"/>
    <n v="31"/>
    <n v="2134"/>
    <x v="0"/>
    <s v="Alejandro Cardona Suaza"/>
    <s v="TECUTCC4C"/>
    <s v="Superficie Escritorio Miel 140x70 Clasico"/>
    <n v="1"/>
    <x v="1"/>
    <x v="0"/>
    <x v="3"/>
    <x v="0"/>
    <s v="Envioclick- Coordinadora"/>
    <s v="2598370 - 84150934861"/>
    <d v="2024-07-31T00:00:00"/>
    <d v="2024-08-09T00:00:00"/>
    <x v="0"/>
    <n v="1"/>
    <n v="8"/>
    <x v="0"/>
    <n v="22988"/>
    <s v="Coordinadora extravia superficie - Se envia a Pereira"/>
  </r>
  <r>
    <d v="2024-07-30T00:00:00"/>
    <x v="6"/>
    <n v="31"/>
    <n v="2134"/>
    <x v="0"/>
    <s v="Alejandro Cardona Suaza"/>
    <s v="TECUACC"/>
    <s v="Archivador TECU  Miel"/>
    <n v="1"/>
    <x v="3"/>
    <x v="0"/>
    <x v="3"/>
    <x v="0"/>
    <s v="Envioclick- Envia"/>
    <s v="2598286 - 954101012172"/>
    <d v="2024-07-31T00:00:00"/>
    <d v="2024-08-01T00:00:00"/>
    <x v="0"/>
    <n v="1"/>
    <n v="2"/>
    <x v="1"/>
    <n v="59204"/>
    <m/>
  </r>
  <r>
    <d v="2024-07-30T00:00:00"/>
    <x v="6"/>
    <n v="31"/>
    <n v="2134"/>
    <x v="1"/>
    <s v="Alejandro Cardona Suaza"/>
    <s v="TECUTCC4C"/>
    <s v="Superficie Escritorio Miel 140x70 Clasico"/>
    <n v="1"/>
    <x v="1"/>
    <x v="0"/>
    <x v="3"/>
    <x v="0"/>
    <s v="Envioclick- Coordinadora"/>
    <s v="2611343 - 84150940192"/>
    <d v="2024-08-06T00:00:00"/>
    <d v="2024-08-09T00:00:00"/>
    <x v="0"/>
    <n v="6"/>
    <n v="8"/>
    <x v="0"/>
    <n v="27488"/>
    <s v="Se le envia nueva superficie ya que Coordinadoraa hace la entrega en Pereira y aunque se hace seguimiento cliente prefiere envio de una nueva. "/>
  </r>
  <r>
    <d v="2024-07-31T00:00:00"/>
    <x v="6"/>
    <n v="31"/>
    <n v="2135"/>
    <x v="0"/>
    <s v="Carlos Huila"/>
    <s v="TECUROD"/>
    <s v="Rodachines con freno para Standing desk x 4 UN"/>
    <n v="1"/>
    <x v="6"/>
    <x v="16"/>
    <x v="37"/>
    <x v="0"/>
    <s v="Envioclick- Coordinadora"/>
    <s v="2598354 - 84150934873"/>
    <d v="2024-07-31T00:00:00"/>
    <d v="2024-08-02T00:00:00"/>
    <x v="0"/>
    <n v="0"/>
    <n v="2"/>
    <x v="1"/>
    <n v="23032"/>
    <m/>
  </r>
  <r>
    <d v="2024-07-31T00:00:00"/>
    <x v="6"/>
    <n v="31"/>
    <n v="2136"/>
    <x v="0"/>
    <s v="Juan Felipe Remolina García"/>
    <s v="TECUROD"/>
    <s v="Rodachines con freno para Standing desk x 4 UN"/>
    <n v="1"/>
    <x v="6"/>
    <x v="1"/>
    <x v="1"/>
    <x v="0"/>
    <s v="Envioclick- Coordinadora"/>
    <s v="2598871 - 84150935073"/>
    <d v="2024-07-31T00:00:00"/>
    <d v="2024-08-02T00:00:00"/>
    <x v="0"/>
    <n v="0"/>
    <n v="2"/>
    <x v="1"/>
    <n v="23032"/>
    <m/>
  </r>
  <r>
    <d v="2024-08-01T00:00:00"/>
    <x v="7"/>
    <n v="31"/>
    <n v="2137"/>
    <x v="0"/>
    <s v="Carlos Diaz"/>
    <s v="TECU3FNPRO"/>
    <s v="Electric Standing Desk  PRO Negro"/>
    <n v="1"/>
    <x v="0"/>
    <x v="1"/>
    <x v="1"/>
    <x v="0"/>
    <s v="Envioclick- Coordinadora"/>
    <s v="2603597 - 84150936928"/>
    <d v="2024-08-02T00:00:00"/>
    <d v="2024-08-03T00:00:00"/>
    <x v="0"/>
    <n v="1"/>
    <n v="2"/>
    <x v="1"/>
    <n v="42002"/>
    <m/>
  </r>
  <r>
    <d v="2024-08-01T00:00:00"/>
    <x v="7"/>
    <n v="31"/>
    <n v="2137"/>
    <x v="0"/>
    <s v="Carlos Diaz"/>
    <s v="TECUTB7C"/>
    <s v="Superficie Escritorio Blanco (Niebla) 170x70 Clasico"/>
    <n v="1"/>
    <x v="1"/>
    <x v="1"/>
    <x v="1"/>
    <x v="0"/>
    <s v="Envioclick- Coordinadora"/>
    <s v="2603598 - 84150936929"/>
    <d v="2024-08-02T00:00:00"/>
    <d v="2024-08-03T00:00:00"/>
    <x v="0"/>
    <n v="1"/>
    <n v="2"/>
    <x v="1"/>
    <n v="25521"/>
    <m/>
  </r>
  <r>
    <d v="2024-08-02T00:00:00"/>
    <x v="7"/>
    <n v="31"/>
    <n v="2138"/>
    <x v="0"/>
    <s v="Juan Camilo Cajamarca Mayorga"/>
    <s v="TECU2FNG"/>
    <s v="Electric Standing Desk GO Negro"/>
    <n v="1"/>
    <x v="0"/>
    <x v="18"/>
    <x v="42"/>
    <x v="0"/>
    <s v="Envioclick- Coordinadora"/>
    <s v="2604490 - 84150937317"/>
    <d v="2024-08-02T00:00:00"/>
    <d v="2024-08-05T00:00:00"/>
    <x v="0"/>
    <n v="0"/>
    <n v="2"/>
    <x v="3"/>
    <n v="58232"/>
    <m/>
  </r>
  <r>
    <d v="2024-08-02T00:00:00"/>
    <x v="7"/>
    <n v="31"/>
    <n v="2138"/>
    <x v="0"/>
    <s v="Juan Camilo Cajamarca Mayorga"/>
    <s v="TECUTRN4C"/>
    <s v="Superficie Escritorio Roble Negro 140x70 Clasico"/>
    <n v="1"/>
    <x v="1"/>
    <x v="18"/>
    <x v="42"/>
    <x v="0"/>
    <s v="Envioclick- Coordinadora"/>
    <s v="2604491 - 84150937318"/>
    <d v="2024-08-02T00:00:00"/>
    <d v="2024-08-05T00:00:00"/>
    <x v="0"/>
    <n v="0"/>
    <n v="2"/>
    <x v="3"/>
    <n v="37761"/>
    <m/>
  </r>
  <r>
    <d v="2024-08-05T00:00:00"/>
    <x v="7"/>
    <n v="32"/>
    <n v="2139"/>
    <x v="0"/>
    <s v="Carlos Diaz"/>
    <s v="TECUCT"/>
    <s v="TECU bandeja de cables"/>
    <n v="1"/>
    <x v="4"/>
    <x v="1"/>
    <x v="1"/>
    <x v="0"/>
    <s v="Envioclick- Coordinadora"/>
    <s v="2608103 - 84150938711"/>
    <d v="2024-08-05T00:00:00"/>
    <d v="2024-08-08T00:00:00"/>
    <x v="0"/>
    <n v="0"/>
    <n v="2"/>
    <x v="1"/>
    <n v="16631"/>
    <m/>
  </r>
  <r>
    <d v="2024-08-06T00:00:00"/>
    <x v="7"/>
    <n v="32"/>
    <n v="2140"/>
    <x v="0"/>
    <s v="Felipe Mora"/>
    <s v="TECU3FNPRO"/>
    <s v="Electric Standing Desk  PRO Negro"/>
    <n v="1"/>
    <x v="0"/>
    <x v="1"/>
    <x v="1"/>
    <x v="0"/>
    <s v="Envioclick- Coordinadora"/>
    <s v="2610933 - 84150939997"/>
    <d v="2024-08-06T00:00:00"/>
    <d v="2024-08-08T00:00:00"/>
    <x v="0"/>
    <n v="0"/>
    <n v="1"/>
    <x v="1"/>
    <n v="42002"/>
    <m/>
  </r>
  <r>
    <d v="2024-08-06T00:00:00"/>
    <x v="7"/>
    <n v="32"/>
    <n v="2140"/>
    <x v="0"/>
    <s v="Felipe Mora"/>
    <s v="TECUTCO8M"/>
    <s v="Superficie Escritorio Caramelo 180x70 Moderno"/>
    <n v="1"/>
    <x v="1"/>
    <x v="1"/>
    <x v="1"/>
    <x v="0"/>
    <s v="Envioclick- Coordinadora"/>
    <s v="2610934 - 84150939998"/>
    <d v="2024-08-06T00:00:00"/>
    <d v="2024-08-08T00:00:00"/>
    <x v="0"/>
    <n v="0"/>
    <n v="1"/>
    <x v="1"/>
    <n v="25521"/>
    <m/>
  </r>
  <r>
    <d v="2024-08-06T00:00:00"/>
    <x v="7"/>
    <n v="32"/>
    <n v="2141"/>
    <x v="0"/>
    <s v="Mario Gonzalez"/>
    <s v="TECU3FNPRO"/>
    <s v="Electric Standing Desk  PRO Negro"/>
    <n v="1"/>
    <x v="0"/>
    <x v="0"/>
    <x v="3"/>
    <x v="0"/>
    <s v="Envioclick- Coordinadora"/>
    <s v="2610964 - 84150940015"/>
    <d v="2024-08-06T00:00:00"/>
    <d v="2024-08-08T00:00:00"/>
    <x v="0"/>
    <n v="0"/>
    <n v="1"/>
    <x v="1"/>
    <n v="42002"/>
    <m/>
  </r>
  <r>
    <d v="2024-08-06T00:00:00"/>
    <x v="7"/>
    <n v="32"/>
    <n v="2141"/>
    <x v="0"/>
    <s v="Mario Gonzalez"/>
    <s v="TECUTCO20C"/>
    <s v="Superficie Escritorio Caramelo 200x70 Clasico"/>
    <n v="1"/>
    <x v="1"/>
    <x v="0"/>
    <x v="3"/>
    <x v="0"/>
    <s v="Envioclick- Coordinadora"/>
    <s v="2610965 - 84150940017"/>
    <d v="2024-08-06T00:00:00"/>
    <d v="2024-08-08T00:00:00"/>
    <x v="0"/>
    <n v="0"/>
    <n v="1"/>
    <x v="1"/>
    <n v="24355"/>
    <m/>
  </r>
  <r>
    <d v="2024-08-06T00:00:00"/>
    <x v="7"/>
    <n v="32"/>
    <n v="2141"/>
    <x v="0"/>
    <s v="Mario Gonzalez"/>
    <s v="TECUCT"/>
    <s v="TECU bandeja de cables"/>
    <n v="1"/>
    <x v="4"/>
    <x v="0"/>
    <x v="3"/>
    <x v="0"/>
    <s v="Envioclick- Coordinadora"/>
    <s v="2611010 - 84150940055"/>
    <d v="2024-08-06T00:00:00"/>
    <d v="2024-08-08T00:00:00"/>
    <x v="0"/>
    <n v="0"/>
    <n v="1"/>
    <x v="1"/>
    <n v="24355"/>
    <m/>
  </r>
  <r>
    <d v="2024-08-06T00:00:00"/>
    <x v="7"/>
    <n v="32"/>
    <n v="2142"/>
    <x v="0"/>
    <s v="Jaime Sanchez"/>
    <s v="TECURN"/>
    <s v="Repisa TECU  Negro (Wengue)"/>
    <n v="1"/>
    <x v="2"/>
    <x v="0"/>
    <x v="43"/>
    <x v="0"/>
    <s v="Envioclick- Coordinadora"/>
    <s v="2612404 - 84150940826"/>
    <d v="2024-08-06T00:00:00"/>
    <d v="2024-08-08T00:00:00"/>
    <x v="0"/>
    <n v="0"/>
    <n v="1"/>
    <x v="1"/>
    <n v="22355"/>
    <m/>
  </r>
  <r>
    <d v="2024-08-06T00:00:00"/>
    <x v="7"/>
    <n v="32"/>
    <n v="2142"/>
    <x v="0"/>
    <s v="Jaime Sanchez"/>
    <s v="TECUAN"/>
    <s v="Archivador TECU  Negro (Wengue)"/>
    <n v="1"/>
    <x v="3"/>
    <x v="0"/>
    <x v="43"/>
    <x v="0"/>
    <s v="Envioclick- Envia"/>
    <s v="2614882 - 954101016456"/>
    <d v="2024-08-08T00:00:00"/>
    <d v="2024-08-09T00:00:00"/>
    <x v="0"/>
    <n v="1"/>
    <n v="2"/>
    <x v="1"/>
    <n v="59204"/>
    <m/>
  </r>
  <r>
    <d v="2024-08-06T00:00:00"/>
    <x v="7"/>
    <n v="32"/>
    <n v="2142"/>
    <x v="0"/>
    <s v="Jaime Sanchez"/>
    <s v="TECUDSN"/>
    <s v="TECU Desk Stool Negra Silla ajustable"/>
    <n v="1"/>
    <x v="5"/>
    <x v="0"/>
    <x v="43"/>
    <x v="0"/>
    <s v="Envioclick- Coordinadora"/>
    <s v="2612415 - 84150940833"/>
    <d v="2024-08-06T00:00:00"/>
    <d v="2024-08-08T00:00:00"/>
    <x v="0"/>
    <n v="0"/>
    <n v="1"/>
    <x v="1"/>
    <n v="25935"/>
    <m/>
  </r>
  <r>
    <d v="2024-08-08T00:00:00"/>
    <x v="7"/>
    <n v="32"/>
    <n v="2142"/>
    <x v="1"/>
    <s v="Jaime Sanchez"/>
    <s v="TECURN"/>
    <s v="Repisa TECU  Negro (Wengue)"/>
    <n v="1"/>
    <x v="2"/>
    <x v="0"/>
    <x v="43"/>
    <x v="0"/>
    <s v="Envioclick- Coordinadora"/>
    <s v="2615127 - 84150941827"/>
    <d v="2024-08-08T00:00:00"/>
    <d v="2024-08-09T00:00:00"/>
    <x v="0"/>
    <n v="0"/>
    <n v="1"/>
    <x v="1"/>
    <n v="21855"/>
    <m/>
  </r>
  <r>
    <d v="2024-08-07T00:00:00"/>
    <x v="7"/>
    <n v="32"/>
    <n v="2143"/>
    <x v="0"/>
    <s v="IGNACIO ROJAS"/>
    <s v="TECUDSN"/>
    <s v="TECU Desk Stool Negra Silla ajustable"/>
    <n v="1"/>
    <x v="5"/>
    <x v="1"/>
    <x v="1"/>
    <x v="0"/>
    <s v="Envioclick- Coordinadora"/>
    <s v="2614773 - 84150941633"/>
    <d v="2024-08-08T00:00:00"/>
    <d v="2024-08-12T00:00:00"/>
    <x v="0"/>
    <n v="0"/>
    <n v="3"/>
    <x v="1"/>
    <n v="25935"/>
    <m/>
  </r>
  <r>
    <d v="2024-08-07T00:00:00"/>
    <x v="7"/>
    <n v="32"/>
    <n v="2144"/>
    <x v="0"/>
    <s v="Cesar Forero"/>
    <s v="TECU3FNPRO"/>
    <s v="Electric Standing Desk  PRO Negro"/>
    <n v="1"/>
    <x v="0"/>
    <x v="1"/>
    <x v="1"/>
    <x v="0"/>
    <s v="Envioclick- Coordinadora"/>
    <s v="2614783 - 84150941636"/>
    <d v="2024-08-08T00:00:00"/>
    <d v="2024-08-10T00:00:00"/>
    <x v="0"/>
    <n v="0"/>
    <n v="2"/>
    <x v="1"/>
    <n v="42002"/>
    <m/>
  </r>
  <r>
    <d v="2024-08-07T00:00:00"/>
    <x v="7"/>
    <n v="32"/>
    <n v="2144"/>
    <x v="0"/>
    <s v="Cesar Forero"/>
    <s v="TECUTCC4C"/>
    <s v="Superficie Escritorio Miel 140x70 Clasico"/>
    <n v="1"/>
    <x v="1"/>
    <x v="1"/>
    <x v="1"/>
    <x v="0"/>
    <s v="Envioclick- Coordinadora"/>
    <s v="2614785 - 84150941637"/>
    <d v="2024-08-08T00:00:00"/>
    <d v="2024-08-10T00:00:00"/>
    <x v="0"/>
    <n v="0"/>
    <n v="2"/>
    <x v="1"/>
    <n v="22988"/>
    <m/>
  </r>
  <r>
    <d v="2024-08-07T00:00:00"/>
    <x v="7"/>
    <n v="32"/>
    <n v="2144"/>
    <x v="0"/>
    <s v="Cesar Forero"/>
    <s v="TECUROD"/>
    <s v="Rodachines con freno para Standing desk x 4 UN"/>
    <n v="1"/>
    <x v="6"/>
    <x v="1"/>
    <x v="1"/>
    <x v="0"/>
    <s v="Envioclick- Coordinadora"/>
    <s v="2615067 - 84150941797"/>
    <d v="2024-08-08T00:00:00"/>
    <d v="2024-08-10T00:00:00"/>
    <x v="0"/>
    <n v="0"/>
    <n v="2"/>
    <x v="1"/>
    <n v="23032"/>
    <m/>
  </r>
  <r>
    <d v="2024-08-08T00:00:00"/>
    <x v="7"/>
    <n v="32"/>
    <n v="2136"/>
    <x v="1"/>
    <s v="Juan Felipe Remolina García"/>
    <s v="TECUROD"/>
    <s v="Rodachines con freno para Standing desk x 4 UN"/>
    <n v="1"/>
    <x v="6"/>
    <x v="1"/>
    <x v="1"/>
    <x v="0"/>
    <s v="Envioclick- Coordinadora"/>
    <s v="2616322 - 84150942437"/>
    <d v="2024-08-08T00:00:00"/>
    <d v="2024-08-10T00:00:00"/>
    <x v="0"/>
    <n v="0"/>
    <n v="2"/>
    <x v="1"/>
    <n v="23042"/>
    <m/>
  </r>
  <r>
    <d v="2024-08-07T00:00:00"/>
    <x v="7"/>
    <n v="32"/>
    <n v="2145"/>
    <x v="0"/>
    <s v="Jhon Jimenez"/>
    <s v="TECU3FNPRO"/>
    <s v="Electric Standing Desk  PRO Negro"/>
    <n v="1"/>
    <x v="0"/>
    <x v="0"/>
    <x v="0"/>
    <x v="0"/>
    <s v="Envioclick- Coordinadora"/>
    <s v="2614792 - 84150941638"/>
    <d v="2024-08-08T00:00:00"/>
    <d v="2024-08-10T00:00:00"/>
    <x v="0"/>
    <n v="0"/>
    <n v="2"/>
    <x v="1"/>
    <n v="42002"/>
    <m/>
  </r>
  <r>
    <d v="2024-08-12T00:00:00"/>
    <x v="7"/>
    <n v="33"/>
    <n v="2146"/>
    <x v="0"/>
    <s v="VICTOR OROBIO"/>
    <s v="TECUROD"/>
    <s v="Rodachines con freno para Standing desk x 4 UN"/>
    <n v="1"/>
    <x v="6"/>
    <x v="4"/>
    <x v="6"/>
    <x v="0"/>
    <s v="Envioclick- Coordinadora"/>
    <s v="2621820 - 84150944654"/>
    <d v="2024-08-12T00:00:00"/>
    <d v="2024-08-13T00:00:00"/>
    <x v="0"/>
    <n v="0"/>
    <n v="1"/>
    <x v="1"/>
    <n v="23032"/>
    <m/>
  </r>
  <r>
    <d v="2024-08-12T00:00:00"/>
    <x v="7"/>
    <n v="33"/>
    <n v="2147"/>
    <x v="0"/>
    <s v="Carlos Diaz"/>
    <s v="TECUAB"/>
    <s v="Archivador TECU  Blanco (Niebla)"/>
    <n v="1"/>
    <x v="3"/>
    <x v="1"/>
    <x v="1"/>
    <x v="0"/>
    <s v="Envioclick- Envia"/>
    <s v="2621794 - 954101018482"/>
    <d v="2024-08-12T00:00:00"/>
    <d v="2024-08-13T00:00:00"/>
    <x v="0"/>
    <n v="0"/>
    <n v="1"/>
    <x v="1"/>
    <n v="51312"/>
    <m/>
  </r>
  <r>
    <d v="2024-08-14T00:00:00"/>
    <x v="7"/>
    <n v="33"/>
    <n v="2148"/>
    <x v="0"/>
    <s v="Javier Villa"/>
    <s v="TECU2FNG"/>
    <s v="Electric Standing Desk GO Negro"/>
    <n v="1"/>
    <x v="0"/>
    <x v="1"/>
    <x v="1"/>
    <x v="0"/>
    <s v="Envioclick- Coordinadora"/>
    <s v="2626960 - 84150947060"/>
    <d v="2024-08-14T00:00:00"/>
    <d v="2024-08-15T00:00:00"/>
    <x v="0"/>
    <n v="0"/>
    <n v="1"/>
    <x v="1"/>
    <n v="40734"/>
    <m/>
  </r>
  <r>
    <d v="2024-08-14T00:00:00"/>
    <x v="7"/>
    <n v="33"/>
    <n v="2148"/>
    <x v="0"/>
    <s v="Javier Villa"/>
    <s v="TECUTCO2C"/>
    <s v="Superficie Escritorio Caramelo 120x70 Clasico Small"/>
    <n v="1"/>
    <x v="1"/>
    <x v="1"/>
    <x v="1"/>
    <x v="0"/>
    <s v="Envioclick- Coordinadora"/>
    <s v="2626962 - 84150947061"/>
    <d v="2024-08-14T00:00:00"/>
    <d v="2024-08-15T00:00:00"/>
    <x v="0"/>
    <n v="0"/>
    <n v="1"/>
    <x v="1"/>
    <n v="22988"/>
    <m/>
  </r>
  <r>
    <d v="2024-08-14T00:00:00"/>
    <x v="7"/>
    <n v="33"/>
    <n v="2149"/>
    <x v="0"/>
    <s v="Andrea Marcela Cortés Bernal"/>
    <s v="TECU3FBRO"/>
    <s v="Electric Standing Desk  PRO Blanco"/>
    <n v="1"/>
    <x v="0"/>
    <x v="1"/>
    <x v="44"/>
    <x v="0"/>
    <s v="Envioclick- Coordinadora"/>
    <s v="2629235 - 84150948091"/>
    <d v="2024-08-15T00:00:00"/>
    <d v="2024-08-16T00:00:00"/>
    <x v="0"/>
    <n v="1"/>
    <n v="2"/>
    <x v="3"/>
    <n v="42002"/>
    <m/>
  </r>
  <r>
    <d v="2024-08-14T00:00:00"/>
    <x v="7"/>
    <n v="33"/>
    <n v="2149"/>
    <x v="0"/>
    <s v="Andrea Marcela Cortés Bernal"/>
    <s v="TECUTCC8C"/>
    <s v="Superficie Escritorio Miel 180x70 Clasico"/>
    <n v="1"/>
    <x v="1"/>
    <x v="1"/>
    <x v="44"/>
    <x v="0"/>
    <s v="Envioclick- Coordinadora"/>
    <s v="2626962 - 84150947061"/>
    <d v="2024-08-15T00:00:00"/>
    <d v="2024-08-15T00:00:00"/>
    <x v="0"/>
    <n v="1"/>
    <n v="1"/>
    <x v="3"/>
    <n v="22988"/>
    <m/>
  </r>
  <r>
    <d v="2024-08-15T00:00:00"/>
    <x v="7"/>
    <n v="33"/>
    <n v="2150"/>
    <x v="0"/>
    <s v="Andrea Marcela Cortés Bernal"/>
    <s v="TECUACC"/>
    <s v="Archivador TECU  Miel"/>
    <n v="2"/>
    <x v="3"/>
    <x v="1"/>
    <x v="44"/>
    <x v="0"/>
    <s v="Envioclick- Envia"/>
    <s v="2629360 - 954101021051 / 2629373 - 954101021055"/>
    <d v="2024-08-15T00:00:00"/>
    <d v="2024-08-16T00:00:00"/>
    <x v="0"/>
    <n v="0"/>
    <n v="1"/>
    <x v="3"/>
    <n v="118408"/>
    <m/>
  </r>
  <r>
    <d v="2024-08-15T00:00:00"/>
    <x v="7"/>
    <n v="33"/>
    <n v="2150"/>
    <x v="0"/>
    <s v="Andrea Marcela Cortés Bernal"/>
    <s v="TECUCT"/>
    <s v="TECU bandeja de cables"/>
    <n v="1"/>
    <x v="4"/>
    <x v="1"/>
    <x v="44"/>
    <x v="0"/>
    <s v="Envioclick- Coordinadora"/>
    <s v="2629398 - 84150948205"/>
    <d v="2024-08-15T00:00:00"/>
    <d v="2024-08-16T00:00:00"/>
    <x v="0"/>
    <n v="0"/>
    <n v="1"/>
    <x v="3"/>
    <n v="16631"/>
    <m/>
  </r>
  <r>
    <d v="2024-08-15T00:00:00"/>
    <x v="7"/>
    <n v="33"/>
    <n v="2151"/>
    <x v="0"/>
    <s v="Juan Pablo Valencia Isaza"/>
    <s v="TECUACO"/>
    <s v="Archivador TECU  Caramelo"/>
    <n v="1"/>
    <x v="3"/>
    <x v="10"/>
    <x v="21"/>
    <x v="0"/>
    <s v="Envioclick- Envia"/>
    <s v="2629810 - 954101021233"/>
    <d v="2024-08-15T00:00:00"/>
    <d v="2024-08-16T00:00:00"/>
    <x v="0"/>
    <n v="0"/>
    <n v="1"/>
    <x v="1"/>
    <n v="45289"/>
    <m/>
  </r>
  <r>
    <d v="2024-08-16T00:00:00"/>
    <x v="7"/>
    <n v="33"/>
    <n v="2152"/>
    <x v="0"/>
    <s v="Melina Mejia Bedoya"/>
    <s v="TECU3FNPRO"/>
    <s v="Electric Standing Desk  PRO Negro"/>
    <n v="1"/>
    <x v="0"/>
    <x v="0"/>
    <x v="0"/>
    <x v="0"/>
    <s v="Envioclick- Coordinadora"/>
    <s v="2719009 - 84150979286"/>
    <d v="2024-09-11T00:00:00"/>
    <d v="2024-09-12T00:00:00"/>
    <x v="0"/>
    <n v="21"/>
    <n v="22"/>
    <x v="0"/>
    <m/>
    <n v="43277"/>
  </r>
  <r>
    <d v="2024-08-16T00:00:00"/>
    <x v="7"/>
    <n v="33"/>
    <n v="2152"/>
    <x v="0"/>
    <s v="Melina Mejia Bedoya"/>
    <s v="TECUTRN6C"/>
    <s v="Superficie Escritorio Roble Negro 160x70 Clasico"/>
    <n v="1"/>
    <x v="1"/>
    <x v="0"/>
    <x v="0"/>
    <x v="0"/>
    <s v="Envioclick- Coordinadora"/>
    <s v="2719011 - 84150979288"/>
    <d v="2024-09-11T00:00:00"/>
    <d v="2024-09-12T00:00:00"/>
    <x v="0"/>
    <n v="21"/>
    <n v="22"/>
    <x v="0"/>
    <m/>
    <n v="24366"/>
  </r>
  <r>
    <d v="2024-08-20T00:00:00"/>
    <x v="7"/>
    <n v="34"/>
    <n v="2154"/>
    <x v="0"/>
    <s v="Rodrigo Andrés Arcila Murcia"/>
    <s v="TECUACO"/>
    <s v="Archivador TECU  Caramelo"/>
    <n v="1"/>
    <x v="3"/>
    <x v="1"/>
    <x v="1"/>
    <x v="0"/>
    <s v="Envioclick- Envia"/>
    <s v="2649461 - 954101023899"/>
    <d v="2024-08-21T00:00:00"/>
    <d v="2024-08-22T00:00:00"/>
    <x v="0"/>
    <n v="1"/>
    <n v="2"/>
    <x v="1"/>
    <n v="51312"/>
    <m/>
  </r>
  <r>
    <d v="2024-08-20T00:00:00"/>
    <x v="7"/>
    <n v="34"/>
    <n v="2155"/>
    <x v="0"/>
    <s v="Jairo Remolina"/>
    <s v="TECU2FNG"/>
    <s v="Electric Standing Desk GO Negro"/>
    <n v="1"/>
    <x v="0"/>
    <x v="7"/>
    <x v="17"/>
    <x v="0"/>
    <s v="Envioclick- Coordinadora"/>
    <s v="2651233 - 84150952060"/>
    <d v="2024-08-21T00:00:00"/>
    <d v="2024-08-22T00:00:00"/>
    <x v="0"/>
    <n v="1"/>
    <n v="2"/>
    <x v="1"/>
    <n v="52519"/>
    <m/>
  </r>
  <r>
    <d v="2024-08-20T00:00:00"/>
    <x v="7"/>
    <n v="34"/>
    <n v="2155"/>
    <x v="0"/>
    <s v="Jairo Remolina"/>
    <s v="TECUTRN2C"/>
    <s v="Superficie Escritorio Roble Negro 120x70 Clasico Small"/>
    <n v="1"/>
    <x v="1"/>
    <x v="7"/>
    <x v="17"/>
    <x v="0"/>
    <s v="Envioclick- Coordinadora"/>
    <s v="2651236 - 84150952063"/>
    <d v="2024-08-21T00:00:00"/>
    <d v="2024-08-24T00:00:00"/>
    <x v="0"/>
    <n v="1"/>
    <n v="4"/>
    <x v="0"/>
    <n v="32668"/>
    <m/>
  </r>
  <r>
    <d v="2024-08-20T00:00:00"/>
    <x v="7"/>
    <n v="34"/>
    <n v="2155"/>
    <x v="0"/>
    <s v="Jairo Remolina"/>
    <s v="TECUROD"/>
    <s v="Rodachines con freno para Standing desk x 4 UN"/>
    <n v="1"/>
    <x v="6"/>
    <x v="7"/>
    <x v="17"/>
    <x v="0"/>
    <s v="Envioclick- Coordinadora"/>
    <s v="2649472 - 84150951997"/>
    <d v="2024-08-21T00:00:00"/>
    <d v="2024-08-22T00:00:00"/>
    <x v="0"/>
    <n v="1"/>
    <n v="2"/>
    <x v="1"/>
    <n v="23032"/>
    <m/>
  </r>
  <r>
    <d v="2024-08-21T00:00:00"/>
    <x v="7"/>
    <n v="34"/>
    <n v="2156"/>
    <x v="0"/>
    <s v="Yorman Alberto Londoño trujillo"/>
    <s v="TECU3FGPRO"/>
    <s v="Electric Standing Desk  PRO Gris"/>
    <n v="1"/>
    <x v="0"/>
    <x v="19"/>
    <x v="43"/>
    <x v="0"/>
    <s v="Envioclick- Coordinadora"/>
    <s v="2651389 - 84150952156"/>
    <d v="2024-08-21T00:00:00"/>
    <d v="2024-08-22T00:00:00"/>
    <x v="0"/>
    <n v="0"/>
    <n v="1"/>
    <x v="1"/>
    <n v="34504"/>
    <m/>
  </r>
  <r>
    <d v="2024-08-21T00:00:00"/>
    <x v="7"/>
    <n v="34"/>
    <n v="2156"/>
    <x v="0"/>
    <s v="Yorman Alberto Londoño trujillo"/>
    <s v="TECUTCO3C"/>
    <s v="Superficie Escritorio Caramelo 130x70 Clasico"/>
    <n v="1"/>
    <x v="1"/>
    <x v="19"/>
    <x v="43"/>
    <x v="0"/>
    <s v="Envioclick- Coordinadora"/>
    <s v="2651392 - 84150952157"/>
    <d v="2024-08-21T00:00:00"/>
    <d v="2024-08-22T00:00:00"/>
    <x v="0"/>
    <n v="0"/>
    <n v="1"/>
    <x v="1"/>
    <n v="14589"/>
    <m/>
  </r>
  <r>
    <d v="2024-08-21T00:00:00"/>
    <x v="7"/>
    <n v="34"/>
    <n v="2157"/>
    <x v="0"/>
    <s v="Sebastian Restrepo"/>
    <s v="TECU3FBRO"/>
    <s v="Electric Standing Desk  PRO Blanco"/>
    <n v="1"/>
    <x v="0"/>
    <x v="4"/>
    <x v="5"/>
    <x v="0"/>
    <s v="Envioclick- Coordinadora"/>
    <s v="2651459 - 84150952182"/>
    <d v="2024-08-21T00:00:00"/>
    <d v="2024-08-22T00:00:00"/>
    <x v="0"/>
    <n v="0"/>
    <n v="1"/>
    <x v="1"/>
    <n v="42002"/>
    <m/>
  </r>
  <r>
    <d v="2024-08-21T00:00:00"/>
    <x v="7"/>
    <n v="34"/>
    <n v="2157"/>
    <x v="0"/>
    <s v="Sebastian Restrepo"/>
    <s v="TECUTCC20C"/>
    <s v="Superficie Escritorio Miel 200x70 Clasico"/>
    <n v="1"/>
    <x v="1"/>
    <x v="4"/>
    <x v="5"/>
    <x v="0"/>
    <s v="Envioclick- Coordinadora"/>
    <s v="2651460 - 84150952184"/>
    <d v="2024-08-21T00:00:00"/>
    <d v="2024-08-23T00:00:00"/>
    <x v="0"/>
    <n v="0"/>
    <n v="2"/>
    <x v="1"/>
    <n v="25521"/>
    <m/>
  </r>
  <r>
    <d v="2024-08-22T00:00:00"/>
    <x v="7"/>
    <n v="34"/>
    <n v="2158"/>
    <x v="0"/>
    <s v="Camilo Calvache"/>
    <s v="TECU2FNG"/>
    <s v="Electric Standing Desk GO Negro"/>
    <n v="1"/>
    <x v="0"/>
    <x v="1"/>
    <x v="1"/>
    <x v="0"/>
    <s v="Envioclick- Coordinadora"/>
    <s v="2654109 - 84150953160"/>
    <d v="2024-08-22T00:00:00"/>
    <d v="2024-08-23T00:00:00"/>
    <x v="0"/>
    <n v="0"/>
    <n v="1"/>
    <x v="1"/>
    <n v="40734"/>
    <m/>
  </r>
  <r>
    <d v="2024-08-22T00:00:00"/>
    <x v="7"/>
    <n v="34"/>
    <n v="2158"/>
    <x v="0"/>
    <s v="Camilo Calvache"/>
    <s v="TECUTRN4C"/>
    <s v="Superficie Escritorio Roble Negro 140x70 Clasico"/>
    <n v="1"/>
    <x v="1"/>
    <x v="1"/>
    <x v="1"/>
    <x v="0"/>
    <s v="Envioclick- Coordinadora"/>
    <s v="2654110 - 84150953161"/>
    <d v="2024-08-22T00:00:00"/>
    <d v="2024-08-23T00:00:00"/>
    <x v="0"/>
    <n v="0"/>
    <n v="1"/>
    <x v="1"/>
    <n v="22988"/>
    <m/>
  </r>
  <r>
    <d v="2024-08-22T00:00:00"/>
    <x v="7"/>
    <n v="34"/>
    <n v="2159"/>
    <x v="0"/>
    <s v="Albeiro Romero"/>
    <s v="TECU3FGPRO"/>
    <s v="Electric Standing Desk  PRO Gris"/>
    <n v="1"/>
    <x v="0"/>
    <x v="1"/>
    <x v="1"/>
    <x v="0"/>
    <s v="Envioclick- Coordinadora"/>
    <s v="2654626 - 84150953413"/>
    <d v="2024-08-22T00:00:00"/>
    <d v="2024-08-23T00:00:00"/>
    <x v="0"/>
    <n v="0"/>
    <n v="1"/>
    <x v="1"/>
    <n v="42002"/>
    <m/>
  </r>
  <r>
    <d v="2024-08-22T00:00:00"/>
    <x v="7"/>
    <n v="34"/>
    <n v="2159"/>
    <x v="0"/>
    <s v="Albeiro Romero"/>
    <s v="TECUTB5M"/>
    <s v="Superficie Escritorio Blanco(Niebla) 150x70 Moderno"/>
    <n v="1"/>
    <x v="1"/>
    <x v="1"/>
    <x v="1"/>
    <x v="0"/>
    <s v="Envioclick- Coordinadora"/>
    <s v="2654627 - 84150953414"/>
    <d v="2024-08-22T00:00:00"/>
    <d v="2024-08-23T00:00:00"/>
    <x v="0"/>
    <n v="0"/>
    <n v="1"/>
    <x v="1"/>
    <n v="22988"/>
    <m/>
  </r>
  <r>
    <d v="2024-08-22T00:00:00"/>
    <x v="7"/>
    <n v="34"/>
    <n v="2160"/>
    <x v="0"/>
    <s v="Javier Peláez Grisales"/>
    <s v="TECURCC"/>
    <s v="Repisa TECU  Miel"/>
    <n v="1"/>
    <x v="2"/>
    <x v="0"/>
    <x v="3"/>
    <x v="0"/>
    <s v="Envioclick- Coordinadora"/>
    <s v="2654585 - 84150953392"/>
    <d v="2024-08-22T00:00:00"/>
    <d v="2024-08-23T00:00:00"/>
    <x v="0"/>
    <n v="0"/>
    <n v="1"/>
    <x v="1"/>
    <n v="22355"/>
    <m/>
  </r>
  <r>
    <d v="2024-08-24T00:00:00"/>
    <x v="7"/>
    <n v="34"/>
    <n v="2161"/>
    <x v="0"/>
    <s v="Javier Peláez Grisales"/>
    <s v="TECURCC"/>
    <s v="Repisa TECU  Miel"/>
    <n v="1"/>
    <x v="2"/>
    <x v="0"/>
    <x v="3"/>
    <x v="0"/>
    <s v="Envioclick- Coordinadora"/>
    <s v="2661522 - 84150957020"/>
    <d v="2024-08-26T00:00:00"/>
    <d v="2024-08-27T00:00:00"/>
    <x v="0"/>
    <n v="1"/>
    <n v="2"/>
    <x v="1"/>
    <n v="22355"/>
    <m/>
  </r>
  <r>
    <d v="2024-08-25T00:00:00"/>
    <x v="7"/>
    <n v="35"/>
    <n v="2162"/>
    <x v="0"/>
    <s v="Ling Lung"/>
    <s v="TECU3FBRO"/>
    <s v="Electric Standing Desk  PRO Blanco"/>
    <n v="1"/>
    <x v="0"/>
    <x v="0"/>
    <x v="0"/>
    <x v="0"/>
    <s v="Envioclick- Coordinadora"/>
    <s v="2661880 - 84150957237"/>
    <d v="2024-08-26T00:00:00"/>
    <d v="2024-08-27T00:00:00"/>
    <x v="0"/>
    <n v="0"/>
    <n v="1"/>
    <x v="1"/>
    <n v="42002"/>
    <m/>
  </r>
  <r>
    <d v="2024-08-25T00:00:00"/>
    <x v="7"/>
    <n v="35"/>
    <n v="2162"/>
    <x v="0"/>
    <s v="Ling Lung"/>
    <s v="TECUTCC8M"/>
    <s v="Superficie Escritorio Miel 180x70 Moderno"/>
    <n v="1"/>
    <x v="1"/>
    <x v="0"/>
    <x v="0"/>
    <x v="0"/>
    <s v="Envioclick- Coordinadora"/>
    <s v="2661881 - 84150957238"/>
    <d v="2024-08-26T00:00:00"/>
    <d v="2024-08-27T00:00:00"/>
    <x v="0"/>
    <n v="0"/>
    <n v="1"/>
    <x v="1"/>
    <n v="25521"/>
    <m/>
  </r>
  <r>
    <d v="2024-08-27T00:00:00"/>
    <x v="7"/>
    <n v="35"/>
    <n v="2163"/>
    <x v="0"/>
    <s v="XIMENA DUQUE VALENCIA / KORADI SAS"/>
    <s v="TECULFN2"/>
    <s v="Electric Standing Desk | Escritorio Ajustable En L Frame Negro 2.0"/>
    <n v="1"/>
    <x v="0"/>
    <x v="1"/>
    <x v="1"/>
    <x v="0"/>
    <s v="Envioclick- Coordinadora"/>
    <s v="2719022 - 84150979291"/>
    <d v="2024-09-11T00:00:00"/>
    <d v="2024-09-12T00:00:00"/>
    <x v="0"/>
    <n v="13"/>
    <n v="14"/>
    <x v="0"/>
    <m/>
    <n v="63147"/>
  </r>
  <r>
    <d v="2024-08-27T00:00:00"/>
    <x v="7"/>
    <n v="35"/>
    <n v="2163"/>
    <x v="0"/>
    <s v="XIMENA DUQUE VALENCIA / KORADI SAS"/>
    <s v="TECUTLCOS"/>
    <s v="Superficie Escritorio en L Miel Set completo"/>
    <n v="1"/>
    <x v="1"/>
    <x v="1"/>
    <x v="1"/>
    <x v="0"/>
    <s v="Envioclick- Coordinadora"/>
    <s v="2719024 - 84150979292"/>
    <d v="2024-09-11T00:00:00"/>
    <d v="2024-09-12T00:00:00"/>
    <x v="0"/>
    <n v="13"/>
    <n v="14"/>
    <x v="0"/>
    <m/>
    <n v="27069"/>
  </r>
  <r>
    <d v="2024-08-28T00:00:00"/>
    <x v="7"/>
    <n v="35"/>
    <n v="2167"/>
    <x v="0"/>
    <s v="Cristian Steven Chavarro Rico"/>
    <s v="TECU3FNPRO"/>
    <s v="Electric Standing Desk  PRO Negro"/>
    <n v="1"/>
    <x v="0"/>
    <x v="0"/>
    <x v="10"/>
    <x v="0"/>
    <s v="Envioclick- Coordinadora"/>
    <s v="2719066 - 84150979311"/>
    <d v="2024-09-11T00:00:00"/>
    <d v="2024-09-14T00:00:00"/>
    <x v="0"/>
    <n v="12"/>
    <n v="15"/>
    <x v="0"/>
    <m/>
    <n v="43277"/>
  </r>
  <r>
    <d v="2024-08-28T00:00:00"/>
    <x v="7"/>
    <n v="35"/>
    <n v="2167"/>
    <x v="0"/>
    <s v="Cristian Steven Chavarro Rico"/>
    <s v="TECUTB7C"/>
    <s v="Superficie Escritorio Blanco (Niebla) 170x70 Clasico"/>
    <n v="1"/>
    <x v="1"/>
    <x v="0"/>
    <x v="10"/>
    <x v="0"/>
    <s v="Envioclick- Coordinadora"/>
    <s v="2719067 - 84150979312"/>
    <d v="2024-09-11T00:00:00"/>
    <d v="2024-09-13T00:00:00"/>
    <x v="0"/>
    <n v="12"/>
    <n v="14"/>
    <x v="0"/>
    <m/>
    <n v="27069"/>
  </r>
  <r>
    <d v="2024-08-28T00:00:00"/>
    <x v="7"/>
    <n v="35"/>
    <n v="2167"/>
    <x v="0"/>
    <s v="Cristian Steven Chavarro Rico"/>
    <s v="TECUCT"/>
    <s v="TECU bandeja de cables"/>
    <n v="1"/>
    <x v="4"/>
    <x v="0"/>
    <x v="10"/>
    <x v="0"/>
    <s v="Envioclick- Coordinadora"/>
    <s v="2719351 - 84150979425"/>
    <d v="2024-09-11T00:00:00"/>
    <d v="2024-09-12T00:00:00"/>
    <x v="0"/>
    <n v="12"/>
    <n v="13"/>
    <x v="0"/>
    <m/>
    <n v="25690"/>
  </r>
  <r>
    <d v="2024-08-28T00:00:00"/>
    <x v="7"/>
    <n v="35"/>
    <n v="2168"/>
    <x v="0"/>
    <s v="David Barrera"/>
    <s v="TECU3FNPRO"/>
    <s v="Electric Standing Desk  PRO Negro"/>
    <n v="1"/>
    <x v="0"/>
    <x v="1"/>
    <x v="1"/>
    <x v="0"/>
    <s v="Envioclick- Coordinadora"/>
    <s v="2719397 - 84150979437"/>
    <d v="2024-09-11T00:00:00"/>
    <d v="2024-09-12T00:00:00"/>
    <x v="0"/>
    <n v="12"/>
    <n v="13"/>
    <x v="0"/>
    <m/>
    <n v="43277"/>
  </r>
  <r>
    <d v="2024-08-28T00:00:00"/>
    <x v="7"/>
    <n v="35"/>
    <n v="2168"/>
    <x v="0"/>
    <s v="David Barrera"/>
    <s v="TECUTCO3M"/>
    <s v="Superficie Escritorio Caramelo 130x70 Moderno"/>
    <n v="1"/>
    <x v="1"/>
    <x v="1"/>
    <x v="1"/>
    <x v="0"/>
    <s v="Envioclick- Coordinadora"/>
    <s v="2719400 - 84150979438"/>
    <d v="2024-09-11T00:00:00"/>
    <d v="2024-09-12T00:00:00"/>
    <x v="0"/>
    <n v="12"/>
    <n v="13"/>
    <x v="0"/>
    <m/>
    <n v="29097"/>
  </r>
  <r>
    <d v="2024-08-28T00:00:00"/>
    <x v="7"/>
    <n v="35"/>
    <n v="2168"/>
    <x v="0"/>
    <s v="David Barrera"/>
    <s v="TECUBLS"/>
    <s v="TECU Laptop Stand B"/>
    <n v="1"/>
    <x v="4"/>
    <x v="1"/>
    <x v="1"/>
    <x v="0"/>
    <s v="Envioclick- Coordinadora"/>
    <s v="2719402 - 84150979439"/>
    <d v="2024-09-11T00:00:00"/>
    <d v="2024-09-12T00:00:00"/>
    <x v="0"/>
    <n v="12"/>
    <n v="13"/>
    <x v="0"/>
    <m/>
    <n v="25593"/>
  </r>
  <r>
    <d v="2024-08-28T00:00:00"/>
    <x v="7"/>
    <n v="35"/>
    <n v="2168"/>
    <x v="0"/>
    <s v="David Barrera"/>
    <s v="TECUCT"/>
    <s v="TECU bandeja de cables"/>
    <n v="1"/>
    <x v="4"/>
    <x v="1"/>
    <x v="1"/>
    <x v="0"/>
    <s v="Envioclick- Coordinadora"/>
    <s v="2719414 - 84150979447"/>
    <d v="2024-09-11T00:00:00"/>
    <d v="2024-09-12T00:00:00"/>
    <x v="0"/>
    <n v="12"/>
    <n v="13"/>
    <x v="0"/>
    <m/>
    <n v="25690"/>
  </r>
  <r>
    <d v="2024-08-28T00:00:00"/>
    <x v="7"/>
    <n v="35"/>
    <n v="2168"/>
    <x v="0"/>
    <s v="David Barrera"/>
    <s v="TECUBDPA"/>
    <s v="TECU Desk Pad B Negro Azul"/>
    <n v="1"/>
    <x v="4"/>
    <x v="1"/>
    <x v="1"/>
    <x v="0"/>
    <s v="Envioclick- Coordinadora"/>
    <s v="2719407 - 84150979440"/>
    <d v="2024-09-11T00:00:00"/>
    <d v="2024-09-12T00:00:00"/>
    <x v="0"/>
    <n v="12"/>
    <n v="13"/>
    <x v="0"/>
    <m/>
    <n v="17079"/>
  </r>
  <r>
    <d v="2024-08-28T00:00:00"/>
    <x v="7"/>
    <n v="35"/>
    <n v="2168"/>
    <x v="0"/>
    <s v="David Barrera"/>
    <s v="TECUACO"/>
    <s v="Archivador TECU  Caramelo"/>
    <n v="1"/>
    <x v="3"/>
    <x v="1"/>
    <x v="1"/>
    <x v="0"/>
    <s v="Envioclick- Envia"/>
    <s v="2719422 - 954101038056"/>
    <d v="2024-09-11T00:00:00"/>
    <d v="2024-09-13T00:00:00"/>
    <x v="0"/>
    <n v="12"/>
    <n v="14"/>
    <x v="0"/>
    <m/>
    <n v="43847"/>
  </r>
  <r>
    <d v="2024-08-29T00:00:00"/>
    <x v="7"/>
    <n v="35"/>
    <n v="2169"/>
    <x v="0"/>
    <s v="Carlos Restrepo"/>
    <s v="TECU2FNG"/>
    <s v="Electric Standing Desk GO Negro"/>
    <n v="1"/>
    <x v="0"/>
    <x v="1"/>
    <x v="14"/>
    <x v="0"/>
    <s v="Envioclick- Coordinadora"/>
    <s v="2672800 - 84150963227"/>
    <d v="2024-08-29T00:00:00"/>
    <d v="2024-08-30T00:00:00"/>
    <x v="0"/>
    <n v="0"/>
    <n v="1"/>
    <x v="1"/>
    <n v="40734"/>
    <m/>
  </r>
  <r>
    <d v="2024-08-29T00:00:00"/>
    <x v="7"/>
    <n v="35"/>
    <n v="2169"/>
    <x v="0"/>
    <s v="Carlos Restrepo"/>
    <s v="TECUTCO4C"/>
    <s v="Superficie Escritorio Caramelo 140x70 Clasico"/>
    <n v="1"/>
    <x v="1"/>
    <x v="1"/>
    <x v="14"/>
    <x v="0"/>
    <s v="Envioclick- Coordinadora"/>
    <s v="2672803 - 84150963228"/>
    <d v="2024-08-29T00:00:00"/>
    <d v="2024-08-30T00:00:00"/>
    <x v="0"/>
    <n v="0"/>
    <n v="1"/>
    <x v="1"/>
    <n v="22988"/>
    <m/>
  </r>
  <r>
    <d v="2024-08-29T00:00:00"/>
    <x v="7"/>
    <n v="35"/>
    <n v="2170"/>
    <x v="0"/>
    <s v="Carlos Restrepo"/>
    <s v="TECUDSN"/>
    <s v="TECU Desk Stool Negra Silla ajustable"/>
    <n v="1"/>
    <x v="5"/>
    <x v="1"/>
    <x v="14"/>
    <x v="0"/>
    <s v="Envioclick- Coordinadora"/>
    <s v="2672826 - 84150963240"/>
    <d v="2024-08-29T00:00:00"/>
    <d v="2024-08-30T00:00:00"/>
    <x v="0"/>
    <n v="0"/>
    <n v="1"/>
    <x v="1"/>
    <n v="25935"/>
    <m/>
  </r>
  <r>
    <d v="2024-08-29T00:00:00"/>
    <x v="7"/>
    <n v="35"/>
    <n v="2171"/>
    <x v="0"/>
    <s v="Bryce Karasawa"/>
    <s v="TECU3FNPRO"/>
    <s v="Electric Standing Desk  PRO Negro"/>
    <n v="1"/>
    <x v="0"/>
    <x v="0"/>
    <x v="3"/>
    <x v="0"/>
    <s v="Envioclick- Coordinadora"/>
    <s v="2719439 - 84150979462"/>
    <d v="2024-09-11T00:00:00"/>
    <d v="2024-09-12T00:00:00"/>
    <x v="0"/>
    <n v="11"/>
    <n v="12"/>
    <x v="0"/>
    <m/>
    <n v="41925"/>
  </r>
  <r>
    <d v="2024-08-29T00:00:00"/>
    <x v="7"/>
    <n v="35"/>
    <n v="2171"/>
    <x v="0"/>
    <s v="Bryce Karasawa"/>
    <s v="TECUTRM8C"/>
    <s v="Superficie Roble Miel 180x70 Clasico"/>
    <n v="1"/>
    <x v="1"/>
    <x v="0"/>
    <x v="3"/>
    <x v="0"/>
    <s v="Envioclick- Coordinadora"/>
    <s v="2719440 - 84150979463"/>
    <d v="2024-09-11T00:00:00"/>
    <d v="2024-09-12T00:00:00"/>
    <x v="0"/>
    <n v="11"/>
    <n v="12"/>
    <x v="0"/>
    <m/>
    <n v="27069"/>
  </r>
  <r>
    <d v="2024-08-29T00:00:00"/>
    <x v="7"/>
    <n v="35"/>
    <n v="2171"/>
    <x v="0"/>
    <s v="Bryce Karasawa"/>
    <s v="TECUCT"/>
    <s v="TECU bandeja de cables"/>
    <n v="1"/>
    <x v="4"/>
    <x v="0"/>
    <x v="3"/>
    <x v="0"/>
    <s v="Envioclick- Coordinadora"/>
    <s v="2720286 - 84150979910"/>
    <d v="2024-09-11T00:00:00"/>
    <d v="2024-09-12T00:00:00"/>
    <x v="0"/>
    <n v="11"/>
    <n v="12"/>
    <x v="0"/>
    <m/>
    <n v="25690"/>
  </r>
  <r>
    <d v="2024-08-29T00:00:00"/>
    <x v="7"/>
    <n v="35"/>
    <n v="2172"/>
    <x v="0"/>
    <s v="Marcela Ocampo Quintero"/>
    <s v="TECU2FNG"/>
    <s v="Electric Standing Desk GO Negro"/>
    <n v="1"/>
    <x v="0"/>
    <x v="1"/>
    <x v="1"/>
    <x v="0"/>
    <s v="Envioclick- Coordinadora"/>
    <s v="2675411 - 84150964727"/>
    <d v="2024-08-29T00:00:00"/>
    <d v="2024-08-30T00:00:00"/>
    <x v="0"/>
    <n v="0"/>
    <n v="1"/>
    <x v="1"/>
    <n v="40734"/>
    <m/>
  </r>
  <r>
    <d v="2024-08-29T00:00:00"/>
    <x v="7"/>
    <n v="35"/>
    <n v="2172"/>
    <x v="0"/>
    <s v="Marcela Ocampo Quintero"/>
    <s v="TECUTCC4C"/>
    <s v="Superficie Escritorio Miel 140x70 Clasico"/>
    <n v="1"/>
    <x v="1"/>
    <x v="1"/>
    <x v="1"/>
    <x v="0"/>
    <s v="Envioclick- Coordinadora"/>
    <s v="2675414 - 84150964729"/>
    <d v="2024-08-29T00:00:00"/>
    <d v="2024-08-30T00:00:00"/>
    <x v="0"/>
    <n v="0"/>
    <n v="1"/>
    <x v="1"/>
    <n v="22988"/>
    <m/>
  </r>
  <r>
    <d v="2024-08-30T00:00:00"/>
    <x v="7"/>
    <n v="35"/>
    <n v="2173"/>
    <x v="0"/>
    <s v="Hugo Bayona"/>
    <s v="TECU3FNPRO"/>
    <s v="Electric Standing Desk  PRO Negro"/>
    <n v="1"/>
    <x v="0"/>
    <x v="4"/>
    <x v="5"/>
    <x v="0"/>
    <s v="Envioclick- Coordinadora"/>
    <s v="2719446 - 84150979467"/>
    <d v="2024-09-11T00:00:00"/>
    <d v="2024-09-13T00:00:00"/>
    <x v="0"/>
    <n v="10"/>
    <n v="12"/>
    <x v="0"/>
    <m/>
    <n v="43277"/>
  </r>
  <r>
    <d v="2024-08-30T00:00:00"/>
    <x v="7"/>
    <n v="35"/>
    <n v="2173"/>
    <x v="0"/>
    <s v="Hugo Bayona"/>
    <s v="TECUTCC8M"/>
    <s v="Superficie Escritorio Miel 180x70 Moderno"/>
    <n v="1"/>
    <x v="1"/>
    <x v="4"/>
    <x v="5"/>
    <x v="0"/>
    <s v="Envioclick- Coordinadora"/>
    <s v="2719448 - 84150979468"/>
    <d v="2024-09-11T00:00:00"/>
    <d v="2024-09-12T00:00:00"/>
    <x v="0"/>
    <n v="10"/>
    <n v="11"/>
    <x v="0"/>
    <m/>
    <n v="27069"/>
  </r>
  <r>
    <d v="2024-08-31T00:00:00"/>
    <x v="7"/>
    <n v="35"/>
    <n v="2174"/>
    <x v="0"/>
    <s v="Juan Esteban Hernández"/>
    <s v="TECU2FNG"/>
    <s v="Electric Standing Desk GO Negro"/>
    <n v="1"/>
    <x v="0"/>
    <x v="1"/>
    <x v="1"/>
    <x v="0"/>
    <s v="Envioclick- Coordinadora"/>
    <s v="2687519 - 84150969064"/>
    <d v="2024-09-02T00:00:00"/>
    <d v="2024-09-03T00:00:00"/>
    <x v="0"/>
    <n v="1"/>
    <n v="2"/>
    <x v="1"/>
    <n v="41925"/>
    <m/>
  </r>
  <r>
    <d v="2024-08-31T00:00:00"/>
    <x v="7"/>
    <n v="35"/>
    <n v="2174"/>
    <x v="0"/>
    <s v="Juan Esteban Hernández"/>
    <s v="TECUTCO4C"/>
    <s v="Superficie Escritorio Caramelo 140x70 Clasico"/>
    <n v="1"/>
    <x v="1"/>
    <x v="1"/>
    <x v="1"/>
    <x v="0"/>
    <s v="Envioclick- Coordinadora"/>
    <s v="2687521 - 84150969066"/>
    <d v="2024-09-02T00:00:00"/>
    <d v="2024-09-03T00:00:00"/>
    <x v="0"/>
    <n v="1"/>
    <n v="2"/>
    <x v="1"/>
    <n v="24366"/>
    <m/>
  </r>
  <r>
    <d v="2024-08-31T00:00:00"/>
    <x v="7"/>
    <n v="35"/>
    <n v="2175"/>
    <x v="0"/>
    <s v="Carlos Restrepo"/>
    <s v="TECUBDPA"/>
    <s v="TECU Desk Pad B Negro Azul"/>
    <n v="1"/>
    <x v="4"/>
    <x v="1"/>
    <x v="14"/>
    <x v="0"/>
    <s v="Envioclick- Coordinadora"/>
    <s v="2687544 - 84150969078"/>
    <d v="2024-09-02T00:00:00"/>
    <d v="2024-09-04T00:00:00"/>
    <x v="0"/>
    <n v="1"/>
    <n v="3"/>
    <x v="1"/>
    <n v="17079"/>
    <m/>
  </r>
  <r>
    <d v="2024-08-28T00:00:00"/>
    <x v="7"/>
    <n v="35"/>
    <n v="2132"/>
    <x v="5"/>
    <s v="Juan Pablo Jiménez Pérez"/>
    <s v="TECU3FGPRO"/>
    <s v="Electric Standing Desk  PRO Gris"/>
    <n v="1"/>
    <x v="0"/>
    <x v="1"/>
    <x v="1"/>
    <x v="0"/>
    <s v="Envioclick- Coordinadora"/>
    <s v="2674702 - 84150964355"/>
    <d v="2024-08-29T00:00:00"/>
    <d v="2024-08-30T00:00:00"/>
    <x v="0"/>
    <n v="1"/>
    <n v="2"/>
    <x v="1"/>
    <n v="42002"/>
    <m/>
  </r>
  <r>
    <d v="2024-09-02T00:00:00"/>
    <x v="8"/>
    <n v="36"/>
    <n v="2177"/>
    <x v="0"/>
    <s v="Rolando Cogollo"/>
    <s v="TECUACC"/>
    <s v="Archivador TECU  Miel"/>
    <n v="1"/>
    <x v="3"/>
    <x v="1"/>
    <x v="1"/>
    <x v="0"/>
    <s v="Envioclick- Envia"/>
    <s v="2706712 - 954101034282"/>
    <d v="2024-09-09T00:00:00"/>
    <d v="2024-09-10T00:00:00"/>
    <x v="0"/>
    <n v="6"/>
    <n v="7"/>
    <x v="0"/>
    <n v="43847"/>
    <s v="Demora envio por el paro"/>
  </r>
  <r>
    <d v="2024-09-02T00:00:00"/>
    <x v="8"/>
    <n v="36"/>
    <n v="2177"/>
    <x v="0"/>
    <s v="Rolando Cogollo"/>
    <s v="TECUROD"/>
    <s v="Rodachines con freno para Standing desk x 4 UN"/>
    <n v="1"/>
    <x v="6"/>
    <x v="1"/>
    <x v="1"/>
    <x v="0"/>
    <s v="Envioclick- Coordinadora"/>
    <s v="Envio con el arch*ivador"/>
    <d v="2024-09-09T00:00:00"/>
    <d v="2024-09-10T00:00:00"/>
    <x v="0"/>
    <n v="6"/>
    <n v="7"/>
    <x v="0"/>
    <m/>
    <s v="Demora envio por el paro"/>
  </r>
  <r>
    <d v="2024-09-03T00:00:00"/>
    <x v="8"/>
    <n v="36"/>
    <n v="2178"/>
    <x v="0"/>
    <s v="Jairo Andres Mora Santos"/>
    <s v="TECUDSN"/>
    <s v="TECU Desk Stool Negra Silla ajustable"/>
    <n v="1"/>
    <x v="5"/>
    <x v="7"/>
    <x v="17"/>
    <x v="0"/>
    <s v="Envioclick- Coordinadora"/>
    <s v="2692190 - 84150971088"/>
    <d v="2024-09-03T00:00:00"/>
    <d v="2024-09-10T00:00:00"/>
    <x v="0"/>
    <n v="0"/>
    <n v="6"/>
    <x v="0"/>
    <n v="36690"/>
    <m/>
  </r>
  <r>
    <d v="2024-09-03T00:00:00"/>
    <x v="8"/>
    <n v="36"/>
    <n v="2179"/>
    <x v="0"/>
    <s v="Sebastian Zambrano Torres"/>
    <s v="TECUACO"/>
    <s v="Archivador TECU  Caramelo"/>
    <n v="1"/>
    <x v="3"/>
    <x v="1"/>
    <x v="1"/>
    <x v="0"/>
    <s v="Envioclick- Envia"/>
    <s v="2692165 - 954101032622"/>
    <d v="2024-09-03T00:00:00"/>
    <d v="2024-09-07T00:00:00"/>
    <x v="0"/>
    <n v="0"/>
    <n v="4"/>
    <x v="0"/>
    <n v="43847"/>
    <m/>
  </r>
  <r>
    <d v="2024-09-04T00:00:00"/>
    <x v="8"/>
    <n v="36"/>
    <n v="2180"/>
    <x v="0"/>
    <s v="Juan Angulo"/>
    <s v="TECUACC"/>
    <s v="Archivador TECU  Miel"/>
    <n v="1"/>
    <x v="3"/>
    <x v="2"/>
    <x v="2"/>
    <x v="0"/>
    <s v="Envioclick- Envia"/>
    <s v="2706900 - 954101034425"/>
    <d v="2024-09-09T00:00:00"/>
    <d v="2024-09-11T00:00:00"/>
    <x v="0"/>
    <n v="4"/>
    <n v="6"/>
    <x v="0"/>
    <n v="85376"/>
    <m/>
  </r>
  <r>
    <d v="2024-09-05T00:00:00"/>
    <x v="8"/>
    <n v="36"/>
    <n v="2181"/>
    <x v="0"/>
    <s v="Jenniffer Duitama"/>
    <s v="TECU3FNPRO"/>
    <s v="Electric Standing Desk  PRO Negro"/>
    <n v="1"/>
    <x v="0"/>
    <x v="1"/>
    <x v="45"/>
    <x v="0"/>
    <s v="Envioclick- Coordinadora"/>
    <s v="2719478 - 84150979486"/>
    <d v="2024-09-11T00:00:00"/>
    <d v="2024-09-12T00:00:00"/>
    <x v="0"/>
    <n v="5"/>
    <n v="6"/>
    <x v="0"/>
    <n v="43277"/>
    <m/>
  </r>
  <r>
    <d v="2024-09-05T00:00:00"/>
    <x v="8"/>
    <n v="36"/>
    <n v="2181"/>
    <x v="0"/>
    <s v="Jenniffer Duitama"/>
    <s v="TECUTRN6M"/>
    <s v="Superficie Escritorio Roble Negro 160x70 Moderno"/>
    <n v="1"/>
    <x v="1"/>
    <x v="1"/>
    <x v="45"/>
    <x v="0"/>
    <s v="Envioclick- Coordinadora"/>
    <s v="2719479 - 84150979487"/>
    <d v="2024-09-11T00:00:00"/>
    <d v="2024-09-13T00:00:00"/>
    <x v="0"/>
    <n v="5"/>
    <n v="7"/>
    <x v="0"/>
    <n v="24866"/>
    <m/>
  </r>
  <r>
    <d v="2024-09-06T00:00:00"/>
    <x v="8"/>
    <n v="36"/>
    <n v="2182"/>
    <x v="0"/>
    <s v="María Lucia Quintero"/>
    <s v="TECU2FBGO"/>
    <s v="Electric Standing Desk GO Blanco"/>
    <n v="1"/>
    <x v="0"/>
    <x v="1"/>
    <x v="1"/>
    <x v="0"/>
    <s v="Envioclick- Coordinadora"/>
    <s v="2708999 - 84150975437"/>
    <d v="2024-09-06T00:00:00"/>
    <d v="2024-09-09T00:00:00"/>
    <x v="0"/>
    <n v="0"/>
    <n v="2"/>
    <x v="1"/>
    <n v="41925"/>
    <m/>
  </r>
  <r>
    <d v="2024-09-06T00:00:00"/>
    <x v="8"/>
    <n v="36"/>
    <n v="2182"/>
    <x v="0"/>
    <s v="María Lucia Quintero"/>
    <s v="TECUTCC4C"/>
    <s v="Superficie Escritorio Miel 140x70 Clasico"/>
    <n v="1"/>
    <x v="1"/>
    <x v="1"/>
    <x v="1"/>
    <x v="0"/>
    <s v="Envioclick- Coordinadora"/>
    <s v="2709000 - 84150975438"/>
    <d v="2024-09-06T00:00:00"/>
    <d v="2024-09-09T00:00:00"/>
    <x v="0"/>
    <n v="0"/>
    <n v="2"/>
    <x v="1"/>
    <n v="24366"/>
    <m/>
  </r>
  <r>
    <d v="2024-09-06T00:00:00"/>
    <x v="8"/>
    <n v="36"/>
    <n v="2182"/>
    <x v="0"/>
    <s v="María Lucia Quintero"/>
    <s v="TECUCT"/>
    <s v="TECU bandeja de cables"/>
    <n v="1"/>
    <x v="4"/>
    <x v="1"/>
    <x v="1"/>
    <x v="0"/>
    <s v="Envioclick- Coordinadora"/>
    <s v="2709263 - 84150975541"/>
    <d v="2024-09-06T00:00:00"/>
    <d v="2024-09-09T00:00:00"/>
    <x v="0"/>
    <n v="0"/>
    <n v="2"/>
    <x v="1"/>
    <n v="25690"/>
    <m/>
  </r>
  <r>
    <d v="2024-09-06T00:00:00"/>
    <x v="8"/>
    <n v="36"/>
    <n v="2183"/>
    <x v="0"/>
    <s v="Fabian David Arias Muñoz"/>
    <s v="TECU2FNG"/>
    <s v="Electric Standing Desk GO Negro"/>
    <n v="1"/>
    <x v="0"/>
    <x v="14"/>
    <x v="29"/>
    <x v="0"/>
    <s v="Entrega directa"/>
    <s v="NA"/>
    <d v="2024-09-06T00:00:00"/>
    <d v="2024-09-06T00:00:00"/>
    <x v="0"/>
    <n v="0"/>
    <n v="0"/>
    <x v="1"/>
    <n v="25000"/>
    <m/>
  </r>
  <r>
    <d v="2024-09-06T00:00:00"/>
    <x v="8"/>
    <n v="36"/>
    <n v="2183"/>
    <x v="0"/>
    <s v="Fabian David Arias Muñoz"/>
    <s v="TECUTCO4C"/>
    <s v="Superficie Escritorio Caramelo 140x70 Clasico"/>
    <n v="1"/>
    <x v="1"/>
    <x v="14"/>
    <x v="29"/>
    <x v="0"/>
    <s v="Entrega directa"/>
    <s v="NA"/>
    <d v="2024-09-06T00:00:00"/>
    <d v="2024-09-06T00:00:00"/>
    <x v="0"/>
    <n v="0"/>
    <n v="0"/>
    <x v="1"/>
    <n v="25000"/>
    <m/>
  </r>
  <r>
    <d v="2024-09-09T00:00:00"/>
    <x v="8"/>
    <n v="37"/>
    <n v="2184"/>
    <x v="0"/>
    <s v="Serrano Martínez CMA SAS"/>
    <s v="TECULFN2"/>
    <s v="Electric Standing Desk | Escritorio Ajustable En L Frame Negro 2.0"/>
    <n v="1"/>
    <x v="0"/>
    <x v="1"/>
    <x v="1"/>
    <x v="0"/>
    <s v="Envioclick- Coordinadora"/>
    <s v="2719496 - 84150979500"/>
    <d v="2024-09-11T00:00:00"/>
    <d v="2024-09-13T00:00:00"/>
    <x v="0"/>
    <n v="2"/>
    <n v="4"/>
    <x v="0"/>
    <n v="63147"/>
    <m/>
  </r>
  <r>
    <d v="2024-09-09T00:00:00"/>
    <x v="8"/>
    <n v="37"/>
    <n v="2184"/>
    <x v="0"/>
    <s v="Serrano Martínez CMA SAS"/>
    <s v="TECUTLCOS"/>
    <s v="Superficie Escritorio en L Miel Set completo"/>
    <n v="1"/>
    <x v="1"/>
    <x v="1"/>
    <x v="1"/>
    <x v="0"/>
    <s v="Envioclick- Coordinadora"/>
    <s v="2719497 - 84150979501"/>
    <d v="2024-09-11T00:00:00"/>
    <d v="2024-09-12T00:00:00"/>
    <x v="0"/>
    <n v="2"/>
    <n v="3"/>
    <x v="1"/>
    <n v="27069"/>
    <m/>
  </r>
  <r>
    <d v="2024-09-09T00:00:00"/>
    <x v="8"/>
    <n v="37"/>
    <n v="2184"/>
    <x v="0"/>
    <s v="Serrano Martínez CMA SAS"/>
    <s v="TECUACC"/>
    <s v="Archivador TECU  Miel"/>
    <n v="1"/>
    <x v="3"/>
    <x v="1"/>
    <x v="1"/>
    <x v="0"/>
    <s v="Envioclick- Envia"/>
    <s v="2719493 - 954101038077"/>
    <d v="2024-09-11T00:00:00"/>
    <d v="2024-09-12T00:00:00"/>
    <x v="0"/>
    <n v="2"/>
    <n v="3"/>
    <x v="1"/>
    <n v="43847"/>
    <m/>
  </r>
  <r>
    <d v="2024-09-09T00:00:00"/>
    <x v="8"/>
    <n v="37"/>
    <n v="2186"/>
    <x v="0"/>
    <s v="Roberto Villadiego"/>
    <s v="TECU3FNPRO"/>
    <s v="Electric Standing Desk  PRO Negro"/>
    <n v="1"/>
    <x v="0"/>
    <x v="1"/>
    <x v="1"/>
    <x v="0"/>
    <s v="Envioclick- Coordinadora"/>
    <s v="2719510 - 84150979511"/>
    <d v="2024-09-11T00:00:00"/>
    <d v="2024-09-13T00:00:00"/>
    <x v="0"/>
    <n v="2"/>
    <n v="4"/>
    <x v="0"/>
    <n v="43277"/>
    <m/>
  </r>
  <r>
    <d v="2024-09-09T00:00:00"/>
    <x v="8"/>
    <n v="37"/>
    <n v="2186"/>
    <x v="0"/>
    <s v="Roberto Villadiego"/>
    <s v="TECUTCO5C"/>
    <s v="Superficie Escritorio Caramelo 150x70 Clasico"/>
    <n v="1"/>
    <x v="1"/>
    <x v="1"/>
    <x v="1"/>
    <x v="0"/>
    <s v="Envioclick- Coordinadora"/>
    <s v="2719512 - 84150979513"/>
    <d v="2024-09-11T00:00:00"/>
    <d v="2024-09-12T00:00:00"/>
    <x v="0"/>
    <n v="2"/>
    <n v="3"/>
    <x v="1"/>
    <n v="24366"/>
    <m/>
  </r>
  <r>
    <d v="2024-09-09T00:00:00"/>
    <x v="8"/>
    <n v="37"/>
    <n v="2186"/>
    <x v="0"/>
    <s v="Roberto Villadiego"/>
    <m/>
    <s v="Servicio de instalacion"/>
    <n v="1"/>
    <x v="7"/>
    <x v="1"/>
    <x v="1"/>
    <x v="0"/>
    <s v="NA"/>
    <s v="NA"/>
    <s v="NA"/>
    <s v="NA"/>
    <x v="0"/>
    <e v="#VALUE!"/>
    <e v="#VALUE!"/>
    <x v="4"/>
    <m/>
    <m/>
  </r>
  <r>
    <d v="2024-09-09T00:00:00"/>
    <x v="8"/>
    <n v="37"/>
    <n v="2187"/>
    <x v="0"/>
    <s v="John Jairo Castillo Cortes"/>
    <s v="TECU3FNPRO"/>
    <s v="Electric Standing Desk  PRO Negro"/>
    <n v="1"/>
    <x v="0"/>
    <x v="0"/>
    <x v="0"/>
    <x v="0"/>
    <s v="Envioclick- Coordinadora"/>
    <s v="2719527 - 84150979525"/>
    <d v="2024-09-12T00:00:00"/>
    <d v="2024-09-13T00:00:00"/>
    <x v="0"/>
    <n v="3"/>
    <n v="4"/>
    <x v="0"/>
    <n v="43277"/>
    <m/>
  </r>
  <r>
    <d v="2024-09-09T00:00:00"/>
    <x v="8"/>
    <n v="37"/>
    <n v="2187"/>
    <x v="0"/>
    <s v="John Jairo Castillo Cortes"/>
    <s v="TECUTRN8C"/>
    <s v="Superficie Escritorio Roble Negro 180x70 Clasico"/>
    <n v="1"/>
    <x v="1"/>
    <x v="0"/>
    <x v="0"/>
    <x v="0"/>
    <s v="Envioclick- Coordinadora"/>
    <s v="2719528 - 84150979526"/>
    <d v="2024-09-12T00:00:00"/>
    <d v="2024-09-13T00:00:00"/>
    <x v="0"/>
    <n v="3"/>
    <n v="4"/>
    <x v="0"/>
    <n v="27069"/>
    <s v="Cliente inicialmente pide 170 se cambio a 180 "/>
  </r>
  <r>
    <d v="2024-09-09T00:00:00"/>
    <x v="8"/>
    <n v="37"/>
    <n v="2188"/>
    <x v="0"/>
    <s v="Natalia Trujillo Gonzalez"/>
    <s v="TECULFN2"/>
    <s v="Electric Standing Desk | Escritorio Ajustable En L Frame Negro 2.0"/>
    <n v="1"/>
    <x v="0"/>
    <x v="0"/>
    <x v="10"/>
    <x v="0"/>
    <s v="Envioclick- Coordinadora"/>
    <s v="2719558 - 84150979539"/>
    <d v="2024-09-11T00:00:00"/>
    <d v="2024-09-12T00:00:00"/>
    <x v="0"/>
    <n v="2"/>
    <n v="3"/>
    <x v="1"/>
    <n v="63147"/>
    <m/>
  </r>
  <r>
    <d v="2024-09-09T00:00:00"/>
    <x v="8"/>
    <n v="37"/>
    <n v="2188"/>
    <x v="0"/>
    <s v="Natalia Trujillo Gonzalez"/>
    <s v="TECUTLCOS"/>
    <s v="Superficie Escritorio en L Miel Set completo"/>
    <n v="1"/>
    <x v="1"/>
    <x v="0"/>
    <x v="10"/>
    <x v="0"/>
    <s v="Envioclick- Coordinadora"/>
    <s v="2719560 - 84150979540"/>
    <d v="2024-09-11T00:00:00"/>
    <d v="2024-09-12T00:00:00"/>
    <x v="0"/>
    <n v="2"/>
    <n v="3"/>
    <x v="1"/>
    <n v="27069"/>
    <m/>
  </r>
  <r>
    <d v="2024-09-09T00:00:00"/>
    <x v="8"/>
    <n v="37"/>
    <n v="2189"/>
    <x v="0"/>
    <s v="JUAN CAMILO SEPULVEDA"/>
    <s v="TECU3FNPRO"/>
    <s v="Electric Standing Desk  PRO Negro"/>
    <n v="1"/>
    <x v="0"/>
    <x v="1"/>
    <x v="46"/>
    <x v="0"/>
    <s v="Envioclick- Coordinadora"/>
    <s v="2719576 - 84150979546"/>
    <d v="2024-09-11T00:00:00"/>
    <d v="2024-09-12T00:00:00"/>
    <x v="0"/>
    <n v="2"/>
    <n v="3"/>
    <x v="3"/>
    <n v="43277"/>
    <m/>
  </r>
  <r>
    <d v="2024-09-09T00:00:00"/>
    <x v="8"/>
    <n v="37"/>
    <n v="2189"/>
    <x v="0"/>
    <s v="JUAN CAMILO SEPULVEDA"/>
    <s v="TECUTCO8M"/>
    <s v="Superficie Escritorio Caramelo 180x70 Moderno"/>
    <n v="1"/>
    <x v="1"/>
    <x v="1"/>
    <x v="46"/>
    <x v="0"/>
    <s v="Envioclick- Coordinadora"/>
    <s v="2719578 - 84150979547"/>
    <d v="2024-09-11T00:00:00"/>
    <d v="2024-09-13T00:00:00"/>
    <x v="0"/>
    <n v="2"/>
    <n v="4"/>
    <x v="3"/>
    <n v="27069"/>
    <m/>
  </r>
  <r>
    <d v="2024-09-09T00:00:00"/>
    <x v="8"/>
    <n v="37"/>
    <n v="2190"/>
    <x v="0"/>
    <s v="John Jairo Castillo Cortes"/>
    <s v="TECUCT"/>
    <s v="TECU bandeja de cables"/>
    <n v="1"/>
    <x v="4"/>
    <x v="0"/>
    <x v="0"/>
    <x v="0"/>
    <s v="Envioclick- Coordinadora"/>
    <s v="2719599 - 84150979565"/>
    <d v="2024-09-12T00:00:00"/>
    <d v="2024-09-13T00:00:00"/>
    <x v="0"/>
    <n v="3"/>
    <n v="4"/>
    <x v="0"/>
    <n v="25690"/>
    <m/>
  </r>
  <r>
    <d v="2024-09-10T00:00:00"/>
    <x v="8"/>
    <n v="37"/>
    <n v="2192"/>
    <x v="0"/>
    <s v="Christian Camilo Pérez Bedoya"/>
    <s v="TECU2FNG"/>
    <s v="Electric Standing Desk GO Negro"/>
    <n v="1"/>
    <x v="0"/>
    <x v="14"/>
    <x v="29"/>
    <x v="0"/>
    <s v="Entrega directa"/>
    <s v="NA"/>
    <d v="2024-09-11T00:00:00"/>
    <d v="2024-09-11T00:00:00"/>
    <x v="0"/>
    <n v="1"/>
    <n v="1"/>
    <x v="1"/>
    <n v="25000"/>
    <m/>
  </r>
  <r>
    <d v="2024-09-10T00:00:00"/>
    <x v="8"/>
    <n v="37"/>
    <n v="2192"/>
    <x v="0"/>
    <s v="Christian Camilo Pérez Bedoya"/>
    <s v="TECUTRN2C"/>
    <s v="Superficie Escritorio Roble Negro 120x70 Clasico Small"/>
    <n v="1"/>
    <x v="1"/>
    <x v="14"/>
    <x v="29"/>
    <x v="0"/>
    <s v="Entrega directa"/>
    <s v="NA"/>
    <d v="2024-09-11T00:00:00"/>
    <d v="2024-09-11T00:00:00"/>
    <x v="0"/>
    <n v="1"/>
    <n v="1"/>
    <x v="1"/>
    <n v="25000"/>
    <m/>
  </r>
  <r>
    <d v="2024-09-12T00:00:00"/>
    <x v="8"/>
    <n v="37"/>
    <n v="2193"/>
    <x v="0"/>
    <s v="Cleider Viera"/>
    <s v="TECU3FNPRO"/>
    <s v="Electric Standing Desk  PRO Negro"/>
    <n v="1"/>
    <x v="0"/>
    <x v="0"/>
    <x v="3"/>
    <x v="0"/>
    <s v="Envioclick- Coordinadora"/>
    <s v="2721662 - 84150980476"/>
    <d v="2024-09-12T00:00:00"/>
    <d v="2024-09-13T00:00:00"/>
    <x v="0"/>
    <n v="0"/>
    <n v="1"/>
    <x v="1"/>
    <n v="43277"/>
    <m/>
  </r>
  <r>
    <d v="2024-09-13T00:00:00"/>
    <x v="8"/>
    <n v="37"/>
    <n v="2194"/>
    <x v="0"/>
    <s v="Stefan Krautwald"/>
    <s v="TECU3FGPRO"/>
    <s v="Electric Standing Desk  PRO Gris"/>
    <n v="1"/>
    <x v="0"/>
    <x v="0"/>
    <x v="3"/>
    <x v="0"/>
    <s v="Envioclick- Coordinadora"/>
    <s v="2724879 - 84150981947"/>
    <d v="2024-09-13T00:00:00"/>
    <d v="2024-09-14T00:00:00"/>
    <x v="0"/>
    <n v="0"/>
    <n v="1"/>
    <x v="1"/>
    <n v="43277"/>
    <m/>
  </r>
  <r>
    <d v="2024-09-13T00:00:00"/>
    <x v="8"/>
    <n v="37"/>
    <n v="2194"/>
    <x v="0"/>
    <s v="Stefan Krautwald"/>
    <s v="TECUTCO4C"/>
    <s v="Superficie Escritorio Caramelo 140x70 Clasico"/>
    <n v="1"/>
    <x v="1"/>
    <x v="0"/>
    <x v="3"/>
    <x v="0"/>
    <s v="Envioclick- Coordinadora"/>
    <s v="2724881 - 84150981949"/>
    <d v="2024-09-13T00:00:00"/>
    <d v="2024-09-14T00:00:00"/>
    <x v="0"/>
    <n v="0"/>
    <n v="1"/>
    <x v="1"/>
    <n v="24366"/>
    <m/>
  </r>
  <r>
    <d v="2024-09-16T00:00:00"/>
    <x v="8"/>
    <n v="38"/>
    <n v="2195"/>
    <x v="0"/>
    <s v="Andres Gutierrez Huerfano"/>
    <s v="TECU3FNPRO"/>
    <s v="Electric Standing Desk  PRO Negro"/>
    <n v="1"/>
    <x v="0"/>
    <x v="1"/>
    <x v="1"/>
    <x v="0"/>
    <s v="Envioclick- Coordinadora"/>
    <s v="2728353 - 84150983121"/>
    <d v="2024-09-16T00:00:00"/>
    <d v="2024-09-19T00:00:00"/>
    <x v="0"/>
    <n v="0"/>
    <n v="3"/>
    <x v="1"/>
    <n v="43277"/>
    <m/>
  </r>
  <r>
    <d v="2024-09-16T00:00:00"/>
    <x v="8"/>
    <n v="38"/>
    <n v="2195"/>
    <x v="0"/>
    <s v="Andres Gutierrez Huerfano"/>
    <s v="TECUTCO5M"/>
    <s v="Superficie Escritorio Caramelo 150x70 Moderno"/>
    <n v="1"/>
    <x v="1"/>
    <x v="1"/>
    <x v="1"/>
    <x v="0"/>
    <s v="Envioclick- Coordinadora"/>
    <s v="2728354 - 84150983122"/>
    <d v="2024-09-16T00:00:00"/>
    <d v="2024-09-19T00:00:00"/>
    <x v="0"/>
    <n v="0"/>
    <n v="3"/>
    <x v="1"/>
    <n v="24366"/>
    <m/>
  </r>
  <r>
    <d v="2024-09-16T00:00:00"/>
    <x v="8"/>
    <n v="38"/>
    <n v="2196"/>
    <x v="0"/>
    <s v="Shara María Bueno Ramírez"/>
    <s v="TECU2FNG"/>
    <s v="Electric Standing Desk GO Negro"/>
    <n v="1"/>
    <x v="0"/>
    <x v="14"/>
    <x v="29"/>
    <x v="0"/>
    <s v="Entrega directa"/>
    <s v="NA"/>
    <d v="2024-09-16T00:00:00"/>
    <d v="2024-09-16T00:00:00"/>
    <x v="0"/>
    <n v="0"/>
    <n v="0"/>
    <x v="1"/>
    <n v="25000"/>
    <m/>
  </r>
  <r>
    <d v="2024-09-16T00:00:00"/>
    <x v="8"/>
    <n v="38"/>
    <n v="2196"/>
    <x v="0"/>
    <s v="Shara María Bueno Ramírez"/>
    <s v="TECUTRN2C"/>
    <s v="Superficie Escritorio Roble Negro 120x70 Clasico Small"/>
    <n v="1"/>
    <x v="1"/>
    <x v="14"/>
    <x v="29"/>
    <x v="0"/>
    <s v="Entrega directa"/>
    <s v="NA"/>
    <d v="2024-09-16T00:00:00"/>
    <d v="2024-09-16T00:00:00"/>
    <x v="0"/>
    <n v="0"/>
    <n v="0"/>
    <x v="1"/>
    <n v="25000"/>
    <m/>
  </r>
  <r>
    <d v="2024-09-16T00:00:00"/>
    <x v="8"/>
    <n v="38"/>
    <n v="2197"/>
    <x v="0"/>
    <s v="Roberto Villadiego"/>
    <s v="TECUCT"/>
    <s v="TECU bandeja de cables"/>
    <n v="1"/>
    <x v="4"/>
    <x v="1"/>
    <x v="1"/>
    <x v="0"/>
    <s v="Envioclick- Coordinadora"/>
    <s v="2731733 - 84150984435"/>
    <d v="2024-09-17T00:00:00"/>
    <d v="2024-09-18T00:00:00"/>
    <x v="0"/>
    <n v="1"/>
    <n v="2"/>
    <x v="1"/>
    <n v="25690"/>
    <m/>
  </r>
  <r>
    <d v="2024-09-19T00:00:00"/>
    <x v="8"/>
    <n v="38"/>
    <n v="2198"/>
    <x v="0"/>
    <s v="Juan Esteban Aguedlo"/>
    <s v="TECU2FNG"/>
    <s v="Electric Standing Desk GO Negro"/>
    <n v="1"/>
    <x v="0"/>
    <x v="0"/>
    <x v="3"/>
    <x v="0"/>
    <s v="Envioclick- Coordinadora"/>
    <s v="2736521 - 84150986467"/>
    <d v="2024-09-19T00:00:00"/>
    <d v="2024-09-20T00:00:00"/>
    <x v="0"/>
    <n v="0"/>
    <n v="1"/>
    <x v="1"/>
    <n v="41925"/>
    <m/>
  </r>
  <r>
    <d v="2024-09-19T00:00:00"/>
    <x v="8"/>
    <n v="38"/>
    <n v="2198"/>
    <x v="0"/>
    <s v="Juan Esteban Aguedlo"/>
    <s v="TECUTCO4C"/>
    <s v="Superficie Escritorio Caramelo 140x70 Clasico"/>
    <n v="1"/>
    <x v="1"/>
    <x v="0"/>
    <x v="3"/>
    <x v="0"/>
    <s v="Envioclick- Coordinadora"/>
    <s v="2736523 - 84150986469"/>
    <d v="2024-09-19T00:00:00"/>
    <d v="2024-09-20T00:00:00"/>
    <x v="0"/>
    <n v="0"/>
    <n v="1"/>
    <x v="1"/>
    <n v="24366"/>
    <m/>
  </r>
  <r>
    <d v="2024-09-19T00:00:00"/>
    <x v="8"/>
    <n v="38"/>
    <n v="2198"/>
    <x v="0"/>
    <s v="Juan Esteban Aguedlo"/>
    <s v="TECUACO"/>
    <s v="Archivador TECU  Caramelo"/>
    <n v="1"/>
    <x v="3"/>
    <x v="0"/>
    <x v="3"/>
    <x v="0"/>
    <s v="Envioclick- Envia"/>
    <s v="2736536 - 954101043323"/>
    <d v="2024-09-19T00:00:00"/>
    <d v="2024-09-20T00:00:00"/>
    <x v="0"/>
    <n v="0"/>
    <n v="1"/>
    <x v="1"/>
    <n v="52482"/>
    <m/>
  </r>
  <r>
    <d v="2024-09-19T00:00:00"/>
    <x v="8"/>
    <n v="38"/>
    <n v="2198"/>
    <x v="0"/>
    <s v="Juan Esteban Aguedlo"/>
    <s v="TECURCO"/>
    <s v="Repisa TECU  Caramelo"/>
    <n v="1"/>
    <x v="2"/>
    <x v="0"/>
    <x v="3"/>
    <x v="0"/>
    <s v="Envioclick- Coordinadora"/>
    <s v="envio con la Superficie"/>
    <d v="2024-09-19T00:00:00"/>
    <d v="2024-09-20T00:00:00"/>
    <x v="0"/>
    <n v="0"/>
    <n v="1"/>
    <x v="1"/>
    <n v="0"/>
    <m/>
  </r>
  <r>
    <d v="2024-09-20T00:00:00"/>
    <x v="8"/>
    <n v="38"/>
    <n v="2199"/>
    <x v="0"/>
    <s v="Jose David Soba Loaiza"/>
    <s v="TECU3FNPRO"/>
    <s v="Electric Standing Desk  PRO Negro"/>
    <n v="1"/>
    <x v="0"/>
    <x v="1"/>
    <x v="1"/>
    <x v="0"/>
    <s v="Envioclick- Coordinadora"/>
    <s v="2738977 - 84150987414"/>
    <d v="2024-09-20T00:00:00"/>
    <d v="2024-09-21T00:00:00"/>
    <x v="0"/>
    <n v="0"/>
    <n v="1"/>
    <x v="1"/>
    <n v="43277"/>
    <m/>
  </r>
  <r>
    <d v="2024-09-20T00:00:00"/>
    <x v="8"/>
    <n v="38"/>
    <n v="2199"/>
    <x v="0"/>
    <s v="Jose David Soba Loaiza"/>
    <s v="TECUTCO5C"/>
    <s v="Superficie Escritorio Caramelo 150x70 Clasico"/>
    <n v="1"/>
    <x v="1"/>
    <x v="1"/>
    <x v="1"/>
    <x v="0"/>
    <s v="Envioclick- Coordinadora"/>
    <s v="2738978 - 84150987415"/>
    <d v="2024-09-20T00:00:00"/>
    <d v="2024-09-21T00:00:00"/>
    <x v="0"/>
    <n v="0"/>
    <n v="1"/>
    <x v="1"/>
    <n v="24366"/>
    <m/>
  </r>
  <r>
    <d v="2024-09-23T00:00:00"/>
    <x v="8"/>
    <n v="39"/>
    <n v="2200"/>
    <x v="0"/>
    <s v="Juan Esteban Hoyos"/>
    <s v="TECURCC"/>
    <s v="Repisa TECU  Miel"/>
    <n v="1"/>
    <x v="2"/>
    <x v="4"/>
    <x v="39"/>
    <x v="0"/>
    <s v="Envioclick- Coordinadora"/>
    <s v="2743567 - 84150989004"/>
    <d v="2024-09-23T00:00:00"/>
    <d v="2024-09-24T00:00:00"/>
    <x v="0"/>
    <n v="0"/>
    <n v="1"/>
    <x v="3"/>
    <n v="23690"/>
    <m/>
  </r>
  <r>
    <d v="2024-09-23T00:00:00"/>
    <x v="8"/>
    <n v="39"/>
    <n v="2201"/>
    <x v="0"/>
    <s v="Yurani Salamanca"/>
    <s v="TECU2FBGO"/>
    <s v="Electric Standing Desk GO Blanco"/>
    <n v="1"/>
    <x v="0"/>
    <x v="1"/>
    <x v="1"/>
    <x v="0"/>
    <s v="Envioclick- Coordinadora"/>
    <s v="2743074 - 84150988773"/>
    <d v="2024-09-23T00:00:00"/>
    <d v="2024-09-24T00:00:00"/>
    <x v="0"/>
    <n v="0"/>
    <n v="1"/>
    <x v="1"/>
    <n v="41925"/>
    <m/>
  </r>
  <r>
    <d v="2024-09-23T00:00:00"/>
    <x v="8"/>
    <n v="39"/>
    <n v="2201"/>
    <x v="0"/>
    <s v="Yurani Salamanca"/>
    <s v="TECUTB4C"/>
    <s v="Superficie Escritorio Blanco (Niebla) 140x70 Clasico"/>
    <n v="1"/>
    <x v="1"/>
    <x v="1"/>
    <x v="1"/>
    <x v="0"/>
    <s v="Envioclick- Coordinadora"/>
    <s v="2743076 - 84150988774"/>
    <d v="2024-09-23T00:00:00"/>
    <d v="2024-09-24T00:00:00"/>
    <x v="0"/>
    <n v="0"/>
    <n v="1"/>
    <x v="1"/>
    <n v="24366"/>
    <m/>
  </r>
  <r>
    <d v="2024-09-23T00:00:00"/>
    <x v="8"/>
    <n v="39"/>
    <n v="2201"/>
    <x v="0"/>
    <s v="Yurani Salamanca"/>
    <m/>
    <s v="Servicio de instalacion"/>
    <n v="1"/>
    <x v="7"/>
    <x v="1"/>
    <x v="1"/>
    <x v="0"/>
    <s v="NA"/>
    <s v="NA"/>
    <s v="NA"/>
    <s v="NA"/>
    <x v="0"/>
    <e v="#VALUE!"/>
    <e v="#VALUE!"/>
    <x v="4"/>
    <m/>
    <m/>
  </r>
  <r>
    <d v="2024-09-23T00:00:00"/>
    <x v="8"/>
    <n v="39"/>
    <n v="2202"/>
    <x v="0"/>
    <s v="Josdin Daniel Pinzon"/>
    <s v="TECU3FNPRO"/>
    <s v="Electric Standing Desk  PRO Negro"/>
    <n v="1"/>
    <x v="0"/>
    <x v="1"/>
    <x v="1"/>
    <x v="0"/>
    <s v="Envioclick- Coordinadora"/>
    <s v="2744030 - 84150989155"/>
    <d v="2024-09-23T00:00:00"/>
    <d v="2024-09-24T00:00:00"/>
    <x v="0"/>
    <n v="0"/>
    <n v="1"/>
    <x v="1"/>
    <n v="43277"/>
    <m/>
  </r>
  <r>
    <d v="2024-09-23T00:00:00"/>
    <x v="8"/>
    <n v="39"/>
    <n v="2202"/>
    <x v="0"/>
    <s v="Josdin Daniel Pinzon"/>
    <s v="TECUTCO8C"/>
    <s v="Superficie Escritorio Caramelo 180x70 Clasico"/>
    <n v="1"/>
    <x v="1"/>
    <x v="1"/>
    <x v="1"/>
    <x v="0"/>
    <s v="Envioclick- Coordinadora"/>
    <s v="2744031 - 84150989156"/>
    <d v="2024-09-23T00:00:00"/>
    <d v="2024-09-24T00:00:00"/>
    <x v="0"/>
    <n v="0"/>
    <n v="1"/>
    <x v="1"/>
    <n v="27069"/>
    <m/>
  </r>
  <r>
    <d v="2024-09-23T00:00:00"/>
    <x v="8"/>
    <n v="39"/>
    <n v="2202"/>
    <x v="0"/>
    <s v="Josdin Daniel Pinzon"/>
    <s v="TECUCT"/>
    <s v="TECU bandeja de cables"/>
    <n v="1"/>
    <x v="4"/>
    <x v="1"/>
    <x v="1"/>
    <x v="0"/>
    <s v="Envioclick- Coordinadora"/>
    <s v="2744139 - 84150989214"/>
    <d v="2024-09-23T00:00:00"/>
    <d v="2024-09-24T00:00:00"/>
    <x v="0"/>
    <n v="0"/>
    <n v="1"/>
    <x v="1"/>
    <n v="25593"/>
    <m/>
  </r>
  <r>
    <d v="2024-09-23T00:00:00"/>
    <x v="8"/>
    <n v="39"/>
    <n v="2203"/>
    <x v="0"/>
    <s v="Daniel Zapata Ramirez"/>
    <s v="TECU2FGGO"/>
    <s v="Electric Standing Desk GO Gris"/>
    <n v="1"/>
    <x v="0"/>
    <x v="0"/>
    <x v="12"/>
    <x v="0"/>
    <s v="Envioclick- Coordinadora"/>
    <s v="2744046 - 84150989163"/>
    <d v="2024-09-23T00:00:00"/>
    <d v="2024-09-24T00:00:00"/>
    <x v="0"/>
    <n v="0"/>
    <n v="1"/>
    <x v="1"/>
    <n v="41925"/>
    <m/>
  </r>
  <r>
    <d v="2024-09-23T00:00:00"/>
    <x v="8"/>
    <n v="39"/>
    <n v="2203"/>
    <x v="0"/>
    <s v="Daniel Zapata Ramirez"/>
    <s v="TECUTRN4C"/>
    <s v="Superficie Escritorio Roble Negro 140x70 Clasico"/>
    <n v="1"/>
    <x v="1"/>
    <x v="0"/>
    <x v="12"/>
    <x v="0"/>
    <s v="Envioclick- Coordinadora"/>
    <s v="2744047 - 84150989164"/>
    <d v="2024-09-23T00:00:00"/>
    <d v="2024-09-24T00:00:00"/>
    <x v="0"/>
    <n v="0"/>
    <n v="1"/>
    <x v="1"/>
    <n v="24366"/>
    <m/>
  </r>
  <r>
    <d v="2024-09-23T00:00:00"/>
    <x v="8"/>
    <n v="39"/>
    <n v="2204"/>
    <x v="0"/>
    <s v="FRANCYS LOPEZ"/>
    <s v="TECU2FNG"/>
    <s v="Electric Standing Desk GO Negro"/>
    <n v="1"/>
    <x v="0"/>
    <x v="0"/>
    <x v="3"/>
    <x v="0"/>
    <s v="Envioclick- Coordinadora"/>
    <s v="2744056 - 84150989168"/>
    <d v="2024-09-23T00:00:00"/>
    <d v="2024-09-24T00:00:00"/>
    <x v="0"/>
    <n v="0"/>
    <n v="1"/>
    <x v="1"/>
    <n v="41925"/>
    <m/>
  </r>
  <r>
    <d v="2024-09-23T00:00:00"/>
    <x v="8"/>
    <n v="39"/>
    <n v="2204"/>
    <x v="0"/>
    <s v="FRANCYS LOPEZ"/>
    <s v="TECUROD"/>
    <s v="Rodachines con freno para Standing desk x 4 UN"/>
    <n v="1"/>
    <x v="6"/>
    <x v="0"/>
    <x v="3"/>
    <x v="0"/>
    <s v="Envioclick- Coordinadora"/>
    <s v="2744103 - 84150989198"/>
    <d v="2024-09-23T00:00:00"/>
    <d v="2024-09-24T00:00:00"/>
    <x v="0"/>
    <n v="0"/>
    <n v="1"/>
    <x v="1"/>
    <n v="24128"/>
    <m/>
  </r>
  <r>
    <d v="2024-09-23T00:00:00"/>
    <x v="8"/>
    <n v="39"/>
    <n v="2205"/>
    <x v="0"/>
    <s v="Serrano Martínez CMA SAS"/>
    <s v="TECUDSN"/>
    <s v="TECU Desk Stool Negra Silla ajustable"/>
    <n v="3"/>
    <x v="5"/>
    <x v="1"/>
    <x v="1"/>
    <x v="0"/>
    <s v="Envioclick- Coordinadora"/>
    <s v="84150989276 - 84150989280 - 84150989285"/>
    <d v="2024-09-23T00:00:00"/>
    <d v="2024-09-25T00:00:00"/>
    <x v="0"/>
    <n v="0"/>
    <n v="2"/>
    <x v="1"/>
    <n v="80610"/>
    <m/>
  </r>
  <r>
    <d v="2024-09-24T00:00:00"/>
    <x v="8"/>
    <n v="39"/>
    <n v="2206"/>
    <x v="0"/>
    <s v="Claudia Vanegas"/>
    <s v="TECU3FNPRO"/>
    <s v="Electric Standing Desk  PRO Negro"/>
    <n v="1"/>
    <x v="0"/>
    <x v="1"/>
    <x v="1"/>
    <x v="0"/>
    <s v="Envioclick- Coordinadora"/>
    <s v="2752271 - 84150990006"/>
    <d v="2024-09-24T00:00:00"/>
    <d v="2024-09-25T00:00:00"/>
    <x v="0"/>
    <n v="0"/>
    <n v="1"/>
    <x v="1"/>
    <n v="43277"/>
    <m/>
  </r>
  <r>
    <d v="2024-09-24T00:00:00"/>
    <x v="8"/>
    <n v="39"/>
    <n v="2206"/>
    <x v="0"/>
    <s v="Claudia Vanegas"/>
    <s v="TECUTCO6C"/>
    <s v="Superficie Escritorio Caramelo 160x70 Clasico"/>
    <n v="1"/>
    <x v="1"/>
    <x v="1"/>
    <x v="1"/>
    <x v="0"/>
    <s v="Envioclick- Coordinadora"/>
    <s v="2752272 - 84150990007"/>
    <d v="2024-09-24T00:00:00"/>
    <d v="2024-09-25T00:00:00"/>
    <x v="0"/>
    <n v="0"/>
    <n v="1"/>
    <x v="1"/>
    <n v="24366"/>
    <m/>
  </r>
  <r>
    <d v="2024-09-24T00:00:00"/>
    <x v="8"/>
    <n v="39"/>
    <n v="2207"/>
    <x v="0"/>
    <s v="Daniela Rodríguez Daza"/>
    <s v="TECU2FNG"/>
    <s v="Electric Standing Desk GO Negro"/>
    <n v="1"/>
    <x v="0"/>
    <x v="1"/>
    <x v="1"/>
    <x v="0"/>
    <s v="Envioclick- Coordinadora"/>
    <s v="2758558 - 84150991301"/>
    <d v="2024-09-25T00:00:00"/>
    <d v="2024-09-26T00:00:00"/>
    <x v="0"/>
    <n v="1"/>
    <n v="2"/>
    <x v="1"/>
    <n v="41925"/>
    <m/>
  </r>
  <r>
    <d v="2024-09-24T00:00:00"/>
    <x v="8"/>
    <n v="39"/>
    <n v="2207"/>
    <x v="0"/>
    <s v="Daniela Rodríguez Daza"/>
    <s v="TECUTRN2C"/>
    <s v="Superficie Escritorio Roble Negro 120x70 Clasico Small"/>
    <n v="1"/>
    <x v="1"/>
    <x v="1"/>
    <x v="1"/>
    <x v="0"/>
    <s v="Envioclick- Coordinadora"/>
    <s v="2758559 - 84150991302"/>
    <d v="2024-09-25T00:00:00"/>
    <d v="2024-09-26T00:00:00"/>
    <x v="0"/>
    <n v="1"/>
    <n v="2"/>
    <x v="1"/>
    <n v="24366"/>
    <m/>
  </r>
  <r>
    <d v="2024-09-24T00:00:00"/>
    <x v="8"/>
    <n v="39"/>
    <n v="2207"/>
    <x v="0"/>
    <s v="Daniela Rodríguez Daza"/>
    <s v="TECU2FNG"/>
    <s v="Electric Standing Desk GO Negro"/>
    <n v="1"/>
    <x v="0"/>
    <x v="1"/>
    <x v="1"/>
    <x v="0"/>
    <s v="Envioclick- Coordinadora"/>
    <s v="2757982 - 84150991021"/>
    <d v="2024-09-25T00:00:00"/>
    <d v="2024-09-26T00:00:00"/>
    <x v="0"/>
    <n v="1"/>
    <n v="2"/>
    <x v="1"/>
    <n v="41925"/>
    <m/>
  </r>
  <r>
    <d v="2024-09-24T00:00:00"/>
    <x v="8"/>
    <n v="39"/>
    <n v="2207"/>
    <x v="0"/>
    <s v="Daniela Rodríguez Daza"/>
    <s v="TECUTRN6C"/>
    <s v="Superficie Escritorio Roble Negro 160x70 Clasico"/>
    <n v="1"/>
    <x v="1"/>
    <x v="1"/>
    <x v="1"/>
    <x v="0"/>
    <s v="Envioclick- Coordinadora"/>
    <s v="2757983 - 84150991023"/>
    <d v="2024-09-25T00:00:00"/>
    <d v="2024-09-26T00:00:00"/>
    <x v="0"/>
    <n v="1"/>
    <n v="2"/>
    <x v="1"/>
    <n v="24366"/>
    <m/>
  </r>
  <r>
    <d v="2024-09-25T00:00:00"/>
    <x v="8"/>
    <n v="39"/>
    <n v="2208"/>
    <x v="0"/>
    <s v="Jeison Velasquez Sepúlveda"/>
    <s v="TECU3FGPRO"/>
    <s v="Electric Standing Desk  PRO Gris"/>
    <n v="1"/>
    <x v="0"/>
    <x v="0"/>
    <x v="3"/>
    <x v="0"/>
    <s v="Envioclick- Coordinadora"/>
    <s v="2758015 - 84150991041"/>
    <d v="2024-09-25T00:00:00"/>
    <d v="2024-09-26T00:00:00"/>
    <x v="0"/>
    <n v="0"/>
    <n v="1"/>
    <x v="1"/>
    <n v="43277"/>
    <m/>
  </r>
  <r>
    <d v="2024-09-25T00:00:00"/>
    <x v="8"/>
    <n v="39"/>
    <n v="2208"/>
    <x v="0"/>
    <s v="Jeison Velasquez Sepúlveda"/>
    <s v="TECUTCC6C"/>
    <s v="Superficie Escritorio Miel 160x70 Clasico"/>
    <n v="1"/>
    <x v="1"/>
    <x v="0"/>
    <x v="3"/>
    <x v="0"/>
    <s v="Envioclick- Coordinadora"/>
    <s v="2758017 - 84150991042"/>
    <d v="2024-09-25T00:00:00"/>
    <d v="2024-09-26T00:00:00"/>
    <x v="0"/>
    <n v="0"/>
    <n v="1"/>
    <x v="1"/>
    <n v="24366"/>
    <m/>
  </r>
  <r>
    <d v="2024-09-26T00:00:00"/>
    <x v="8"/>
    <n v="39"/>
    <n v="2209"/>
    <x v="0"/>
    <s v="Yurani Salamanca"/>
    <s v="TECUAB"/>
    <s v="Archivador TECU  Blanco (Niebla)"/>
    <n v="1"/>
    <x v="3"/>
    <x v="1"/>
    <x v="1"/>
    <x v="0"/>
    <s v="Envioclick- Envia"/>
    <s v="2760033 - 954101048146"/>
    <d v="2024-09-26T00:00:00"/>
    <d v="2024-09-27T00:00:00"/>
    <x v="0"/>
    <n v="0"/>
    <n v="1"/>
    <x v="1"/>
    <n v="43847"/>
    <m/>
  </r>
  <r>
    <d v="2024-09-30T00:00:00"/>
    <x v="8"/>
    <n v="40"/>
    <n v="2210"/>
    <x v="0"/>
    <s v="Julian Cuevas"/>
    <s v="TECU3FBRO"/>
    <s v="Electric Standing Desk  PRO Blanco"/>
    <n v="1"/>
    <x v="0"/>
    <x v="1"/>
    <x v="1"/>
    <x v="0"/>
    <s v="Envioclick- Coordinadora"/>
    <s v="2770251 - 84150996101"/>
    <d v="2024-10-01T00:00:00"/>
    <d v="2024-10-02T00:00:00"/>
    <x v="0"/>
    <n v="1"/>
    <n v="2"/>
    <x v="1"/>
    <n v="43277"/>
    <m/>
  </r>
  <r>
    <d v="2024-09-30T00:00:00"/>
    <x v="8"/>
    <n v="40"/>
    <n v="2210"/>
    <x v="0"/>
    <s v="Julian Cuevas"/>
    <s v="TECU-BMUSB"/>
    <s v="Superficie Escritorio Music Blanco"/>
    <n v="1"/>
    <x v="1"/>
    <x v="1"/>
    <x v="1"/>
    <x v="0"/>
    <s v="Envioclick- Coordinadora"/>
    <s v="2770253 - 84150996102 / 2770260 - 84150996104"/>
    <d v="2024-10-01T00:00:00"/>
    <d v="2024-10-03T00:00:00"/>
    <x v="0"/>
    <n v="1"/>
    <n v="3"/>
    <x v="1"/>
    <n v="66722"/>
    <m/>
  </r>
  <r>
    <d v="2024-09-30T00:00:00"/>
    <x v="8"/>
    <n v="40"/>
    <n v="2210"/>
    <x v="0"/>
    <s v="Julian Cuevas"/>
    <m/>
    <s v="Servicio de instalacion"/>
    <n v="1"/>
    <x v="7"/>
    <x v="1"/>
    <x v="1"/>
    <x v="2"/>
    <s v="NA"/>
    <s v="NA"/>
    <s v="NA"/>
    <s v="NA"/>
    <x v="2"/>
    <m/>
    <m/>
    <x v="5"/>
    <m/>
    <m/>
  </r>
  <r>
    <d v="2024-09-30T00:00:00"/>
    <x v="8"/>
    <n v="40"/>
    <n v="2211"/>
    <x v="0"/>
    <s v="Daniel Castro"/>
    <s v="TECUCT"/>
    <s v="TECU bandeja de cables"/>
    <n v="1"/>
    <x v="4"/>
    <x v="0"/>
    <x v="3"/>
    <x v="0"/>
    <s v="Envioclick- Coordinadora"/>
    <s v="2766994 - 84150994692"/>
    <d v="2024-09-30T00:00:00"/>
    <d v="2024-10-01T00:00:00"/>
    <x v="0"/>
    <n v="0"/>
    <n v="1"/>
    <x v="1"/>
    <n v="25593"/>
    <m/>
  </r>
  <r>
    <d v="2024-09-30T00:00:00"/>
    <x v="8"/>
    <n v="40"/>
    <n v="2212"/>
    <x v="0"/>
    <s v="Michael Tagen"/>
    <s v="TECU2FNG"/>
    <s v="Electric Standing Desk GO Negro"/>
    <n v="1"/>
    <x v="0"/>
    <x v="0"/>
    <x v="3"/>
    <x v="0"/>
    <s v="Envioclick- Coordinadora"/>
    <s v="2770940 - 84150996462"/>
    <d v="2024-09-30T00:00:00"/>
    <d v="2024-10-02T00:00:00"/>
    <x v="0"/>
    <n v="0"/>
    <n v="2"/>
    <x v="1"/>
    <n v="27245"/>
    <m/>
  </r>
  <r>
    <d v="2024-09-30T00:00:00"/>
    <x v="8"/>
    <n v="40"/>
    <n v="2212"/>
    <x v="0"/>
    <s v="Michael Tagen"/>
    <s v="TECUTCC4C"/>
    <s v="Superficie Escritorio Miel 140x70 Clasico"/>
    <n v="1"/>
    <x v="1"/>
    <x v="0"/>
    <x v="3"/>
    <x v="0"/>
    <s v="Envioclick- Coordinadora"/>
    <s v="2770931 - 84150996455"/>
    <d v="2024-09-30T00:00:00"/>
    <d v="2024-10-02T00:00:00"/>
    <x v="0"/>
    <n v="0"/>
    <n v="2"/>
    <x v="1"/>
    <n v="24366"/>
    <m/>
  </r>
  <r>
    <d v="2024-10-01T00:00:00"/>
    <x v="9"/>
    <n v="40"/>
    <n v="2213"/>
    <x v="0"/>
    <s v="Nathalia Ortiz"/>
    <s v="TECU3FGPRO"/>
    <s v="Electric Standing Desk  PRO Gris"/>
    <n v="1"/>
    <x v="0"/>
    <x v="0"/>
    <x v="10"/>
    <x v="0"/>
    <s v="Envioclick- Coordinadora"/>
    <s v="2770994 - 84150996488"/>
    <d v="2024-10-01T00:00:00"/>
    <d v="2024-10-02T00:00:00"/>
    <x v="0"/>
    <n v="0"/>
    <n v="1"/>
    <x v="1"/>
    <n v="43277"/>
    <m/>
  </r>
  <r>
    <d v="2024-10-01T00:00:00"/>
    <x v="9"/>
    <n v="40"/>
    <n v="2213"/>
    <x v="0"/>
    <s v="Nathalia Ortiz"/>
    <s v="TECUTCC2C"/>
    <s v="Superficie Escritorio Miel 120x70 Clasico Small"/>
    <n v="1"/>
    <x v="1"/>
    <x v="0"/>
    <x v="10"/>
    <x v="0"/>
    <s v="Envioclick- Coordinadora"/>
    <s v="2770995 - 84150996489"/>
    <d v="2024-10-01T00:00:00"/>
    <d v="2024-10-02T00:00:00"/>
    <x v="0"/>
    <n v="0"/>
    <n v="1"/>
    <x v="1"/>
    <n v="29097"/>
    <m/>
  </r>
  <r>
    <d v="2024-10-01T00:00:00"/>
    <x v="9"/>
    <n v="40"/>
    <n v="2214"/>
    <x v="0"/>
    <s v="Nancy Ramirez"/>
    <s v="TECU2FNG"/>
    <s v="Electric Standing Desk GO Negro"/>
    <n v="1"/>
    <x v="0"/>
    <x v="1"/>
    <x v="1"/>
    <x v="0"/>
    <s v="Envioclick- Coordinadora"/>
    <s v="2771100 - 84150996547"/>
    <d v="2024-10-01T00:00:00"/>
    <d v="2024-10-02T00:00:00"/>
    <x v="0"/>
    <n v="0"/>
    <n v="1"/>
    <x v="1"/>
    <n v="41925"/>
    <m/>
  </r>
  <r>
    <d v="2024-10-01T00:00:00"/>
    <x v="9"/>
    <n v="40"/>
    <n v="2214"/>
    <x v="0"/>
    <s v="Nancy Ramirez"/>
    <s v="TECUTCO2C"/>
    <s v="Superficie Escritorio Caramelo 120x70 Clasico Small"/>
    <n v="1"/>
    <x v="1"/>
    <x v="1"/>
    <x v="1"/>
    <x v="0"/>
    <s v="Envioclick- Coordinadora"/>
    <s v="2771101 - 84150996548"/>
    <d v="2024-10-01T00:00:00"/>
    <d v="2024-10-02T00:00:00"/>
    <x v="0"/>
    <n v="0"/>
    <n v="1"/>
    <x v="1"/>
    <n v="24366"/>
    <m/>
  </r>
  <r>
    <d v="2024-10-02T00:00:00"/>
    <x v="9"/>
    <n v="40"/>
    <n v="2215"/>
    <x v="0"/>
    <s v="Jose Perez"/>
    <s v="TECURCC"/>
    <s v="Repisa TECU  Miel"/>
    <n v="1"/>
    <x v="2"/>
    <x v="2"/>
    <x v="2"/>
    <x v="0"/>
    <s v="Envioclick- Coordinadora"/>
    <s v="2772634 - 84150997166"/>
    <d v="2024-10-02T00:00:00"/>
    <d v="2024-10-05T00:00:00"/>
    <x v="0"/>
    <n v="0"/>
    <n v="3"/>
    <x v="1"/>
    <n v="38279"/>
    <m/>
  </r>
  <r>
    <d v="2024-10-02T00:00:00"/>
    <x v="9"/>
    <n v="40"/>
    <n v="2216"/>
    <x v="0"/>
    <s v="Laura Melissa Arciniegas"/>
    <s v="TECUBLS"/>
    <s v="TECU Laptop Stand B"/>
    <n v="2"/>
    <x v="4"/>
    <x v="1"/>
    <x v="1"/>
    <x v="0"/>
    <s v="Envioclick- Coordinadora"/>
    <s v="2773174 - 84150997431"/>
    <d v="2024-10-02T00:00:00"/>
    <d v="2024-10-03T00:00:00"/>
    <x v="0"/>
    <n v="0"/>
    <n v="1"/>
    <x v="1"/>
    <n v="24805"/>
    <m/>
  </r>
  <r>
    <d v="2024-10-02T00:00:00"/>
    <x v="9"/>
    <n v="40"/>
    <n v="2217"/>
    <x v="0"/>
    <s v="Nathalia Ortiz"/>
    <s v="TECUACC"/>
    <s v="Archivador TECU  Miel"/>
    <n v="1"/>
    <x v="3"/>
    <x v="0"/>
    <x v="10"/>
    <x v="0"/>
    <s v="Envioclick- Coordinadora"/>
    <s v="2772690 - 954101052611"/>
    <d v="2024-10-02T00:00:00"/>
    <d v="2024-10-03T00:00:00"/>
    <x v="0"/>
    <n v="0"/>
    <n v="1"/>
    <x v="1"/>
    <n v="52482"/>
    <m/>
  </r>
  <r>
    <d v="2024-10-02T00:00:00"/>
    <x v="9"/>
    <n v="40"/>
    <n v="2218"/>
    <x v="0"/>
    <s v="Edwin Antonio Torres Martinez"/>
    <s v="TECU2FGGO"/>
    <s v="Electric Standing Desk GO Gris"/>
    <n v="1"/>
    <x v="0"/>
    <x v="4"/>
    <x v="5"/>
    <x v="0"/>
    <s v="Envioclick- Coordinadora"/>
    <s v="2778249 - 84150999691"/>
    <d v="2024-10-04T00:00:00"/>
    <d v="2024-10-05T00:00:00"/>
    <x v="0"/>
    <n v="2"/>
    <n v="3"/>
    <x v="1"/>
    <n v="41925"/>
    <m/>
  </r>
  <r>
    <d v="2024-10-02T00:00:00"/>
    <x v="9"/>
    <n v="40"/>
    <n v="2218"/>
    <x v="0"/>
    <s v="Edwin Antonio Torres Martinez"/>
    <s v="TECUTCO2C"/>
    <s v="Superficie Escritorio Caramelo 120x70 Clasico Small"/>
    <n v="1"/>
    <x v="1"/>
    <x v="4"/>
    <x v="5"/>
    <x v="0"/>
    <s v="Envioclick- Coordinadora"/>
    <s v="2778250 - 84150999692"/>
    <d v="2024-10-04T00:00:00"/>
    <d v="2024-10-05T00:00:00"/>
    <x v="0"/>
    <n v="2"/>
    <n v="3"/>
    <x v="1"/>
    <n v="24366"/>
    <m/>
  </r>
  <r>
    <d v="2024-10-03T00:00:00"/>
    <x v="9"/>
    <n v="40"/>
    <n v="2219"/>
    <x v="0"/>
    <s v="Miguel Sanabria"/>
    <s v="TECU3FNPRO"/>
    <s v="Electric Standing Desk  PRO Negro"/>
    <n v="1"/>
    <x v="0"/>
    <x v="10"/>
    <x v="47"/>
    <x v="0"/>
    <s v="Envioclick- Coordinadora"/>
    <s v="2777326 - 84150999233"/>
    <d v="2024-10-04T00:00:00"/>
    <d v="2024-10-05T00:00:00"/>
    <x v="0"/>
    <n v="1"/>
    <n v="2"/>
    <x v="3"/>
    <n v="35331"/>
    <m/>
  </r>
  <r>
    <d v="2024-10-03T00:00:00"/>
    <x v="9"/>
    <n v="40"/>
    <n v="2219"/>
    <x v="0"/>
    <s v="Miguel Sanabria"/>
    <s v="TECUTCO2C"/>
    <s v="Superficie Escritorio Caramelo 120x70 Clasico Small"/>
    <n v="1"/>
    <x v="1"/>
    <x v="10"/>
    <x v="47"/>
    <x v="0"/>
    <s v="Envioclick- Coordinadora"/>
    <s v="2777327 - 84150999234"/>
    <d v="2024-10-04T00:00:00"/>
    <d v="2024-10-05T00:00:00"/>
    <x v="0"/>
    <n v="1"/>
    <n v="2"/>
    <x v="3"/>
    <n v="18361"/>
    <m/>
  </r>
  <r>
    <d v="2024-10-04T00:00:00"/>
    <x v="9"/>
    <n v="40"/>
    <n v="2220"/>
    <x v="0"/>
    <s v="Aura Maria Cardenas Bustos"/>
    <s v="TECU3FNPRO"/>
    <s v="Electric Standing Desk  PRO Negro"/>
    <n v="1"/>
    <x v="0"/>
    <x v="14"/>
    <x v="29"/>
    <x v="0"/>
    <s v="Entrega directa"/>
    <s v="NA"/>
    <d v="2024-10-04T00:00:00"/>
    <d v="2024-10-04T00:00:00"/>
    <x v="0"/>
    <n v="0"/>
    <n v="0"/>
    <x v="1"/>
    <n v="0"/>
    <m/>
  </r>
  <r>
    <d v="2024-10-04T00:00:00"/>
    <x v="9"/>
    <n v="40"/>
    <n v="2220"/>
    <x v="0"/>
    <s v="Aura Maria Cardenas Bustos"/>
    <s v="TECUTRN2C"/>
    <s v="Superficie Escritorio Roble Negro 120x70 Clasico Small"/>
    <n v="1"/>
    <x v="1"/>
    <x v="14"/>
    <x v="29"/>
    <x v="0"/>
    <s v="Entrega directa"/>
    <s v="NA"/>
    <d v="2024-10-04T00:00:00"/>
    <d v="2024-10-04T00:00:00"/>
    <x v="0"/>
    <n v="0"/>
    <n v="0"/>
    <x v="1"/>
    <n v="0"/>
    <m/>
  </r>
  <r>
    <d v="2024-10-07T00:00:00"/>
    <x v="9"/>
    <n v="41"/>
    <n v="2221"/>
    <x v="0"/>
    <s v="Jesus Falla"/>
    <s v="TECU2FGGO"/>
    <s v="Electric Standing Desk GO Gris"/>
    <n v="1"/>
    <x v="0"/>
    <x v="1"/>
    <x v="1"/>
    <x v="0"/>
    <s v="Envioclick- Coordinadora"/>
    <s v="2782117 - 84151000750"/>
    <d v="2024-10-07T00:00:00"/>
    <d v="2024-10-08T00:00:00"/>
    <x v="0"/>
    <n v="0"/>
    <n v="1"/>
    <x v="1"/>
    <n v="41925"/>
    <m/>
  </r>
  <r>
    <d v="2024-10-07T00:00:00"/>
    <x v="9"/>
    <n v="41"/>
    <n v="2221"/>
    <x v="0"/>
    <s v="Jesus Falla"/>
    <s v="TECUTCO4C"/>
    <s v="Superficie Escritorio Caramelo 140x70 Clasico"/>
    <n v="1"/>
    <x v="1"/>
    <x v="1"/>
    <x v="1"/>
    <x v="0"/>
    <s v="Envioclick- Coordinadora"/>
    <s v="2782118 - 84151000752"/>
    <d v="2024-10-07T00:00:00"/>
    <d v="2024-10-08T00:00:00"/>
    <x v="0"/>
    <n v="0"/>
    <n v="1"/>
    <x v="1"/>
    <n v="24366"/>
    <m/>
  </r>
  <r>
    <d v="2024-10-07T00:00:00"/>
    <x v="9"/>
    <n v="41"/>
    <n v="2222"/>
    <x v="0"/>
    <s v="Sebastian Betancur"/>
    <s v="TECU2FNG"/>
    <s v="Electric Standing Desk GO Negro"/>
    <n v="1"/>
    <x v="0"/>
    <x v="0"/>
    <x v="3"/>
    <x v="0"/>
    <s v="Envioclick- Coordinadora"/>
    <s v="2783305 - 84151001335"/>
    <d v="2024-10-07T00:00:00"/>
    <d v="2024-10-08T00:00:00"/>
    <x v="0"/>
    <n v="0"/>
    <n v="1"/>
    <x v="1"/>
    <n v="41925"/>
    <m/>
  </r>
  <r>
    <d v="2024-10-07T00:00:00"/>
    <x v="9"/>
    <n v="41"/>
    <n v="2222"/>
    <x v="0"/>
    <s v="Sebastian Betancur"/>
    <s v="TECUTCO4C"/>
    <s v="Superficie Escritorio Caramelo 140x70 Clasico"/>
    <n v="1"/>
    <x v="1"/>
    <x v="0"/>
    <x v="3"/>
    <x v="0"/>
    <s v="Envioclick- Coordinadora"/>
    <s v="2783306 - 84151001336"/>
    <d v="2024-10-07T00:00:00"/>
    <d v="2024-10-08T00:00:00"/>
    <x v="0"/>
    <n v="0"/>
    <n v="1"/>
    <x v="1"/>
    <n v="24366"/>
    <m/>
  </r>
  <r>
    <d v="2024-10-08T00:00:00"/>
    <x v="9"/>
    <n v="41"/>
    <n v="2223"/>
    <x v="0"/>
    <s v="Ana Maria Nossa Gonzalez"/>
    <s v="TECU3FNPRO"/>
    <s v="Electric Standing Desk  PRO Negro"/>
    <n v="1"/>
    <x v="0"/>
    <x v="10"/>
    <x v="26"/>
    <x v="0"/>
    <s v="Envioclick- Coordinadora"/>
    <s v="2785503 - 84151002151"/>
    <d v="2024-10-08T00:00:00"/>
    <d v="2024-10-09T00:00:00"/>
    <x v="0"/>
    <n v="0"/>
    <n v="1"/>
    <x v="1"/>
    <n v="35331"/>
    <m/>
  </r>
  <r>
    <d v="2024-10-08T00:00:00"/>
    <x v="9"/>
    <n v="41"/>
    <n v="2223"/>
    <x v="0"/>
    <s v="Ana Maria Nossa Gonzalez"/>
    <s v="TECUTCO2C"/>
    <s v="Superficie Escritorio Caramelo 120x70 Clasico Small"/>
    <n v="1"/>
    <x v="1"/>
    <x v="10"/>
    <x v="26"/>
    <x v="0"/>
    <s v="Envioclick- Coordinadora"/>
    <s v="2785505 - 84151002152"/>
    <d v="2024-10-08T00:00:00"/>
    <d v="2024-10-09T00:00:00"/>
    <x v="0"/>
    <n v="0"/>
    <n v="1"/>
    <x v="1"/>
    <n v="18361"/>
    <m/>
  </r>
  <r>
    <d v="2024-10-08T00:00:00"/>
    <x v="9"/>
    <n v="41"/>
    <n v="2224"/>
    <x v="0"/>
    <s v="Sebastian Valencia"/>
    <s v="TECU3FNPRO"/>
    <s v="Electric Standing Desk  PRO Negro"/>
    <n v="1"/>
    <x v="0"/>
    <x v="0"/>
    <x v="38"/>
    <x v="0"/>
    <s v="Envioclick- Coordinadora"/>
    <s v="2785495 - 84151002149"/>
    <d v="2024-10-08T00:00:00"/>
    <d v="2024-10-09T00:00:00"/>
    <x v="0"/>
    <n v="0"/>
    <n v="1"/>
    <x v="3"/>
    <n v="43277"/>
    <m/>
  </r>
  <r>
    <d v="2024-10-08T00:00:00"/>
    <x v="9"/>
    <n v="41"/>
    <n v="2224"/>
    <x v="0"/>
    <s v="Sebastian Valencia"/>
    <s v="TECUTCO4C"/>
    <s v="Superficie Escritorio Caramelo 140x70 Clasico"/>
    <n v="1"/>
    <x v="1"/>
    <x v="0"/>
    <x v="38"/>
    <x v="0"/>
    <s v="Envioclick- Coordinadora"/>
    <s v="2785496 - 84151002150"/>
    <d v="2024-10-08T00:00:00"/>
    <d v="2024-10-09T00:00:00"/>
    <x v="0"/>
    <n v="0"/>
    <n v="1"/>
    <x v="3"/>
    <n v="24366"/>
    <m/>
  </r>
  <r>
    <d v="2024-10-10T00:00:00"/>
    <x v="9"/>
    <n v="41"/>
    <n v="2225"/>
    <x v="0"/>
    <s v="Andrés Camilo Marín González"/>
    <s v="TECURCO"/>
    <s v="Repisa TECU  Caramelo"/>
    <n v="1"/>
    <x v="2"/>
    <x v="19"/>
    <x v="43"/>
    <x v="0"/>
    <s v="Envioclick- Coordinadora"/>
    <s v="2792054 - 84151004615"/>
    <d v="2024-10-10T00:00:00"/>
    <d v="2024-10-11T00:00:00"/>
    <x v="0"/>
    <n v="0"/>
    <n v="1"/>
    <x v="1"/>
    <n v="15073"/>
    <m/>
  </r>
  <r>
    <d v="2024-10-15T00:00:00"/>
    <x v="9"/>
    <n v="42"/>
    <n v="2226"/>
    <x v="0"/>
    <s v="Luis Fernando Trigueros"/>
    <s v="TECURN"/>
    <s v="Repisa TECU  Negro (Wengue)"/>
    <n v="1"/>
    <x v="2"/>
    <x v="4"/>
    <x v="39"/>
    <x v="0"/>
    <s v="Envioclick- Coordinadora"/>
    <s v="2797908 - 84151006579"/>
    <d v="2024-10-15T00:00:00"/>
    <d v="2024-10-16T00:00:00"/>
    <x v="0"/>
    <n v="0"/>
    <n v="1"/>
    <x v="3"/>
    <n v="23690"/>
    <m/>
  </r>
  <r>
    <d v="2024-10-15T00:00:00"/>
    <x v="9"/>
    <n v="42"/>
    <n v="2227"/>
    <x v="0"/>
    <s v="Laura Castillo"/>
    <s v="TECU2FNG"/>
    <s v="Electric Standing Desk GO Negro"/>
    <n v="1"/>
    <x v="0"/>
    <x v="1"/>
    <x v="1"/>
    <x v="0"/>
    <s v="Envioclick- Coordinadora"/>
    <s v="2797915 - 84151006583"/>
    <d v="2024-10-15T00:00:00"/>
    <d v="2024-10-16T00:00:00"/>
    <x v="0"/>
    <n v="0"/>
    <n v="1"/>
    <x v="1"/>
    <n v="41925"/>
    <m/>
  </r>
  <r>
    <d v="2024-10-15T00:00:00"/>
    <x v="9"/>
    <n v="42"/>
    <n v="2227"/>
    <x v="0"/>
    <s v="Laura Castillo"/>
    <s v="TECUTCO2C"/>
    <s v="Superficie Escritorio Caramelo 120x70 Clasico Small"/>
    <n v="1"/>
    <x v="1"/>
    <x v="1"/>
    <x v="1"/>
    <x v="0"/>
    <s v="Envioclick- Coordinadora"/>
    <s v="2797917 - 84151006584"/>
    <d v="2024-10-15T00:00:00"/>
    <d v="2024-10-16T00:00:00"/>
    <x v="0"/>
    <n v="0"/>
    <n v="1"/>
    <x v="1"/>
    <n v="24366"/>
    <m/>
  </r>
  <r>
    <d v="2024-10-16T00:00:00"/>
    <x v="9"/>
    <n v="42"/>
    <n v="2228"/>
    <x v="0"/>
    <s v="Saul Leonardo Celis Valbuena"/>
    <s v="TECU3FGPRO"/>
    <s v="Electric Standing Desk  PRO Gris"/>
    <n v="1"/>
    <x v="0"/>
    <x v="1"/>
    <x v="48"/>
    <x v="0"/>
    <s v="Envioclick- Coordinadora"/>
    <s v="2801213 - 84151007962"/>
    <d v="2024-10-16T00:00:00"/>
    <d v="2024-10-18T00:00:00"/>
    <x v="0"/>
    <n v="0"/>
    <n v="2"/>
    <x v="3"/>
    <n v="56667"/>
    <m/>
  </r>
  <r>
    <d v="2024-10-16T00:00:00"/>
    <x v="9"/>
    <n v="42"/>
    <n v="2228"/>
    <x v="0"/>
    <s v="Saul Leonardo Celis Valbuena"/>
    <s v="TECUTCC20C"/>
    <s v="Superficie Escritorio Miel 200x70 Clasico"/>
    <n v="1"/>
    <x v="1"/>
    <x v="1"/>
    <x v="48"/>
    <x v="0"/>
    <s v="Envioclick- Coordinadora"/>
    <s v="2801214 - 84151007964"/>
    <d v="2024-10-16T00:00:00"/>
    <d v="2024-10-18T00:00:00"/>
    <x v="0"/>
    <n v="0"/>
    <n v="2"/>
    <x v="3"/>
    <n v="39121"/>
    <m/>
  </r>
  <r>
    <d v="2024-10-16T00:00:00"/>
    <x v="9"/>
    <n v="42"/>
    <n v="2229"/>
    <x v="0"/>
    <s v="Nicolas Forero Puello"/>
    <s v="TECUCT"/>
    <s v="TECU bandeja de cables"/>
    <n v="1"/>
    <x v="4"/>
    <x v="0"/>
    <x v="8"/>
    <x v="0"/>
    <s v="Envioclick- Coordinadora"/>
    <s v="2803903 - 84151009175"/>
    <d v="2024-10-17T00:00:00"/>
    <d v="2024-10-18T00:00:00"/>
    <x v="0"/>
    <n v="1"/>
    <n v="2"/>
    <x v="1"/>
    <n v="28190"/>
    <m/>
  </r>
  <r>
    <d v="2024-10-16T00:00:00"/>
    <x v="9"/>
    <n v="42"/>
    <n v="2229"/>
    <x v="0"/>
    <s v="Nicolas Forero Puello"/>
    <s v="TECUROD"/>
    <s v="Rodachines con freno para Standing desk x 4 UN"/>
    <n v="1"/>
    <x v="6"/>
    <x v="0"/>
    <x v="8"/>
    <x v="0"/>
    <s v="Envioclick- Coordinadora"/>
    <s v="2803905 - 84151009176"/>
    <d v="2024-10-17T00:00:00"/>
    <d v="2024-10-18T00:00:00"/>
    <x v="0"/>
    <n v="1"/>
    <n v="2"/>
    <x v="1"/>
    <n v="24583"/>
    <m/>
  </r>
  <r>
    <d v="2024-10-17T00:00:00"/>
    <x v="9"/>
    <n v="42"/>
    <n v="2230"/>
    <x v="0"/>
    <s v="JORGE ANDRES WOLF OCHOA"/>
    <s v="TECUROD"/>
    <s v="Rodachines con freno para Standing desk x 4 UN"/>
    <n v="1"/>
    <x v="6"/>
    <x v="0"/>
    <x v="0"/>
    <x v="0"/>
    <s v="Envioclick- Coordinadora"/>
    <s v="2804349 - 84151009382"/>
    <d v="2024-10-17T00:00:00"/>
    <d v="2024-10-18T00:00:00"/>
    <x v="0"/>
    <n v="0"/>
    <n v="1"/>
    <x v="1"/>
    <n v="24583"/>
    <m/>
  </r>
  <r>
    <d v="2024-10-17T00:00:00"/>
    <x v="9"/>
    <n v="42"/>
    <n v="2230"/>
    <x v="0"/>
    <s v="JORGE ANDRES WOLF OCHOA"/>
    <s v="TECUCT"/>
    <s v="TECU bandeja de cables"/>
    <n v="1"/>
    <x v="4"/>
    <x v="0"/>
    <x v="0"/>
    <x v="0"/>
    <s v="Envioclick- Coordinadora"/>
    <s v="2804335 - 84151009377"/>
    <d v="2024-10-17T00:00:00"/>
    <d v="2024-10-18T00:00:00"/>
    <x v="0"/>
    <n v="0"/>
    <n v="1"/>
    <x v="1"/>
    <n v="25593"/>
    <m/>
  </r>
  <r>
    <d v="2024-10-17T00:00:00"/>
    <x v="9"/>
    <n v="42"/>
    <n v="2230"/>
    <x v="0"/>
    <s v="JORGE ANDRES WOLF OCHOA"/>
    <s v="TECU3FNPRO"/>
    <s v="Electric Standing Desk  PRO Negro"/>
    <n v="1"/>
    <x v="0"/>
    <x v="0"/>
    <x v="0"/>
    <x v="0"/>
    <s v="Envioclick- Coordinadora"/>
    <s v="2804319 - 84151009365"/>
    <d v="2024-10-17T00:00:00"/>
    <d v="2024-10-18T00:00:00"/>
    <x v="0"/>
    <n v="0"/>
    <n v="1"/>
    <x v="1"/>
    <n v="43277"/>
    <m/>
  </r>
  <r>
    <d v="2024-10-17T00:00:00"/>
    <x v="9"/>
    <n v="42"/>
    <n v="2230"/>
    <x v="0"/>
    <s v="JORGE ANDRES WOLF OCHOA"/>
    <s v="TECUTCO8C"/>
    <s v="Superficie Escritorio Caramelo 180x70 Clasico"/>
    <n v="1"/>
    <x v="1"/>
    <x v="0"/>
    <x v="0"/>
    <x v="0"/>
    <s v="Envioclick- Coordinadora"/>
    <s v="2804320 - 84151009366"/>
    <d v="2024-10-17T00:00:00"/>
    <d v="2024-10-18T00:00:00"/>
    <x v="0"/>
    <n v="0"/>
    <n v="1"/>
    <x v="1"/>
    <n v="27069"/>
    <m/>
  </r>
  <r>
    <d v="2024-10-17T00:00:00"/>
    <x v="9"/>
    <n v="42"/>
    <n v="2231"/>
    <x v="0"/>
    <s v="Juan Pablo Velasquez Agudelo"/>
    <s v="TECU3FNPRO"/>
    <s v="Electric Standing Desk  PRO Negro"/>
    <n v="1"/>
    <x v="0"/>
    <x v="0"/>
    <x v="3"/>
    <x v="0"/>
    <s v="Envioclick- Coordinadora"/>
    <s v="2804361 - 84151009389"/>
    <d v="2024-10-17T00:00:00"/>
    <d v="2024-10-18T00:00:00"/>
    <x v="0"/>
    <n v="0"/>
    <n v="1"/>
    <x v="1"/>
    <n v="43277"/>
    <m/>
  </r>
  <r>
    <d v="2024-10-17T00:00:00"/>
    <x v="9"/>
    <n v="42"/>
    <n v="2231"/>
    <x v="0"/>
    <s v="Juan Pablo Velasquez Agudelo"/>
    <s v="TECUTCO2C"/>
    <s v="Superficie Escritorio Caramelo 120x70 Clasico Small"/>
    <n v="1"/>
    <x v="1"/>
    <x v="0"/>
    <x v="3"/>
    <x v="0"/>
    <s v="Envioclick- Coordinadora"/>
    <s v="2804362 - 84151009390"/>
    <d v="2024-10-17T00:00:00"/>
    <d v="2024-10-18T00:00:00"/>
    <x v="0"/>
    <n v="0"/>
    <n v="1"/>
    <x v="1"/>
    <n v="29097"/>
    <m/>
  </r>
  <r>
    <d v="2024-10-18T00:00:00"/>
    <x v="9"/>
    <n v="42"/>
    <n v="2232"/>
    <x v="0"/>
    <s v="Martin Villalobos"/>
    <s v="TECU2FNG"/>
    <s v="Electric Standing Desk GO Negro"/>
    <n v="1"/>
    <x v="0"/>
    <x v="1"/>
    <x v="1"/>
    <x v="0"/>
    <s v="Envioclick- Coordinadora"/>
    <s v="2813049 - 84151010399"/>
    <d v="2024-10-18T00:00:00"/>
    <d v="2024-10-21T00:00:00"/>
    <x v="0"/>
    <n v="0"/>
    <n v="2"/>
    <x v="1"/>
    <n v="41925"/>
    <m/>
  </r>
  <r>
    <d v="2024-10-18T00:00:00"/>
    <x v="9"/>
    <n v="42"/>
    <n v="2232"/>
    <x v="0"/>
    <s v="Martin Villalobos"/>
    <s v="TECUTCO2C"/>
    <s v="Superficie Escritorio Caramelo 120x70 Clasico Small"/>
    <n v="1"/>
    <x v="1"/>
    <x v="1"/>
    <x v="1"/>
    <x v="0"/>
    <s v="Envioclick- Coordinadora"/>
    <s v="2813052 - 84151010401"/>
    <d v="2024-10-18T00:00:00"/>
    <d v="2024-10-22T00:00:00"/>
    <x v="0"/>
    <n v="0"/>
    <n v="3"/>
    <x v="1"/>
    <n v="24366"/>
    <m/>
  </r>
  <r>
    <d v="2024-10-18T00:00:00"/>
    <x v="9"/>
    <n v="42"/>
    <n v="2233"/>
    <x v="0"/>
    <s v="Manuela Sadovnik Taborda"/>
    <s v="TECU2FBGO"/>
    <s v="Electric Standing Desk GO Blanco"/>
    <n v="1"/>
    <x v="0"/>
    <x v="4"/>
    <x v="5"/>
    <x v="0"/>
    <s v="Envioclick- Coordinadora"/>
    <s v="2813301 - 84151010524"/>
    <d v="2024-10-18T00:00:00"/>
    <d v="2024-10-22T00:00:00"/>
    <x v="0"/>
    <n v="0"/>
    <n v="3"/>
    <x v="1"/>
    <n v="41925"/>
    <m/>
  </r>
  <r>
    <d v="2024-10-18T00:00:00"/>
    <x v="9"/>
    <n v="42"/>
    <n v="2233"/>
    <x v="0"/>
    <s v="Manuela Sadovnik Taborda"/>
    <s v="TECUTCC4C"/>
    <s v="Superficie Escritorio Miel 140x70 Clasico"/>
    <n v="1"/>
    <x v="1"/>
    <x v="4"/>
    <x v="5"/>
    <x v="0"/>
    <s v="Envioclick- Coordinadora"/>
    <s v="2813302 - 84151010525"/>
    <d v="2024-10-18T00:00:00"/>
    <d v="2024-10-22T00:00:00"/>
    <x v="0"/>
    <n v="0"/>
    <n v="3"/>
    <x v="1"/>
    <n v="24366"/>
    <m/>
  </r>
  <r>
    <d v="2024-10-19T00:00:00"/>
    <x v="9"/>
    <n v="42"/>
    <n v="2234"/>
    <x v="0"/>
    <s v="Sergio Luque"/>
    <s v="TECURN"/>
    <s v="Repisa TECU  Negro (Wengue)"/>
    <n v="1"/>
    <x v="2"/>
    <x v="2"/>
    <x v="2"/>
    <x v="0"/>
    <s v="Envioclick- Coordinadora"/>
    <s v="2816969 - 84151011801"/>
    <d v="2024-10-21T00:00:00"/>
    <d v="2024-10-24T00:00:00"/>
    <x v="0"/>
    <n v="1"/>
    <n v="4"/>
    <x v="1"/>
    <n v="38279"/>
    <m/>
  </r>
  <r>
    <d v="2024-10-19T00:00:00"/>
    <x v="9"/>
    <n v="42"/>
    <n v="2235"/>
    <x v="0"/>
    <s v="Juan Camilo Sandoval Devia"/>
    <s v="TECU3FNPRO"/>
    <s v="Electric Standing Desk  PRO Negro"/>
    <n v="1"/>
    <x v="0"/>
    <x v="1"/>
    <x v="1"/>
    <x v="0"/>
    <s v="Envioclick- Coordinadora"/>
    <s v="2816818 - 84151011759"/>
    <d v="2024-10-21T00:00:00"/>
    <d v="2024-10-22T00:00:00"/>
    <x v="0"/>
    <n v="1"/>
    <n v="2"/>
    <x v="1"/>
    <n v="43277"/>
    <m/>
  </r>
  <r>
    <d v="2024-10-19T00:00:00"/>
    <x v="9"/>
    <n v="42"/>
    <n v="2235"/>
    <x v="0"/>
    <s v="Juan Camilo Sandoval Devia"/>
    <s v="TECUTCO5M"/>
    <s v="Superficie Escritorio Caramelo 150x70 Moderno"/>
    <n v="1"/>
    <x v="1"/>
    <x v="1"/>
    <x v="1"/>
    <x v="0"/>
    <s v="Envioclick- Coordinadora"/>
    <s v="2816819 - 84151011760"/>
    <d v="2024-10-21T00:00:00"/>
    <d v="2024-10-22T00:00:00"/>
    <x v="0"/>
    <n v="1"/>
    <n v="2"/>
    <x v="1"/>
    <n v="24366"/>
    <m/>
  </r>
  <r>
    <d v="2024-10-19T00:00:00"/>
    <x v="9"/>
    <n v="42"/>
    <n v="2235"/>
    <x v="0"/>
    <s v="Juan Camilo Sandoval Devia"/>
    <m/>
    <s v="Servicio de instalacion"/>
    <n v="1"/>
    <x v="7"/>
    <x v="1"/>
    <x v="1"/>
    <x v="0"/>
    <s v="NA"/>
    <s v="NA"/>
    <s v="NA"/>
    <s v="NA"/>
    <x v="2"/>
    <m/>
    <m/>
    <x v="5"/>
    <m/>
    <m/>
  </r>
  <r>
    <d v="2024-10-19T00:00:00"/>
    <x v="9"/>
    <n v="42"/>
    <n v="2236"/>
    <x v="0"/>
    <s v="Juan Camilo Sandoval Devia"/>
    <s v="TECUBDPA"/>
    <s v="TECU Desk Pad B Negro Azul"/>
    <n v="1"/>
    <x v="4"/>
    <x v="1"/>
    <x v="1"/>
    <x v="0"/>
    <s v="Envioclick- Coordinadora"/>
    <s v="2817037 - 84151011833"/>
    <d v="2024-10-21T00:00:00"/>
    <d v="2024-10-22T00:00:00"/>
    <x v="0"/>
    <n v="1"/>
    <n v="2"/>
    <x v="1"/>
    <n v="17079"/>
    <m/>
  </r>
  <r>
    <d v="2024-10-19T00:00:00"/>
    <x v="9"/>
    <n v="42"/>
    <n v="2236"/>
    <x v="0"/>
    <s v="Juan Camilo Sandoval Devia"/>
    <s v="TECUCT"/>
    <s v="TECU bandeja de cables"/>
    <n v="1"/>
    <x v="4"/>
    <x v="1"/>
    <x v="1"/>
    <x v="0"/>
    <s v="Envioclick- Coordinadora"/>
    <s v="2816831 - 84151011768"/>
    <d v="2024-10-21T00:00:00"/>
    <d v="2024-10-22T00:00:00"/>
    <x v="0"/>
    <n v="1"/>
    <n v="2"/>
    <x v="1"/>
    <n v="25593"/>
    <m/>
  </r>
  <r>
    <d v="2024-10-19T00:00:00"/>
    <x v="9"/>
    <n v="42"/>
    <n v="2236"/>
    <x v="0"/>
    <s v="Juan Camilo Sandoval Devia"/>
    <s v="TECUBLS"/>
    <s v="TECU Laptop Stand B"/>
    <n v="1"/>
    <x v="4"/>
    <x v="1"/>
    <x v="1"/>
    <x v="0"/>
    <s v="Envioclick- Coordinadora"/>
    <s v="2817005 - 84151011818"/>
    <d v="2024-10-21T00:00:00"/>
    <d v="2024-10-22T00:00:00"/>
    <x v="0"/>
    <n v="1"/>
    <n v="2"/>
    <x v="1"/>
    <n v="25593"/>
    <m/>
  </r>
  <r>
    <d v="2024-10-19T00:00:00"/>
    <x v="9"/>
    <n v="42"/>
    <n v="2237"/>
    <x v="0"/>
    <s v="ESTEFANY LUNA PEREZ"/>
    <s v="TECU2FBGO"/>
    <s v="Electric Standing Desk GO Blanco"/>
    <n v="1"/>
    <x v="0"/>
    <x v="20"/>
    <x v="49"/>
    <x v="0"/>
    <s v="Envioclick- Coordinadora"/>
    <s v="2817045 - 84151011839"/>
    <d v="2024-10-21T00:00:00"/>
    <d v="2024-10-24T00:00:00"/>
    <x v="0"/>
    <n v="1"/>
    <n v="4"/>
    <x v="3"/>
    <n v="60493"/>
    <m/>
  </r>
  <r>
    <d v="2024-10-19T00:00:00"/>
    <x v="9"/>
    <n v="42"/>
    <n v="2237"/>
    <x v="0"/>
    <s v="ESTEFANY LUNA PEREZ"/>
    <s v="TECUTB4C"/>
    <s v="Superficie Escritorio Blanco (Niebla) 140x70 Clasico"/>
    <n v="1"/>
    <x v="1"/>
    <x v="20"/>
    <x v="49"/>
    <x v="0"/>
    <s v="Envioclick- Coordinadora"/>
    <s v="2817047 - 84151011840"/>
    <d v="2024-10-21T00:00:00"/>
    <d v="2024-10-24T00:00:00"/>
    <x v="0"/>
    <n v="1"/>
    <n v="4"/>
    <x v="3"/>
    <n v="39619"/>
    <m/>
  </r>
  <r>
    <d v="2024-10-19T00:00:00"/>
    <x v="9"/>
    <n v="42"/>
    <n v="2238"/>
    <x v="0"/>
    <s v="Manuel Castaño Jaramillo"/>
    <s v="TECUACO"/>
    <s v="Archivador TECU  Caramelo"/>
    <n v="1"/>
    <x v="3"/>
    <x v="0"/>
    <x v="10"/>
    <x v="0"/>
    <s v="Envioclick- Envia"/>
    <s v="2817071 - 954101066098"/>
    <d v="2024-10-21T00:00:00"/>
    <d v="2024-10-23T00:00:00"/>
    <x v="0"/>
    <n v="1"/>
    <n v="3"/>
    <x v="1"/>
    <n v="52482"/>
    <m/>
  </r>
  <r>
    <d v="2024-10-19T00:00:00"/>
    <x v="9"/>
    <n v="42"/>
    <n v="2238"/>
    <x v="0"/>
    <s v="Manuel Castaño Jaramillo"/>
    <s v="TECUCT"/>
    <s v="TECU bandeja de cables"/>
    <n v="1"/>
    <x v="4"/>
    <x v="0"/>
    <x v="10"/>
    <x v="0"/>
    <s v="Envioclick- Envia"/>
    <s v="2816735 - 954101066059"/>
    <d v="2024-10-21T00:00:00"/>
    <d v="2024-10-23T00:00:00"/>
    <x v="0"/>
    <n v="1"/>
    <n v="3"/>
    <x v="1"/>
    <n v="18428"/>
    <m/>
  </r>
  <r>
    <d v="2024-10-20T00:00:00"/>
    <x v="9"/>
    <n v="43"/>
    <n v="2239"/>
    <x v="0"/>
    <s v="Laura Sofía Mejía Muñoz"/>
    <s v="TECU3FNPRO"/>
    <s v="Electric Standing Desk  PRO Negro"/>
    <n v="1"/>
    <x v="0"/>
    <x v="0"/>
    <x v="3"/>
    <x v="0"/>
    <s v="Envioclick- Coordinadora"/>
    <s v="2817092 - 84151011871"/>
    <d v="2024-10-21T00:00:00"/>
    <d v="2024-10-22T00:00:00"/>
    <x v="0"/>
    <n v="0"/>
    <n v="1"/>
    <x v="1"/>
    <n v="43277"/>
    <m/>
  </r>
  <r>
    <d v="2024-10-20T00:00:00"/>
    <x v="9"/>
    <n v="43"/>
    <n v="2239"/>
    <x v="0"/>
    <s v="Laura Sofía Mejía Muñoz"/>
    <s v="TECUTCC2C"/>
    <s v="Superficie Escritorio Miel 120x70 Clasico Small"/>
    <n v="1"/>
    <x v="1"/>
    <x v="0"/>
    <x v="3"/>
    <x v="0"/>
    <s v="Envioclick- Coordinadora"/>
    <s v="2817094 - 84151011872"/>
    <d v="2024-10-21T00:00:00"/>
    <d v="2024-10-22T00:00:00"/>
    <x v="0"/>
    <n v="0"/>
    <n v="1"/>
    <x v="1"/>
    <n v="29097"/>
    <m/>
  </r>
  <r>
    <d v="2024-10-20T00:00:00"/>
    <x v="9"/>
    <n v="43"/>
    <n v="2239"/>
    <x v="0"/>
    <s v="Laura Sofía Mejía Muñoz"/>
    <s v="TECUACC"/>
    <s v="Archivador TECU  Miel"/>
    <n v="1"/>
    <x v="3"/>
    <x v="0"/>
    <x v="3"/>
    <x v="0"/>
    <s v="Envioclick- Envia"/>
    <s v="2817110 - 954101066105"/>
    <d v="2024-10-21T00:00:00"/>
    <d v="2024-10-22T00:00:00"/>
    <x v="0"/>
    <n v="0"/>
    <n v="1"/>
    <x v="1"/>
    <n v="52482"/>
    <m/>
  </r>
  <r>
    <d v="2024-10-20T00:00:00"/>
    <x v="9"/>
    <n v="43"/>
    <n v="2239"/>
    <x v="0"/>
    <s v="Laura Sofía Mejía Muñoz"/>
    <m/>
    <s v="Servicio de instalacion"/>
    <n v="1"/>
    <x v="7"/>
    <x v="0"/>
    <x v="3"/>
    <x v="0"/>
    <s v="NA"/>
    <s v="NA"/>
    <s v="NA"/>
    <s v="NA"/>
    <x v="2"/>
    <m/>
    <m/>
    <x v="5"/>
    <m/>
    <m/>
  </r>
  <r>
    <d v="2024-10-20T00:00:00"/>
    <x v="9"/>
    <n v="43"/>
    <n v="2240"/>
    <x v="0"/>
    <s v="Ana Maria Cuellar Urbano"/>
    <s v="TECU3FNPRO"/>
    <s v="Electric Standing Desk  PRO Negro"/>
    <n v="1"/>
    <x v="0"/>
    <x v="1"/>
    <x v="1"/>
    <x v="0"/>
    <s v="Envioclick- Coordinadora"/>
    <s v="2817135 - 84151011893"/>
    <d v="2024-10-21T00:00:00"/>
    <d v="2024-10-22T00:00:00"/>
    <x v="0"/>
    <n v="0"/>
    <n v="1"/>
    <x v="1"/>
    <n v="43277"/>
    <m/>
  </r>
  <r>
    <d v="2024-10-20T00:00:00"/>
    <x v="9"/>
    <n v="43"/>
    <n v="2240"/>
    <x v="0"/>
    <s v="Ana Maria Cuellar Urbano"/>
    <s v="TECUTCC2C"/>
    <s v="Superficie Escritorio Miel 120x70 Clasico Small"/>
    <n v="1"/>
    <x v="1"/>
    <x v="1"/>
    <x v="1"/>
    <x v="0"/>
    <s v="Envioclick- Coordinadora"/>
    <s v="2817136 - 84151011894"/>
    <d v="2024-10-21T00:00:00"/>
    <d v="2024-10-22T00:00:00"/>
    <x v="0"/>
    <n v="0"/>
    <n v="1"/>
    <x v="1"/>
    <n v="29097"/>
    <m/>
  </r>
  <r>
    <d v="2024-10-20T00:00:00"/>
    <x v="9"/>
    <n v="43"/>
    <n v="2241"/>
    <x v="0"/>
    <s v="Adriana Victoria Peña"/>
    <s v="TECU2FNG"/>
    <s v="Electric Standing Desk GO Negro"/>
    <n v="1"/>
    <x v="0"/>
    <x v="10"/>
    <x v="21"/>
    <x v="0"/>
    <s v="Envioclick- Coordinadora"/>
    <s v="2817170 - 84151011903"/>
    <d v="2024-10-21T00:00:00"/>
    <d v="2024-10-22T00:00:00"/>
    <x v="0"/>
    <n v="0"/>
    <n v="1"/>
    <x v="1"/>
    <n v="34509"/>
    <m/>
  </r>
  <r>
    <d v="2024-10-20T00:00:00"/>
    <x v="9"/>
    <n v="43"/>
    <n v="2241"/>
    <x v="0"/>
    <s v="Adriana Victoria Peña"/>
    <s v="TECUTCO4C"/>
    <s v="Superficie Escritorio Caramelo 140x70 Clasico"/>
    <n v="1"/>
    <x v="1"/>
    <x v="10"/>
    <x v="21"/>
    <x v="0"/>
    <s v="Envioclick- Coordinadora"/>
    <s v="2817172 - 84151011904"/>
    <d v="2024-10-21T00:00:00"/>
    <d v="2024-10-22T00:00:00"/>
    <x v="0"/>
    <n v="0"/>
    <n v="1"/>
    <x v="1"/>
    <n v="15483"/>
    <m/>
  </r>
  <r>
    <d v="2024-10-21T00:00:00"/>
    <x v="9"/>
    <n v="43"/>
    <n v="2242"/>
    <x v="0"/>
    <s v="Juan Manuel Betancourt Calero"/>
    <s v="TECU3FNPRO"/>
    <s v="Electric Standing Desk  PRO Negro"/>
    <n v="1"/>
    <x v="0"/>
    <x v="1"/>
    <x v="1"/>
    <x v="0"/>
    <s v="Envioclick- Coordinadora"/>
    <s v="2817175 - 84151011909"/>
    <d v="2024-10-21T00:00:00"/>
    <d v="2024-10-22T00:00:00"/>
    <x v="0"/>
    <n v="0"/>
    <n v="1"/>
    <x v="1"/>
    <n v="43277"/>
    <m/>
  </r>
  <r>
    <d v="2024-10-21T00:00:00"/>
    <x v="9"/>
    <n v="43"/>
    <n v="2242"/>
    <x v="0"/>
    <s v="Juan Manuel Betancourt Calero"/>
    <s v="TECUTCC2C"/>
    <s v="Superficie Escritorio Miel 120x70 Clasico Small"/>
    <n v="1"/>
    <x v="1"/>
    <x v="1"/>
    <x v="1"/>
    <x v="0"/>
    <s v="Envioclick- Coordinadora"/>
    <s v="2817176 - 84151011912"/>
    <d v="2024-10-21T00:00:00"/>
    <d v="2024-10-22T00:00:00"/>
    <x v="0"/>
    <n v="0"/>
    <n v="1"/>
    <x v="1"/>
    <n v="27069"/>
    <m/>
  </r>
  <r>
    <d v="2024-10-22T00:00:00"/>
    <x v="9"/>
    <n v="43"/>
    <n v="2243"/>
    <x v="0"/>
    <s v="Camilo Betancur"/>
    <s v="TECU2FNG"/>
    <s v="Electric Standing Desk GO Negro"/>
    <n v="1"/>
    <x v="0"/>
    <x v="0"/>
    <x v="8"/>
    <x v="0"/>
    <s v="Envioclick- Coordinadora"/>
    <s v="2822189 - 84151014018"/>
    <d v="2024-10-23T00:00:00"/>
    <d v="2024-10-24T00:00:00"/>
    <x v="0"/>
    <n v="1"/>
    <n v="2"/>
    <x v="1"/>
    <n v="41925"/>
    <m/>
  </r>
  <r>
    <d v="2024-10-22T00:00:00"/>
    <x v="9"/>
    <n v="43"/>
    <n v="2243"/>
    <x v="0"/>
    <s v="Camilo Betancur"/>
    <s v="TECUTCC2C"/>
    <s v="Superficie Escritorio Miel 120x70 Clasico Small"/>
    <n v="1"/>
    <x v="1"/>
    <x v="0"/>
    <x v="8"/>
    <x v="0"/>
    <s v="Envioclick- Coordinadora"/>
    <s v="2822190 - 84151014019"/>
    <d v="2024-10-23T00:00:00"/>
    <d v="2024-10-24T00:00:00"/>
    <x v="0"/>
    <n v="1"/>
    <n v="2"/>
    <x v="1"/>
    <n v="24366"/>
    <m/>
  </r>
  <r>
    <d v="2024-10-23T00:00:00"/>
    <x v="9"/>
    <n v="43"/>
    <n v="2244"/>
    <x v="0"/>
    <s v="Brayan Santiago Chaparro Ladino"/>
    <s v="TECUBDPA"/>
    <s v="TECU Desk Pad B Negro Azul"/>
    <n v="1"/>
    <x v="4"/>
    <x v="6"/>
    <x v="9"/>
    <x v="0"/>
    <s v="Envioclick- Coordinadora"/>
    <s v="2822608 - 84151014224"/>
    <d v="2024-10-23T00:00:00"/>
    <d v="2024-10-28T00:00:00"/>
    <x v="0"/>
    <n v="0"/>
    <n v="4"/>
    <x v="1"/>
    <n v="17079"/>
    <m/>
  </r>
  <r>
    <d v="2024-10-23T00:00:00"/>
    <x v="9"/>
    <n v="43"/>
    <n v="2245"/>
    <x v="0"/>
    <s v="Natalia Cardona"/>
    <s v="TECUDSN"/>
    <s v="TECU Desk Stool Negra Silla ajustable"/>
    <n v="1"/>
    <x v="5"/>
    <x v="0"/>
    <x v="3"/>
    <x v="0"/>
    <s v="Envioclick- Coordinadora"/>
    <s v="2822902 - 84151014381"/>
    <d v="2024-10-23T00:00:00"/>
    <d v="2024-10-24T00:00:00"/>
    <x v="0"/>
    <n v="0"/>
    <n v="1"/>
    <x v="1"/>
    <n v="26870"/>
    <m/>
  </r>
  <r>
    <d v="2024-10-23T00:00:00"/>
    <x v="9"/>
    <n v="43"/>
    <n v="2245"/>
    <x v="0"/>
    <s v="Natalia Cardona"/>
    <s v="TECUDSN"/>
    <s v="TECU Desk Stool Negra Silla ajustable"/>
    <n v="1"/>
    <x v="5"/>
    <x v="0"/>
    <x v="3"/>
    <x v="0"/>
    <s v="Envioclick- Coordinadora"/>
    <s v="2822914 - 84151014384"/>
    <d v="2024-10-23T00:00:00"/>
    <d v="2024-10-24T00:00:00"/>
    <x v="0"/>
    <n v="0"/>
    <n v="1"/>
    <x v="1"/>
    <n v="26870"/>
    <m/>
  </r>
  <r>
    <d v="2024-10-24T00:00:00"/>
    <x v="9"/>
    <n v="43"/>
    <n v="2246"/>
    <x v="0"/>
    <s v="Michell Peñuela"/>
    <s v="TECU2FNG"/>
    <s v="Electric Standing Desk GO Negro"/>
    <n v="1"/>
    <x v="0"/>
    <x v="1"/>
    <x v="1"/>
    <x v="0"/>
    <s v="Envioclick- Coordinadora"/>
    <s v="2824759 - 84151014987"/>
    <d v="2024-10-24T00:00:00"/>
    <d v="2024-10-25T00:00:00"/>
    <x v="0"/>
    <n v="0"/>
    <n v="1"/>
    <x v="1"/>
    <n v="41925"/>
    <m/>
  </r>
  <r>
    <d v="2024-10-24T00:00:00"/>
    <x v="9"/>
    <n v="43"/>
    <n v="2246"/>
    <x v="0"/>
    <s v="Michell Peñuela"/>
    <s v="TECUTB4C"/>
    <s v="Superficie Escritorio Blanco (Niebla) 140x70 Clasico"/>
    <n v="1"/>
    <x v="1"/>
    <x v="1"/>
    <x v="1"/>
    <x v="0"/>
    <s v="Envioclick- Coordinadora"/>
    <s v="2822914 - 84151014384"/>
    <d v="2024-10-24T00:00:00"/>
    <d v="2024-10-24T00:00:00"/>
    <x v="0"/>
    <n v="0"/>
    <n v="0"/>
    <x v="1"/>
    <n v="26870"/>
    <m/>
  </r>
  <r>
    <d v="2024-10-24T00:00:00"/>
    <x v="9"/>
    <n v="43"/>
    <n v="2247"/>
    <x v="0"/>
    <s v="Luis Caballero"/>
    <s v="TECU3FNPRO"/>
    <s v="Electric Standing Desk  PRO Negro"/>
    <n v="1"/>
    <x v="0"/>
    <x v="1"/>
    <x v="1"/>
    <x v="0"/>
    <s v="Envioclick- Coordinadora"/>
    <s v="2827096 - 84151015898"/>
    <d v="2024-10-25T00:00:00"/>
    <d v="2024-10-26T00:00:00"/>
    <x v="0"/>
    <n v="1"/>
    <n v="2"/>
    <x v="1"/>
    <n v="43277"/>
    <m/>
  </r>
  <r>
    <d v="2024-10-24T00:00:00"/>
    <x v="9"/>
    <n v="43"/>
    <n v="2247"/>
    <x v="0"/>
    <s v="Luis Caballero"/>
    <s v="TECUTCC5M"/>
    <s v="Superficie Escritorio Miel 150x70 Moderno"/>
    <n v="1"/>
    <x v="1"/>
    <x v="1"/>
    <x v="1"/>
    <x v="0"/>
    <s v="Envioclick- Coordinadora"/>
    <s v="2827097 - 84151015899"/>
    <d v="2024-10-25T00:00:00"/>
    <d v="2024-10-26T00:00:00"/>
    <x v="0"/>
    <n v="1"/>
    <n v="2"/>
    <x v="1"/>
    <n v="24366"/>
    <m/>
  </r>
  <r>
    <d v="2024-10-24T00:00:00"/>
    <x v="9"/>
    <n v="43"/>
    <n v="2247"/>
    <x v="0"/>
    <s v="Luis Caballero"/>
    <s v="TECUACC"/>
    <s v="Archivador TECU  Miel"/>
    <n v="1"/>
    <x v="3"/>
    <x v="1"/>
    <x v="1"/>
    <x v="0"/>
    <s v="Envioclick- Envia"/>
    <s v="2827103 - 84151015901"/>
    <d v="2024-10-25T00:00:00"/>
    <d v="2024-10-26T00:00:00"/>
    <x v="0"/>
    <n v="1"/>
    <n v="2"/>
    <x v="1"/>
    <n v="25593"/>
    <m/>
  </r>
  <r>
    <d v="2024-10-24T00:00:00"/>
    <x v="9"/>
    <n v="43"/>
    <n v="2247"/>
    <x v="0"/>
    <s v="Luis Caballero"/>
    <s v="TECUCT"/>
    <s v="TECU bandeja de cables"/>
    <n v="1"/>
    <x v="4"/>
    <x v="1"/>
    <x v="1"/>
    <x v="0"/>
    <s v="Envioclick- Coordinadora"/>
    <s v="2827103 - 84151015901"/>
    <d v="2024-10-25T00:00:00"/>
    <d v="2024-10-26T00:00:00"/>
    <x v="0"/>
    <n v="1"/>
    <n v="2"/>
    <x v="1"/>
    <n v="25593"/>
    <m/>
  </r>
  <r>
    <d v="2024-10-24T00:00:00"/>
    <x v="9"/>
    <n v="43"/>
    <n v="2248"/>
    <x v="0"/>
    <s v="Serrano Martínez CMA SAS"/>
    <s v="TECULFN2"/>
    <s v="Electric Standing Desk | Escritorio Ajustable En L Frame Negro 2.0"/>
    <n v="1"/>
    <x v="0"/>
    <x v="1"/>
    <x v="1"/>
    <x v="0"/>
    <s v="Envioclick- Coordinadora"/>
    <s v="2831132 - 84151017446"/>
    <d v="2024-10-28T00:00:00"/>
    <d v="2024-10-29T00:00:00"/>
    <x v="0"/>
    <n v="3"/>
    <n v="4"/>
    <x v="0"/>
    <n v="63147"/>
    <m/>
  </r>
  <r>
    <d v="2024-10-24T00:00:00"/>
    <x v="9"/>
    <n v="43"/>
    <n v="2248"/>
    <x v="0"/>
    <s v="Serrano Martínez CMA SAS"/>
    <s v="TECUTLCOS"/>
    <s v="Superficie Escritorio en L Miel Set completo"/>
    <n v="1"/>
    <x v="1"/>
    <x v="1"/>
    <x v="1"/>
    <x v="0"/>
    <s v="Envioclick- Coordinadora"/>
    <s v="2831135 - 84151017447"/>
    <d v="2024-10-28T00:00:00"/>
    <d v="2024-10-29T00:00:00"/>
    <x v="0"/>
    <n v="3"/>
    <n v="4"/>
    <x v="0"/>
    <n v="27069"/>
    <m/>
  </r>
  <r>
    <d v="2024-10-24T00:00:00"/>
    <x v="9"/>
    <n v="43"/>
    <n v="2248"/>
    <x v="0"/>
    <s v="Serrano Martínez CMA SAS"/>
    <s v="TECULFN2"/>
    <s v="Electric Standing Desk | Escritorio Ajustable En L Frame Negro 2.0"/>
    <n v="1"/>
    <x v="0"/>
    <x v="1"/>
    <x v="1"/>
    <x v="0"/>
    <s v="Envioclick- Coordinadora"/>
    <s v="2831139 - 84151017449"/>
    <d v="2024-10-28T00:00:00"/>
    <d v="2024-10-29T00:00:00"/>
    <x v="0"/>
    <n v="3"/>
    <n v="4"/>
    <x v="0"/>
    <n v="63147"/>
    <m/>
  </r>
  <r>
    <d v="2024-10-24T00:00:00"/>
    <x v="9"/>
    <n v="43"/>
    <n v="2248"/>
    <x v="0"/>
    <s v="Serrano Martínez CMA SAS"/>
    <s v="TECUTLCOS"/>
    <s v="Superficie Escritorio en L Miel Set completo"/>
    <n v="1"/>
    <x v="1"/>
    <x v="1"/>
    <x v="1"/>
    <x v="0"/>
    <s v="Envioclick- Coordinadora"/>
    <s v="2831140 - 84151017450"/>
    <d v="2024-10-28T00:00:00"/>
    <d v="2024-10-29T00:00:00"/>
    <x v="0"/>
    <n v="3"/>
    <n v="4"/>
    <x v="0"/>
    <n v="27069"/>
    <m/>
  </r>
  <r>
    <d v="2024-10-24T00:00:00"/>
    <x v="9"/>
    <n v="43"/>
    <n v="2248"/>
    <x v="0"/>
    <s v="Serrano Martínez CMA SAS"/>
    <s v="TECULFN2"/>
    <s v="Electric Standing Desk | Escritorio Ajustable En L Frame Negro 2.0"/>
    <n v="1"/>
    <x v="0"/>
    <x v="1"/>
    <x v="1"/>
    <x v="0"/>
    <s v="Envioclick- Coordinadora"/>
    <s v="2831143 - 84151017451"/>
    <d v="2024-10-28T00:00:00"/>
    <d v="2024-10-29T00:00:00"/>
    <x v="0"/>
    <n v="3"/>
    <n v="4"/>
    <x v="0"/>
    <n v="63147"/>
    <m/>
  </r>
  <r>
    <d v="2024-10-24T00:00:00"/>
    <x v="9"/>
    <n v="43"/>
    <n v="2248"/>
    <x v="0"/>
    <s v="Serrano Martínez CMA SAS"/>
    <s v="TECUTLCOS"/>
    <s v="Superficie Escritorio en L Miel Set completo"/>
    <n v="1"/>
    <x v="1"/>
    <x v="1"/>
    <x v="1"/>
    <x v="0"/>
    <s v="Envioclick- Coordinadora"/>
    <s v="2831144 - 84151017452"/>
    <d v="2024-10-28T00:00:00"/>
    <d v="2024-10-29T00:00:00"/>
    <x v="0"/>
    <n v="3"/>
    <n v="4"/>
    <x v="0"/>
    <n v="27069"/>
    <m/>
  </r>
  <r>
    <d v="2024-10-24T00:00:00"/>
    <x v="9"/>
    <n v="43"/>
    <n v="2248"/>
    <x v="0"/>
    <s v="Serrano Martínez CMA SAS"/>
    <s v="TECU3FNPRO"/>
    <s v="Electric Standing Desk  PRO Negro"/>
    <n v="1"/>
    <x v="0"/>
    <x v="1"/>
    <x v="1"/>
    <x v="0"/>
    <s v="Envioclick- Coordinadora"/>
    <s v="2831961 - 84151017835"/>
    <d v="2024-10-28T00:00:00"/>
    <d v="2024-10-29T00:00:00"/>
    <x v="0"/>
    <n v="3"/>
    <n v="4"/>
    <x v="0"/>
    <n v="49277"/>
    <m/>
  </r>
  <r>
    <d v="2024-10-24T00:00:00"/>
    <x v="9"/>
    <n v="43"/>
    <n v="2248"/>
    <x v="0"/>
    <s v="Serrano Martínez CMA SAS"/>
    <s v="TECUTCC2C"/>
    <s v="Superficie Escritorio Miel 120x70 Clasico Small"/>
    <n v="1"/>
    <x v="1"/>
    <x v="1"/>
    <x v="1"/>
    <x v="0"/>
    <s v="Envioclick- Coordinadora"/>
    <s v="2832182 - 84151017935"/>
    <d v="2024-10-28T00:00:00"/>
    <d v="2024-10-29T00:00:00"/>
    <x v="0"/>
    <n v="3"/>
    <n v="4"/>
    <x v="0"/>
    <n v="28866"/>
    <m/>
  </r>
  <r>
    <d v="2024-10-24T00:00:00"/>
    <x v="9"/>
    <n v="43"/>
    <n v="2248"/>
    <x v="0"/>
    <s v="Serrano Martínez CMA SAS"/>
    <s v="TECUDSN"/>
    <s v="TECU Desk Stool Negra Silla ajustable"/>
    <n v="1"/>
    <x v="5"/>
    <x v="1"/>
    <x v="1"/>
    <x v="0"/>
    <s v="Envioclick- Coordinadora"/>
    <s v="2832124 - 84151017917"/>
    <d v="2024-10-28T00:00:00"/>
    <d v="2024-10-29T00:00:00"/>
    <x v="0"/>
    <n v="3"/>
    <n v="4"/>
    <x v="0"/>
    <m/>
    <m/>
  </r>
  <r>
    <d v="2024-10-24T00:00:00"/>
    <x v="9"/>
    <n v="43"/>
    <n v="2249"/>
    <x v="0"/>
    <s v="Jeny Paola Villate Becerra"/>
    <s v="TECU3FNPRO"/>
    <s v="Electric Standing Desk  PRO Negro"/>
    <n v="1"/>
    <x v="0"/>
    <x v="1"/>
    <x v="1"/>
    <x v="0"/>
    <s v="Envioclick- Coordinadora"/>
    <s v="2827146 - 84151015919"/>
    <d v="2024-10-25T00:00:00"/>
    <d v="2024-10-26T00:00:00"/>
    <x v="0"/>
    <n v="1"/>
    <n v="2"/>
    <x v="1"/>
    <n v="3"/>
    <m/>
  </r>
  <r>
    <d v="2024-10-24T00:00:00"/>
    <x v="9"/>
    <n v="43"/>
    <n v="2249"/>
    <x v="0"/>
    <s v="Jeny Paola Villate Becerra"/>
    <s v="TECUTCO2C"/>
    <s v="Superficie Escritorio Caramelo 120x70 Clasico Small"/>
    <n v="1"/>
    <x v="1"/>
    <x v="1"/>
    <x v="1"/>
    <x v="0"/>
    <s v="Envioclick- Coordinadora"/>
    <s v="2827147 - 84151015920"/>
    <d v="2024-10-25T00:00:00"/>
    <d v="2024-10-28T00:00:00"/>
    <x v="0"/>
    <n v="1"/>
    <n v="3"/>
    <x v="1"/>
    <n v="29097"/>
    <m/>
  </r>
  <r>
    <d v="2024-10-24T00:00:00"/>
    <x v="9"/>
    <n v="43"/>
    <n v="2249"/>
    <x v="0"/>
    <s v="Jeny Paola Villate Becerra"/>
    <s v="TECUDSN"/>
    <s v="TECU Desk Stool Negra Silla ajustable"/>
    <n v="1"/>
    <x v="5"/>
    <x v="1"/>
    <x v="1"/>
    <x v="0"/>
    <s v="Envioclick- Coordinadora"/>
    <s v="2827150 - 84151015921"/>
    <d v="2024-10-25T00:00:00"/>
    <d v="2024-10-26T00:00:00"/>
    <x v="0"/>
    <n v="1"/>
    <n v="2"/>
    <x v="1"/>
    <n v="26870"/>
    <m/>
  </r>
  <r>
    <d v="2024-10-24T00:00:00"/>
    <x v="9"/>
    <n v="43"/>
    <n v="2249"/>
    <x v="0"/>
    <s v="Jeny Paola Villate Becerra"/>
    <m/>
    <s v="Servicio de instalacion"/>
    <n v="1"/>
    <x v="7"/>
    <x v="1"/>
    <x v="1"/>
    <x v="3"/>
    <s v="NA"/>
    <s v="NA"/>
    <s v="NA"/>
    <s v="NA"/>
    <x v="0"/>
    <e v="#VALUE!"/>
    <e v="#VALUE!"/>
    <x v="4"/>
    <m/>
    <m/>
  </r>
  <r>
    <d v="2024-10-28T00:00:00"/>
    <x v="9"/>
    <n v="44"/>
    <n v="2250"/>
    <x v="0"/>
    <s v="ESTEFANY LUNA PEREZ"/>
    <s v="TECUCT"/>
    <s v="TECU bandeja de cables"/>
    <n v="1"/>
    <x v="4"/>
    <x v="20"/>
    <x v="27"/>
    <x v="0"/>
    <s v="Envioclick- Coordinadora"/>
    <s v="2831177 - 84151017472"/>
    <d v="2024-10-28T00:00:00"/>
    <d v="2024-10-31T00:00:00"/>
    <x v="0"/>
    <n v="0"/>
    <n v="3"/>
    <x v="3"/>
    <n v="25593"/>
    <m/>
  </r>
  <r>
    <d v="2024-10-28T00:00:00"/>
    <x v="9"/>
    <n v="44"/>
    <n v="2250"/>
    <x v="0"/>
    <s v="ESTEFANY LUNA PEREZ"/>
    <s v="TECUROD"/>
    <s v="Rodachines con freno para Standing desk x 4 UN"/>
    <n v="1"/>
    <x v="6"/>
    <x v="20"/>
    <x v="27"/>
    <x v="0"/>
    <s v="Envioclick- Coordinadora"/>
    <s v="2831195 - 84151017479"/>
    <d v="2024-10-28T00:00:00"/>
    <d v="2024-10-31T00:00:00"/>
    <x v="0"/>
    <n v="0"/>
    <n v="3"/>
    <x v="3"/>
    <n v="24583"/>
    <m/>
  </r>
  <r>
    <d v="2024-10-28T00:00:00"/>
    <x v="9"/>
    <n v="44"/>
    <n v="2251"/>
    <x v="0"/>
    <s v="Natalia Caicedo"/>
    <s v="TECUDSN"/>
    <s v="TECU Desk Stool Negra Silla ajustable"/>
    <n v="1"/>
    <x v="5"/>
    <x v="4"/>
    <x v="5"/>
    <x v="0"/>
    <s v="Envioclick- Coordinadora"/>
    <s v="2831258 - 84151017503"/>
    <d v="2024-10-28T00:00:00"/>
    <d v="2024-10-30T00:00:00"/>
    <x v="0"/>
    <n v="0"/>
    <n v="2"/>
    <x v="1"/>
    <n v="26870"/>
    <m/>
  </r>
  <r>
    <d v="2024-10-28T00:00:00"/>
    <x v="9"/>
    <n v="44"/>
    <n v="2252"/>
    <x v="0"/>
    <s v="David Sanchez Escobar"/>
    <s v="TECU3FNPRO"/>
    <s v="Electric Standing Desk  PRO Negro"/>
    <n v="1"/>
    <x v="0"/>
    <x v="1"/>
    <x v="1"/>
    <x v="0"/>
    <s v="Envioclick- Coordinadora"/>
    <s v="2841000 - 84151021334"/>
    <d v="2024-11-01T00:00:00"/>
    <d v="2024-11-05T00:00:00"/>
    <x v="0"/>
    <n v="4"/>
    <n v="6"/>
    <x v="0"/>
    <n v="43277"/>
    <m/>
  </r>
  <r>
    <d v="2024-10-28T00:00:00"/>
    <x v="9"/>
    <n v="44"/>
    <n v="2252"/>
    <x v="0"/>
    <s v="David Sanchez Escobar"/>
    <s v="TECUTCO8C"/>
    <s v="Superficie Escritorio Caramelo 180x70 Clasico"/>
    <n v="1"/>
    <x v="1"/>
    <x v="1"/>
    <x v="1"/>
    <x v="0"/>
    <s v="Envioclick- Coordinadora"/>
    <s v="2841001 - 84151021335"/>
    <d v="2024-11-01T00:00:00"/>
    <d v="2024-11-05T00:00:00"/>
    <x v="0"/>
    <n v="4"/>
    <n v="6"/>
    <x v="0"/>
    <n v="27069"/>
    <m/>
  </r>
  <r>
    <d v="2024-10-28T00:00:00"/>
    <x v="9"/>
    <n v="44"/>
    <n v="2252"/>
    <x v="0"/>
    <s v="David Sanchez Escobar"/>
    <s v="TECUCT"/>
    <s v="TECU bandeja de cables"/>
    <n v="1"/>
    <x v="4"/>
    <x v="1"/>
    <x v="1"/>
    <x v="0"/>
    <s v="Envioclick- Coordinadora"/>
    <s v="2841005 - 84151021345"/>
    <d v="2024-11-01T00:00:00"/>
    <d v="2024-11-05T00:00:00"/>
    <x v="0"/>
    <n v="4"/>
    <n v="6"/>
    <x v="0"/>
    <n v="25593"/>
    <m/>
  </r>
  <r>
    <d v="2024-10-28T00:00:00"/>
    <x v="9"/>
    <n v="44"/>
    <n v="2252"/>
    <x v="0"/>
    <s v="David Sanchez Escobar"/>
    <m/>
    <s v="Servicio de instalacion"/>
    <n v="1"/>
    <x v="7"/>
    <x v="1"/>
    <x v="1"/>
    <x v="3"/>
    <s v="NA"/>
    <s v="NA"/>
    <s v="NA"/>
    <s v="NA"/>
    <x v="2"/>
    <m/>
    <m/>
    <x v="5"/>
    <m/>
    <m/>
  </r>
  <r>
    <d v="2024-10-28T00:00:00"/>
    <x v="9"/>
    <n v="44"/>
    <n v="2253"/>
    <x v="0"/>
    <s v="Zaferi SAS"/>
    <s v="TECU3FNPRO"/>
    <s v="Electric Standing Desk  PRO Negro"/>
    <n v="1"/>
    <x v="0"/>
    <x v="0"/>
    <x v="10"/>
    <x v="0"/>
    <s v="Envioclick- Coordinadora"/>
    <s v="2833354 - 84151018449"/>
    <d v="2024-10-29T00:00:00"/>
    <d v="2024-10-30T00:00:00"/>
    <x v="0"/>
    <n v="1"/>
    <n v="2"/>
    <x v="1"/>
    <n v="43277"/>
    <m/>
  </r>
  <r>
    <d v="2024-10-28T00:00:00"/>
    <x v="9"/>
    <n v="44"/>
    <n v="2253"/>
    <x v="0"/>
    <s v="Zaferi SAS"/>
    <s v="TECUTCC8C"/>
    <s v="Superficie Escritorio Miel 180x70 Clasico"/>
    <n v="1"/>
    <x v="1"/>
    <x v="0"/>
    <x v="10"/>
    <x v="0"/>
    <s v="Envioclick- Coordinadora"/>
    <s v="2833355 - 84151018450"/>
    <d v="2024-10-29T00:00:00"/>
    <d v="2024-10-30T00:00:00"/>
    <x v="0"/>
    <n v="1"/>
    <n v="2"/>
    <x v="1"/>
    <n v="27069"/>
    <m/>
  </r>
  <r>
    <d v="2024-10-30T00:00:00"/>
    <x v="9"/>
    <n v="44"/>
    <n v="2254"/>
    <x v="0"/>
    <s v="Diana Mercedes Paez Barbosa"/>
    <s v="TECU2FNG"/>
    <s v="Electric Standing Desk GO Negro"/>
    <n v="1"/>
    <x v="0"/>
    <x v="6"/>
    <x v="23"/>
    <x v="0"/>
    <s v="Envioclick- Coordinadora"/>
    <s v="2836365- 84151019490"/>
    <d v="2024-10-30T00:00:00"/>
    <d v="2024-11-02T00:00:00"/>
    <x v="0"/>
    <n v="0"/>
    <n v="3"/>
    <x v="1"/>
    <n v="60493"/>
    <m/>
  </r>
  <r>
    <d v="2024-10-30T00:00:00"/>
    <x v="9"/>
    <n v="44"/>
    <n v="2254"/>
    <x v="0"/>
    <s v="Diana Mercedes Paez Barbosa"/>
    <s v="TECU2FNG"/>
    <s v="Electric Standing Desk GO Negro"/>
    <n v="1"/>
    <x v="0"/>
    <x v="6"/>
    <x v="23"/>
    <x v="0"/>
    <s v="Envioclick- Coordinadora"/>
    <s v="2836371 - 84151019492"/>
    <d v="2024-10-30T00:00:00"/>
    <d v="2024-11-02T00:00:00"/>
    <x v="0"/>
    <n v="0"/>
    <n v="3"/>
    <x v="1"/>
    <n v="60493"/>
    <m/>
  </r>
  <r>
    <d v="2024-10-30T00:00:00"/>
    <x v="9"/>
    <n v="44"/>
    <n v="2255"/>
    <x v="0"/>
    <s v="Cristian Garzon"/>
    <s v="TECU3FNPRO"/>
    <s v="Electric Standing Desk  PRO Negro"/>
    <n v="1"/>
    <x v="0"/>
    <x v="0"/>
    <x v="38"/>
    <x v="0"/>
    <s v="Envioclick- Coordinadora"/>
    <s v="2837437 - 84151020018"/>
    <d v="2024-10-30T00:00:00"/>
    <d v="2024-10-31T00:00:00"/>
    <x v="0"/>
    <n v="0"/>
    <n v="1"/>
    <x v="3"/>
    <n v="43277"/>
    <m/>
  </r>
  <r>
    <d v="2024-10-30T00:00:00"/>
    <x v="9"/>
    <n v="44"/>
    <n v="2255"/>
    <x v="0"/>
    <s v="Cristian Garzon"/>
    <m/>
    <s v="Servicio de instalacion"/>
    <n v="1"/>
    <x v="7"/>
    <x v="0"/>
    <x v="38"/>
    <x v="0"/>
    <s v="Envioclick- Coordinadora"/>
    <s v="NA"/>
    <s v="NA"/>
    <s v="NA"/>
    <x v="2"/>
    <m/>
    <m/>
    <x v="5"/>
    <m/>
    <m/>
  </r>
  <r>
    <d v="2024-10-30T00:00:00"/>
    <x v="9"/>
    <n v="44"/>
    <n v="2256"/>
    <x v="0"/>
    <s v="Daniel Franco Meneses"/>
    <s v="TECU2FBGO"/>
    <s v="Electric Standing Desk GO Blanco"/>
    <n v="1"/>
    <x v="0"/>
    <x v="13"/>
    <x v="28"/>
    <x v="0"/>
    <s v="Envioclick- Coordinadora"/>
    <s v="2838546 - 84151020448"/>
    <d v="2024-10-31T00:00:00"/>
    <d v="2024-11-01T00:00:00"/>
    <x v="0"/>
    <n v="1"/>
    <n v="2"/>
    <x v="1"/>
    <n v="41925"/>
    <m/>
  </r>
  <r>
    <d v="2024-10-30T00:00:00"/>
    <x v="9"/>
    <n v="44"/>
    <n v="2256"/>
    <x v="0"/>
    <s v="Daniel Franco Meneses"/>
    <s v="TECUTCC4C"/>
    <s v="Superficie Escritorio Miel 140x70 Clasico"/>
    <n v="1"/>
    <x v="1"/>
    <x v="13"/>
    <x v="28"/>
    <x v="0"/>
    <s v="Envioclick- Coordinadora"/>
    <s v="2838548 - 84151020449"/>
    <d v="2024-10-31T00:00:00"/>
    <d v="2024-11-01T00:00:00"/>
    <x v="0"/>
    <n v="1"/>
    <n v="2"/>
    <x v="1"/>
    <n v="24366"/>
    <m/>
  </r>
  <r>
    <d v="2024-10-31T00:00:00"/>
    <x v="9"/>
    <n v="44"/>
    <n v="2257"/>
    <x v="0"/>
    <s v="Fabio Restrepo Tello"/>
    <s v="TECU3FNPRO"/>
    <s v="Electric Standing Desk  PRO Negro"/>
    <n v="1"/>
    <x v="0"/>
    <x v="1"/>
    <x v="1"/>
    <x v="0"/>
    <s v="Envioclick- Coordinadora"/>
    <s v="2841015 - 84151021351"/>
    <d v="2024-11-01T00:00:00"/>
    <d v="2024-11-05T00:00:00"/>
    <x v="0"/>
    <n v="1"/>
    <n v="3"/>
    <x v="1"/>
    <n v="43277"/>
    <m/>
  </r>
  <r>
    <d v="2024-10-31T00:00:00"/>
    <x v="9"/>
    <n v="44"/>
    <n v="2257"/>
    <x v="0"/>
    <s v="Fabio Restrepo Tello"/>
    <s v="TECUTRN5C"/>
    <s v="Superficie Escritorio Roble negro 150x70 Clasico"/>
    <n v="1"/>
    <x v="1"/>
    <x v="1"/>
    <x v="1"/>
    <x v="0"/>
    <s v="Envioclick- Coordinadora"/>
    <s v="2841016 - 84151021352"/>
    <d v="2024-11-01T00:00:00"/>
    <d v="2024-11-05T00:00:00"/>
    <x v="0"/>
    <n v="1"/>
    <n v="3"/>
    <x v="1"/>
    <n v="24366"/>
    <m/>
  </r>
  <r>
    <d v="2024-10-31T00:00:00"/>
    <x v="9"/>
    <n v="44"/>
    <n v="2257"/>
    <x v="0"/>
    <s v="Fabio Restrepo Tello"/>
    <s v="TECUDSN"/>
    <s v="TECU Desk Stool Negra Silla ajustable"/>
    <n v="1"/>
    <x v="5"/>
    <x v="1"/>
    <x v="1"/>
    <x v="0"/>
    <s v="Envioclick- Coordinadora"/>
    <s v="2841245 - 84151021476"/>
    <d v="2024-11-01T00:00:00"/>
    <d v="2024-11-05T00:00:00"/>
    <x v="0"/>
    <n v="1"/>
    <n v="3"/>
    <x v="1"/>
    <n v="26870"/>
    <m/>
  </r>
  <r>
    <d v="2024-10-31T00:00:00"/>
    <x v="9"/>
    <n v="44"/>
    <n v="2257"/>
    <x v="0"/>
    <s v="Fabio Restrepo Tello"/>
    <s v="TECUAN"/>
    <s v="Archivador TECU  Negro (Wengue)"/>
    <n v="1"/>
    <x v="3"/>
    <x v="1"/>
    <x v="1"/>
    <x v="0"/>
    <s v="Envioclick- Envia"/>
    <s v="2840021 - 954101074940"/>
    <d v="2024-10-31T00:00:00"/>
    <d v="2024-11-01T00:00:00"/>
    <x v="0"/>
    <n v="0"/>
    <n v="1"/>
    <x v="1"/>
    <n v="43847"/>
    <m/>
  </r>
  <r>
    <d v="2024-10-31T00:00:00"/>
    <x v="9"/>
    <n v="44"/>
    <n v="2258"/>
    <x v="0"/>
    <s v="matias celiz"/>
    <s v="TECU3FNPRO"/>
    <s v="Electric Standing Desk  PRO Negro"/>
    <n v="1"/>
    <x v="0"/>
    <x v="0"/>
    <x v="3"/>
    <x v="0"/>
    <s v="Envioclick- Coordinadora"/>
    <s v="2841254 - 84151021482"/>
    <d v="2024-11-01T00:00:00"/>
    <d v="2024-11-02T00:00:00"/>
    <x v="0"/>
    <n v="1"/>
    <n v="2"/>
    <x v="1"/>
    <n v="43277"/>
    <m/>
  </r>
  <r>
    <d v="2024-10-31T00:00:00"/>
    <x v="9"/>
    <n v="44"/>
    <n v="2258"/>
    <x v="0"/>
    <s v="matias celiz"/>
    <s v="TECUTCC7C"/>
    <s v="Superficie Escritorio Miel 170x70 Clasico"/>
    <n v="1"/>
    <x v="1"/>
    <x v="0"/>
    <x v="3"/>
    <x v="0"/>
    <s v="Envioclick- Coordinadora"/>
    <s v="2841255 - 84151021483"/>
    <d v="2024-11-01T00:00:00"/>
    <d v="2024-11-04T00:00:00"/>
    <x v="0"/>
    <n v="1"/>
    <n v="2"/>
    <x v="1"/>
    <n v="27069"/>
    <m/>
  </r>
  <r>
    <d v="2024-11-01T00:00:00"/>
    <x v="10"/>
    <n v="44"/>
    <n v="2259"/>
    <x v="0"/>
    <s v="Manuela Rico"/>
    <s v="TECU3FNPRO"/>
    <s v="Electric Standing Desk  PRO Negro"/>
    <n v="1"/>
    <x v="0"/>
    <x v="4"/>
    <x v="5"/>
    <x v="0"/>
    <s v="Envioclick- Coordinadora"/>
    <s v="2845709 - 84151022995"/>
    <d v="2024-11-05T00:00:00"/>
    <d v="2024-11-07T00:00:00"/>
    <x v="0"/>
    <n v="2"/>
    <n v="4"/>
    <x v="0"/>
    <n v="43277"/>
    <m/>
  </r>
  <r>
    <d v="2024-11-01T00:00:00"/>
    <x v="10"/>
    <n v="44"/>
    <n v="2259"/>
    <x v="0"/>
    <s v="Manuela Rico"/>
    <s v="TECUTB7C"/>
    <s v="Superficie Escritorio Blanco (Niebla) 170x70 Clasico"/>
    <n v="1"/>
    <x v="1"/>
    <x v="4"/>
    <x v="5"/>
    <x v="0"/>
    <s v="Envioclick- Coordinadora"/>
    <s v="2845712 - 84151022997"/>
    <d v="2024-11-05T00:00:00"/>
    <d v="2024-11-07T00:00:00"/>
    <x v="0"/>
    <n v="2"/>
    <n v="4"/>
    <x v="0"/>
    <n v="24366"/>
    <m/>
  </r>
  <r>
    <d v="2024-11-01T00:00:00"/>
    <x v="10"/>
    <n v="44"/>
    <n v="2259"/>
    <x v="0"/>
    <s v="Manuela Rico"/>
    <s v="TECUAB"/>
    <s v="Archivador TECU  Blanco (Niebla)"/>
    <n v="1"/>
    <x v="3"/>
    <x v="4"/>
    <x v="5"/>
    <x v="0"/>
    <s v="Envioclick- Envia"/>
    <s v="2845974 - 954101076958"/>
    <d v="2024-11-05T00:00:00"/>
    <d v="2024-11-07T00:00:00"/>
    <x v="0"/>
    <n v="2"/>
    <n v="4"/>
    <x v="0"/>
    <n v="52482"/>
    <m/>
  </r>
  <r>
    <d v="2024-11-01T00:00:00"/>
    <x v="10"/>
    <n v="44"/>
    <n v="2260"/>
    <x v="0"/>
    <s v="Oscar Javier Dominguez Ramirez"/>
    <s v="TECU3FNPRO"/>
    <s v="Electric Standing Desk  PRO Negro"/>
    <n v="1"/>
    <x v="0"/>
    <x v="1"/>
    <x v="50"/>
    <x v="0"/>
    <s v="Envioclick- Coordinadora"/>
    <s v="2845308  - 84151022810"/>
    <d v="2024-11-05T00:00:00"/>
    <d v="2024-11-20T00:00:00"/>
    <x v="0"/>
    <n v="2"/>
    <n v="14"/>
    <x v="0"/>
    <n v="43277"/>
    <s v="Novedad cambio de ciudad en la guia - Se monta tickets para los cambios.  // Toca ir a recogerla presencialmente a Coordindora - Cota. "/>
  </r>
  <r>
    <d v="2024-11-01T00:00:00"/>
    <x v="10"/>
    <n v="44"/>
    <n v="2260"/>
    <x v="0"/>
    <s v="Oscar Javier Dominguez Ramirez"/>
    <s v="TECUTRN6C"/>
    <s v="Superficie Escritorio Roble Negro 160x70 Clasico"/>
    <n v="1"/>
    <x v="1"/>
    <x v="1"/>
    <x v="50"/>
    <x v="0"/>
    <s v="Envioclick- Coordinadora"/>
    <s v="2845310 - 84151022811 / 39723403246"/>
    <d v="2024-11-05T00:00:00"/>
    <d v="2024-11-14T00:00:00"/>
    <x v="0"/>
    <n v="2"/>
    <n v="9"/>
    <x v="0"/>
    <n v="24366"/>
    <s v="Novedad cambio de ciudad en la guia - Se monta tickets para los cambios. "/>
  </r>
  <r>
    <d v="2024-11-02T00:00:00"/>
    <x v="10"/>
    <n v="44"/>
    <n v="2261"/>
    <x v="0"/>
    <s v="Diego Hoyos"/>
    <s v="TECU3FNPRO"/>
    <s v="Electric Standing Desk  PRO Negro"/>
    <n v="1"/>
    <x v="0"/>
    <x v="0"/>
    <x v="12"/>
    <x v="0"/>
    <s v="Envioclick- Coordinadora"/>
    <s v="2858950 - 84151028433"/>
    <d v="2024-11-12T00:00:00"/>
    <d v="2024-11-14T00:00:00"/>
    <x v="0"/>
    <n v="6"/>
    <n v="8"/>
    <x v="0"/>
    <m/>
    <s v="Cliente pide se despache 12 Nov"/>
  </r>
  <r>
    <d v="2024-11-02T00:00:00"/>
    <x v="10"/>
    <n v="44"/>
    <n v="2261"/>
    <x v="0"/>
    <s v="Diego Hoyos"/>
    <s v="TECUTRN5C"/>
    <s v="Superficie Escritorio Roble negro 150x70 Clasico"/>
    <n v="1"/>
    <x v="1"/>
    <x v="0"/>
    <x v="12"/>
    <x v="0"/>
    <s v="Envioclick- Coordinadora"/>
    <s v="2858951 - 84151028434"/>
    <d v="2024-11-12T00:00:00"/>
    <d v="2024-11-14T00:00:00"/>
    <x v="0"/>
    <n v="6"/>
    <n v="8"/>
    <x v="0"/>
    <m/>
    <s v="Cliente pide se despache 12 Nov"/>
  </r>
  <r>
    <d v="2024-11-02T00:00:00"/>
    <x v="10"/>
    <n v="44"/>
    <n v="2262"/>
    <x v="0"/>
    <s v="Helmuth Cepeda"/>
    <s v="TECUACO"/>
    <s v="Archivador TECU  Caramelo"/>
    <n v="1"/>
    <x v="3"/>
    <x v="1"/>
    <x v="1"/>
    <x v="0"/>
    <s v="Envioclick- Envia"/>
    <s v="2845319 - 954101076740"/>
    <d v="2024-11-05T00:00:00"/>
    <d v="2024-11-06T00:00:00"/>
    <x v="0"/>
    <n v="1"/>
    <n v="2"/>
    <x v="1"/>
    <n v="43847"/>
    <m/>
  </r>
  <r>
    <d v="2024-11-02T00:00:00"/>
    <x v="10"/>
    <n v="44"/>
    <n v="2263"/>
    <x v="0"/>
    <s v="Andres Ferreira"/>
    <s v="TECURCC"/>
    <s v="Repisa TECU  Miel"/>
    <n v="1"/>
    <x v="2"/>
    <x v="1"/>
    <x v="1"/>
    <x v="0"/>
    <s v="Envioclick- Coordinadora"/>
    <s v="2845332 - 84151022824"/>
    <d v="2024-11-05T00:00:00"/>
    <d v="2024-11-06T00:00:00"/>
    <x v="0"/>
    <n v="1"/>
    <n v="2"/>
    <x v="1"/>
    <n v="23690"/>
    <m/>
  </r>
  <r>
    <d v="2024-11-02T00:00:00"/>
    <x v="10"/>
    <n v="44"/>
    <n v="2264"/>
    <x v="0"/>
    <s v="Render man project Sas"/>
    <s v="TECURCO"/>
    <s v="Repisa TECU  Caramelo"/>
    <n v="1"/>
    <x v="2"/>
    <x v="1"/>
    <x v="1"/>
    <x v="0"/>
    <s v="Envioclick- Coordinadora"/>
    <s v="2845336 - 84151022826"/>
    <d v="2024-11-05T00:00:00"/>
    <d v="2024-11-07T00:00:00"/>
    <x v="0"/>
    <n v="1"/>
    <n v="3"/>
    <x v="1"/>
    <n v="23690"/>
    <m/>
  </r>
  <r>
    <d v="2024-11-02T00:00:00"/>
    <x v="10"/>
    <n v="44"/>
    <n v="2265"/>
    <x v="0"/>
    <s v="Sebastian Patiño Barrientos"/>
    <s v="TECUCT"/>
    <s v="TECU bandeja de cables"/>
    <n v="1"/>
    <x v="4"/>
    <x v="0"/>
    <x v="3"/>
    <x v="0"/>
    <s v="Envioclick- Coordinadora"/>
    <s v="2845603 - 84151022912"/>
    <d v="2024-11-05T00:00:00"/>
    <d v="2024-11-06T00:00:00"/>
    <x v="0"/>
    <n v="1"/>
    <n v="2"/>
    <x v="1"/>
    <n v="25593"/>
    <m/>
  </r>
  <r>
    <d v="2024-11-02T00:00:00"/>
    <x v="10"/>
    <n v="44"/>
    <n v="2266"/>
    <x v="0"/>
    <s v="Juan Camilo Martinez Coronado"/>
    <s v="TECU3FNPRO"/>
    <s v="Electric Standing Desk  PRO Negro"/>
    <n v="1"/>
    <x v="0"/>
    <x v="0"/>
    <x v="3"/>
    <x v="0"/>
    <s v="Envioclick- Coordinadora"/>
    <s v="2845347 - 84151022830"/>
    <d v="2024-11-05T00:00:00"/>
    <d v="2024-11-06T00:00:00"/>
    <x v="0"/>
    <n v="1"/>
    <n v="2"/>
    <x v="1"/>
    <n v="43277"/>
    <m/>
  </r>
  <r>
    <d v="2024-11-02T00:00:00"/>
    <x v="10"/>
    <n v="44"/>
    <n v="2266"/>
    <x v="0"/>
    <s v="Juan Camilo Martinez Coronado"/>
    <s v="TECUTCC2C"/>
    <s v="Superficie Escritorio Miel 120x70 Clasico Small"/>
    <n v="1"/>
    <x v="1"/>
    <x v="0"/>
    <x v="3"/>
    <x v="0"/>
    <s v="Envioclick- Coordinadora"/>
    <s v="2845348 - 84151022831"/>
    <d v="2024-11-05T00:00:00"/>
    <d v="2024-11-07T00:00:00"/>
    <x v="0"/>
    <n v="1"/>
    <n v="3"/>
    <x v="1"/>
    <n v="29097"/>
    <m/>
  </r>
  <r>
    <d v="2024-11-03T00:00:00"/>
    <x v="10"/>
    <n v="45"/>
    <n v="2267"/>
    <x v="0"/>
    <s v="Daniel Stiven Rendon Cortes"/>
    <s v="TECU3FNPRO"/>
    <s v="Electric Standing Desk  PRO Negro"/>
    <n v="1"/>
    <x v="0"/>
    <x v="0"/>
    <x v="3"/>
    <x v="0"/>
    <s v="Envioclick- Coordinadora"/>
    <s v="2845363 - 84151022839"/>
    <d v="2024-11-05T00:00:00"/>
    <d v="2024-11-06T00:00:00"/>
    <x v="0"/>
    <n v="0"/>
    <n v="1"/>
    <x v="1"/>
    <n v="43277"/>
    <m/>
  </r>
  <r>
    <d v="2024-11-03T00:00:00"/>
    <x v="10"/>
    <n v="45"/>
    <n v="2267"/>
    <x v="0"/>
    <s v="Daniel Stiven Rendon Cortes"/>
    <s v="TECUTB2C"/>
    <s v="Superficie Escritorio Blanco (Niebla) 120x70 Clasico Small"/>
    <n v="1"/>
    <x v="1"/>
    <x v="0"/>
    <x v="3"/>
    <x v="0"/>
    <s v="Envioclick- Coordinadora"/>
    <s v="2845364 - 84151022840"/>
    <d v="2024-11-05T00:00:00"/>
    <d v="2024-11-07T00:00:00"/>
    <x v="0"/>
    <n v="0"/>
    <n v="2"/>
    <x v="1"/>
    <n v="29097"/>
    <m/>
  </r>
  <r>
    <d v="2024-11-03T00:00:00"/>
    <x v="10"/>
    <n v="45"/>
    <n v="2268"/>
    <x v="0"/>
    <s v="juan posada"/>
    <s v="TECU3FNPRO"/>
    <s v="Electric Standing Desk  PRO Negro"/>
    <n v="1"/>
    <x v="0"/>
    <x v="0"/>
    <x v="3"/>
    <x v="0"/>
    <s v="Envioclick- Coordinadora"/>
    <s v="2845373 - 84151022844"/>
    <d v="2024-11-06T00:00:00"/>
    <d v="2024-11-07T00:00:00"/>
    <x v="0"/>
    <n v="1"/>
    <n v="2"/>
    <x v="1"/>
    <n v="43277"/>
    <m/>
  </r>
  <r>
    <d v="2024-11-03T00:00:00"/>
    <x v="10"/>
    <n v="45"/>
    <n v="2268"/>
    <x v="0"/>
    <s v="juan posada"/>
    <s v="TECUTCO2C"/>
    <s v="Superficie Escritorio Caramelo 120x70 Clasico Small"/>
    <n v="1"/>
    <x v="1"/>
    <x v="0"/>
    <x v="3"/>
    <x v="0"/>
    <s v="Envioclick- Coordinadora"/>
    <s v="2845374 - 84151022845"/>
    <d v="2024-11-06T00:00:00"/>
    <d v="2024-11-07T00:00:00"/>
    <x v="0"/>
    <n v="1"/>
    <n v="2"/>
    <x v="1"/>
    <n v="29097"/>
    <m/>
  </r>
  <r>
    <d v="2024-11-04T00:00:00"/>
    <x v="10"/>
    <n v="45"/>
    <n v="2269"/>
    <x v="0"/>
    <s v="Carlos Ferrer"/>
    <s v="TECU2FGGO"/>
    <s v="Electric Standing Desk GO Gris"/>
    <n v="1"/>
    <x v="0"/>
    <x v="0"/>
    <x v="11"/>
    <x v="0"/>
    <s v="Envioclick- Coordinadora"/>
    <s v="2845474 - 84151022854"/>
    <d v="2024-11-05T00:00:00"/>
    <d v="2024-11-06T00:00:00"/>
    <x v="0"/>
    <n v="0"/>
    <n v="1"/>
    <x v="1"/>
    <n v="41925"/>
    <m/>
  </r>
  <r>
    <d v="2024-11-04T00:00:00"/>
    <x v="10"/>
    <n v="45"/>
    <n v="2269"/>
    <x v="0"/>
    <s v="Carlos Ferrer"/>
    <s v="TECUTCC4C"/>
    <s v="Superficie Escritorio Miel 140x70 Clasico"/>
    <n v="1"/>
    <x v="1"/>
    <x v="0"/>
    <x v="11"/>
    <x v="0"/>
    <s v="Envioclick- Coordinadora"/>
    <s v="2845478 - 84151022857"/>
    <d v="2024-11-05T00:00:00"/>
    <d v="2024-11-06T00:00:00"/>
    <x v="0"/>
    <n v="0"/>
    <n v="1"/>
    <x v="1"/>
    <n v="24366"/>
    <m/>
  </r>
  <r>
    <d v="2024-11-04T00:00:00"/>
    <x v="10"/>
    <n v="45"/>
    <n v="2270"/>
    <x v="0"/>
    <s v="Camila White Romero"/>
    <s v="TECU2FGGO"/>
    <s v="Electric Standing Desk GO Gris"/>
    <n v="1"/>
    <x v="0"/>
    <x v="0"/>
    <x v="3"/>
    <x v="0"/>
    <s v="Envioclick- Coordinadora"/>
    <s v="2845528 - 84151022888"/>
    <d v="2024-11-05T00:00:00"/>
    <d v="2024-11-06T00:00:00"/>
    <x v="0"/>
    <n v="0"/>
    <n v="1"/>
    <x v="1"/>
    <n v="41925"/>
    <m/>
  </r>
  <r>
    <d v="2024-11-04T00:00:00"/>
    <x v="10"/>
    <n v="45"/>
    <n v="2270"/>
    <x v="0"/>
    <s v="Camila White Romero"/>
    <s v="TECUTCC2C"/>
    <s v="Superficie Escritorio Miel 120x70 Clasico Small"/>
    <n v="1"/>
    <x v="1"/>
    <x v="0"/>
    <x v="3"/>
    <x v="0"/>
    <s v="Envioclick- Coordinadora"/>
    <s v="2845529 - 84151022889"/>
    <d v="2024-11-05T00:00:00"/>
    <d v="2024-11-06T00:00:00"/>
    <x v="0"/>
    <n v="0"/>
    <n v="1"/>
    <x v="1"/>
    <n v="24366"/>
    <m/>
  </r>
  <r>
    <d v="2024-11-05T00:00:00"/>
    <x v="10"/>
    <n v="45"/>
    <n v="2271"/>
    <x v="0"/>
    <s v="Jeffrey Hooker"/>
    <s v="TECUCT"/>
    <s v="TECU bandeja de cables"/>
    <n v="1"/>
    <x v="4"/>
    <x v="1"/>
    <x v="1"/>
    <x v="0"/>
    <s v="Envioclick- Coordinadora"/>
    <s v="2845564 - 84151022896"/>
    <d v="2024-11-05T00:00:00"/>
    <d v="2024-11-06T00:00:00"/>
    <x v="0"/>
    <n v="0"/>
    <n v="1"/>
    <x v="1"/>
    <n v="25593"/>
    <m/>
  </r>
  <r>
    <d v="2024-11-05T00:00:00"/>
    <x v="10"/>
    <n v="45"/>
    <n v="2273"/>
    <x v="0"/>
    <s v="Rubén Melo"/>
    <s v="TECU3FNPRO"/>
    <s v="Electric Standing Desk  PRO Negro"/>
    <n v="1"/>
    <x v="0"/>
    <x v="3"/>
    <x v="4"/>
    <x v="0"/>
    <s v="Envioclick- Coordinadora"/>
    <s v="2845768 - 84151023030"/>
    <d v="2024-11-05T00:00:00"/>
    <d v="2024-11-08T00:00:00"/>
    <x v="0"/>
    <n v="0"/>
    <n v="3"/>
    <x v="1"/>
    <n v="63171"/>
    <m/>
  </r>
  <r>
    <d v="2024-11-05T00:00:00"/>
    <x v="10"/>
    <n v="45"/>
    <n v="2273"/>
    <x v="0"/>
    <s v="Rubén Melo"/>
    <s v="TECUTRN2C"/>
    <s v="Superficie Escritorio Roble Negro 120x70 Clasico Small"/>
    <n v="1"/>
    <x v="1"/>
    <x v="3"/>
    <x v="4"/>
    <x v="0"/>
    <s v="Envioclick- Coordinadora"/>
    <s v="2845769 - 84151023031"/>
    <d v="2024-11-05T00:00:00"/>
    <d v="2024-11-08T00:00:00"/>
    <x v="0"/>
    <n v="0"/>
    <n v="3"/>
    <x v="1"/>
    <n v="48991"/>
    <m/>
  </r>
  <r>
    <d v="2024-11-05T00:00:00"/>
    <x v="10"/>
    <n v="45"/>
    <n v="2274"/>
    <x v="0"/>
    <s v="Carlos Gutierrez"/>
    <s v="TECU2FNG"/>
    <s v="Electric Standing Desk GO Negro"/>
    <n v="1"/>
    <x v="0"/>
    <x v="1"/>
    <x v="51"/>
    <x v="0"/>
    <s v="Envioclick- Coordinadora"/>
    <s v="2847815 - 84151024213"/>
    <d v="2024-11-05T00:00:00"/>
    <d v="2024-11-07T00:00:00"/>
    <x v="0"/>
    <n v="0"/>
    <n v="2"/>
    <x v="3"/>
    <n v="54422"/>
    <m/>
  </r>
  <r>
    <d v="2024-11-05T00:00:00"/>
    <x v="10"/>
    <n v="45"/>
    <n v="2274"/>
    <x v="0"/>
    <s v="Carlos Gutierrez"/>
    <s v="TECUTRN4C"/>
    <s v="Superficie Escritorio Roble Negro 140x70 Clasico"/>
    <n v="1"/>
    <x v="1"/>
    <x v="1"/>
    <x v="51"/>
    <x v="0"/>
    <s v="Envioclick- Coordinadora"/>
    <s v="2847816 - 84151024214"/>
    <d v="2024-11-05T00:00:00"/>
    <d v="2024-11-07T00:00:00"/>
    <x v="0"/>
    <n v="0"/>
    <n v="2"/>
    <x v="3"/>
    <n v="34631"/>
    <m/>
  </r>
  <r>
    <d v="2024-11-06T00:00:00"/>
    <x v="10"/>
    <n v="45"/>
    <n v="2275"/>
    <x v="0"/>
    <s v="Natalia Suarez"/>
    <s v="TECU2FGGO"/>
    <s v="Electric Standing Desk GO Gris"/>
    <n v="1"/>
    <x v="0"/>
    <x v="7"/>
    <x v="32"/>
    <x v="0"/>
    <s v="Envioclick- Coordinadora"/>
    <s v="2848973 - 84151024653"/>
    <d v="2024-11-08T00:00:00"/>
    <d v="2024-11-09T00:00:00"/>
    <x v="0"/>
    <n v="2"/>
    <n v="3"/>
    <x v="3"/>
    <n v="94864"/>
    <m/>
  </r>
  <r>
    <d v="2024-11-06T00:00:00"/>
    <x v="10"/>
    <n v="45"/>
    <n v="2275"/>
    <x v="0"/>
    <s v="Natalia Suarez"/>
    <s v="TECUTRN2C"/>
    <s v="Superficie Escritorio Roble Negro 120x70 Clasico Small"/>
    <n v="1"/>
    <x v="1"/>
    <x v="7"/>
    <x v="32"/>
    <x v="0"/>
    <s v="Envioclick- Coordinadora"/>
    <s v="2848974 - 84151024654"/>
    <d v="2024-11-08T00:00:00"/>
    <d v="2024-11-09T00:00:00"/>
    <x v="0"/>
    <n v="2"/>
    <n v="3"/>
    <x v="3"/>
    <n v="80684"/>
    <m/>
  </r>
  <r>
    <d v="2024-11-06T00:00:00"/>
    <x v="10"/>
    <n v="45"/>
    <n v="2275"/>
    <x v="0"/>
    <s v="Natalia Suarez"/>
    <s v="TECUDSN"/>
    <s v="TECU Desk Stool Negra Silla ajustable"/>
    <n v="1"/>
    <x v="5"/>
    <x v="7"/>
    <x v="32"/>
    <x v="0"/>
    <s v="Envioclick- Coordinadora"/>
    <s v="2848982 - 84151024657"/>
    <d v="2024-11-08T00:00:00"/>
    <d v="2024-11-09T00:00:00"/>
    <x v="0"/>
    <n v="2"/>
    <n v="3"/>
    <x v="3"/>
    <n v="83864"/>
    <m/>
  </r>
  <r>
    <d v="2024-11-06T00:00:00"/>
    <x v="10"/>
    <n v="45"/>
    <n v="2276"/>
    <x v="0"/>
    <s v="Oscar Andres Cossio Acevedo"/>
    <s v="TECULFN2"/>
    <s v="Electric Standing Desk | Escritorio Ajustable En L Frame Negro 2.0"/>
    <n v="1"/>
    <x v="0"/>
    <x v="5"/>
    <x v="33"/>
    <x v="0"/>
    <s v="Envioclick- Coordinadora"/>
    <s v="2851791 - 84151025770"/>
    <d v="2024-11-07T00:00:00"/>
    <d v="2024-11-08T00:00:00"/>
    <x v="0"/>
    <n v="1"/>
    <n v="2"/>
    <x v="1"/>
    <n v="49373"/>
    <m/>
  </r>
  <r>
    <d v="2024-11-06T00:00:00"/>
    <x v="10"/>
    <n v="45"/>
    <n v="2276"/>
    <x v="0"/>
    <s v="Oscar Andres Cossio Acevedo"/>
    <s v="TECUTLBS"/>
    <s v="Superficie Escritorio en L Blanco (Niebla) Set completo"/>
    <n v="1"/>
    <x v="1"/>
    <x v="5"/>
    <x v="33"/>
    <x v="0"/>
    <s v="Envioclick- Coordinadora"/>
    <s v="2851792 - 84151025771"/>
    <d v="2024-11-07T00:00:00"/>
    <d v="2024-11-08T00:00:00"/>
    <x v="0"/>
    <n v="1"/>
    <n v="2"/>
    <x v="1"/>
    <n v="17127"/>
    <m/>
  </r>
  <r>
    <d v="2024-11-06T00:00:00"/>
    <x v="10"/>
    <n v="45"/>
    <n v="2276"/>
    <x v="0"/>
    <s v="Oscar Andres Cossio Acevedo"/>
    <s v="TECURB"/>
    <s v="Repisa TECU  Blanco (Niebla)"/>
    <n v="1"/>
    <x v="2"/>
    <x v="5"/>
    <x v="33"/>
    <x v="0"/>
    <s v="Envioclick- Coordinadora"/>
    <s v="2851802 - 84151025776"/>
    <d v="2024-11-07T00:00:00"/>
    <d v="2024-11-08T00:00:00"/>
    <x v="0"/>
    <n v="1"/>
    <n v="2"/>
    <x v="1"/>
    <n v="15073"/>
    <m/>
  </r>
  <r>
    <d v="2024-11-06T00:00:00"/>
    <x v="10"/>
    <n v="45"/>
    <n v="2276"/>
    <x v="0"/>
    <s v="Oscar Andres Cossio Acevedo"/>
    <s v="TECUCT"/>
    <s v="TECU bandeja de cables"/>
    <n v="1"/>
    <x v="4"/>
    <x v="5"/>
    <x v="33"/>
    <x v="0"/>
    <s v="Envioclick- Coordinadora"/>
    <s v="2851808 - 84151025778"/>
    <d v="2024-11-07T00:00:00"/>
    <d v="2024-11-08T00:00:00"/>
    <x v="0"/>
    <n v="1"/>
    <n v="2"/>
    <x v="1"/>
    <n v="15856"/>
    <m/>
  </r>
  <r>
    <d v="2024-11-06T00:00:00"/>
    <x v="10"/>
    <n v="45"/>
    <n v="2276"/>
    <x v="0"/>
    <s v="Oscar Andres Cossio Acevedo"/>
    <s v="TECUCT"/>
    <s v="TECU bandeja de cables"/>
    <n v="1"/>
    <x v="4"/>
    <x v="5"/>
    <x v="33"/>
    <x v="0"/>
    <s v="Envioclick- Coordinadora"/>
    <s v="2851815 - 84151025781"/>
    <d v="2024-11-07T00:00:00"/>
    <d v="2024-11-08T00:00:00"/>
    <x v="0"/>
    <n v="1"/>
    <n v="2"/>
    <x v="1"/>
    <n v="15856"/>
    <m/>
  </r>
  <r>
    <d v="2024-11-07T00:00:00"/>
    <x v="10"/>
    <n v="45"/>
    <n v="2277"/>
    <x v="0"/>
    <s v="William Andrés Salazar Gómez"/>
    <s v="TECU2FGGO"/>
    <s v="Electric Standing Desk GO Gris"/>
    <n v="1"/>
    <x v="0"/>
    <x v="10"/>
    <x v="21"/>
    <x v="0"/>
    <s v="Envioclick- Coordinadora"/>
    <s v="2851780 - 84151025766"/>
    <d v="2024-11-07T00:00:00"/>
    <d v="2024-11-08T00:00:00"/>
    <x v="0"/>
    <n v="0"/>
    <n v="1"/>
    <x v="1"/>
    <n v="34509"/>
    <m/>
  </r>
  <r>
    <d v="2024-11-07T00:00:00"/>
    <x v="10"/>
    <n v="45"/>
    <n v="2277"/>
    <x v="0"/>
    <s v="William Andrés Salazar Gómez"/>
    <s v="TECUTCC6C"/>
    <s v="Superficie Escritorio Miel 160x70 Clasico"/>
    <n v="1"/>
    <x v="1"/>
    <x v="10"/>
    <x v="21"/>
    <x v="0"/>
    <s v="Envioclick- Coordinadora"/>
    <s v="2851781 - 84151025767"/>
    <d v="2024-11-07T00:00:00"/>
    <d v="2024-11-08T00:00:00"/>
    <x v="0"/>
    <n v="0"/>
    <n v="1"/>
    <x v="1"/>
    <n v="15483"/>
    <m/>
  </r>
  <r>
    <d v="2024-11-07T00:00:00"/>
    <x v="10"/>
    <n v="45"/>
    <n v="2278"/>
    <x v="0"/>
    <s v="Juan Quiñonez"/>
    <s v="TECU2FGGO"/>
    <s v="Electric Standing Desk GO Gris"/>
    <n v="1"/>
    <x v="0"/>
    <x v="4"/>
    <x v="52"/>
    <x v="0"/>
    <s v="Envioclick- Coordinadora"/>
    <s v="2851829 - 84151025785"/>
    <d v="2024-11-07T00:00:00"/>
    <d v="2024-11-08T00:00:00"/>
    <x v="0"/>
    <n v="0"/>
    <n v="1"/>
    <x v="1"/>
    <n v="41925"/>
    <m/>
  </r>
  <r>
    <d v="2024-11-07T00:00:00"/>
    <x v="10"/>
    <n v="45"/>
    <n v="2278"/>
    <x v="0"/>
    <s v="Juan Quiñonez"/>
    <s v="TECUTCO3C"/>
    <s v="Superficie Escritorio Caramelo 130x70 Clasico"/>
    <n v="1"/>
    <x v="1"/>
    <x v="4"/>
    <x v="52"/>
    <x v="0"/>
    <s v="Envioclick- Coordinadora"/>
    <s v="2851830 - 84151025787"/>
    <d v="2024-11-07T00:00:00"/>
    <d v="2024-11-08T00:00:00"/>
    <x v="0"/>
    <n v="0"/>
    <n v="1"/>
    <x v="1"/>
    <n v="24366"/>
    <m/>
  </r>
  <r>
    <d v="2024-11-08T00:00:00"/>
    <x v="10"/>
    <n v="45"/>
    <n v="2279"/>
    <x v="0"/>
    <s v="Jeffer Alfonso"/>
    <s v="TECU2FGGO"/>
    <s v="Electric Standing Desk GO Gris"/>
    <n v="1"/>
    <x v="0"/>
    <x v="1"/>
    <x v="51"/>
    <x v="0"/>
    <s v="Envioclick- Coordinadora"/>
    <s v="2854489 - 84151026722"/>
    <d v="2024-11-08T00:00:00"/>
    <d v="2024-11-12T00:00:00"/>
    <x v="0"/>
    <n v="0"/>
    <n v="2"/>
    <x v="3"/>
    <n v="54422"/>
    <m/>
  </r>
  <r>
    <d v="2024-11-08T00:00:00"/>
    <x v="10"/>
    <n v="45"/>
    <n v="2279"/>
    <x v="0"/>
    <s v="Jeffer Alfonso"/>
    <s v="TECUTCO5C"/>
    <s v="Superficie Escritorio Caramelo 150x70 Clasico"/>
    <n v="1"/>
    <x v="1"/>
    <x v="1"/>
    <x v="51"/>
    <x v="0"/>
    <s v="Envioclick- Coordinadora"/>
    <s v="2854490 - 84151026723"/>
    <d v="2024-11-08T00:00:00"/>
    <d v="2024-11-12T00:00:00"/>
    <x v="0"/>
    <n v="0"/>
    <n v="2"/>
    <x v="3"/>
    <n v="34641"/>
    <m/>
  </r>
  <r>
    <d v="2024-11-08T00:00:00"/>
    <x v="10"/>
    <n v="45"/>
    <n v="2280"/>
    <x v="0"/>
    <s v="Alain Almeida"/>
    <s v="TECUROD"/>
    <s v="Rodachines con freno para Standing desk x 4 UN"/>
    <n v="1"/>
    <x v="6"/>
    <x v="0"/>
    <x v="10"/>
    <x v="0"/>
    <s v="Envioclick- Coordinadora"/>
    <s v="2854557 - 84151026762"/>
    <d v="2024-11-08T00:00:00"/>
    <d v="2024-11-11T00:00:00"/>
    <x v="0"/>
    <n v="0"/>
    <n v="1"/>
    <x v="1"/>
    <n v="24583"/>
    <m/>
  </r>
  <r>
    <d v="2024-11-08T00:00:00"/>
    <x v="10"/>
    <n v="45"/>
    <n v="2281"/>
    <x v="0"/>
    <s v="Camilo Luna"/>
    <s v="TECUDSN"/>
    <s v="TECU Desk Stool Negra Silla ajustable"/>
    <n v="1"/>
    <x v="5"/>
    <x v="1"/>
    <x v="1"/>
    <x v="0"/>
    <s v="Envioclick- Coordinadora"/>
    <s v="2855189 - 84151027031"/>
    <d v="2024-11-08T00:00:00"/>
    <d v="2024-11-12T00:00:00"/>
    <x v="0"/>
    <n v="0"/>
    <n v="2"/>
    <x v="1"/>
    <n v="26870"/>
    <m/>
  </r>
  <r>
    <d v="2024-11-08T00:00:00"/>
    <x v="10"/>
    <n v="45"/>
    <n v="2282"/>
    <x v="0"/>
    <s v="Julian Vasquez Ospina"/>
    <s v="TECU3FGPRO"/>
    <s v="Electric Standing Desk  PRO Gris"/>
    <n v="1"/>
    <x v="0"/>
    <x v="0"/>
    <x v="3"/>
    <x v="0"/>
    <s v="Envioclick- Coordinadora"/>
    <s v="2859840 - 84151028876"/>
    <d v="2024-11-12T00:00:00"/>
    <d v="2024-11-13T00:00:00"/>
    <x v="0"/>
    <n v="2"/>
    <n v="3"/>
    <x v="1"/>
    <n v="43277"/>
    <m/>
  </r>
  <r>
    <d v="2024-11-08T00:00:00"/>
    <x v="10"/>
    <n v="45"/>
    <n v="2282"/>
    <x v="0"/>
    <s v="Julian Vasquez Ospina"/>
    <s v="TECUTRN4C"/>
    <s v="Superficie Escritorio Roble Negro 140x70 Clasico"/>
    <n v="1"/>
    <x v="1"/>
    <x v="0"/>
    <x v="3"/>
    <x v="0"/>
    <s v="Envioclick- Coordinadora"/>
    <s v="2859841 - 84151028877"/>
    <d v="2024-11-12T00:00:00"/>
    <d v="2024-11-13T00:00:00"/>
    <x v="0"/>
    <n v="2"/>
    <n v="3"/>
    <x v="1"/>
    <n v="24366"/>
    <m/>
  </r>
  <r>
    <d v="2024-11-08T00:00:00"/>
    <x v="10"/>
    <n v="45"/>
    <n v="2282"/>
    <x v="0"/>
    <s v="Julian Vasquez Ospina"/>
    <s v="TECUAN"/>
    <s v="Archivador TECU  Negro (Wengue)"/>
    <n v="1"/>
    <x v="3"/>
    <x v="0"/>
    <x v="3"/>
    <x v="0"/>
    <s v="Envioclick- Envia"/>
    <s v="2862378 - 954101082937"/>
    <d v="2024-11-13T00:00:00"/>
    <d v="2024-11-15T00:00:00"/>
    <x v="0"/>
    <n v="3"/>
    <n v="5"/>
    <x v="0"/>
    <n v="52482"/>
    <m/>
  </r>
  <r>
    <d v="2024-11-12T00:00:00"/>
    <x v="10"/>
    <n v="46"/>
    <n v="2283"/>
    <x v="0"/>
    <s v="Andres ROMO"/>
    <s v="TECU3FNPRO"/>
    <s v="Electric Standing Desk  PRO Negro"/>
    <n v="1"/>
    <x v="0"/>
    <x v="1"/>
    <x v="1"/>
    <x v="0"/>
    <s v="Envioclick- Coordinadora"/>
    <s v="2859144 - 84151028530"/>
    <d v="2024-11-12T00:00:00"/>
    <d v="2024-11-26T00:00:00"/>
    <x v="0"/>
    <n v="0"/>
    <n v="12"/>
    <x v="0"/>
    <n v="43277"/>
    <m/>
  </r>
  <r>
    <d v="2024-11-12T00:00:00"/>
    <x v="10"/>
    <n v="46"/>
    <n v="2283"/>
    <x v="0"/>
    <s v="Andres ROMO"/>
    <s v="TECUTCO20C"/>
    <s v="Superficie Escritorio Caramelo 200x70 Clasico"/>
    <n v="1"/>
    <x v="1"/>
    <x v="1"/>
    <x v="1"/>
    <x v="0"/>
    <s v="Envioclick- Coordinadora"/>
    <s v="2859146 -84151028531"/>
    <d v="2024-11-12T00:00:00"/>
    <d v="2024-11-14T00:00:00"/>
    <x v="0"/>
    <n v="0"/>
    <n v="2"/>
    <x v="1"/>
    <n v="27069"/>
    <m/>
  </r>
  <r>
    <d v="2024-11-12T00:00:00"/>
    <x v="10"/>
    <n v="46"/>
    <n v="2283"/>
    <x v="4"/>
    <s v="Andres ROMO"/>
    <s v="TECUBDPM"/>
    <s v="TECU Desk Pad B Negro Café Miel"/>
    <n v="1"/>
    <x v="4"/>
    <x v="1"/>
    <x v="1"/>
    <x v="0"/>
    <s v="Envioclick- Coordinadora"/>
    <s v="2859122 - 84151028513"/>
    <d v="2024-11-12T00:00:00"/>
    <d v="2024-11-13T00:00:00"/>
    <x v="0"/>
    <n v="0"/>
    <n v="1"/>
    <x v="1"/>
    <n v="17079"/>
    <m/>
  </r>
  <r>
    <d v="2024-11-12T00:00:00"/>
    <x v="10"/>
    <n v="46"/>
    <n v="2284"/>
    <x v="0"/>
    <s v="Santiago Rodriguez Bermúdez"/>
    <s v="TECUCT"/>
    <s v="TECU bandeja de cables"/>
    <n v="1"/>
    <x v="4"/>
    <x v="1"/>
    <x v="1"/>
    <x v="0"/>
    <s v="Envioclick- Coordinadora"/>
    <s v="2858977 - 84151028443"/>
    <d v="2024-11-12T00:00:00"/>
    <d v="2024-11-13T00:00:00"/>
    <x v="0"/>
    <n v="0"/>
    <n v="1"/>
    <x v="1"/>
    <n v="25593"/>
    <m/>
  </r>
  <r>
    <d v="2024-11-12T00:00:00"/>
    <x v="10"/>
    <n v="46"/>
    <n v="2285"/>
    <x v="0"/>
    <s v="Miguel Mejia"/>
    <s v="TECUCT"/>
    <s v="TECU bandeja de cables"/>
    <n v="1"/>
    <x v="4"/>
    <x v="1"/>
    <x v="46"/>
    <x v="0"/>
    <s v="Envioclick- Coordinadora"/>
    <s v="2859008 - 84151028454"/>
    <d v="2024-11-12T00:00:00"/>
    <d v="2024-11-13T00:00:00"/>
    <x v="0"/>
    <n v="0"/>
    <n v="1"/>
    <x v="3"/>
    <n v="25593"/>
    <m/>
  </r>
  <r>
    <d v="2024-11-12T00:00:00"/>
    <x v="10"/>
    <n v="46"/>
    <n v="2285"/>
    <x v="0"/>
    <s v="Miguel Mejia"/>
    <s v="TECUCT"/>
    <s v="TECU bandeja de cables"/>
    <n v="1"/>
    <x v="4"/>
    <x v="1"/>
    <x v="46"/>
    <x v="0"/>
    <s v="Envioclick- Coordinadora"/>
    <s v="2859076 - 84151028483"/>
    <d v="2024-11-12T00:00:00"/>
    <d v="2024-11-13T00:00:00"/>
    <x v="0"/>
    <n v="0"/>
    <n v="1"/>
    <x v="3"/>
    <n v="25593"/>
    <m/>
  </r>
  <r>
    <d v="2024-11-12T00:00:00"/>
    <x v="10"/>
    <n v="46"/>
    <n v="2286"/>
    <x v="0"/>
    <s v="Cesar Santiago Pinto Corredor"/>
    <s v="TECURN"/>
    <s v="Repisa TECU  Negro (Wengue)"/>
    <n v="1"/>
    <x v="2"/>
    <x v="3"/>
    <x v="4"/>
    <x v="0"/>
    <s v="Envioclick- Coordinadora"/>
    <s v="2860436 - 84151029193"/>
    <d v="2024-11-12T00:00:00"/>
    <d v="2024-11-14T00:00:00"/>
    <x v="0"/>
    <n v="0"/>
    <n v="2"/>
    <x v="1"/>
    <n v="38279"/>
    <m/>
  </r>
  <r>
    <d v="2024-11-12T00:00:00"/>
    <x v="10"/>
    <n v="46"/>
    <n v="2287"/>
    <x v="0"/>
    <s v="Santiago Cabrera Silva"/>
    <s v="TECU3FNPRO"/>
    <s v="Electric Standing Desk  PRO Negro"/>
    <n v="1"/>
    <x v="0"/>
    <x v="1"/>
    <x v="1"/>
    <x v="0"/>
    <s v="Envioclick- Coordinadora"/>
    <s v="2866699 - 84151031196"/>
    <d v="2024-11-14T00:00:00"/>
    <d v="2024-11-15T00:00:00"/>
    <x v="0"/>
    <n v="2"/>
    <n v="3"/>
    <x v="1"/>
    <n v="43277"/>
    <m/>
  </r>
  <r>
    <d v="2024-11-12T00:00:00"/>
    <x v="10"/>
    <n v="46"/>
    <n v="2287"/>
    <x v="0"/>
    <s v="Santiago Cabrera Silva"/>
    <s v="TECUTRC8C"/>
    <s v="Superficie Roble Caramelo 180x70 Clasico"/>
    <n v="1"/>
    <x v="1"/>
    <x v="1"/>
    <x v="1"/>
    <x v="0"/>
    <s v="Envioclick- Coordinadora"/>
    <s v="2866700 - 84151031197"/>
    <d v="2024-11-14T00:00:00"/>
    <d v="2024-11-15T00:00:00"/>
    <x v="0"/>
    <n v="2"/>
    <n v="3"/>
    <x v="1"/>
    <n v="27069"/>
    <m/>
  </r>
  <r>
    <d v="2024-11-12T00:00:00"/>
    <x v="10"/>
    <n v="46"/>
    <n v="2287"/>
    <x v="0"/>
    <s v="Santiago Cabrera Silva"/>
    <s v="TECU3FGPRO"/>
    <s v="Electric Standing Desk  PRO Gris"/>
    <n v="1"/>
    <x v="0"/>
    <x v="1"/>
    <x v="1"/>
    <x v="0"/>
    <s v="Envioclick- Coordinadora"/>
    <s v="2866705 - 84151031200"/>
    <d v="2024-11-14T00:00:00"/>
    <d v="2024-11-15T00:00:00"/>
    <x v="0"/>
    <n v="2"/>
    <n v="3"/>
    <x v="1"/>
    <n v="43277"/>
    <m/>
  </r>
  <r>
    <d v="2024-11-12T00:00:00"/>
    <x v="10"/>
    <n v="46"/>
    <n v="2287"/>
    <x v="0"/>
    <s v="Santiago Cabrera Silva"/>
    <s v="TECUTCC8C"/>
    <s v="Superficie Escritorio Miel 180x70 Clasico"/>
    <n v="1"/>
    <x v="1"/>
    <x v="1"/>
    <x v="1"/>
    <x v="0"/>
    <s v="Envioclick- Coordinadora"/>
    <s v="2866706 - 84151031201"/>
    <d v="2024-11-14T00:00:00"/>
    <d v="2024-11-15T00:00:00"/>
    <x v="0"/>
    <n v="2"/>
    <n v="3"/>
    <x v="1"/>
    <n v="27069"/>
    <m/>
  </r>
  <r>
    <d v="2024-11-12T00:00:00"/>
    <x v="10"/>
    <n v="46"/>
    <n v="2287"/>
    <x v="0"/>
    <s v="Santiago Cabrera Silva"/>
    <s v="TECUACC"/>
    <s v="Archivador TECU  Miel"/>
    <n v="1"/>
    <x v="3"/>
    <x v="1"/>
    <x v="1"/>
    <x v="0"/>
    <s v="Envioclick- ROA"/>
    <s v="NA"/>
    <d v="2024-11-19T00:00:00"/>
    <d v="2024-11-22T00:00:00"/>
    <x v="0"/>
    <n v="6"/>
    <n v="9"/>
    <x v="0"/>
    <m/>
    <m/>
  </r>
  <r>
    <d v="2024-11-12T00:00:00"/>
    <x v="10"/>
    <n v="46"/>
    <n v="2287"/>
    <x v="0"/>
    <s v="Santiago Cabrera Silva"/>
    <s v="TECUACO"/>
    <s v="Archivador TECU  Caramelo"/>
    <n v="1"/>
    <x v="3"/>
    <x v="1"/>
    <x v="1"/>
    <x v="0"/>
    <s v="Envioclick- ROA"/>
    <s v="NA"/>
    <d v="2024-11-19T00:00:00"/>
    <d v="2024-11-22T00:00:00"/>
    <x v="0"/>
    <n v="6"/>
    <n v="9"/>
    <x v="0"/>
    <m/>
    <m/>
  </r>
  <r>
    <d v="2024-11-15T00:00:00"/>
    <x v="10"/>
    <n v="46"/>
    <n v="2288"/>
    <x v="0"/>
    <s v="Cristian Marin"/>
    <s v="TECUBLS"/>
    <s v="TECU Laptop Stand B"/>
    <n v="1"/>
    <x v="4"/>
    <x v="0"/>
    <x v="11"/>
    <x v="0"/>
    <s v="Envioclick- Coordinadora"/>
    <s v="2868585 - 84151032076"/>
    <d v="2024-11-15T00:00:00"/>
    <d v="2024-11-17T00:00:00"/>
    <x v="0"/>
    <n v="0"/>
    <n v="1"/>
    <x v="1"/>
    <n v="25593"/>
    <m/>
  </r>
  <r>
    <d v="2024-11-15T00:00:00"/>
    <x v="10"/>
    <n v="46"/>
    <n v="2289"/>
    <x v="0"/>
    <s v="Beatriz Ramírez Ramírez"/>
    <s v="TECU2FGGO"/>
    <s v="Electric Standing Desk GO Gris"/>
    <n v="1"/>
    <x v="0"/>
    <x v="1"/>
    <x v="1"/>
    <x v="0"/>
    <s v="Envioclick- Coordinadora"/>
    <s v="2868612 - 84151032090"/>
    <d v="2024-11-15T00:00:00"/>
    <d v="2024-11-16T00:00:00"/>
    <x v="0"/>
    <n v="0"/>
    <n v="1"/>
    <x v="1"/>
    <n v="41925"/>
    <m/>
  </r>
  <r>
    <d v="2024-11-15T00:00:00"/>
    <x v="10"/>
    <n v="46"/>
    <n v="2289"/>
    <x v="0"/>
    <s v="Beatriz Ramírez Ramírez"/>
    <s v="TECUTCC2C"/>
    <s v="Superficie Escritorio Miel 120x70 Clasico Small"/>
    <n v="1"/>
    <x v="1"/>
    <x v="1"/>
    <x v="1"/>
    <x v="0"/>
    <s v="Envioclick- Coordinadora"/>
    <s v="2868614 - 84151032091"/>
    <d v="2024-11-15T00:00:00"/>
    <d v="2024-11-16T00:00:00"/>
    <x v="0"/>
    <n v="0"/>
    <n v="1"/>
    <x v="1"/>
    <n v="24366"/>
    <m/>
  </r>
  <r>
    <d v="2024-11-15T00:00:00"/>
    <x v="10"/>
    <n v="46"/>
    <n v="2289"/>
    <x v="0"/>
    <s v="Beatriz Ramírez Ramírez"/>
    <s v="TECUCT"/>
    <s v="TECU bandeja de cables"/>
    <n v="1"/>
    <x v="4"/>
    <x v="1"/>
    <x v="1"/>
    <x v="0"/>
    <s v="Envioclick- Coordinadora"/>
    <s v="2868617 - 84151032093"/>
    <d v="2024-11-15T00:00:00"/>
    <d v="2024-11-16T00:00:00"/>
    <x v="0"/>
    <n v="0"/>
    <n v="1"/>
    <x v="1"/>
    <n v="25593"/>
    <m/>
  </r>
  <r>
    <d v="2024-11-15T00:00:00"/>
    <x v="10"/>
    <n v="46"/>
    <n v="2290"/>
    <x v="0"/>
    <s v="Joshua Eidelman"/>
    <s v="TECU3FNPRO"/>
    <s v="Electric Standing Desk  PRO Negro"/>
    <n v="1"/>
    <x v="0"/>
    <x v="0"/>
    <x v="3"/>
    <x v="0"/>
    <s v="Envioclick- Coordinadora"/>
    <s v="2868601 - 84151032084"/>
    <d v="2024-11-15T00:00:00"/>
    <d v="2024-11-16T00:00:00"/>
    <x v="0"/>
    <n v="0"/>
    <n v="1"/>
    <x v="1"/>
    <n v="43277"/>
    <m/>
  </r>
  <r>
    <d v="2024-11-15T00:00:00"/>
    <x v="10"/>
    <n v="46"/>
    <n v="2290"/>
    <x v="0"/>
    <s v="Joshua Eidelman"/>
    <s v="TECUTCC5C"/>
    <s v="Superficie Escritorio Miel 150x70 Clasico"/>
    <n v="1"/>
    <x v="1"/>
    <x v="0"/>
    <x v="3"/>
    <x v="0"/>
    <s v="Envioclick- Coordinadora"/>
    <s v="2868602 - 84151032085"/>
    <d v="2024-11-15T00:00:00"/>
    <d v="2024-11-16T00:00:00"/>
    <x v="0"/>
    <n v="0"/>
    <n v="1"/>
    <x v="1"/>
    <n v="24366"/>
    <m/>
  </r>
  <r>
    <d v="2024-11-15T00:00:00"/>
    <x v="10"/>
    <n v="46"/>
    <n v="2291"/>
    <x v="0"/>
    <s v="Juan Pablo Gomez Ocampo"/>
    <s v="TECURCO"/>
    <s v="Repisa TECU  Caramelo"/>
    <n v="1"/>
    <x v="2"/>
    <x v="4"/>
    <x v="30"/>
    <x v="0"/>
    <s v="Envioclick- Coordinadora"/>
    <s v="2868679 - 84151032117"/>
    <d v="2024-11-15T00:00:00"/>
    <d v="2024-11-18T00:00:00"/>
    <x v="0"/>
    <n v="0"/>
    <n v="2"/>
    <x v="1"/>
    <n v="23690"/>
    <m/>
  </r>
  <r>
    <d v="2024-11-15T00:00:00"/>
    <x v="10"/>
    <n v="46"/>
    <n v="2292"/>
    <x v="0"/>
    <s v="Carlos Villalba"/>
    <s v="TECU3FGPRO"/>
    <s v="Electric Standing Desk  PRO Gris"/>
    <n v="1"/>
    <x v="0"/>
    <x v="13"/>
    <x v="28"/>
    <x v="0"/>
    <s v="Envioclick- Coordinadora"/>
    <s v="2868811 - 84151032171"/>
    <d v="2024-11-15T00:00:00"/>
    <d v="2024-11-16T00:00:00"/>
    <x v="0"/>
    <n v="0"/>
    <n v="1"/>
    <x v="1"/>
    <n v="43277"/>
    <m/>
  </r>
  <r>
    <d v="2024-11-15T00:00:00"/>
    <x v="10"/>
    <n v="46"/>
    <n v="2292"/>
    <x v="0"/>
    <s v="Carlos Villalba"/>
    <s v="TECUTRN2C"/>
    <s v="Superficie Escritorio Roble Negro 120x70 Clasico Small"/>
    <n v="1"/>
    <x v="1"/>
    <x v="13"/>
    <x v="28"/>
    <x v="0"/>
    <s v="Envioclick- Coordinadora"/>
    <s v="2868812 - 84151032172"/>
    <d v="2024-11-15T00:00:00"/>
    <d v="2024-11-16T00:00:00"/>
    <x v="0"/>
    <n v="0"/>
    <n v="1"/>
    <x v="1"/>
    <n v="29097"/>
    <m/>
  </r>
  <r>
    <d v="2024-11-15T00:00:00"/>
    <x v="10"/>
    <n v="46"/>
    <n v="2293"/>
    <x v="0"/>
    <s v="Carlos Villalba"/>
    <s v="TECUCT"/>
    <s v="TECU bandeja de cables"/>
    <n v="1"/>
    <x v="4"/>
    <x v="13"/>
    <x v="28"/>
    <x v="0"/>
    <s v="Envioclick- Coordinadora"/>
    <s v="2868883 - 84151032215"/>
    <d v="2024-11-15T00:00:00"/>
    <d v="2024-11-16T00:00:00"/>
    <x v="0"/>
    <n v="0"/>
    <n v="1"/>
    <x v="1"/>
    <n v="25593"/>
    <m/>
  </r>
  <r>
    <d v="2024-11-16T00:00:00"/>
    <x v="10"/>
    <n v="46"/>
    <n v="2294"/>
    <x v="0"/>
    <s v="Esteban Bautista"/>
    <s v="TECURN"/>
    <s v="Repisa TECU  Negro (Wengue)"/>
    <n v="1"/>
    <x v="2"/>
    <x v="1"/>
    <x v="46"/>
    <x v="0"/>
    <s v="Envioclick- Coordinadora"/>
    <s v="2872708 - 84151033904"/>
    <d v="2024-11-18T00:00:00"/>
    <d v="2024-11-20T00:00:00"/>
    <x v="0"/>
    <n v="1"/>
    <n v="3"/>
    <x v="3"/>
    <n v="23690"/>
    <m/>
  </r>
  <r>
    <d v="2024-11-16T00:00:00"/>
    <x v="10"/>
    <n v="46"/>
    <n v="2295"/>
    <x v="0"/>
    <s v="Aili Carolina Tovar Armas"/>
    <s v="TECUDSN"/>
    <s v="TECU Desk Stool Negra Silla ajustable"/>
    <n v="1"/>
    <x v="5"/>
    <x v="1"/>
    <x v="1"/>
    <x v="0"/>
    <s v="Envioclick- Coordinadora"/>
    <s v="2872979 - 84151034074"/>
    <d v="2024-11-18T00:00:00"/>
    <d v="2024-11-19T00:00:00"/>
    <x v="0"/>
    <n v="1"/>
    <n v="2"/>
    <x v="1"/>
    <n v="26870"/>
    <m/>
  </r>
  <r>
    <d v="2024-11-18T00:00:00"/>
    <x v="10"/>
    <n v="47"/>
    <n v="2296"/>
    <x v="0"/>
    <s v="Alain Bismark"/>
    <s v="TECUCT"/>
    <s v="TECU bandeja de cables"/>
    <n v="1"/>
    <x v="4"/>
    <x v="0"/>
    <x v="10"/>
    <x v="0"/>
    <s v="Envioclick- Coordinadora"/>
    <s v="2872801 - 84151033961"/>
    <d v="2024-11-18T00:00:00"/>
    <d v="2024-11-19T00:00:00"/>
    <x v="0"/>
    <n v="0"/>
    <n v="1"/>
    <x v="1"/>
    <n v="25593"/>
    <m/>
  </r>
  <r>
    <d v="2024-11-18T00:00:00"/>
    <x v="10"/>
    <n v="47"/>
    <n v="2296"/>
    <x v="0"/>
    <s v="Alain Bismark"/>
    <s v="TECUROD"/>
    <s v="Rodachines con freno para Standing desk x 4 UN"/>
    <n v="1"/>
    <x v="6"/>
    <x v="0"/>
    <x v="10"/>
    <x v="0"/>
    <s v="Envioclick- Coordinadora"/>
    <s v="2872812 - 84151033970"/>
    <d v="2024-11-18T00:00:00"/>
    <d v="2024-11-19T00:00:00"/>
    <x v="0"/>
    <n v="0"/>
    <n v="1"/>
    <x v="1"/>
    <n v="24583"/>
    <m/>
  </r>
  <r>
    <d v="2024-11-18T00:00:00"/>
    <x v="10"/>
    <n v="47"/>
    <n v="2297"/>
    <x v="0"/>
    <s v="Mervin Villamizar Rivera"/>
    <s v="TECURCO"/>
    <s v="Repisa TECU  Caramelo"/>
    <n v="1"/>
    <x v="2"/>
    <x v="7"/>
    <x v="18"/>
    <x v="0"/>
    <s v="Envioclick- Coordinadora"/>
    <s v="2874262 - 84151034912"/>
    <d v="2024-11-18T00:00:00"/>
    <d v="2024-11-19T00:00:00"/>
    <x v="0"/>
    <n v="0"/>
    <n v="1"/>
    <x v="1"/>
    <n v="33510"/>
    <m/>
  </r>
  <r>
    <d v="2024-11-18T00:00:00"/>
    <x v="10"/>
    <n v="47"/>
    <n v="2298"/>
    <x v="0"/>
    <s v="Juliana Montoya"/>
    <s v="TECURCO"/>
    <s v="Repisa TECU  Caramelo"/>
    <n v="1"/>
    <x v="2"/>
    <x v="0"/>
    <x v="10"/>
    <x v="0"/>
    <s v="Envioclick- Coordinadora"/>
    <s v="2872831 - 84151033977"/>
    <d v="2024-11-18T00:00:00"/>
    <d v="2024-11-19T00:00:00"/>
    <x v="0"/>
    <n v="0"/>
    <n v="1"/>
    <x v="1"/>
    <n v="23690"/>
    <m/>
  </r>
  <r>
    <d v="2024-11-18T00:00:00"/>
    <x v="10"/>
    <n v="47"/>
    <n v="2299"/>
    <x v="0"/>
    <s v="Eduardo Avellaneda Perez"/>
    <s v="TECURCO"/>
    <s v="Repisa TECU  Caramelo"/>
    <n v="1"/>
    <x v="2"/>
    <x v="1"/>
    <x v="1"/>
    <x v="0"/>
    <s v="Envioclick- Coordinadora"/>
    <s v="2872843 - 84151033985"/>
    <d v="2024-11-18T00:00:00"/>
    <d v="2024-11-19T00:00:00"/>
    <x v="0"/>
    <n v="0"/>
    <n v="1"/>
    <x v="1"/>
    <n v="23690"/>
    <m/>
  </r>
  <r>
    <d v="2024-11-18T00:00:00"/>
    <x v="10"/>
    <n v="47"/>
    <n v="2300"/>
    <x v="0"/>
    <s v="Edwin Ahumada"/>
    <s v="TECU2FNG"/>
    <s v="Electric Standing Desk GO Negro"/>
    <n v="1"/>
    <x v="0"/>
    <x v="1"/>
    <x v="1"/>
    <x v="0"/>
    <s v="Envioclick- Coordinadora"/>
    <s v="2873748 - 84151034561"/>
    <d v="2024-11-18T00:00:00"/>
    <d v="2024-11-19T00:00:00"/>
    <x v="0"/>
    <n v="0"/>
    <n v="1"/>
    <x v="1"/>
    <n v="41925"/>
    <m/>
  </r>
  <r>
    <d v="2024-11-18T00:00:00"/>
    <x v="10"/>
    <n v="47"/>
    <n v="2300"/>
    <x v="0"/>
    <s v="Edwin Ahumada"/>
    <s v="TECUTCO2C"/>
    <s v="Superficie Escritorio Caramelo 120x70 Clasico Small"/>
    <n v="1"/>
    <x v="1"/>
    <x v="1"/>
    <x v="1"/>
    <x v="0"/>
    <s v="Envioclick- Coordinadora"/>
    <s v="2873750 - 84151034562"/>
    <d v="2024-11-18T00:00:00"/>
    <d v="2024-11-20T00:00:00"/>
    <x v="0"/>
    <n v="0"/>
    <n v="2"/>
    <x v="1"/>
    <n v="24366"/>
    <m/>
  </r>
  <r>
    <d v="2024-11-19T00:00:00"/>
    <x v="10"/>
    <n v="47"/>
    <n v="2301"/>
    <x v="0"/>
    <s v="Cristian Marin"/>
    <s v="TECUCT"/>
    <s v="TECU bandeja de cables"/>
    <n v="1"/>
    <x v="4"/>
    <x v="0"/>
    <x v="11"/>
    <x v="0"/>
    <s v="Envioclick- Coordinadora"/>
    <s v="2875947 - 84151035691"/>
    <d v="2024-11-19T00:00:00"/>
    <d v="2024-11-20T00:00:00"/>
    <x v="0"/>
    <n v="0"/>
    <n v="1"/>
    <x v="1"/>
    <n v="25593"/>
    <m/>
  </r>
  <r>
    <d v="2024-11-19T00:00:00"/>
    <x v="10"/>
    <n v="47"/>
    <n v="2301"/>
    <x v="0"/>
    <s v="Cristian Marin"/>
    <s v="TECURCO"/>
    <s v="Repisa TECU  Caramelo"/>
    <n v="1"/>
    <x v="2"/>
    <x v="0"/>
    <x v="11"/>
    <x v="0"/>
    <s v="Envioclick- Coordinadora"/>
    <s v="2875958 - 84151035698"/>
    <d v="2024-11-19T00:00:00"/>
    <d v="2024-11-20T00:00:00"/>
    <x v="0"/>
    <n v="0"/>
    <n v="1"/>
    <x v="1"/>
    <n v="23690"/>
    <m/>
  </r>
  <r>
    <d v="2024-11-19T00:00:00"/>
    <x v="10"/>
    <n v="47"/>
    <n v="2302"/>
    <x v="0"/>
    <s v="Shirley Hurtado Delgado"/>
    <s v="TECU2FNG"/>
    <s v="Electric Standing Desk GO Negro"/>
    <n v="1"/>
    <x v="0"/>
    <x v="0"/>
    <x v="3"/>
    <x v="0"/>
    <s v="Envioclick- Coordinadora"/>
    <s v="2875966 - 84151035705"/>
    <d v="2024-11-19T00:00:00"/>
    <d v="2024-11-20T00:00:00"/>
    <x v="0"/>
    <n v="0"/>
    <n v="1"/>
    <x v="1"/>
    <n v="41925"/>
    <m/>
  </r>
  <r>
    <d v="2024-11-19T00:00:00"/>
    <x v="10"/>
    <n v="47"/>
    <n v="2302"/>
    <x v="0"/>
    <s v="Shirley Hurtado Delgado"/>
    <s v="TECUTCO5C"/>
    <s v="Superficie Escritorio Caramelo 150x70 Clasico"/>
    <n v="1"/>
    <x v="1"/>
    <x v="0"/>
    <x v="3"/>
    <x v="0"/>
    <s v="Envioclick- Coordinadora"/>
    <s v="2875967 - 84151035707"/>
    <d v="2024-11-19T00:00:00"/>
    <d v="2024-11-20T00:00:00"/>
    <x v="0"/>
    <n v="0"/>
    <n v="1"/>
    <x v="1"/>
    <n v="24366"/>
    <m/>
  </r>
  <r>
    <d v="2024-11-19T00:00:00"/>
    <x v="10"/>
    <n v="47"/>
    <n v="2302"/>
    <x v="0"/>
    <s v="Shirley Hurtado Delgado"/>
    <s v="TECUDSN"/>
    <s v="TECU Desk Stool Negra Silla ajustable"/>
    <n v="1"/>
    <x v="5"/>
    <x v="0"/>
    <x v="3"/>
    <x v="0"/>
    <s v="Envioclick- Coordinadora"/>
    <s v="2877161 - 84151036451"/>
    <d v="2024-11-19T00:00:00"/>
    <d v="2024-11-20T00:00:00"/>
    <x v="0"/>
    <n v="0"/>
    <n v="1"/>
    <x v="1"/>
    <n v="26870"/>
    <m/>
  </r>
  <r>
    <d v="2024-11-18T00:00:00"/>
    <x v="10"/>
    <n v="47"/>
    <n v="2289"/>
    <x v="6"/>
    <s v="Beatriz Ramírez Ramírez"/>
    <s v="TECU3FGPRO"/>
    <s v="Electric Standing Desk  PRO Gris"/>
    <n v="1"/>
    <x v="0"/>
    <x v="1"/>
    <x v="1"/>
    <x v="0"/>
    <s v="Envioclick- Coordinadora"/>
    <s v="2878068 - 84151036841"/>
    <d v="2024-11-19T00:00:00"/>
    <d v="2024-11-22T00:00:00"/>
    <x v="0"/>
    <n v="1"/>
    <n v="4"/>
    <x v="0"/>
    <n v="41925"/>
    <s v="Se envia por novedad con la altura del standing desk.- Error TECU"/>
  </r>
  <r>
    <d v="2024-11-19T00:00:00"/>
    <x v="10"/>
    <n v="47"/>
    <n v="2303"/>
    <x v="0"/>
    <s v="Ana Maria Piedrahita Maya"/>
    <s v="TECU3FNPRO"/>
    <s v="Electric Standing Desk  PRO Negro"/>
    <n v="1"/>
    <x v="0"/>
    <x v="0"/>
    <x v="0"/>
    <x v="0"/>
    <s v="Envioclick- Coordinadora"/>
    <s v="2875979 - 84151035713"/>
    <d v="2024-11-19T00:00:00"/>
    <d v="2024-11-20T00:00:00"/>
    <x v="0"/>
    <n v="0"/>
    <n v="1"/>
    <x v="1"/>
    <n v="43277"/>
    <m/>
  </r>
  <r>
    <d v="2024-11-19T00:00:00"/>
    <x v="10"/>
    <n v="47"/>
    <n v="2303"/>
    <x v="0"/>
    <s v="Ana Maria Piedrahita Maya"/>
    <s v="TECUTRM5C"/>
    <s v="Superficie Roble Miel 150x70 Clasico"/>
    <n v="1"/>
    <x v="1"/>
    <x v="0"/>
    <x v="0"/>
    <x v="0"/>
    <s v="Envioclick- Coordinadora"/>
    <s v="2875980 - 84151035714"/>
    <d v="2024-11-19T00:00:00"/>
    <d v="2024-11-20T00:00:00"/>
    <x v="0"/>
    <n v="0"/>
    <n v="1"/>
    <x v="1"/>
    <n v="24866"/>
    <m/>
  </r>
  <r>
    <d v="2024-11-19T00:00:00"/>
    <x v="10"/>
    <n v="47"/>
    <n v="2303"/>
    <x v="0"/>
    <s v="Ana Maria Piedrahita Maya"/>
    <s v="TECURRM"/>
    <s v="Repisa Roble Miel"/>
    <n v="1"/>
    <x v="2"/>
    <x v="0"/>
    <x v="0"/>
    <x v="0"/>
    <s v="Envioclick- Coordinadora"/>
    <s v="2877515 - 84151036560"/>
    <d v="2024-11-19T00:00:00"/>
    <d v="2024-11-20T00:00:00"/>
    <x v="0"/>
    <n v="0"/>
    <n v="1"/>
    <x v="1"/>
    <n v="23690"/>
    <m/>
  </r>
  <r>
    <d v="2024-11-19T00:00:00"/>
    <x v="10"/>
    <n v="47"/>
    <n v="2303"/>
    <x v="0"/>
    <s v="Ana Maria Piedrahita Maya"/>
    <s v="TECUROD"/>
    <s v="Rodachines con freno para Standing desk x 4 UN"/>
    <n v="1"/>
    <x v="6"/>
    <x v="0"/>
    <x v="0"/>
    <x v="0"/>
    <s v="Envioclick- Coordinadora"/>
    <s v="2875986 - 84151035718"/>
    <d v="2024-11-19T00:00:00"/>
    <d v="2024-11-20T00:00:00"/>
    <x v="0"/>
    <n v="0"/>
    <n v="1"/>
    <x v="1"/>
    <n v="24583"/>
    <m/>
  </r>
  <r>
    <d v="2024-11-19T00:00:00"/>
    <x v="10"/>
    <n v="47"/>
    <n v="2303"/>
    <x v="0"/>
    <s v="Ana Maria Piedrahita Maya"/>
    <s v="TECUCT"/>
    <s v="TECU bandeja de cables"/>
    <n v="1"/>
    <x v="4"/>
    <x v="0"/>
    <x v="0"/>
    <x v="0"/>
    <s v="Envioclick- Coordinadora"/>
    <s v="2875993 - 84151035723"/>
    <d v="2024-11-19T00:00:00"/>
    <d v="2024-11-20T00:00:00"/>
    <x v="0"/>
    <n v="0"/>
    <n v="1"/>
    <x v="1"/>
    <n v="25593"/>
    <m/>
  </r>
  <r>
    <d v="2024-11-19T00:00:00"/>
    <x v="10"/>
    <n v="47"/>
    <n v="2303"/>
    <x v="0"/>
    <s v="Ana Maria Piedrahita Maya"/>
    <s v="TECUDSN"/>
    <s v="TECU Desk Stool Negra Silla ajustable"/>
    <n v="1"/>
    <x v="5"/>
    <x v="0"/>
    <x v="0"/>
    <x v="0"/>
    <s v="Envioclick- Coordinadora"/>
    <s v="2876008 - 84151035730"/>
    <d v="2024-11-19T00:00:00"/>
    <d v="2024-11-20T00:00:00"/>
    <x v="0"/>
    <n v="0"/>
    <n v="1"/>
    <x v="1"/>
    <n v="26870"/>
    <m/>
  </r>
  <r>
    <d v="2024-11-19T00:00:00"/>
    <x v="10"/>
    <n v="47"/>
    <n v="2304"/>
    <x v="0"/>
    <s v="Manuel Ricardo CHAVARRO VARGAS"/>
    <s v="TECURN"/>
    <s v="Repisa TECU  Negro (Wengue)"/>
    <n v="1"/>
    <x v="2"/>
    <x v="18"/>
    <x v="53"/>
    <x v="0"/>
    <s v="Envioclick- Coordinadora"/>
    <s v="2876028 - 84151035751"/>
    <d v="2024-11-19T00:00:00"/>
    <d v="2024-11-21T00:00:00"/>
    <x v="0"/>
    <n v="0"/>
    <n v="2"/>
    <x v="1"/>
    <n v="38279"/>
    <m/>
  </r>
  <r>
    <d v="2024-11-19T00:00:00"/>
    <x v="10"/>
    <n v="47"/>
    <n v="2305"/>
    <x v="0"/>
    <s v="Catalina Trujillo"/>
    <s v="TECU3FGPRO"/>
    <s v="Electric Standing Desk  PRO Gris"/>
    <n v="1"/>
    <x v="0"/>
    <x v="4"/>
    <x v="5"/>
    <x v="0"/>
    <s v="Envioclick- Coordinadora"/>
    <s v="2876702 - 84151036161"/>
    <d v="2024-11-19T00:00:00"/>
    <d v="2024-11-20T00:00:00"/>
    <x v="0"/>
    <n v="0"/>
    <n v="1"/>
    <x v="1"/>
    <n v="43277"/>
    <m/>
  </r>
  <r>
    <d v="2024-11-19T00:00:00"/>
    <x v="10"/>
    <n v="47"/>
    <n v="2305"/>
    <x v="0"/>
    <s v="Catalina Trujillo"/>
    <s v="TECUTCO4C"/>
    <s v="Superficie Escritorio Caramelo 140x70 Clasico"/>
    <n v="1"/>
    <x v="1"/>
    <x v="4"/>
    <x v="5"/>
    <x v="0"/>
    <s v="Envioclick- Coordinadora"/>
    <s v="2876703 - 84151036162"/>
    <d v="2024-11-19T00:00:00"/>
    <d v="2024-11-20T00:00:00"/>
    <x v="0"/>
    <n v="0"/>
    <n v="1"/>
    <x v="1"/>
    <n v="24366"/>
    <m/>
  </r>
  <r>
    <d v="2024-11-19T00:00:00"/>
    <x v="10"/>
    <n v="47"/>
    <n v="2305"/>
    <x v="0"/>
    <s v="Catalina Trujillo"/>
    <s v="TECUCT"/>
    <s v="TECU bandeja de cables"/>
    <n v="1"/>
    <x v="4"/>
    <x v="4"/>
    <x v="5"/>
    <x v="0"/>
    <s v="Envioclick- Coordinadora"/>
    <s v="2876706 - 84151036167"/>
    <d v="2024-11-19T00:00:00"/>
    <d v="2024-11-20T00:00:00"/>
    <x v="0"/>
    <n v="0"/>
    <n v="1"/>
    <x v="1"/>
    <n v="25593"/>
    <m/>
  </r>
  <r>
    <d v="2024-11-20T00:00:00"/>
    <x v="10"/>
    <n v="47"/>
    <n v="2306"/>
    <x v="0"/>
    <s v="Sergio Alexis Rodriguez Vasquez"/>
    <s v="TECU3FGPRO"/>
    <s v="Electric Standing Desk  PRO Gris"/>
    <n v="1"/>
    <x v="0"/>
    <x v="1"/>
    <x v="1"/>
    <x v="0"/>
    <s v="Envioclick- Coordinadora"/>
    <s v="2879083 - 84151037259"/>
    <d v="2024-11-20T00:00:00"/>
    <d v="2024-11-22T00:00:00"/>
    <x v="0"/>
    <n v="0"/>
    <n v="2"/>
    <x v="1"/>
    <n v="43277"/>
    <m/>
  </r>
  <r>
    <d v="2024-11-20T00:00:00"/>
    <x v="10"/>
    <n v="47"/>
    <n v="2306"/>
    <x v="0"/>
    <s v="Sergio Alexis Rodriguez Vasquez"/>
    <s v="TECUTCO6C"/>
    <s v="Superficie Escritorio Caramelo 160x70 Clasico"/>
    <n v="1"/>
    <x v="1"/>
    <x v="1"/>
    <x v="1"/>
    <x v="0"/>
    <s v="Envioclick- Coordinadora"/>
    <s v="2879084 - 84151037260"/>
    <d v="2024-11-20T00:00:00"/>
    <d v="2024-11-22T00:00:00"/>
    <x v="0"/>
    <n v="0"/>
    <n v="2"/>
    <x v="1"/>
    <n v="24366"/>
    <m/>
  </r>
  <r>
    <d v="2024-11-20T00:00:00"/>
    <x v="10"/>
    <n v="47"/>
    <n v="2307"/>
    <x v="0"/>
    <s v="Jhon Lopez"/>
    <s v="TECU3FNPRO"/>
    <s v="Electric Standing Desk  PRO Negro"/>
    <n v="1"/>
    <x v="0"/>
    <x v="4"/>
    <x v="5"/>
    <x v="0"/>
    <s v="Envioclick- Coordinadora"/>
    <s v="2879677 - 84151037651"/>
    <d v="2024-11-20T00:00:00"/>
    <d v="2024-11-21T00:00:00"/>
    <x v="0"/>
    <n v="0"/>
    <n v="1"/>
    <x v="1"/>
    <n v="43277"/>
    <m/>
  </r>
  <r>
    <d v="2024-11-21T00:00:00"/>
    <x v="10"/>
    <n v="47"/>
    <n v="2308"/>
    <x v="0"/>
    <s v="Paola Ospina"/>
    <s v="TECU2FGGO"/>
    <s v="Electric Standing Desk GO Gris"/>
    <n v="1"/>
    <x v="0"/>
    <x v="1"/>
    <x v="1"/>
    <x v="0"/>
    <s v="Envioclick- Coordinadora"/>
    <s v="2881843 - 84151038826"/>
    <d v="2024-11-21T00:00:00"/>
    <d v="2024-11-24T00:00:00"/>
    <x v="0"/>
    <n v="0"/>
    <n v="2"/>
    <x v="1"/>
    <n v="41925"/>
    <m/>
  </r>
  <r>
    <d v="2024-11-21T00:00:00"/>
    <x v="10"/>
    <n v="47"/>
    <n v="2308"/>
    <x v="0"/>
    <s v="Paola Ospina"/>
    <s v="TECUTCC4C"/>
    <s v="Superficie Escritorio Miel 140x70 Clasico"/>
    <n v="1"/>
    <x v="1"/>
    <x v="1"/>
    <x v="1"/>
    <x v="0"/>
    <s v="Envioclick- Coordinadora"/>
    <s v="2881844 - 84151038827"/>
    <d v="2024-11-21T00:00:00"/>
    <d v="2024-11-25T00:00:00"/>
    <x v="0"/>
    <n v="0"/>
    <n v="3"/>
    <x v="1"/>
    <n v="24366"/>
    <m/>
  </r>
  <r>
    <d v="2024-11-21T00:00:00"/>
    <x v="10"/>
    <n v="47"/>
    <n v="2308"/>
    <x v="0"/>
    <s v="Paola Ospina"/>
    <s v="TECUDSN"/>
    <s v="TECU Desk Stool Negra Silla ajustable"/>
    <n v="1"/>
    <x v="5"/>
    <x v="1"/>
    <x v="1"/>
    <x v="0"/>
    <s v="Envioclick- Coordinadora"/>
    <s v="2881859 - 84151038831"/>
    <d v="2024-11-21T00:00:00"/>
    <d v="2024-11-24T00:00:00"/>
    <x v="0"/>
    <n v="0"/>
    <n v="2"/>
    <x v="1"/>
    <n v="26870"/>
    <m/>
  </r>
  <r>
    <d v="2024-11-21T00:00:00"/>
    <x v="10"/>
    <n v="47"/>
    <n v="2309"/>
    <x v="0"/>
    <s v="Oscar Gerardo Contreras Aparicio"/>
    <s v="TECU3FGPRO"/>
    <s v="Electric Standing Desk  PRO Gris"/>
    <n v="1"/>
    <x v="0"/>
    <x v="6"/>
    <x v="23"/>
    <x v="0"/>
    <s v="Envioclick- Coordinadora"/>
    <s v="2881869 - 84151038838"/>
    <d v="2024-11-21T00:00:00"/>
    <d v="2024-11-25T00:00:00"/>
    <x v="0"/>
    <n v="0"/>
    <n v="3"/>
    <x v="1"/>
    <n v="63171"/>
    <m/>
  </r>
  <r>
    <d v="2024-11-21T00:00:00"/>
    <x v="10"/>
    <n v="47"/>
    <n v="2309"/>
    <x v="0"/>
    <s v="Oscar Gerardo Contreras Aparicio"/>
    <s v="TECUTRN2C"/>
    <s v="Superficie Escritorio Roble Negro 120x70 Clasico Small"/>
    <n v="1"/>
    <x v="1"/>
    <x v="6"/>
    <x v="23"/>
    <x v="0"/>
    <s v="Envioclick- Coordinadora"/>
    <s v="2881871 - 84151038839"/>
    <d v="2024-11-21T00:00:00"/>
    <d v="2024-11-25T00:00:00"/>
    <x v="0"/>
    <n v="0"/>
    <n v="3"/>
    <x v="1"/>
    <n v="48991"/>
    <m/>
  </r>
  <r>
    <d v="2024-11-21T00:00:00"/>
    <x v="10"/>
    <n v="47"/>
    <n v="2310"/>
    <x v="0"/>
    <s v="Diego Alejandro González Velásquez"/>
    <s v="TECURN"/>
    <s v="Repisa TECU  Negro (Wengue)"/>
    <n v="1"/>
    <x v="2"/>
    <x v="0"/>
    <x v="12"/>
    <x v="0"/>
    <s v="Envioclick- Coordinadora"/>
    <s v="2881883  - 84151038846"/>
    <d v="2024-11-21T00:00:00"/>
    <d v="2024-11-23T00:00:00"/>
    <x v="0"/>
    <n v="0"/>
    <n v="2"/>
    <x v="1"/>
    <n v="23690"/>
    <m/>
  </r>
  <r>
    <d v="2024-11-21T00:00:00"/>
    <x v="10"/>
    <n v="47"/>
    <n v="2311"/>
    <x v="0"/>
    <s v="Carolina Yory"/>
    <s v="TECU2FNG"/>
    <s v="Electric Standing Desk GO Negro"/>
    <n v="1"/>
    <x v="0"/>
    <x v="4"/>
    <x v="5"/>
    <x v="0"/>
    <s v="Envioclick- Coordinadora"/>
    <s v="2881886 - 84151038849"/>
    <d v="2024-12-02T00:00:00"/>
    <d v="2024-12-04T00:00:00"/>
    <x v="0"/>
    <n v="9"/>
    <n v="11"/>
    <x v="0"/>
    <n v="41925"/>
    <m/>
  </r>
  <r>
    <d v="2024-11-21T00:00:00"/>
    <x v="10"/>
    <n v="47"/>
    <n v="2311"/>
    <x v="0"/>
    <s v="Carolina Yory"/>
    <s v="TECUTRN4C"/>
    <s v="Superficie Escritorio Roble Negro 140x70 Clasico"/>
    <n v="1"/>
    <x v="1"/>
    <x v="4"/>
    <x v="5"/>
    <x v="0"/>
    <s v="Envioclick- Coordinadora"/>
    <s v="2909040 - 84151050644"/>
    <d v="2024-12-02T00:00:00"/>
    <d v="2024-12-04T00:00:00"/>
    <x v="0"/>
    <n v="9"/>
    <n v="11"/>
    <x v="0"/>
    <n v="24366"/>
    <m/>
  </r>
  <r>
    <d v="2024-11-21T00:00:00"/>
    <x v="10"/>
    <n v="47"/>
    <n v="2312"/>
    <x v="0"/>
    <s v="Miguel Rodas"/>
    <s v="TECUCT"/>
    <s v="TECU bandeja de cables"/>
    <n v="1"/>
    <x v="4"/>
    <x v="0"/>
    <x v="8"/>
    <x v="0"/>
    <s v="Envioclick- Coordinadora"/>
    <s v="2882636 - 84151039231"/>
    <d v="2024-11-21T00:00:00"/>
    <d v="2024-11-24T00:00:00"/>
    <x v="0"/>
    <n v="0"/>
    <n v="2"/>
    <x v="1"/>
    <n v="25593"/>
    <m/>
  </r>
  <r>
    <d v="2024-11-21T00:00:00"/>
    <x v="10"/>
    <n v="47"/>
    <n v="2312"/>
    <x v="0"/>
    <s v="Miguel Rodas"/>
    <s v="TECURCO"/>
    <s v="Repisa TECU  Caramelo"/>
    <n v="1"/>
    <x v="2"/>
    <x v="0"/>
    <x v="8"/>
    <x v="0"/>
    <s v="Envioclick- Coordinadora"/>
    <s v="2882646 - 84151039233"/>
    <d v="2024-11-21T00:00:00"/>
    <d v="2024-11-24T00:00:00"/>
    <x v="0"/>
    <n v="0"/>
    <n v="2"/>
    <x v="1"/>
    <n v="23690"/>
    <m/>
  </r>
  <r>
    <d v="2024-11-21T00:00:00"/>
    <x v="10"/>
    <n v="47"/>
    <n v="2313"/>
    <x v="0"/>
    <s v="Mauricio Diaz"/>
    <s v="TECU2FNG"/>
    <s v="Electric Standing Desk GO Negro"/>
    <n v="1"/>
    <x v="0"/>
    <x v="1"/>
    <x v="1"/>
    <x v="0"/>
    <s v="Envioclick- Coordinadora"/>
    <s v="2883743 - 84151039686"/>
    <d v="2024-11-22T00:00:00"/>
    <d v="2024-11-25T00:00:00"/>
    <x v="0"/>
    <n v="1"/>
    <n v="3"/>
    <x v="1"/>
    <n v="41925"/>
    <m/>
  </r>
  <r>
    <d v="2024-11-21T00:00:00"/>
    <x v="10"/>
    <n v="47"/>
    <n v="2313"/>
    <x v="0"/>
    <s v="Mauricio Diaz"/>
    <s v="TECUTRN2C"/>
    <s v="Superficie Escritorio Roble Negro 120x70 Clasico Small"/>
    <n v="1"/>
    <x v="1"/>
    <x v="1"/>
    <x v="1"/>
    <x v="0"/>
    <s v="Envioclick- Coordinadora"/>
    <s v="2883745 - 84151039687"/>
    <d v="2024-11-22T00:00:00"/>
    <d v="2024-11-25T00:00:00"/>
    <x v="0"/>
    <n v="1"/>
    <n v="3"/>
    <x v="1"/>
    <n v="24366"/>
    <m/>
  </r>
  <r>
    <d v="2024-11-21T00:00:00"/>
    <x v="10"/>
    <n v="47"/>
    <n v="2313"/>
    <x v="0"/>
    <s v="Mauricio Diaz"/>
    <s v="TECUAN"/>
    <s v="Archivador TECU  Negro (Wengue)"/>
    <n v="1"/>
    <x v="3"/>
    <x v="1"/>
    <x v="1"/>
    <x v="0"/>
    <s v="Envioclick- Envia"/>
    <s v="2884964 - 954101092960"/>
    <d v="2024-11-22T00:00:00"/>
    <d v="2024-11-23T00:00:00"/>
    <x v="0"/>
    <n v="1"/>
    <n v="2"/>
    <x v="1"/>
    <n v="43847"/>
    <m/>
  </r>
  <r>
    <d v="2024-11-22T00:00:00"/>
    <x v="10"/>
    <n v="47"/>
    <n v="2314"/>
    <x v="0"/>
    <s v="David Chejne / Juan Vahos"/>
    <s v="TECU3FGPRO"/>
    <s v="Electric Standing Desk  PRO Gris"/>
    <n v="1"/>
    <x v="0"/>
    <x v="0"/>
    <x v="3"/>
    <x v="0"/>
    <s v="Envioclick- Coordinadora"/>
    <s v="2883762 - 84151039695"/>
    <d v="2024-11-22T00:00:00"/>
    <d v="2024-11-23T00:00:00"/>
    <x v="0"/>
    <n v="0"/>
    <n v="1"/>
    <x v="1"/>
    <n v="43277"/>
    <m/>
  </r>
  <r>
    <d v="2024-11-22T00:00:00"/>
    <x v="10"/>
    <n v="47"/>
    <n v="2314"/>
    <x v="0"/>
    <s v="David Chejne / Juan Vahos"/>
    <s v="TECUTCO2C"/>
    <s v="Superficie Escritorio Caramelo 120x70 Clasico Small"/>
    <n v="1"/>
    <x v="1"/>
    <x v="0"/>
    <x v="3"/>
    <x v="0"/>
    <s v="Envioclick- Coordinadora"/>
    <s v="2883763 - 84151039696"/>
    <d v="2024-11-22T00:00:00"/>
    <d v="2024-11-25T00:00:00"/>
    <x v="0"/>
    <n v="0"/>
    <n v="2"/>
    <x v="1"/>
    <n v="29097"/>
    <m/>
  </r>
  <r>
    <d v="2024-11-22T00:00:00"/>
    <x v="10"/>
    <n v="47"/>
    <n v="2315"/>
    <x v="0"/>
    <s v="Ivan Dario Sarmiento Cabezas"/>
    <s v="TECUCT"/>
    <s v="TECU bandeja de cables"/>
    <n v="1"/>
    <x v="4"/>
    <x v="1"/>
    <x v="1"/>
    <x v="0"/>
    <s v="Envioclick- Coordinadora"/>
    <s v="2884118 - 84151039890"/>
    <d v="2024-11-22T00:00:00"/>
    <d v="2024-11-24T00:00:00"/>
    <x v="0"/>
    <n v="0"/>
    <n v="1"/>
    <x v="1"/>
    <n v="25593"/>
    <m/>
  </r>
  <r>
    <d v="2024-11-23T00:00:00"/>
    <x v="10"/>
    <n v="47"/>
    <n v="2316"/>
    <x v="0"/>
    <s v="Juan Esteban Monsalvo Londoño"/>
    <s v="TECUDSN"/>
    <s v="TECU Desk Stool Negra Silla ajustable"/>
    <n v="1"/>
    <x v="5"/>
    <x v="0"/>
    <x v="3"/>
    <x v="0"/>
    <s v="Envioclick- Coordinadora"/>
    <s v="2888448 - 84151041412"/>
    <d v="2024-11-25T00:00:00"/>
    <d v="2024-11-27T00:00:00"/>
    <x v="0"/>
    <n v="1"/>
    <n v="3"/>
    <x v="1"/>
    <n v="26870"/>
    <m/>
  </r>
  <r>
    <d v="2024-11-23T00:00:00"/>
    <x v="10"/>
    <n v="47"/>
    <n v="2317"/>
    <x v="0"/>
    <s v="Juan David Rios Suarez"/>
    <s v="TECURCO"/>
    <s v="Repisa TECU  Caramelo"/>
    <n v="1"/>
    <x v="2"/>
    <x v="0"/>
    <x v="3"/>
    <x v="0"/>
    <s v="Envioclick- Coordinadora"/>
    <s v="2888731 - 84151041531"/>
    <d v="2024-11-25T00:00:00"/>
    <d v="2024-11-27T00:00:00"/>
    <x v="0"/>
    <n v="1"/>
    <n v="3"/>
    <x v="1"/>
    <n v="23690"/>
    <m/>
  </r>
  <r>
    <d v="2024-11-24T00:00:00"/>
    <x v="10"/>
    <n v="48"/>
    <n v="2318"/>
    <x v="0"/>
    <s v="Juan Pablo Mallarino Robayo"/>
    <s v="TECU3FGPRO"/>
    <s v="Electric Standing Desk  PRO Gris"/>
    <n v="1"/>
    <x v="0"/>
    <x v="1"/>
    <x v="1"/>
    <x v="0"/>
    <s v="Envioclick- Coordinadora"/>
    <s v="2888539 - 84151041439"/>
    <d v="2024-11-25T00:00:00"/>
    <d v="2024-11-26T00:00:00"/>
    <x v="0"/>
    <n v="0"/>
    <n v="1"/>
    <x v="1"/>
    <n v="43277"/>
    <m/>
  </r>
  <r>
    <d v="2024-11-24T00:00:00"/>
    <x v="10"/>
    <n v="48"/>
    <n v="2318"/>
    <x v="0"/>
    <s v="Juan Pablo Mallarino Robayo"/>
    <s v="TECUTCO4C"/>
    <s v="Superficie Escritorio Caramelo 140x70 Clasico"/>
    <n v="1"/>
    <x v="1"/>
    <x v="1"/>
    <x v="1"/>
    <x v="0"/>
    <s v="Envioclick- Coordinadora"/>
    <s v="2888541 - 84151041440"/>
    <d v="2024-11-25T00:00:00"/>
    <d v="2024-11-27T00:00:00"/>
    <x v="0"/>
    <n v="0"/>
    <n v="2"/>
    <x v="1"/>
    <n v="24366"/>
    <m/>
  </r>
  <r>
    <d v="2024-11-24T00:00:00"/>
    <x v="10"/>
    <n v="48"/>
    <n v="2318"/>
    <x v="0"/>
    <s v="Juan Pablo Mallarino Robayo"/>
    <s v="TECUBDPG"/>
    <s v="TECU Desk Pad B Negro Gris"/>
    <n v="1"/>
    <x v="4"/>
    <x v="1"/>
    <x v="1"/>
    <x v="0"/>
    <s v="Envioclick- Coordinadora"/>
    <s v="2888545 - 84151041444"/>
    <d v="2024-11-25T00:00:00"/>
    <d v="2024-11-26T00:00:00"/>
    <x v="0"/>
    <n v="0"/>
    <n v="1"/>
    <x v="1"/>
    <n v="17079"/>
    <m/>
  </r>
  <r>
    <d v="2024-11-24T00:00:00"/>
    <x v="10"/>
    <n v="48"/>
    <n v="2318"/>
    <x v="0"/>
    <s v="Juan Pablo Mallarino Robayo"/>
    <s v="TECUCT"/>
    <s v="TECU bandeja de cables"/>
    <n v="1"/>
    <x v="4"/>
    <x v="1"/>
    <x v="1"/>
    <x v="0"/>
    <s v="Envioclick- Coordinadora"/>
    <s v="2888557 - 84151041451"/>
    <d v="2024-11-25T00:00:00"/>
    <d v="2024-11-26T00:00:00"/>
    <x v="0"/>
    <n v="0"/>
    <n v="1"/>
    <x v="1"/>
    <n v="25593"/>
    <m/>
  </r>
  <r>
    <d v="2024-11-24T00:00:00"/>
    <x v="10"/>
    <n v="48"/>
    <n v="2318"/>
    <x v="0"/>
    <s v="Juan Pablo Mallarino Robayo"/>
    <s v="TECUBLS"/>
    <s v="TECU Laptop Stand B"/>
    <n v="1"/>
    <x v="4"/>
    <x v="1"/>
    <x v="1"/>
    <x v="0"/>
    <s v="Envioclick- Coordinadora"/>
    <s v="2888557 - 84151041451"/>
    <d v="2024-11-25T00:00:00"/>
    <d v="2024-11-26T00:00:00"/>
    <x v="0"/>
    <n v="0"/>
    <n v="1"/>
    <x v="1"/>
    <n v="25593"/>
    <m/>
  </r>
  <r>
    <d v="2024-11-25T00:00:00"/>
    <x v="10"/>
    <n v="48"/>
    <n v="2319"/>
    <x v="0"/>
    <s v="Carlos Javier Cepeda"/>
    <s v="TECURCO"/>
    <s v="Repisa TECU  Caramelo"/>
    <n v="1"/>
    <x v="2"/>
    <x v="16"/>
    <x v="37"/>
    <x v="0"/>
    <s v="Envioclick- Coordinadora"/>
    <s v="2888999 - 84151041674"/>
    <d v="2024-11-25T00:00:00"/>
    <d v="2024-11-27T00:00:00"/>
    <x v="0"/>
    <n v="0"/>
    <n v="2"/>
    <x v="1"/>
    <n v="27056"/>
    <m/>
  </r>
  <r>
    <d v="2024-11-25T00:00:00"/>
    <x v="10"/>
    <n v="48"/>
    <n v="2319"/>
    <x v="0"/>
    <s v="Carlos Javier Cepeda"/>
    <s v="TECUCT"/>
    <s v="TECU bandeja de cables"/>
    <n v="1"/>
    <x v="4"/>
    <x v="16"/>
    <x v="37"/>
    <x v="0"/>
    <s v="Envioclick- Coordinadora"/>
    <s v="2889009 - 84151041680"/>
    <d v="2024-11-25T00:00:00"/>
    <d v="2024-11-27T00:00:00"/>
    <x v="0"/>
    <n v="0"/>
    <n v="2"/>
    <x v="1"/>
    <n v="25593"/>
    <m/>
  </r>
  <r>
    <d v="2024-11-25T00:00:00"/>
    <x v="10"/>
    <n v="48"/>
    <n v="2320"/>
    <x v="0"/>
    <s v="Leyla Cristina Goyeneche Gordillo"/>
    <s v="TECUCT"/>
    <s v="TECU bandeja de cables"/>
    <n v="1"/>
    <x v="4"/>
    <x v="1"/>
    <x v="1"/>
    <x v="0"/>
    <s v="Envioclick- Coordinadora"/>
    <s v="2889945 - 84151042170"/>
    <d v="2024-11-25T00:00:00"/>
    <d v="2024-11-27T00:00:00"/>
    <x v="0"/>
    <n v="0"/>
    <n v="2"/>
    <x v="1"/>
    <n v="25593"/>
    <m/>
  </r>
  <r>
    <d v="2024-11-25T00:00:00"/>
    <x v="10"/>
    <n v="48"/>
    <n v="2320"/>
    <x v="0"/>
    <s v="Leyla Cristina Goyeneche Gordillo"/>
    <s v="TECUCT"/>
    <s v="TECU bandeja de cables"/>
    <n v="1"/>
    <x v="4"/>
    <x v="1"/>
    <x v="1"/>
    <x v="0"/>
    <s v="Envioclick- Coordinadora"/>
    <s v="2900944 - 84151047565"/>
    <d v="2024-11-29T00:00:00"/>
    <d v="2024-12-02T00:00:00"/>
    <x v="0"/>
    <n v="4"/>
    <n v="6"/>
    <x v="0"/>
    <n v="25593"/>
    <m/>
  </r>
  <r>
    <d v="2024-11-25T00:00:00"/>
    <x v="10"/>
    <n v="48"/>
    <n v="2321"/>
    <x v="0"/>
    <s v="Felipe Rivera"/>
    <s v="TECURCO"/>
    <s v="Repisa TECU  Caramelo"/>
    <n v="1"/>
    <x v="2"/>
    <x v="1"/>
    <x v="1"/>
    <x v="0"/>
    <s v="Envioclick- Coordinadora"/>
    <s v="2892240 - 84151043307"/>
    <d v="2024-11-26T00:00:00"/>
    <d v="2024-11-27T00:00:00"/>
    <x v="0"/>
    <n v="1"/>
    <n v="2"/>
    <x v="1"/>
    <n v="23690"/>
    <m/>
  </r>
  <r>
    <d v="2024-11-28T00:00:00"/>
    <x v="10"/>
    <n v="48"/>
    <n v="2321"/>
    <x v="1"/>
    <s v="Felipe Rivera"/>
    <s v="TECURCO"/>
    <s v="Repisa TECU  Caramelo"/>
    <n v="1"/>
    <x v="2"/>
    <x v="1"/>
    <x v="1"/>
    <x v="0"/>
    <s v="Envioclick- Coordinadora"/>
    <s v="2901034 - 84151047613"/>
    <d v="2024-11-29T00:00:00"/>
    <d v="2024-12-01T00:00:00"/>
    <x v="0"/>
    <n v="1"/>
    <n v="2"/>
    <x v="1"/>
    <n v="23690"/>
    <m/>
  </r>
  <r>
    <d v="2024-11-26T00:00:00"/>
    <x v="10"/>
    <n v="48"/>
    <n v="2322"/>
    <x v="0"/>
    <s v="Andres Velasquez"/>
    <s v="TECUAN"/>
    <s v="Archivador TECU  Negro (Wengue)"/>
    <n v="1"/>
    <x v="3"/>
    <x v="1"/>
    <x v="1"/>
    <x v="0"/>
    <s v="Envioclick- Envia"/>
    <s v="2897823 -954101096469"/>
    <d v="2024-11-28T00:00:00"/>
    <d v="2024-11-30T00:00:00"/>
    <x v="0"/>
    <n v="2"/>
    <n v="4"/>
    <x v="0"/>
    <n v="43847"/>
    <m/>
  </r>
  <r>
    <d v="2024-11-28T00:00:00"/>
    <x v="10"/>
    <n v="48"/>
    <n v="2323"/>
    <x v="0"/>
    <s v="Samuel Rivas"/>
    <s v="TECU3FNPRO"/>
    <s v="Electric Standing Desk  PRO Negro"/>
    <n v="1"/>
    <x v="0"/>
    <x v="0"/>
    <x v="3"/>
    <x v="0"/>
    <s v="Envioclick- Coordinadora"/>
    <s v="2897843 - 84151046122"/>
    <d v="2024-11-28T00:00:00"/>
    <d v="2024-11-29T00:00:00"/>
    <x v="0"/>
    <n v="0"/>
    <n v="1"/>
    <x v="1"/>
    <n v="43277"/>
    <m/>
  </r>
  <r>
    <d v="2024-11-28T00:00:00"/>
    <x v="10"/>
    <n v="48"/>
    <n v="2323"/>
    <x v="0"/>
    <s v="Samuel Rivas"/>
    <s v="TECUTCO2C"/>
    <s v="Superficie Escritorio Caramelo 120x70 Clasico Small"/>
    <n v="1"/>
    <x v="1"/>
    <x v="0"/>
    <x v="3"/>
    <x v="0"/>
    <s v="Envioclick- Coordinadora"/>
    <s v="2897844 - 84151046123"/>
    <d v="2024-11-28T00:00:00"/>
    <d v="2024-11-29T00:00:00"/>
    <x v="0"/>
    <n v="0"/>
    <n v="1"/>
    <x v="1"/>
    <n v="29097"/>
    <m/>
  </r>
  <r>
    <d v="2024-11-28T00:00:00"/>
    <x v="10"/>
    <n v="48"/>
    <n v="2323"/>
    <x v="0"/>
    <s v="Samuel Rivas"/>
    <s v="TECUBLS"/>
    <s v="TECU Laptop Stand B"/>
    <n v="1"/>
    <x v="4"/>
    <x v="0"/>
    <x v="3"/>
    <x v="0"/>
    <s v="Envioclick- Coordinadora"/>
    <s v="2897859 - 84151046132"/>
    <d v="2024-11-28T00:00:00"/>
    <d v="2024-11-29T00:00:00"/>
    <x v="0"/>
    <n v="0"/>
    <n v="1"/>
    <x v="1"/>
    <n v="25593"/>
    <m/>
  </r>
  <r>
    <d v="2024-11-28T00:00:00"/>
    <x v="10"/>
    <n v="48"/>
    <n v="2325"/>
    <x v="0"/>
    <s v="Wilson Javier Forero"/>
    <s v="TECU3FNPRO"/>
    <s v="Electric Standing Desk  PRO Negro"/>
    <n v="1"/>
    <x v="0"/>
    <x v="1"/>
    <x v="1"/>
    <x v="0"/>
    <s v="Envioclick- Coordinadora"/>
    <s v="2900821 - 84151047512"/>
    <d v="2024-11-29T00:00:00"/>
    <d v="2024-12-01T00:00:00"/>
    <x v="0"/>
    <n v="1"/>
    <n v="2"/>
    <x v="1"/>
    <n v="43277"/>
    <m/>
  </r>
  <r>
    <d v="2024-11-28T00:00:00"/>
    <x v="10"/>
    <n v="48"/>
    <n v="2325"/>
    <x v="0"/>
    <s v="Wilson Javier Forero"/>
    <s v="TECUTCC5C"/>
    <s v="Superficie Escritorio Miel 150x70 Clasico"/>
    <n v="1"/>
    <x v="1"/>
    <x v="1"/>
    <x v="1"/>
    <x v="0"/>
    <s v="Envioclick- Coordinadora"/>
    <s v="2900822 - 84151047513"/>
    <d v="2024-11-29T00:00:00"/>
    <d v="2024-12-03T00:00:00"/>
    <x v="0"/>
    <n v="1"/>
    <n v="4"/>
    <x v="0"/>
    <n v="24366"/>
    <m/>
  </r>
  <r>
    <d v="2024-11-28T00:00:00"/>
    <x v="10"/>
    <n v="48"/>
    <n v="2326"/>
    <x v="0"/>
    <s v="Felipe Abaunza"/>
    <s v="TECU3FNPRO"/>
    <s v="Electric Standing Desk  PRO Negro"/>
    <n v="1"/>
    <x v="0"/>
    <x v="1"/>
    <x v="1"/>
    <x v="0"/>
    <s v="Envioclick- Coordinadora"/>
    <s v="2901047 - 84151047621"/>
    <d v="2024-11-29T00:00:00"/>
    <d v="2024-12-01T00:00:00"/>
    <x v="0"/>
    <n v="1"/>
    <n v="2"/>
    <x v="1"/>
    <n v="43277"/>
    <m/>
  </r>
  <r>
    <d v="2024-11-28T00:00:00"/>
    <x v="10"/>
    <n v="48"/>
    <n v="2326"/>
    <x v="0"/>
    <s v="Felipe Abaunza"/>
    <s v="TECUTCO2C"/>
    <s v="Superficie Escritorio Caramelo 120x70 Clasico Small"/>
    <n v="1"/>
    <x v="1"/>
    <x v="1"/>
    <x v="1"/>
    <x v="0"/>
    <s v="Envioclick- Coordinadora"/>
    <s v="2901050 - 84151047623"/>
    <d v="2024-11-29T00:00:00"/>
    <d v="2024-12-01T00:00:00"/>
    <x v="0"/>
    <n v="1"/>
    <n v="2"/>
    <x v="1"/>
    <n v="29097"/>
    <m/>
  </r>
  <r>
    <d v="2024-11-28T00:00:00"/>
    <x v="10"/>
    <n v="48"/>
    <n v="2326"/>
    <x v="0"/>
    <s v="Felipe Abaunza"/>
    <s v="TECUROD"/>
    <s v="Rodachines con freno para Standing desk x 4 UN"/>
    <n v="1"/>
    <x v="6"/>
    <x v="1"/>
    <x v="1"/>
    <x v="0"/>
    <s v="Envioclick- Envia"/>
    <s v="2901062 - 84151047632"/>
    <d v="2024-11-29T00:00:00"/>
    <d v="2024-12-01T00:00:00"/>
    <x v="0"/>
    <n v="1"/>
    <n v="2"/>
    <x v="1"/>
    <n v="24583"/>
    <m/>
  </r>
  <r>
    <d v="2024-11-28T00:00:00"/>
    <x v="10"/>
    <n v="48"/>
    <n v="2326"/>
    <x v="0"/>
    <s v="Felipe Abaunza"/>
    <m/>
    <s v="Servicio de instalacion"/>
    <n v="1"/>
    <x v="7"/>
    <x v="1"/>
    <x v="1"/>
    <x v="0"/>
    <s v="Envioclick- Coordinadora"/>
    <s v="NA"/>
    <d v="2024-12-02T00:00:00"/>
    <d v="2024-12-02T00:00:00"/>
    <x v="0"/>
    <n v="3"/>
    <n v="3"/>
    <x v="1"/>
    <m/>
    <m/>
  </r>
  <r>
    <d v="2024-11-29T00:00:00"/>
    <x v="10"/>
    <n v="48"/>
    <n v="2327"/>
    <x v="0"/>
    <s v="Juan Sebastian Hernandez Crespo"/>
    <s v="TECU3FGPRO"/>
    <s v="Electric Standing Desk  PRO Gris"/>
    <n v="1"/>
    <x v="0"/>
    <x v="0"/>
    <x v="12"/>
    <x v="0"/>
    <s v="Envioclick- Coordinadora"/>
    <s v="2900862 - 84151047535"/>
    <d v="2024-11-29T00:00:00"/>
    <d v="2024-12-01T00:00:00"/>
    <x v="0"/>
    <n v="0"/>
    <n v="1"/>
    <x v="1"/>
    <n v="43277"/>
    <m/>
  </r>
  <r>
    <d v="2024-11-29T00:00:00"/>
    <x v="10"/>
    <n v="48"/>
    <n v="2327"/>
    <x v="0"/>
    <s v="Juan Sebastian Hernandez Crespo"/>
    <s v="TECUTCO8C"/>
    <s v="Superficie Escritorio Caramelo 180x70 Clasico"/>
    <n v="1"/>
    <x v="1"/>
    <x v="0"/>
    <x v="12"/>
    <x v="0"/>
    <s v="Envioclick- Coordinadora"/>
    <s v="2900863 - 84151047536"/>
    <d v="2024-11-29T00:00:00"/>
    <d v="2024-12-01T00:00:00"/>
    <x v="0"/>
    <n v="0"/>
    <n v="1"/>
    <x v="1"/>
    <n v="27069"/>
    <m/>
  </r>
  <r>
    <d v="2024-11-29T00:00:00"/>
    <x v="10"/>
    <n v="48"/>
    <n v="2327"/>
    <x v="0"/>
    <s v="Juan Sebastian Hernandez Crespo"/>
    <s v="TECUCT"/>
    <s v="TECU bandeja de cables"/>
    <n v="1"/>
    <x v="4"/>
    <x v="0"/>
    <x v="12"/>
    <x v="0"/>
    <s v="Envioclick- Coordinadora"/>
    <s v="2900877 - 84151047541"/>
    <d v="2024-11-29T00:00:00"/>
    <d v="2024-12-01T00:00:00"/>
    <x v="0"/>
    <n v="0"/>
    <n v="1"/>
    <x v="1"/>
    <n v="25593"/>
    <m/>
  </r>
  <r>
    <d v="2024-11-29T00:00:00"/>
    <x v="10"/>
    <n v="48"/>
    <n v="2328"/>
    <x v="0"/>
    <s v="Gustavo Adolfo Cardona Quintero"/>
    <s v="TECU2FGGO"/>
    <s v="Electric Standing Desk GO Gris"/>
    <n v="1"/>
    <x v="0"/>
    <x v="0"/>
    <x v="38"/>
    <x v="0"/>
    <s v="Envioclick- Coordinadora"/>
    <s v="2900909 - 84151047554"/>
    <d v="2024-11-29T00:00:00"/>
    <d v="2024-12-01T00:00:00"/>
    <x v="0"/>
    <n v="0"/>
    <n v="1"/>
    <x v="3"/>
    <n v="41925"/>
    <m/>
  </r>
  <r>
    <d v="2024-11-29T00:00:00"/>
    <x v="10"/>
    <n v="48"/>
    <n v="2328"/>
    <x v="0"/>
    <s v="Gustavo Adolfo Cardona Quintero"/>
    <s v="TECUTRN2C"/>
    <s v="Superficie Escritorio Roble Negro 120x70 Clasico Small"/>
    <n v="1"/>
    <x v="1"/>
    <x v="0"/>
    <x v="38"/>
    <x v="0"/>
    <s v="Envioclick- Coordinadora"/>
    <s v="2900911 - 84151047556"/>
    <d v="2024-11-29T00:00:00"/>
    <d v="2024-12-01T00:00:00"/>
    <x v="0"/>
    <n v="0"/>
    <n v="1"/>
    <x v="3"/>
    <n v="24366"/>
    <m/>
  </r>
  <r>
    <d v="2024-11-29T00:00:00"/>
    <x v="10"/>
    <n v="48"/>
    <n v="2329"/>
    <x v="0"/>
    <s v="Alejandro Vasquez"/>
    <s v="TECU2FGGO"/>
    <s v="Electric Standing Desk GO Gris"/>
    <n v="1"/>
    <x v="0"/>
    <x v="4"/>
    <x v="5"/>
    <x v="0"/>
    <s v="Envioclick- Coordinadora"/>
    <s v="2902008 - 84151047996"/>
    <d v="2024-11-29T00:00:00"/>
    <d v="2024-11-30T00:00:00"/>
    <x v="0"/>
    <n v="0"/>
    <n v="1"/>
    <x v="1"/>
    <n v="41925"/>
    <m/>
  </r>
  <r>
    <d v="2024-11-29T00:00:00"/>
    <x v="10"/>
    <n v="48"/>
    <n v="2329"/>
    <x v="0"/>
    <s v="Alejandro Vasquez"/>
    <s v="TECUTCC2C"/>
    <s v="Superficie Escritorio Miel 120x70 Clasico Small"/>
    <n v="1"/>
    <x v="1"/>
    <x v="4"/>
    <x v="5"/>
    <x v="0"/>
    <s v="Envioclick- Coordinadora"/>
    <s v="2902009 - 84151047997"/>
    <d v="2024-11-29T00:00:00"/>
    <d v="2024-11-30T00:00:00"/>
    <x v="0"/>
    <n v="0"/>
    <n v="1"/>
    <x v="1"/>
    <n v="24366"/>
    <m/>
  </r>
  <r>
    <d v="2024-11-29T00:00:00"/>
    <x v="10"/>
    <n v="48"/>
    <n v="2329"/>
    <x v="0"/>
    <s v="Alejandro Vasquez"/>
    <s v="TECUDSN"/>
    <s v="TECU Desk Stool Negra Silla ajustable"/>
    <n v="1"/>
    <x v="5"/>
    <x v="4"/>
    <x v="5"/>
    <x v="0"/>
    <s v="Envioclick- Coordinadora"/>
    <s v="2902015 - 84151047998"/>
    <d v="2024-11-29T00:00:00"/>
    <d v="2024-12-02T00:00:00"/>
    <x v="0"/>
    <n v="0"/>
    <n v="2"/>
    <x v="1"/>
    <n v="26870"/>
    <m/>
  </r>
  <r>
    <d v="2024-11-29T00:00:00"/>
    <x v="10"/>
    <n v="48"/>
    <n v="2330"/>
    <x v="0"/>
    <s v="Cesar Augusto Vidarte Uribe"/>
    <s v="TECU3FNPRO"/>
    <s v="Electric Standing Desk  PRO Negro"/>
    <n v="1"/>
    <x v="0"/>
    <x v="4"/>
    <x v="5"/>
    <x v="0"/>
    <s v="Envioclick- Coordinadora"/>
    <s v="2909977 - 84151051028"/>
    <d v="2024-12-02T00:00:00"/>
    <d v="2024-12-03T00:00:00"/>
    <x v="0"/>
    <n v="2"/>
    <n v="3"/>
    <x v="1"/>
    <n v="43277"/>
    <m/>
  </r>
  <r>
    <d v="2024-11-29T00:00:00"/>
    <x v="10"/>
    <n v="48"/>
    <n v="2330"/>
    <x v="0"/>
    <s v="Cesar Augusto Vidarte Uribe"/>
    <s v="TECUTRN7M"/>
    <s v="Superficie Escritorio Roble Negro 170x70 Moderno"/>
    <n v="1"/>
    <x v="1"/>
    <x v="4"/>
    <x v="5"/>
    <x v="0"/>
    <s v="Envioclick- Coordinadora"/>
    <s v="2909980 - 84151051030"/>
    <d v="2024-12-02T00:00:00"/>
    <d v="2024-12-03T00:00:00"/>
    <x v="0"/>
    <n v="2"/>
    <n v="3"/>
    <x v="1"/>
    <n v="27069"/>
    <m/>
  </r>
  <r>
    <d v="2024-11-29T00:00:00"/>
    <x v="10"/>
    <n v="48"/>
    <n v="2331"/>
    <x v="0"/>
    <s v="Maria Alejandra Benitez Trujillo"/>
    <s v="TECU3FNPRO"/>
    <s v="Electric Standing Desk  PRO Negro"/>
    <n v="1"/>
    <x v="0"/>
    <x v="1"/>
    <x v="1"/>
    <x v="0"/>
    <s v="Envioclick- Coordinadora"/>
    <s v="2909301 - 84151050710"/>
    <d v="2024-12-02T00:00:00"/>
    <d v="2024-12-04T00:00:00"/>
    <x v="0"/>
    <n v="2"/>
    <n v="4"/>
    <x v="0"/>
    <n v="43277"/>
    <m/>
  </r>
  <r>
    <d v="2024-11-29T00:00:00"/>
    <x v="10"/>
    <n v="48"/>
    <n v="2331"/>
    <x v="0"/>
    <s v="Maria Alejandra Benitez Trujillo"/>
    <s v="TECUTCO5M"/>
    <s v="Superficie Escritorio Caramelo 150x70 Moderno"/>
    <n v="1"/>
    <x v="1"/>
    <x v="1"/>
    <x v="1"/>
    <x v="0"/>
    <s v="Envioclick- Coordinadora"/>
    <s v="2909311 - 84151050720"/>
    <d v="2024-12-02T00:00:00"/>
    <d v="2024-12-04T00:00:00"/>
    <x v="0"/>
    <n v="2"/>
    <n v="4"/>
    <x v="0"/>
    <n v="24366"/>
    <m/>
  </r>
  <r>
    <d v="2024-11-29T00:00:00"/>
    <x v="10"/>
    <n v="48"/>
    <n v="2331"/>
    <x v="0"/>
    <s v="Maria Alejandra Benitez Trujillo"/>
    <m/>
    <s v="Servicio de instalacion"/>
    <n v="1"/>
    <x v="7"/>
    <x v="1"/>
    <x v="1"/>
    <x v="0"/>
    <s v="Envioclick- Coordinadora"/>
    <s v="NA"/>
    <d v="2024-12-05T00:00:00"/>
    <d v="2024-12-05T00:00:00"/>
    <x v="0"/>
    <n v="5"/>
    <n v="5"/>
    <x v="0"/>
    <m/>
    <m/>
  </r>
  <r>
    <d v="2024-11-29T00:00:00"/>
    <x v="10"/>
    <n v="48"/>
    <n v="2332"/>
    <x v="0"/>
    <s v="Laura Melisa Carmona Manjarrez"/>
    <s v="TECU2FGGO"/>
    <s v="Electric Standing Desk GO Gris"/>
    <n v="1"/>
    <x v="0"/>
    <x v="3"/>
    <x v="4"/>
    <x v="0"/>
    <s v="Envioclick- Coordinadora"/>
    <s v="2914814 - 84151053507"/>
    <d v="2024-12-03T00:00:00"/>
    <d v="2024-12-10T00:00:00"/>
    <x v="0"/>
    <n v="3"/>
    <n v="9"/>
    <x v="0"/>
    <n v="60493"/>
    <m/>
  </r>
  <r>
    <d v="2024-11-29T00:00:00"/>
    <x v="10"/>
    <n v="48"/>
    <n v="2332"/>
    <x v="0"/>
    <s v="Laura Melisa Carmona Manjarrez"/>
    <s v="TECUTRN2C"/>
    <s v="Superficie Escritorio Roble Negro 120x70 Clasico Small"/>
    <n v="1"/>
    <x v="1"/>
    <x v="3"/>
    <x v="4"/>
    <x v="0"/>
    <s v="Envioclick- Coordinadora"/>
    <s v="2914815 - 84151053509"/>
    <d v="2024-12-03T00:00:00"/>
    <d v="2024-12-10T00:00:00"/>
    <x v="0"/>
    <n v="3"/>
    <n v="9"/>
    <x v="0"/>
    <n v="39619"/>
    <m/>
  </r>
  <r>
    <d v="2024-11-30T00:00:00"/>
    <x v="10"/>
    <n v="48"/>
    <n v="2333"/>
    <x v="0"/>
    <s v="Nicol Valeria Ortiz Rodríguez"/>
    <s v="TECU2FGGO"/>
    <s v="Electric Standing Desk GO Gris"/>
    <n v="1"/>
    <x v="0"/>
    <x v="4"/>
    <x v="5"/>
    <x v="0"/>
    <s v="Envioclick- Coordinadora"/>
    <s v="2916106 - 84151054109"/>
    <d v="2024-12-03T00:00:00"/>
    <d v="2024-12-04T00:00:00"/>
    <x v="0"/>
    <n v="2"/>
    <n v="3"/>
    <x v="1"/>
    <n v="41925"/>
    <m/>
  </r>
  <r>
    <d v="2024-11-30T00:00:00"/>
    <x v="10"/>
    <n v="48"/>
    <n v="2333"/>
    <x v="0"/>
    <s v="Nicol Valeria Ortiz Rodríguez"/>
    <s v="TECUTRN6C"/>
    <s v="Superficie Escritorio Roble Negro 160x70 Clasico"/>
    <n v="1"/>
    <x v="1"/>
    <x v="4"/>
    <x v="5"/>
    <x v="0"/>
    <s v="Envioclick- Coordinadora"/>
    <s v="2916108 - 84151054110"/>
    <d v="2024-12-03T00:00:00"/>
    <d v="2024-12-05T00:00:00"/>
    <x v="0"/>
    <n v="2"/>
    <n v="4"/>
    <x v="0"/>
    <m/>
    <m/>
  </r>
  <r>
    <d v="2024-11-30T00:00:00"/>
    <x v="10"/>
    <n v="48"/>
    <n v="2334"/>
    <x v="0"/>
    <s v="Jairo Baquero"/>
    <s v="TECU2FGGO"/>
    <s v="Electric Standing Desk GO Gris"/>
    <n v="1"/>
    <x v="0"/>
    <x v="1"/>
    <x v="1"/>
    <x v="0"/>
    <s v="Envioclick- Coordinadora"/>
    <s v="2931513 - 84151062466"/>
    <d v="2025-12-09T00:00:00"/>
    <d v="2025-12-10T00:00:00"/>
    <x v="0"/>
    <n v="319"/>
    <n v="320"/>
    <x v="0"/>
    <n v="41925"/>
    <m/>
  </r>
  <r>
    <d v="2024-11-30T00:00:00"/>
    <x v="10"/>
    <n v="48"/>
    <n v="2334"/>
    <x v="0"/>
    <s v="Jairo Baquero"/>
    <s v="TECUTCC5C"/>
    <s v="Superficie Escritorio Miel 150x70 Clasico"/>
    <n v="1"/>
    <x v="1"/>
    <x v="1"/>
    <x v="1"/>
    <x v="0"/>
    <s v="Envioclick- Coordinadora"/>
    <s v="2931513 - 84151062466"/>
    <d v="2024-12-09T00:00:00"/>
    <d v="2024-12-10T00:00:00"/>
    <x v="0"/>
    <n v="7"/>
    <n v="8"/>
    <x v="0"/>
    <n v="41925"/>
    <m/>
  </r>
  <r>
    <d v="2024-11-30T00:00:00"/>
    <x v="10"/>
    <n v="48"/>
    <n v="2334"/>
    <x v="0"/>
    <s v="Jairo Baquero"/>
    <m/>
    <s v="Servicio de instalacion"/>
    <n v="1"/>
    <x v="7"/>
    <x v="1"/>
    <x v="1"/>
    <x v="1"/>
    <s v="Envioclick- Coordinadora"/>
    <s v="NA"/>
    <m/>
    <m/>
    <x v="1"/>
    <n v="-39095"/>
    <s v="PTE"/>
    <x v="2"/>
    <m/>
    <m/>
  </r>
  <r>
    <d v="2024-11-30T00:00:00"/>
    <x v="10"/>
    <n v="48"/>
    <n v="2335"/>
    <x v="0"/>
    <s v="Melissa Arango Morales"/>
    <s v="TECU2FNG"/>
    <s v="Electric Standing Desk GO Negro"/>
    <n v="1"/>
    <x v="0"/>
    <x v="1"/>
    <x v="1"/>
    <x v="0"/>
    <s v="Envioclick- Coordinadora"/>
    <s v="2914899 - 84151053552"/>
    <d v="2024-12-03T00:00:00"/>
    <d v="2024-12-06T00:00:00"/>
    <x v="0"/>
    <n v="2"/>
    <n v="5"/>
    <x v="0"/>
    <n v="41925"/>
    <m/>
  </r>
  <r>
    <d v="2024-11-30T00:00:00"/>
    <x v="10"/>
    <n v="48"/>
    <n v="2335"/>
    <x v="0"/>
    <s v="Melissa Arango Morales"/>
    <s v="TECUTCC2C"/>
    <s v="Superficie Escritorio Miel 120x70 Clasico Small"/>
    <n v="1"/>
    <x v="1"/>
    <x v="1"/>
    <x v="1"/>
    <x v="0"/>
    <s v="Envioclick- Coordinadora"/>
    <s v="2914900 - 84151053554"/>
    <d v="2024-12-03T00:00:00"/>
    <d v="2024-12-06T00:00:00"/>
    <x v="0"/>
    <n v="2"/>
    <n v="5"/>
    <x v="0"/>
    <n v="24366"/>
    <m/>
  </r>
  <r>
    <d v="2024-11-30T00:00:00"/>
    <x v="10"/>
    <n v="48"/>
    <n v="2336"/>
    <x v="0"/>
    <s v="Paula Andrea Carrasco Meza"/>
    <s v="TECURCC"/>
    <s v="Repisa TECU  Miel"/>
    <n v="1"/>
    <x v="2"/>
    <x v="1"/>
    <x v="1"/>
    <x v="0"/>
    <s v="Envioclick- Coordinadora"/>
    <s v="2909525 - 84151050843"/>
    <d v="2024-12-03T00:00:00"/>
    <d v="2024-12-05T00:00:00"/>
    <x v="0"/>
    <n v="2"/>
    <n v="4"/>
    <x v="0"/>
    <n v="23690"/>
    <m/>
  </r>
  <r>
    <d v="2024-11-30T00:00:00"/>
    <x v="10"/>
    <n v="48"/>
    <n v="2337"/>
    <x v="0"/>
    <s v="LAURA CAROLINA DÍAZ PARRA"/>
    <s v="TECU2FNG"/>
    <s v="Electric Standing Desk GO Negro"/>
    <n v="1"/>
    <x v="0"/>
    <x v="1"/>
    <x v="1"/>
    <x v="0"/>
    <s v="Envioclick- Coordinadora"/>
    <s v="2910027 - 84151051047"/>
    <d v="2024-12-02T00:00:00"/>
    <d v="2024-12-05T00:00:00"/>
    <x v="0"/>
    <n v="1"/>
    <n v="4"/>
    <x v="0"/>
    <n v="43277"/>
    <m/>
  </r>
  <r>
    <d v="2024-11-30T00:00:00"/>
    <x v="10"/>
    <n v="48"/>
    <n v="2337"/>
    <x v="0"/>
    <s v="LAURA CAROLINA DÍAZ PARRA"/>
    <s v="TECUTCC4C"/>
    <s v="Superficie Escritorio Miel 140x70 Clasico"/>
    <n v="1"/>
    <x v="1"/>
    <x v="1"/>
    <x v="1"/>
    <x v="0"/>
    <s v="Envioclick- Coordinadora"/>
    <s v="2910031 - 84151051049"/>
    <d v="2024-12-02T00:00:00"/>
    <d v="2024-12-05T00:00:00"/>
    <x v="0"/>
    <n v="1"/>
    <n v="4"/>
    <x v="0"/>
    <n v="24366"/>
    <m/>
  </r>
  <r>
    <d v="2024-11-30T00:00:00"/>
    <x v="10"/>
    <n v="48"/>
    <n v="2337"/>
    <x v="0"/>
    <s v="LAURA CAROLINA DÍAZ PARRA"/>
    <s v="TECU3FNPRO"/>
    <s v="Electric Standing Desk  PRO Negro"/>
    <n v="1"/>
    <x v="0"/>
    <x v="1"/>
    <x v="1"/>
    <x v="0"/>
    <s v="Envioclick- Coordinadora"/>
    <s v="2910053 - 84151051066"/>
    <d v="2024-12-02T00:00:00"/>
    <d v="2024-12-05T00:00:00"/>
    <x v="0"/>
    <n v="1"/>
    <n v="4"/>
    <x v="0"/>
    <n v="41925"/>
    <m/>
  </r>
  <r>
    <d v="2024-11-30T00:00:00"/>
    <x v="10"/>
    <n v="48"/>
    <n v="2337"/>
    <x v="0"/>
    <s v="LAURA CAROLINA DÍAZ PARRA"/>
    <s v="TECUTCC4C"/>
    <s v="Superficie Escritorio Miel 140x70 Clasico"/>
    <n v="1"/>
    <x v="1"/>
    <x v="1"/>
    <x v="1"/>
    <x v="0"/>
    <s v="Envioclick- Coordinadora"/>
    <s v="2910054 - 84151051068"/>
    <d v="2024-12-02T00:00:00"/>
    <d v="2024-12-05T00:00:00"/>
    <x v="0"/>
    <n v="1"/>
    <n v="4"/>
    <x v="0"/>
    <n v="24366"/>
    <m/>
  </r>
  <r>
    <d v="2024-12-02T00:00:00"/>
    <x v="11"/>
    <n v="49"/>
    <n v="2338"/>
    <x v="0"/>
    <s v="Cristian Blandon"/>
    <s v="TECUCT"/>
    <s v="TECU bandeja de cables"/>
    <n v="1"/>
    <x v="4"/>
    <x v="13"/>
    <x v="28"/>
    <x v="0"/>
    <s v="Envioclick- Coordinadora"/>
    <s v="2911061 - 84151051542"/>
    <d v="2024-12-02T00:00:00"/>
    <d v="2024-12-03T00:00:00"/>
    <x v="0"/>
    <n v="0"/>
    <n v="1"/>
    <x v="1"/>
    <n v="25593"/>
    <m/>
  </r>
  <r>
    <d v="2024-12-02T00:00:00"/>
    <x v="11"/>
    <n v="49"/>
    <n v="2339"/>
    <x v="0"/>
    <s v="Andres ROMO"/>
    <s v="TECUACO"/>
    <s v="Archivador TECU  Caramelo"/>
    <n v="1"/>
    <x v="3"/>
    <x v="1"/>
    <x v="1"/>
    <x v="0"/>
    <s v="Envioclick- Envia"/>
    <s v="2916129 - 954101101455"/>
    <d v="2024-12-03T00:00:00"/>
    <m/>
    <x v="1"/>
    <n v="1"/>
    <s v="PTE"/>
    <x v="2"/>
    <n v="43847"/>
    <m/>
  </r>
  <r>
    <d v="2024-12-02T00:00:00"/>
    <x v="11"/>
    <n v="49"/>
    <n v="2339"/>
    <x v="0"/>
    <s v="Andres ROMO"/>
    <s v="TECUDSN"/>
    <s v="TECU Desk Stool Negra Silla ajustable"/>
    <n v="1"/>
    <x v="5"/>
    <x v="1"/>
    <x v="1"/>
    <x v="0"/>
    <s v="Envioclick- Envia"/>
    <s v="2916224 - 954101101484"/>
    <d v="2024-12-03T00:00:00"/>
    <m/>
    <x v="1"/>
    <n v="1"/>
    <s v="PTE"/>
    <x v="2"/>
    <n v="26469"/>
    <m/>
  </r>
  <r>
    <d v="2024-12-02T00:00:00"/>
    <x v="11"/>
    <n v="49"/>
    <n v="2340"/>
    <x v="0"/>
    <s v="Deyxon Miguel Hinestroza Robledo"/>
    <s v="TECURCO"/>
    <s v="Repisa TECU  Caramelo"/>
    <n v="1"/>
    <x v="2"/>
    <x v="1"/>
    <x v="1"/>
    <x v="0"/>
    <s v="Envioclick- Coordinadora"/>
    <s v="2914933 - 84151053569"/>
    <d v="2024-12-03T00:00:00"/>
    <d v="2024-12-06T00:00:00"/>
    <x v="0"/>
    <n v="1"/>
    <n v="4"/>
    <x v="0"/>
    <n v="23690"/>
    <m/>
  </r>
  <r>
    <d v="2024-12-03T00:00:00"/>
    <x v="11"/>
    <n v="49"/>
    <n v="2341"/>
    <x v="0"/>
    <s v="Diego Benjumea Martínez"/>
    <s v="TECURCO"/>
    <s v="Repisa TECU  Caramelo"/>
    <n v="1"/>
    <x v="2"/>
    <x v="4"/>
    <x v="6"/>
    <x v="0"/>
    <s v="Envioclick- Coordinadora"/>
    <s v="2916114 - 84151054115"/>
    <d v="2024-12-03T00:00:00"/>
    <d v="2024-12-04T00:00:00"/>
    <x v="0"/>
    <n v="0"/>
    <n v="1"/>
    <x v="1"/>
    <n v="23690"/>
    <m/>
  </r>
  <r>
    <d v="2024-12-03T00:00:00"/>
    <x v="11"/>
    <n v="49"/>
    <n v="2342"/>
    <x v="0"/>
    <s v="Pedro Velez-Pardo"/>
    <s v="TECU2FNG"/>
    <s v="Electric Standing Desk GO Negro"/>
    <n v="1"/>
    <x v="0"/>
    <x v="0"/>
    <x v="3"/>
    <x v="0"/>
    <s v="Envioclick- Coordinadora"/>
    <s v="2918285 - 84151055119"/>
    <d v="2024-12-04T00:00:00"/>
    <d v="2024-12-08T00:00:00"/>
    <x v="0"/>
    <n v="1"/>
    <n v="4"/>
    <x v="0"/>
    <n v="43277"/>
    <m/>
  </r>
  <r>
    <d v="2024-12-03T00:00:00"/>
    <x v="11"/>
    <n v="49"/>
    <n v="2342"/>
    <x v="0"/>
    <s v="Pedro Velez-Pardo"/>
    <s v="TECUTCO2C"/>
    <s v="Superficie Escritorio Caramelo 120x70 Clasico Small"/>
    <n v="1"/>
    <x v="1"/>
    <x v="0"/>
    <x v="3"/>
    <x v="0"/>
    <s v="Envioclick- Coordinadora"/>
    <s v="2918287 - 84151055120"/>
    <d v="2024-12-04T00:00:00"/>
    <d v="2024-12-07T00:00:00"/>
    <x v="0"/>
    <n v="1"/>
    <n v="4"/>
    <x v="0"/>
    <n v="29097"/>
    <m/>
  </r>
  <r>
    <d v="2024-12-03T00:00:00"/>
    <x v="11"/>
    <n v="49"/>
    <n v="2342"/>
    <x v="0"/>
    <s v="Pedro Velez-Pardo"/>
    <m/>
    <s v="Servicio de instalacion"/>
    <n v="1"/>
    <x v="7"/>
    <x v="0"/>
    <x v="3"/>
    <x v="1"/>
    <s v="Envioclick- Coordinadora"/>
    <s v="NA"/>
    <m/>
    <m/>
    <x v="1"/>
    <n v="-39097"/>
    <s v="PTE"/>
    <x v="2"/>
    <m/>
    <m/>
  </r>
  <r>
    <d v="2024-12-04T00:00:00"/>
    <x v="11"/>
    <n v="49"/>
    <n v="2343"/>
    <x v="0"/>
    <s v="Jose Araque"/>
    <s v="TECU3FNPRO"/>
    <s v="Electric Standing Desk  PRO Negro"/>
    <n v="1"/>
    <x v="0"/>
    <x v="1"/>
    <x v="1"/>
    <x v="0"/>
    <s v="Envioclick- Coordinadora"/>
    <s v="2918320 - 84151055143"/>
    <d v="2024-12-04T00:00:00"/>
    <d v="2024-12-08T00:00:00"/>
    <x v="0"/>
    <n v="0"/>
    <n v="3"/>
    <x v="1"/>
    <n v="43277"/>
    <m/>
  </r>
  <r>
    <d v="2024-12-04T00:00:00"/>
    <x v="11"/>
    <n v="49"/>
    <n v="2343"/>
    <x v="0"/>
    <s v="Jose Araque"/>
    <s v="TECUTB5C"/>
    <s v="Superficie Escritorio Blanco(Niebla) 150x70 Clasico"/>
    <n v="1"/>
    <x v="1"/>
    <x v="1"/>
    <x v="1"/>
    <x v="0"/>
    <s v="Envioclick- Coordinadora"/>
    <s v="2918321 - 84151055144"/>
    <d v="2024-12-04T00:00:00"/>
    <d v="2024-12-07T00:00:00"/>
    <x v="0"/>
    <n v="0"/>
    <n v="3"/>
    <x v="1"/>
    <n v="24366"/>
    <m/>
  </r>
  <r>
    <d v="2024-12-04T00:00:00"/>
    <x v="11"/>
    <n v="49"/>
    <n v="2343"/>
    <x v="0"/>
    <s v="Jose Araque"/>
    <m/>
    <s v="Servicio de instalacion"/>
    <n v="1"/>
    <x v="7"/>
    <x v="1"/>
    <x v="1"/>
    <x v="1"/>
    <s v="Envioclick- Coordinadora"/>
    <s v="NA"/>
    <m/>
    <m/>
    <x v="2"/>
    <m/>
    <m/>
    <x v="5"/>
    <m/>
    <m/>
  </r>
  <r>
    <d v="2024-12-05T00:00:00"/>
    <x v="11"/>
    <n v="49"/>
    <n v="2344"/>
    <x v="0"/>
    <s v="Jenny Castaneda"/>
    <s v="TECU2FGGO"/>
    <s v="Electric Standing Desk GO Gris"/>
    <n v="1"/>
    <x v="0"/>
    <x v="1"/>
    <x v="1"/>
    <x v="0"/>
    <s v="Envioclick- Coordinadora"/>
    <s v="2923043 - 84151057649"/>
    <d v="2024-12-04T00:00:00"/>
    <d v="2024-12-11T00:00:00"/>
    <x v="0"/>
    <n v="-3"/>
    <n v="5"/>
    <x v="0"/>
    <n v="41925"/>
    <m/>
  </r>
  <r>
    <d v="2024-12-05T00:00:00"/>
    <x v="11"/>
    <n v="49"/>
    <n v="2344"/>
    <x v="0"/>
    <s v="Jenny Castaneda"/>
    <s v="TECUTCC5C"/>
    <s v="Superficie Escritorio Miel 150x70 Clasico"/>
    <n v="1"/>
    <x v="1"/>
    <x v="1"/>
    <x v="1"/>
    <x v="0"/>
    <s v="Envioclick- Coordinadora"/>
    <s v="2923044 - 84151057650"/>
    <d v="2024-12-04T00:00:00"/>
    <d v="2024-12-11T00:00:00"/>
    <x v="0"/>
    <n v="-3"/>
    <n v="5"/>
    <x v="0"/>
    <n v="24366"/>
    <m/>
  </r>
  <r>
    <d v="2024-12-07T00:00:00"/>
    <x v="11"/>
    <n v="49"/>
    <n v="2345"/>
    <x v="0"/>
    <s v="Rodrigo Hernandez"/>
    <s v="TECU2FNG"/>
    <s v="Electric Standing Desk GO Negro"/>
    <n v="1"/>
    <x v="0"/>
    <x v="1"/>
    <x v="1"/>
    <x v="0"/>
    <s v="Envioclick- Coordinadora"/>
    <s v="2931521 -84151062473"/>
    <d v="2024-12-09T00:00:00"/>
    <d v="2024-12-10T00:00:00"/>
    <x v="0"/>
    <n v="1"/>
    <n v="2"/>
    <x v="1"/>
    <n v="41925"/>
    <m/>
  </r>
  <r>
    <d v="2024-12-07T00:00:00"/>
    <x v="11"/>
    <n v="49"/>
    <n v="2345"/>
    <x v="0"/>
    <s v="Rodrigo Hernandez"/>
    <s v="TECUTCC2C"/>
    <s v="Superficie Escritorio Miel 120x70 Clasico Small"/>
    <n v="1"/>
    <x v="1"/>
    <x v="1"/>
    <x v="1"/>
    <x v="0"/>
    <s v="Envioclick- Coordinadora"/>
    <s v="2931522 - 84151062474"/>
    <d v="2024-12-09T00:00:00"/>
    <d v="2024-12-10T00:00:00"/>
    <x v="0"/>
    <n v="1"/>
    <n v="2"/>
    <x v="1"/>
    <n v="24366"/>
    <m/>
  </r>
  <r>
    <d v="2024-12-07T00:00:00"/>
    <x v="11"/>
    <n v="49"/>
    <n v="2345"/>
    <x v="0"/>
    <s v="Rodrigo Hernandez"/>
    <s v="TECU2FNG"/>
    <s v="Electric Standing Desk GO Negro"/>
    <n v="1"/>
    <x v="0"/>
    <x v="1"/>
    <x v="1"/>
    <x v="0"/>
    <s v="Envioclick- Coordinadora"/>
    <s v="2931724 - 84151062523"/>
    <d v="2024-12-09T00:00:00"/>
    <d v="2024-12-10T00:00:00"/>
    <x v="0"/>
    <n v="1"/>
    <n v="2"/>
    <x v="1"/>
    <m/>
    <m/>
  </r>
  <r>
    <d v="2024-12-07T00:00:00"/>
    <x v="11"/>
    <n v="49"/>
    <n v="2345"/>
    <x v="0"/>
    <s v="Rodrigo Hernandez"/>
    <s v="TECUTCC2C"/>
    <s v="Superficie Escritorio Miel 120x70 Clasico Small"/>
    <n v="1"/>
    <x v="1"/>
    <x v="1"/>
    <x v="1"/>
    <x v="0"/>
    <s v="Envioclick- Coordinadora"/>
    <s v="2931727 - 84151062525"/>
    <d v="2024-12-09T00:00:00"/>
    <d v="2024-12-10T00:00:00"/>
    <x v="0"/>
    <n v="1"/>
    <n v="2"/>
    <x v="1"/>
    <m/>
    <m/>
  </r>
  <r>
    <d v="2024-12-07T00:00:00"/>
    <x v="11"/>
    <n v="49"/>
    <n v="2345"/>
    <x v="0"/>
    <s v="Rodrigo Hernandez"/>
    <m/>
    <s v="Servicio de instalacion"/>
    <n v="1"/>
    <x v="7"/>
    <x v="1"/>
    <x v="1"/>
    <x v="1"/>
    <s v="Envioclick- Coordinadora"/>
    <s v="NA"/>
    <m/>
    <m/>
    <x v="1"/>
    <n v="-39101"/>
    <s v="PTE"/>
    <x v="2"/>
    <m/>
    <m/>
  </r>
  <r>
    <d v="2024-12-08T00:00:00"/>
    <x v="11"/>
    <n v="50"/>
    <n v="2346"/>
    <x v="0"/>
    <s v="Yesenia Mora Acosta"/>
    <s v="TECU3FNPRO"/>
    <s v="Electric Standing Desk  PRO Negro"/>
    <n v="1"/>
    <x v="0"/>
    <x v="0"/>
    <x v="0"/>
    <x v="0"/>
    <s v="Envioclick- Coordinadora"/>
    <s v="2936012 - 84151064427"/>
    <d v="2025-12-10T00:00:00"/>
    <d v="2025-12-11T00:00:00"/>
    <x v="0"/>
    <n v="313"/>
    <n v="314"/>
    <x v="0"/>
    <n v="43277"/>
    <m/>
  </r>
  <r>
    <d v="2024-12-08T00:00:00"/>
    <x v="11"/>
    <n v="50"/>
    <n v="2346"/>
    <x v="0"/>
    <s v="Yesenia Mora Acosta"/>
    <s v="TECUTCC5C"/>
    <s v="Superficie Escritorio Miel 150x70 Clasico"/>
    <n v="1"/>
    <x v="1"/>
    <x v="0"/>
    <x v="0"/>
    <x v="4"/>
    <s v="Envioclick- Coordinadora"/>
    <s v="2936014 -84151064428"/>
    <e v="#N/A"/>
    <m/>
    <x v="1"/>
    <e v="#N/A"/>
    <s v="PTE"/>
    <x v="2"/>
    <m/>
    <m/>
  </r>
  <r>
    <d v="2024-12-09T00:00:00"/>
    <x v="11"/>
    <n v="50"/>
    <n v="2347"/>
    <x v="0"/>
    <s v="JESSICA SANTODOMINGO"/>
    <s v="TECU2FBGO"/>
    <s v="Electric Standing Desk GO Blanco"/>
    <n v="1"/>
    <x v="0"/>
    <x v="1"/>
    <x v="1"/>
    <x v="0"/>
    <s v="Envioclick- Coordinadora"/>
    <s v="2931748 - 84151062544"/>
    <d v="2024-12-09T00:00:00"/>
    <d v="2024-12-10T00:00:00"/>
    <x v="0"/>
    <n v="0"/>
    <n v="1"/>
    <x v="1"/>
    <n v="41925"/>
    <m/>
  </r>
  <r>
    <d v="2024-12-09T00:00:00"/>
    <x v="11"/>
    <n v="50"/>
    <n v="2347"/>
    <x v="0"/>
    <s v="JESSICA SANTODOMINGO"/>
    <s v="TECUTB4C"/>
    <s v="Superficie Escritorio Blanco (Niebla) 140x70 Clasico"/>
    <n v="1"/>
    <x v="1"/>
    <x v="1"/>
    <x v="1"/>
    <x v="0"/>
    <s v="Envioclick- Coordinadora"/>
    <s v="2931750 - 84151062545"/>
    <d v="2024-12-09T00:00:00"/>
    <d v="2024-12-10T00:00:00"/>
    <x v="0"/>
    <n v="0"/>
    <n v="1"/>
    <x v="1"/>
    <n v="24366"/>
    <m/>
  </r>
  <r>
    <d v="2024-12-09T00:00:00"/>
    <x v="11"/>
    <n v="50"/>
    <n v="2347"/>
    <x v="0"/>
    <s v="JESSICA SANTODOMINGO"/>
    <s v="TECUAB"/>
    <s v="Archivador TECU  Blanco (Niebla)"/>
    <n v="1"/>
    <x v="3"/>
    <x v="1"/>
    <x v="1"/>
    <x v="0"/>
    <s v="Envioclick- Enviia"/>
    <s v="2936418 - 954101106062"/>
    <d v="2024-12-10T00:00:00"/>
    <d v="2024-12-11T00:00:00"/>
    <x v="0"/>
    <n v="1"/>
    <n v="2"/>
    <x v="1"/>
    <n v="43847"/>
    <m/>
  </r>
  <r>
    <d v="2024-12-09T00:00:00"/>
    <x v="11"/>
    <n v="50"/>
    <n v="2347"/>
    <x v="0"/>
    <s v="JESSICA SANTODOMINGO"/>
    <m/>
    <s v="Servicio de instalacion"/>
    <n v="1"/>
    <x v="7"/>
    <x v="1"/>
    <x v="1"/>
    <x v="1"/>
    <s v="Envioclick- Coordinadora"/>
    <s v="NA"/>
    <m/>
    <m/>
    <x v="1"/>
    <n v="-39102"/>
    <s v="PTE"/>
    <x v="2"/>
    <m/>
    <m/>
  </r>
  <r>
    <d v="2024-12-09T00:00:00"/>
    <x v="11"/>
    <n v="50"/>
    <n v="2348"/>
    <x v="0"/>
    <s v="Jael Alexander Rivera Oviedo"/>
    <s v="TECU3FNPRO"/>
    <s v="Electric Standing Desk  PRO Negro"/>
    <n v="1"/>
    <x v="0"/>
    <x v="1"/>
    <x v="1"/>
    <x v="0"/>
    <s v="Envioclick- Coordinadora"/>
    <s v="2936176 - 84151064552"/>
    <d v="2024-12-10T00:00:00"/>
    <d v="2024-12-11T00:00:00"/>
    <x v="0"/>
    <n v="1"/>
    <n v="2"/>
    <x v="1"/>
    <n v="43277"/>
    <m/>
  </r>
  <r>
    <d v="2024-12-09T00:00:00"/>
    <x v="11"/>
    <n v="50"/>
    <n v="2348"/>
    <x v="0"/>
    <s v="Jael Alexander Rivera Oviedo"/>
    <s v="TECUTCO5C"/>
    <s v="Superficie Escritorio Caramelo 150x70 Clasico"/>
    <n v="1"/>
    <x v="1"/>
    <x v="1"/>
    <x v="1"/>
    <x v="0"/>
    <s v="Envioclick- Coordinadora"/>
    <s v="2936178 - 84151064553"/>
    <d v="2024-12-10T00:00:00"/>
    <d v="2024-12-12T00:00:00"/>
    <x v="0"/>
    <n v="1"/>
    <n v="3"/>
    <x v="1"/>
    <n v="24366"/>
    <m/>
  </r>
  <r>
    <d v="2024-12-09T00:00:00"/>
    <x v="11"/>
    <n v="50"/>
    <n v="2348"/>
    <x v="0"/>
    <s v="Jael Alexander Rivera Oviedo"/>
    <m/>
    <s v="Servicio de instalacion"/>
    <n v="1"/>
    <x v="7"/>
    <x v="1"/>
    <x v="1"/>
    <x v="1"/>
    <s v="Envioclick- Coordinadora"/>
    <s v="NA"/>
    <m/>
    <m/>
    <x v="1"/>
    <n v="-39102"/>
    <s v="PTE"/>
    <x v="2"/>
    <m/>
    <m/>
  </r>
  <r>
    <d v="2024-12-09T00:00:00"/>
    <x v="11"/>
    <n v="50"/>
    <n v="2349"/>
    <x v="0"/>
    <s v="MARIO JARAMILLO"/>
    <s v="TECU3FNPRO"/>
    <s v="Electric Standing Desk  PRO Negro"/>
    <n v="1"/>
    <x v="0"/>
    <x v="1"/>
    <x v="1"/>
    <x v="0"/>
    <s v="Envioclick- Coordinadora"/>
    <s v="2936062 -84151064468"/>
    <d v="2024-12-10T00:00:00"/>
    <d v="2024-12-12T00:00:00"/>
    <x v="0"/>
    <n v="1"/>
    <n v="3"/>
    <x v="1"/>
    <n v="43277"/>
    <m/>
  </r>
  <r>
    <d v="2024-12-09T00:00:00"/>
    <x v="11"/>
    <n v="50"/>
    <n v="2349"/>
    <x v="0"/>
    <s v="MARIO JARAMILLO"/>
    <s v="TECUTRM5C"/>
    <s v="Superficie Roble Miel 150x70 Clasico"/>
    <n v="1"/>
    <x v="1"/>
    <x v="1"/>
    <x v="1"/>
    <x v="0"/>
    <s v="Envioclick- Coordinadora"/>
    <s v="2936065 -84151064469"/>
    <d v="2024-12-10T00:00:00"/>
    <d v="2024-12-14T00:00:00"/>
    <x v="0"/>
    <n v="1"/>
    <n v="5"/>
    <x v="0"/>
    <n v="24866"/>
    <m/>
  </r>
  <r>
    <d v="2024-12-09T00:00:00"/>
    <x v="11"/>
    <n v="50"/>
    <n v="2349"/>
    <x v="0"/>
    <s v="MARIO JARAMILLO"/>
    <s v="TECURRM"/>
    <s v="Repisa Roble Miel"/>
    <n v="1"/>
    <x v="2"/>
    <x v="1"/>
    <x v="1"/>
    <x v="0"/>
    <s v="Envioclick- Coordinadora"/>
    <s v="NA"/>
    <s v="NA"/>
    <s v="NA"/>
    <x v="0"/>
    <m/>
    <m/>
    <x v="5"/>
    <m/>
    <m/>
  </r>
  <r>
    <d v="2024-12-09T00:00:00"/>
    <x v="11"/>
    <n v="50"/>
    <n v="2349"/>
    <x v="0"/>
    <s v="MARIO JARAMILLO"/>
    <s v="TECUCT"/>
    <s v="TECU bandeja de cables"/>
    <n v="1"/>
    <x v="4"/>
    <x v="1"/>
    <x v="1"/>
    <x v="0"/>
    <s v="Envioclick- Coordinadora"/>
    <s v="2936857 -84151064949"/>
    <d v="2024-12-10T00:00:00"/>
    <d v="2024-12-12T00:00:00"/>
    <x v="0"/>
    <n v="1"/>
    <n v="3"/>
    <x v="1"/>
    <n v="25593"/>
    <m/>
  </r>
  <r>
    <d v="2024-12-10T00:00:00"/>
    <x v="11"/>
    <n v="50"/>
    <n v="2350"/>
    <x v="0"/>
    <s v="MARIO JARAMILLO"/>
    <s v="TECUAN"/>
    <s v="Archivador TECU  Negro (Wengue)"/>
    <n v="1"/>
    <x v="3"/>
    <x v="1"/>
    <x v="1"/>
    <x v="0"/>
    <s v="Envioclick- Envia"/>
    <s v="2939667 -954101106857"/>
    <d v="2024-12-11T00:00:00"/>
    <d v="2024-12-13T00:00:00"/>
    <x v="0"/>
    <n v="1"/>
    <n v="3"/>
    <x v="1"/>
    <n v="43847"/>
    <m/>
  </r>
  <r>
    <d v="2024-12-10T00:00:00"/>
    <x v="11"/>
    <n v="50"/>
    <n v="2351"/>
    <x v="0"/>
    <s v="Elizabeth Betancur Arboleda"/>
    <s v="TECU2FBGO"/>
    <s v="Electric Standing Desk GO Blanco"/>
    <n v="1"/>
    <x v="0"/>
    <x v="0"/>
    <x v="12"/>
    <x v="0"/>
    <s v="Envioclick- Coordinadora"/>
    <s v="2952676 -84151072878"/>
    <d v="2024-12-16T00:00:00"/>
    <d v="2024-12-18T00:00:00"/>
    <x v="0"/>
    <n v="5"/>
    <n v="7"/>
    <x v="0"/>
    <n v="41925"/>
    <m/>
  </r>
  <r>
    <d v="2024-12-10T00:00:00"/>
    <x v="11"/>
    <n v="50"/>
    <n v="2351"/>
    <x v="0"/>
    <s v="Elizabeth Betancur Arboleda"/>
    <s v="TECUTRM5C"/>
    <s v="Superficie Roble Miel 150x70 Clasico"/>
    <n v="1"/>
    <x v="1"/>
    <x v="0"/>
    <x v="12"/>
    <x v="0"/>
    <s v="Envioclick- Coordinadora"/>
    <s v="2952678 -84151072879"/>
    <d v="2024-12-16T00:00:00"/>
    <d v="2024-12-17T00:00:00"/>
    <x v="0"/>
    <n v="5"/>
    <n v="6"/>
    <x v="0"/>
    <n v="24366"/>
    <m/>
  </r>
  <r>
    <d v="2024-12-13T00:00:00"/>
    <x v="11"/>
    <n v="50"/>
    <n v="2352"/>
    <x v="0"/>
    <s v="Edwin Alexis Duque García"/>
    <s v="TECU2FNG"/>
    <s v="Electric Standing Desk GO Negro"/>
    <n v="1"/>
    <x v="0"/>
    <x v="0"/>
    <x v="3"/>
    <x v="0"/>
    <s v="Envioclick- Coordinadora"/>
    <s v="2946604 -84151069657"/>
    <d v="2024-12-13T00:00:00"/>
    <d v="2024-12-14T00:00:00"/>
    <x v="0"/>
    <n v="0"/>
    <n v="1"/>
    <x v="1"/>
    <n v="41925"/>
    <m/>
  </r>
  <r>
    <d v="2024-12-13T00:00:00"/>
    <x v="11"/>
    <n v="50"/>
    <n v="2352"/>
    <x v="0"/>
    <s v="Edwin Alexis Duque García"/>
    <s v="TECUTCO5C"/>
    <s v="Superficie Escritorio Caramelo 150x70 Clasico"/>
    <n v="1"/>
    <x v="1"/>
    <x v="0"/>
    <x v="3"/>
    <x v="0"/>
    <s v="Envioclick- Coordinadora"/>
    <s v="2946605 -84151069658"/>
    <d v="2024-12-13T00:00:00"/>
    <d v="2024-12-14T00:00:00"/>
    <x v="0"/>
    <n v="0"/>
    <n v="1"/>
    <x v="1"/>
    <n v="24366"/>
    <m/>
  </r>
  <r>
    <d v="2024-12-13T00:00:00"/>
    <x v="11"/>
    <n v="50"/>
    <n v="2353"/>
    <x v="0"/>
    <s v="Juan Gómez"/>
    <s v="TECULFN2"/>
    <s v="Electric Standing Desk | Escritorio Ajustable En L Frame Negro 2.0"/>
    <n v="1"/>
    <x v="0"/>
    <x v="3"/>
    <x v="4"/>
    <x v="0"/>
    <s v="Envioclick- Coordinadora"/>
    <s v="2946615 -84151069664"/>
    <d v="2024-12-13T00:00:00"/>
    <d v="2024-12-16T00:00:00"/>
    <x v="0"/>
    <n v="0"/>
    <n v="2"/>
    <x v="1"/>
    <n v="95748"/>
    <m/>
  </r>
  <r>
    <d v="2024-12-13T00:00:00"/>
    <x v="11"/>
    <n v="50"/>
    <n v="2353"/>
    <x v="0"/>
    <s v="Juan Gómez"/>
    <s v="TECUTLBS"/>
    <s v="Superficie Escritorio en L Blanco (Niebla) Set completo"/>
    <n v="1"/>
    <x v="1"/>
    <x v="3"/>
    <x v="4"/>
    <x v="0"/>
    <s v="Envioclick- Coordinadora"/>
    <s v="2946617 -84151069666"/>
    <d v="2024-12-13T00:00:00"/>
    <d v="2024-12-16T00:00:00"/>
    <x v="0"/>
    <n v="0"/>
    <n v="2"/>
    <x v="1"/>
    <n v="43997"/>
    <m/>
  </r>
  <r>
    <d v="2024-12-14T00:00:00"/>
    <x v="11"/>
    <n v="50"/>
    <n v="2354"/>
    <x v="0"/>
    <s v="Sergio Ceballos"/>
    <s v="TECU2FNG"/>
    <s v="Electric Standing Desk GO Negro"/>
    <n v="1"/>
    <x v="0"/>
    <x v="14"/>
    <x v="54"/>
    <x v="0"/>
    <s v="Envioclick- Coordinadora"/>
    <s v="2953782 -84151073461"/>
    <d v="2024-12-16T00:00:00"/>
    <d v="2024-12-17T00:00:00"/>
    <x v="0"/>
    <n v="1"/>
    <n v="2"/>
    <x v="3"/>
    <n v="34048"/>
    <m/>
  </r>
  <r>
    <d v="2024-12-14T00:00:00"/>
    <x v="11"/>
    <n v="50"/>
    <n v="2354"/>
    <x v="0"/>
    <s v="Sergio Ceballos"/>
    <s v="TECUTRN4C"/>
    <s v="Superficie Escritorio Roble Negro 140x70 Clasico"/>
    <n v="1"/>
    <x v="1"/>
    <x v="14"/>
    <x v="54"/>
    <x v="0"/>
    <s v="Envioclick- Coordinadora"/>
    <s v="2953784 -84151073464"/>
    <d v="2024-12-16T00:00:00"/>
    <d v="2024-12-17T00:00:00"/>
    <x v="0"/>
    <n v="1"/>
    <n v="2"/>
    <x v="3"/>
    <n v="15105"/>
    <m/>
  </r>
  <r>
    <d v="2024-12-16T00:00:00"/>
    <x v="11"/>
    <n v="51"/>
    <n v="2355"/>
    <x v="0"/>
    <s v="Gustavo Adolfo Cardona Quintero"/>
    <s v="TECUBDPM"/>
    <s v="TECU Desk Pad B Negro Café Miel"/>
    <n v="1"/>
    <x v="4"/>
    <x v="0"/>
    <x v="38"/>
    <x v="0"/>
    <s v="Envioclick- Coordinadora"/>
    <s v="2953152 -84151073158"/>
    <d v="2024-12-16T00:00:00"/>
    <d v="2024-12-18T00:00:00"/>
    <x v="0"/>
    <n v="0"/>
    <n v="2"/>
    <x v="3"/>
    <n v="16476"/>
    <m/>
  </r>
  <r>
    <d v="2024-12-16T00:00:00"/>
    <x v="11"/>
    <n v="51"/>
    <n v="2356"/>
    <x v="0"/>
    <s v="Juan Camilo Guzman Sandoval"/>
    <s v="TECU2FNG"/>
    <s v="Electric Standing Desk GO Negro"/>
    <n v="1"/>
    <x v="0"/>
    <x v="4"/>
    <x v="5"/>
    <x v="0"/>
    <s v="Envioclick- Coordinadora"/>
    <s v="2954296 -84151073707"/>
    <d v="2024-12-16T00:00:00"/>
    <d v="2024-12-18T00:00:00"/>
    <x v="0"/>
    <n v="0"/>
    <n v="2"/>
    <x v="1"/>
    <n v="41925"/>
    <m/>
  </r>
  <r>
    <d v="2024-12-16T00:00:00"/>
    <x v="11"/>
    <n v="51"/>
    <n v="2356"/>
    <x v="0"/>
    <s v="Juan Camilo Guzman Sandoval"/>
    <s v="TECUTCO6C"/>
    <s v="Superficie Escritorio Caramelo 160x70 Clasico"/>
    <n v="1"/>
    <x v="1"/>
    <x v="4"/>
    <x v="5"/>
    <x v="0"/>
    <s v="Envioclick- Coordinadora"/>
    <s v="2954298 -84151073709"/>
    <d v="2024-12-16T00:00:00"/>
    <d v="2024-12-18T00:00:00"/>
    <x v="0"/>
    <n v="0"/>
    <n v="2"/>
    <x v="1"/>
    <n v="24366"/>
    <m/>
  </r>
  <r>
    <d v="2024-12-16T00:00:00"/>
    <x v="11"/>
    <n v="51"/>
    <n v="2357"/>
    <x v="0"/>
    <s v="Cesar Gomez"/>
    <s v="TECU2FNG"/>
    <s v="Electric Standing Desk GO Negro"/>
    <n v="1"/>
    <x v="0"/>
    <x v="7"/>
    <x v="18"/>
    <x v="0"/>
    <s v="Envioclick- Coordinadora"/>
    <s v="2955173 -84151075240"/>
    <d v="2024-12-16T00:00:00"/>
    <d v="2024-12-19T00:00:00"/>
    <x v="0"/>
    <n v="0"/>
    <n v="3"/>
    <x v="1"/>
    <n v="53573"/>
    <m/>
  </r>
  <r>
    <d v="2024-12-16T00:00:00"/>
    <x v="11"/>
    <n v="51"/>
    <n v="2357"/>
    <x v="0"/>
    <s v="Cesar Gomez"/>
    <s v="TECUTCO4C"/>
    <s v="Superficie Escritorio Caramelo 140x70 Clasico"/>
    <n v="1"/>
    <x v="1"/>
    <x v="7"/>
    <x v="18"/>
    <x v="0"/>
    <s v="Envioclick- Coordinadora"/>
    <s v="2955175 -84151075243"/>
    <d v="2024-12-16T00:00:00"/>
    <d v="2024-12-20T00:00:00"/>
    <x v="0"/>
    <n v="0"/>
    <n v="4"/>
    <x v="1"/>
    <n v="33934"/>
    <m/>
  </r>
  <r>
    <d v="2024-12-17T00:00:00"/>
    <x v="11"/>
    <n v="51"/>
    <n v="2358"/>
    <x v="0"/>
    <s v="Nicole Gomez"/>
    <s v="TECURN"/>
    <s v="Repisa TECU  Negro (Wengue)"/>
    <n v="1"/>
    <x v="2"/>
    <x v="0"/>
    <x v="3"/>
    <x v="0"/>
    <s v="Envioclick- Coordinadora"/>
    <s v="2958680 -84151076661"/>
    <d v="2024-12-17T00:00:00"/>
    <d v="2024-12-18T00:00:00"/>
    <x v="0"/>
    <n v="0"/>
    <n v="1"/>
    <x v="1"/>
    <n v="23690"/>
    <m/>
  </r>
  <r>
    <d v="2024-12-17T00:00:00"/>
    <x v="11"/>
    <n v="51"/>
    <n v="2358"/>
    <x v="0"/>
    <s v="Nicole Gomez"/>
    <s v="TECUCT"/>
    <s v="TECU bandeja de cables"/>
    <n v="1"/>
    <x v="4"/>
    <x v="0"/>
    <x v="3"/>
    <x v="0"/>
    <s v="Envioclick- Coordinadora"/>
    <s v="2959016 -84151076786"/>
    <d v="2024-12-17T00:00:00"/>
    <d v="2024-12-18T00:00:00"/>
    <x v="0"/>
    <n v="0"/>
    <n v="1"/>
    <x v="1"/>
    <n v="28190"/>
    <m/>
  </r>
  <r>
    <d v="2024-12-17T00:00:00"/>
    <x v="11"/>
    <n v="51"/>
    <n v="2359"/>
    <x v="0"/>
    <s v="Ronald Ortiz"/>
    <s v="TECUTCC2C"/>
    <s v="Superficie Escritorio Miel 120x70 Clasico Small"/>
    <n v="1"/>
    <x v="1"/>
    <x v="1"/>
    <x v="50"/>
    <x v="0"/>
    <s v="Envioclick- Coordinadora"/>
    <s v="2959994 -84151077272"/>
    <d v="2024-12-17T00:00:00"/>
    <d v="2024-12-19T00:00:00"/>
    <x v="0"/>
    <n v="0"/>
    <n v="2"/>
    <x v="1"/>
    <n v="23945"/>
    <m/>
  </r>
  <r>
    <d v="2024-12-17T00:00:00"/>
    <x v="11"/>
    <n v="51"/>
    <n v="2360"/>
    <x v="0"/>
    <s v="Daniel Mateus"/>
    <s v="TECU2FBGO"/>
    <s v="Electric Standing Desk GO Blanco"/>
    <n v="1"/>
    <x v="0"/>
    <x v="1"/>
    <x v="1"/>
    <x v="0"/>
    <s v="Envioclick- Coordinadora"/>
    <s v="2972464 -84151083034"/>
    <d v="2024-12-20T00:00:00"/>
    <d v="2024-12-21T00:00:00"/>
    <x v="0"/>
    <n v="3"/>
    <n v="4"/>
    <x v="0"/>
    <n v="41593"/>
    <s v="Cliente pide despachar 20 Dic "/>
  </r>
  <r>
    <d v="2024-12-17T00:00:00"/>
    <x v="11"/>
    <n v="51"/>
    <n v="2360"/>
    <x v="0"/>
    <s v="Daniel Mateus"/>
    <s v="TECUTCC4C"/>
    <s v="Superficie Escritorio Miel 140x70 Clasico"/>
    <n v="1"/>
    <x v="1"/>
    <x v="1"/>
    <x v="1"/>
    <x v="0"/>
    <s v="Envioclick- Coordinadora"/>
    <s v="2972465 -84151083035"/>
    <d v="2024-12-20T00:00:00"/>
    <d v="2024-12-24T00:00:00"/>
    <x v="0"/>
    <n v="3"/>
    <n v="6"/>
    <x v="0"/>
    <n v="24093"/>
    <s v="Cliente pide despachar 20 Dic "/>
  </r>
  <r>
    <d v="2024-12-18T00:00:00"/>
    <x v="11"/>
    <n v="51"/>
    <n v="2361"/>
    <x v="0"/>
    <s v="Enterprise RM SAS"/>
    <s v="TECU3FNPRO"/>
    <s v="Electric Standing Desk  PRO Negro"/>
    <n v="1"/>
    <x v="0"/>
    <x v="0"/>
    <x v="3"/>
    <x v="0"/>
    <s v="Envioclick- Coordinadora"/>
    <s v="2962533 -84151078551"/>
    <d v="2024-12-18T00:00:00"/>
    <d v="2024-12-19T00:00:00"/>
    <x v="0"/>
    <n v="0"/>
    <n v="1"/>
    <x v="1"/>
    <n v="43277"/>
    <m/>
  </r>
  <r>
    <d v="2024-12-18T00:00:00"/>
    <x v="11"/>
    <n v="51"/>
    <n v="2361"/>
    <x v="0"/>
    <s v="Enterprise RM SAS"/>
    <s v="TECUTCC2C"/>
    <s v="Superficie Escritorio Miel 120x70 Clasico Small"/>
    <n v="1"/>
    <x v="1"/>
    <x v="0"/>
    <x v="3"/>
    <x v="0"/>
    <s v="Envioclick- Coordinadora"/>
    <s v="2962536 -84151078552"/>
    <d v="2024-12-18T00:00:00"/>
    <d v="2024-12-19T00:00:00"/>
    <x v="0"/>
    <n v="0"/>
    <n v="1"/>
    <x v="1"/>
    <n v="29097"/>
    <m/>
  </r>
  <r>
    <d v="2024-12-18T00:00:00"/>
    <x v="11"/>
    <n v="51"/>
    <n v="2361"/>
    <x v="0"/>
    <s v="Enterprise RM SAS"/>
    <m/>
    <s v="Servicio de instalacion"/>
    <n v="1"/>
    <x v="7"/>
    <x v="0"/>
    <x v="3"/>
    <x v="1"/>
    <s v="Envioclick- Coordinadora"/>
    <s v="NA"/>
    <m/>
    <m/>
    <x v="1"/>
    <n v="-39110"/>
    <s v="PTE"/>
    <x v="2"/>
    <m/>
    <m/>
  </r>
  <r>
    <d v="2024-12-18T00:00:00"/>
    <x v="11"/>
    <n v="51"/>
    <n v="2362"/>
    <x v="0"/>
    <s v="Miguel Angel ortiz vargas"/>
    <s v="TECULFN2"/>
    <s v="Electric Standing Desk | Escritorio Ajustable En L Frame Negro 2.0"/>
    <n v="1"/>
    <x v="0"/>
    <x v="1"/>
    <x v="1"/>
    <x v="0"/>
    <s v="Envioclick- Coordinadora"/>
    <s v="2962573 -84151078560"/>
    <d v="2024-12-18T00:00:00"/>
    <d v="2024-12-20T00:00:00"/>
    <x v="0"/>
    <n v="0"/>
    <n v="2"/>
    <x v="1"/>
    <n v="63147"/>
    <m/>
  </r>
  <r>
    <d v="2024-12-18T00:00:00"/>
    <x v="11"/>
    <n v="51"/>
    <n v="2362"/>
    <x v="0"/>
    <s v="Miguel Angel ortiz vargas"/>
    <s v="TECUTLCCS"/>
    <s v="Superficie Escritorio en L Caramelo Set completo"/>
    <n v="1"/>
    <x v="1"/>
    <x v="1"/>
    <x v="1"/>
    <x v="0"/>
    <s v="Envioclick- Coordinadora"/>
    <s v="2962575 -84151078562"/>
    <d v="2024-12-18T00:00:00"/>
    <d v="2024-12-20T00:00:00"/>
    <x v="0"/>
    <n v="0"/>
    <n v="2"/>
    <x v="1"/>
    <n v="27069"/>
    <m/>
  </r>
  <r>
    <d v="2024-12-18T00:00:00"/>
    <x v="11"/>
    <n v="51"/>
    <n v="2362"/>
    <x v="0"/>
    <s v="Miguel Angel ortiz vargas"/>
    <s v="TECUACO"/>
    <s v="Archivador TECU  Caramelo"/>
    <n v="1"/>
    <x v="3"/>
    <x v="1"/>
    <x v="1"/>
    <x v="0"/>
    <s v="Envioclick- Envia"/>
    <s v="2962585 -954101111392"/>
    <d v="2024-12-18T00:00:00"/>
    <d v="2024-12-19T00:00:00"/>
    <x v="0"/>
    <n v="0"/>
    <n v="1"/>
    <x v="1"/>
    <n v="43847"/>
    <m/>
  </r>
  <r>
    <d v="2024-12-21T00:00:00"/>
    <x v="11"/>
    <n v="51"/>
    <n v="2363"/>
    <x v="0"/>
    <s v="Alejandro Orozco Montes"/>
    <s v="TECU3FBRO"/>
    <s v="Electric Standing Desk  PRO Blanco"/>
    <n v="1"/>
    <x v="0"/>
    <x v="1"/>
    <x v="1"/>
    <x v="0"/>
    <s v="Envioclick- Coordinadora"/>
    <s v="2994921 -84151093719"/>
    <d v="2025-01-02T00:00:00"/>
    <d v="2025-01-03T00:00:00"/>
    <x v="0"/>
    <n v="9"/>
    <n v="10"/>
    <x v="0"/>
    <n v="42921"/>
    <s v="Cliente pide enviar pedido despues del 2 de Enero"/>
  </r>
  <r>
    <d v="2024-12-21T00:00:00"/>
    <x v="11"/>
    <n v="51"/>
    <n v="2363"/>
    <x v="0"/>
    <s v="Alejandro Orozco Montes"/>
    <s v="TECUTB4C"/>
    <s v="Superficie Escritorio Blanco (Niebla) 140x70 Clasico"/>
    <n v="1"/>
    <x v="1"/>
    <x v="1"/>
    <x v="1"/>
    <x v="0"/>
    <s v="Envioclick- Coordinadora"/>
    <s v="2994922 -84151093720"/>
    <d v="2025-01-02T00:00:00"/>
    <d v="2025-01-07T00:00:00"/>
    <x v="0"/>
    <n v="9"/>
    <n v="13"/>
    <x v="0"/>
    <n v="24093"/>
    <s v="Cliente pide enviar pedido despues del 2 de Enero"/>
  </r>
  <r>
    <d v="2024-12-21T00:00:00"/>
    <x v="11"/>
    <n v="51"/>
    <n v="2364"/>
    <x v="0"/>
    <s v="Josue Alonso"/>
    <s v="TECU2FNG"/>
    <s v="Electric Standing Desk GO Negro"/>
    <n v="1"/>
    <x v="0"/>
    <x v="0"/>
    <x v="3"/>
    <x v="0"/>
    <s v="Envioclick- Coordinadora"/>
    <s v="2979626 -84151085585"/>
    <d v="2024-12-23T00:00:00"/>
    <d v="2024-12-26T00:00:00"/>
    <x v="0"/>
    <n v="1"/>
    <n v="3"/>
    <x v="1"/>
    <n v="41593"/>
    <m/>
  </r>
  <r>
    <d v="2024-12-21T00:00:00"/>
    <x v="11"/>
    <n v="51"/>
    <n v="2364"/>
    <x v="0"/>
    <s v="Josue Alonso"/>
    <s v="TECUTCC6C"/>
    <s v="Superficie Escritorio Miel 160x70 Clasico"/>
    <n v="1"/>
    <x v="1"/>
    <x v="0"/>
    <x v="3"/>
    <x v="0"/>
    <s v="Envioclick- Coordinadora"/>
    <s v="2979628 -84151085587"/>
    <d v="2024-12-23T00:00:00"/>
    <d v="2024-12-26T00:00:00"/>
    <x v="0"/>
    <n v="1"/>
    <n v="3"/>
    <x v="1"/>
    <n v="24093"/>
    <m/>
  </r>
  <r>
    <d v="2024-12-23T00:00:00"/>
    <x v="11"/>
    <n v="52"/>
    <n v="2365"/>
    <x v="0"/>
    <s v="Yesid Botero"/>
    <s v="TECU3FNPRO"/>
    <s v="Electric Standing Desk  PRO Negro"/>
    <n v="1"/>
    <x v="0"/>
    <x v="0"/>
    <x v="10"/>
    <x v="0"/>
    <s v="Envioclick- Coordinadora"/>
    <s v="2979637 -84151085591"/>
    <d v="2024-12-23T00:00:00"/>
    <d v="2024-12-24T00:00:00"/>
    <x v="0"/>
    <n v="0"/>
    <n v="1"/>
    <x v="1"/>
    <n v="42921"/>
    <m/>
  </r>
  <r>
    <d v="2024-12-23T00:00:00"/>
    <x v="11"/>
    <n v="52"/>
    <n v="2365"/>
    <x v="0"/>
    <s v="Yesid Botero"/>
    <s v="TECUTRN20C"/>
    <s v="Superficie Escritorio Roble Negro 200x70 Clasico"/>
    <n v="1"/>
    <x v="1"/>
    <x v="0"/>
    <x v="10"/>
    <x v="0"/>
    <s v="Envioclick- Coordinadora"/>
    <s v="2979638 -84151085592"/>
    <d v="2024-12-23T00:00:00"/>
    <d v="2024-12-24T00:00:00"/>
    <x v="0"/>
    <n v="0"/>
    <n v="1"/>
    <x v="1"/>
    <n v="26749"/>
    <m/>
  </r>
  <r>
    <d v="2024-12-23T00:00:00"/>
    <x v="11"/>
    <n v="52"/>
    <n v="2366"/>
    <x v="0"/>
    <s v="Steven Hoyos"/>
    <s v="TECU3FBRO"/>
    <s v="Electric Standing Desk  PRO Blanco"/>
    <n v="1"/>
    <x v="0"/>
    <x v="16"/>
    <x v="37"/>
    <x v="0"/>
    <s v="Envioclick- Coordinadora"/>
    <s v="2986995 -84151089692"/>
    <d v="2024-12-28T00:00:00"/>
    <d v="2024-12-30T00:00:00"/>
    <x v="0"/>
    <n v="4"/>
    <n v="5"/>
    <x v="1"/>
    <n v="47432"/>
    <m/>
  </r>
  <r>
    <d v="2024-12-23T00:00:00"/>
    <x v="11"/>
    <n v="52"/>
    <n v="2366"/>
    <x v="0"/>
    <s v="Steven Hoyos"/>
    <s v="TECUTB2C"/>
    <s v="Superficie Escritorio Blanco (Niebla) 120x70 Clasico Small"/>
    <n v="1"/>
    <x v="1"/>
    <x v="16"/>
    <x v="37"/>
    <x v="0"/>
    <s v="Envioclick- Coordinadora"/>
    <s v="2986997 -84151089694"/>
    <d v="2024-12-27T00:00:00"/>
    <d v="2024-12-29T00:00:00"/>
    <x v="0"/>
    <n v="3"/>
    <n v="4"/>
    <x v="1"/>
    <n v="33252"/>
    <m/>
  </r>
  <r>
    <d v="2024-12-23T00:00:00"/>
    <x v="11"/>
    <n v="52"/>
    <n v="2366"/>
    <x v="0"/>
    <s v="Steven Hoyos"/>
    <s v="TECUCT"/>
    <s v="TECU bandeja de cables"/>
    <n v="1"/>
    <x v="4"/>
    <x v="16"/>
    <x v="37"/>
    <x v="0"/>
    <s v="Envioclick- Coordinadora"/>
    <s v="2987004 -84151089700"/>
    <d v="2024-12-27T00:00:00"/>
    <d v="2024-12-28T00:00:00"/>
    <x v="0"/>
    <n v="3"/>
    <n v="4"/>
    <x v="1"/>
    <n v="24885"/>
    <m/>
  </r>
  <r>
    <d v="2024-12-23T00:00:00"/>
    <x v="11"/>
    <n v="52"/>
    <n v="2366"/>
    <x v="4"/>
    <s v="Steven Hoyos"/>
    <s v="TECUBLS"/>
    <s v="TECU Laptop Stand B"/>
    <n v="1"/>
    <x v="4"/>
    <x v="16"/>
    <x v="37"/>
    <x v="0"/>
    <s v="Envioclick- Coordinadora"/>
    <s v="2987015 -84151089704"/>
    <d v="2024-12-27T00:00:00"/>
    <d v="2024-12-29T00:00:00"/>
    <x v="0"/>
    <n v="3"/>
    <n v="4"/>
    <x v="1"/>
    <n v="24885"/>
    <m/>
  </r>
  <r>
    <d v="2024-12-24T00:00:00"/>
    <x v="11"/>
    <n v="52"/>
    <n v="2367"/>
    <x v="0"/>
    <s v="Darwin Sáenz"/>
    <s v="TECU3FNPRO"/>
    <s v="Electric Standing Desk  PRO Negro"/>
    <n v="1"/>
    <x v="0"/>
    <x v="1"/>
    <x v="1"/>
    <x v="0"/>
    <s v="Envioclick- Coordinadora"/>
    <s v="2983860 -84151087961"/>
    <d v="2024-12-26T00:00:00"/>
    <d v="2024-12-30T00:00:00"/>
    <x v="0"/>
    <n v="1"/>
    <n v="4"/>
    <x v="0"/>
    <n v="42921"/>
    <m/>
  </r>
  <r>
    <d v="2024-12-24T00:00:00"/>
    <x v="11"/>
    <n v="52"/>
    <n v="2367"/>
    <x v="0"/>
    <s v="Darwin Sáenz"/>
    <s v="TECUTCO8C"/>
    <s v="Superficie Escritorio Caramelo 180x70 Clasico"/>
    <n v="1"/>
    <x v="1"/>
    <x v="1"/>
    <x v="1"/>
    <x v="0"/>
    <s v="Envioclick- Coordinadora"/>
    <s v="2983861 -84151087962"/>
    <d v="2024-12-26T00:00:00"/>
    <d v="2024-12-30T00:00:00"/>
    <x v="0"/>
    <n v="1"/>
    <n v="4"/>
    <x v="0"/>
    <n v="26749"/>
    <m/>
  </r>
  <r>
    <d v="2024-12-24T00:00:00"/>
    <x v="11"/>
    <n v="52"/>
    <n v="2368"/>
    <x v="0"/>
    <s v="Cristhian mejia"/>
    <s v="TECULFN2"/>
    <s v="Electric Standing Desk | Escritorio Ajustable En L Frame Negro 2.0"/>
    <n v="1"/>
    <x v="0"/>
    <x v="21"/>
    <x v="26"/>
    <x v="0"/>
    <s v="Envioclick- Coordinadora"/>
    <s v="2983907 -84151087987"/>
    <d v="2024-12-26T00:00:00"/>
    <d v="2024-12-27T00:00:00"/>
    <x v="0"/>
    <n v="1"/>
    <n v="2"/>
    <x v="1"/>
    <n v="48718"/>
    <m/>
  </r>
  <r>
    <d v="2024-12-24T00:00:00"/>
    <x v="11"/>
    <n v="52"/>
    <n v="2368"/>
    <x v="0"/>
    <s v="Cristhian mejia"/>
    <s v="TECUTLBS"/>
    <s v="Superficie Escritorio en L Blanco (Niebla) Set completo"/>
    <n v="1"/>
    <x v="1"/>
    <x v="21"/>
    <x v="26"/>
    <x v="0"/>
    <s v="Envioclick- Coordinadora"/>
    <s v="2983908 -84151087988"/>
    <d v="2024-12-26T00:00:00"/>
    <d v="2024-12-27T00:00:00"/>
    <x v="0"/>
    <n v="1"/>
    <n v="2"/>
    <x v="1"/>
    <n v="16788"/>
    <m/>
  </r>
  <r>
    <d v="2024-12-24T00:00:00"/>
    <x v="11"/>
    <n v="52"/>
    <n v="2368"/>
    <x v="0"/>
    <s v="Cristhian mejia"/>
    <s v="TECUDSG"/>
    <s v="TECU Desk Stool Gris Silla ajustable"/>
    <n v="1"/>
    <x v="5"/>
    <x v="21"/>
    <x v="26"/>
    <x v="0"/>
    <s v="Envioclick- Coordinadora"/>
    <s v="2983917 -84151087992"/>
    <d v="2024-12-26T00:00:00"/>
    <d v="2024-12-27T00:00:00"/>
    <x v="0"/>
    <n v="1"/>
    <n v="2"/>
    <x v="1"/>
    <n v="20766"/>
    <m/>
  </r>
  <r>
    <d v="2024-12-24T00:00:00"/>
    <x v="11"/>
    <n v="52"/>
    <n v="2368"/>
    <x v="0"/>
    <s v="Cristhian mejia"/>
    <s v="TECURB"/>
    <s v="Repisa TECU  Blanco (Niebla)"/>
    <n v="1"/>
    <x v="2"/>
    <x v="21"/>
    <x v="26"/>
    <x v="0"/>
    <s v="Envioclick- Coordinadora"/>
    <s v="NA"/>
    <d v="2024-12-26T00:00:00"/>
    <d v="2024-12-27T00:00:00"/>
    <x v="0"/>
    <n v="1"/>
    <n v="2"/>
    <x v="1"/>
    <n v="0"/>
    <m/>
  </r>
  <r>
    <d v="2024-12-24T00:00:00"/>
    <x v="11"/>
    <n v="52"/>
    <n v="2368"/>
    <x v="0"/>
    <s v="Cristhian mejia"/>
    <s v="TECUBDPA"/>
    <s v="TECU Desk Pad B Negro Azul"/>
    <n v="1"/>
    <x v="4"/>
    <x v="21"/>
    <x v="26"/>
    <x v="0"/>
    <s v="Envioclick- Coordinadora"/>
    <s v="2983925 -84151087995"/>
    <d v="2024-12-26T00:00:00"/>
    <d v="2024-12-27T00:00:00"/>
    <x v="0"/>
    <n v="1"/>
    <n v="2"/>
    <x v="1"/>
    <n v="9183"/>
    <m/>
  </r>
  <r>
    <d v="2024-12-24T00:00:00"/>
    <x v="11"/>
    <n v="52"/>
    <n v="2368"/>
    <x v="0"/>
    <s v="Cristhian mejia"/>
    <s v="TECUCT"/>
    <s v="TECU bandeja de cables"/>
    <n v="1"/>
    <x v="4"/>
    <x v="21"/>
    <x v="26"/>
    <x v="0"/>
    <s v="Envioclick- Coordinadora"/>
    <s v="2984075 -84151088078"/>
    <d v="2024-12-26T00:00:00"/>
    <d v="2024-12-27T00:00:00"/>
    <x v="0"/>
    <n v="1"/>
    <n v="2"/>
    <x v="1"/>
    <n v="15447"/>
    <m/>
  </r>
  <r>
    <d v="2024-12-24T00:00:00"/>
    <x v="11"/>
    <n v="52"/>
    <n v="2368"/>
    <x v="0"/>
    <s v="Cristhian mejia"/>
    <s v="TECUAB"/>
    <s v="Archivador TECU  Blanco (Niebla)"/>
    <n v="1"/>
    <x v="3"/>
    <x v="21"/>
    <x v="26"/>
    <x v="0"/>
    <s v="Envioclick- Envia"/>
    <s v="2987020 -954101116248"/>
    <d v="2024-12-27T00:00:00"/>
    <d v="2024-12-30T00:00:00"/>
    <x v="0"/>
    <n v="2"/>
    <n v="4"/>
    <x v="0"/>
    <n v="33905"/>
    <m/>
  </r>
  <r>
    <d v="2024-12-24T00:00:00"/>
    <x v="11"/>
    <n v="52"/>
    <n v="2368"/>
    <x v="0"/>
    <s v="Cristhian mejia"/>
    <s v="TECUAB"/>
    <s v="Archivador TECU  Blanco (Niebla)"/>
    <n v="1"/>
    <x v="3"/>
    <x v="21"/>
    <x v="26"/>
    <x v="0"/>
    <s v="Envioclick- Envia"/>
    <s v="2987615 -954101116465"/>
    <d v="2024-12-27T00:00:00"/>
    <d v="2024-12-30T00:00:00"/>
    <x v="0"/>
    <n v="2"/>
    <n v="4"/>
    <x v="0"/>
    <n v="33905"/>
    <m/>
  </r>
  <r>
    <d v="2024-12-24T00:00:00"/>
    <x v="11"/>
    <n v="52"/>
    <n v="2368"/>
    <x v="0"/>
    <s v="Cristhian mejia"/>
    <s v="TECUAB"/>
    <s v="Archivador TECU  Blanco (Niebla)"/>
    <n v="1"/>
    <x v="3"/>
    <x v="21"/>
    <x v="26"/>
    <x v="1"/>
    <s v="Envioclick- Envia"/>
    <m/>
    <m/>
    <m/>
    <x v="1"/>
    <n v="-39115"/>
    <s v="PTE"/>
    <x v="2"/>
    <m/>
    <m/>
  </r>
  <r>
    <d v="2024-12-24T00:00:00"/>
    <x v="11"/>
    <n v="52"/>
    <n v="2368"/>
    <x v="0"/>
    <s v="Cristhian mejia"/>
    <s v="TECUAB"/>
    <s v="Archivador TECU  Blanco (Niebla)"/>
    <n v="1"/>
    <x v="3"/>
    <x v="21"/>
    <x v="26"/>
    <x v="1"/>
    <s v="Envioclick- Envia"/>
    <m/>
    <m/>
    <m/>
    <x v="1"/>
    <n v="-39115"/>
    <s v="PTE"/>
    <x v="2"/>
    <m/>
    <m/>
  </r>
  <r>
    <d v="2024-12-26T00:00:00"/>
    <x v="11"/>
    <n v="52"/>
    <n v="2369"/>
    <x v="0"/>
    <s v="Aldo Vilardy Roa"/>
    <s v="TECU3FNPRO"/>
    <s v="Electric Standing Desk  PRO Negro"/>
    <n v="1"/>
    <x v="0"/>
    <x v="1"/>
    <x v="1"/>
    <x v="0"/>
    <s v="Envioclick- Coordinadora"/>
    <s v="2985077 -84151088654"/>
    <d v="2024-12-26T00:00:00"/>
    <d v="2024-12-27T00:00:00"/>
    <x v="0"/>
    <n v="0"/>
    <n v="1"/>
    <x v="1"/>
    <n v="42921"/>
    <m/>
  </r>
  <r>
    <d v="2024-12-26T00:00:00"/>
    <x v="11"/>
    <n v="52"/>
    <n v="2369"/>
    <x v="0"/>
    <s v="Aldo Vilardy Roa"/>
    <s v="TECUTFE20C"/>
    <s v="Superficie Escritorio Fresno Europeo 200x70 Clasico"/>
    <n v="1"/>
    <x v="1"/>
    <x v="1"/>
    <x v="1"/>
    <x v="0"/>
    <s v="Envioclick- Coordinadora"/>
    <s v="2985078 -84151088656"/>
    <d v="2024-12-26T00:00:00"/>
    <d v="2024-12-28T00:00:00"/>
    <x v="0"/>
    <n v="0"/>
    <n v="2"/>
    <x v="1"/>
    <n v="26749"/>
    <m/>
  </r>
  <r>
    <d v="2024-12-27T00:00:00"/>
    <x v="11"/>
    <n v="52"/>
    <n v="2370"/>
    <x v="0"/>
    <s v="James Zapata"/>
    <s v="TECU3FNPRO"/>
    <s v="Electric Standing Desk  PRO Negro"/>
    <n v="1"/>
    <x v="0"/>
    <x v="0"/>
    <x v="3"/>
    <x v="0"/>
    <s v="Envioclick- Coordinadora"/>
    <s v="2987958 -84151090274"/>
    <d v="2024-12-27T00:00:00"/>
    <d v="2024-12-28T00:00:00"/>
    <x v="0"/>
    <n v="0"/>
    <n v="1"/>
    <x v="1"/>
    <n v="42921"/>
    <m/>
  </r>
  <r>
    <d v="2024-12-27T00:00:00"/>
    <x v="11"/>
    <n v="52"/>
    <n v="2370"/>
    <x v="0"/>
    <s v="James Zapata"/>
    <s v="TECUTCC6C"/>
    <s v="Superficie Escritorio Miel 160x70 Clasico"/>
    <n v="1"/>
    <x v="1"/>
    <x v="0"/>
    <x v="3"/>
    <x v="0"/>
    <s v="Envioclick- Coordinadora"/>
    <s v="2987959 -84151090275"/>
    <d v="2024-12-27T00:00:00"/>
    <d v="2024-12-28T00:00:00"/>
    <x v="0"/>
    <n v="0"/>
    <n v="1"/>
    <x v="1"/>
    <n v="24093"/>
    <m/>
  </r>
  <r>
    <d v="2024-12-27T00:00:00"/>
    <x v="11"/>
    <n v="52"/>
    <n v="2371"/>
    <x v="0"/>
    <s v="Christiam Bohorquez"/>
    <s v="TECU3FNPRO"/>
    <s v="Electric Standing Desk  PRO Negro"/>
    <n v="1"/>
    <x v="0"/>
    <x v="1"/>
    <x v="1"/>
    <x v="0"/>
    <s v="Envioclick- Coordinadora"/>
    <s v="3003158 -84151097402"/>
    <d v="2025-01-08T00:00:00"/>
    <d v="2025-01-10T00:00:00"/>
    <x v="0"/>
    <n v="10"/>
    <n v="12"/>
    <x v="0"/>
    <n v="42921"/>
    <s v="TECU sale a vacaciones 30 dic al 3 Ene"/>
  </r>
  <r>
    <d v="2024-12-27T00:00:00"/>
    <x v="11"/>
    <n v="52"/>
    <n v="2371"/>
    <x v="0"/>
    <s v="Christiam Bohorquez"/>
    <s v="TECUTRN2C"/>
    <s v="Superficie Escritorio Roble Negro 120x70 Clasico Small"/>
    <n v="1"/>
    <x v="1"/>
    <x v="1"/>
    <x v="1"/>
    <x v="0"/>
    <s v="Envioclick- Coordinadora"/>
    <s v="3003162 -84151097405"/>
    <d v="2025-01-08T00:00:00"/>
    <d v="2025-01-10T00:00:00"/>
    <x v="0"/>
    <n v="10"/>
    <n v="12"/>
    <x v="0"/>
    <n v="28741"/>
    <s v="TECU sale a vacaciones 30 dic al 3 Ene"/>
  </r>
  <r>
    <d v="2024-12-27T00:00:00"/>
    <x v="11"/>
    <n v="52"/>
    <n v="2371"/>
    <x v="0"/>
    <s v="Christiam Bohorquez"/>
    <s v="TECUTBANPI"/>
    <s v="Bandeja Piano"/>
    <n v="1"/>
    <x v="4"/>
    <x v="1"/>
    <x v="1"/>
    <x v="0"/>
    <s v="Envioclick- Coordinadora"/>
    <s v="3003177 -84151097413"/>
    <d v="2025-01-08T00:00:00"/>
    <d v="2025-01-10T00:00:00"/>
    <x v="0"/>
    <n v="10"/>
    <n v="12"/>
    <x v="0"/>
    <n v="27929"/>
    <s v="TECU sale a vacaciones 30 dic al 3 Ene"/>
  </r>
  <r>
    <d v="2024-12-28T00:00:00"/>
    <x v="11"/>
    <n v="52"/>
    <n v="2372"/>
    <x v="0"/>
    <s v="Santiago Osorio López"/>
    <s v="TECUBLS"/>
    <s v="TECU Laptop Stand B"/>
    <n v="1"/>
    <x v="4"/>
    <x v="19"/>
    <x v="43"/>
    <x v="0"/>
    <s v="Envioclick- Coordinadora"/>
    <s v="3002683 -84151097102"/>
    <d v="2025-01-07T00:00:00"/>
    <d v="2025-01-08T00:00:00"/>
    <x v="0"/>
    <n v="8"/>
    <n v="9"/>
    <x v="0"/>
    <n v="15447"/>
    <s v="TECU sale a vacaciones 30 dic al 3 Ene"/>
  </r>
  <r>
    <d v="2024-12-28T00:00:00"/>
    <x v="11"/>
    <n v="52"/>
    <n v="2373"/>
    <x v="0"/>
    <s v="Nicolas Becerra"/>
    <s v="TECU3FNPRO"/>
    <s v="Electric Standing Desk  PRO Negro"/>
    <n v="1"/>
    <x v="0"/>
    <x v="1"/>
    <x v="1"/>
    <x v="0"/>
    <s v="Envioclick- Coordinadora"/>
    <s v="3002707 -84151097113"/>
    <d v="2025-01-07T00:00:00"/>
    <d v="2025-01-08T00:00:00"/>
    <x v="0"/>
    <n v="8"/>
    <n v="9"/>
    <x v="0"/>
    <n v="42921"/>
    <s v="TECU sale a vacaciones 30 dic al 3 Ene"/>
  </r>
  <r>
    <d v="2024-12-28T00:00:00"/>
    <x v="11"/>
    <n v="52"/>
    <n v="2373"/>
    <x v="0"/>
    <s v="Nicolas Becerra"/>
    <s v="TECUTFE5M"/>
    <s v="Superficie Escritorio Fresno Europeo 150x70 Moderno"/>
    <n v="1"/>
    <x v="1"/>
    <x v="1"/>
    <x v="1"/>
    <x v="0"/>
    <s v="Envioclick- Coordinadora"/>
    <s v="3002708 -84151097114"/>
    <d v="2025-01-07T00:00:00"/>
    <d v="2025-01-08T00:00:00"/>
    <x v="0"/>
    <n v="8"/>
    <n v="9"/>
    <x v="0"/>
    <n v="24093"/>
    <s v="TECU sale a vacaciones 30 dic al 3 Ene"/>
  </r>
  <r>
    <d v="2024-12-28T00:00:00"/>
    <x v="11"/>
    <n v="52"/>
    <n v="2373"/>
    <x v="0"/>
    <s v="Nicolas Becerra"/>
    <s v="TECUCT"/>
    <s v="TECU bandeja de cables"/>
    <n v="1"/>
    <x v="4"/>
    <x v="1"/>
    <x v="1"/>
    <x v="0"/>
    <s v="Envioclick- Coordinadora"/>
    <s v="3002714 -84151097123"/>
    <d v="2025-01-07T00:00:00"/>
    <d v="2025-01-08T00:00:00"/>
    <x v="0"/>
    <n v="8"/>
    <n v="9"/>
    <x v="0"/>
    <n v="24885"/>
    <m/>
  </r>
  <r>
    <d v="2024-12-28T00:00:00"/>
    <x v="11"/>
    <n v="52"/>
    <n v="2373"/>
    <x v="0"/>
    <s v="Nicolas Becerra"/>
    <s v="TECUAN"/>
    <s v="Archivador TECU  Negro (Wengue)"/>
    <n v="1"/>
    <x v="3"/>
    <x v="1"/>
    <x v="1"/>
    <x v="0"/>
    <s v="Envioclick- Envia"/>
    <s v="3011829 -954101123078"/>
    <d v="2025-01-10T00:00:00"/>
    <d v="2025-01-11T00:00:00"/>
    <x v="0"/>
    <n v="11"/>
    <n v="12"/>
    <x v="0"/>
    <n v="70717"/>
    <m/>
  </r>
  <r>
    <d v="2024-12-29T00:00:00"/>
    <x v="11"/>
    <n v="53"/>
    <n v="2374"/>
    <x v="0"/>
    <s v="Julian Pulgarin"/>
    <s v="TECULFN2"/>
    <s v="Electric Standing Desk | Escritorio Ajustable En L Frame Negro 2.0"/>
    <n v="1"/>
    <x v="0"/>
    <x v="0"/>
    <x v="3"/>
    <x v="0"/>
    <s v="Envioclick- Coordinadora"/>
    <s v="3002879 -84151097216"/>
    <d v="2025-01-07T00:00:00"/>
    <d v="2025-01-08T00:00:00"/>
    <x v="0"/>
    <n v="7"/>
    <n v="8"/>
    <x v="0"/>
    <n v="62530"/>
    <m/>
  </r>
  <r>
    <d v="2024-12-29T00:00:00"/>
    <x v="11"/>
    <n v="53"/>
    <n v="2374"/>
    <x v="0"/>
    <s v="Julian Pulgarin"/>
    <s v="TECUTLCCS"/>
    <s v="Superficie Escritorio en L Caramelo Set completo"/>
    <n v="1"/>
    <x v="1"/>
    <x v="0"/>
    <x v="3"/>
    <x v="0"/>
    <s v="Envioclick- Coordinadora"/>
    <s v="3002881 -84151097218"/>
    <d v="2025-01-07T00:00:00"/>
    <d v="2025-01-08T00:00:00"/>
    <x v="0"/>
    <n v="7"/>
    <n v="8"/>
    <x v="0"/>
    <n v="26749"/>
    <m/>
  </r>
  <r>
    <d v="2024-12-29T00:00:00"/>
    <x v="11"/>
    <n v="53"/>
    <n v="2374"/>
    <x v="0"/>
    <s v="Julian Pulgarin"/>
    <m/>
    <s v="Servicio de instalacion"/>
    <n v="1"/>
    <x v="7"/>
    <x v="0"/>
    <x v="3"/>
    <x v="1"/>
    <m/>
    <s v="NA"/>
    <m/>
    <m/>
    <x v="1"/>
    <n v="-39118"/>
    <s v="PTE"/>
    <x v="2"/>
    <m/>
    <m/>
  </r>
  <r>
    <d v="2024-12-30T00:00:00"/>
    <x v="11"/>
    <n v="53"/>
    <n v="2375"/>
    <x v="0"/>
    <s v="Sneyder Vergara"/>
    <s v="TECURCO"/>
    <s v="Repisa TECU  Caramelo"/>
    <n v="1"/>
    <x v="2"/>
    <x v="22"/>
    <x v="20"/>
    <x v="0"/>
    <s v="Envioclick- Coordinadora"/>
    <s v="3002907 -84151097232"/>
    <d v="2025-01-08T00:00:00"/>
    <d v="2025-01-10T00:00:00"/>
    <x v="0"/>
    <n v="8"/>
    <n v="10"/>
    <x v="0"/>
    <n v="47133"/>
    <m/>
  </r>
  <r>
    <d v="2024-12-30T00:00:00"/>
    <x v="11"/>
    <n v="53"/>
    <n v="2376"/>
    <x v="0"/>
    <s v="LUIS GUILLERMO CASTRO VASQUEZ"/>
    <s v="TECU3FNPRO"/>
    <s v="Electric Standing Desk  PRO Negro"/>
    <n v="1"/>
    <x v="0"/>
    <x v="23"/>
    <x v="2"/>
    <x v="0"/>
    <s v="Envioclick- Coordinadora"/>
    <s v="3002926 -84151097241"/>
    <d v="2025-01-07T00:00:00"/>
    <d v="2025-01-10T00:00:00"/>
    <x v="0"/>
    <n v="7"/>
    <n v="10"/>
    <x v="0"/>
    <n v="62467"/>
    <m/>
  </r>
  <r>
    <d v="2024-12-30T00:00:00"/>
    <x v="11"/>
    <n v="53"/>
    <n v="2376"/>
    <x v="0"/>
    <s v="LUIS GUILLERMO CASTRO VASQUEZ"/>
    <s v="TECUTFE5M"/>
    <s v="Superficie Escritorio Fresno Europeo 150x70 Moderno"/>
    <n v="1"/>
    <x v="1"/>
    <x v="23"/>
    <x v="2"/>
    <x v="0"/>
    <s v="Envioclick- Coordinadora"/>
    <s v="3002927 -84151097242"/>
    <d v="2025-01-07T00:00:00"/>
    <d v="2025-01-10T00:00:00"/>
    <x v="0"/>
    <n v="7"/>
    <n v="10"/>
    <x v="0"/>
    <n v="39078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d v="2025-01-01T00:00:00"/>
    <x v="0"/>
    <n v="2377"/>
    <x v="0"/>
    <s v="Cata Gómez"/>
    <s v="TECUBDPM"/>
    <s v="Desk Pad B Negro Café Miel"/>
    <n v="1"/>
    <x v="0"/>
    <x v="0"/>
    <x v="0"/>
    <x v="0"/>
    <s v="Coordinadora"/>
    <s v="3002937 -84151097246"/>
    <d v="2025-01-07T00:00:00"/>
    <d v="2025-01-08T00:00:00"/>
    <x v="0"/>
    <n v="0"/>
    <n v="1"/>
    <s v="Cumple"/>
    <n v="16617"/>
    <m/>
    <s v="Vacaciones TECU"/>
  </r>
  <r>
    <d v="2025-01-02T00:00:00"/>
    <x v="0"/>
    <n v="2378"/>
    <x v="0"/>
    <s v="Andres felipe Carreño"/>
    <s v="TECUBDPA"/>
    <s v="Desk Pad B Negro Azul"/>
    <n v="1"/>
    <x v="0"/>
    <x v="1"/>
    <x v="1"/>
    <x v="0"/>
    <s v="Coordinadora"/>
    <s v="3002977 -84151097273"/>
    <d v="2025-01-07T00:00:00"/>
    <d v="2025-01-08T00:00:00"/>
    <x v="0"/>
    <n v="0"/>
    <n v="1"/>
    <s v="Cumple"/>
    <n v="16617"/>
    <m/>
    <s v="Vacaciones TECU"/>
  </r>
  <r>
    <d v="2025-01-06T00:00:00"/>
    <x v="0"/>
    <n v="2379"/>
    <x v="0"/>
    <s v="Juan Guevara"/>
    <s v="TECU2FBGO"/>
    <s v="Electric Standing Desk GO Blanco"/>
    <n v="1"/>
    <x v="1"/>
    <x v="1"/>
    <x v="1"/>
    <x v="0"/>
    <s v="Coordinadora"/>
    <s v="3006333 -84151099203"/>
    <d v="2025-01-08T00:00:00"/>
    <d v="2025-01-10T00:00:00"/>
    <x v="0"/>
    <n v="1"/>
    <n v="3"/>
    <s v="Cumple"/>
    <n v="41593"/>
    <m/>
    <m/>
  </r>
  <r>
    <d v="2025-01-06T00:00:00"/>
    <x v="0"/>
    <n v="2379"/>
    <x v="0"/>
    <s v="Juan Guevara"/>
    <s v="TECUTFE2C"/>
    <s v="Superficie  Fresno Europeo 120x70 Clasico Small"/>
    <n v="1"/>
    <x v="2"/>
    <x v="1"/>
    <x v="1"/>
    <x v="0"/>
    <s v="Coordinadora"/>
    <s v="3006334 -84151099205"/>
    <d v="2025-01-08T00:00:00"/>
    <d v="2025-01-10T00:00:00"/>
    <x v="0"/>
    <n v="1"/>
    <n v="3"/>
    <s v="Cumple"/>
    <n v="24093"/>
    <m/>
    <m/>
  </r>
  <r>
    <d v="2025-01-06T00:00:00"/>
    <x v="0"/>
    <n v="2379"/>
    <x v="0"/>
    <s v="Juan Guevara"/>
    <s v="TECUCT"/>
    <s v="Bandeja de cables"/>
    <n v="1"/>
    <x v="0"/>
    <x v="1"/>
    <x v="1"/>
    <x v="0"/>
    <s v="Coordinadora"/>
    <s v="3006341 -84151099209"/>
    <d v="2025-01-08T00:00:00"/>
    <d v="2025-01-10T00:00:00"/>
    <x v="0"/>
    <n v="1"/>
    <n v="3"/>
    <s v="Cumple"/>
    <n v="24885"/>
    <m/>
    <m/>
  </r>
  <r>
    <d v="2025-01-06T00:00:00"/>
    <x v="0"/>
    <n v="2380"/>
    <x v="0"/>
    <s v="Juan Carlos Urbano"/>
    <s v="TECU2FNG"/>
    <s v="Electric Standing Desk GO Negro"/>
    <n v="1"/>
    <x v="1"/>
    <x v="1"/>
    <x v="1"/>
    <x v="0"/>
    <s v="Coordinadora"/>
    <s v="3003131 -84151097381"/>
    <d v="2025-01-07T00:00:00"/>
    <d v="2025-01-08T00:00:00"/>
    <x v="0"/>
    <n v="0"/>
    <n v="1"/>
    <s v="Cumple"/>
    <n v="41593"/>
    <m/>
    <m/>
  </r>
  <r>
    <d v="2025-01-06T00:00:00"/>
    <x v="0"/>
    <n v="2380"/>
    <x v="0"/>
    <s v="Juan Carlos Urbano"/>
    <s v="TECUTCO4C"/>
    <s v="Superficie Caramelo 140x70 Clasico"/>
    <n v="1"/>
    <x v="2"/>
    <x v="1"/>
    <x v="1"/>
    <x v="0"/>
    <s v="Coordinadora"/>
    <s v="3003134 -84151097383"/>
    <d v="2025-01-07T00:00:00"/>
    <d v="2025-01-09T00:00:00"/>
    <x v="0"/>
    <n v="0"/>
    <n v="2"/>
    <s v="Cumple"/>
    <n v="24093"/>
    <m/>
    <m/>
  </r>
  <r>
    <d v="2025-01-06T00:00:00"/>
    <x v="0"/>
    <n v="2380"/>
    <x v="0"/>
    <s v="Juan Carlos Urbano"/>
    <s v="TECUCT"/>
    <s v="Bandeja de cables"/>
    <n v="1"/>
    <x v="0"/>
    <x v="1"/>
    <x v="1"/>
    <x v="0"/>
    <s v="Coordinadora"/>
    <s v="3003144 -84151097390"/>
    <d v="2025-01-07T00:00:00"/>
    <d v="2025-01-09T00:00:00"/>
    <x v="0"/>
    <n v="0"/>
    <n v="2"/>
    <s v="Cumple"/>
    <n v="24885"/>
    <m/>
    <m/>
  </r>
  <r>
    <d v="2025-01-06T00:00:00"/>
    <x v="0"/>
    <n v="2381"/>
    <x v="0"/>
    <s v="Julian Cujabante Villamil"/>
    <s v="TECULFN2"/>
    <s v="Electric Standing Desk  En L Frame Negro 2.0"/>
    <n v="1"/>
    <x v="1"/>
    <x v="1"/>
    <x v="1"/>
    <x v="0"/>
    <s v="Coordinadora"/>
    <s v="3006368 -84151099224"/>
    <d v="2025-01-08T00:00:00"/>
    <d v="2025-01-10T00:00:00"/>
    <x v="0"/>
    <n v="1"/>
    <n v="3"/>
    <s v="Cumple"/>
    <n v="62530"/>
    <m/>
    <m/>
  </r>
  <r>
    <d v="2025-01-06T00:00:00"/>
    <x v="0"/>
    <n v="2381"/>
    <x v="0"/>
    <s v="Julian Cujabante Villamil"/>
    <s v="TECUTLRNS"/>
    <s v="Superficie en L Roble Negro"/>
    <n v="1"/>
    <x v="2"/>
    <x v="1"/>
    <x v="1"/>
    <x v="0"/>
    <s v="Coordinadora"/>
    <s v="3006370 -84151099227"/>
    <d v="2025-01-08T00:00:00"/>
    <d v="2025-01-10T00:00:00"/>
    <x v="0"/>
    <n v="1"/>
    <n v="3"/>
    <s v="Cumple"/>
    <n v="26749"/>
    <m/>
    <m/>
  </r>
  <r>
    <d v="2025-01-06T00:00:00"/>
    <x v="0"/>
    <n v="2381"/>
    <x v="0"/>
    <s v="Julian Cujabante Villamil"/>
    <s v="TECUCT"/>
    <s v="Bandeja de cables"/>
    <n v="1"/>
    <x v="0"/>
    <x v="1"/>
    <x v="1"/>
    <x v="0"/>
    <s v="Coordinadora"/>
    <s v="3006387 -84151099241"/>
    <d v="2025-01-08T00:00:00"/>
    <d v="2025-01-09T00:00:00"/>
    <x v="0"/>
    <n v="1"/>
    <n v="2"/>
    <s v="Cumple"/>
    <n v="24885"/>
    <m/>
    <m/>
  </r>
  <r>
    <d v="2025-01-06T00:00:00"/>
    <x v="0"/>
    <n v="2381"/>
    <x v="0"/>
    <s v="Julian Cujabante Villamil"/>
    <s v="TECUTBANPI"/>
    <s v="Bandeja Piano"/>
    <n v="1"/>
    <x v="0"/>
    <x v="1"/>
    <x v="1"/>
    <x v="0"/>
    <s v="Coordinadora"/>
    <s v="3006380 -84151099237"/>
    <d v="2025-01-08T00:00:00"/>
    <d v="2025-01-10T00:00:00"/>
    <x v="0"/>
    <n v="1"/>
    <n v="3"/>
    <s v="Cumple"/>
    <n v="39225"/>
    <m/>
    <m/>
  </r>
  <r>
    <d v="2025-01-06T00:00:00"/>
    <x v="0"/>
    <n v="2381"/>
    <x v="0"/>
    <s v="Julian Cujabante Villamil"/>
    <m/>
    <s v="Servicio Instalacion"/>
    <n v="1"/>
    <x v="3"/>
    <x v="1"/>
    <x v="1"/>
    <x v="1"/>
    <s v="Coordinadora"/>
    <s v="NA"/>
    <s v="NA"/>
    <s v="NA"/>
    <x v="0"/>
    <s v="PTE"/>
    <e v="#VALUE!"/>
    <e v="#VALUE!"/>
    <m/>
    <m/>
    <m/>
  </r>
  <r>
    <d v="2025-01-07T00:00:00"/>
    <x v="0"/>
    <n v="2382"/>
    <x v="0"/>
    <s v="Henry De Alba"/>
    <s v="TECU2FNG"/>
    <s v="Electric Standing Desk GO Negro"/>
    <n v="1"/>
    <x v="1"/>
    <x v="2"/>
    <x v="2"/>
    <x v="0"/>
    <s v="Coordinadora"/>
    <s v="3008585 -84151100462"/>
    <d v="2025-01-09T00:00:00"/>
    <d v="2025-01-11T00:00:00"/>
    <x v="0"/>
    <n v="2"/>
    <n v="4"/>
    <s v="Cumple"/>
    <n v="59835"/>
    <m/>
    <m/>
  </r>
  <r>
    <d v="2025-01-07T00:00:00"/>
    <x v="0"/>
    <n v="2382"/>
    <x v="0"/>
    <s v="Henry De Alba"/>
    <s v="TECUTRN2C"/>
    <s v="Superficie  Roble Negro 120x70 Clasico Small"/>
    <n v="1"/>
    <x v="2"/>
    <x v="2"/>
    <x v="2"/>
    <x v="0"/>
    <s v="Coordinadora"/>
    <s v="3008587 -84151100464"/>
    <d v="2025-01-09T00:00:00"/>
    <d v="2025-01-11T00:00:00"/>
    <x v="0"/>
    <n v="2"/>
    <n v="4"/>
    <s v="Cumple"/>
    <n v="39078"/>
    <m/>
    <m/>
  </r>
  <r>
    <d v="2025-01-07T00:00:00"/>
    <x v="0"/>
    <n v="2383"/>
    <x v="0"/>
    <s v="Carlos Andres Polanco Triana"/>
    <s v="TECU3FNPRO"/>
    <s v="Electric Standing Desk  PRO Negro"/>
    <n v="1"/>
    <x v="1"/>
    <x v="3"/>
    <x v="3"/>
    <x v="0"/>
    <s v="Coordinadora"/>
    <s v="3008595 -84151100470"/>
    <d v="2025-01-09T00:00:00"/>
    <d v="2025-01-11T00:00:00"/>
    <x v="0"/>
    <n v="2"/>
    <n v="4"/>
    <s v="Cumple"/>
    <n v="62467"/>
    <m/>
    <m/>
  </r>
  <r>
    <d v="2025-01-07T00:00:00"/>
    <x v="0"/>
    <n v="2383"/>
    <x v="0"/>
    <s v="Carlos Andres Polanco Triana"/>
    <s v="TECUTCO4C"/>
    <s v="Superficie Caramelo 140x70 Clasico"/>
    <n v="1"/>
    <x v="2"/>
    <x v="3"/>
    <x v="3"/>
    <x v="0"/>
    <s v="Coordinadora"/>
    <s v="3008596 -84151100471"/>
    <d v="2025-01-09T00:00:00"/>
    <d v="2025-01-11T00:00:00"/>
    <x v="0"/>
    <n v="2"/>
    <n v="4"/>
    <s v="Cumple"/>
    <n v="39078"/>
    <m/>
    <m/>
  </r>
  <r>
    <d v="2025-01-08T00:00:00"/>
    <x v="0"/>
    <n v="2384"/>
    <x v="0"/>
    <s v="Samuel Antonio Cabezas Tibaquicha"/>
    <s v="TECU3FNPRO"/>
    <s v="Electric Standing Desk  PRO Negro"/>
    <n v="1"/>
    <x v="1"/>
    <x v="1"/>
    <x v="4"/>
    <x v="0"/>
    <s v="Coordinadora"/>
    <s v="3006418 -84151099260"/>
    <d v="2025-01-08T00:00:00"/>
    <d v="2025-01-09T00:00:00"/>
    <x v="0"/>
    <n v="0"/>
    <n v="1"/>
    <s v="Cumple"/>
    <n v="42921"/>
    <m/>
    <m/>
  </r>
  <r>
    <d v="2025-01-08T00:00:00"/>
    <x v="0"/>
    <n v="2384"/>
    <x v="0"/>
    <s v="Samuel Antonio Cabezas Tibaquicha"/>
    <s v="TECUDSN"/>
    <s v="Desk Stool Negra Silla ajustable"/>
    <n v="1"/>
    <x v="4"/>
    <x v="1"/>
    <x v="4"/>
    <x v="0"/>
    <s v="Coordinadora"/>
    <s v="3006424 -84151099263"/>
    <d v="2025-01-08T00:00:00"/>
    <d v="2025-01-09T00:00:00"/>
    <x v="0"/>
    <n v="0"/>
    <n v="1"/>
    <s v="Cumple"/>
    <n v="26609"/>
    <m/>
    <m/>
  </r>
  <r>
    <d v="2025-01-08T00:00:00"/>
    <x v="0"/>
    <n v="2385"/>
    <x v="0"/>
    <s v="Diana Ruiz"/>
    <s v="TECU3FNPRO"/>
    <s v="Electric Standing Desk  PRO Negro"/>
    <n v="1"/>
    <x v="1"/>
    <x v="1"/>
    <x v="1"/>
    <x v="0"/>
    <s v="Coordinadora"/>
    <s v="3009172 -84151100736"/>
    <d v="2025-01-09T00:00:00"/>
    <d v="2025-01-10T00:00:00"/>
    <x v="0"/>
    <n v="1"/>
    <n v="2"/>
    <s v="Cumple"/>
    <n v="42921"/>
    <m/>
    <m/>
  </r>
  <r>
    <d v="2025-01-08T00:00:00"/>
    <x v="0"/>
    <n v="2385"/>
    <x v="0"/>
    <s v="Diana Ruiz"/>
    <s v="TECUTFE4C"/>
    <s v="Superficie  Fresno Europeo 140x70 Clasico"/>
    <n v="1"/>
    <x v="2"/>
    <x v="1"/>
    <x v="1"/>
    <x v="0"/>
    <s v="Coordinadora"/>
    <s v="3009173 -84151100737"/>
    <d v="2025-01-09T00:00:00"/>
    <d v="2025-01-10T00:00:00"/>
    <x v="0"/>
    <n v="1"/>
    <n v="2"/>
    <s v="Cumple"/>
    <n v="24093"/>
    <m/>
    <m/>
  </r>
  <r>
    <d v="2025-01-08T00:00:00"/>
    <x v="0"/>
    <n v="2386"/>
    <x v="0"/>
    <s v="Samuel Vélez Sanín"/>
    <s v="TECU2FNG"/>
    <s v="Electric Standing Desk GO Negro"/>
    <n v="1"/>
    <x v="1"/>
    <x v="0"/>
    <x v="5"/>
    <x v="0"/>
    <s v="Coordinadora"/>
    <s v="3008732 -84151100542"/>
    <d v="2025-01-09T00:00:00"/>
    <d v="2025-01-10T00:00:00"/>
    <x v="0"/>
    <n v="1"/>
    <n v="2"/>
    <s v="Cumple"/>
    <n v="41593"/>
    <m/>
    <m/>
  </r>
  <r>
    <d v="2025-01-08T00:00:00"/>
    <x v="0"/>
    <n v="2386"/>
    <x v="0"/>
    <s v="Samuel Vélez Sanín"/>
    <s v="TECUTFE2C"/>
    <s v="Superficie  Fresno Europeo 120x70 Clasico Small"/>
    <n v="1"/>
    <x v="2"/>
    <x v="0"/>
    <x v="5"/>
    <x v="0"/>
    <s v="Coordinadora"/>
    <s v="3008734 -84151100543"/>
    <d v="2025-01-09T00:00:00"/>
    <d v="2025-01-11T00:00:00"/>
    <x v="0"/>
    <n v="1"/>
    <n v="3"/>
    <s v="Cumple"/>
    <n v="24093"/>
    <m/>
    <m/>
  </r>
  <r>
    <d v="2025-01-08T00:00:00"/>
    <x v="0"/>
    <n v="2387"/>
    <x v="0"/>
    <s v="Miguel Saavedra"/>
    <s v="TECUACO"/>
    <s v="Archivador TECU  Caramelo"/>
    <n v="1"/>
    <x v="5"/>
    <x v="1"/>
    <x v="1"/>
    <x v="0"/>
    <s v="Envia"/>
    <s v="3006909 -954101121278"/>
    <d v="2025-01-08T00:00:00"/>
    <d v="2025-01-09T00:00:00"/>
    <x v="0"/>
    <n v="0"/>
    <n v="1"/>
    <s v="Cumple"/>
    <n v="70717"/>
    <m/>
    <m/>
  </r>
  <r>
    <d v="2025-01-09T00:00:00"/>
    <x v="0"/>
    <n v="2388"/>
    <x v="0"/>
    <s v="CAROLINA RAMIREZ RESTREPO"/>
    <s v="TECU2FNG"/>
    <s v="Electric Standing Desk GO Negro"/>
    <n v="1"/>
    <x v="1"/>
    <x v="0"/>
    <x v="6"/>
    <x v="0"/>
    <s v="Coordinadora"/>
    <s v="3008988 -84151100690"/>
    <d v="2025-01-09T00:00:00"/>
    <d v="2025-01-24T00:00:00"/>
    <x v="0"/>
    <n v="0"/>
    <n v="13"/>
    <s v="No cumple"/>
    <n v="112444"/>
    <m/>
    <s v="Novedad - Se envia a oto pueblo por error en Shopify generar guias // se solicita devolucion a la bodega"/>
  </r>
  <r>
    <d v="2025-01-09T00:00:00"/>
    <x v="0"/>
    <n v="2388"/>
    <x v="0"/>
    <s v="CAROLINA RAMIREZ RESTREPO"/>
    <s v="TECUTCO6C"/>
    <s v="Superficie  Caramelo 160x70 Clasico"/>
    <n v="1"/>
    <x v="2"/>
    <x v="0"/>
    <x v="6"/>
    <x v="0"/>
    <s v="Coordinadora"/>
    <s v="3008990 -84151100691"/>
    <d v="2025-01-09T00:00:00"/>
    <d v="2025-01-24T00:00:00"/>
    <x v="0"/>
    <n v="0"/>
    <n v="13"/>
    <s v="No cumple"/>
    <n v="98264"/>
    <m/>
    <s v="Novedad - Se envia a oto pueblo por error en Shopify generar guias // se solicita devolucion a la bodega"/>
  </r>
  <r>
    <d v="2025-01-09T00:00:00"/>
    <x v="0"/>
    <n v="2389"/>
    <x v="0"/>
    <s v="Alexander Gomez Chaparro"/>
    <s v="TECULFN2"/>
    <s v="Electric Standing Desk  En L Frame Negro 2.0"/>
    <n v="1"/>
    <x v="1"/>
    <x v="4"/>
    <x v="7"/>
    <x v="0"/>
    <s v="Coordinadora"/>
    <s v="3011856 -84151101651"/>
    <d v="2025-01-10T00:00:00"/>
    <d v="2025-01-13T00:00:00"/>
    <x v="0"/>
    <n v="1"/>
    <n v="3"/>
    <s v="Cumple"/>
    <n v="96409"/>
    <m/>
    <m/>
  </r>
  <r>
    <d v="2025-01-09T00:00:00"/>
    <x v="0"/>
    <n v="2389"/>
    <x v="0"/>
    <s v="Alexander Gomez Chaparro"/>
    <s v="TECUTLNS"/>
    <s v="Superficie  en L Negro"/>
    <n v="1"/>
    <x v="2"/>
    <x v="4"/>
    <x v="7"/>
    <x v="0"/>
    <s v="Coordinadora"/>
    <s v="3011858 -84151101652"/>
    <d v="2025-01-10T00:00:00"/>
    <d v="2025-01-13T00:00:00"/>
    <x v="0"/>
    <n v="1"/>
    <n v="3"/>
    <s v="Cumple"/>
    <n v="44340"/>
    <m/>
    <m/>
  </r>
  <r>
    <d v="2025-01-09T00:00:00"/>
    <x v="0"/>
    <n v="2390"/>
    <x v="0"/>
    <s v="Alexander Gomez Chaparro"/>
    <s v="TECUCT"/>
    <s v="Bandeja de cables"/>
    <n v="1"/>
    <x v="0"/>
    <x v="4"/>
    <x v="7"/>
    <x v="0"/>
    <s v="Coordinadora"/>
    <s v="3011897 -84151101678"/>
    <d v="2025-01-10T00:00:00"/>
    <d v="2025-01-13T00:00:00"/>
    <x v="0"/>
    <n v="1"/>
    <n v="3"/>
    <s v="Cumple"/>
    <m/>
    <m/>
    <m/>
  </r>
  <r>
    <d v="2025-01-09T00:00:00"/>
    <x v="0"/>
    <n v="2390"/>
    <x v="0"/>
    <s v="Alexander Gomez Chaparro"/>
    <s v="TECUBDPA"/>
    <s v="Desk Pad B Negro Azul"/>
    <n v="1"/>
    <x v="0"/>
    <x v="4"/>
    <x v="7"/>
    <x v="0"/>
    <s v="Coordinadora"/>
    <s v="3011889 -84151101671"/>
    <d v="2025-01-10T00:00:00"/>
    <d v="2025-01-13T00:00:00"/>
    <x v="0"/>
    <n v="1"/>
    <n v="3"/>
    <s v="Cumple"/>
    <n v="16617"/>
    <m/>
    <m/>
  </r>
  <r>
    <d v="2025-01-09T00:00:00"/>
    <x v="0"/>
    <n v="2390"/>
    <x v="0"/>
    <s v="Alexander Gomez Chaparro"/>
    <s v="TECUDSN"/>
    <s v="Desk Stool Negra Silla ajustable"/>
    <n v="1"/>
    <x v="4"/>
    <x v="4"/>
    <x v="7"/>
    <x v="0"/>
    <s v="Coordinadora"/>
    <s v="3011879 -84151101661"/>
    <d v="2025-01-10T00:00:00"/>
    <d v="2025-01-13T00:00:00"/>
    <x v="0"/>
    <n v="1"/>
    <n v="3"/>
    <s v="Cumple"/>
    <n v="40942"/>
    <m/>
    <m/>
  </r>
  <r>
    <d v="2025-01-09T00:00:00"/>
    <x v="0"/>
    <n v="2390"/>
    <x v="0"/>
    <s v="Alexander Gomez Chaparro"/>
    <s v="TECURN"/>
    <s v="Repisa Negro"/>
    <n v="1"/>
    <x v="6"/>
    <x v="4"/>
    <x v="7"/>
    <x v="0"/>
    <s v="Coordinadora"/>
    <s v="NA"/>
    <d v="2025-01-10T00:00:00"/>
    <d v="2025-01-13T00:00:00"/>
    <x v="0"/>
    <n v="1"/>
    <n v="3"/>
    <s v="Cumple"/>
    <m/>
    <m/>
    <m/>
  </r>
  <r>
    <d v="2025-01-09T00:00:00"/>
    <x v="0"/>
    <n v="2391"/>
    <x v="0"/>
    <s v="Alexander Gomez Chaparro"/>
    <s v="TECUCT"/>
    <s v="Bandeja de cables"/>
    <n v="1"/>
    <x v="0"/>
    <x v="4"/>
    <x v="7"/>
    <x v="0"/>
    <s v="Coordinadora"/>
    <s v="3011897 -84151101678"/>
    <d v="2025-01-10T00:00:00"/>
    <d v="2025-01-13T00:00:00"/>
    <x v="0"/>
    <n v="1"/>
    <n v="3"/>
    <s v="Cumple"/>
    <n v="24885"/>
    <m/>
    <m/>
  </r>
  <r>
    <d v="2025-01-10T00:00:00"/>
    <x v="0"/>
    <n v="2392"/>
    <x v="0"/>
    <s v="David Cadavid"/>
    <s v="TECU3FNPRO"/>
    <s v="Electric Standing Desk  PRO Negro"/>
    <n v="1"/>
    <x v="1"/>
    <x v="0"/>
    <x v="5"/>
    <x v="0"/>
    <s v="Coordinadora"/>
    <s v="3015845 -84151103419"/>
    <d v="2025-01-13T16:47:27"/>
    <d v="2025-01-14T15:27:49"/>
    <x v="0"/>
    <n v="2"/>
    <n v="3"/>
    <s v="Cumple"/>
    <n v="42921"/>
    <m/>
    <m/>
  </r>
  <r>
    <d v="2025-01-10T00:00:00"/>
    <x v="0"/>
    <n v="2392"/>
    <x v="0"/>
    <s v="David Cadavid"/>
    <s v="TECUTCO8C"/>
    <s v="Superficie  Caramelo 180x70 Clasico"/>
    <n v="1"/>
    <x v="2"/>
    <x v="0"/>
    <x v="5"/>
    <x v="0"/>
    <s v="Coordinadora"/>
    <s v="3015847 -84151103420"/>
    <d v="2025-01-13T16:48:27"/>
    <d v="2025-01-14T15:27:49"/>
    <x v="0"/>
    <n v="2"/>
    <n v="3"/>
    <s v="Cumple"/>
    <n v="26749"/>
    <m/>
    <m/>
  </r>
  <r>
    <d v="2025-01-10T00:00:00"/>
    <x v="0"/>
    <n v="2392"/>
    <x v="0"/>
    <s v="David Cadavid"/>
    <s v="TECUCT"/>
    <s v="Bandeja de cables"/>
    <n v="1"/>
    <x v="0"/>
    <x v="0"/>
    <x v="5"/>
    <x v="0"/>
    <s v="Coordinadora"/>
    <s v="3015858 -84151103425"/>
    <d v="2025-01-13T16:47:27"/>
    <d v="2025-01-14T15:27:49"/>
    <x v="0"/>
    <n v="2"/>
    <n v="3"/>
    <s v="Cumple"/>
    <n v="24885"/>
    <m/>
    <m/>
  </r>
  <r>
    <d v="2025-01-11T00:00:00"/>
    <x v="0"/>
    <n v="2393"/>
    <x v="0"/>
    <s v="Santiago Garzon Diaz"/>
    <s v="TECU2FNG"/>
    <s v="Electric Standing Desk GO Negro"/>
    <n v="1"/>
    <x v="1"/>
    <x v="0"/>
    <x v="8"/>
    <x v="0"/>
    <s v="Coordinadora"/>
    <s v="3015877 -84151103435"/>
    <d v="2025-01-13T16:47:27"/>
    <d v="2025-01-14T09:51:51"/>
    <x v="0"/>
    <n v="1"/>
    <n v="2"/>
    <s v="Cumple"/>
    <n v="41593"/>
    <m/>
    <m/>
  </r>
  <r>
    <d v="2025-01-11T00:00:00"/>
    <x v="0"/>
    <n v="2393"/>
    <x v="0"/>
    <s v="Santiago Garzon Diaz"/>
    <m/>
    <s v="Servicio Instalacion"/>
    <n v="1"/>
    <x v="3"/>
    <x v="0"/>
    <x v="8"/>
    <x v="1"/>
    <s v="Coordinadora"/>
    <s v="NA"/>
    <s v="NA"/>
    <s v="NA"/>
    <x v="0"/>
    <s v="PTE"/>
    <e v="#VALUE!"/>
    <e v="#VALUE!"/>
    <n v="0"/>
    <m/>
    <m/>
  </r>
  <r>
    <d v="2025-01-12T00:00:00"/>
    <x v="0"/>
    <n v="2394"/>
    <x v="0"/>
    <s v="Julian Cajiao"/>
    <s v="TECU3FNPRO"/>
    <s v="Electric Standing Desk  PRO Negro"/>
    <n v="1"/>
    <x v="1"/>
    <x v="0"/>
    <x v="8"/>
    <x v="0"/>
    <s v="Coordinadora"/>
    <s v="3015893 -84151103439"/>
    <d v="2025-01-13T16:47:27"/>
    <d v="2025-01-14T11:27:21"/>
    <x v="0"/>
    <n v="0"/>
    <n v="1"/>
    <s v="Cumple"/>
    <n v="42921"/>
    <m/>
    <m/>
  </r>
  <r>
    <d v="2025-01-12T00:00:00"/>
    <x v="0"/>
    <n v="2394"/>
    <x v="0"/>
    <s v="Julian Cajiao"/>
    <s v="TECUTRN6C"/>
    <s v="Superficie  Roble Negro 160x70 Clasico"/>
    <n v="1"/>
    <x v="2"/>
    <x v="0"/>
    <x v="8"/>
    <x v="0"/>
    <s v="Coordinadora"/>
    <s v="3015895 -84151103441"/>
    <d v="2025-01-13T16:48:27"/>
    <d v="2025-01-14T11:27:21"/>
    <x v="0"/>
    <n v="0"/>
    <n v="1"/>
    <s v="Cumple"/>
    <n v="24093"/>
    <m/>
    <m/>
  </r>
  <r>
    <d v="2025-01-12T00:00:00"/>
    <x v="0"/>
    <n v="2394"/>
    <x v="0"/>
    <s v="Julian Cajiao"/>
    <m/>
    <s v="Servicio Instalacion"/>
    <n v="1"/>
    <x v="3"/>
    <x v="0"/>
    <x v="8"/>
    <x v="1"/>
    <s v="Coordinadora"/>
    <s v="NA"/>
    <s v="NA"/>
    <s v="NA"/>
    <x v="0"/>
    <s v="PTE"/>
    <e v="#VALUE!"/>
    <e v="#VALUE!"/>
    <n v="0"/>
    <m/>
    <m/>
  </r>
  <r>
    <d v="2025-01-13T00:00:00"/>
    <x v="0"/>
    <n v="2395"/>
    <x v="0"/>
    <s v="Lucas Latorre"/>
    <s v="TECU3FNPRO"/>
    <s v="Electric Standing Desk  PRO Negro"/>
    <n v="1"/>
    <x v="1"/>
    <x v="5"/>
    <x v="9"/>
    <x v="0"/>
    <s v="Coordinadora"/>
    <s v="3017031 -84151104118"/>
    <d v="2025-01-13T16:47:27"/>
    <d v="2025-01-15T17:17:03"/>
    <x v="0"/>
    <n v="0"/>
    <n v="2"/>
    <s v="Cumple"/>
    <n v="56077"/>
    <m/>
    <m/>
  </r>
  <r>
    <d v="2025-01-13T00:00:00"/>
    <x v="0"/>
    <n v="2395"/>
    <x v="0"/>
    <s v="Lucas Latorre"/>
    <s v="TECUTFE8C"/>
    <s v="Superficie  Fresno Europeo 180x70 Clasico"/>
    <n v="1"/>
    <x v="2"/>
    <x v="5"/>
    <x v="9"/>
    <x v="0"/>
    <s v="Coordinadora"/>
    <s v="3017033 -84151104119"/>
    <d v="2025-01-13T16:48:27"/>
    <d v="2025-01-15T17:17:03"/>
    <x v="0"/>
    <n v="0"/>
    <n v="2"/>
    <s v="Cumple"/>
    <n v="38589"/>
    <m/>
    <m/>
  </r>
  <r>
    <d v="2025-01-13T00:00:00"/>
    <x v="0"/>
    <n v="2396"/>
    <x v="0"/>
    <s v="FELIPE CASTAÑO"/>
    <s v="TECU3FNPRO"/>
    <s v="Electric Standing Desk  PRO Negro"/>
    <n v="1"/>
    <x v="1"/>
    <x v="0"/>
    <x v="5"/>
    <x v="0"/>
    <s v="Coordinadora"/>
    <s v="3018831 -84151104925"/>
    <d v="2025-01-14T15:58:05"/>
    <d v="2025-01-15T10:33:56"/>
    <x v="0"/>
    <n v="1"/>
    <n v="2"/>
    <s v="Cumple"/>
    <n v="42921"/>
    <m/>
    <m/>
  </r>
  <r>
    <d v="2025-01-13T00:00:00"/>
    <x v="0"/>
    <n v="2396"/>
    <x v="0"/>
    <s v="FELIPE CASTAÑO"/>
    <s v="TECUTCO6C"/>
    <s v="Superficie  Caramelo 160x70 Clasico"/>
    <n v="1"/>
    <x v="2"/>
    <x v="0"/>
    <x v="5"/>
    <x v="0"/>
    <s v="Coordinadora"/>
    <s v="3018833 -84151104926"/>
    <d v="2025-01-14T15:58:05"/>
    <d v="2025-01-15T10:33:56"/>
    <x v="0"/>
    <n v="1"/>
    <n v="2"/>
    <s v="Cumple"/>
    <n v="24093"/>
    <m/>
    <m/>
  </r>
  <r>
    <d v="2025-01-13T00:00:00"/>
    <x v="0"/>
    <n v="2396"/>
    <x v="0"/>
    <s v="FELIPE CASTAÑO"/>
    <s v="TECUDSN"/>
    <s v="Desk Stool Negra Silla ajustable"/>
    <n v="1"/>
    <x v="4"/>
    <x v="0"/>
    <x v="5"/>
    <x v="0"/>
    <s v="Coordinadora"/>
    <s v="3018855 -84151104940"/>
    <d v="2025-01-14T15:58:05"/>
    <d v="2025-01-15T10:33:56"/>
    <x v="0"/>
    <n v="1"/>
    <n v="2"/>
    <s v="Cumple"/>
    <n v="26609"/>
    <m/>
    <m/>
  </r>
  <r>
    <d v="2025-01-13T00:00:00"/>
    <x v="0"/>
    <n v="2396"/>
    <x v="0"/>
    <s v="FELIPE CASTAÑO"/>
    <m/>
    <s v="Servicio Instalacion"/>
    <n v="1"/>
    <x v="3"/>
    <x v="0"/>
    <x v="5"/>
    <x v="1"/>
    <s v="Coordinadora"/>
    <s v="NA"/>
    <s v="NA"/>
    <s v="NA"/>
    <x v="0"/>
    <s v="PTE"/>
    <e v="#VALUE!"/>
    <e v="#VALUE!"/>
    <n v="0"/>
    <m/>
    <m/>
  </r>
  <r>
    <d v="2025-01-14T00:00:00"/>
    <x v="0"/>
    <n v="2397"/>
    <x v="0"/>
    <s v="Andres Felipe Parra Rojas"/>
    <s v="TECU2FNG"/>
    <s v="Electric Standing Desk GO Negro"/>
    <n v="1"/>
    <x v="1"/>
    <x v="1"/>
    <x v="1"/>
    <x v="0"/>
    <s v="Coordinadora"/>
    <s v="3023657 -84151107102"/>
    <d v="2025-01-16T16:40:11"/>
    <d v="2025-01-17T16:21:03"/>
    <x v="0"/>
    <n v="2"/>
    <n v="3"/>
    <s v="Cumple"/>
    <n v="41593"/>
    <m/>
    <m/>
  </r>
  <r>
    <d v="2025-01-14T00:00:00"/>
    <x v="0"/>
    <n v="2397"/>
    <x v="0"/>
    <s v="Andres Felipe Parra Rojas"/>
    <s v="TECUTRN5C"/>
    <s v="Superficie  Roble negro 150x70 Clasico"/>
    <n v="1"/>
    <x v="2"/>
    <x v="1"/>
    <x v="1"/>
    <x v="0"/>
    <s v="Coordinadora"/>
    <s v="3023658 -84151107103"/>
    <d v="2025-01-16T16:41:19"/>
    <d v="2025-01-18T14:05:19"/>
    <x v="0"/>
    <n v="2"/>
    <n v="4"/>
    <s v="No cumple"/>
    <n v="24093"/>
    <m/>
    <m/>
  </r>
  <r>
    <d v="2025-01-16T00:00:00"/>
    <x v="0"/>
    <n v="2398"/>
    <x v="0"/>
    <s v="Juan David Martínez Gordillo"/>
    <s v="TECU2FNG"/>
    <s v="Electric Standing Desk GO Negro"/>
    <n v="1"/>
    <x v="1"/>
    <x v="1"/>
    <x v="1"/>
    <x v="0"/>
    <s v="Coordinadora"/>
    <s v="3023776 -84151107161"/>
    <d v="2025-01-16T16:40:11"/>
    <d v="2025-01-18T13:27:15"/>
    <x v="0"/>
    <n v="0"/>
    <n v="2"/>
    <s v="Cumple"/>
    <n v="41593"/>
    <m/>
    <m/>
  </r>
  <r>
    <d v="2025-01-16T00:00:00"/>
    <x v="0"/>
    <n v="2398"/>
    <x v="0"/>
    <s v="Juan David Martínez Gordillo"/>
    <s v="TECUTCO3C"/>
    <s v="Superficie Caramelo 130x70 Clasico"/>
    <n v="1"/>
    <x v="2"/>
    <x v="1"/>
    <x v="1"/>
    <x v="0"/>
    <s v="Coordinadora"/>
    <s v="3023777 -84151107162"/>
    <d v="2025-01-16T16:41:19"/>
    <d v="2025-01-20T14:33:10"/>
    <x v="0"/>
    <n v="0"/>
    <n v="3"/>
    <s v="Cumple"/>
    <n v="24093"/>
    <m/>
    <m/>
  </r>
  <r>
    <d v="2025-01-16T00:00:00"/>
    <x v="0"/>
    <n v="2399"/>
    <x v="0"/>
    <s v="Stefan de Brandt"/>
    <s v="TECU3FNPRO"/>
    <s v="Electric Standing Desk  PRO Negro"/>
    <n v="1"/>
    <x v="1"/>
    <x v="0"/>
    <x v="5"/>
    <x v="0"/>
    <s v="Coordinadora"/>
    <s v="3023834 -84151107192"/>
    <d v="2025-01-16T16:40:11"/>
    <d v="2025-01-17T17:50:22"/>
    <x v="0"/>
    <n v="0"/>
    <n v="1"/>
    <s v="Cumple"/>
    <n v="42921"/>
    <m/>
    <m/>
  </r>
  <r>
    <d v="2025-01-16T00:00:00"/>
    <x v="0"/>
    <n v="2399"/>
    <x v="0"/>
    <s v="Stefan de Brandt"/>
    <s v="TECUTCO6M"/>
    <s v="Superficie  Caramelo 160x70 Moderno"/>
    <n v="1"/>
    <x v="2"/>
    <x v="0"/>
    <x v="5"/>
    <x v="0"/>
    <s v="Coordinadora"/>
    <s v="3023835 -84151107193"/>
    <d v="2025-01-16T16:41:19"/>
    <d v="2025-01-17T17:50:22"/>
    <x v="0"/>
    <n v="0"/>
    <n v="1"/>
    <s v="Cumple"/>
    <n v="24093"/>
    <m/>
    <m/>
  </r>
  <r>
    <d v="2025-01-16T00:00:00"/>
    <x v="0"/>
    <n v="2399"/>
    <x v="0"/>
    <s v="Stefan de Brandt"/>
    <m/>
    <s v="Servicio Instalacion"/>
    <n v="1"/>
    <x v="3"/>
    <x v="0"/>
    <x v="5"/>
    <x v="1"/>
    <s v="Coordinadora"/>
    <s v="NA"/>
    <s v="NA"/>
    <s v="NA"/>
    <x v="0"/>
    <s v="PTE"/>
    <e v="#VALUE!"/>
    <e v="#VALUE!"/>
    <n v="0"/>
    <m/>
    <m/>
  </r>
  <r>
    <d v="2025-01-16T00:00:00"/>
    <x v="0"/>
    <n v="2400"/>
    <x v="0"/>
    <s v="Julian Cujabante Villamil"/>
    <s v="TECUROD6"/>
    <s v="Rodachines con freno para Standing desk x 6 UN"/>
    <n v="1"/>
    <x v="7"/>
    <x v="1"/>
    <x v="1"/>
    <x v="0"/>
    <s v="Coordinadora"/>
    <s v="3026040 -84151108154"/>
    <d v="2025-01-17T15:07:22"/>
    <d v="2025-01-20T12:41:03"/>
    <x v="0"/>
    <n v="1"/>
    <n v="3"/>
    <s v="Cumple"/>
    <n v="23875"/>
    <m/>
    <m/>
  </r>
  <r>
    <d v="2025-01-16T00:00:00"/>
    <x v="0"/>
    <n v="2400"/>
    <x v="0"/>
    <s v="Julian Cujabante Villamil"/>
    <s v="TECUBDPA"/>
    <s v="Desk Pad B Negro Azul"/>
    <n v="1"/>
    <x v="0"/>
    <x v="1"/>
    <x v="1"/>
    <x v="0"/>
    <s v="Coordinadora"/>
    <s v="3026035 -84151108151"/>
    <d v="2025-01-17T15:07:22"/>
    <d v="2025-01-20T12:41:03"/>
    <x v="0"/>
    <n v="1"/>
    <n v="3"/>
    <s v="Cumple"/>
    <n v="16617"/>
    <m/>
    <m/>
  </r>
  <r>
    <d v="2025-01-16T00:00:00"/>
    <x v="0"/>
    <n v="2400"/>
    <x v="0"/>
    <s v="Julian Cujabante Villamil"/>
    <s v="TECURN"/>
    <s v="Repisa Negro"/>
    <n v="1"/>
    <x v="6"/>
    <x v="1"/>
    <x v="1"/>
    <x v="0"/>
    <s v="Coordinadora"/>
    <s v="3026126 -84151108195"/>
    <d v="2025-01-17T15:07:22"/>
    <d v="2025-01-20T12:41:03"/>
    <x v="0"/>
    <n v="1"/>
    <n v="3"/>
    <s v="Cumple"/>
    <n v="23429"/>
    <m/>
    <m/>
  </r>
  <r>
    <d v="2025-01-16T00:00:00"/>
    <x v="0"/>
    <n v="2400"/>
    <x v="0"/>
    <s v="Julian Cujabante Villamil"/>
    <m/>
    <s v="Servicio Instalacion"/>
    <n v="1"/>
    <x v="3"/>
    <x v="1"/>
    <x v="1"/>
    <x v="1"/>
    <s v="Coordinadora"/>
    <s v="NA"/>
    <d v="2025-01-21T00:00:00"/>
    <d v="2025-01-21T00:00:00"/>
    <x v="0"/>
    <s v="PTE"/>
    <n v="4"/>
    <s v="No cumple"/>
    <n v="0"/>
    <m/>
    <m/>
  </r>
  <r>
    <d v="2025-01-16T00:00:00"/>
    <x v="0"/>
    <n v="2401"/>
    <x v="0"/>
    <s v="Julian Cujabante Villamil"/>
    <s v="TECUAN"/>
    <s v="Archivador TECU  Negro"/>
    <n v="1"/>
    <x v="5"/>
    <x v="1"/>
    <x v="1"/>
    <x v="0"/>
    <s v="Envia"/>
    <s v="3026752 -954101129148"/>
    <d v="2025-01-17T15:51:00"/>
    <d v="2025-01-18T11:58:00"/>
    <x v="0"/>
    <n v="1"/>
    <n v="2"/>
    <s v="Cumple"/>
    <n v="70717"/>
    <m/>
    <m/>
  </r>
  <r>
    <d v="2025-01-17T00:00:00"/>
    <x v="0"/>
    <n v="2402"/>
    <x v="0"/>
    <s v="Catalina Alvarado"/>
    <s v="TECU2FNG"/>
    <s v="Electric Standing Desk GO Negro"/>
    <n v="1"/>
    <x v="1"/>
    <x v="1"/>
    <x v="1"/>
    <x v="0"/>
    <s v="Coordinadora"/>
    <s v="3026634 -84151108514"/>
    <d v="2025-01-17T15:07:22"/>
    <d v="2025-01-20T11:09:20"/>
    <x v="0"/>
    <n v="0"/>
    <n v="2"/>
    <s v="Cumple"/>
    <n v="41593"/>
    <m/>
    <m/>
  </r>
  <r>
    <d v="2025-01-17T00:00:00"/>
    <x v="0"/>
    <n v="2402"/>
    <x v="0"/>
    <s v="Catalina Alvarado"/>
    <s v="TECUTFE2C"/>
    <s v="Superficie  Fresno Europeo 120x70 Clasico Small"/>
    <n v="1"/>
    <x v="2"/>
    <x v="1"/>
    <x v="1"/>
    <x v="0"/>
    <s v="Coordinadora"/>
    <s v="3026635 -84151108515"/>
    <d v="2025-01-17T15:07:22"/>
    <d v="2025-01-20T11:07:59"/>
    <x v="0"/>
    <n v="0"/>
    <n v="2"/>
    <s v="Cumple"/>
    <n v="24093"/>
    <m/>
    <m/>
  </r>
  <r>
    <d v="2025-01-17T00:00:00"/>
    <x v="0"/>
    <n v="2403"/>
    <x v="0"/>
    <s v="Alexandra Martínez Ruiz"/>
    <s v="TECU3FNPRO"/>
    <s v="Electric Standing Desk  PRO Negro"/>
    <n v="1"/>
    <x v="1"/>
    <x v="1"/>
    <x v="1"/>
    <x v="0"/>
    <s v="Coordinadora"/>
    <s v="3030945 -84151109872"/>
    <d v="2025-01-20T16:52:51"/>
    <d v="2025-01-22T00:00:00"/>
    <x v="0"/>
    <n v="2"/>
    <n v="4"/>
    <s v="No cumple"/>
    <n v="42921"/>
    <m/>
    <m/>
  </r>
  <r>
    <d v="2025-01-17T00:00:00"/>
    <x v="0"/>
    <n v="2403"/>
    <x v="0"/>
    <s v="Alexandra Martínez Ruiz"/>
    <s v="TECUTFE2C"/>
    <s v="Superficie  Fresno Europeo 120x70 Clasico Small"/>
    <n v="1"/>
    <x v="2"/>
    <x v="1"/>
    <x v="1"/>
    <x v="0"/>
    <s v="Coordinadora"/>
    <s v="3030946 -84151109873"/>
    <d v="2025-01-20T16:52:51"/>
    <d v="2025-01-21T15:36:08"/>
    <x v="0"/>
    <n v="2"/>
    <n v="3"/>
    <s v="Cumple"/>
    <n v="28741"/>
    <m/>
    <m/>
  </r>
  <r>
    <d v="2025-01-17T00:00:00"/>
    <x v="0"/>
    <n v="2403"/>
    <x v="0"/>
    <s v="Alexandra Martínez Ruiz"/>
    <m/>
    <s v="Servicio Instalacion"/>
    <n v="1"/>
    <x v="3"/>
    <x v="1"/>
    <x v="1"/>
    <x v="1"/>
    <s v="Coordinadora"/>
    <s v="NA"/>
    <d v="2025-01-23T00:00:00"/>
    <s v="NA"/>
    <x v="0"/>
    <s v="PTE"/>
    <e v="#VALUE!"/>
    <e v="#VALUE!"/>
    <n v="0"/>
    <m/>
    <m/>
  </r>
  <r>
    <d v="2025-01-18T00:00:00"/>
    <x v="0"/>
    <n v="2404"/>
    <x v="0"/>
    <s v="Juan Camilo Acosta Escobar"/>
    <s v="TECU3FNPRO"/>
    <s v="Electric Standing Desk  PRO Negro"/>
    <n v="1"/>
    <x v="1"/>
    <x v="0"/>
    <x v="10"/>
    <x v="0"/>
    <s v="Coordinadora"/>
    <s v="3030968 -84151109880"/>
    <d v="2025-01-20T16:52:51"/>
    <d v="2025-01-22T14:11:06"/>
    <x v="0"/>
    <n v="1"/>
    <n v="3"/>
    <s v="Cumple"/>
    <n v="42921"/>
    <m/>
    <m/>
  </r>
  <r>
    <d v="2025-01-18T00:00:00"/>
    <x v="0"/>
    <n v="2404"/>
    <x v="0"/>
    <s v="Juan Camilo Acosta Escobar"/>
    <s v="TECUTRM5C"/>
    <s v="Superficie Roble Miel 150x70 Clasico"/>
    <n v="1"/>
    <x v="2"/>
    <x v="0"/>
    <x v="10"/>
    <x v="0"/>
    <s v="Coordinadora"/>
    <s v="3030970 -84151109882"/>
    <d v="2025-01-20T16:52:51"/>
    <d v="2025-01-22T14:11:06"/>
    <x v="0"/>
    <n v="1"/>
    <n v="3"/>
    <s v="Cumple"/>
    <n v="24593"/>
    <m/>
    <m/>
  </r>
  <r>
    <d v="2025-01-18T00:00:00"/>
    <x v="0"/>
    <n v="2404"/>
    <x v="0"/>
    <s v="Juan Camilo Acosta Escobar"/>
    <s v="TECUCT"/>
    <s v="Bandeja de cables"/>
    <n v="1"/>
    <x v="0"/>
    <x v="0"/>
    <x v="10"/>
    <x v="0"/>
    <s v="Coordinadora"/>
    <s v="3031428 -84151110138"/>
    <d v="2025-01-20T16:52:51"/>
    <d v="2025-01-22T14:11:06"/>
    <x v="0"/>
    <n v="1"/>
    <n v="3"/>
    <s v="Cumple"/>
    <n v="24885"/>
    <m/>
    <m/>
  </r>
  <r>
    <d v="2025-01-18T00:00:00"/>
    <x v="0"/>
    <n v="2405"/>
    <x v="0"/>
    <s v="Stefan de Brandt"/>
    <s v="TECUCT"/>
    <s v="Bandeja de cables"/>
    <n v="1"/>
    <x v="0"/>
    <x v="0"/>
    <x v="5"/>
    <x v="0"/>
    <s v="Coordinadora"/>
    <s v="3031190 -84151110013"/>
    <d v="2025-01-20T16:52:51"/>
    <d v="2025-01-21T13:04:29"/>
    <x v="0"/>
    <n v="1"/>
    <n v="2"/>
    <s v="Cumple"/>
    <n v="24885"/>
    <m/>
    <m/>
  </r>
  <r>
    <d v="2025-01-20T00:00:00"/>
    <x v="0"/>
    <n v="2406"/>
    <x v="0"/>
    <s v="MARIA RODRIGUEZ"/>
    <s v="TECU2FBGO"/>
    <s v="Electric Standing Desk GO Blanco"/>
    <n v="1"/>
    <x v="1"/>
    <x v="6"/>
    <x v="11"/>
    <x v="0"/>
    <s v="Coordinadora"/>
    <s v="3034128 -84151111334"/>
    <d v="2025-01-21T17:11:07"/>
    <d v="2025-01-22T00:00:00"/>
    <x v="0"/>
    <n v="1"/>
    <n v="2"/>
    <e v="#N/A"/>
    <n v="41593"/>
    <m/>
    <m/>
  </r>
  <r>
    <d v="2025-01-20T00:00:00"/>
    <x v="0"/>
    <n v="2406"/>
    <x v="0"/>
    <s v="MARIA RODRIGUEZ"/>
    <s v="TECUTFE6C"/>
    <s v="Superficie  Fresno Europeo 160x70 Clasico"/>
    <n v="1"/>
    <x v="2"/>
    <x v="6"/>
    <x v="11"/>
    <x v="0"/>
    <s v="Coordinadora"/>
    <s v="3034129 -84151111335"/>
    <d v="2025-01-21T17:11:07"/>
    <d v="2025-01-22T00:00:00"/>
    <x v="0"/>
    <n v="1"/>
    <n v="2"/>
    <e v="#N/A"/>
    <n v="24093"/>
    <m/>
    <m/>
  </r>
  <r>
    <d v="2025-01-21T00:00:00"/>
    <x v="0"/>
    <n v="2407"/>
    <x v="0"/>
    <s v="Juan Camilo Restrepo"/>
    <s v="TECU2FNG"/>
    <s v="Electric Standing Desk GO Negro"/>
    <n v="1"/>
    <x v="1"/>
    <x v="1"/>
    <x v="1"/>
    <x v="0"/>
    <s v="Coordinadora"/>
    <s v="3034103 -84151111318"/>
    <d v="2025-01-21T17:11:07"/>
    <d v="2025-01-22T00:00:00"/>
    <x v="0"/>
    <n v="0"/>
    <n v="1"/>
    <s v="Cumple"/>
    <n v="41593"/>
    <m/>
    <m/>
  </r>
  <r>
    <d v="2025-01-21T00:00:00"/>
    <x v="0"/>
    <n v="2407"/>
    <x v="0"/>
    <s v="Juan Camilo Restrepo"/>
    <s v="TECUTFE5C"/>
    <s v="Superficie  Fresno Europeo 150x70 Clasico"/>
    <n v="1"/>
    <x v="2"/>
    <x v="1"/>
    <x v="1"/>
    <x v="0"/>
    <s v="Coordinadora"/>
    <s v="3034104 -84151111319"/>
    <d v="2025-01-21T17:11:07"/>
    <m/>
    <x v="1"/>
    <n v="0"/>
    <s v="PTE"/>
    <s v="PTE"/>
    <n v="24093"/>
    <m/>
    <m/>
  </r>
  <r>
    <d v="2025-01-21T00:00:00"/>
    <x v="0"/>
    <n v="2407"/>
    <x v="0"/>
    <s v="Juan Camilo Restrepo"/>
    <s v="TECUCT"/>
    <s v="Bandeja de cables"/>
    <n v="1"/>
    <x v="0"/>
    <x v="1"/>
    <x v="1"/>
    <x v="0"/>
    <s v="Coordinadora"/>
    <s v="3034115 -84151111325"/>
    <d v="2025-01-21T17:11:07"/>
    <d v="2025-01-22T00:00:00"/>
    <x v="0"/>
    <n v="0"/>
    <n v="1"/>
    <s v="Cumple"/>
    <n v="24885"/>
    <m/>
    <m/>
  </r>
  <r>
    <d v="2025-01-21T00:00:00"/>
    <x v="0"/>
    <n v="2408"/>
    <x v="0"/>
    <s v="Andres Mape"/>
    <s v="TECU3FNPRO"/>
    <s v="Electric Standing Desk  PRO Negro"/>
    <n v="1"/>
    <x v="1"/>
    <x v="1"/>
    <x v="1"/>
    <x v="0"/>
    <s v="Coordinadora"/>
    <s v="3034145 -84151111349"/>
    <d v="2025-01-21T17:11:07"/>
    <d v="2025-01-22T00:00:00"/>
    <x v="0"/>
    <n v="0"/>
    <n v="1"/>
    <s v="Cumple"/>
    <n v="42921"/>
    <m/>
    <m/>
  </r>
  <r>
    <d v="2025-01-21T00:00:00"/>
    <x v="0"/>
    <n v="2408"/>
    <x v="0"/>
    <s v="Andres Mape"/>
    <s v="TECUTCO8C"/>
    <s v="Superficie  Caramelo 180x70 Clasico"/>
    <n v="1"/>
    <x v="2"/>
    <x v="1"/>
    <x v="1"/>
    <x v="0"/>
    <s v="Coordinadora"/>
    <s v="3034147 -84151111351"/>
    <d v="2025-01-21T17:11:07"/>
    <d v="2025-01-22T00:00:00"/>
    <x v="0"/>
    <n v="0"/>
    <n v="1"/>
    <s v="Cumple"/>
    <n v="26749"/>
    <m/>
    <m/>
  </r>
  <r>
    <d v="2025-01-21T00:00:00"/>
    <x v="0"/>
    <n v="2408"/>
    <x v="0"/>
    <s v="Andres Mape"/>
    <m/>
    <s v="Servicio Instalacion"/>
    <n v="1"/>
    <x v="3"/>
    <x v="1"/>
    <x v="1"/>
    <x v="1"/>
    <s v="Coordinadora"/>
    <s v="NA"/>
    <s v="NA"/>
    <s v="NA"/>
    <x v="0"/>
    <s v="PTE"/>
    <e v="#VALUE!"/>
    <e v="#VALUE!"/>
    <n v="0"/>
    <m/>
    <m/>
  </r>
  <r>
    <d v="2025-01-21T00:00:00"/>
    <x v="0"/>
    <n v="2409"/>
    <x v="0"/>
    <s v="Rainer Villarreal"/>
    <s v="TECURCO"/>
    <s v="Repisa Caramelo"/>
    <n v="1"/>
    <x v="6"/>
    <x v="7"/>
    <x v="12"/>
    <x v="0"/>
    <s v="Coordinadora"/>
    <s v="3034185 -84151111369"/>
    <d v="2025-01-21T17:11:07"/>
    <d v="2025-01-22T00:00:00"/>
    <x v="0"/>
    <n v="0"/>
    <n v="1"/>
    <e v="#N/A"/>
    <n v="47133"/>
    <m/>
    <m/>
  </r>
  <r>
    <d v="2025-01-21T00:00:00"/>
    <x v="0"/>
    <n v="2410"/>
    <x v="0"/>
    <s v="German Uchamocha Euscategui"/>
    <s v="TECU2FNG"/>
    <s v="Electric Standing Desk GO Negro"/>
    <n v="1"/>
    <x v="1"/>
    <x v="4"/>
    <x v="13"/>
    <x v="0"/>
    <s v="Coordinadora"/>
    <s v="3034194 -84151111375"/>
    <d v="2025-01-21T17:11:07"/>
    <m/>
    <x v="1"/>
    <n v="0"/>
    <s v="PTE"/>
    <s v="PTE"/>
    <n v="59835"/>
    <m/>
    <m/>
  </r>
  <r>
    <d v="2025-01-21T00:00:00"/>
    <x v="0"/>
    <n v="2410"/>
    <x v="0"/>
    <s v="German Uchamocha Euscategui"/>
    <s v="TECUTFE5C"/>
    <s v="Superficie  Fresno Europeo 150x70 Clasico"/>
    <n v="1"/>
    <x v="2"/>
    <x v="4"/>
    <x v="13"/>
    <x v="0"/>
    <s v="Coordinadora"/>
    <s v="3034195 -84151111376"/>
    <d v="2025-01-21T17:11:07"/>
    <m/>
    <x v="1"/>
    <n v="0"/>
    <s v="PTE"/>
    <s v="PTE"/>
    <n v="39078"/>
    <m/>
    <m/>
  </r>
  <r>
    <d v="2025-01-21T00:00:00"/>
    <x v="0"/>
    <n v="2411"/>
    <x v="0"/>
    <s v="Juan David Lagos Rodriguez"/>
    <s v="TECU3FNPRO"/>
    <s v="Electric Standing Desk  PRO Negro"/>
    <n v="1"/>
    <x v="1"/>
    <x v="1"/>
    <x v="1"/>
    <x v="0"/>
    <s v="Coordinadora"/>
    <s v="3034920 -84151111800"/>
    <d v="2025-01-21T17:11:07"/>
    <d v="2025-01-22T00:00:00"/>
    <x v="0"/>
    <n v="0"/>
    <n v="1"/>
    <s v="Cumple"/>
    <n v="42921"/>
    <m/>
    <m/>
  </r>
  <r>
    <d v="2025-01-21T00:00:00"/>
    <x v="0"/>
    <n v="2411"/>
    <x v="0"/>
    <s v="Juan David Lagos Rodriguez"/>
    <s v="TECUROD"/>
    <s v="Rodachines con freno para Standing desk x 4 UN"/>
    <n v="1"/>
    <x v="7"/>
    <x v="1"/>
    <x v="1"/>
    <x v="0"/>
    <s v="Coordinadora"/>
    <s v="3034923 -84151111801"/>
    <d v="2025-01-21T17:11:07"/>
    <d v="2025-01-22T00:00:00"/>
    <x v="0"/>
    <n v="0"/>
    <n v="1"/>
    <s v="Cumple"/>
    <n v="23875"/>
    <m/>
    <m/>
  </r>
  <r>
    <d v="2025-01-21T00:00:00"/>
    <x v="0"/>
    <n v="2411"/>
    <x v="0"/>
    <s v="Juan David Lagos Rodriguez"/>
    <m/>
    <s v="Servicio Instalacion"/>
    <n v="1"/>
    <x v="3"/>
    <x v="1"/>
    <x v="1"/>
    <x v="1"/>
    <s v="Coordinadora"/>
    <s v="NA"/>
    <d v="2025-01-23T00:00:00"/>
    <s v="NA"/>
    <x v="0"/>
    <s v="PTE"/>
    <e v="#VALUE!"/>
    <e v="#VALUE!"/>
    <n v="0"/>
    <m/>
    <m/>
  </r>
  <r>
    <d v="2025-01-14T00:00:00"/>
    <x v="0"/>
    <n v="2388"/>
    <x v="1"/>
    <s v="CAROLINA RAMIREZ RESTREPO"/>
    <s v="TECU2FNG"/>
    <s v="Electric Standing Desk GO Negro"/>
    <n v="1"/>
    <x v="1"/>
    <x v="0"/>
    <x v="6"/>
    <x v="0"/>
    <s v="Coordinadora"/>
    <s v="3019490 - 84151105323"/>
    <d v="2025-01-14T00:00:00"/>
    <d v="2025-01-16T00:00:00"/>
    <x v="0"/>
    <n v="0"/>
    <n v="2"/>
    <s v="Cumple"/>
    <n v="112444"/>
    <n v="47258"/>
    <m/>
  </r>
  <r>
    <d v="2025-01-14T00:00:00"/>
    <x v="0"/>
    <n v="2388"/>
    <x v="1"/>
    <s v="CAROLINA RAMIREZ RESTREPO"/>
    <s v="TECUTCO6C"/>
    <s v="Superficie  Caramelo 160x70 Clasico"/>
    <n v="1"/>
    <x v="2"/>
    <x v="0"/>
    <x v="6"/>
    <x v="0"/>
    <s v="Coordinadora"/>
    <s v="3019497 - 84151105325"/>
    <d v="2025-01-14T00:00:00"/>
    <d v="2025-01-16T00:00:00"/>
    <x v="0"/>
    <n v="0"/>
    <n v="2"/>
    <s v="Cumple"/>
    <n v="98264"/>
    <n v="29257"/>
    <m/>
  </r>
  <r>
    <d v="2025-01-13T00:00:00"/>
    <x v="0"/>
    <n v="2366"/>
    <x v="1"/>
    <s v="Steven Hoyos"/>
    <s v="TECUBLS"/>
    <s v="Laptop Stand B"/>
    <n v="1"/>
    <x v="0"/>
    <x v="8"/>
    <x v="14"/>
    <x v="0"/>
    <s v="Coordinadora"/>
    <s v="3015860 - 84151103434"/>
    <d v="2025-01-13T00:00:00"/>
    <d v="2025-01-14T00:00:00"/>
    <x v="0"/>
    <n v="0"/>
    <n v="1"/>
    <s v="Cumple"/>
    <n v="25385"/>
    <m/>
    <m/>
  </r>
  <r>
    <d v="2025-01-15T00:00:00"/>
    <x v="0"/>
    <n v="2366"/>
    <x v="2"/>
    <s v="Steven Hoyos"/>
    <s v="TECUBDPA"/>
    <s v="Desk Pad B Negro Azul"/>
    <n v="1"/>
    <x v="0"/>
    <x v="8"/>
    <x v="14"/>
    <x v="0"/>
    <s v="Coordinadora"/>
    <s v="3023584 - 84151107068"/>
    <d v="2025-01-16T00:00:00"/>
    <d v="2025-01-18T00:00:00"/>
    <x v="0"/>
    <n v="1"/>
    <n v="3"/>
    <s v="Cumple"/>
    <n v="24855"/>
    <m/>
    <m/>
  </r>
  <r>
    <d v="2025-01-20T00:00:00"/>
    <x v="0"/>
    <n v="2398"/>
    <x v="1"/>
    <s v="Juan David Martínez Gordillo"/>
    <s v="TECUTCO3C"/>
    <s v="Superficie Caramelo 130x70 Clasico"/>
    <n v="1"/>
    <x v="2"/>
    <x v="1"/>
    <x v="1"/>
    <x v="0"/>
    <s v="Coordinadora"/>
    <s v="3035292 - 84151112021"/>
    <d v="2025-01-21T00:00:00"/>
    <d v="2025-01-23T00:00:00"/>
    <x v="0"/>
    <n v="1"/>
    <n v="3"/>
    <s v="Cumple"/>
    <n v="27929"/>
    <m/>
    <m/>
  </r>
  <r>
    <d v="2025-01-23T00:00:00"/>
    <x v="0"/>
    <n v="2412"/>
    <x v="0"/>
    <s v="Juan David Lagos Rodriguez"/>
    <s v="TECUCT"/>
    <s v="Bandeja de cables"/>
    <n v="1"/>
    <x v="0"/>
    <x v="1"/>
    <x v="1"/>
    <x v="0"/>
    <s v="Coordinadora"/>
    <s v="3038877 -84151113422"/>
    <d v="2025-01-23T00:00:00"/>
    <d v="2025-01-24T00:00:00"/>
    <x v="0"/>
    <n v="0"/>
    <n v="1"/>
    <s v="Cumple"/>
    <n v="24885"/>
    <m/>
    <m/>
  </r>
  <r>
    <d v="2025-01-24T00:00:00"/>
    <x v="0"/>
    <n v="2413"/>
    <x v="0"/>
    <s v="Jorge Luis Monroy Herrera"/>
    <s v="TECU3FNPRO"/>
    <s v="Electric Standing Desk  PRO Negro"/>
    <n v="1"/>
    <x v="1"/>
    <x v="2"/>
    <x v="2"/>
    <x v="0"/>
    <s v="Coordinadora"/>
    <s v="3041057 -84151114405"/>
    <d v="2025-01-24T00:00:00"/>
    <d v="2025-01-27T00:00:00"/>
    <x v="0"/>
    <n v="0"/>
    <n v="2"/>
    <s v="Cumple"/>
    <n v="62467"/>
    <m/>
    <m/>
  </r>
  <r>
    <d v="2025-01-24T00:00:00"/>
    <x v="0"/>
    <n v="2413"/>
    <x v="0"/>
    <s v="Jorge Luis Monroy Herrera"/>
    <s v="TECUTFE8M"/>
    <s v="Superficie  Fresno Europeo 180x70 Moderno"/>
    <n v="1"/>
    <x v="2"/>
    <x v="2"/>
    <x v="2"/>
    <x v="0"/>
    <s v="Coordinadora"/>
    <s v="3041058 -84151114407"/>
    <d v="2025-01-24T00:00:00"/>
    <d v="2025-01-27T00:00:00"/>
    <x v="0"/>
    <n v="0"/>
    <n v="2"/>
    <s v="Cumple"/>
    <n v="44340"/>
    <m/>
    <m/>
  </r>
  <r>
    <d v="2025-01-24T00:00:00"/>
    <x v="0"/>
    <n v="2414"/>
    <x v="0"/>
    <s v="Julio Castellanos"/>
    <s v="TECU3FBRO"/>
    <s v="Electric Standing Desk  PRO Blanco"/>
    <n v="1"/>
    <x v="1"/>
    <x v="1"/>
    <x v="1"/>
    <x v="0"/>
    <s v="Coordinadora"/>
    <s v="3041064 -84151114410"/>
    <d v="2025-01-24T00:00:00"/>
    <d v="2025-01-25T00:00:00"/>
    <x v="0"/>
    <n v="0"/>
    <n v="1"/>
    <s v="Cumple"/>
    <n v="42921"/>
    <m/>
    <m/>
  </r>
  <r>
    <d v="2025-01-24T00:00:00"/>
    <x v="0"/>
    <n v="2414"/>
    <x v="0"/>
    <s v="Julio Castellanos"/>
    <s v="TECUTFE7M"/>
    <s v="Superficie  Fresno Europeo 170x70 Moderno"/>
    <n v="1"/>
    <x v="2"/>
    <x v="1"/>
    <x v="1"/>
    <x v="0"/>
    <s v="Coordinadora"/>
    <s v="3041066 -84151114411"/>
    <d v="2025-01-24T00:00:00"/>
    <d v="2025-01-27T00:00:00"/>
    <x v="0"/>
    <n v="0"/>
    <n v="2"/>
    <s v="Cumple"/>
    <n v="24093"/>
    <m/>
    <m/>
  </r>
  <r>
    <d v="2025-01-24T00:00:00"/>
    <x v="0"/>
    <n v="2414"/>
    <x v="0"/>
    <s v="Julio Castellanos"/>
    <m/>
    <s v="Servicio Instalacion"/>
    <n v="1"/>
    <x v="3"/>
    <x v="1"/>
    <x v="1"/>
    <x v="2"/>
    <s v="Coordinadora"/>
    <m/>
    <m/>
    <m/>
    <x v="1"/>
    <s v="PTE"/>
    <s v="PTE"/>
    <s v="PTE"/>
    <m/>
    <m/>
    <m/>
  </r>
  <r>
    <d v="2025-01-24T00:00:00"/>
    <x v="0"/>
    <n v="2415"/>
    <x v="0"/>
    <s v="Julio Castellanos"/>
    <s v="TECUBDPA"/>
    <s v="Desk Pad B Negro Azul"/>
    <n v="1"/>
    <x v="0"/>
    <x v="1"/>
    <x v="1"/>
    <x v="0"/>
    <s v="Coordinadora"/>
    <s v="3041074 -84151114418"/>
    <d v="2025-01-24T00:00:00"/>
    <d v="2025-01-25T00:00:00"/>
    <x v="0"/>
    <n v="0"/>
    <n v="1"/>
    <s v="Cumple"/>
    <n v="16617"/>
    <m/>
    <m/>
  </r>
  <r>
    <d v="2025-01-24T00:00:00"/>
    <x v="0"/>
    <n v="2416"/>
    <x v="0"/>
    <s v="Juan Pablo Romero Bernal"/>
    <s v="TECU2FNG"/>
    <s v="Electric Standing Desk GO Negro"/>
    <n v="1"/>
    <x v="1"/>
    <x v="1"/>
    <x v="1"/>
    <x v="0"/>
    <s v="Coordinadora"/>
    <s v="3041082 -84151114424"/>
    <d v="2025-01-24T00:00:00"/>
    <m/>
    <x v="1"/>
    <n v="0"/>
    <s v="PTE"/>
    <s v="PTE"/>
    <n v="41593"/>
    <m/>
    <m/>
  </r>
  <r>
    <d v="2025-01-24T00:00:00"/>
    <x v="0"/>
    <n v="2416"/>
    <x v="0"/>
    <s v="Juan Pablo Romero Bernal"/>
    <s v="TECUTFE5C"/>
    <s v="Superficie  Fresno Europeo 150x70 Clasico"/>
    <n v="1"/>
    <x v="2"/>
    <x v="1"/>
    <x v="1"/>
    <x v="0"/>
    <s v="Coordinadora"/>
    <s v="3041083 -84151114425"/>
    <d v="2025-01-24T00:00:00"/>
    <m/>
    <x v="1"/>
    <n v="0"/>
    <s v="PTE"/>
    <s v="PTE"/>
    <n v="24093"/>
    <m/>
    <m/>
  </r>
  <r>
    <d v="2025-01-24T00:00:00"/>
    <x v="0"/>
    <n v="2417"/>
    <x v="0"/>
    <s v="Rosemery Carrillo"/>
    <s v="TECU3FNPRO"/>
    <s v="Electric Standing Desk  PRO Negro"/>
    <n v="1"/>
    <x v="1"/>
    <x v="1"/>
    <x v="1"/>
    <x v="0"/>
    <s v="Coordinadora"/>
    <s v="3041165 -84151114467"/>
    <d v="2025-01-24T00:00:00"/>
    <d v="2025-01-27T00:00:00"/>
    <x v="0"/>
    <n v="0"/>
    <n v="2"/>
    <s v="Cumple"/>
    <n v="42921"/>
    <m/>
    <m/>
  </r>
  <r>
    <d v="2025-01-24T00:00:00"/>
    <x v="0"/>
    <n v="2418"/>
    <x v="0"/>
    <s v="Angela Patricia Duque Gutierrez"/>
    <s v="TECU3FNPRO"/>
    <s v="Electric Standing Desk  PRO Negro"/>
    <n v="1"/>
    <x v="1"/>
    <x v="9"/>
    <x v="15"/>
    <x v="0"/>
    <s v="Entrega directa"/>
    <s v="Entrega en la bodega a la cliente"/>
    <d v="2025-01-24T00:00:00"/>
    <d v="2025-01-24T00:00:00"/>
    <x v="0"/>
    <n v="0"/>
    <n v="0"/>
    <e v="#N/A"/>
    <n v="0"/>
    <m/>
    <m/>
  </r>
  <r>
    <d v="2025-01-24T00:00:00"/>
    <x v="0"/>
    <n v="2419"/>
    <x v="0"/>
    <s v="Ricardo Mesa Gallego"/>
    <s v="TECUCT"/>
    <s v="Bandeja de cables"/>
    <n v="1"/>
    <x v="0"/>
    <x v="0"/>
    <x v="8"/>
    <x v="0"/>
    <s v="Coordinadora"/>
    <s v="3041884 - 84151114874"/>
    <d v="2025-01-24T00:00:00"/>
    <d v="2025-01-25T00:00:00"/>
    <x v="0"/>
    <n v="0"/>
    <n v="1"/>
    <s v="Cumple"/>
    <n v="24885"/>
    <m/>
    <m/>
  </r>
  <r>
    <d v="2025-01-27T00:00:00"/>
    <x v="0"/>
    <n v="2420"/>
    <x v="0"/>
    <s v="Cristian Laguado"/>
    <s v="TECU3FNPRO"/>
    <s v="Electric Standing Desk  PRO Negro"/>
    <n v="1"/>
    <x v="1"/>
    <x v="1"/>
    <x v="1"/>
    <x v="0"/>
    <s v="Coordinadora"/>
    <s v="3053751 - 84151119935"/>
    <d v="2025-01-30T00:00:00"/>
    <d v="2025-02-01T00:00:00"/>
    <x v="0"/>
    <n v="3"/>
    <n v="5"/>
    <s v="No cumple"/>
    <n v="42921"/>
    <m/>
    <m/>
  </r>
  <r>
    <d v="2025-01-27T00:00:00"/>
    <x v="0"/>
    <n v="2420"/>
    <x v="0"/>
    <s v="Cristian Laguado"/>
    <s v="TECUTRM5C"/>
    <s v="Superficie Roble Miel 150x70 Clasico"/>
    <n v="1"/>
    <x v="2"/>
    <x v="1"/>
    <x v="1"/>
    <x v="0"/>
    <s v="Coordinadora"/>
    <s v="3053752 - 84151119936"/>
    <d v="2025-01-30T00:00:00"/>
    <d v="2025-02-04T00:00:00"/>
    <x v="0"/>
    <n v="3"/>
    <n v="7"/>
    <s v="No cumple"/>
    <n v="24593"/>
    <m/>
    <m/>
  </r>
  <r>
    <d v="2025-01-27T00:00:00"/>
    <x v="0"/>
    <n v="2421"/>
    <x v="0"/>
    <s v="Carlos Salazar"/>
    <s v="TECUROD"/>
    <s v="Rodachines con freno para Standing desk x 4 UN"/>
    <n v="1"/>
    <x v="7"/>
    <x v="10"/>
    <x v="16"/>
    <x v="0"/>
    <s v="Coordinadora"/>
    <s v="3048222 - 84151117369"/>
    <d v="2025-01-28T00:00:00"/>
    <m/>
    <x v="1"/>
    <n v="1"/>
    <s v="PTE"/>
    <s v="PTE"/>
    <n v="23875"/>
    <m/>
    <m/>
  </r>
  <r>
    <d v="2025-01-27T00:00:00"/>
    <x v="0"/>
    <n v="2422"/>
    <x v="0"/>
    <s v="Juan Angulo"/>
    <s v="TECUCT"/>
    <s v="Bandeja de cables"/>
    <n v="1"/>
    <x v="0"/>
    <x v="2"/>
    <x v="2"/>
    <x v="0"/>
    <s v="Coordinadora"/>
    <s v="3048263 - 84151117376"/>
    <d v="2025-01-28T00:00:00"/>
    <m/>
    <x v="1"/>
    <n v="1"/>
    <s v="PTE"/>
    <s v="PTE"/>
    <n v="24885"/>
    <m/>
    <m/>
  </r>
  <r>
    <d v="2025-01-28T00:00:00"/>
    <x v="0"/>
    <n v="2423"/>
    <x v="0"/>
    <s v="Octavio De La Hoz Franco"/>
    <s v="TECU3FBRO"/>
    <s v="Electric Standing Desk  PRO Blanco"/>
    <n v="1"/>
    <x v="1"/>
    <x v="2"/>
    <x v="2"/>
    <x v="0"/>
    <s v="Coordinadora"/>
    <s v="3049137 - 84151117798"/>
    <d v="2025-01-28T00:00:00"/>
    <d v="2025-02-01T00:00:00"/>
    <x v="0"/>
    <n v="0"/>
    <n v="4"/>
    <s v="Cumple"/>
    <n v="62647"/>
    <m/>
    <m/>
  </r>
  <r>
    <d v="2025-01-28T00:00:00"/>
    <x v="0"/>
    <n v="2423"/>
    <x v="0"/>
    <s v="Octavio De La Hoz Franco"/>
    <s v="TECUTB20C"/>
    <s v="Superficie Niebla 200x70 Clasico"/>
    <n v="1"/>
    <x v="2"/>
    <x v="2"/>
    <x v="2"/>
    <x v="0"/>
    <s v="Coordinadora"/>
    <s v="3049139 - 84151117799"/>
    <d v="2025-01-28T00:00:00"/>
    <d v="2025-02-01T00:00:00"/>
    <x v="0"/>
    <n v="0"/>
    <n v="4"/>
    <s v="Cumple"/>
    <n v="44340"/>
    <m/>
    <m/>
  </r>
  <r>
    <d v="2025-01-28T00:00:00"/>
    <x v="0"/>
    <n v="2424"/>
    <x v="0"/>
    <s v="CARLOS ARTURO REYES ESCOBAR"/>
    <s v="TECU3FNPRO"/>
    <s v="Electric Standing Desk  PRO Negro"/>
    <n v="1"/>
    <x v="1"/>
    <x v="6"/>
    <x v="17"/>
    <x v="0"/>
    <s v="Coordinadora"/>
    <s v="3050418 - 84151118335"/>
    <d v="2025-01-29T00:00:00"/>
    <d v="2025-01-31T00:00:00"/>
    <x v="0"/>
    <n v="1"/>
    <n v="3"/>
    <s v="Cumple"/>
    <n v="42921"/>
    <m/>
    <m/>
  </r>
  <r>
    <d v="2025-01-28T00:00:00"/>
    <x v="0"/>
    <n v="2424"/>
    <x v="0"/>
    <s v="CARLOS ARTURO REYES ESCOBAR"/>
    <s v="TECUTCO2C"/>
    <s v="Superficie  Caramelo 120x70 Clasico Small"/>
    <n v="1"/>
    <x v="2"/>
    <x v="6"/>
    <x v="17"/>
    <x v="0"/>
    <s v="Coordinadora"/>
    <s v="3050419 - 84151118336"/>
    <d v="2025-01-29T00:00:00"/>
    <d v="2025-01-31T00:00:00"/>
    <x v="0"/>
    <n v="1"/>
    <n v="3"/>
    <s v="Cumple"/>
    <n v="28741"/>
    <m/>
    <m/>
  </r>
  <r>
    <d v="2025-01-29T00:00:00"/>
    <x v="0"/>
    <n v="2425"/>
    <x v="0"/>
    <s v="Manuel eduardo Valdez mantero"/>
    <s v="TECU3FBRO"/>
    <s v="Electric Standing Desk  PRO Blanco"/>
    <n v="1"/>
    <x v="1"/>
    <x v="1"/>
    <x v="1"/>
    <x v="0"/>
    <s v="Coordinadora"/>
    <s v="3050613 - 84151118456"/>
    <d v="2025-01-29T00:00:00"/>
    <d v="2025-01-31T00:00:00"/>
    <x v="0"/>
    <n v="0"/>
    <n v="2"/>
    <s v="Cumple"/>
    <n v="42921"/>
    <m/>
    <m/>
  </r>
  <r>
    <d v="2025-01-29T00:00:00"/>
    <x v="0"/>
    <n v="2425"/>
    <x v="0"/>
    <s v="Manuel eduardo Valdez mantero"/>
    <s v="TECUTB7C"/>
    <s v="Superficie Niebla 170x70 Clasico"/>
    <n v="1"/>
    <x v="2"/>
    <x v="1"/>
    <x v="1"/>
    <x v="0"/>
    <s v="Coordinadora"/>
    <s v="3050615 - 84151118457"/>
    <d v="2025-01-29T00:00:00"/>
    <d v="2025-01-31T00:00:00"/>
    <x v="0"/>
    <n v="0"/>
    <n v="2"/>
    <s v="Cumple"/>
    <n v="24093"/>
    <m/>
    <m/>
  </r>
  <r>
    <d v="2025-01-30T00:00:00"/>
    <x v="0"/>
    <n v="2426"/>
    <x v="0"/>
    <s v="Rodrigo Rivera"/>
    <s v="TECU3FNPRO"/>
    <s v="Electric Standing Desk  PRO Negro"/>
    <n v="1"/>
    <x v="1"/>
    <x v="6"/>
    <x v="17"/>
    <x v="0"/>
    <s v="Coordinadora"/>
    <s v="3052581 - 84151119369"/>
    <d v="2025-01-30T00:00:00"/>
    <d v="2025-02-01T00:00:00"/>
    <x v="0"/>
    <n v="0"/>
    <n v="2"/>
    <s v="Cumple"/>
    <n v="42921"/>
    <m/>
    <m/>
  </r>
  <r>
    <d v="2025-01-30T00:00:00"/>
    <x v="0"/>
    <n v="2426"/>
    <x v="0"/>
    <s v="Rodrigo Rivera"/>
    <s v="TECUTCO8C"/>
    <s v="Superficie  Caramelo 180x70 Clasico"/>
    <n v="1"/>
    <x v="2"/>
    <x v="6"/>
    <x v="17"/>
    <x v="0"/>
    <s v="Coordinadora"/>
    <s v="3052583 - 84151119370"/>
    <d v="2025-01-30T00:00:00"/>
    <d v="2025-02-01T00:00:00"/>
    <x v="0"/>
    <n v="0"/>
    <n v="2"/>
    <s v="Cumple"/>
    <n v="26749"/>
    <m/>
    <m/>
  </r>
  <r>
    <d v="2025-01-30T00:00:00"/>
    <x v="0"/>
    <n v="2427"/>
    <x v="0"/>
    <s v="María Manuela Bueno Tavera"/>
    <s v="TECU3FBRO"/>
    <s v="Electric Standing Desk  PRO Blanco"/>
    <n v="1"/>
    <x v="1"/>
    <x v="1"/>
    <x v="1"/>
    <x v="0"/>
    <s v="Coordinadora"/>
    <s v="3053317 - 84151119704"/>
    <d v="2025-01-30T00:00:00"/>
    <d v="2025-01-31T00:00:00"/>
    <x v="0"/>
    <n v="0"/>
    <n v="1"/>
    <s v="Cumple"/>
    <n v="42921"/>
    <m/>
    <m/>
  </r>
  <r>
    <d v="2025-01-30T00:00:00"/>
    <x v="0"/>
    <n v="2427"/>
    <x v="0"/>
    <s v="María Manuela Bueno Tavera"/>
    <s v="TECUTFE3C"/>
    <s v="Superficie  Fresno Europeo 130x70 Clasico"/>
    <n v="1"/>
    <x v="2"/>
    <x v="1"/>
    <x v="1"/>
    <x v="0"/>
    <s v="Coordinadora"/>
    <s v="3053318 - 84151119705"/>
    <d v="2025-01-30T00:00:00"/>
    <d v="2025-01-31T00:00:00"/>
    <x v="0"/>
    <n v="0"/>
    <n v="1"/>
    <s v="Cumple"/>
    <n v="28741"/>
    <m/>
    <m/>
  </r>
  <r>
    <d v="2025-01-30T00:00:00"/>
    <x v="0"/>
    <n v="2428"/>
    <x v="0"/>
    <s v="Nicolas Enciso Calle"/>
    <s v="TECU2FNG"/>
    <s v="Electric Standing Desk GO Negro"/>
    <n v="1"/>
    <x v="1"/>
    <x v="0"/>
    <x v="8"/>
    <x v="0"/>
    <s v="Coordinadora"/>
    <s v="3053377 - 84151119723"/>
    <d v="2025-01-30T00:00:00"/>
    <d v="2025-01-31T00:00:00"/>
    <x v="0"/>
    <n v="0"/>
    <n v="1"/>
    <s v="Cumple"/>
    <n v="41593"/>
    <m/>
    <m/>
  </r>
  <r>
    <d v="2025-01-30T00:00:00"/>
    <x v="0"/>
    <n v="2428"/>
    <x v="0"/>
    <s v="Nicolas Enciso Calle"/>
    <s v="TECUTRN6C"/>
    <s v="Superficie  Roble Negro 160x70 Clasico"/>
    <n v="1"/>
    <x v="2"/>
    <x v="0"/>
    <x v="8"/>
    <x v="0"/>
    <s v="Coordinadora"/>
    <s v="3053379 - 84151119725"/>
    <d v="2025-01-30T00:00:00"/>
    <d v="2025-01-31T00:00:00"/>
    <x v="0"/>
    <n v="0"/>
    <n v="1"/>
    <s v="Cumple"/>
    <n v="24093"/>
    <m/>
    <m/>
  </r>
  <r>
    <d v="2025-01-31T00:00:00"/>
    <x v="0"/>
    <n v="2429"/>
    <x v="0"/>
    <s v="Geovanny Mendoza Gonzalez"/>
    <s v="TECU3FNPRO"/>
    <s v="Electric Standing Desk  PRO Negro"/>
    <n v="1"/>
    <x v="1"/>
    <x v="2"/>
    <x v="2"/>
    <x v="0"/>
    <s v="Coordinadora"/>
    <s v="3059087 - 84151121970"/>
    <d v="2025-02-03T00:00:00"/>
    <d v="2025-02-05T00:00:00"/>
    <x v="0"/>
    <n v="2"/>
    <n v="4"/>
    <s v="Cumple"/>
    <n v="62467"/>
    <m/>
    <m/>
  </r>
  <r>
    <d v="2025-01-31T00:00:00"/>
    <x v="0"/>
    <n v="2429"/>
    <x v="0"/>
    <s v="Geovanny Mendoza Gonzalez"/>
    <s v="TECUTCO5M"/>
    <s v="Superficie Caramelo 150x70 Moderno"/>
    <n v="1"/>
    <x v="2"/>
    <x v="2"/>
    <x v="2"/>
    <x v="0"/>
    <s v="Coordinadora"/>
    <s v="3059089 - 84151121971"/>
    <d v="2025-02-03T00:00:00"/>
    <d v="2025-02-05T00:00:00"/>
    <x v="0"/>
    <n v="2"/>
    <n v="4"/>
    <s v="Cumple"/>
    <n v="39078"/>
    <m/>
    <m/>
  </r>
  <r>
    <d v="2025-01-31T00:00:00"/>
    <x v="0"/>
    <n v="2430"/>
    <x v="0"/>
    <s v="john ibanez"/>
    <s v="TECU3FNPRO"/>
    <s v="Electric Standing Desk  PRO Negro"/>
    <n v="1"/>
    <x v="1"/>
    <x v="1"/>
    <x v="1"/>
    <x v="0"/>
    <s v="Coordinadora"/>
    <s v="3059099 - 84151121978"/>
    <d v="2025-02-03T00:00:00"/>
    <d v="2025-02-05T00:00:00"/>
    <x v="0"/>
    <n v="2"/>
    <n v="4"/>
    <s v="No cumple"/>
    <n v="42921"/>
    <m/>
    <m/>
  </r>
  <r>
    <d v="2025-01-31T00:00:00"/>
    <x v="0"/>
    <n v="2430"/>
    <x v="0"/>
    <s v="john ibanez"/>
    <s v="TECUTCO8C"/>
    <s v="Superficie  Caramelo 180x70 Clasico"/>
    <n v="1"/>
    <x v="2"/>
    <x v="1"/>
    <x v="1"/>
    <x v="0"/>
    <s v="Coordinadora"/>
    <s v="3059100 - 84151121979"/>
    <d v="2025-02-03T00:00:00"/>
    <d v="2025-02-05T00:00:00"/>
    <x v="0"/>
    <n v="2"/>
    <n v="4"/>
    <s v="No cumple"/>
    <n v="26749"/>
    <m/>
    <m/>
  </r>
  <r>
    <d v="2025-01-31T00:00:00"/>
    <x v="0"/>
    <n v="2430"/>
    <x v="0"/>
    <s v="john ibanez"/>
    <s v="TECUROD"/>
    <s v="Rodachines con freno para Standing desk x 4 UN"/>
    <n v="1"/>
    <x v="7"/>
    <x v="1"/>
    <x v="1"/>
    <x v="0"/>
    <s v="Coordinadora"/>
    <s v="3059107 - 84151121983"/>
    <d v="2025-02-03T00:00:00"/>
    <d v="2025-02-05T00:00:00"/>
    <x v="0"/>
    <n v="2"/>
    <n v="4"/>
    <s v="No cumple"/>
    <n v="23875"/>
    <m/>
    <m/>
  </r>
  <r>
    <d v="2025-02-02T00:00:00"/>
    <x v="1"/>
    <n v="2431"/>
    <x v="0"/>
    <s v="Patricia Luna Pamplona"/>
    <s v="TECU3FBRO"/>
    <s v="Electric Standing Desk  PRO Blanco"/>
    <n v="1"/>
    <x v="1"/>
    <x v="1"/>
    <x v="1"/>
    <x v="0"/>
    <s v="Coordinadora"/>
    <s v="3059121 - 84151121990"/>
    <d v="2025-02-03T00:00:00"/>
    <d v="2025-02-07T00:00:00"/>
    <x v="0"/>
    <n v="0"/>
    <n v="4"/>
    <s v="No cumple"/>
    <n v="42921"/>
    <m/>
    <m/>
  </r>
  <r>
    <d v="2025-02-02T00:00:00"/>
    <x v="1"/>
    <n v="2431"/>
    <x v="0"/>
    <s v="Patricia Luna Pamplona"/>
    <s v="TECUTB5M"/>
    <s v="Superficie Niebla 150x70 Moderno"/>
    <n v="1"/>
    <x v="2"/>
    <x v="1"/>
    <x v="1"/>
    <x v="0"/>
    <s v="Coordinadora"/>
    <s v="3059122 - 84151121991"/>
    <d v="2025-02-03T00:00:00"/>
    <d v="2025-02-05T00:00:00"/>
    <x v="0"/>
    <n v="0"/>
    <n v="2"/>
    <s v="Cumple"/>
    <n v="24093"/>
    <m/>
    <m/>
  </r>
  <r>
    <d v="2025-02-02T00:00:00"/>
    <x v="1"/>
    <n v="2431"/>
    <x v="0"/>
    <s v="Patricia Luna Pamplona"/>
    <s v="TECUBDPM"/>
    <s v="Desk Pad B Negro Café Miel"/>
    <n v="1"/>
    <x v="0"/>
    <x v="1"/>
    <x v="1"/>
    <x v="0"/>
    <s v="Coordinadora"/>
    <s v="3059143 - 84151122002"/>
    <d v="2025-02-03T00:00:00"/>
    <d v="2025-02-05T00:00:00"/>
    <x v="0"/>
    <n v="0"/>
    <n v="2"/>
    <s v="Cumple"/>
    <n v="16617"/>
    <m/>
    <m/>
  </r>
  <r>
    <d v="2025-02-02T00:00:00"/>
    <x v="1"/>
    <n v="2432"/>
    <x v="0"/>
    <s v="Edgar Federico Rodríguez Aranda"/>
    <s v="TECURCC"/>
    <s v="Repisa Miel"/>
    <n v="1"/>
    <x v="6"/>
    <x v="1"/>
    <x v="1"/>
    <x v="0"/>
    <s v="Coordinadora"/>
    <s v="3059168 - 84151122021"/>
    <d v="2025-02-03T00:00:00"/>
    <d v="2025-02-06T00:00:00"/>
    <x v="0"/>
    <n v="0"/>
    <n v="3"/>
    <s v="Cumple"/>
    <n v="23429"/>
    <m/>
    <m/>
  </r>
  <r>
    <d v="2025-02-02T00:00:00"/>
    <x v="1"/>
    <n v="2433"/>
    <x v="0"/>
    <s v="Laura Yepes Aranda"/>
    <s v="TECU3FNPRO"/>
    <s v="Electric Standing Desk  PRO Negro"/>
    <n v="1"/>
    <x v="1"/>
    <x v="0"/>
    <x v="8"/>
    <x v="0"/>
    <s v="Coordinadora"/>
    <s v="3064792 - 84151123684"/>
    <d v="2025-02-04T00:00:00"/>
    <d v="2025-02-05T00:00:00"/>
    <x v="0"/>
    <n v="1"/>
    <n v="2"/>
    <s v="Cumple"/>
    <n v="42921"/>
    <m/>
    <m/>
  </r>
  <r>
    <d v="2025-02-02T00:00:00"/>
    <x v="1"/>
    <n v="2433"/>
    <x v="0"/>
    <s v="Laura Yepes Aranda"/>
    <s v="TECUTFE7M"/>
    <s v="Superficie  Fresno Europeo 170x70 Moderno"/>
    <n v="1"/>
    <x v="2"/>
    <x v="0"/>
    <x v="8"/>
    <x v="0"/>
    <s v="Coordinadora"/>
    <s v="3064793 - 84151123685"/>
    <d v="2025-02-04T00:00:00"/>
    <d v="2025-02-05T00:00:00"/>
    <x v="0"/>
    <n v="1"/>
    <n v="2"/>
    <s v="Cumple"/>
    <n v="24093"/>
    <m/>
    <m/>
  </r>
  <r>
    <d v="2025-02-02T00:00:00"/>
    <x v="1"/>
    <n v="2433"/>
    <x v="0"/>
    <s v="Laura Yepes Aranda"/>
    <s v="TECUAFE"/>
    <s v="Archivador TECU Fresno Europeo"/>
    <n v="1"/>
    <x v="5"/>
    <x v="0"/>
    <x v="8"/>
    <x v="0"/>
    <s v="Envia"/>
    <s v="3067195 - 954101143183"/>
    <d v="2025-02-04T00:00:00"/>
    <d v="2025-02-06T00:00:00"/>
    <x v="0"/>
    <n v="1"/>
    <n v="3"/>
    <s v="Cumple"/>
    <n v="65682"/>
    <m/>
    <m/>
  </r>
  <r>
    <d v="2025-02-02T00:00:00"/>
    <x v="1"/>
    <n v="2433"/>
    <x v="0"/>
    <s v="Laura Yepes Aranda"/>
    <s v="TECUBLS"/>
    <s v="Laptop Stand B"/>
    <n v="1"/>
    <x v="0"/>
    <x v="0"/>
    <x v="8"/>
    <x v="0"/>
    <s v="Coordinadora"/>
    <s v="3064802 -84151123689"/>
    <d v="2025-02-04T00:00:00"/>
    <d v="2025-02-05T00:00:00"/>
    <x v="0"/>
    <n v="1"/>
    <n v="2"/>
    <s v="Cumple"/>
    <n v="24885"/>
    <m/>
    <m/>
  </r>
  <r>
    <d v="2025-02-03T00:00:00"/>
    <x v="1"/>
    <n v="2434"/>
    <x v="0"/>
    <s v="Darwin Saenz"/>
    <s v="TECUACO"/>
    <s v="Archivador TECU  Caramelo"/>
    <n v="1"/>
    <x v="5"/>
    <x v="1"/>
    <x v="1"/>
    <x v="0"/>
    <s v="Envia"/>
    <s v="3067483 - 954101143262"/>
    <d v="2025-02-04T00:00:00"/>
    <d v="2025-02-06T00:00:00"/>
    <x v="0"/>
    <n v="1"/>
    <n v="3"/>
    <s v="Cumple"/>
    <n v="54929"/>
    <m/>
    <m/>
  </r>
  <r>
    <d v="2025-02-03T00:00:00"/>
    <x v="1"/>
    <n v="2435"/>
    <x v="0"/>
    <s v="Andres Adolfo Hernandez Celis"/>
    <s v="TECU3FNPRO"/>
    <s v="Electric Standing Desk  PRO Negro"/>
    <n v="1"/>
    <x v="1"/>
    <x v="1"/>
    <x v="1"/>
    <x v="0"/>
    <s v="Coordinadora"/>
    <s v="3064808 - 84151123691"/>
    <d v="2025-02-04T00:00:00"/>
    <d v="2025-02-06T00:00:00"/>
    <x v="0"/>
    <n v="1"/>
    <n v="3"/>
    <s v="Cumple"/>
    <n v="42921"/>
    <m/>
    <m/>
  </r>
  <r>
    <d v="2025-02-03T00:00:00"/>
    <x v="1"/>
    <n v="2435"/>
    <x v="0"/>
    <s v="Andres Adolfo Hernandez Celis"/>
    <s v="TECUTCO8C"/>
    <s v="Superficie  Caramelo 180x70 Clasico"/>
    <n v="1"/>
    <x v="2"/>
    <x v="1"/>
    <x v="1"/>
    <x v="0"/>
    <s v="Coordinadora"/>
    <s v="3064809 - 84151123692"/>
    <d v="2025-02-04T00:00:00"/>
    <d v="2025-02-06T00:00:00"/>
    <x v="0"/>
    <n v="1"/>
    <n v="3"/>
    <s v="Cumple"/>
    <n v="26749"/>
    <m/>
    <m/>
  </r>
  <r>
    <d v="2025-02-03T00:00:00"/>
    <x v="1"/>
    <n v="2435"/>
    <x v="0"/>
    <s v="Andres Adolfo Hernandez Celis"/>
    <m/>
    <s v="Servicio de instalacion"/>
    <n v="1"/>
    <x v="3"/>
    <x v="1"/>
    <x v="1"/>
    <x v="2"/>
    <s v="Coordinadora"/>
    <m/>
    <m/>
    <m/>
    <x v="1"/>
    <s v="PTE"/>
    <s v="PTE"/>
    <s v="PTE"/>
    <m/>
    <m/>
    <m/>
  </r>
  <r>
    <d v="2025-02-04T00:00:00"/>
    <x v="1"/>
    <n v="2436"/>
    <x v="0"/>
    <s v="Jorge Andrés Martin González"/>
    <s v="TECU3FNPRO"/>
    <s v="Electric Standing Desk  PRO Negro"/>
    <n v="1"/>
    <x v="1"/>
    <x v="1"/>
    <x v="1"/>
    <x v="0"/>
    <s v="Coordinadora"/>
    <s v="3064827 - 84151123703"/>
    <d v="2025-02-04T00:00:00"/>
    <d v="2025-02-06T00:00:00"/>
    <x v="0"/>
    <n v="0"/>
    <n v="2"/>
    <s v="Cumple"/>
    <n v="42921"/>
    <m/>
    <m/>
  </r>
  <r>
    <d v="2025-02-10T00:00:00"/>
    <x v="1"/>
    <n v="2437"/>
    <x v="0"/>
    <s v="Luis Angel Hernandez Barreto"/>
    <s v="TECU3FNPRO"/>
    <s v="Electric Standing Desk  PRO Negro"/>
    <n v="1"/>
    <x v="1"/>
    <x v="1"/>
    <x v="18"/>
    <x v="0"/>
    <s v="Coordinadora"/>
    <s v="3076529 - 84151128765"/>
    <d v="2025-02-10T00:00:00"/>
    <d v="2025-02-12T00:00:00"/>
    <x v="0"/>
    <n v="0"/>
    <n v="2"/>
    <e v="#N/A"/>
    <n v="42921"/>
    <m/>
    <m/>
  </r>
  <r>
    <d v="2025-02-10T00:00:00"/>
    <x v="1"/>
    <n v="2437"/>
    <x v="0"/>
    <s v="Luis Angel Hernandez Barreto"/>
    <s v="TECUTFE4C"/>
    <s v="Superficie  Fresno Europeo 140x70 Clasico"/>
    <n v="1"/>
    <x v="2"/>
    <x v="1"/>
    <x v="18"/>
    <x v="0"/>
    <s v="Coordinadora"/>
    <s v="3076530 - 84151128766"/>
    <d v="2025-02-10T00:00:00"/>
    <d v="2025-02-12T00:00:00"/>
    <x v="0"/>
    <n v="0"/>
    <n v="2"/>
    <e v="#N/A"/>
    <n v="24093"/>
    <m/>
    <m/>
  </r>
  <r>
    <d v="2025-02-10T00:00:00"/>
    <x v="1"/>
    <n v="2438"/>
    <x v="0"/>
    <s v="Alejandro León Marín"/>
    <s v="TECU3FNPRO"/>
    <s v="Electric Standing Desk  PRO Negro"/>
    <n v="1"/>
    <x v="1"/>
    <x v="1"/>
    <x v="1"/>
    <x v="0"/>
    <s v="Coordinadora"/>
    <s v="3076861 - 84151128959"/>
    <d v="2025-02-10T00:00:00"/>
    <d v="2025-02-12T00:00:00"/>
    <x v="0"/>
    <n v="0"/>
    <n v="2"/>
    <s v="Cumple"/>
    <n v="42921"/>
    <m/>
    <m/>
  </r>
  <r>
    <d v="2025-02-10T00:00:00"/>
    <x v="1"/>
    <n v="2438"/>
    <x v="0"/>
    <s v="Alejandro León Marín"/>
    <s v="TECUTCO6C"/>
    <s v="Superficie  Caramelo 160x70 Clasico"/>
    <n v="1"/>
    <x v="2"/>
    <x v="1"/>
    <x v="1"/>
    <x v="0"/>
    <s v="Coordinadora"/>
    <s v="3076862 - 84151128960"/>
    <d v="2025-02-10T00:00:00"/>
    <d v="2025-02-12T00:00:00"/>
    <x v="0"/>
    <n v="0"/>
    <n v="2"/>
    <s v="Cumple"/>
    <n v="24093"/>
    <m/>
    <m/>
  </r>
  <r>
    <d v="2025-02-10T00:00:00"/>
    <x v="1"/>
    <n v="2438"/>
    <x v="0"/>
    <s v="Alejandro León Marín"/>
    <s v="TECUBDPM"/>
    <s v="Desk Pad B Negro Café Miel"/>
    <n v="1"/>
    <x v="0"/>
    <x v="1"/>
    <x v="1"/>
    <x v="0"/>
    <s v="Coordinadora"/>
    <s v="3076871 - 84151128965"/>
    <d v="2025-02-10T00:00:00"/>
    <d v="2025-02-12T00:00:00"/>
    <x v="0"/>
    <n v="0"/>
    <n v="2"/>
    <s v="Cumple"/>
    <n v="16617"/>
    <m/>
    <m/>
  </r>
  <r>
    <d v="2025-02-10T00:00:00"/>
    <x v="1"/>
    <n v="2438"/>
    <x v="0"/>
    <s v="Alejandro León Marín"/>
    <s v="TECUCT"/>
    <s v="Bandeja de cables"/>
    <n v="1"/>
    <x v="0"/>
    <x v="1"/>
    <x v="1"/>
    <x v="0"/>
    <s v="Coordinadora"/>
    <s v="3076866 - 84151128963"/>
    <d v="2025-02-10T00:00:00"/>
    <d v="2025-02-12T00:00:00"/>
    <x v="0"/>
    <n v="0"/>
    <n v="2"/>
    <s v="Cumple"/>
    <n v="24885"/>
    <m/>
    <m/>
  </r>
  <r>
    <d v="2025-02-10T00:00:00"/>
    <x v="1"/>
    <n v="2438"/>
    <x v="0"/>
    <s v="Alejandro León Marín"/>
    <m/>
    <s v="Servicio de instalacion"/>
    <n v="1"/>
    <x v="3"/>
    <x v="1"/>
    <x v="1"/>
    <x v="0"/>
    <s v="Coordinadora"/>
    <s v="NA"/>
    <s v="NA"/>
    <s v="NA"/>
    <x v="0"/>
    <m/>
    <m/>
    <m/>
    <m/>
    <m/>
    <m/>
  </r>
  <r>
    <d v="2025-02-11T00:00:00"/>
    <x v="1"/>
    <n v="2439"/>
    <x v="0"/>
    <s v="SARA GALLON"/>
    <s v="TECU3FNPRO"/>
    <s v="Electric Standing Desk  PRO Negro"/>
    <n v="1"/>
    <x v="1"/>
    <x v="0"/>
    <x v="8"/>
    <x v="0"/>
    <s v="Coordinadora"/>
    <s v="3079084 - 84151129998"/>
    <d v="2025-02-11T00:00:00"/>
    <d v="2025-02-12T00:00:00"/>
    <x v="0"/>
    <n v="0"/>
    <n v="1"/>
    <s v="Cumple"/>
    <n v="42921"/>
    <m/>
    <m/>
  </r>
  <r>
    <d v="2025-02-11T00:00:00"/>
    <x v="1"/>
    <n v="2440"/>
    <x v="0"/>
    <s v="Johanna Rodero"/>
    <s v="TECUAB"/>
    <s v="Archivador TECU  Blanco (Niebla)"/>
    <n v="1"/>
    <x v="5"/>
    <x v="1"/>
    <x v="1"/>
    <x v="0"/>
    <s v="Coordinadora"/>
    <s v="3079174 - 954101147482"/>
    <d v="2025-02-11T00:00:00"/>
    <d v="2025-02-12T00:00:00"/>
    <x v="0"/>
    <n v="0"/>
    <n v="1"/>
    <s v="Cumple"/>
    <n v="54929"/>
    <m/>
    <m/>
  </r>
  <r>
    <d v="2025-02-11T00:00:00"/>
    <x v="1"/>
    <n v="2441"/>
    <x v="0"/>
    <s v="Sebastian Casas"/>
    <s v="TECULFN2"/>
    <s v="Electric Standing Desk  En L Frame Negro 2.0"/>
    <n v="1"/>
    <x v="1"/>
    <x v="1"/>
    <x v="1"/>
    <x v="0"/>
    <s v="Coordinadora"/>
    <s v="3079240 - 84151130081"/>
    <d v="2025-02-11T00:00:00"/>
    <d v="2025-02-12T00:00:00"/>
    <x v="0"/>
    <n v="0"/>
    <n v="1"/>
    <s v="Cumple"/>
    <n v="62530"/>
    <m/>
    <m/>
  </r>
  <r>
    <d v="2025-02-11T00:00:00"/>
    <x v="1"/>
    <n v="2441"/>
    <x v="0"/>
    <s v="Sebastian Casas"/>
    <s v="TECUTLCCS"/>
    <s v="Superficie  en L Caramelo"/>
    <n v="1"/>
    <x v="2"/>
    <x v="1"/>
    <x v="1"/>
    <x v="0"/>
    <s v="Coordinadora"/>
    <s v="3079242 - 84151130082"/>
    <d v="2025-02-11T00:00:00"/>
    <d v="2025-02-12T00:00:00"/>
    <x v="0"/>
    <n v="0"/>
    <n v="1"/>
    <s v="Cumple"/>
    <n v="26749"/>
    <m/>
    <m/>
  </r>
  <r>
    <d v="2025-02-13T00:00:00"/>
    <x v="1"/>
    <n v="2442"/>
    <x v="0"/>
    <s v="Camilo Pimentel Gomez"/>
    <s v="TECU2FNG"/>
    <s v="Electric Standing Desk GO Negro"/>
    <n v="1"/>
    <x v="1"/>
    <x v="1"/>
    <x v="1"/>
    <x v="0"/>
    <s v="Coordinadora"/>
    <s v="3084198 - 84151132452"/>
    <d v="2025-02-13T00:00:00"/>
    <m/>
    <x v="1"/>
    <n v="0"/>
    <s v="PTE"/>
    <s v="PTE"/>
    <n v="41593"/>
    <m/>
    <m/>
  </r>
  <r>
    <d v="2025-02-13T00:00:00"/>
    <x v="1"/>
    <n v="2442"/>
    <x v="0"/>
    <s v="Camilo Pimentel Gomez"/>
    <s v="TECUTCO2C"/>
    <s v="Superficie  Caramelo 120x70 Clasico Small"/>
    <n v="1"/>
    <x v="2"/>
    <x v="1"/>
    <x v="1"/>
    <x v="0"/>
    <s v="Coordinadora"/>
    <s v="3084199 - 84151132453"/>
    <d v="2025-02-13T00:00:00"/>
    <m/>
    <x v="1"/>
    <n v="0"/>
    <s v="PTE"/>
    <s v="PTE"/>
    <n v="24093"/>
    <m/>
    <m/>
  </r>
  <r>
    <d v="2025-02-14T00:00:00"/>
    <x v="1"/>
    <n v="2443"/>
    <x v="0"/>
    <s v="rodrigo rivera alarcon"/>
    <s v="TECU3FNPRO"/>
    <s v="Electric Standing Desk  PRO Negro"/>
    <n v="1"/>
    <x v="1"/>
    <x v="6"/>
    <x v="17"/>
    <x v="2"/>
    <s v="Coordinadora"/>
    <m/>
    <m/>
    <m/>
    <x v="2"/>
    <m/>
    <m/>
    <m/>
    <m/>
    <m/>
    <m/>
  </r>
  <r>
    <d v="2025-02-14T00:00:00"/>
    <x v="1"/>
    <n v="2443"/>
    <x v="0"/>
    <s v="rodrigo rivera alarcon"/>
    <s v="TECUTCO6C"/>
    <s v="Superficie  Caramelo 160x70 Clasico"/>
    <n v="1"/>
    <x v="2"/>
    <x v="6"/>
    <x v="17"/>
    <x v="2"/>
    <s v="Coordinadora"/>
    <m/>
    <m/>
    <m/>
    <x v="2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d v="2025-01-01T00:00:00"/>
    <x v="0"/>
    <n v="2377"/>
    <x v="0"/>
    <s v="Cata Gómez"/>
    <s v="TECUBDPM"/>
    <x v="0"/>
    <n v="1"/>
    <x v="0"/>
    <x v="0"/>
    <x v="0"/>
    <x v="0"/>
    <s v="Coordinadora"/>
    <s v="3002937 -84151097246"/>
    <d v="2025-01-07T00:00:00"/>
    <d v="2025-01-08T00:00:00"/>
    <x v="0"/>
    <n v="0"/>
    <n v="1"/>
    <s v="Cumple"/>
    <n v="16617"/>
    <m/>
    <s v="Vacaciones TECU"/>
  </r>
  <r>
    <d v="2025-01-02T00:00:00"/>
    <x v="0"/>
    <n v="2378"/>
    <x v="0"/>
    <s v="Andres felipe Carreño"/>
    <s v="TECUBDPA"/>
    <x v="1"/>
    <n v="1"/>
    <x v="0"/>
    <x v="1"/>
    <x v="1"/>
    <x v="0"/>
    <s v="Coordinadora"/>
    <s v="3002977 -84151097273"/>
    <d v="2025-01-07T00:00:00"/>
    <d v="2025-01-08T00:00:00"/>
    <x v="0"/>
    <n v="0"/>
    <n v="1"/>
    <s v="Cumple"/>
    <n v="16617"/>
    <m/>
    <s v="Vacaciones TECU"/>
  </r>
  <r>
    <d v="2025-01-06T00:00:00"/>
    <x v="0"/>
    <n v="2379"/>
    <x v="0"/>
    <s v="Juan Guevara"/>
    <s v="TECU2FBGO"/>
    <x v="2"/>
    <n v="1"/>
    <x v="1"/>
    <x v="1"/>
    <x v="1"/>
    <x v="0"/>
    <s v="Coordinadora"/>
    <s v="3006333 -84151099203"/>
    <d v="2025-01-08T00:00:00"/>
    <d v="2025-01-10T00:00:00"/>
    <x v="0"/>
    <n v="1"/>
    <n v="3"/>
    <s v="Cumple"/>
    <n v="41593"/>
    <m/>
    <m/>
  </r>
  <r>
    <d v="2025-01-06T00:00:00"/>
    <x v="0"/>
    <n v="2379"/>
    <x v="0"/>
    <s v="Juan Guevara"/>
    <s v="TECUTFE2C"/>
    <x v="3"/>
    <n v="1"/>
    <x v="2"/>
    <x v="1"/>
    <x v="1"/>
    <x v="0"/>
    <s v="Coordinadora"/>
    <s v="3006334 -84151099205"/>
    <d v="2025-01-08T00:00:00"/>
    <d v="2025-01-10T00:00:00"/>
    <x v="0"/>
    <n v="1"/>
    <n v="3"/>
    <s v="Cumple"/>
    <n v="24093"/>
    <m/>
    <m/>
  </r>
  <r>
    <d v="2025-01-06T00:00:00"/>
    <x v="0"/>
    <n v="2379"/>
    <x v="0"/>
    <s v="Juan Guevara"/>
    <s v="TECUCT"/>
    <x v="4"/>
    <n v="1"/>
    <x v="0"/>
    <x v="1"/>
    <x v="1"/>
    <x v="0"/>
    <s v="Coordinadora"/>
    <s v="3006341 -84151099209"/>
    <d v="2025-01-08T00:00:00"/>
    <d v="2025-01-10T00:00:00"/>
    <x v="0"/>
    <n v="1"/>
    <n v="3"/>
    <s v="Cumple"/>
    <n v="24885"/>
    <m/>
    <m/>
  </r>
  <r>
    <d v="2025-01-06T00:00:00"/>
    <x v="0"/>
    <n v="2380"/>
    <x v="0"/>
    <s v="Juan Carlos Urbano"/>
    <s v="TECU2FNG"/>
    <x v="5"/>
    <n v="1"/>
    <x v="1"/>
    <x v="1"/>
    <x v="1"/>
    <x v="0"/>
    <s v="Coordinadora"/>
    <s v="3003131 -84151097381"/>
    <d v="2025-01-07T00:00:00"/>
    <d v="2025-01-08T00:00:00"/>
    <x v="0"/>
    <n v="0"/>
    <n v="1"/>
    <s v="Cumple"/>
    <n v="41593"/>
    <m/>
    <m/>
  </r>
  <r>
    <d v="2025-01-06T00:00:00"/>
    <x v="0"/>
    <n v="2380"/>
    <x v="0"/>
    <s v="Juan Carlos Urbano"/>
    <s v="TECUTCO4C"/>
    <x v="6"/>
    <n v="1"/>
    <x v="2"/>
    <x v="1"/>
    <x v="1"/>
    <x v="0"/>
    <s v="Coordinadora"/>
    <s v="3003134 -84151097383"/>
    <d v="2025-01-07T00:00:00"/>
    <d v="2025-01-09T00:00:00"/>
    <x v="0"/>
    <n v="0"/>
    <n v="2"/>
    <s v="Cumple"/>
    <n v="24093"/>
    <m/>
    <m/>
  </r>
  <r>
    <d v="2025-01-06T00:00:00"/>
    <x v="0"/>
    <n v="2380"/>
    <x v="0"/>
    <s v="Juan Carlos Urbano"/>
    <s v="TECUCT"/>
    <x v="4"/>
    <n v="1"/>
    <x v="0"/>
    <x v="1"/>
    <x v="1"/>
    <x v="0"/>
    <s v="Coordinadora"/>
    <s v="3003144 -84151097390"/>
    <d v="2025-01-07T00:00:00"/>
    <d v="2025-01-09T00:00:00"/>
    <x v="0"/>
    <n v="0"/>
    <n v="2"/>
    <s v="Cumple"/>
    <n v="24885"/>
    <m/>
    <m/>
  </r>
  <r>
    <d v="2025-01-06T00:00:00"/>
    <x v="0"/>
    <n v="2381"/>
    <x v="0"/>
    <s v="Julian Cujabante Villamil"/>
    <s v="TECULFN2"/>
    <x v="7"/>
    <n v="1"/>
    <x v="1"/>
    <x v="1"/>
    <x v="1"/>
    <x v="0"/>
    <s v="Coordinadora"/>
    <s v="3006368 -84151099224"/>
    <d v="2025-01-08T00:00:00"/>
    <d v="2025-01-10T00:00:00"/>
    <x v="0"/>
    <n v="1"/>
    <n v="3"/>
    <s v="Cumple"/>
    <n v="62530"/>
    <m/>
    <m/>
  </r>
  <r>
    <d v="2025-01-06T00:00:00"/>
    <x v="0"/>
    <n v="2381"/>
    <x v="0"/>
    <s v="Julian Cujabante Villamil"/>
    <s v="TECUTLRNS"/>
    <x v="8"/>
    <n v="1"/>
    <x v="2"/>
    <x v="1"/>
    <x v="1"/>
    <x v="0"/>
    <s v="Coordinadora"/>
    <s v="3006370 -84151099227"/>
    <d v="2025-01-08T00:00:00"/>
    <d v="2025-01-10T00:00:00"/>
    <x v="0"/>
    <n v="1"/>
    <n v="3"/>
    <s v="Cumple"/>
    <n v="26749"/>
    <m/>
    <m/>
  </r>
  <r>
    <d v="2025-01-06T00:00:00"/>
    <x v="0"/>
    <n v="2381"/>
    <x v="0"/>
    <s v="Julian Cujabante Villamil"/>
    <s v="TECUCT"/>
    <x v="4"/>
    <n v="1"/>
    <x v="0"/>
    <x v="1"/>
    <x v="1"/>
    <x v="0"/>
    <s v="Coordinadora"/>
    <s v="3006387 -84151099241"/>
    <d v="2025-01-08T00:00:00"/>
    <d v="2025-01-09T00:00:00"/>
    <x v="0"/>
    <n v="1"/>
    <n v="2"/>
    <s v="Cumple"/>
    <n v="24885"/>
    <m/>
    <m/>
  </r>
  <r>
    <d v="2025-01-06T00:00:00"/>
    <x v="0"/>
    <n v="2381"/>
    <x v="0"/>
    <s v="Julian Cujabante Villamil"/>
    <s v="TECUTBANPI"/>
    <x v="9"/>
    <n v="1"/>
    <x v="0"/>
    <x v="1"/>
    <x v="1"/>
    <x v="0"/>
    <s v="Coordinadora"/>
    <s v="3006380 -84151099237"/>
    <d v="2025-01-08T00:00:00"/>
    <d v="2025-01-10T00:00:00"/>
    <x v="0"/>
    <n v="1"/>
    <n v="3"/>
    <s v="Cumple"/>
    <n v="39225"/>
    <m/>
    <m/>
  </r>
  <r>
    <d v="2025-01-06T00:00:00"/>
    <x v="0"/>
    <n v="2381"/>
    <x v="0"/>
    <s v="Julian Cujabante Villamil"/>
    <m/>
    <x v="10"/>
    <n v="1"/>
    <x v="3"/>
    <x v="1"/>
    <x v="1"/>
    <x v="1"/>
    <s v="Coordinadora"/>
    <s v="NA"/>
    <s v="NA"/>
    <s v="NA"/>
    <x v="0"/>
    <s v="PTE"/>
    <e v="#VALUE!"/>
    <e v="#VALUE!"/>
    <m/>
    <m/>
    <m/>
  </r>
  <r>
    <d v="2025-01-07T00:00:00"/>
    <x v="0"/>
    <n v="2382"/>
    <x v="0"/>
    <s v="Henry De Alba"/>
    <s v="TECU2FNG"/>
    <x v="5"/>
    <n v="1"/>
    <x v="1"/>
    <x v="2"/>
    <x v="2"/>
    <x v="0"/>
    <s v="Coordinadora"/>
    <s v="3008585 -84151100462"/>
    <d v="2025-01-09T00:00:00"/>
    <d v="2025-01-11T00:00:00"/>
    <x v="0"/>
    <n v="2"/>
    <n v="4"/>
    <s v="Cumple"/>
    <n v="59835"/>
    <m/>
    <m/>
  </r>
  <r>
    <d v="2025-01-07T00:00:00"/>
    <x v="0"/>
    <n v="2382"/>
    <x v="0"/>
    <s v="Henry De Alba"/>
    <s v="TECUTRN2C"/>
    <x v="11"/>
    <n v="1"/>
    <x v="2"/>
    <x v="2"/>
    <x v="2"/>
    <x v="0"/>
    <s v="Coordinadora"/>
    <s v="3008587 -84151100464"/>
    <d v="2025-01-09T00:00:00"/>
    <d v="2025-01-11T00:00:00"/>
    <x v="0"/>
    <n v="2"/>
    <n v="4"/>
    <s v="Cumple"/>
    <n v="39078"/>
    <m/>
    <m/>
  </r>
  <r>
    <d v="2025-01-07T00:00:00"/>
    <x v="0"/>
    <n v="2383"/>
    <x v="0"/>
    <s v="Carlos Andres Polanco Triana"/>
    <s v="TECU3FNPRO"/>
    <x v="12"/>
    <n v="1"/>
    <x v="1"/>
    <x v="3"/>
    <x v="3"/>
    <x v="0"/>
    <s v="Coordinadora"/>
    <s v="3008595 -84151100470"/>
    <d v="2025-01-09T00:00:00"/>
    <d v="2025-01-11T00:00:00"/>
    <x v="0"/>
    <n v="2"/>
    <n v="4"/>
    <s v="Cumple"/>
    <n v="62467"/>
    <m/>
    <m/>
  </r>
  <r>
    <d v="2025-01-07T00:00:00"/>
    <x v="0"/>
    <n v="2383"/>
    <x v="0"/>
    <s v="Carlos Andres Polanco Triana"/>
    <s v="TECUTCO4C"/>
    <x v="6"/>
    <n v="1"/>
    <x v="2"/>
    <x v="3"/>
    <x v="3"/>
    <x v="0"/>
    <s v="Coordinadora"/>
    <s v="3008596 -84151100471"/>
    <d v="2025-01-09T00:00:00"/>
    <d v="2025-01-11T00:00:00"/>
    <x v="0"/>
    <n v="2"/>
    <n v="4"/>
    <s v="Cumple"/>
    <n v="39078"/>
    <m/>
    <m/>
  </r>
  <r>
    <d v="2025-01-08T00:00:00"/>
    <x v="0"/>
    <n v="2384"/>
    <x v="0"/>
    <s v="Samuel Antonio Cabezas Tibaquicha"/>
    <s v="TECU3FNPRO"/>
    <x v="12"/>
    <n v="1"/>
    <x v="1"/>
    <x v="1"/>
    <x v="4"/>
    <x v="0"/>
    <s v="Coordinadora"/>
    <s v="3006418 -84151099260"/>
    <d v="2025-01-08T00:00:00"/>
    <d v="2025-01-09T00:00:00"/>
    <x v="0"/>
    <n v="0"/>
    <n v="1"/>
    <s v="Cumple"/>
    <n v="42921"/>
    <m/>
    <m/>
  </r>
  <r>
    <d v="2025-01-08T00:00:00"/>
    <x v="0"/>
    <n v="2384"/>
    <x v="0"/>
    <s v="Samuel Antonio Cabezas Tibaquicha"/>
    <s v="TECUDSN"/>
    <x v="13"/>
    <n v="1"/>
    <x v="4"/>
    <x v="1"/>
    <x v="4"/>
    <x v="0"/>
    <s v="Coordinadora"/>
    <s v="3006424 -84151099263"/>
    <d v="2025-01-08T00:00:00"/>
    <d v="2025-01-09T00:00:00"/>
    <x v="0"/>
    <n v="0"/>
    <n v="1"/>
    <s v="Cumple"/>
    <n v="26609"/>
    <m/>
    <m/>
  </r>
  <r>
    <d v="2025-01-08T00:00:00"/>
    <x v="0"/>
    <n v="2385"/>
    <x v="0"/>
    <s v="Diana Ruiz"/>
    <s v="TECU3FNPRO"/>
    <x v="12"/>
    <n v="1"/>
    <x v="1"/>
    <x v="1"/>
    <x v="1"/>
    <x v="0"/>
    <s v="Coordinadora"/>
    <s v="3009172 -84151100736"/>
    <d v="2025-01-09T00:00:00"/>
    <d v="2025-01-10T00:00:00"/>
    <x v="0"/>
    <n v="1"/>
    <n v="2"/>
    <s v="Cumple"/>
    <n v="42921"/>
    <m/>
    <m/>
  </r>
  <r>
    <d v="2025-01-08T00:00:00"/>
    <x v="0"/>
    <n v="2385"/>
    <x v="0"/>
    <s v="Diana Ruiz"/>
    <s v="TECUTFE4C"/>
    <x v="14"/>
    <n v="1"/>
    <x v="2"/>
    <x v="1"/>
    <x v="1"/>
    <x v="0"/>
    <s v="Coordinadora"/>
    <s v="3009173 -84151100737"/>
    <d v="2025-01-09T00:00:00"/>
    <d v="2025-01-10T00:00:00"/>
    <x v="0"/>
    <n v="1"/>
    <n v="2"/>
    <s v="Cumple"/>
    <n v="24093"/>
    <m/>
    <m/>
  </r>
  <r>
    <d v="2025-01-08T00:00:00"/>
    <x v="0"/>
    <n v="2386"/>
    <x v="0"/>
    <s v="Samuel Vélez Sanín"/>
    <s v="TECU2FNG"/>
    <x v="5"/>
    <n v="1"/>
    <x v="1"/>
    <x v="0"/>
    <x v="5"/>
    <x v="0"/>
    <s v="Coordinadora"/>
    <s v="3008732 -84151100542"/>
    <d v="2025-01-09T00:00:00"/>
    <d v="2025-01-10T00:00:00"/>
    <x v="0"/>
    <n v="1"/>
    <n v="2"/>
    <s v="Cumple"/>
    <n v="41593"/>
    <m/>
    <m/>
  </r>
  <r>
    <d v="2025-01-08T00:00:00"/>
    <x v="0"/>
    <n v="2386"/>
    <x v="0"/>
    <s v="Samuel Vélez Sanín"/>
    <s v="TECUTFE2C"/>
    <x v="3"/>
    <n v="1"/>
    <x v="2"/>
    <x v="0"/>
    <x v="5"/>
    <x v="0"/>
    <s v="Coordinadora"/>
    <s v="3008734 -84151100543"/>
    <d v="2025-01-09T00:00:00"/>
    <d v="2025-01-11T00:00:00"/>
    <x v="0"/>
    <n v="1"/>
    <n v="3"/>
    <s v="Cumple"/>
    <n v="24093"/>
    <m/>
    <m/>
  </r>
  <r>
    <d v="2025-01-08T00:00:00"/>
    <x v="0"/>
    <n v="2387"/>
    <x v="0"/>
    <s v="Miguel Saavedra"/>
    <s v="TECUACO"/>
    <x v="15"/>
    <n v="1"/>
    <x v="5"/>
    <x v="1"/>
    <x v="1"/>
    <x v="0"/>
    <s v="Envia"/>
    <s v="3006909 -954101121278"/>
    <d v="2025-01-08T00:00:00"/>
    <d v="2025-01-09T00:00:00"/>
    <x v="0"/>
    <n v="0"/>
    <n v="1"/>
    <s v="Cumple"/>
    <n v="70717"/>
    <m/>
    <m/>
  </r>
  <r>
    <d v="2025-01-09T00:00:00"/>
    <x v="0"/>
    <n v="2388"/>
    <x v="0"/>
    <s v="CAROLINA RAMIREZ RESTREPO"/>
    <s v="TECU2FNG"/>
    <x v="5"/>
    <n v="1"/>
    <x v="1"/>
    <x v="0"/>
    <x v="6"/>
    <x v="0"/>
    <s v="Coordinadora"/>
    <s v="3008988 -84151100690"/>
    <d v="2025-01-09T00:00:00"/>
    <d v="2025-01-24T00:00:00"/>
    <x v="0"/>
    <n v="0"/>
    <n v="13"/>
    <s v="No cumple"/>
    <n v="112444"/>
    <m/>
    <s v="Novedad - Se envia a oto pueblo por error en Shopify generar guias // se solicita devolucion a la bodega"/>
  </r>
  <r>
    <d v="2025-01-09T00:00:00"/>
    <x v="0"/>
    <n v="2388"/>
    <x v="0"/>
    <s v="CAROLINA RAMIREZ RESTREPO"/>
    <s v="TECUTCO6C"/>
    <x v="16"/>
    <n v="1"/>
    <x v="2"/>
    <x v="0"/>
    <x v="6"/>
    <x v="0"/>
    <s v="Coordinadora"/>
    <s v="3008990 -84151100691"/>
    <d v="2025-01-09T00:00:00"/>
    <d v="2025-01-24T00:00:00"/>
    <x v="0"/>
    <n v="0"/>
    <n v="13"/>
    <s v="No cumple"/>
    <n v="98264"/>
    <m/>
    <s v="Novedad - Se envia a oto pueblo por error en Shopify generar guias // se solicita devolucion a la bodega"/>
  </r>
  <r>
    <d v="2025-01-09T00:00:00"/>
    <x v="0"/>
    <n v="2389"/>
    <x v="0"/>
    <s v="Alexander Gomez Chaparro"/>
    <s v="TECULFN2"/>
    <x v="7"/>
    <n v="1"/>
    <x v="1"/>
    <x v="4"/>
    <x v="7"/>
    <x v="0"/>
    <s v="Coordinadora"/>
    <s v="3011856 -84151101651"/>
    <d v="2025-01-10T00:00:00"/>
    <d v="2025-01-13T00:00:00"/>
    <x v="0"/>
    <n v="1"/>
    <n v="3"/>
    <s v="Cumple"/>
    <n v="96409"/>
    <m/>
    <m/>
  </r>
  <r>
    <d v="2025-01-09T00:00:00"/>
    <x v="0"/>
    <n v="2389"/>
    <x v="0"/>
    <s v="Alexander Gomez Chaparro"/>
    <s v="TECUTLNS"/>
    <x v="17"/>
    <n v="1"/>
    <x v="2"/>
    <x v="4"/>
    <x v="7"/>
    <x v="0"/>
    <s v="Coordinadora"/>
    <s v="3011858 -84151101652"/>
    <d v="2025-01-10T00:00:00"/>
    <d v="2025-01-13T00:00:00"/>
    <x v="0"/>
    <n v="1"/>
    <n v="3"/>
    <s v="Cumple"/>
    <n v="44340"/>
    <m/>
    <m/>
  </r>
  <r>
    <d v="2025-01-09T00:00:00"/>
    <x v="0"/>
    <n v="2390"/>
    <x v="0"/>
    <s v="Alexander Gomez Chaparro"/>
    <s v="TECUCT"/>
    <x v="4"/>
    <n v="1"/>
    <x v="0"/>
    <x v="4"/>
    <x v="7"/>
    <x v="0"/>
    <s v="Coordinadora"/>
    <s v="3011897 -84151101678"/>
    <d v="2025-01-10T00:00:00"/>
    <d v="2025-01-13T00:00:00"/>
    <x v="0"/>
    <n v="1"/>
    <n v="3"/>
    <s v="Cumple"/>
    <m/>
    <m/>
    <m/>
  </r>
  <r>
    <d v="2025-01-09T00:00:00"/>
    <x v="0"/>
    <n v="2390"/>
    <x v="0"/>
    <s v="Alexander Gomez Chaparro"/>
    <s v="TECUBDPA"/>
    <x v="1"/>
    <n v="1"/>
    <x v="0"/>
    <x v="4"/>
    <x v="7"/>
    <x v="0"/>
    <s v="Coordinadora"/>
    <s v="3011889 -84151101671"/>
    <d v="2025-01-10T00:00:00"/>
    <d v="2025-01-13T00:00:00"/>
    <x v="0"/>
    <n v="1"/>
    <n v="3"/>
    <s v="Cumple"/>
    <n v="16617"/>
    <m/>
    <m/>
  </r>
  <r>
    <d v="2025-01-09T00:00:00"/>
    <x v="0"/>
    <n v="2390"/>
    <x v="0"/>
    <s v="Alexander Gomez Chaparro"/>
    <s v="TECUDSN"/>
    <x v="13"/>
    <n v="1"/>
    <x v="4"/>
    <x v="4"/>
    <x v="7"/>
    <x v="0"/>
    <s v="Coordinadora"/>
    <s v="3011879 -84151101661"/>
    <d v="2025-01-10T00:00:00"/>
    <d v="2025-01-13T00:00:00"/>
    <x v="0"/>
    <n v="1"/>
    <n v="3"/>
    <s v="Cumple"/>
    <n v="40942"/>
    <m/>
    <m/>
  </r>
  <r>
    <d v="2025-01-09T00:00:00"/>
    <x v="0"/>
    <n v="2390"/>
    <x v="0"/>
    <s v="Alexander Gomez Chaparro"/>
    <s v="TECURN"/>
    <x v="18"/>
    <n v="1"/>
    <x v="6"/>
    <x v="4"/>
    <x v="7"/>
    <x v="0"/>
    <s v="Coordinadora"/>
    <s v="NA"/>
    <d v="2025-01-10T00:00:00"/>
    <d v="2025-01-13T00:00:00"/>
    <x v="0"/>
    <n v="1"/>
    <n v="3"/>
    <s v="Cumple"/>
    <m/>
    <m/>
    <m/>
  </r>
  <r>
    <d v="2025-01-09T00:00:00"/>
    <x v="0"/>
    <n v="2391"/>
    <x v="0"/>
    <s v="Alexander Gomez Chaparro"/>
    <s v="TECUCT"/>
    <x v="4"/>
    <n v="1"/>
    <x v="0"/>
    <x v="4"/>
    <x v="7"/>
    <x v="0"/>
    <s v="Coordinadora"/>
    <s v="3011897 -84151101678"/>
    <d v="2025-01-10T00:00:00"/>
    <d v="2025-01-13T00:00:00"/>
    <x v="0"/>
    <n v="1"/>
    <n v="3"/>
    <s v="Cumple"/>
    <n v="24885"/>
    <m/>
    <m/>
  </r>
  <r>
    <d v="2025-01-10T00:00:00"/>
    <x v="0"/>
    <n v="2392"/>
    <x v="0"/>
    <s v="David Cadavid"/>
    <s v="TECU3FNPRO"/>
    <x v="12"/>
    <n v="1"/>
    <x v="1"/>
    <x v="0"/>
    <x v="5"/>
    <x v="0"/>
    <s v="Coordinadora"/>
    <s v="3015845 -84151103419"/>
    <d v="2025-01-13T16:47:27"/>
    <d v="2025-01-14T15:27:49"/>
    <x v="0"/>
    <n v="2"/>
    <n v="3"/>
    <s v="Cumple"/>
    <n v="42921"/>
    <m/>
    <m/>
  </r>
  <r>
    <d v="2025-01-10T00:00:00"/>
    <x v="0"/>
    <n v="2392"/>
    <x v="0"/>
    <s v="David Cadavid"/>
    <s v="TECUTCO8C"/>
    <x v="19"/>
    <n v="1"/>
    <x v="2"/>
    <x v="0"/>
    <x v="5"/>
    <x v="0"/>
    <s v="Coordinadora"/>
    <s v="3015847 -84151103420"/>
    <d v="2025-01-13T16:48:27"/>
    <d v="2025-01-14T15:27:49"/>
    <x v="0"/>
    <n v="2"/>
    <n v="3"/>
    <s v="Cumple"/>
    <n v="26749"/>
    <m/>
    <m/>
  </r>
  <r>
    <d v="2025-01-10T00:00:00"/>
    <x v="0"/>
    <n v="2392"/>
    <x v="0"/>
    <s v="David Cadavid"/>
    <s v="TECUCT"/>
    <x v="4"/>
    <n v="1"/>
    <x v="0"/>
    <x v="0"/>
    <x v="5"/>
    <x v="0"/>
    <s v="Coordinadora"/>
    <s v="3015858 -84151103425"/>
    <d v="2025-01-13T16:47:27"/>
    <d v="2025-01-14T15:27:49"/>
    <x v="0"/>
    <n v="2"/>
    <n v="3"/>
    <s v="Cumple"/>
    <n v="24885"/>
    <m/>
    <m/>
  </r>
  <r>
    <d v="2025-01-11T00:00:00"/>
    <x v="0"/>
    <n v="2393"/>
    <x v="0"/>
    <s v="Santiago Garzon Diaz"/>
    <s v="TECU2FNG"/>
    <x v="5"/>
    <n v="1"/>
    <x v="1"/>
    <x v="0"/>
    <x v="8"/>
    <x v="0"/>
    <s v="Coordinadora"/>
    <s v="3015877 -84151103435"/>
    <d v="2025-01-13T16:47:27"/>
    <d v="2025-01-14T09:51:51"/>
    <x v="0"/>
    <n v="1"/>
    <n v="2"/>
    <s v="Cumple"/>
    <n v="41593"/>
    <m/>
    <m/>
  </r>
  <r>
    <d v="2025-01-11T00:00:00"/>
    <x v="0"/>
    <n v="2393"/>
    <x v="0"/>
    <s v="Santiago Garzon Diaz"/>
    <m/>
    <x v="10"/>
    <n v="1"/>
    <x v="3"/>
    <x v="0"/>
    <x v="8"/>
    <x v="1"/>
    <s v="Coordinadora"/>
    <s v="NA"/>
    <s v="NA"/>
    <s v="NA"/>
    <x v="0"/>
    <s v="PTE"/>
    <e v="#VALUE!"/>
    <e v="#VALUE!"/>
    <n v="0"/>
    <m/>
    <m/>
  </r>
  <r>
    <d v="2025-01-12T00:00:00"/>
    <x v="0"/>
    <n v="2394"/>
    <x v="0"/>
    <s v="Julian Cajiao"/>
    <s v="TECU3FNPRO"/>
    <x v="12"/>
    <n v="1"/>
    <x v="1"/>
    <x v="0"/>
    <x v="8"/>
    <x v="0"/>
    <s v="Coordinadora"/>
    <s v="3015893 -84151103439"/>
    <d v="2025-01-13T16:47:27"/>
    <d v="2025-01-14T11:27:21"/>
    <x v="0"/>
    <n v="0"/>
    <n v="1"/>
    <s v="Cumple"/>
    <n v="42921"/>
    <m/>
    <m/>
  </r>
  <r>
    <d v="2025-01-12T00:00:00"/>
    <x v="0"/>
    <n v="2394"/>
    <x v="0"/>
    <s v="Julian Cajiao"/>
    <s v="TECUTRN6C"/>
    <x v="20"/>
    <n v="1"/>
    <x v="2"/>
    <x v="0"/>
    <x v="8"/>
    <x v="0"/>
    <s v="Coordinadora"/>
    <s v="3015895 -84151103441"/>
    <d v="2025-01-13T16:48:27"/>
    <d v="2025-01-14T11:27:21"/>
    <x v="0"/>
    <n v="0"/>
    <n v="1"/>
    <s v="Cumple"/>
    <n v="24093"/>
    <m/>
    <m/>
  </r>
  <r>
    <d v="2025-01-12T00:00:00"/>
    <x v="0"/>
    <n v="2394"/>
    <x v="0"/>
    <s v="Julian Cajiao"/>
    <m/>
    <x v="10"/>
    <n v="1"/>
    <x v="3"/>
    <x v="0"/>
    <x v="8"/>
    <x v="1"/>
    <s v="Coordinadora"/>
    <s v="NA"/>
    <s v="NA"/>
    <s v="NA"/>
    <x v="0"/>
    <s v="PTE"/>
    <e v="#VALUE!"/>
    <e v="#VALUE!"/>
    <n v="0"/>
    <m/>
    <m/>
  </r>
  <r>
    <d v="2025-01-13T00:00:00"/>
    <x v="0"/>
    <n v="2395"/>
    <x v="0"/>
    <s v="Lucas Latorre"/>
    <s v="TECU3FNPRO"/>
    <x v="12"/>
    <n v="1"/>
    <x v="1"/>
    <x v="5"/>
    <x v="9"/>
    <x v="0"/>
    <s v="Coordinadora"/>
    <s v="3017031 -84151104118"/>
    <d v="2025-01-13T16:47:27"/>
    <d v="2025-01-15T17:17:03"/>
    <x v="0"/>
    <n v="0"/>
    <n v="2"/>
    <s v="Cumple"/>
    <n v="56077"/>
    <m/>
    <m/>
  </r>
  <r>
    <d v="2025-01-13T00:00:00"/>
    <x v="0"/>
    <n v="2395"/>
    <x v="0"/>
    <s v="Lucas Latorre"/>
    <s v="TECUTFE8C"/>
    <x v="21"/>
    <n v="1"/>
    <x v="2"/>
    <x v="5"/>
    <x v="9"/>
    <x v="0"/>
    <s v="Coordinadora"/>
    <s v="3017033 -84151104119"/>
    <d v="2025-01-13T16:48:27"/>
    <d v="2025-01-15T17:17:03"/>
    <x v="0"/>
    <n v="0"/>
    <n v="2"/>
    <s v="Cumple"/>
    <n v="38589"/>
    <m/>
    <m/>
  </r>
  <r>
    <d v="2025-01-13T00:00:00"/>
    <x v="0"/>
    <n v="2396"/>
    <x v="0"/>
    <s v="FELIPE CASTAÑO"/>
    <s v="TECU3FNPRO"/>
    <x v="12"/>
    <n v="1"/>
    <x v="1"/>
    <x v="0"/>
    <x v="5"/>
    <x v="0"/>
    <s v="Coordinadora"/>
    <s v="3018831 -84151104925"/>
    <d v="2025-01-14T15:58:05"/>
    <d v="2025-01-15T10:33:56"/>
    <x v="0"/>
    <n v="1"/>
    <n v="2"/>
    <s v="Cumple"/>
    <n v="42921"/>
    <m/>
    <m/>
  </r>
  <r>
    <d v="2025-01-13T00:00:00"/>
    <x v="0"/>
    <n v="2396"/>
    <x v="0"/>
    <s v="FELIPE CASTAÑO"/>
    <s v="TECUTCO6C"/>
    <x v="16"/>
    <n v="1"/>
    <x v="2"/>
    <x v="0"/>
    <x v="5"/>
    <x v="0"/>
    <s v="Coordinadora"/>
    <s v="3018833 -84151104926"/>
    <d v="2025-01-14T15:58:05"/>
    <d v="2025-01-15T10:33:56"/>
    <x v="0"/>
    <n v="1"/>
    <n v="2"/>
    <s v="Cumple"/>
    <n v="24093"/>
    <m/>
    <m/>
  </r>
  <r>
    <d v="2025-01-13T00:00:00"/>
    <x v="0"/>
    <n v="2396"/>
    <x v="0"/>
    <s v="FELIPE CASTAÑO"/>
    <s v="TECUDSN"/>
    <x v="13"/>
    <n v="1"/>
    <x v="4"/>
    <x v="0"/>
    <x v="5"/>
    <x v="0"/>
    <s v="Coordinadora"/>
    <s v="3018855 -84151104940"/>
    <d v="2025-01-14T15:58:05"/>
    <d v="2025-01-15T10:33:56"/>
    <x v="0"/>
    <n v="1"/>
    <n v="2"/>
    <s v="Cumple"/>
    <n v="26609"/>
    <m/>
    <m/>
  </r>
  <r>
    <d v="2025-01-13T00:00:00"/>
    <x v="0"/>
    <n v="2396"/>
    <x v="0"/>
    <s v="FELIPE CASTAÑO"/>
    <m/>
    <x v="10"/>
    <n v="1"/>
    <x v="3"/>
    <x v="0"/>
    <x v="5"/>
    <x v="1"/>
    <s v="Coordinadora"/>
    <s v="NA"/>
    <s v="NA"/>
    <s v="NA"/>
    <x v="0"/>
    <s v="PTE"/>
    <e v="#VALUE!"/>
    <e v="#VALUE!"/>
    <n v="0"/>
    <m/>
    <m/>
  </r>
  <r>
    <d v="2025-01-14T00:00:00"/>
    <x v="0"/>
    <n v="2397"/>
    <x v="0"/>
    <s v="Andres Felipe Parra Rojas"/>
    <s v="TECU2FNG"/>
    <x v="5"/>
    <n v="1"/>
    <x v="1"/>
    <x v="1"/>
    <x v="1"/>
    <x v="0"/>
    <s v="Coordinadora"/>
    <s v="3023657 -84151107102"/>
    <d v="2025-01-16T16:40:11"/>
    <d v="2025-01-17T16:21:03"/>
    <x v="0"/>
    <n v="2"/>
    <n v="3"/>
    <s v="Cumple"/>
    <n v="41593"/>
    <m/>
    <m/>
  </r>
  <r>
    <d v="2025-01-14T00:00:00"/>
    <x v="0"/>
    <n v="2397"/>
    <x v="0"/>
    <s v="Andres Felipe Parra Rojas"/>
    <s v="TECUTRN5C"/>
    <x v="22"/>
    <n v="1"/>
    <x v="2"/>
    <x v="1"/>
    <x v="1"/>
    <x v="0"/>
    <s v="Coordinadora"/>
    <s v="3023658 -84151107103"/>
    <d v="2025-01-16T16:41:19"/>
    <d v="2025-01-18T14:05:19"/>
    <x v="0"/>
    <n v="2"/>
    <n v="4"/>
    <s v="No cumple"/>
    <n v="24093"/>
    <m/>
    <m/>
  </r>
  <r>
    <d v="2025-01-16T00:00:00"/>
    <x v="0"/>
    <n v="2398"/>
    <x v="0"/>
    <s v="Juan David Martínez Gordillo"/>
    <s v="TECU2FNG"/>
    <x v="5"/>
    <n v="1"/>
    <x v="1"/>
    <x v="1"/>
    <x v="1"/>
    <x v="0"/>
    <s v="Coordinadora"/>
    <s v="3023776 -84151107161"/>
    <d v="2025-01-16T16:40:11"/>
    <d v="2025-01-18T13:27:15"/>
    <x v="0"/>
    <n v="0"/>
    <n v="2"/>
    <s v="Cumple"/>
    <n v="41593"/>
    <m/>
    <m/>
  </r>
  <r>
    <d v="2025-01-16T00:00:00"/>
    <x v="0"/>
    <n v="2398"/>
    <x v="0"/>
    <s v="Juan David Martínez Gordillo"/>
    <s v="TECUTCO3C"/>
    <x v="23"/>
    <n v="1"/>
    <x v="2"/>
    <x v="1"/>
    <x v="1"/>
    <x v="0"/>
    <s v="Coordinadora"/>
    <s v="3023777 -84151107162"/>
    <d v="2025-01-16T16:41:19"/>
    <d v="2025-01-20T14:33:10"/>
    <x v="0"/>
    <n v="0"/>
    <n v="3"/>
    <s v="Cumple"/>
    <n v="24093"/>
    <m/>
    <m/>
  </r>
  <r>
    <d v="2025-01-16T00:00:00"/>
    <x v="0"/>
    <n v="2399"/>
    <x v="0"/>
    <s v="Stefan de Brandt"/>
    <s v="TECU3FNPRO"/>
    <x v="12"/>
    <n v="1"/>
    <x v="1"/>
    <x v="0"/>
    <x v="5"/>
    <x v="0"/>
    <s v="Coordinadora"/>
    <s v="3023834 -84151107192"/>
    <d v="2025-01-16T16:40:11"/>
    <d v="2025-01-17T17:50:22"/>
    <x v="0"/>
    <n v="0"/>
    <n v="1"/>
    <s v="Cumple"/>
    <n v="42921"/>
    <m/>
    <m/>
  </r>
  <r>
    <d v="2025-01-16T00:00:00"/>
    <x v="0"/>
    <n v="2399"/>
    <x v="0"/>
    <s v="Stefan de Brandt"/>
    <s v="TECUTCO6M"/>
    <x v="24"/>
    <n v="1"/>
    <x v="2"/>
    <x v="0"/>
    <x v="5"/>
    <x v="0"/>
    <s v="Coordinadora"/>
    <s v="3023835 -84151107193"/>
    <d v="2025-01-16T16:41:19"/>
    <d v="2025-01-17T17:50:22"/>
    <x v="0"/>
    <n v="0"/>
    <n v="1"/>
    <s v="Cumple"/>
    <n v="24093"/>
    <m/>
    <m/>
  </r>
  <r>
    <d v="2025-01-16T00:00:00"/>
    <x v="0"/>
    <n v="2399"/>
    <x v="0"/>
    <s v="Stefan de Brandt"/>
    <m/>
    <x v="10"/>
    <n v="1"/>
    <x v="3"/>
    <x v="0"/>
    <x v="5"/>
    <x v="1"/>
    <s v="Coordinadora"/>
    <s v="NA"/>
    <s v="NA"/>
    <s v="NA"/>
    <x v="0"/>
    <s v="PTE"/>
    <e v="#VALUE!"/>
    <e v="#VALUE!"/>
    <n v="0"/>
    <m/>
    <m/>
  </r>
  <r>
    <d v="2025-01-16T00:00:00"/>
    <x v="0"/>
    <n v="2400"/>
    <x v="0"/>
    <s v="Julian Cujabante Villamil"/>
    <s v="TECUROD6"/>
    <x v="25"/>
    <n v="1"/>
    <x v="7"/>
    <x v="1"/>
    <x v="1"/>
    <x v="0"/>
    <s v="Coordinadora"/>
    <s v="3026040 -84151108154"/>
    <d v="2025-01-17T15:07:22"/>
    <d v="2025-01-20T12:41:03"/>
    <x v="0"/>
    <n v="1"/>
    <n v="3"/>
    <s v="Cumple"/>
    <n v="23875"/>
    <m/>
    <m/>
  </r>
  <r>
    <d v="2025-01-16T00:00:00"/>
    <x v="0"/>
    <n v="2400"/>
    <x v="0"/>
    <s v="Julian Cujabante Villamil"/>
    <s v="TECUBDPA"/>
    <x v="1"/>
    <n v="1"/>
    <x v="0"/>
    <x v="1"/>
    <x v="1"/>
    <x v="0"/>
    <s v="Coordinadora"/>
    <s v="3026035 -84151108151"/>
    <d v="2025-01-17T15:07:22"/>
    <d v="2025-01-20T12:41:03"/>
    <x v="0"/>
    <n v="1"/>
    <n v="3"/>
    <s v="Cumple"/>
    <n v="16617"/>
    <m/>
    <m/>
  </r>
  <r>
    <d v="2025-01-16T00:00:00"/>
    <x v="0"/>
    <n v="2400"/>
    <x v="0"/>
    <s v="Julian Cujabante Villamil"/>
    <s v="TECURN"/>
    <x v="18"/>
    <n v="1"/>
    <x v="6"/>
    <x v="1"/>
    <x v="1"/>
    <x v="0"/>
    <s v="Coordinadora"/>
    <s v="3026126 -84151108195"/>
    <d v="2025-01-17T15:07:22"/>
    <d v="2025-01-20T12:41:03"/>
    <x v="0"/>
    <n v="1"/>
    <n v="3"/>
    <s v="Cumple"/>
    <n v="23429"/>
    <m/>
    <m/>
  </r>
  <r>
    <d v="2025-01-16T00:00:00"/>
    <x v="0"/>
    <n v="2400"/>
    <x v="0"/>
    <s v="Julian Cujabante Villamil"/>
    <m/>
    <x v="10"/>
    <n v="1"/>
    <x v="3"/>
    <x v="1"/>
    <x v="1"/>
    <x v="1"/>
    <s v="Coordinadora"/>
    <s v="NA"/>
    <d v="2025-01-21T00:00:00"/>
    <d v="2025-01-21T00:00:00"/>
    <x v="0"/>
    <s v="PTE"/>
    <n v="4"/>
    <s v="No cumple"/>
    <n v="0"/>
    <m/>
    <m/>
  </r>
  <r>
    <d v="2025-01-16T00:00:00"/>
    <x v="0"/>
    <n v="2401"/>
    <x v="0"/>
    <s v="Julian Cujabante Villamil"/>
    <s v="TECUAN"/>
    <x v="26"/>
    <n v="1"/>
    <x v="5"/>
    <x v="1"/>
    <x v="1"/>
    <x v="0"/>
    <s v="Envia"/>
    <s v="3026752 -954101129148"/>
    <d v="2025-01-17T15:51:00"/>
    <d v="2025-01-18T11:58:00"/>
    <x v="0"/>
    <n v="1"/>
    <n v="2"/>
    <s v="Cumple"/>
    <n v="70717"/>
    <m/>
    <m/>
  </r>
  <r>
    <d v="2025-01-17T00:00:00"/>
    <x v="0"/>
    <n v="2402"/>
    <x v="0"/>
    <s v="Catalina Alvarado"/>
    <s v="TECU2FNG"/>
    <x v="5"/>
    <n v="1"/>
    <x v="1"/>
    <x v="1"/>
    <x v="1"/>
    <x v="0"/>
    <s v="Coordinadora"/>
    <s v="3026634 -84151108514"/>
    <d v="2025-01-17T15:07:22"/>
    <d v="2025-01-20T11:09:20"/>
    <x v="0"/>
    <n v="0"/>
    <n v="2"/>
    <s v="Cumple"/>
    <n v="41593"/>
    <m/>
    <m/>
  </r>
  <r>
    <d v="2025-01-17T00:00:00"/>
    <x v="0"/>
    <n v="2402"/>
    <x v="0"/>
    <s v="Catalina Alvarado"/>
    <s v="TECUTFE2C"/>
    <x v="3"/>
    <n v="1"/>
    <x v="2"/>
    <x v="1"/>
    <x v="1"/>
    <x v="0"/>
    <s v="Coordinadora"/>
    <s v="3026635 -84151108515"/>
    <d v="2025-01-17T15:07:22"/>
    <d v="2025-01-20T11:07:59"/>
    <x v="0"/>
    <n v="0"/>
    <n v="2"/>
    <s v="Cumple"/>
    <n v="24093"/>
    <m/>
    <m/>
  </r>
  <r>
    <d v="2025-01-17T00:00:00"/>
    <x v="0"/>
    <n v="2403"/>
    <x v="0"/>
    <s v="Alexandra Martínez Ruiz"/>
    <s v="TECU3FNPRO"/>
    <x v="12"/>
    <n v="1"/>
    <x v="1"/>
    <x v="1"/>
    <x v="1"/>
    <x v="0"/>
    <s v="Coordinadora"/>
    <s v="3030945 -84151109872"/>
    <d v="2025-01-20T16:52:51"/>
    <d v="2025-01-22T00:00:00"/>
    <x v="0"/>
    <n v="2"/>
    <n v="4"/>
    <s v="No cumple"/>
    <n v="42921"/>
    <m/>
    <m/>
  </r>
  <r>
    <d v="2025-01-17T00:00:00"/>
    <x v="0"/>
    <n v="2403"/>
    <x v="0"/>
    <s v="Alexandra Martínez Ruiz"/>
    <s v="TECUTFE2C"/>
    <x v="3"/>
    <n v="1"/>
    <x v="2"/>
    <x v="1"/>
    <x v="1"/>
    <x v="0"/>
    <s v="Coordinadora"/>
    <s v="3030946 -84151109873"/>
    <d v="2025-01-20T16:52:51"/>
    <d v="2025-01-21T15:36:08"/>
    <x v="0"/>
    <n v="2"/>
    <n v="3"/>
    <s v="Cumple"/>
    <n v="28741"/>
    <m/>
    <m/>
  </r>
  <r>
    <d v="2025-01-17T00:00:00"/>
    <x v="0"/>
    <n v="2403"/>
    <x v="0"/>
    <s v="Alexandra Martínez Ruiz"/>
    <m/>
    <x v="10"/>
    <n v="1"/>
    <x v="3"/>
    <x v="1"/>
    <x v="1"/>
    <x v="1"/>
    <s v="Coordinadora"/>
    <s v="NA"/>
    <d v="2025-01-23T00:00:00"/>
    <s v="NA"/>
    <x v="0"/>
    <s v="PTE"/>
    <e v="#VALUE!"/>
    <e v="#VALUE!"/>
    <n v="0"/>
    <m/>
    <m/>
  </r>
  <r>
    <d v="2025-01-18T00:00:00"/>
    <x v="0"/>
    <n v="2404"/>
    <x v="0"/>
    <s v="Juan Camilo Acosta Escobar"/>
    <s v="TECU3FNPRO"/>
    <x v="12"/>
    <n v="1"/>
    <x v="1"/>
    <x v="0"/>
    <x v="10"/>
    <x v="0"/>
    <s v="Coordinadora"/>
    <s v="3030968 -84151109880"/>
    <d v="2025-01-20T16:52:51"/>
    <d v="2025-01-22T14:11:06"/>
    <x v="0"/>
    <n v="1"/>
    <n v="3"/>
    <s v="Cumple"/>
    <n v="42921"/>
    <m/>
    <m/>
  </r>
  <r>
    <d v="2025-01-18T00:00:00"/>
    <x v="0"/>
    <n v="2404"/>
    <x v="0"/>
    <s v="Juan Camilo Acosta Escobar"/>
    <s v="TECUTRM5C"/>
    <x v="27"/>
    <n v="1"/>
    <x v="2"/>
    <x v="0"/>
    <x v="10"/>
    <x v="0"/>
    <s v="Coordinadora"/>
    <s v="3030970 -84151109882"/>
    <d v="2025-01-20T16:52:51"/>
    <d v="2025-01-22T14:11:06"/>
    <x v="0"/>
    <n v="1"/>
    <n v="3"/>
    <s v="Cumple"/>
    <n v="24593"/>
    <m/>
    <m/>
  </r>
  <r>
    <d v="2025-01-18T00:00:00"/>
    <x v="0"/>
    <n v="2404"/>
    <x v="0"/>
    <s v="Juan Camilo Acosta Escobar"/>
    <s v="TECUCT"/>
    <x v="4"/>
    <n v="1"/>
    <x v="0"/>
    <x v="0"/>
    <x v="10"/>
    <x v="0"/>
    <s v="Coordinadora"/>
    <s v="3031428 -84151110138"/>
    <d v="2025-01-20T16:52:51"/>
    <d v="2025-01-22T14:11:06"/>
    <x v="0"/>
    <n v="1"/>
    <n v="3"/>
    <s v="Cumple"/>
    <n v="24885"/>
    <m/>
    <m/>
  </r>
  <r>
    <d v="2025-01-18T00:00:00"/>
    <x v="0"/>
    <n v="2405"/>
    <x v="0"/>
    <s v="Stefan de Brandt"/>
    <s v="TECUCT"/>
    <x v="4"/>
    <n v="1"/>
    <x v="0"/>
    <x v="0"/>
    <x v="5"/>
    <x v="0"/>
    <s v="Coordinadora"/>
    <s v="3031190 -84151110013"/>
    <d v="2025-01-20T16:52:51"/>
    <d v="2025-01-21T13:04:29"/>
    <x v="0"/>
    <n v="1"/>
    <n v="2"/>
    <s v="Cumple"/>
    <n v="24885"/>
    <m/>
    <m/>
  </r>
  <r>
    <d v="2025-01-20T00:00:00"/>
    <x v="0"/>
    <n v="2406"/>
    <x v="0"/>
    <s v="MARIA RODRIGUEZ"/>
    <s v="TECU2FBGO"/>
    <x v="2"/>
    <n v="1"/>
    <x v="1"/>
    <x v="6"/>
    <x v="11"/>
    <x v="0"/>
    <s v="Coordinadora"/>
    <s v="3034128 -84151111334"/>
    <d v="2025-01-21T17:11:07"/>
    <d v="2025-01-22T00:00:00"/>
    <x v="0"/>
    <n v="1"/>
    <n v="2"/>
    <e v="#N/A"/>
    <n v="41593"/>
    <m/>
    <m/>
  </r>
  <r>
    <d v="2025-01-20T00:00:00"/>
    <x v="0"/>
    <n v="2406"/>
    <x v="0"/>
    <s v="MARIA RODRIGUEZ"/>
    <s v="TECUTFE6C"/>
    <x v="28"/>
    <n v="1"/>
    <x v="2"/>
    <x v="6"/>
    <x v="11"/>
    <x v="0"/>
    <s v="Coordinadora"/>
    <s v="3034129 -84151111335"/>
    <d v="2025-01-21T17:11:07"/>
    <d v="2025-01-22T00:00:00"/>
    <x v="0"/>
    <n v="1"/>
    <n v="2"/>
    <e v="#N/A"/>
    <n v="24093"/>
    <m/>
    <m/>
  </r>
  <r>
    <d v="2025-01-21T00:00:00"/>
    <x v="0"/>
    <n v="2407"/>
    <x v="0"/>
    <s v="Juan Camilo Restrepo"/>
    <s v="TECU2FNG"/>
    <x v="5"/>
    <n v="1"/>
    <x v="1"/>
    <x v="1"/>
    <x v="1"/>
    <x v="0"/>
    <s v="Coordinadora"/>
    <s v="3034103 -84151111318"/>
    <d v="2025-01-21T17:11:07"/>
    <d v="2025-01-22T00:00:00"/>
    <x v="0"/>
    <n v="0"/>
    <n v="1"/>
    <s v="Cumple"/>
    <n v="41593"/>
    <m/>
    <m/>
  </r>
  <r>
    <d v="2025-01-21T00:00:00"/>
    <x v="0"/>
    <n v="2407"/>
    <x v="0"/>
    <s v="Juan Camilo Restrepo"/>
    <s v="TECUTFE5C"/>
    <x v="29"/>
    <n v="1"/>
    <x v="2"/>
    <x v="1"/>
    <x v="1"/>
    <x v="0"/>
    <s v="Coordinadora"/>
    <s v="3034104 -84151111319"/>
    <d v="2025-01-21T17:11:07"/>
    <d v="2025-01-23T00:00:00"/>
    <x v="0"/>
    <n v="0"/>
    <n v="2"/>
    <s v="Cumple"/>
    <n v="24093"/>
    <m/>
    <m/>
  </r>
  <r>
    <d v="2025-01-21T00:00:00"/>
    <x v="0"/>
    <n v="2407"/>
    <x v="0"/>
    <s v="Juan Camilo Restrepo"/>
    <s v="TECUCT"/>
    <x v="4"/>
    <n v="1"/>
    <x v="0"/>
    <x v="1"/>
    <x v="1"/>
    <x v="0"/>
    <s v="Coordinadora"/>
    <s v="3034115 -84151111325"/>
    <d v="2025-01-21T17:11:07"/>
    <d v="2025-01-22T00:00:00"/>
    <x v="0"/>
    <n v="0"/>
    <n v="1"/>
    <s v="Cumple"/>
    <n v="24885"/>
    <m/>
    <m/>
  </r>
  <r>
    <d v="2025-01-21T00:00:00"/>
    <x v="0"/>
    <n v="2408"/>
    <x v="0"/>
    <s v="Andres Mape"/>
    <s v="TECU3FNPRO"/>
    <x v="12"/>
    <n v="1"/>
    <x v="1"/>
    <x v="1"/>
    <x v="1"/>
    <x v="0"/>
    <s v="Coordinadora"/>
    <s v="3034145 -84151111349"/>
    <d v="2025-01-21T17:11:07"/>
    <d v="2025-01-22T00:00:00"/>
    <x v="0"/>
    <n v="0"/>
    <n v="1"/>
    <s v="Cumple"/>
    <n v="42921"/>
    <m/>
    <m/>
  </r>
  <r>
    <d v="2025-01-21T00:00:00"/>
    <x v="0"/>
    <n v="2408"/>
    <x v="0"/>
    <s v="Andres Mape"/>
    <s v="TECUTCO8C"/>
    <x v="19"/>
    <n v="1"/>
    <x v="2"/>
    <x v="1"/>
    <x v="1"/>
    <x v="0"/>
    <s v="Coordinadora"/>
    <s v="3034147 -84151111351"/>
    <d v="2025-01-21T17:11:07"/>
    <d v="2025-01-22T00:00:00"/>
    <x v="0"/>
    <n v="0"/>
    <n v="1"/>
    <s v="Cumple"/>
    <n v="26749"/>
    <m/>
    <m/>
  </r>
  <r>
    <d v="2025-01-21T00:00:00"/>
    <x v="0"/>
    <n v="2408"/>
    <x v="0"/>
    <s v="Andres Mape"/>
    <m/>
    <x v="10"/>
    <n v="1"/>
    <x v="3"/>
    <x v="1"/>
    <x v="1"/>
    <x v="1"/>
    <s v="Coordinadora"/>
    <s v="NA"/>
    <s v="NA"/>
    <s v="NA"/>
    <x v="0"/>
    <s v="PTE"/>
    <e v="#VALUE!"/>
    <e v="#VALUE!"/>
    <n v="0"/>
    <m/>
    <m/>
  </r>
  <r>
    <d v="2025-01-21T00:00:00"/>
    <x v="0"/>
    <n v="2409"/>
    <x v="0"/>
    <s v="Rainer Villarreal"/>
    <s v="TECURCO"/>
    <x v="30"/>
    <n v="1"/>
    <x v="6"/>
    <x v="7"/>
    <x v="12"/>
    <x v="0"/>
    <s v="Coordinadora"/>
    <s v="3034185 -84151111369"/>
    <d v="2025-01-21T17:11:07"/>
    <d v="2025-01-22T00:00:00"/>
    <x v="0"/>
    <n v="0"/>
    <n v="1"/>
    <e v="#N/A"/>
    <n v="47133"/>
    <m/>
    <m/>
  </r>
  <r>
    <d v="2025-01-21T00:00:00"/>
    <x v="0"/>
    <n v="2410"/>
    <x v="0"/>
    <s v="German Uchamocha Euscategui"/>
    <s v="TECU2FNG"/>
    <x v="5"/>
    <n v="1"/>
    <x v="1"/>
    <x v="4"/>
    <x v="13"/>
    <x v="0"/>
    <s v="Coordinadora"/>
    <s v="3034194 -84151111375"/>
    <d v="2025-01-21T17:11:07"/>
    <d v="2025-01-23T00:00:00"/>
    <x v="0"/>
    <n v="0"/>
    <n v="2"/>
    <e v="#N/A"/>
    <n v="59835"/>
    <m/>
    <m/>
  </r>
  <r>
    <d v="2025-01-21T00:00:00"/>
    <x v="0"/>
    <n v="2410"/>
    <x v="0"/>
    <s v="German Uchamocha Euscategui"/>
    <s v="TECUTFE5C"/>
    <x v="29"/>
    <n v="1"/>
    <x v="2"/>
    <x v="4"/>
    <x v="13"/>
    <x v="0"/>
    <s v="Coordinadora"/>
    <s v="3034195 -84151111376"/>
    <d v="2025-01-21T17:11:07"/>
    <d v="2025-01-23T00:00:00"/>
    <x v="0"/>
    <n v="0"/>
    <n v="2"/>
    <e v="#N/A"/>
    <n v="39078"/>
    <m/>
    <m/>
  </r>
  <r>
    <d v="2025-01-21T00:00:00"/>
    <x v="0"/>
    <n v="2411"/>
    <x v="0"/>
    <s v="Juan David Lagos Rodriguez"/>
    <s v="TECU3FNPRO"/>
    <x v="12"/>
    <n v="1"/>
    <x v="1"/>
    <x v="1"/>
    <x v="1"/>
    <x v="0"/>
    <s v="Coordinadora"/>
    <s v="3034920 -84151111800"/>
    <d v="2025-01-21T17:11:07"/>
    <d v="2025-01-22T00:00:00"/>
    <x v="0"/>
    <n v="0"/>
    <n v="1"/>
    <s v="Cumple"/>
    <n v="42921"/>
    <m/>
    <m/>
  </r>
  <r>
    <d v="2025-01-21T00:00:00"/>
    <x v="0"/>
    <n v="2411"/>
    <x v="0"/>
    <s v="Juan David Lagos Rodriguez"/>
    <s v="TECUROD"/>
    <x v="31"/>
    <n v="1"/>
    <x v="7"/>
    <x v="1"/>
    <x v="1"/>
    <x v="0"/>
    <s v="Coordinadora"/>
    <s v="3034923 -84151111801"/>
    <d v="2025-01-21T17:11:07"/>
    <d v="2025-01-22T00:00:00"/>
    <x v="0"/>
    <n v="0"/>
    <n v="1"/>
    <s v="Cumple"/>
    <n v="23875"/>
    <m/>
    <m/>
  </r>
  <r>
    <d v="2025-01-21T00:00:00"/>
    <x v="0"/>
    <n v="2411"/>
    <x v="0"/>
    <s v="Juan David Lagos Rodriguez"/>
    <m/>
    <x v="10"/>
    <n v="1"/>
    <x v="3"/>
    <x v="1"/>
    <x v="1"/>
    <x v="1"/>
    <s v="Coordinadora"/>
    <s v="NA"/>
    <d v="2025-01-23T00:00:00"/>
    <s v="NA"/>
    <x v="0"/>
    <s v="PTE"/>
    <e v="#VALUE!"/>
    <e v="#VALUE!"/>
    <n v="0"/>
    <m/>
    <m/>
  </r>
  <r>
    <d v="2025-01-14T00:00:00"/>
    <x v="0"/>
    <n v="2388"/>
    <x v="1"/>
    <s v="CAROLINA RAMIREZ RESTREPO"/>
    <s v="TECU2FNG"/>
    <x v="5"/>
    <n v="1"/>
    <x v="1"/>
    <x v="0"/>
    <x v="6"/>
    <x v="0"/>
    <s v="Coordinadora"/>
    <s v="3019490 - 84151105323"/>
    <d v="2025-01-14T00:00:00"/>
    <d v="2025-01-16T00:00:00"/>
    <x v="0"/>
    <n v="0"/>
    <n v="2"/>
    <s v="Cumple"/>
    <n v="112444"/>
    <n v="47258"/>
    <m/>
  </r>
  <r>
    <d v="2025-01-14T00:00:00"/>
    <x v="0"/>
    <n v="2388"/>
    <x v="1"/>
    <s v="CAROLINA RAMIREZ RESTREPO"/>
    <s v="TECUTCO6C"/>
    <x v="16"/>
    <n v="1"/>
    <x v="2"/>
    <x v="0"/>
    <x v="6"/>
    <x v="0"/>
    <s v="Coordinadora"/>
    <s v="3019497 - 84151105325"/>
    <d v="2025-01-14T00:00:00"/>
    <d v="2025-01-16T00:00:00"/>
    <x v="0"/>
    <n v="0"/>
    <n v="2"/>
    <s v="Cumple"/>
    <n v="98264"/>
    <n v="29257"/>
    <m/>
  </r>
  <r>
    <d v="2025-01-13T00:00:00"/>
    <x v="0"/>
    <n v="2366"/>
    <x v="1"/>
    <s v="Steven Hoyos"/>
    <s v="TECUBLS"/>
    <x v="32"/>
    <n v="1"/>
    <x v="0"/>
    <x v="8"/>
    <x v="14"/>
    <x v="0"/>
    <s v="Coordinadora"/>
    <s v="3015860 - 84151103434"/>
    <d v="2025-01-13T00:00:00"/>
    <d v="2025-01-14T00:00:00"/>
    <x v="0"/>
    <n v="0"/>
    <n v="1"/>
    <s v="Cumple"/>
    <n v="25385"/>
    <m/>
    <m/>
  </r>
  <r>
    <d v="2025-01-15T00:00:00"/>
    <x v="0"/>
    <n v="2366"/>
    <x v="2"/>
    <s v="Steven Hoyos"/>
    <s v="TECUBDPA"/>
    <x v="1"/>
    <n v="1"/>
    <x v="0"/>
    <x v="8"/>
    <x v="14"/>
    <x v="0"/>
    <s v="Coordinadora"/>
    <s v="3023584 - 84151107068"/>
    <d v="2025-01-16T00:00:00"/>
    <d v="2025-01-18T00:00:00"/>
    <x v="0"/>
    <n v="1"/>
    <n v="3"/>
    <s v="Cumple"/>
    <n v="24855"/>
    <m/>
    <m/>
  </r>
  <r>
    <d v="2025-01-20T00:00:00"/>
    <x v="0"/>
    <n v="2398"/>
    <x v="1"/>
    <s v="Juan David Martínez Gordillo"/>
    <s v="TECUTCO3C"/>
    <x v="23"/>
    <n v="1"/>
    <x v="2"/>
    <x v="1"/>
    <x v="1"/>
    <x v="0"/>
    <s v="Coordinadora"/>
    <s v="3035292 - 84151112021"/>
    <d v="2025-01-21T00:00:00"/>
    <d v="2025-01-23T00:00:00"/>
    <x v="0"/>
    <n v="1"/>
    <n v="3"/>
    <s v="Cumple"/>
    <n v="27929"/>
    <m/>
    <m/>
  </r>
  <r>
    <d v="2025-01-23T00:00:00"/>
    <x v="0"/>
    <n v="2412"/>
    <x v="0"/>
    <s v="Juan David Lagos Rodriguez"/>
    <s v="TECUCT"/>
    <x v="4"/>
    <n v="1"/>
    <x v="0"/>
    <x v="1"/>
    <x v="1"/>
    <x v="0"/>
    <s v="Coordinadora"/>
    <s v="3038877 -84151113422"/>
    <d v="2025-01-23T00:00:00"/>
    <d v="2025-01-24T00:00:00"/>
    <x v="0"/>
    <n v="0"/>
    <n v="1"/>
    <s v="Cumple"/>
    <n v="24885"/>
    <m/>
    <m/>
  </r>
  <r>
    <d v="2025-01-24T00:00:00"/>
    <x v="0"/>
    <n v="2413"/>
    <x v="0"/>
    <s v="Jorge Luis Monroy Herrera"/>
    <s v="TECU3FNPRO"/>
    <x v="12"/>
    <n v="1"/>
    <x v="1"/>
    <x v="2"/>
    <x v="2"/>
    <x v="0"/>
    <s v="Coordinadora"/>
    <s v="3041057 -84151114405"/>
    <d v="2025-01-24T00:00:00"/>
    <d v="2025-01-27T00:00:00"/>
    <x v="0"/>
    <n v="0"/>
    <n v="2"/>
    <s v="Cumple"/>
    <n v="62467"/>
    <m/>
    <m/>
  </r>
  <r>
    <d v="2025-01-24T00:00:00"/>
    <x v="0"/>
    <n v="2413"/>
    <x v="0"/>
    <s v="Jorge Luis Monroy Herrera"/>
    <s v="TECUTFE8M"/>
    <x v="33"/>
    <n v="1"/>
    <x v="2"/>
    <x v="2"/>
    <x v="2"/>
    <x v="0"/>
    <s v="Coordinadora"/>
    <s v="3041058 -84151114407"/>
    <d v="2025-01-24T00:00:00"/>
    <d v="2025-01-27T00:00:00"/>
    <x v="0"/>
    <n v="0"/>
    <n v="2"/>
    <s v="Cumple"/>
    <n v="44340"/>
    <m/>
    <m/>
  </r>
  <r>
    <d v="2025-01-24T00:00:00"/>
    <x v="0"/>
    <n v="2414"/>
    <x v="0"/>
    <s v="Julio Castellanos"/>
    <s v="TECU3FBRO"/>
    <x v="34"/>
    <n v="1"/>
    <x v="1"/>
    <x v="1"/>
    <x v="1"/>
    <x v="0"/>
    <s v="Coordinadora"/>
    <s v="3041064 -84151114410"/>
    <d v="2025-01-24T00:00:00"/>
    <d v="2025-01-25T00:00:00"/>
    <x v="0"/>
    <n v="0"/>
    <n v="1"/>
    <s v="Cumple"/>
    <n v="42921"/>
    <m/>
    <m/>
  </r>
  <r>
    <d v="2025-01-24T00:00:00"/>
    <x v="0"/>
    <n v="2414"/>
    <x v="0"/>
    <s v="Julio Castellanos"/>
    <s v="TECUTFE7M"/>
    <x v="35"/>
    <n v="1"/>
    <x v="2"/>
    <x v="1"/>
    <x v="1"/>
    <x v="0"/>
    <s v="Coordinadora"/>
    <s v="3041066 -84151114411"/>
    <d v="2025-01-24T00:00:00"/>
    <d v="2025-01-27T00:00:00"/>
    <x v="0"/>
    <n v="0"/>
    <n v="2"/>
    <s v="Cumple"/>
    <n v="24093"/>
    <m/>
    <m/>
  </r>
  <r>
    <d v="2025-01-24T00:00:00"/>
    <x v="0"/>
    <n v="2414"/>
    <x v="0"/>
    <s v="Julio Castellanos"/>
    <m/>
    <x v="10"/>
    <n v="1"/>
    <x v="3"/>
    <x v="1"/>
    <x v="1"/>
    <x v="0"/>
    <s v="Coordinadora"/>
    <s v="NA"/>
    <s v="NA"/>
    <s v="NA"/>
    <x v="0"/>
    <e v="#VALUE!"/>
    <e v="#VALUE!"/>
    <e v="#VALUE!"/>
    <m/>
    <m/>
    <m/>
  </r>
  <r>
    <d v="2025-01-24T00:00:00"/>
    <x v="0"/>
    <n v="2415"/>
    <x v="0"/>
    <s v="Julio Castellanos"/>
    <s v="TECUBDPA"/>
    <x v="1"/>
    <n v="1"/>
    <x v="0"/>
    <x v="1"/>
    <x v="1"/>
    <x v="0"/>
    <s v="Coordinadora"/>
    <s v="3041074 -84151114418"/>
    <d v="2025-01-24T00:00:00"/>
    <d v="2025-01-25T00:00:00"/>
    <x v="0"/>
    <n v="0"/>
    <n v="1"/>
    <s v="Cumple"/>
    <n v="16617"/>
    <m/>
    <m/>
  </r>
  <r>
    <d v="2025-01-24T00:00:00"/>
    <x v="0"/>
    <n v="2416"/>
    <x v="0"/>
    <s v="Juan Pablo Romero Bernal"/>
    <s v="TECU2FNG"/>
    <x v="5"/>
    <n v="1"/>
    <x v="1"/>
    <x v="1"/>
    <x v="1"/>
    <x v="0"/>
    <s v="Coordinadora"/>
    <s v="3041082 -84151114424"/>
    <d v="2025-01-24T00:00:00"/>
    <d v="2025-01-28T00:00:00"/>
    <x v="0"/>
    <n v="0"/>
    <n v="3"/>
    <s v="Cumple"/>
    <n v="41593"/>
    <m/>
    <m/>
  </r>
  <r>
    <d v="2025-01-24T00:00:00"/>
    <x v="0"/>
    <n v="2416"/>
    <x v="0"/>
    <s v="Juan Pablo Romero Bernal"/>
    <s v="TECUTFE5C"/>
    <x v="29"/>
    <n v="1"/>
    <x v="2"/>
    <x v="1"/>
    <x v="1"/>
    <x v="0"/>
    <s v="Coordinadora"/>
    <s v="3041083 -84151114425"/>
    <d v="2025-01-24T00:00:00"/>
    <d v="2025-01-28T00:00:00"/>
    <x v="0"/>
    <n v="0"/>
    <n v="3"/>
    <s v="Cumple"/>
    <n v="24093"/>
    <m/>
    <m/>
  </r>
  <r>
    <d v="2025-01-24T00:00:00"/>
    <x v="0"/>
    <n v="2417"/>
    <x v="0"/>
    <s v="Rosemery Carrillo"/>
    <s v="TECU3FNPRO"/>
    <x v="12"/>
    <n v="1"/>
    <x v="1"/>
    <x v="1"/>
    <x v="1"/>
    <x v="0"/>
    <s v="Coordinadora"/>
    <s v="3041165 -84151114467"/>
    <d v="2025-01-24T00:00:00"/>
    <d v="2025-01-27T00:00:00"/>
    <x v="0"/>
    <n v="0"/>
    <n v="2"/>
    <s v="Cumple"/>
    <n v="42921"/>
    <m/>
    <m/>
  </r>
  <r>
    <d v="2025-01-24T00:00:00"/>
    <x v="0"/>
    <n v="2418"/>
    <x v="0"/>
    <s v="Angela Patricia Duque Gutierrez"/>
    <s v="TECU3FNPRO"/>
    <x v="12"/>
    <n v="1"/>
    <x v="1"/>
    <x v="9"/>
    <x v="15"/>
    <x v="0"/>
    <s v="Entrega directa"/>
    <s v="Entrega en la bodega a la cliente"/>
    <d v="2025-01-24T00:00:00"/>
    <d v="2025-01-24T00:00:00"/>
    <x v="0"/>
    <n v="0"/>
    <n v="0"/>
    <e v="#N/A"/>
    <n v="0"/>
    <m/>
    <m/>
  </r>
  <r>
    <d v="2025-01-24T00:00:00"/>
    <x v="0"/>
    <n v="2419"/>
    <x v="0"/>
    <s v="Ricardo Mesa Gallego"/>
    <s v="TECUCT"/>
    <x v="4"/>
    <n v="1"/>
    <x v="0"/>
    <x v="0"/>
    <x v="8"/>
    <x v="0"/>
    <s v="Coordinadora"/>
    <s v="3041884 - 84151114874"/>
    <d v="2025-01-24T00:00:00"/>
    <d v="2025-01-25T00:00:00"/>
    <x v="0"/>
    <n v="0"/>
    <n v="1"/>
    <s v="Cumple"/>
    <n v="24885"/>
    <m/>
    <m/>
  </r>
  <r>
    <d v="2025-01-27T00:00:00"/>
    <x v="0"/>
    <n v="2420"/>
    <x v="0"/>
    <s v="Cristian Laguado"/>
    <s v="TECU3FNPRO"/>
    <x v="12"/>
    <n v="1"/>
    <x v="1"/>
    <x v="1"/>
    <x v="1"/>
    <x v="0"/>
    <s v="Coordinadora"/>
    <s v="3053751 - 84151119935"/>
    <d v="2025-01-30T00:00:00"/>
    <d v="2025-02-01T00:00:00"/>
    <x v="0"/>
    <n v="3"/>
    <n v="5"/>
    <s v="No cumple"/>
    <n v="42921"/>
    <m/>
    <m/>
  </r>
  <r>
    <d v="2025-01-27T00:00:00"/>
    <x v="0"/>
    <n v="2420"/>
    <x v="0"/>
    <s v="Cristian Laguado"/>
    <s v="TECUTRM5C"/>
    <x v="27"/>
    <n v="1"/>
    <x v="2"/>
    <x v="1"/>
    <x v="1"/>
    <x v="0"/>
    <s v="Coordinadora"/>
    <s v="3053752 - 84151119936"/>
    <d v="2025-01-30T00:00:00"/>
    <d v="2025-02-04T00:00:00"/>
    <x v="0"/>
    <n v="3"/>
    <n v="7"/>
    <s v="No cumple"/>
    <n v="24593"/>
    <m/>
    <m/>
  </r>
  <r>
    <d v="2025-01-27T00:00:00"/>
    <x v="0"/>
    <n v="2421"/>
    <x v="0"/>
    <s v="Carlos Salazar"/>
    <s v="TECUROD"/>
    <x v="31"/>
    <n v="1"/>
    <x v="7"/>
    <x v="10"/>
    <x v="16"/>
    <x v="0"/>
    <s v="Coordinadora"/>
    <s v="3048222 - 84151117369"/>
    <d v="2025-01-28T00:00:00"/>
    <d v="2025-01-29T00:00:00"/>
    <x v="0"/>
    <n v="1"/>
    <n v="2"/>
    <s v="Cumple"/>
    <n v="23875"/>
    <m/>
    <m/>
  </r>
  <r>
    <d v="2025-01-27T00:00:00"/>
    <x v="0"/>
    <n v="2422"/>
    <x v="0"/>
    <s v="Juan Angulo"/>
    <s v="TECUCT"/>
    <x v="4"/>
    <n v="1"/>
    <x v="0"/>
    <x v="2"/>
    <x v="2"/>
    <x v="0"/>
    <s v="Coordinadora"/>
    <s v="3048263 - 84151117376"/>
    <d v="2025-01-28T00:00:00"/>
    <d v="2025-01-30T00:00:00"/>
    <x v="0"/>
    <n v="1"/>
    <n v="3"/>
    <s v="Cumple"/>
    <n v="24885"/>
    <m/>
    <m/>
  </r>
  <r>
    <d v="2025-01-28T00:00:00"/>
    <x v="0"/>
    <n v="2423"/>
    <x v="0"/>
    <s v="Octavio De La Hoz Franco"/>
    <s v="TECU3FBRO"/>
    <x v="34"/>
    <n v="1"/>
    <x v="1"/>
    <x v="2"/>
    <x v="2"/>
    <x v="0"/>
    <s v="Coordinadora"/>
    <s v="3049137 - 84151117798"/>
    <d v="2025-01-28T00:00:00"/>
    <d v="2025-02-01T00:00:00"/>
    <x v="0"/>
    <n v="0"/>
    <n v="4"/>
    <s v="Cumple"/>
    <n v="62647"/>
    <m/>
    <m/>
  </r>
  <r>
    <d v="2025-01-28T00:00:00"/>
    <x v="0"/>
    <n v="2423"/>
    <x v="0"/>
    <s v="Octavio De La Hoz Franco"/>
    <s v="TECUTB20C"/>
    <x v="36"/>
    <n v="1"/>
    <x v="2"/>
    <x v="2"/>
    <x v="2"/>
    <x v="0"/>
    <s v="Coordinadora"/>
    <s v="3049139 - 84151117799"/>
    <d v="2025-01-28T00:00:00"/>
    <d v="2025-02-01T00:00:00"/>
    <x v="0"/>
    <n v="0"/>
    <n v="4"/>
    <s v="Cumple"/>
    <n v="44340"/>
    <m/>
    <m/>
  </r>
  <r>
    <d v="2025-01-28T00:00:00"/>
    <x v="0"/>
    <n v="2424"/>
    <x v="0"/>
    <s v="CARLOS ARTURO REYES ESCOBAR"/>
    <s v="TECU3FNPRO"/>
    <x v="12"/>
    <n v="1"/>
    <x v="1"/>
    <x v="6"/>
    <x v="17"/>
    <x v="0"/>
    <s v="Coordinadora"/>
    <s v="3050418 - 84151118335"/>
    <d v="2025-01-29T00:00:00"/>
    <d v="2025-01-31T00:00:00"/>
    <x v="0"/>
    <n v="1"/>
    <n v="3"/>
    <s v="Cumple"/>
    <n v="42921"/>
    <m/>
    <m/>
  </r>
  <r>
    <d v="2025-01-28T00:00:00"/>
    <x v="0"/>
    <n v="2424"/>
    <x v="0"/>
    <s v="CARLOS ARTURO REYES ESCOBAR"/>
    <s v="TECUTCO2C"/>
    <x v="37"/>
    <n v="1"/>
    <x v="2"/>
    <x v="6"/>
    <x v="17"/>
    <x v="0"/>
    <s v="Coordinadora"/>
    <s v="3050419 - 84151118336"/>
    <d v="2025-01-29T00:00:00"/>
    <d v="2025-01-31T00:00:00"/>
    <x v="0"/>
    <n v="1"/>
    <n v="3"/>
    <s v="Cumple"/>
    <n v="28741"/>
    <m/>
    <m/>
  </r>
  <r>
    <d v="2025-01-29T00:00:00"/>
    <x v="0"/>
    <n v="2425"/>
    <x v="0"/>
    <s v="Manuel eduardo Valdez mantero"/>
    <s v="TECU3FBRO"/>
    <x v="34"/>
    <n v="1"/>
    <x v="1"/>
    <x v="1"/>
    <x v="1"/>
    <x v="0"/>
    <s v="Coordinadora"/>
    <s v="3050613 - 84151118456"/>
    <d v="2025-01-29T00:00:00"/>
    <d v="2025-01-31T00:00:00"/>
    <x v="0"/>
    <n v="0"/>
    <n v="2"/>
    <s v="Cumple"/>
    <n v="42921"/>
    <m/>
    <m/>
  </r>
  <r>
    <d v="2025-01-29T00:00:00"/>
    <x v="0"/>
    <n v="2425"/>
    <x v="0"/>
    <s v="Manuel eduardo Valdez mantero"/>
    <s v="TECUTB7C"/>
    <x v="38"/>
    <n v="1"/>
    <x v="2"/>
    <x v="1"/>
    <x v="1"/>
    <x v="0"/>
    <s v="Coordinadora"/>
    <s v="3050615 - 84151118457"/>
    <d v="2025-01-29T00:00:00"/>
    <d v="2025-01-31T00:00:00"/>
    <x v="0"/>
    <n v="0"/>
    <n v="2"/>
    <s v="Cumple"/>
    <n v="24093"/>
    <m/>
    <m/>
  </r>
  <r>
    <d v="2025-01-30T00:00:00"/>
    <x v="0"/>
    <n v="2426"/>
    <x v="0"/>
    <s v="Rodrigo Rivera"/>
    <s v="TECU3FNPRO"/>
    <x v="12"/>
    <n v="1"/>
    <x v="1"/>
    <x v="6"/>
    <x v="17"/>
    <x v="0"/>
    <s v="Coordinadora"/>
    <s v="3052581 - 84151119369"/>
    <d v="2025-01-30T00:00:00"/>
    <d v="2025-02-01T00:00:00"/>
    <x v="0"/>
    <n v="0"/>
    <n v="2"/>
    <s v="Cumple"/>
    <n v="42921"/>
    <m/>
    <m/>
  </r>
  <r>
    <d v="2025-01-30T00:00:00"/>
    <x v="0"/>
    <n v="2426"/>
    <x v="0"/>
    <s v="Rodrigo Rivera"/>
    <s v="TECUTCO8C"/>
    <x v="19"/>
    <n v="1"/>
    <x v="2"/>
    <x v="6"/>
    <x v="17"/>
    <x v="0"/>
    <s v="Coordinadora"/>
    <s v="3052583 - 84151119370"/>
    <d v="2025-01-30T00:00:00"/>
    <d v="2025-02-01T00:00:00"/>
    <x v="0"/>
    <n v="0"/>
    <n v="2"/>
    <s v="Cumple"/>
    <n v="26749"/>
    <m/>
    <m/>
  </r>
  <r>
    <d v="2025-01-30T00:00:00"/>
    <x v="0"/>
    <n v="2427"/>
    <x v="0"/>
    <s v="María Manuela Bueno Tavera"/>
    <s v="TECU3FBRO"/>
    <x v="34"/>
    <n v="1"/>
    <x v="1"/>
    <x v="1"/>
    <x v="1"/>
    <x v="0"/>
    <s v="Coordinadora"/>
    <s v="3053317 - 84151119704"/>
    <d v="2025-01-30T00:00:00"/>
    <d v="2025-01-31T00:00:00"/>
    <x v="0"/>
    <n v="0"/>
    <n v="1"/>
    <s v="Cumple"/>
    <n v="42921"/>
    <m/>
    <m/>
  </r>
  <r>
    <d v="2025-01-30T00:00:00"/>
    <x v="0"/>
    <n v="2427"/>
    <x v="0"/>
    <s v="María Manuela Bueno Tavera"/>
    <s v="TECUTFE3C"/>
    <x v="39"/>
    <n v="1"/>
    <x v="2"/>
    <x v="1"/>
    <x v="1"/>
    <x v="0"/>
    <s v="Coordinadora"/>
    <s v="3053318 - 84151119705"/>
    <d v="2025-01-30T00:00:00"/>
    <d v="2025-01-31T00:00:00"/>
    <x v="0"/>
    <n v="0"/>
    <n v="1"/>
    <s v="Cumple"/>
    <n v="28741"/>
    <m/>
    <m/>
  </r>
  <r>
    <d v="2025-01-30T00:00:00"/>
    <x v="0"/>
    <n v="2428"/>
    <x v="0"/>
    <s v="Nicolas Enciso Calle"/>
    <s v="TECU2FNG"/>
    <x v="5"/>
    <n v="1"/>
    <x v="1"/>
    <x v="0"/>
    <x v="8"/>
    <x v="0"/>
    <s v="Coordinadora"/>
    <s v="3053377 - 84151119723"/>
    <d v="2025-01-30T00:00:00"/>
    <d v="2025-01-31T00:00:00"/>
    <x v="0"/>
    <n v="0"/>
    <n v="1"/>
    <s v="Cumple"/>
    <n v="41593"/>
    <m/>
    <m/>
  </r>
  <r>
    <d v="2025-01-30T00:00:00"/>
    <x v="0"/>
    <n v="2428"/>
    <x v="0"/>
    <s v="Nicolas Enciso Calle"/>
    <s v="TECUTRN6C"/>
    <x v="20"/>
    <n v="1"/>
    <x v="2"/>
    <x v="0"/>
    <x v="8"/>
    <x v="0"/>
    <s v="Coordinadora"/>
    <s v="3053379 - 84151119725"/>
    <d v="2025-01-30T00:00:00"/>
    <d v="2025-01-31T00:00:00"/>
    <x v="0"/>
    <n v="0"/>
    <n v="1"/>
    <s v="Cumple"/>
    <n v="24093"/>
    <m/>
    <m/>
  </r>
  <r>
    <d v="2025-01-31T00:00:00"/>
    <x v="0"/>
    <n v="2429"/>
    <x v="0"/>
    <s v="Geovanny Mendoza Gonzalez"/>
    <s v="TECU3FNPRO"/>
    <x v="12"/>
    <n v="1"/>
    <x v="1"/>
    <x v="2"/>
    <x v="2"/>
    <x v="0"/>
    <s v="Coordinadora"/>
    <s v="3059087 - 84151121970"/>
    <d v="2025-02-03T00:00:00"/>
    <d v="2025-02-05T00:00:00"/>
    <x v="0"/>
    <n v="2"/>
    <n v="4"/>
    <s v="Cumple"/>
    <n v="62467"/>
    <m/>
    <m/>
  </r>
  <r>
    <d v="2025-01-31T00:00:00"/>
    <x v="0"/>
    <n v="2429"/>
    <x v="0"/>
    <s v="Geovanny Mendoza Gonzalez"/>
    <s v="TECUTCO5M"/>
    <x v="40"/>
    <n v="1"/>
    <x v="2"/>
    <x v="2"/>
    <x v="2"/>
    <x v="0"/>
    <s v="Coordinadora"/>
    <s v="3059089 - 84151121971"/>
    <d v="2025-02-03T00:00:00"/>
    <d v="2025-02-05T00:00:00"/>
    <x v="0"/>
    <n v="2"/>
    <n v="4"/>
    <s v="Cumple"/>
    <n v="39078"/>
    <m/>
    <m/>
  </r>
  <r>
    <d v="2025-01-31T00:00:00"/>
    <x v="0"/>
    <n v="2430"/>
    <x v="0"/>
    <s v="john ibanez"/>
    <s v="TECU3FNPRO"/>
    <x v="12"/>
    <n v="1"/>
    <x v="1"/>
    <x v="1"/>
    <x v="1"/>
    <x v="0"/>
    <s v="Coordinadora"/>
    <s v="3059099 - 84151121978"/>
    <d v="2025-02-03T00:00:00"/>
    <d v="2025-02-05T00:00:00"/>
    <x v="0"/>
    <n v="2"/>
    <n v="4"/>
    <s v="No cumple"/>
    <n v="42921"/>
    <m/>
    <m/>
  </r>
  <r>
    <d v="2025-01-31T00:00:00"/>
    <x v="0"/>
    <n v="2430"/>
    <x v="0"/>
    <s v="john ibanez"/>
    <s v="TECUTCO8C"/>
    <x v="19"/>
    <n v="1"/>
    <x v="2"/>
    <x v="1"/>
    <x v="1"/>
    <x v="0"/>
    <s v="Coordinadora"/>
    <s v="3059100 - 84151121979"/>
    <d v="2025-02-03T00:00:00"/>
    <d v="2025-02-05T00:00:00"/>
    <x v="0"/>
    <n v="2"/>
    <n v="4"/>
    <s v="No cumple"/>
    <n v="26749"/>
    <m/>
    <m/>
  </r>
  <r>
    <d v="2025-01-31T00:00:00"/>
    <x v="0"/>
    <n v="2430"/>
    <x v="0"/>
    <s v="john ibanez"/>
    <s v="TECUROD"/>
    <x v="31"/>
    <n v="1"/>
    <x v="7"/>
    <x v="1"/>
    <x v="1"/>
    <x v="0"/>
    <s v="Coordinadora"/>
    <s v="3059107 - 84151121983"/>
    <d v="2025-02-03T00:00:00"/>
    <d v="2025-02-05T00:00:00"/>
    <x v="0"/>
    <n v="2"/>
    <n v="4"/>
    <s v="No cumple"/>
    <n v="23875"/>
    <m/>
    <m/>
  </r>
  <r>
    <d v="2025-02-02T00:00:00"/>
    <x v="1"/>
    <n v="2431"/>
    <x v="0"/>
    <s v="Patricia Luna Pamplona"/>
    <s v="TECU3FBRO"/>
    <x v="34"/>
    <n v="1"/>
    <x v="1"/>
    <x v="1"/>
    <x v="1"/>
    <x v="0"/>
    <s v="Coordinadora"/>
    <s v="3059121 - 84151121990"/>
    <d v="2025-02-03T00:00:00"/>
    <d v="2025-02-07T00:00:00"/>
    <x v="0"/>
    <n v="0"/>
    <n v="4"/>
    <s v="No cumple"/>
    <n v="42921"/>
    <m/>
    <m/>
  </r>
  <r>
    <d v="2025-02-02T00:00:00"/>
    <x v="1"/>
    <n v="2431"/>
    <x v="0"/>
    <s v="Patricia Luna Pamplona"/>
    <s v="TECUTB5M"/>
    <x v="41"/>
    <n v="1"/>
    <x v="2"/>
    <x v="1"/>
    <x v="1"/>
    <x v="0"/>
    <s v="Coordinadora"/>
    <s v="3059122 - 84151121991"/>
    <d v="2025-02-03T00:00:00"/>
    <d v="2025-02-05T00:00:00"/>
    <x v="0"/>
    <n v="0"/>
    <n v="2"/>
    <s v="Cumple"/>
    <n v="24093"/>
    <m/>
    <m/>
  </r>
  <r>
    <d v="2025-02-02T00:00:00"/>
    <x v="1"/>
    <n v="2431"/>
    <x v="0"/>
    <s v="Patricia Luna Pamplona"/>
    <s v="TECUBDPM"/>
    <x v="0"/>
    <n v="1"/>
    <x v="0"/>
    <x v="1"/>
    <x v="1"/>
    <x v="0"/>
    <s v="Coordinadora"/>
    <s v="3059143 - 84151122002"/>
    <d v="2025-02-03T00:00:00"/>
    <d v="2025-02-05T00:00:00"/>
    <x v="0"/>
    <n v="0"/>
    <n v="2"/>
    <s v="Cumple"/>
    <n v="16617"/>
    <m/>
    <m/>
  </r>
  <r>
    <d v="2025-02-02T00:00:00"/>
    <x v="1"/>
    <n v="2432"/>
    <x v="0"/>
    <s v="Edgar Federico Rodríguez Aranda"/>
    <s v="TECURCC"/>
    <x v="42"/>
    <n v="1"/>
    <x v="6"/>
    <x v="1"/>
    <x v="1"/>
    <x v="0"/>
    <s v="Coordinadora"/>
    <s v="3059168 - 84151122021"/>
    <d v="2025-02-03T00:00:00"/>
    <d v="2025-02-06T00:00:00"/>
    <x v="0"/>
    <n v="0"/>
    <n v="3"/>
    <s v="Cumple"/>
    <n v="23429"/>
    <m/>
    <m/>
  </r>
  <r>
    <d v="2025-02-02T00:00:00"/>
    <x v="1"/>
    <n v="2433"/>
    <x v="0"/>
    <s v="Laura Yepes Aranda"/>
    <s v="TECU3FNPRO"/>
    <x v="12"/>
    <n v="1"/>
    <x v="1"/>
    <x v="0"/>
    <x v="8"/>
    <x v="0"/>
    <s v="Coordinadora"/>
    <s v="3064792 - 84151123684"/>
    <d v="2025-02-04T00:00:00"/>
    <d v="2025-02-05T00:00:00"/>
    <x v="0"/>
    <n v="1"/>
    <n v="2"/>
    <s v="Cumple"/>
    <n v="42921"/>
    <m/>
    <m/>
  </r>
  <r>
    <d v="2025-02-02T00:00:00"/>
    <x v="1"/>
    <n v="2433"/>
    <x v="0"/>
    <s v="Laura Yepes Aranda"/>
    <s v="TECUTFE7M"/>
    <x v="35"/>
    <n v="1"/>
    <x v="2"/>
    <x v="0"/>
    <x v="8"/>
    <x v="0"/>
    <s v="Coordinadora"/>
    <s v="3064793 - 84151123685"/>
    <d v="2025-02-04T00:00:00"/>
    <d v="2025-02-05T00:00:00"/>
    <x v="0"/>
    <n v="1"/>
    <n v="2"/>
    <s v="Cumple"/>
    <n v="24093"/>
    <m/>
    <m/>
  </r>
  <r>
    <d v="2025-02-02T00:00:00"/>
    <x v="1"/>
    <n v="2433"/>
    <x v="0"/>
    <s v="Laura Yepes Aranda"/>
    <s v="TECUAFE"/>
    <x v="43"/>
    <n v="1"/>
    <x v="5"/>
    <x v="0"/>
    <x v="8"/>
    <x v="0"/>
    <s v="Envia"/>
    <s v="3067195 - 954101143183"/>
    <d v="2025-02-04T00:00:00"/>
    <d v="2025-02-06T00:00:00"/>
    <x v="0"/>
    <n v="1"/>
    <n v="3"/>
    <s v="Cumple"/>
    <n v="65682"/>
    <m/>
    <m/>
  </r>
  <r>
    <d v="2025-02-02T00:00:00"/>
    <x v="1"/>
    <n v="2433"/>
    <x v="0"/>
    <s v="Laura Yepes Aranda"/>
    <s v="TECUBLS"/>
    <x v="32"/>
    <n v="1"/>
    <x v="0"/>
    <x v="0"/>
    <x v="8"/>
    <x v="0"/>
    <s v="Coordinadora"/>
    <s v="3064802 -84151123689"/>
    <d v="2025-02-04T00:00:00"/>
    <d v="2025-02-05T00:00:00"/>
    <x v="0"/>
    <n v="1"/>
    <n v="2"/>
    <s v="Cumple"/>
    <n v="24885"/>
    <m/>
    <m/>
  </r>
  <r>
    <d v="2025-02-03T00:00:00"/>
    <x v="1"/>
    <n v="2434"/>
    <x v="0"/>
    <s v="Darwin Saenz"/>
    <s v="TECUACO"/>
    <x v="15"/>
    <n v="1"/>
    <x v="5"/>
    <x v="1"/>
    <x v="1"/>
    <x v="0"/>
    <s v="Envia"/>
    <s v="3067483 - 954101143262"/>
    <d v="2025-02-04T00:00:00"/>
    <d v="2025-02-06T00:00:00"/>
    <x v="0"/>
    <n v="1"/>
    <n v="3"/>
    <s v="Cumple"/>
    <n v="54929"/>
    <m/>
    <m/>
  </r>
  <r>
    <d v="2025-02-03T00:00:00"/>
    <x v="1"/>
    <n v="2435"/>
    <x v="0"/>
    <s v="Andres Adolfo Hernandez Celis"/>
    <s v="TECU3FNPRO"/>
    <x v="12"/>
    <n v="1"/>
    <x v="1"/>
    <x v="1"/>
    <x v="1"/>
    <x v="0"/>
    <s v="Coordinadora"/>
    <s v="3064808 - 84151123691"/>
    <d v="2025-02-04T00:00:00"/>
    <d v="2025-02-06T00:00:00"/>
    <x v="0"/>
    <n v="1"/>
    <n v="3"/>
    <s v="Cumple"/>
    <n v="42921"/>
    <m/>
    <m/>
  </r>
  <r>
    <d v="2025-02-03T00:00:00"/>
    <x v="1"/>
    <n v="2435"/>
    <x v="0"/>
    <s v="Andres Adolfo Hernandez Celis"/>
    <s v="TECUTCO8C"/>
    <x v="19"/>
    <n v="1"/>
    <x v="2"/>
    <x v="1"/>
    <x v="1"/>
    <x v="0"/>
    <s v="Coordinadora"/>
    <s v="3064809 - 84151123692"/>
    <d v="2025-02-04T00:00:00"/>
    <d v="2025-02-06T00:00:00"/>
    <x v="0"/>
    <n v="1"/>
    <n v="3"/>
    <s v="Cumple"/>
    <n v="26749"/>
    <m/>
    <m/>
  </r>
  <r>
    <d v="2025-02-03T00:00:00"/>
    <x v="1"/>
    <n v="2435"/>
    <x v="0"/>
    <s v="Andres Adolfo Hernandez Celis"/>
    <m/>
    <x v="44"/>
    <n v="1"/>
    <x v="3"/>
    <x v="1"/>
    <x v="1"/>
    <x v="0"/>
    <s v="Coordinadora"/>
    <s v="NA"/>
    <s v="NA"/>
    <s v="NA"/>
    <x v="0"/>
    <e v="#VALUE!"/>
    <e v="#VALUE!"/>
    <e v="#VALUE!"/>
    <m/>
    <m/>
    <m/>
  </r>
  <r>
    <d v="2025-02-04T00:00:00"/>
    <x v="1"/>
    <n v="2436"/>
    <x v="0"/>
    <s v="Jorge Andrés Martin González"/>
    <s v="TECU3FNPRO"/>
    <x v="12"/>
    <n v="1"/>
    <x v="1"/>
    <x v="1"/>
    <x v="1"/>
    <x v="0"/>
    <s v="Coordinadora"/>
    <s v="3064827 - 84151123703"/>
    <d v="2025-02-04T00:00:00"/>
    <d v="2025-02-06T00:00:00"/>
    <x v="0"/>
    <n v="0"/>
    <n v="2"/>
    <s v="Cumple"/>
    <n v="42921"/>
    <m/>
    <m/>
  </r>
  <r>
    <d v="2025-02-10T00:00:00"/>
    <x v="1"/>
    <n v="2437"/>
    <x v="0"/>
    <s v="Luis Angel Hernandez Barreto"/>
    <s v="TECU3FNPRO"/>
    <x v="12"/>
    <n v="1"/>
    <x v="1"/>
    <x v="1"/>
    <x v="18"/>
    <x v="0"/>
    <s v="Coordinadora"/>
    <s v="3076529 - 84151128765"/>
    <d v="2025-02-10T00:00:00"/>
    <d v="2025-02-12T00:00:00"/>
    <x v="0"/>
    <n v="0"/>
    <n v="2"/>
    <e v="#N/A"/>
    <n v="42921"/>
    <m/>
    <m/>
  </r>
  <r>
    <d v="2025-02-10T00:00:00"/>
    <x v="1"/>
    <n v="2437"/>
    <x v="0"/>
    <s v="Luis Angel Hernandez Barreto"/>
    <s v="TECUTFE4C"/>
    <x v="14"/>
    <n v="1"/>
    <x v="2"/>
    <x v="1"/>
    <x v="18"/>
    <x v="0"/>
    <s v="Coordinadora"/>
    <s v="3076530 - 84151128766"/>
    <d v="2025-02-10T00:00:00"/>
    <d v="2025-02-12T00:00:00"/>
    <x v="0"/>
    <n v="0"/>
    <n v="2"/>
    <e v="#N/A"/>
    <n v="24093"/>
    <m/>
    <m/>
  </r>
  <r>
    <d v="2025-02-10T00:00:00"/>
    <x v="1"/>
    <n v="2438"/>
    <x v="0"/>
    <s v="Alejandro León Marín"/>
    <s v="TECU3FNPRO"/>
    <x v="12"/>
    <n v="1"/>
    <x v="1"/>
    <x v="1"/>
    <x v="1"/>
    <x v="0"/>
    <s v="Coordinadora"/>
    <s v="3076861 - 84151128959"/>
    <d v="2025-02-10T00:00:00"/>
    <d v="2025-02-12T00:00:00"/>
    <x v="0"/>
    <n v="0"/>
    <n v="2"/>
    <s v="Cumple"/>
    <n v="42921"/>
    <m/>
    <m/>
  </r>
  <r>
    <d v="2025-02-10T00:00:00"/>
    <x v="1"/>
    <n v="2438"/>
    <x v="0"/>
    <s v="Alejandro León Marín"/>
    <s v="TECUTCO6C"/>
    <x v="16"/>
    <n v="1"/>
    <x v="2"/>
    <x v="1"/>
    <x v="1"/>
    <x v="0"/>
    <s v="Coordinadora"/>
    <s v="3076862 - 84151128960"/>
    <d v="2025-02-10T00:00:00"/>
    <d v="2025-02-12T00:00:00"/>
    <x v="0"/>
    <n v="0"/>
    <n v="2"/>
    <s v="Cumple"/>
    <n v="24093"/>
    <m/>
    <m/>
  </r>
  <r>
    <d v="2025-02-10T00:00:00"/>
    <x v="1"/>
    <n v="2438"/>
    <x v="0"/>
    <s v="Alejandro León Marín"/>
    <s v="TECUBDPM"/>
    <x v="0"/>
    <n v="1"/>
    <x v="0"/>
    <x v="1"/>
    <x v="1"/>
    <x v="0"/>
    <s v="Coordinadora"/>
    <s v="3076871 - 84151128965"/>
    <d v="2025-02-10T00:00:00"/>
    <d v="2025-02-12T00:00:00"/>
    <x v="0"/>
    <n v="0"/>
    <n v="2"/>
    <s v="Cumple"/>
    <n v="16617"/>
    <m/>
    <m/>
  </r>
  <r>
    <d v="2025-02-10T00:00:00"/>
    <x v="1"/>
    <n v="2438"/>
    <x v="0"/>
    <s v="Alejandro León Marín"/>
    <s v="TECUCT"/>
    <x v="4"/>
    <n v="1"/>
    <x v="0"/>
    <x v="1"/>
    <x v="1"/>
    <x v="0"/>
    <s v="Coordinadora"/>
    <s v="3076866 - 84151128963"/>
    <d v="2025-02-10T00:00:00"/>
    <d v="2025-02-12T00:00:00"/>
    <x v="0"/>
    <n v="0"/>
    <n v="2"/>
    <s v="Cumple"/>
    <n v="24885"/>
    <m/>
    <m/>
  </r>
  <r>
    <d v="2025-02-10T00:00:00"/>
    <x v="1"/>
    <n v="2438"/>
    <x v="0"/>
    <s v="Alejandro León Marín"/>
    <m/>
    <x v="44"/>
    <n v="1"/>
    <x v="3"/>
    <x v="1"/>
    <x v="1"/>
    <x v="0"/>
    <s v="Coordinadora"/>
    <s v="NA"/>
    <s v="NA"/>
    <s v="NA"/>
    <x v="0"/>
    <m/>
    <m/>
    <m/>
    <m/>
    <m/>
    <m/>
  </r>
  <r>
    <d v="2025-02-11T00:00:00"/>
    <x v="1"/>
    <n v="2439"/>
    <x v="0"/>
    <s v="SARA GALLON"/>
    <s v="TECU3FNPRO"/>
    <x v="12"/>
    <n v="1"/>
    <x v="1"/>
    <x v="0"/>
    <x v="8"/>
    <x v="0"/>
    <s v="Coordinadora"/>
    <s v="3079084 - 84151129998"/>
    <d v="2025-02-11T00:00:00"/>
    <d v="2025-02-12T00:00:00"/>
    <x v="0"/>
    <n v="0"/>
    <n v="1"/>
    <s v="Cumple"/>
    <n v="42921"/>
    <m/>
    <m/>
  </r>
  <r>
    <d v="2025-02-11T00:00:00"/>
    <x v="1"/>
    <n v="2440"/>
    <x v="0"/>
    <s v="Johanna Rodero"/>
    <s v="TECUAB"/>
    <x v="45"/>
    <n v="1"/>
    <x v="5"/>
    <x v="1"/>
    <x v="1"/>
    <x v="0"/>
    <s v="Coordinadora"/>
    <s v="3079174 - 954101147482"/>
    <d v="2025-02-11T00:00:00"/>
    <d v="2025-02-12T00:00:00"/>
    <x v="0"/>
    <n v="0"/>
    <n v="1"/>
    <s v="Cumple"/>
    <n v="54929"/>
    <m/>
    <m/>
  </r>
  <r>
    <d v="2025-02-11T00:00:00"/>
    <x v="1"/>
    <n v="2441"/>
    <x v="0"/>
    <s v="Sebastian Casas"/>
    <s v="TECULFN2"/>
    <x v="7"/>
    <n v="1"/>
    <x v="1"/>
    <x v="1"/>
    <x v="1"/>
    <x v="0"/>
    <s v="Coordinadora"/>
    <s v="3079240 - 84151130081"/>
    <d v="2025-02-11T00:00:00"/>
    <d v="2025-02-12T00:00:00"/>
    <x v="0"/>
    <n v="0"/>
    <n v="1"/>
    <s v="Cumple"/>
    <n v="62530"/>
    <m/>
    <m/>
  </r>
  <r>
    <d v="2025-02-11T00:00:00"/>
    <x v="1"/>
    <n v="2441"/>
    <x v="0"/>
    <s v="Sebastian Casas"/>
    <s v="TECUTLCCS"/>
    <x v="46"/>
    <n v="1"/>
    <x v="2"/>
    <x v="1"/>
    <x v="1"/>
    <x v="0"/>
    <s v="Coordinadora"/>
    <s v="3079242 - 84151130082"/>
    <d v="2025-02-11T00:00:00"/>
    <d v="2025-02-12T00:00:00"/>
    <x v="0"/>
    <n v="0"/>
    <n v="1"/>
    <s v="Cumple"/>
    <n v="26749"/>
    <m/>
    <m/>
  </r>
  <r>
    <d v="2025-02-13T00:00:00"/>
    <x v="1"/>
    <n v="2442"/>
    <x v="0"/>
    <s v="Camilo Pimentel Gomez"/>
    <s v="TECU2FNG"/>
    <x v="5"/>
    <n v="1"/>
    <x v="1"/>
    <x v="1"/>
    <x v="1"/>
    <x v="0"/>
    <s v="Coordinadora"/>
    <s v="3084198 - 84151132452"/>
    <d v="2025-02-13T00:00:00"/>
    <d v="2025-02-15T00:00:00"/>
    <x v="0"/>
    <n v="0"/>
    <n v="2"/>
    <s v="Cumple"/>
    <n v="41593"/>
    <m/>
    <m/>
  </r>
  <r>
    <d v="2025-02-13T00:00:00"/>
    <x v="1"/>
    <n v="2442"/>
    <x v="0"/>
    <s v="Camilo Pimentel Gomez"/>
    <s v="TECUTCO2C"/>
    <x v="37"/>
    <n v="1"/>
    <x v="2"/>
    <x v="1"/>
    <x v="1"/>
    <x v="0"/>
    <s v="Coordinadora"/>
    <s v="3084199 - 84151132453"/>
    <d v="2025-02-13T00:00:00"/>
    <d v="2025-02-17T00:00:00"/>
    <x v="0"/>
    <n v="0"/>
    <n v="3"/>
    <s v="Cumple"/>
    <n v="24093"/>
    <m/>
    <m/>
  </r>
  <r>
    <d v="2025-02-14T00:00:00"/>
    <x v="1"/>
    <n v="2443"/>
    <x v="0"/>
    <s v="rodrigo rivera alarcon"/>
    <s v="TECU3FNPRO"/>
    <x v="12"/>
    <n v="1"/>
    <x v="1"/>
    <x v="6"/>
    <x v="17"/>
    <x v="0"/>
    <s v="Coordinadora"/>
    <s v="3085936 - 84151133206"/>
    <d v="2025-02-14T00:00:00"/>
    <d v="2025-02-15T00:00:00"/>
    <x v="0"/>
    <n v="0"/>
    <n v="1"/>
    <s v="Cumple"/>
    <n v="42921"/>
    <m/>
    <m/>
  </r>
  <r>
    <d v="2025-02-14T00:00:00"/>
    <x v="1"/>
    <n v="2443"/>
    <x v="0"/>
    <s v="rodrigo rivera alarcon"/>
    <s v="TECUTCO6C"/>
    <x v="16"/>
    <n v="1"/>
    <x v="2"/>
    <x v="6"/>
    <x v="17"/>
    <x v="0"/>
    <s v="Coordinadora"/>
    <s v="3085937 - 84151133207"/>
    <d v="2025-02-14T00:00:00"/>
    <d v="2025-02-15T00:00:00"/>
    <x v="0"/>
    <n v="0"/>
    <n v="1"/>
    <s v="Cumple"/>
    <n v="24093"/>
    <m/>
    <m/>
  </r>
  <r>
    <d v="2025-02-14T00:00:00"/>
    <x v="1"/>
    <n v="2444"/>
    <x v="0"/>
    <s v="Antonella Ramirez"/>
    <s v="TECU2FBGO"/>
    <x v="2"/>
    <n v="1"/>
    <x v="1"/>
    <x v="11"/>
    <x v="19"/>
    <x v="0"/>
    <s v="Coordinadora"/>
    <s v="3090347 - 84151134931"/>
    <d v="2025-02-17T00:00:00"/>
    <d v="2025-02-18T00:00:00"/>
    <x v="0"/>
    <n v="2"/>
    <n v="3"/>
    <s v="Cumple"/>
    <n v="34156"/>
    <m/>
    <m/>
  </r>
  <r>
    <d v="2025-02-14T00:00:00"/>
    <x v="1"/>
    <n v="2444"/>
    <x v="0"/>
    <s v="Antonella Ramirez"/>
    <s v="TECUTB3C"/>
    <x v="47"/>
    <n v="1"/>
    <x v="2"/>
    <x v="11"/>
    <x v="19"/>
    <x v="0"/>
    <s v="Coordinadora"/>
    <s v="3090348 - 84151134932"/>
    <d v="2025-02-17T00:00:00"/>
    <d v="2025-02-18T00:00:00"/>
    <x v="0"/>
    <n v="2"/>
    <n v="3"/>
    <s v="Cumple"/>
    <n v="15194"/>
    <m/>
    <m/>
  </r>
  <r>
    <d v="2025-02-17T00:00:00"/>
    <x v="1"/>
    <n v="2445"/>
    <x v="0"/>
    <s v="Andres Torres"/>
    <s v="TECUROD"/>
    <x v="31"/>
    <n v="2"/>
    <x v="7"/>
    <x v="1"/>
    <x v="1"/>
    <x v="0"/>
    <s v="Coordinadora"/>
    <s v="3090669 - 84151135081"/>
    <d v="2025-02-17T00:00:00"/>
    <d v="2025-02-18T00:00:00"/>
    <x v="0"/>
    <n v="0"/>
    <n v="1"/>
    <s v="Cumple"/>
    <n v="23875"/>
    <m/>
    <m/>
  </r>
  <r>
    <d v="2025-02-17T00:00:00"/>
    <x v="1"/>
    <n v="2446"/>
    <x v="0"/>
    <s v="Shorelight Education Colombia SAS"/>
    <s v="TECU2FNG"/>
    <x v="5"/>
    <n v="1"/>
    <x v="1"/>
    <x v="1"/>
    <x v="1"/>
    <x v="0"/>
    <s v="Coordinadora"/>
    <s v="3091001 - 84151135253"/>
    <d v="2025-02-17T00:00:00"/>
    <d v="2025-02-18T00:00:00"/>
    <x v="0"/>
    <n v="0"/>
    <n v="1"/>
    <s v="Cumple"/>
    <n v="41593"/>
    <m/>
    <m/>
  </r>
  <r>
    <d v="2025-02-17T00:00:00"/>
    <x v="1"/>
    <n v="2446"/>
    <x v="0"/>
    <s v="Shorelight Education Colombia SAS"/>
    <s v="TECUTCO3C"/>
    <x v="23"/>
    <n v="1"/>
    <x v="2"/>
    <x v="1"/>
    <x v="1"/>
    <x v="0"/>
    <s v="Coordinadora"/>
    <s v="3091002 - 84151135254"/>
    <d v="2025-02-17T00:00:00"/>
    <d v="2025-02-18T00:00:00"/>
    <x v="0"/>
    <n v="0"/>
    <n v="1"/>
    <s v="Cumple"/>
    <n v="24093"/>
    <m/>
    <m/>
  </r>
  <r>
    <d v="2025-02-17T00:00:00"/>
    <x v="1"/>
    <n v="2447"/>
    <x v="0"/>
    <s v="INMOTICA LTDA"/>
    <s v="TECU3FNPRO"/>
    <x v="12"/>
    <n v="1"/>
    <x v="1"/>
    <x v="1"/>
    <x v="1"/>
    <x v="0"/>
    <s v="Coordinadora"/>
    <s v="3093202 - 84151136273"/>
    <d v="2025-02-18T00:00:00"/>
    <d v="2025-02-19T00:00:00"/>
    <x v="0"/>
    <n v="1"/>
    <n v="2"/>
    <s v="Cumple"/>
    <n v="42921"/>
    <m/>
    <m/>
  </r>
  <r>
    <d v="2025-02-17T00:00:00"/>
    <x v="1"/>
    <n v="2447"/>
    <x v="0"/>
    <s v="INMOTICA LTDA"/>
    <s v="TECUTFE6M"/>
    <x v="48"/>
    <n v="1"/>
    <x v="2"/>
    <x v="1"/>
    <x v="1"/>
    <x v="0"/>
    <s v="Coordinadora"/>
    <s v="3093203 - 84151136274"/>
    <d v="2025-02-18T00:00:00"/>
    <d v="2025-02-20T00:00:00"/>
    <x v="0"/>
    <n v="1"/>
    <n v="3"/>
    <s v="Cumple"/>
    <n v="24093"/>
    <m/>
    <m/>
  </r>
  <r>
    <d v="2025-02-18T00:00:00"/>
    <x v="1"/>
    <n v="2448"/>
    <x v="0"/>
    <s v="Maria Bueno"/>
    <s v="TECU2FBGO"/>
    <x v="2"/>
    <n v="1"/>
    <x v="1"/>
    <x v="1"/>
    <x v="1"/>
    <x v="0"/>
    <s v="Coordinadora"/>
    <s v="3093212 - 84151136283"/>
    <d v="2025-02-18T00:00:00"/>
    <d v="2025-02-19T00:00:00"/>
    <x v="0"/>
    <n v="0"/>
    <n v="1"/>
    <s v="Cumple"/>
    <n v="41593"/>
    <m/>
    <m/>
  </r>
  <r>
    <d v="2025-02-18T00:00:00"/>
    <x v="1"/>
    <n v="2448"/>
    <x v="0"/>
    <s v="Maria Bueno"/>
    <s v="TECUTFE4C"/>
    <x v="14"/>
    <n v="1"/>
    <x v="2"/>
    <x v="1"/>
    <x v="1"/>
    <x v="0"/>
    <s v="Coordinadora"/>
    <s v="3093214 - 84151136284"/>
    <d v="2025-02-18T00:00:00"/>
    <d v="2025-02-20T00:00:00"/>
    <x v="0"/>
    <n v="0"/>
    <n v="2"/>
    <s v="Cumple"/>
    <n v="24093"/>
    <m/>
    <m/>
  </r>
  <r>
    <d v="2025-02-18T00:00:00"/>
    <x v="1"/>
    <n v="2448"/>
    <x v="0"/>
    <s v="Maria Bueno"/>
    <s v="TECUAFE"/>
    <x v="43"/>
    <n v="1"/>
    <x v="5"/>
    <x v="1"/>
    <x v="1"/>
    <x v="0"/>
    <s v="Envia"/>
    <s v="3093235 - 954101152921"/>
    <d v="2025-02-18T00:00:00"/>
    <d v="2025-02-19T00:00:00"/>
    <x v="0"/>
    <n v="0"/>
    <n v="1"/>
    <s v="Cumple"/>
    <n v="54929"/>
    <m/>
    <m/>
  </r>
  <r>
    <d v="2025-02-18T00:00:00"/>
    <x v="1"/>
    <n v="2448"/>
    <x v="0"/>
    <s v="Maria Bueno"/>
    <s v="TECUBDPM"/>
    <x v="0"/>
    <n v="1"/>
    <x v="0"/>
    <x v="1"/>
    <x v="1"/>
    <x v="0"/>
    <s v="Coordinadora"/>
    <s v="3093225 - 84151136289"/>
    <d v="2025-02-18T00:00:00"/>
    <d v="2025-02-19T00:00:00"/>
    <x v="0"/>
    <n v="0"/>
    <n v="1"/>
    <s v="Cumple"/>
    <n v="16617"/>
    <m/>
    <m/>
  </r>
  <r>
    <d v="2025-02-19T00:00:00"/>
    <x v="1"/>
    <n v="2449"/>
    <x v="0"/>
    <s v="Esteban de Bedout"/>
    <s v="TECUACO"/>
    <x v="15"/>
    <n v="1"/>
    <x v="5"/>
    <x v="1"/>
    <x v="1"/>
    <x v="0"/>
    <s v="Envia"/>
    <s v="3094269 - 954101153161"/>
    <d v="2025-02-18T00:00:00"/>
    <d v="2025-02-19T00:00:00"/>
    <x v="0"/>
    <n v="-3"/>
    <n v="0"/>
    <s v="Cumple"/>
    <n v="65682"/>
    <m/>
    <m/>
  </r>
  <r>
    <d v="2025-02-19T00:00:00"/>
    <x v="1"/>
    <n v="2450"/>
    <x v="0"/>
    <s v="Antonia Estrada"/>
    <s v="TECU2FNG"/>
    <x v="5"/>
    <n v="1"/>
    <x v="1"/>
    <x v="0"/>
    <x v="5"/>
    <x v="0"/>
    <s v="Coordinadora"/>
    <s v="3096424 - 84151137576"/>
    <d v="2025-02-18T00:00:00"/>
    <d v="2025-02-20T00:00:00"/>
    <x v="0"/>
    <n v="-3"/>
    <n v="1"/>
    <s v="Cumple"/>
    <n v="41593"/>
    <m/>
    <m/>
  </r>
  <r>
    <d v="2025-02-19T00:00:00"/>
    <x v="1"/>
    <n v="2450"/>
    <x v="0"/>
    <s v="Antonia Estrada"/>
    <s v="TECUTRN6C"/>
    <x v="20"/>
    <n v="1"/>
    <x v="2"/>
    <x v="0"/>
    <x v="5"/>
    <x v="0"/>
    <s v="Coordinadora"/>
    <s v="3096425 - 84151137577"/>
    <d v="2025-02-18T00:00:00"/>
    <d v="2025-02-20T00:00:00"/>
    <x v="0"/>
    <n v="-3"/>
    <n v="1"/>
    <s v="Cumple"/>
    <n v="24093"/>
    <m/>
    <m/>
  </r>
  <r>
    <d v="2025-02-19T00:00:00"/>
    <x v="1"/>
    <n v="2451"/>
    <x v="0"/>
    <s v="ZAFERI SAS"/>
    <s v="TECUACC"/>
    <x v="49"/>
    <n v="1"/>
    <x v="5"/>
    <x v="0"/>
    <x v="5"/>
    <x v="0"/>
    <s v="Envia"/>
    <s v="3097652 - 954101154334"/>
    <d v="2025-02-19T00:00:00"/>
    <d v="2025-02-20T00:00:00"/>
    <x v="0"/>
    <n v="0"/>
    <n v="1"/>
    <s v="Cumple"/>
    <n v="65682"/>
    <m/>
    <m/>
  </r>
  <r>
    <d v="2025-02-19T00:00:00"/>
    <x v="1"/>
    <n v="2451"/>
    <x v="0"/>
    <s v="ZAFERI SAS"/>
    <s v="TECUCT"/>
    <x v="4"/>
    <n v="1"/>
    <x v="0"/>
    <x v="0"/>
    <x v="5"/>
    <x v="0"/>
    <s v="Envia"/>
    <s v="3097666 - 954101154347"/>
    <d v="2025-02-19T00:00:00"/>
    <d v="2025-02-20T00:00:00"/>
    <x v="0"/>
    <n v="0"/>
    <n v="1"/>
    <s v="Cumple"/>
    <n v="20376"/>
    <m/>
    <m/>
  </r>
  <r>
    <d v="2025-02-23T00:00:00"/>
    <x v="1"/>
    <n v="2452"/>
    <x v="0"/>
    <s v="Daniel Corrales"/>
    <s v="TECULFN2"/>
    <x v="7"/>
    <n v="1"/>
    <x v="1"/>
    <x v="1"/>
    <x v="1"/>
    <x v="0"/>
    <s v="Coordinadora"/>
    <s v="3105541 - 84151141166"/>
    <d v="2025-02-24T00:00:00"/>
    <d v="2025-02-26T00:00:00"/>
    <x v="1"/>
    <n v="0"/>
    <s v="PTE"/>
    <s v="PTE"/>
    <n v="62530"/>
    <m/>
    <m/>
  </r>
  <r>
    <d v="2025-02-23T00:00:00"/>
    <x v="1"/>
    <n v="2452"/>
    <x v="0"/>
    <s v="Daniel Corrales"/>
    <s v="TECUTLCCS"/>
    <x v="46"/>
    <n v="1"/>
    <x v="2"/>
    <x v="1"/>
    <x v="1"/>
    <x v="0"/>
    <s v="Coordinadora"/>
    <s v="3105542 - 84151141167"/>
    <d v="2025-02-24T00:00:00"/>
    <d v="2025-02-26T00:00:00"/>
    <x v="1"/>
    <n v="0"/>
    <s v="PTE"/>
    <s v="PTE"/>
    <n v="25749"/>
    <m/>
    <m/>
  </r>
  <r>
    <d v="2025-02-05T00:00:00"/>
    <x v="1"/>
    <n v="2430"/>
    <x v="1"/>
    <s v="john ibanez"/>
    <s v="TECUTCO8C"/>
    <x v="19"/>
    <n v="1"/>
    <x v="2"/>
    <x v="1"/>
    <x v="1"/>
    <x v="0"/>
    <s v="Coordinadora"/>
    <s v="3069906 - 954101144256"/>
    <d v="2025-02-06T00:00:00"/>
    <d v="2025-02-07T00:00:00"/>
    <x v="0"/>
    <n v="1"/>
    <n v="2"/>
    <s v="Cumple"/>
    <n v="30834"/>
    <m/>
    <m/>
  </r>
  <r>
    <d v="2025-02-24T00:00:00"/>
    <x v="1"/>
    <n v="2454"/>
    <x v="0"/>
    <s v="Kevin Lopez"/>
    <s v="TECU2FNG"/>
    <x v="5"/>
    <n v="1"/>
    <x v="1"/>
    <x v="1"/>
    <x v="20"/>
    <x v="0"/>
    <s v="Coordinadora"/>
    <s v="3109084 -84151142667"/>
    <d v="2025-02-25T00:00:00"/>
    <d v="2025-02-27T15:00:19"/>
    <x v="0"/>
    <n v="1"/>
    <n v="3"/>
    <s v="Cumple"/>
    <n v="41593"/>
    <m/>
    <m/>
  </r>
  <r>
    <d v="2025-02-24T00:00:00"/>
    <x v="1"/>
    <n v="2454"/>
    <x v="0"/>
    <s v="Kevin Lopez"/>
    <s v="TECUTFE4C"/>
    <x v="14"/>
    <n v="1"/>
    <x v="2"/>
    <x v="1"/>
    <x v="20"/>
    <x v="0"/>
    <s v="Coordinadora"/>
    <s v="3109085 -84151142668"/>
    <d v="2025-02-25T00:00:00"/>
    <d v="2025-02-27T15:05:28"/>
    <x v="0"/>
    <n v="1"/>
    <n v="3"/>
    <s v="Cumple"/>
    <n v="24093"/>
    <m/>
    <m/>
  </r>
  <r>
    <d v="2025-02-25T00:00:00"/>
    <x v="1"/>
    <n v="2455"/>
    <x v="0"/>
    <s v="Kevin Lopez"/>
    <s v="TECU2FBGO"/>
    <x v="2"/>
    <n v="1"/>
    <x v="1"/>
    <x v="1"/>
    <x v="20"/>
    <x v="0"/>
    <s v="Coordinadora"/>
    <s v="3109094 -84151142672"/>
    <d v="2025-02-25T00:00:00"/>
    <d v="2025-02-27T15:05:28"/>
    <x v="0"/>
    <n v="0"/>
    <n v="2"/>
    <s v="Cumple"/>
    <n v="41593"/>
    <m/>
    <m/>
  </r>
  <r>
    <d v="2025-02-25T00:00:00"/>
    <x v="1"/>
    <n v="2455"/>
    <x v="0"/>
    <s v="Kevin Lopez"/>
    <s v="TECUTFE4C"/>
    <x v="14"/>
    <n v="1"/>
    <x v="2"/>
    <x v="1"/>
    <x v="20"/>
    <x v="0"/>
    <s v="Coordinadora"/>
    <s v="3109095 -84151142673"/>
    <d v="2025-02-25T00:00:00"/>
    <d v="2025-02-27T15:00:19"/>
    <x v="0"/>
    <n v="0"/>
    <n v="2"/>
    <s v="Cumple"/>
    <n v="24093"/>
    <m/>
    <m/>
  </r>
  <r>
    <d v="2025-02-25T00:00:00"/>
    <x v="1"/>
    <n v="2456"/>
    <x v="0"/>
    <s v="Juan Daniel Tobar Parada / SERVICIOS ESTRATEGICOS CMH, SAPI DE CV"/>
    <s v="TECU3FNPRO"/>
    <x v="12"/>
    <n v="1"/>
    <x v="1"/>
    <x v="1"/>
    <x v="1"/>
    <x v="0"/>
    <s v="Coordinadora"/>
    <s v="3109970 -84151143085"/>
    <d v="2025-02-26T00:00:00"/>
    <d v="2025-02-27T12:17:44"/>
    <x v="0"/>
    <n v="1"/>
    <n v="2"/>
    <s v="Cumple"/>
    <n v="42921"/>
    <m/>
    <m/>
  </r>
  <r>
    <d v="2025-02-25T00:00:00"/>
    <x v="1"/>
    <n v="2456"/>
    <x v="0"/>
    <s v="Juan Daniel Tobar Parada / SERVICIOS ESTRATEGICOS CMH, SAPI DE CV"/>
    <s v="TECUTRN2C"/>
    <x v="11"/>
    <n v="1"/>
    <x v="2"/>
    <x v="1"/>
    <x v="1"/>
    <x v="0"/>
    <s v="Coordinadora"/>
    <s v="3109971 -84151143086"/>
    <d v="2025-02-26T00:00:00"/>
    <d v="2025-02-27T12:17:44"/>
    <x v="0"/>
    <n v="1"/>
    <n v="2"/>
    <s v="Cumple"/>
    <n v="28741"/>
    <m/>
    <m/>
  </r>
  <r>
    <d v="2025-02-26T00:00:00"/>
    <x v="1"/>
    <n v="2457"/>
    <x v="0"/>
    <s v="Santiago Patiño"/>
    <s v="TECU3FNPRO"/>
    <x v="12"/>
    <n v="1"/>
    <x v="1"/>
    <x v="0"/>
    <x v="8"/>
    <x v="0"/>
    <s v="Coordinadora"/>
    <s v="3112625 -84151144131"/>
    <d v="2025-02-27T00:00:00"/>
    <d v="1906-09-23T00:00:00"/>
    <x v="0"/>
    <n v="1"/>
    <n v="-37076"/>
    <s v="Cumple"/>
    <n v="42921"/>
    <m/>
    <m/>
  </r>
  <r>
    <d v="2025-02-26T00:00:00"/>
    <x v="1"/>
    <n v="2457"/>
    <x v="0"/>
    <s v="Santiago Patiño"/>
    <s v="TECUTCO4C"/>
    <x v="6"/>
    <n v="1"/>
    <x v="2"/>
    <x v="0"/>
    <x v="8"/>
    <x v="0"/>
    <s v="Coordinadora"/>
    <s v="3112627 -84151144132"/>
    <d v="2025-02-27T00:00:00"/>
    <d v="2025-02-27T09:53:23"/>
    <x v="0"/>
    <n v="1"/>
    <n v="1"/>
    <s v="Cumple"/>
    <n v="24093"/>
    <m/>
    <m/>
  </r>
  <r>
    <d v="2025-02-26T00:00:00"/>
    <x v="1"/>
    <n v="2457"/>
    <x v="0"/>
    <s v="Santiago Patiño"/>
    <s v="TECUROD"/>
    <x v="31"/>
    <n v="1"/>
    <x v="7"/>
    <x v="0"/>
    <x v="8"/>
    <x v="0"/>
    <s v="Coordinadora"/>
    <s v="3112637 -84151144139"/>
    <d v="2025-02-27T00:00:00"/>
    <d v="2025-02-27T09:53:23"/>
    <x v="0"/>
    <n v="1"/>
    <n v="1"/>
    <s v="Cumple"/>
    <n v="23875"/>
    <m/>
    <m/>
  </r>
  <r>
    <d v="2025-02-27T00:00:00"/>
    <x v="1"/>
    <n v="2458"/>
    <x v="0"/>
    <s v="Laura Romero"/>
    <s v="TECU2FBGO"/>
    <x v="2"/>
    <n v="1"/>
    <x v="1"/>
    <x v="1"/>
    <x v="21"/>
    <x v="0"/>
    <s v="Coordinadora"/>
    <s v="3117134 -84151145965"/>
    <d v="2025-02-28T00:00:00"/>
    <d v="2025-03-03T14:06:50"/>
    <x v="0"/>
    <n v="1"/>
    <n v="3"/>
    <s v="Cumple"/>
    <n v="41593"/>
    <m/>
    <m/>
  </r>
  <r>
    <d v="2025-02-27T00:00:00"/>
    <x v="1"/>
    <n v="2458"/>
    <x v="0"/>
    <s v="Laura Romero"/>
    <s v="TECUTFE4C"/>
    <x v="14"/>
    <n v="1"/>
    <x v="2"/>
    <x v="1"/>
    <x v="21"/>
    <x v="0"/>
    <s v="Coordinadora"/>
    <s v="3117136 -84151145966"/>
    <d v="2025-02-28T00:00:00"/>
    <d v="2025-03-03T14:06:50"/>
    <x v="0"/>
    <n v="1"/>
    <n v="3"/>
    <s v="Cumple"/>
    <n v="24093"/>
    <m/>
    <m/>
  </r>
  <r>
    <d v="2025-02-27T00:00:00"/>
    <x v="1"/>
    <n v="2458"/>
    <x v="0"/>
    <s v="Laura Romero"/>
    <s v="TECUROD"/>
    <x v="31"/>
    <n v="1"/>
    <x v="7"/>
    <x v="1"/>
    <x v="21"/>
    <x v="0"/>
    <s v="Coordinadora"/>
    <s v="3117170 -84151145983"/>
    <d v="2025-02-28T00:00:00"/>
    <d v="2025-03-03T14:06:50"/>
    <x v="0"/>
    <n v="1"/>
    <n v="3"/>
    <s v="Cumple"/>
    <n v="23875"/>
    <m/>
    <m/>
  </r>
  <r>
    <d v="2025-02-28T00:00:00"/>
    <x v="1"/>
    <n v="2459"/>
    <x v="0"/>
    <s v="Oscar Mauricio Pacheco Saavedra"/>
    <s v="TECUBDPA"/>
    <x v="1"/>
    <n v="1"/>
    <x v="0"/>
    <x v="0"/>
    <x v="5"/>
    <x v="0"/>
    <s v="Coordinadora"/>
    <s v="3117207 -84151145988"/>
    <d v="2025-02-28T00:00:00"/>
    <d v="2025-03-01T13:52:27"/>
    <x v="0"/>
    <n v="0"/>
    <n v="1"/>
    <s v="Cumple"/>
    <n v="16617"/>
    <m/>
    <m/>
  </r>
  <r>
    <d v="2025-02-28T00:00:00"/>
    <x v="1"/>
    <n v="2460"/>
    <x v="0"/>
    <s v="Juan Daniel Tobar Parada / SERVICIOS ESTRATEGICOS CMH, SAPI DE CV"/>
    <s v="TECUCT"/>
    <x v="4"/>
    <n v="1"/>
    <x v="0"/>
    <x v="1"/>
    <x v="1"/>
    <x v="0"/>
    <s v="Coordinadora"/>
    <s v="3117224 -84151145997"/>
    <d v="2025-02-28T00:00:00"/>
    <d v="2025-03-01T17:16:43"/>
    <x v="0"/>
    <n v="0"/>
    <n v="1"/>
    <s v="Cumple"/>
    <n v="24885"/>
    <m/>
    <m/>
  </r>
  <r>
    <d v="2025-02-28T00:00:00"/>
    <x v="1"/>
    <n v="2461"/>
    <x v="0"/>
    <s v="Afranio Cardona Gomez"/>
    <s v="TECU3FNPRO"/>
    <x v="12"/>
    <n v="1"/>
    <x v="1"/>
    <x v="5"/>
    <x v="9"/>
    <x v="2"/>
    <s v="Coordinadora"/>
    <m/>
    <m/>
    <m/>
    <x v="0"/>
    <s v="PTE"/>
    <n v="-39185"/>
    <s v="Cumple"/>
    <m/>
    <m/>
    <m/>
  </r>
  <r>
    <d v="2025-02-28T00:00:00"/>
    <x v="1"/>
    <n v="2461"/>
    <x v="0"/>
    <s v="Afranio Cardona Gomez"/>
    <s v="TECUTRM8C"/>
    <x v="50"/>
    <n v="1"/>
    <x v="2"/>
    <x v="5"/>
    <x v="9"/>
    <x v="2"/>
    <s v="Coordinadora"/>
    <m/>
    <m/>
    <m/>
    <x v="0"/>
    <s v="PTE"/>
    <n v="-39185"/>
    <s v="Cumple"/>
    <m/>
    <m/>
    <m/>
  </r>
  <r>
    <d v="2025-02-28T00:00:00"/>
    <x v="1"/>
    <n v="2461"/>
    <x v="0"/>
    <s v="Afranio Cardona Gomez"/>
    <s v="TECUACO"/>
    <x v="15"/>
    <n v="1"/>
    <x v="5"/>
    <x v="5"/>
    <x v="9"/>
    <x v="2"/>
    <s v="Coordinadora"/>
    <m/>
    <m/>
    <m/>
    <x v="0"/>
    <s v="PTE"/>
    <n v="-39185"/>
    <s v="Cumple"/>
    <m/>
    <m/>
    <m/>
  </r>
  <r>
    <d v="2025-02-28T00:00:00"/>
    <x v="1"/>
    <n v="2461"/>
    <x v="0"/>
    <s v="Afranio Cardona Gomez"/>
    <s v="TECUBDPA"/>
    <x v="1"/>
    <n v="1"/>
    <x v="0"/>
    <x v="5"/>
    <x v="9"/>
    <x v="2"/>
    <s v="Coordinadora"/>
    <m/>
    <m/>
    <m/>
    <x v="0"/>
    <s v="PTE"/>
    <n v="-39185"/>
    <s v="Cumple"/>
    <m/>
    <m/>
    <m/>
  </r>
  <r>
    <d v="2025-03-01T00:00:00"/>
    <x v="2"/>
    <n v="2462"/>
    <x v="0"/>
    <s v="Jhon Anderson Monroy Cardenas"/>
    <s v="TECU3FNPRO"/>
    <x v="12"/>
    <n v="1"/>
    <x v="1"/>
    <x v="0"/>
    <x v="8"/>
    <x v="0"/>
    <s v="Coordinadora"/>
    <s v="3121638 -84151148036"/>
    <d v="2025-03-03T15:51:33"/>
    <d v="2025-03-04T10:03:23"/>
    <x v="0"/>
    <n v="1"/>
    <n v="2"/>
    <s v="Cumple"/>
    <n v="42921"/>
    <m/>
    <m/>
  </r>
  <r>
    <d v="2025-03-01T00:00:00"/>
    <x v="2"/>
    <n v="2462"/>
    <x v="0"/>
    <s v="Jhon Anderson Monroy Cardenas"/>
    <s v="TECUTB8M"/>
    <x v="51"/>
    <n v="1"/>
    <x v="2"/>
    <x v="0"/>
    <x v="8"/>
    <x v="0"/>
    <s v="Coordinadora"/>
    <s v="3121640 -84151148037"/>
    <d v="2025-03-03T15:51:33"/>
    <d v="2025-03-04T10:20:02"/>
    <x v="0"/>
    <n v="1"/>
    <n v="2"/>
    <s v="Cumple"/>
    <n v="26749"/>
    <m/>
    <m/>
  </r>
  <r>
    <d v="2025-03-02T00:00:00"/>
    <x v="2"/>
    <n v="2463"/>
    <x v="0"/>
    <s v="Jorge Delgado"/>
    <s v="TECU2FBGO"/>
    <x v="2"/>
    <n v="1"/>
    <x v="1"/>
    <x v="6"/>
    <x v="17"/>
    <x v="0"/>
    <s v="Coordinadora"/>
    <s v="3121907 -84151148156"/>
    <d v="2025-03-03T15:51:33"/>
    <d v="2025-03-04T11:34:12"/>
    <x v="0"/>
    <n v="0"/>
    <n v="1"/>
    <s v="Cumple"/>
    <n v="41593"/>
    <m/>
    <m/>
  </r>
  <r>
    <d v="2025-03-02T00:00:00"/>
    <x v="2"/>
    <n v="2463"/>
    <x v="0"/>
    <s v="Jorge Delgado"/>
    <s v="TECUTFE3C"/>
    <x v="39"/>
    <n v="1"/>
    <x v="2"/>
    <x v="6"/>
    <x v="17"/>
    <x v="0"/>
    <s v="Coordinadora"/>
    <s v="3121913 -84151148159"/>
    <d v="2025-03-03T15:51:33"/>
    <d v="2025-03-04T11:34:12"/>
    <x v="0"/>
    <n v="0"/>
    <n v="1"/>
    <s v="Cumple"/>
    <n v="24093"/>
    <m/>
    <m/>
  </r>
  <r>
    <d v="2025-03-03T00:00:00"/>
    <x v="2"/>
    <n v="2464"/>
    <x v="0"/>
    <s v="Juan David Herrera Martinez"/>
    <s v="TECU3FBRO"/>
    <x v="34"/>
    <n v="1"/>
    <x v="1"/>
    <x v="0"/>
    <x v="8"/>
    <x v="0"/>
    <s v="Coordinadora"/>
    <s v="3121937 -84151148173"/>
    <d v="2025-03-03T15:51:33"/>
    <d v="2025-03-04T10:07:44"/>
    <x v="0"/>
    <n v="0"/>
    <n v="1"/>
    <s v="Cumple"/>
    <n v="42921"/>
    <m/>
    <m/>
  </r>
  <r>
    <d v="2025-03-03T00:00:00"/>
    <x v="2"/>
    <n v="2464"/>
    <x v="0"/>
    <s v="Juan David Herrera Martinez"/>
    <s v="TECUTFE5C"/>
    <x v="29"/>
    <n v="1"/>
    <x v="2"/>
    <x v="0"/>
    <x v="8"/>
    <x v="0"/>
    <s v="Coordinadora"/>
    <s v="3121938 -84151148174"/>
    <d v="2025-03-03T15:51:33"/>
    <d v="2025-03-04T10:07:44"/>
    <x v="0"/>
    <n v="0"/>
    <n v="1"/>
    <s v="Cumple"/>
    <n v="24093"/>
    <m/>
    <m/>
  </r>
  <r>
    <d v="2025-03-03T00:00:00"/>
    <x v="2"/>
    <n v="2465"/>
    <x v="0"/>
    <s v="Luis Gabriel García Ramírez"/>
    <s v="TECU3FBRO"/>
    <x v="34"/>
    <n v="1"/>
    <x v="1"/>
    <x v="0"/>
    <x v="22"/>
    <x v="0"/>
    <s v="Coordinadora"/>
    <s v="3127560 -84151149937"/>
    <d v="2025-03-04T15:47:29"/>
    <d v="2025-03-05T18:20:04"/>
    <x v="0"/>
    <n v="1"/>
    <n v="2"/>
    <e v="#N/A"/>
    <n v="42921"/>
    <m/>
    <m/>
  </r>
  <r>
    <d v="2025-03-03T00:00:00"/>
    <x v="2"/>
    <n v="2465"/>
    <x v="0"/>
    <s v="Luis Gabriel García Ramírez"/>
    <s v="TECUTFE5C"/>
    <x v="29"/>
    <n v="1"/>
    <x v="2"/>
    <x v="0"/>
    <x v="22"/>
    <x v="0"/>
    <s v="Coordinadora"/>
    <s v="3127562 -84151149938"/>
    <d v="2025-03-04T15:47:29"/>
    <d v="2025-03-05T18:20:04"/>
    <x v="0"/>
    <n v="1"/>
    <n v="2"/>
    <e v="#N/A"/>
    <n v="24093"/>
    <m/>
    <m/>
  </r>
  <r>
    <d v="2025-03-03T00:00:00"/>
    <x v="2"/>
    <n v="2466"/>
    <x v="0"/>
    <s v="Jorge Alberto Eslava Cogollos"/>
    <s v="TECURCO"/>
    <x v="30"/>
    <n v="1"/>
    <x v="6"/>
    <x v="1"/>
    <x v="1"/>
    <x v="0"/>
    <s v="Coordinadora"/>
    <s v="3127712 -84151150031"/>
    <d v="2025-03-04T15:47:29"/>
    <d v="2025-03-06T09:33:29"/>
    <x v="0"/>
    <n v="1"/>
    <n v="3"/>
    <s v="Cumple"/>
    <n v="23429"/>
    <m/>
    <m/>
  </r>
  <r>
    <d v="2025-03-04T00:00:00"/>
    <x v="2"/>
    <n v="2467"/>
    <x v="0"/>
    <s v="Camilo Luna"/>
    <s v="TECU3FNPRO"/>
    <x v="12"/>
    <n v="1"/>
    <x v="1"/>
    <x v="1"/>
    <x v="1"/>
    <x v="2"/>
    <s v="Coordinadora"/>
    <m/>
    <m/>
    <m/>
    <x v="0"/>
    <s v="PTE"/>
    <n v="-39188"/>
    <s v="Cumple"/>
    <m/>
    <m/>
    <m/>
  </r>
  <r>
    <d v="2025-03-04T00:00:00"/>
    <x v="2"/>
    <n v="2467"/>
    <x v="0"/>
    <s v="Camilo Luna"/>
    <s v="TECUTCO8C"/>
    <x v="19"/>
    <n v="1"/>
    <x v="2"/>
    <x v="1"/>
    <x v="1"/>
    <x v="2"/>
    <s v="Coordinadora"/>
    <m/>
    <m/>
    <m/>
    <x v="0"/>
    <s v="PTE"/>
    <n v="-39188"/>
    <s v="Cumple"/>
    <m/>
    <m/>
    <m/>
  </r>
  <r>
    <d v="2025-03-04T00:00:00"/>
    <x v="2"/>
    <n v="2467"/>
    <x v="0"/>
    <s v="Camilo Luna"/>
    <s v="TECUACO"/>
    <x v="15"/>
    <n v="1"/>
    <x v="5"/>
    <x v="1"/>
    <x v="1"/>
    <x v="2"/>
    <s v="Coordinadora"/>
    <m/>
    <m/>
    <m/>
    <x v="0"/>
    <s v="PTE"/>
    <n v="-39188"/>
    <s v="Cumple"/>
    <m/>
    <m/>
    <m/>
  </r>
  <r>
    <d v="2025-03-04T00:00:00"/>
    <x v="2"/>
    <n v="2468"/>
    <x v="0"/>
    <s v="Katherin Hernández"/>
    <s v="TECU3FNPRO"/>
    <x v="12"/>
    <n v="1"/>
    <x v="1"/>
    <x v="0"/>
    <x v="8"/>
    <x v="2"/>
    <s v="Coordinadora"/>
    <m/>
    <m/>
    <m/>
    <x v="0"/>
    <s v="PTE"/>
    <n v="-39188"/>
    <s v="Cumple"/>
    <m/>
    <m/>
    <m/>
  </r>
  <r>
    <d v="2025-03-04T00:00:00"/>
    <x v="2"/>
    <n v="2468"/>
    <x v="0"/>
    <s v="Katherin Hernández"/>
    <s v="TECUTCO5C"/>
    <x v="52"/>
    <n v="1"/>
    <x v="2"/>
    <x v="0"/>
    <x v="8"/>
    <x v="2"/>
    <s v="Coordinadora"/>
    <m/>
    <m/>
    <m/>
    <x v="0"/>
    <s v="PTE"/>
    <n v="-39188"/>
    <s v="Cumple"/>
    <m/>
    <m/>
    <m/>
  </r>
  <r>
    <d v="2025-03-04T00:00:00"/>
    <x v="2"/>
    <n v="2468"/>
    <x v="0"/>
    <s v="Katherin Hernández"/>
    <m/>
    <x v="44"/>
    <n v="1"/>
    <x v="3"/>
    <x v="0"/>
    <x v="8"/>
    <x v="0"/>
    <s v="Coordinadora"/>
    <s v="NA"/>
    <s v="NA"/>
    <s v="NA"/>
    <x v="0"/>
    <e v="#VALUE!"/>
    <e v="#VALUE!"/>
    <e v="#VALUE!"/>
    <m/>
    <m/>
    <m/>
  </r>
  <r>
    <d v="2025-03-04T00:00:00"/>
    <x v="2"/>
    <n v="2469"/>
    <x v="0"/>
    <s v="Mauro Aguilar Bustamante"/>
    <s v="TECU3FNPRO"/>
    <x v="12"/>
    <n v="1"/>
    <x v="1"/>
    <x v="0"/>
    <x v="23"/>
    <x v="2"/>
    <s v="Coordinadora"/>
    <m/>
    <m/>
    <m/>
    <x v="0"/>
    <s v="PTE"/>
    <n v="-39188"/>
    <s v="Cumple"/>
    <m/>
    <m/>
    <m/>
  </r>
  <r>
    <d v="2025-03-04T00:00:00"/>
    <x v="2"/>
    <n v="2469"/>
    <x v="0"/>
    <s v="Mauro Aguilar Bustamante"/>
    <s v="TECUTRN5M"/>
    <x v="53"/>
    <n v="1"/>
    <x v="2"/>
    <x v="0"/>
    <x v="23"/>
    <x v="2"/>
    <s v="Coordinadora"/>
    <m/>
    <m/>
    <m/>
    <x v="0"/>
    <s v="PTE"/>
    <n v="-39188"/>
    <s v="Cumple"/>
    <m/>
    <m/>
    <m/>
  </r>
  <r>
    <d v="2025-03-06T00:00:00"/>
    <x v="2"/>
    <n v="2470"/>
    <x v="0"/>
    <s v="Eric Mitchell"/>
    <s v="TECULFN2"/>
    <x v="7"/>
    <n v="1"/>
    <x v="1"/>
    <x v="0"/>
    <x v="5"/>
    <x v="2"/>
    <s v="Coordinadora"/>
    <m/>
    <m/>
    <m/>
    <x v="0"/>
    <s v="PTE"/>
    <n v="-39190"/>
    <s v="Cumple"/>
    <m/>
    <m/>
    <m/>
  </r>
  <r>
    <d v="2025-03-06T00:00:00"/>
    <x v="2"/>
    <n v="2470"/>
    <x v="0"/>
    <s v="Eric Mitchell"/>
    <s v="TECUTLNS"/>
    <x v="17"/>
    <n v="1"/>
    <x v="2"/>
    <x v="0"/>
    <x v="5"/>
    <x v="2"/>
    <s v="Coordinadora"/>
    <m/>
    <m/>
    <m/>
    <x v="0"/>
    <s v="PTE"/>
    <n v="-39190"/>
    <s v="Cumple"/>
    <m/>
    <m/>
    <m/>
  </r>
  <r>
    <d v="2025-03-06T00:00:00"/>
    <x v="2"/>
    <n v="2470"/>
    <x v="0"/>
    <s v="Eric Mitchell"/>
    <m/>
    <x v="44"/>
    <m/>
    <x v="3"/>
    <x v="0"/>
    <x v="5"/>
    <x v="0"/>
    <s v="Coordinadora"/>
    <s v="NA"/>
    <s v="NA"/>
    <s v="NA"/>
    <x v="0"/>
    <e v="#VALUE!"/>
    <e v="#VALUE!"/>
    <e v="#VALUE!"/>
    <m/>
    <m/>
    <m/>
  </r>
  <r>
    <d v="2025-03-06T00:00:00"/>
    <x v="2"/>
    <n v="2471"/>
    <x v="0"/>
    <s v="Daniel Turriago"/>
    <s v="TECU3FNPRO"/>
    <x v="12"/>
    <n v="1"/>
    <x v="1"/>
    <x v="1"/>
    <x v="1"/>
    <x v="2"/>
    <s v="Coordinadora"/>
    <m/>
    <m/>
    <m/>
    <x v="0"/>
    <s v="PTE"/>
    <n v="-39190"/>
    <s v="Cumple"/>
    <m/>
    <m/>
    <m/>
  </r>
  <r>
    <d v="2025-03-06T00:00:00"/>
    <x v="2"/>
    <n v="2471"/>
    <x v="0"/>
    <s v="Daniel Turriago"/>
    <s v="TECUTCO6C"/>
    <x v="16"/>
    <n v="1"/>
    <x v="2"/>
    <x v="1"/>
    <x v="1"/>
    <x v="2"/>
    <s v="Coordinadora"/>
    <m/>
    <m/>
    <m/>
    <x v="0"/>
    <s v="PTE"/>
    <n v="-39190"/>
    <s v="Cumple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d v="2025-01-01T00:00:00"/>
    <x v="0"/>
    <n v="2377"/>
    <x v="0"/>
    <s v="Cata Gómez"/>
    <s v="TECUBDPM"/>
    <x v="0"/>
    <n v="1"/>
    <x v="0"/>
    <x v="0"/>
    <x v="0"/>
    <x v="0"/>
    <s v="Coordinadora"/>
    <s v="3002937 -84151097246"/>
    <d v="2025-01-07T00:00:00"/>
    <d v="2025-01-08T00:00:00"/>
    <x v="0"/>
    <n v="0"/>
    <n v="1"/>
    <s v="Cumple"/>
    <n v="16617"/>
    <m/>
    <s v="Vacaciones TECU"/>
  </r>
  <r>
    <d v="2025-01-02T00:00:00"/>
    <x v="0"/>
    <n v="2378"/>
    <x v="0"/>
    <s v="Andres felipe Carreño"/>
    <s v="TECUBDPA"/>
    <x v="1"/>
    <n v="1"/>
    <x v="0"/>
    <x v="1"/>
    <x v="1"/>
    <x v="0"/>
    <s v="Coordinadora"/>
    <s v="3002977 -84151097273"/>
    <d v="2025-01-07T00:00:00"/>
    <d v="2025-01-08T00:00:00"/>
    <x v="0"/>
    <n v="0"/>
    <n v="1"/>
    <s v="Cumple"/>
    <n v="16617"/>
    <m/>
    <s v="Vacaciones TECU"/>
  </r>
  <r>
    <d v="2025-01-06T00:00:00"/>
    <x v="0"/>
    <n v="2379"/>
    <x v="0"/>
    <s v="Juan Guevara"/>
    <s v="TECU2FBGO"/>
    <x v="2"/>
    <n v="1"/>
    <x v="1"/>
    <x v="1"/>
    <x v="1"/>
    <x v="0"/>
    <s v="Coordinadora"/>
    <s v="3006333 -84151099203"/>
    <d v="2025-01-08T00:00:00"/>
    <d v="2025-01-10T00:00:00"/>
    <x v="0"/>
    <n v="1"/>
    <n v="3"/>
    <s v="Cumple"/>
    <n v="41593"/>
    <m/>
    <m/>
  </r>
  <r>
    <d v="2025-01-06T00:00:00"/>
    <x v="0"/>
    <n v="2379"/>
    <x v="0"/>
    <s v="Juan Guevara"/>
    <s v="TECUTFE2C"/>
    <x v="3"/>
    <n v="1"/>
    <x v="2"/>
    <x v="1"/>
    <x v="1"/>
    <x v="0"/>
    <s v="Coordinadora"/>
    <s v="3006334 -84151099205"/>
    <d v="2025-01-08T00:00:00"/>
    <d v="2025-01-10T00:00:00"/>
    <x v="0"/>
    <n v="1"/>
    <n v="3"/>
    <s v="Cumple"/>
    <n v="24093"/>
    <m/>
    <m/>
  </r>
  <r>
    <d v="2025-01-06T00:00:00"/>
    <x v="0"/>
    <n v="2379"/>
    <x v="0"/>
    <s v="Juan Guevara"/>
    <s v="TECUCT"/>
    <x v="4"/>
    <n v="1"/>
    <x v="0"/>
    <x v="1"/>
    <x v="1"/>
    <x v="0"/>
    <s v="Coordinadora"/>
    <s v="3006341 -84151099209"/>
    <d v="2025-01-08T00:00:00"/>
    <d v="2025-01-10T00:00:00"/>
    <x v="0"/>
    <n v="1"/>
    <n v="3"/>
    <s v="Cumple"/>
    <n v="24885"/>
    <m/>
    <m/>
  </r>
  <r>
    <d v="2025-01-06T00:00:00"/>
    <x v="0"/>
    <n v="2380"/>
    <x v="0"/>
    <s v="Juan Carlos Urbano"/>
    <s v="TECU2FNG"/>
    <x v="5"/>
    <n v="1"/>
    <x v="1"/>
    <x v="1"/>
    <x v="1"/>
    <x v="0"/>
    <s v="Coordinadora"/>
    <s v="3003131 -84151097381"/>
    <d v="2025-01-07T00:00:00"/>
    <d v="2025-01-08T00:00:00"/>
    <x v="0"/>
    <n v="0"/>
    <n v="1"/>
    <s v="Cumple"/>
    <n v="41593"/>
    <m/>
    <m/>
  </r>
  <r>
    <d v="2025-01-06T00:00:00"/>
    <x v="0"/>
    <n v="2380"/>
    <x v="0"/>
    <s v="Juan Carlos Urbano"/>
    <s v="TECUTCO4C"/>
    <x v="6"/>
    <n v="1"/>
    <x v="2"/>
    <x v="1"/>
    <x v="1"/>
    <x v="0"/>
    <s v="Coordinadora"/>
    <s v="3003134 -84151097383"/>
    <d v="2025-01-07T00:00:00"/>
    <d v="2025-01-09T00:00:00"/>
    <x v="0"/>
    <n v="0"/>
    <n v="2"/>
    <s v="Cumple"/>
    <n v="24093"/>
    <m/>
    <m/>
  </r>
  <r>
    <d v="2025-01-06T00:00:00"/>
    <x v="0"/>
    <n v="2380"/>
    <x v="0"/>
    <s v="Juan Carlos Urbano"/>
    <s v="TECUCT"/>
    <x v="4"/>
    <n v="1"/>
    <x v="0"/>
    <x v="1"/>
    <x v="1"/>
    <x v="0"/>
    <s v="Coordinadora"/>
    <s v="3003144 -84151097390"/>
    <d v="2025-01-07T00:00:00"/>
    <d v="2025-01-09T00:00:00"/>
    <x v="0"/>
    <n v="0"/>
    <n v="2"/>
    <s v="Cumple"/>
    <n v="24885"/>
    <m/>
    <m/>
  </r>
  <r>
    <d v="2025-01-06T00:00:00"/>
    <x v="0"/>
    <n v="2381"/>
    <x v="0"/>
    <s v="Julian Cujabante Villamil"/>
    <s v="TECULFN2"/>
    <x v="7"/>
    <n v="1"/>
    <x v="1"/>
    <x v="1"/>
    <x v="1"/>
    <x v="0"/>
    <s v="Coordinadora"/>
    <s v="3006368 -84151099224"/>
    <d v="2025-01-08T00:00:00"/>
    <d v="2025-01-10T00:00:00"/>
    <x v="0"/>
    <n v="1"/>
    <n v="3"/>
    <s v="Cumple"/>
    <n v="62530"/>
    <m/>
    <m/>
  </r>
  <r>
    <d v="2025-01-06T00:00:00"/>
    <x v="0"/>
    <n v="2381"/>
    <x v="0"/>
    <s v="Julian Cujabante Villamil"/>
    <s v="TECUTLRNS"/>
    <x v="8"/>
    <n v="1"/>
    <x v="2"/>
    <x v="1"/>
    <x v="1"/>
    <x v="0"/>
    <s v="Coordinadora"/>
    <s v="3006370 -84151099227"/>
    <d v="2025-01-08T00:00:00"/>
    <d v="2025-01-10T00:00:00"/>
    <x v="0"/>
    <n v="1"/>
    <n v="3"/>
    <s v="Cumple"/>
    <n v="26749"/>
    <m/>
    <m/>
  </r>
  <r>
    <d v="2025-01-06T00:00:00"/>
    <x v="0"/>
    <n v="2381"/>
    <x v="0"/>
    <s v="Julian Cujabante Villamil"/>
    <s v="TECUCT"/>
    <x v="4"/>
    <n v="1"/>
    <x v="0"/>
    <x v="1"/>
    <x v="1"/>
    <x v="0"/>
    <s v="Coordinadora"/>
    <s v="3006387 -84151099241"/>
    <d v="2025-01-08T00:00:00"/>
    <d v="2025-01-09T00:00:00"/>
    <x v="0"/>
    <n v="1"/>
    <n v="2"/>
    <s v="Cumple"/>
    <n v="24885"/>
    <m/>
    <m/>
  </r>
  <r>
    <d v="2025-01-06T00:00:00"/>
    <x v="0"/>
    <n v="2381"/>
    <x v="0"/>
    <s v="Julian Cujabante Villamil"/>
    <s v="TECUTBANPI"/>
    <x v="9"/>
    <n v="1"/>
    <x v="0"/>
    <x v="1"/>
    <x v="1"/>
    <x v="0"/>
    <s v="Coordinadora"/>
    <s v="3006380 -84151099237"/>
    <d v="2025-01-08T00:00:00"/>
    <d v="2025-01-10T00:00:00"/>
    <x v="0"/>
    <n v="1"/>
    <n v="3"/>
    <s v="Cumple"/>
    <n v="39225"/>
    <m/>
    <m/>
  </r>
  <r>
    <d v="2025-01-06T00:00:00"/>
    <x v="0"/>
    <n v="2381"/>
    <x v="0"/>
    <s v="Julian Cujabante Villamil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1-07T00:00:00"/>
    <x v="0"/>
    <n v="2382"/>
    <x v="0"/>
    <s v="Henry De Alba"/>
    <s v="TECU2FNG"/>
    <x v="5"/>
    <n v="1"/>
    <x v="1"/>
    <x v="2"/>
    <x v="2"/>
    <x v="0"/>
    <s v="Coordinadora"/>
    <s v="3008585 -84151100462"/>
    <d v="2025-01-09T00:00:00"/>
    <d v="2025-01-11T00:00:00"/>
    <x v="0"/>
    <n v="2"/>
    <n v="4"/>
    <s v="Cumple"/>
    <n v="59835"/>
    <m/>
    <m/>
  </r>
  <r>
    <d v="2025-01-07T00:00:00"/>
    <x v="0"/>
    <n v="2382"/>
    <x v="0"/>
    <s v="Henry De Alba"/>
    <s v="TECUTRN2C"/>
    <x v="11"/>
    <n v="1"/>
    <x v="2"/>
    <x v="2"/>
    <x v="2"/>
    <x v="0"/>
    <s v="Coordinadora"/>
    <s v="3008587 -84151100464"/>
    <d v="2025-01-09T00:00:00"/>
    <d v="2025-01-11T00:00:00"/>
    <x v="0"/>
    <n v="2"/>
    <n v="4"/>
    <s v="Cumple"/>
    <n v="39078"/>
    <m/>
    <m/>
  </r>
  <r>
    <d v="2025-01-07T00:00:00"/>
    <x v="0"/>
    <n v="2383"/>
    <x v="0"/>
    <s v="Carlos Andres Polanco Triana"/>
    <s v="TECU3FNPRO"/>
    <x v="12"/>
    <n v="1"/>
    <x v="1"/>
    <x v="3"/>
    <x v="3"/>
    <x v="0"/>
    <s v="Coordinadora"/>
    <s v="3008595 -84151100470"/>
    <d v="2025-01-09T00:00:00"/>
    <d v="2025-01-11T00:00:00"/>
    <x v="0"/>
    <n v="2"/>
    <n v="4"/>
    <s v="Cumple"/>
    <n v="62467"/>
    <m/>
    <m/>
  </r>
  <r>
    <d v="2025-01-07T00:00:00"/>
    <x v="0"/>
    <n v="2383"/>
    <x v="0"/>
    <s v="Carlos Andres Polanco Triana"/>
    <s v="TECUTCO4C"/>
    <x v="6"/>
    <n v="1"/>
    <x v="2"/>
    <x v="3"/>
    <x v="3"/>
    <x v="0"/>
    <s v="Coordinadora"/>
    <s v="3008596 -84151100471"/>
    <d v="2025-01-09T00:00:00"/>
    <d v="2025-01-11T00:00:00"/>
    <x v="0"/>
    <n v="2"/>
    <n v="4"/>
    <s v="Cumple"/>
    <n v="39078"/>
    <m/>
    <m/>
  </r>
  <r>
    <d v="2025-01-08T00:00:00"/>
    <x v="0"/>
    <n v="2384"/>
    <x v="0"/>
    <s v="Samuel Antonio Cabezas Tibaquicha"/>
    <s v="TECU3FNPRO"/>
    <x v="12"/>
    <n v="1"/>
    <x v="1"/>
    <x v="1"/>
    <x v="4"/>
    <x v="0"/>
    <s v="Coordinadora"/>
    <s v="3006418 -84151099260"/>
    <d v="2025-01-08T00:00:00"/>
    <d v="2025-01-09T00:00:00"/>
    <x v="0"/>
    <n v="0"/>
    <n v="1"/>
    <s v="Cumple"/>
    <n v="42921"/>
    <m/>
    <m/>
  </r>
  <r>
    <d v="2025-01-08T00:00:00"/>
    <x v="0"/>
    <n v="2384"/>
    <x v="0"/>
    <s v="Samuel Antonio Cabezas Tibaquicha"/>
    <s v="TECUDSN"/>
    <x v="13"/>
    <n v="1"/>
    <x v="4"/>
    <x v="1"/>
    <x v="4"/>
    <x v="0"/>
    <s v="Coordinadora"/>
    <s v="3006424 -84151099263"/>
    <d v="2025-01-08T00:00:00"/>
    <d v="2025-01-09T00:00:00"/>
    <x v="0"/>
    <n v="0"/>
    <n v="1"/>
    <s v="Cumple"/>
    <n v="26609"/>
    <m/>
    <m/>
  </r>
  <r>
    <d v="2025-01-08T00:00:00"/>
    <x v="0"/>
    <n v="2385"/>
    <x v="0"/>
    <s v="Diana Ruiz"/>
    <s v="TECU3FNPRO"/>
    <x v="12"/>
    <n v="1"/>
    <x v="1"/>
    <x v="1"/>
    <x v="1"/>
    <x v="0"/>
    <s v="Coordinadora"/>
    <s v="3009172 -84151100736"/>
    <d v="2025-01-09T00:00:00"/>
    <d v="2025-01-10T00:00:00"/>
    <x v="0"/>
    <n v="1"/>
    <n v="2"/>
    <s v="Cumple"/>
    <n v="42921"/>
    <m/>
    <m/>
  </r>
  <r>
    <d v="2025-01-08T00:00:00"/>
    <x v="0"/>
    <n v="2385"/>
    <x v="0"/>
    <s v="Diana Ruiz"/>
    <s v="TECUTFE4C"/>
    <x v="14"/>
    <n v="1"/>
    <x v="2"/>
    <x v="1"/>
    <x v="1"/>
    <x v="0"/>
    <s v="Coordinadora"/>
    <s v="3009173 -84151100737"/>
    <d v="2025-01-09T00:00:00"/>
    <d v="2025-01-10T00:00:00"/>
    <x v="0"/>
    <n v="1"/>
    <n v="2"/>
    <s v="Cumple"/>
    <n v="24093"/>
    <m/>
    <m/>
  </r>
  <r>
    <d v="2025-01-08T00:00:00"/>
    <x v="0"/>
    <n v="2386"/>
    <x v="0"/>
    <s v="Samuel Vélez Sanín"/>
    <s v="TECU2FNG"/>
    <x v="5"/>
    <n v="1"/>
    <x v="1"/>
    <x v="0"/>
    <x v="5"/>
    <x v="0"/>
    <s v="Coordinadora"/>
    <s v="3008732 -84151100542"/>
    <d v="2025-01-09T00:00:00"/>
    <d v="2025-01-10T00:00:00"/>
    <x v="0"/>
    <n v="1"/>
    <n v="2"/>
    <s v="Cumple"/>
    <n v="41593"/>
    <m/>
    <m/>
  </r>
  <r>
    <d v="2025-01-08T00:00:00"/>
    <x v="0"/>
    <n v="2386"/>
    <x v="0"/>
    <s v="Samuel Vélez Sanín"/>
    <s v="TECUTFE2C"/>
    <x v="3"/>
    <n v="1"/>
    <x v="2"/>
    <x v="0"/>
    <x v="5"/>
    <x v="0"/>
    <s v="Coordinadora"/>
    <s v="3008734 -84151100543"/>
    <d v="2025-01-09T00:00:00"/>
    <d v="2025-01-11T00:00:00"/>
    <x v="0"/>
    <n v="1"/>
    <n v="3"/>
    <s v="Cumple"/>
    <n v="24093"/>
    <m/>
    <m/>
  </r>
  <r>
    <d v="2025-01-08T00:00:00"/>
    <x v="0"/>
    <n v="2387"/>
    <x v="0"/>
    <s v="Miguel Saavedra"/>
    <s v="TECUACO"/>
    <x v="15"/>
    <n v="1"/>
    <x v="5"/>
    <x v="1"/>
    <x v="1"/>
    <x v="0"/>
    <s v="Envia"/>
    <s v="3006909 -954101121278"/>
    <d v="2025-01-08T00:00:00"/>
    <d v="2025-01-09T00:00:00"/>
    <x v="0"/>
    <n v="0"/>
    <n v="1"/>
    <s v="Cumple"/>
    <n v="70717"/>
    <m/>
    <m/>
  </r>
  <r>
    <d v="2025-01-09T00:00:00"/>
    <x v="0"/>
    <n v="2388"/>
    <x v="0"/>
    <s v="CAROLINA RAMIREZ RESTREPO"/>
    <s v="TECU2FNG"/>
    <x v="5"/>
    <n v="1"/>
    <x v="1"/>
    <x v="0"/>
    <x v="6"/>
    <x v="0"/>
    <s v="Coordinadora"/>
    <s v="3008988 -84151100690"/>
    <d v="2025-01-09T00:00:00"/>
    <d v="2025-01-24T00:00:00"/>
    <x v="0"/>
    <n v="0"/>
    <n v="13"/>
    <s v="No cumple"/>
    <n v="112444"/>
    <m/>
    <s v="Novedad - Se envia a oto pueblo por error en Shopify generar guias // se solicita devolucion a la bodega"/>
  </r>
  <r>
    <d v="2025-01-09T00:00:00"/>
    <x v="0"/>
    <n v="2388"/>
    <x v="0"/>
    <s v="CAROLINA RAMIREZ RESTREPO"/>
    <s v="TECUTCO6C"/>
    <x v="16"/>
    <n v="1"/>
    <x v="2"/>
    <x v="0"/>
    <x v="6"/>
    <x v="0"/>
    <s v="Coordinadora"/>
    <s v="3008990 -84151100691"/>
    <d v="2025-01-09T00:00:00"/>
    <d v="2025-01-24T00:00:00"/>
    <x v="0"/>
    <n v="0"/>
    <n v="13"/>
    <s v="No cumple"/>
    <n v="98264"/>
    <m/>
    <s v="Novedad - Se envia a oto pueblo por error en Shopify generar guias // se solicita devolucion a la bodega"/>
  </r>
  <r>
    <d v="2025-01-09T00:00:00"/>
    <x v="0"/>
    <n v="2389"/>
    <x v="0"/>
    <s v="Alexander Gomez Chaparro"/>
    <s v="TECULFN2"/>
    <x v="7"/>
    <n v="1"/>
    <x v="1"/>
    <x v="4"/>
    <x v="7"/>
    <x v="0"/>
    <s v="Coordinadora"/>
    <s v="3011856 -84151101651"/>
    <d v="2025-01-10T00:00:00"/>
    <d v="2025-01-13T00:00:00"/>
    <x v="0"/>
    <n v="1"/>
    <n v="3"/>
    <s v="Cumple"/>
    <n v="96409"/>
    <m/>
    <m/>
  </r>
  <r>
    <d v="2025-01-09T00:00:00"/>
    <x v="0"/>
    <n v="2389"/>
    <x v="0"/>
    <s v="Alexander Gomez Chaparro"/>
    <s v="TECUTLNS"/>
    <x v="17"/>
    <n v="1"/>
    <x v="2"/>
    <x v="4"/>
    <x v="7"/>
    <x v="0"/>
    <s v="Coordinadora"/>
    <s v="3011858 -84151101652"/>
    <d v="2025-01-10T00:00:00"/>
    <d v="2025-01-13T00:00:00"/>
    <x v="0"/>
    <n v="1"/>
    <n v="3"/>
    <s v="Cumple"/>
    <n v="44340"/>
    <m/>
    <m/>
  </r>
  <r>
    <d v="2025-01-09T00:00:00"/>
    <x v="0"/>
    <n v="2390"/>
    <x v="0"/>
    <s v="Alexander Gomez Chaparro"/>
    <s v="TECUCT"/>
    <x v="4"/>
    <n v="1"/>
    <x v="0"/>
    <x v="4"/>
    <x v="7"/>
    <x v="0"/>
    <s v="Coordinadora"/>
    <s v="3011897 -84151101678"/>
    <d v="2025-01-10T00:00:00"/>
    <d v="2025-01-13T00:00:00"/>
    <x v="0"/>
    <n v="1"/>
    <n v="3"/>
    <s v="Cumple"/>
    <m/>
    <m/>
    <m/>
  </r>
  <r>
    <d v="2025-01-09T00:00:00"/>
    <x v="0"/>
    <n v="2390"/>
    <x v="0"/>
    <s v="Alexander Gomez Chaparro"/>
    <s v="TECUBDPA"/>
    <x v="1"/>
    <n v="1"/>
    <x v="0"/>
    <x v="4"/>
    <x v="7"/>
    <x v="0"/>
    <s v="Coordinadora"/>
    <s v="3011889 -84151101671"/>
    <d v="2025-01-10T00:00:00"/>
    <d v="2025-01-13T00:00:00"/>
    <x v="0"/>
    <n v="1"/>
    <n v="3"/>
    <s v="Cumple"/>
    <n v="16617"/>
    <m/>
    <m/>
  </r>
  <r>
    <d v="2025-01-09T00:00:00"/>
    <x v="0"/>
    <n v="2390"/>
    <x v="0"/>
    <s v="Alexander Gomez Chaparro"/>
    <s v="TECUDSN"/>
    <x v="13"/>
    <n v="1"/>
    <x v="4"/>
    <x v="4"/>
    <x v="7"/>
    <x v="0"/>
    <s v="Coordinadora"/>
    <s v="3011879 -84151101661"/>
    <d v="2025-01-10T00:00:00"/>
    <d v="2025-01-13T00:00:00"/>
    <x v="0"/>
    <n v="1"/>
    <n v="3"/>
    <s v="Cumple"/>
    <n v="40942"/>
    <m/>
    <m/>
  </r>
  <r>
    <d v="2025-01-09T00:00:00"/>
    <x v="0"/>
    <n v="2390"/>
    <x v="0"/>
    <s v="Alexander Gomez Chaparro"/>
    <s v="TECURN"/>
    <x v="18"/>
    <n v="1"/>
    <x v="6"/>
    <x v="4"/>
    <x v="7"/>
    <x v="0"/>
    <s v="Coordinadora"/>
    <s v="NA"/>
    <d v="2025-01-10T00:00:00"/>
    <d v="2025-01-13T00:00:00"/>
    <x v="0"/>
    <n v="1"/>
    <n v="3"/>
    <s v="Cumple"/>
    <m/>
    <m/>
    <m/>
  </r>
  <r>
    <d v="2025-01-09T00:00:00"/>
    <x v="0"/>
    <n v="2391"/>
    <x v="0"/>
    <s v="Alexander Gomez Chaparro"/>
    <s v="TECUCT"/>
    <x v="4"/>
    <n v="1"/>
    <x v="0"/>
    <x v="4"/>
    <x v="7"/>
    <x v="0"/>
    <s v="Coordinadora"/>
    <s v="3011897 -84151101678"/>
    <d v="2025-01-10T00:00:00"/>
    <d v="2025-01-13T00:00:00"/>
    <x v="0"/>
    <n v="1"/>
    <n v="3"/>
    <s v="Cumple"/>
    <n v="24885"/>
    <m/>
    <m/>
  </r>
  <r>
    <d v="2025-01-10T00:00:00"/>
    <x v="0"/>
    <n v="2392"/>
    <x v="0"/>
    <s v="David Cadavid"/>
    <s v="TECU3FNPRO"/>
    <x v="12"/>
    <n v="1"/>
    <x v="1"/>
    <x v="0"/>
    <x v="5"/>
    <x v="0"/>
    <s v="Coordinadora"/>
    <s v="3015845 -84151103419"/>
    <d v="2025-01-13T16:47:27"/>
    <d v="2025-01-14T15:27:49"/>
    <x v="0"/>
    <n v="2"/>
    <n v="3"/>
    <s v="Cumple"/>
    <n v="42921"/>
    <m/>
    <m/>
  </r>
  <r>
    <d v="2025-01-10T00:00:00"/>
    <x v="0"/>
    <n v="2392"/>
    <x v="0"/>
    <s v="David Cadavid"/>
    <s v="TECUTCO8C"/>
    <x v="19"/>
    <n v="1"/>
    <x v="2"/>
    <x v="0"/>
    <x v="5"/>
    <x v="0"/>
    <s v="Coordinadora"/>
    <s v="3015847 -84151103420"/>
    <d v="2025-01-13T16:48:27"/>
    <d v="2025-01-14T15:27:49"/>
    <x v="0"/>
    <n v="2"/>
    <n v="3"/>
    <s v="Cumple"/>
    <n v="26749"/>
    <m/>
    <m/>
  </r>
  <r>
    <d v="2025-01-10T00:00:00"/>
    <x v="0"/>
    <n v="2392"/>
    <x v="0"/>
    <s v="David Cadavid"/>
    <s v="TECUCT"/>
    <x v="4"/>
    <n v="1"/>
    <x v="0"/>
    <x v="0"/>
    <x v="5"/>
    <x v="0"/>
    <s v="Coordinadora"/>
    <s v="3015858 -84151103425"/>
    <d v="2025-01-13T16:47:27"/>
    <d v="2025-01-14T15:27:49"/>
    <x v="0"/>
    <n v="2"/>
    <n v="3"/>
    <s v="Cumple"/>
    <n v="24885"/>
    <m/>
    <m/>
  </r>
  <r>
    <d v="2025-01-11T00:00:00"/>
    <x v="0"/>
    <n v="2393"/>
    <x v="0"/>
    <s v="Santiago Garzon Diaz"/>
    <s v="TECU2FNG"/>
    <x v="5"/>
    <n v="1"/>
    <x v="1"/>
    <x v="0"/>
    <x v="8"/>
    <x v="0"/>
    <s v="Coordinadora"/>
    <s v="3015877 -84151103435"/>
    <d v="2025-01-13T16:47:27"/>
    <d v="2025-01-14T09:51:51"/>
    <x v="0"/>
    <n v="1"/>
    <n v="2"/>
    <s v="Cumple"/>
    <n v="41593"/>
    <m/>
    <m/>
  </r>
  <r>
    <d v="2025-01-11T00:00:00"/>
    <x v="0"/>
    <n v="2393"/>
    <x v="0"/>
    <s v="Santiago Garzon Diaz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1-12T00:00:00"/>
    <x v="0"/>
    <n v="2394"/>
    <x v="0"/>
    <s v="Julian Cajiao"/>
    <s v="TECU3FNPRO"/>
    <x v="12"/>
    <n v="1"/>
    <x v="1"/>
    <x v="0"/>
    <x v="8"/>
    <x v="0"/>
    <s v="Coordinadora"/>
    <s v="3015893 -84151103439"/>
    <d v="2025-01-13T16:47:27"/>
    <d v="2025-01-14T11:27:21"/>
    <x v="0"/>
    <n v="0"/>
    <n v="1"/>
    <s v="Cumple"/>
    <n v="42921"/>
    <m/>
    <m/>
  </r>
  <r>
    <d v="2025-01-12T00:00:00"/>
    <x v="0"/>
    <n v="2394"/>
    <x v="0"/>
    <s v="Julian Cajiao"/>
    <s v="TECUTRN6C"/>
    <x v="20"/>
    <n v="1"/>
    <x v="2"/>
    <x v="0"/>
    <x v="8"/>
    <x v="0"/>
    <s v="Coordinadora"/>
    <s v="3015895 -84151103441"/>
    <d v="2025-01-13T16:48:27"/>
    <d v="2025-01-14T11:27:21"/>
    <x v="0"/>
    <n v="0"/>
    <n v="1"/>
    <s v="Cumple"/>
    <n v="24093"/>
    <m/>
    <m/>
  </r>
  <r>
    <d v="2025-01-12T00:00:00"/>
    <x v="0"/>
    <n v="2394"/>
    <x v="0"/>
    <s v="Julian Cajiao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1-13T00:00:00"/>
    <x v="0"/>
    <n v="2395"/>
    <x v="0"/>
    <s v="Lucas Latorre"/>
    <s v="TECU3FNPRO"/>
    <x v="12"/>
    <n v="1"/>
    <x v="1"/>
    <x v="5"/>
    <x v="9"/>
    <x v="0"/>
    <s v="Coordinadora"/>
    <s v="3017031 -84151104118"/>
    <d v="2025-01-13T16:47:27"/>
    <d v="2025-01-15T17:17:03"/>
    <x v="0"/>
    <n v="0"/>
    <n v="2"/>
    <s v="Cumple"/>
    <n v="56077"/>
    <m/>
    <m/>
  </r>
  <r>
    <d v="2025-01-13T00:00:00"/>
    <x v="0"/>
    <n v="2395"/>
    <x v="0"/>
    <s v="Lucas Latorre"/>
    <s v="TECUTFE8C"/>
    <x v="21"/>
    <n v="1"/>
    <x v="2"/>
    <x v="5"/>
    <x v="9"/>
    <x v="0"/>
    <s v="Coordinadora"/>
    <s v="3017033 -84151104119"/>
    <d v="2025-01-13T16:48:27"/>
    <d v="2025-01-15T17:17:03"/>
    <x v="0"/>
    <n v="0"/>
    <n v="2"/>
    <s v="Cumple"/>
    <n v="38589"/>
    <m/>
    <m/>
  </r>
  <r>
    <d v="2025-01-13T00:00:00"/>
    <x v="0"/>
    <n v="2396"/>
    <x v="0"/>
    <s v="FELIPE CASTAÑO"/>
    <s v="TECU3FNPRO"/>
    <x v="12"/>
    <n v="1"/>
    <x v="1"/>
    <x v="0"/>
    <x v="5"/>
    <x v="0"/>
    <s v="Coordinadora"/>
    <s v="3018831 -84151104925"/>
    <d v="2025-01-14T15:58:05"/>
    <d v="2025-01-15T10:33:56"/>
    <x v="0"/>
    <n v="1"/>
    <n v="2"/>
    <s v="Cumple"/>
    <n v="42921"/>
    <m/>
    <m/>
  </r>
  <r>
    <d v="2025-01-13T00:00:00"/>
    <x v="0"/>
    <n v="2396"/>
    <x v="0"/>
    <s v="FELIPE CASTAÑO"/>
    <s v="TECUTCO6C"/>
    <x v="16"/>
    <n v="1"/>
    <x v="2"/>
    <x v="0"/>
    <x v="5"/>
    <x v="0"/>
    <s v="Coordinadora"/>
    <s v="3018833 -84151104926"/>
    <d v="2025-01-14T15:58:05"/>
    <d v="2025-01-15T10:33:56"/>
    <x v="0"/>
    <n v="1"/>
    <n v="2"/>
    <s v="Cumple"/>
    <n v="24093"/>
    <m/>
    <m/>
  </r>
  <r>
    <d v="2025-01-13T00:00:00"/>
    <x v="0"/>
    <n v="2396"/>
    <x v="0"/>
    <s v="FELIPE CASTAÑO"/>
    <s v="TECUDSN"/>
    <x v="13"/>
    <n v="1"/>
    <x v="4"/>
    <x v="0"/>
    <x v="5"/>
    <x v="0"/>
    <s v="Coordinadora"/>
    <s v="3018855 -84151104940"/>
    <d v="2025-01-14T15:58:05"/>
    <d v="2025-01-15T10:33:56"/>
    <x v="0"/>
    <n v="1"/>
    <n v="2"/>
    <s v="Cumple"/>
    <n v="26609"/>
    <m/>
    <m/>
  </r>
  <r>
    <d v="2025-01-13T00:00:00"/>
    <x v="0"/>
    <n v="2396"/>
    <x v="0"/>
    <s v="FELIPE CASTAÑO"/>
    <m/>
    <x v="10"/>
    <n v="1"/>
    <x v="3"/>
    <x v="0"/>
    <x v="5"/>
    <x v="1"/>
    <s v="NA"/>
    <s v="NA"/>
    <s v="NA"/>
    <s v="NA"/>
    <x v="0"/>
    <s v="PTE"/>
    <e v="#VALUE!"/>
    <e v="#VALUE!"/>
    <n v="0"/>
    <m/>
    <m/>
  </r>
  <r>
    <d v="2025-01-14T00:00:00"/>
    <x v="0"/>
    <n v="2397"/>
    <x v="0"/>
    <s v="Andres Felipe Parra Rojas"/>
    <s v="TECU2FNG"/>
    <x v="5"/>
    <n v="1"/>
    <x v="1"/>
    <x v="1"/>
    <x v="1"/>
    <x v="0"/>
    <s v="Coordinadora"/>
    <s v="3023657 -84151107102"/>
    <d v="2025-01-16T16:40:11"/>
    <d v="2025-01-17T16:21:03"/>
    <x v="0"/>
    <n v="2"/>
    <n v="3"/>
    <s v="Cumple"/>
    <n v="41593"/>
    <m/>
    <m/>
  </r>
  <r>
    <d v="2025-01-14T00:00:00"/>
    <x v="0"/>
    <n v="2397"/>
    <x v="0"/>
    <s v="Andres Felipe Parra Rojas"/>
    <s v="TECUTRN5C"/>
    <x v="22"/>
    <n v="1"/>
    <x v="2"/>
    <x v="1"/>
    <x v="1"/>
    <x v="0"/>
    <s v="Coordinadora"/>
    <s v="3023658 -84151107103"/>
    <d v="2025-01-16T16:41:19"/>
    <d v="2025-01-18T14:05:19"/>
    <x v="0"/>
    <n v="2"/>
    <n v="4"/>
    <s v="No cumple"/>
    <n v="24093"/>
    <m/>
    <m/>
  </r>
  <r>
    <d v="2025-01-16T00:00:00"/>
    <x v="0"/>
    <n v="2398"/>
    <x v="0"/>
    <s v="Juan David Martínez Gordillo"/>
    <s v="TECU2FNG"/>
    <x v="5"/>
    <n v="1"/>
    <x v="1"/>
    <x v="1"/>
    <x v="1"/>
    <x v="0"/>
    <s v="Coordinadora"/>
    <s v="3023776 -84151107161"/>
    <d v="2025-01-16T16:40:11"/>
    <d v="2025-01-18T13:27:15"/>
    <x v="0"/>
    <n v="0"/>
    <n v="2"/>
    <s v="Cumple"/>
    <n v="41593"/>
    <m/>
    <m/>
  </r>
  <r>
    <d v="2025-01-16T00:00:00"/>
    <x v="0"/>
    <n v="2398"/>
    <x v="0"/>
    <s v="Juan David Martínez Gordillo"/>
    <s v="TECUTCO3C"/>
    <x v="23"/>
    <n v="1"/>
    <x v="2"/>
    <x v="1"/>
    <x v="1"/>
    <x v="0"/>
    <s v="Coordinadora"/>
    <s v="3023777 -84151107162"/>
    <d v="2025-01-16T16:41:19"/>
    <d v="2025-01-20T14:33:10"/>
    <x v="0"/>
    <n v="0"/>
    <n v="3"/>
    <s v="Cumple"/>
    <n v="24093"/>
    <m/>
    <m/>
  </r>
  <r>
    <d v="2025-01-16T00:00:00"/>
    <x v="0"/>
    <n v="2399"/>
    <x v="0"/>
    <s v="Stefan de Brandt"/>
    <s v="TECU3FNPRO"/>
    <x v="12"/>
    <n v="1"/>
    <x v="1"/>
    <x v="0"/>
    <x v="5"/>
    <x v="0"/>
    <s v="Coordinadora"/>
    <s v="3023834 -84151107192"/>
    <d v="2025-01-16T16:40:11"/>
    <d v="2025-01-17T17:50:22"/>
    <x v="0"/>
    <n v="0"/>
    <n v="1"/>
    <s v="Cumple"/>
    <n v="42921"/>
    <m/>
    <m/>
  </r>
  <r>
    <d v="2025-01-16T00:00:00"/>
    <x v="0"/>
    <n v="2399"/>
    <x v="0"/>
    <s v="Stefan de Brandt"/>
    <s v="TECUTCO6M"/>
    <x v="24"/>
    <n v="1"/>
    <x v="2"/>
    <x v="0"/>
    <x v="5"/>
    <x v="0"/>
    <s v="Coordinadora"/>
    <s v="3023835 -84151107193"/>
    <d v="2025-01-16T16:41:19"/>
    <d v="2025-01-17T17:50:22"/>
    <x v="0"/>
    <n v="0"/>
    <n v="1"/>
    <s v="Cumple"/>
    <n v="24093"/>
    <m/>
    <m/>
  </r>
  <r>
    <d v="2025-01-16T00:00:00"/>
    <x v="0"/>
    <n v="2399"/>
    <x v="0"/>
    <s v="Stefan de Brandt"/>
    <m/>
    <x v="10"/>
    <n v="1"/>
    <x v="3"/>
    <x v="0"/>
    <x v="5"/>
    <x v="1"/>
    <s v="NA"/>
    <s v="NA"/>
    <s v="NA"/>
    <s v="NA"/>
    <x v="0"/>
    <s v="PTE"/>
    <e v="#VALUE!"/>
    <e v="#VALUE!"/>
    <n v="0"/>
    <m/>
    <m/>
  </r>
  <r>
    <d v="2025-01-16T00:00:00"/>
    <x v="0"/>
    <n v="2400"/>
    <x v="0"/>
    <s v="Julian Cujabante Villamil"/>
    <s v="TECUROD6"/>
    <x v="25"/>
    <n v="1"/>
    <x v="7"/>
    <x v="1"/>
    <x v="1"/>
    <x v="0"/>
    <s v="Coordinadora"/>
    <s v="3026040 -84151108154"/>
    <d v="2025-01-17T15:07:22"/>
    <d v="2025-01-20T12:41:03"/>
    <x v="0"/>
    <n v="1"/>
    <n v="3"/>
    <s v="Cumple"/>
    <n v="23875"/>
    <m/>
    <m/>
  </r>
  <r>
    <d v="2025-01-16T00:00:00"/>
    <x v="0"/>
    <n v="2400"/>
    <x v="0"/>
    <s v="Julian Cujabante Villamil"/>
    <s v="TECUBDPA"/>
    <x v="1"/>
    <n v="1"/>
    <x v="0"/>
    <x v="1"/>
    <x v="1"/>
    <x v="0"/>
    <s v="Coordinadora"/>
    <s v="3026035 -84151108151"/>
    <d v="2025-01-17T15:07:22"/>
    <d v="2025-01-20T12:41:03"/>
    <x v="0"/>
    <n v="1"/>
    <n v="3"/>
    <s v="Cumple"/>
    <n v="16617"/>
    <m/>
    <m/>
  </r>
  <r>
    <d v="2025-01-16T00:00:00"/>
    <x v="0"/>
    <n v="2400"/>
    <x v="0"/>
    <s v="Julian Cujabante Villamil"/>
    <s v="TECURN"/>
    <x v="18"/>
    <n v="1"/>
    <x v="6"/>
    <x v="1"/>
    <x v="1"/>
    <x v="0"/>
    <s v="Coordinadora"/>
    <s v="3026126 -84151108195"/>
    <d v="2025-01-17T15:07:22"/>
    <d v="2025-01-20T12:41:03"/>
    <x v="0"/>
    <n v="1"/>
    <n v="3"/>
    <s v="Cumple"/>
    <n v="23429"/>
    <m/>
    <m/>
  </r>
  <r>
    <d v="2025-01-16T00:00:00"/>
    <x v="0"/>
    <n v="2400"/>
    <x v="0"/>
    <s v="Julian Cujabante Villamil"/>
    <m/>
    <x v="10"/>
    <n v="1"/>
    <x v="3"/>
    <x v="1"/>
    <x v="1"/>
    <x v="1"/>
    <s v="NA"/>
    <s v="NA"/>
    <d v="2025-01-21T00:00:00"/>
    <d v="2025-01-21T00:00:00"/>
    <x v="0"/>
    <s v="PTE"/>
    <n v="4"/>
    <s v="No cumple"/>
    <n v="0"/>
    <m/>
    <m/>
  </r>
  <r>
    <d v="2025-01-16T00:00:00"/>
    <x v="0"/>
    <n v="2401"/>
    <x v="0"/>
    <s v="Julian Cujabante Villamil"/>
    <s v="TECUAN"/>
    <x v="26"/>
    <n v="1"/>
    <x v="5"/>
    <x v="1"/>
    <x v="1"/>
    <x v="0"/>
    <s v="Envia"/>
    <s v="3026752 -954101129148"/>
    <d v="2025-01-17T15:51:00"/>
    <d v="2025-01-18T11:58:00"/>
    <x v="0"/>
    <n v="1"/>
    <n v="2"/>
    <s v="Cumple"/>
    <n v="70717"/>
    <m/>
    <m/>
  </r>
  <r>
    <d v="2025-01-17T00:00:00"/>
    <x v="0"/>
    <n v="2402"/>
    <x v="0"/>
    <s v="Catalina Alvarado"/>
    <s v="TECU2FNG"/>
    <x v="5"/>
    <n v="1"/>
    <x v="1"/>
    <x v="1"/>
    <x v="1"/>
    <x v="0"/>
    <s v="Coordinadora"/>
    <s v="3026634 -84151108514"/>
    <d v="2025-01-17T15:07:22"/>
    <d v="2025-01-20T11:09:20"/>
    <x v="0"/>
    <n v="0"/>
    <n v="2"/>
    <s v="Cumple"/>
    <n v="41593"/>
    <m/>
    <m/>
  </r>
  <r>
    <d v="2025-01-17T00:00:00"/>
    <x v="0"/>
    <n v="2402"/>
    <x v="0"/>
    <s v="Catalina Alvarado"/>
    <s v="TECUTFE2C"/>
    <x v="3"/>
    <n v="1"/>
    <x v="2"/>
    <x v="1"/>
    <x v="1"/>
    <x v="0"/>
    <s v="Coordinadora"/>
    <s v="3026635 -84151108515"/>
    <d v="2025-01-17T15:07:22"/>
    <d v="2025-01-20T11:07:59"/>
    <x v="0"/>
    <n v="0"/>
    <n v="2"/>
    <s v="Cumple"/>
    <n v="24093"/>
    <m/>
    <m/>
  </r>
  <r>
    <d v="2025-01-17T00:00:00"/>
    <x v="0"/>
    <n v="2403"/>
    <x v="0"/>
    <s v="Alexandra Martínez Ruiz"/>
    <s v="TECU3FNPRO"/>
    <x v="12"/>
    <n v="1"/>
    <x v="1"/>
    <x v="1"/>
    <x v="1"/>
    <x v="0"/>
    <s v="Coordinadora"/>
    <s v="3030945 -84151109872"/>
    <d v="2025-01-20T16:52:51"/>
    <d v="2025-01-22T00:00:00"/>
    <x v="0"/>
    <n v="2"/>
    <n v="4"/>
    <s v="No cumple"/>
    <n v="42921"/>
    <m/>
    <m/>
  </r>
  <r>
    <d v="2025-01-17T00:00:00"/>
    <x v="0"/>
    <n v="2403"/>
    <x v="0"/>
    <s v="Alexandra Martínez Ruiz"/>
    <s v="TECUTFE2C"/>
    <x v="3"/>
    <n v="1"/>
    <x v="2"/>
    <x v="1"/>
    <x v="1"/>
    <x v="0"/>
    <s v="Coordinadora"/>
    <s v="3030946 -84151109873"/>
    <d v="2025-01-20T16:52:51"/>
    <d v="2025-01-21T15:36:08"/>
    <x v="0"/>
    <n v="2"/>
    <n v="3"/>
    <s v="Cumple"/>
    <n v="28741"/>
    <m/>
    <m/>
  </r>
  <r>
    <d v="2025-01-17T00:00:00"/>
    <x v="0"/>
    <n v="2403"/>
    <x v="0"/>
    <s v="Alexandra Martínez Ruiz"/>
    <m/>
    <x v="10"/>
    <n v="1"/>
    <x v="3"/>
    <x v="1"/>
    <x v="1"/>
    <x v="1"/>
    <s v="NA"/>
    <s v="NA"/>
    <d v="2025-01-23T00:00:00"/>
    <s v="NA"/>
    <x v="0"/>
    <s v="PTE"/>
    <e v="#VALUE!"/>
    <e v="#VALUE!"/>
    <n v="0"/>
    <m/>
    <m/>
  </r>
  <r>
    <d v="2025-01-18T00:00:00"/>
    <x v="0"/>
    <n v="2404"/>
    <x v="0"/>
    <s v="Juan Camilo Acosta Escobar"/>
    <s v="TECU3FNPRO"/>
    <x v="12"/>
    <n v="1"/>
    <x v="1"/>
    <x v="0"/>
    <x v="10"/>
    <x v="0"/>
    <s v="Coordinadora"/>
    <s v="3030968 -84151109880"/>
    <d v="2025-01-20T16:52:51"/>
    <d v="2025-01-22T14:11:06"/>
    <x v="0"/>
    <n v="1"/>
    <n v="3"/>
    <s v="Cumple"/>
    <n v="42921"/>
    <m/>
    <m/>
  </r>
  <r>
    <d v="2025-01-18T00:00:00"/>
    <x v="0"/>
    <n v="2404"/>
    <x v="0"/>
    <s v="Juan Camilo Acosta Escobar"/>
    <s v="TECUTRM5C"/>
    <x v="27"/>
    <n v="1"/>
    <x v="2"/>
    <x v="0"/>
    <x v="10"/>
    <x v="0"/>
    <s v="Coordinadora"/>
    <s v="3030970 -84151109882"/>
    <d v="2025-01-20T16:52:51"/>
    <d v="2025-01-22T14:11:06"/>
    <x v="0"/>
    <n v="1"/>
    <n v="3"/>
    <s v="Cumple"/>
    <n v="24593"/>
    <m/>
    <m/>
  </r>
  <r>
    <d v="2025-01-18T00:00:00"/>
    <x v="0"/>
    <n v="2404"/>
    <x v="0"/>
    <s v="Juan Camilo Acosta Escobar"/>
    <s v="TECUCT"/>
    <x v="4"/>
    <n v="1"/>
    <x v="0"/>
    <x v="0"/>
    <x v="10"/>
    <x v="0"/>
    <s v="Coordinadora"/>
    <s v="3031428 -84151110138"/>
    <d v="2025-01-20T16:52:51"/>
    <d v="2025-01-22T14:11:06"/>
    <x v="0"/>
    <n v="1"/>
    <n v="3"/>
    <s v="Cumple"/>
    <n v="24885"/>
    <m/>
    <m/>
  </r>
  <r>
    <d v="2025-01-18T00:00:00"/>
    <x v="0"/>
    <n v="2405"/>
    <x v="0"/>
    <s v="Stefan de Brandt"/>
    <s v="TECUCT"/>
    <x v="4"/>
    <n v="1"/>
    <x v="0"/>
    <x v="0"/>
    <x v="5"/>
    <x v="0"/>
    <s v="Coordinadora"/>
    <s v="3031190 -84151110013"/>
    <d v="2025-01-20T16:52:51"/>
    <d v="2025-01-21T13:04:29"/>
    <x v="0"/>
    <n v="1"/>
    <n v="2"/>
    <s v="Cumple"/>
    <n v="24885"/>
    <m/>
    <m/>
  </r>
  <r>
    <d v="2025-01-20T00:00:00"/>
    <x v="0"/>
    <n v="2406"/>
    <x v="0"/>
    <s v="MARIA RODRIGUEZ"/>
    <s v="TECU2FBGO"/>
    <x v="2"/>
    <n v="1"/>
    <x v="1"/>
    <x v="6"/>
    <x v="11"/>
    <x v="0"/>
    <s v="Coordinadora"/>
    <s v="3034128 -84151111334"/>
    <d v="2025-01-21T17:11:07"/>
    <d v="2025-01-22T00:00:00"/>
    <x v="0"/>
    <n v="1"/>
    <n v="2"/>
    <e v="#N/A"/>
    <n v="41593"/>
    <m/>
    <m/>
  </r>
  <r>
    <d v="2025-01-20T00:00:00"/>
    <x v="0"/>
    <n v="2406"/>
    <x v="0"/>
    <s v="MARIA RODRIGUEZ"/>
    <s v="TECUTFE6C"/>
    <x v="28"/>
    <n v="1"/>
    <x v="2"/>
    <x v="6"/>
    <x v="11"/>
    <x v="0"/>
    <s v="Coordinadora"/>
    <s v="3034129 -84151111335"/>
    <d v="2025-01-21T17:11:07"/>
    <d v="2025-01-22T00:00:00"/>
    <x v="0"/>
    <n v="1"/>
    <n v="2"/>
    <e v="#N/A"/>
    <n v="24093"/>
    <m/>
    <m/>
  </r>
  <r>
    <d v="2025-01-21T00:00:00"/>
    <x v="0"/>
    <n v="2407"/>
    <x v="0"/>
    <s v="Juan Camilo Restrepo"/>
    <s v="TECU2FNG"/>
    <x v="5"/>
    <n v="1"/>
    <x v="1"/>
    <x v="1"/>
    <x v="1"/>
    <x v="0"/>
    <s v="Coordinadora"/>
    <s v="3034103 -84151111318"/>
    <d v="2025-01-21T17:11:07"/>
    <d v="2025-01-22T00:00:00"/>
    <x v="0"/>
    <n v="0"/>
    <n v="1"/>
    <s v="Cumple"/>
    <n v="41593"/>
    <m/>
    <m/>
  </r>
  <r>
    <d v="2025-01-21T00:00:00"/>
    <x v="0"/>
    <n v="2407"/>
    <x v="0"/>
    <s v="Juan Camilo Restrepo"/>
    <s v="TECUTFE5C"/>
    <x v="29"/>
    <n v="1"/>
    <x v="2"/>
    <x v="1"/>
    <x v="1"/>
    <x v="0"/>
    <s v="Coordinadora"/>
    <s v="3034104 -84151111319"/>
    <d v="2025-01-21T17:11:07"/>
    <d v="2025-01-23T00:00:00"/>
    <x v="0"/>
    <n v="0"/>
    <n v="2"/>
    <s v="Cumple"/>
    <n v="24093"/>
    <m/>
    <m/>
  </r>
  <r>
    <d v="2025-01-21T00:00:00"/>
    <x v="0"/>
    <n v="2407"/>
    <x v="0"/>
    <s v="Juan Camilo Restrepo"/>
    <s v="TECUCT"/>
    <x v="4"/>
    <n v="1"/>
    <x v="0"/>
    <x v="1"/>
    <x v="1"/>
    <x v="0"/>
    <s v="Coordinadora"/>
    <s v="3034115 -84151111325"/>
    <d v="2025-01-21T17:11:07"/>
    <d v="2025-01-22T00:00:00"/>
    <x v="0"/>
    <n v="0"/>
    <n v="1"/>
    <s v="Cumple"/>
    <n v="24885"/>
    <m/>
    <m/>
  </r>
  <r>
    <d v="2025-01-21T00:00:00"/>
    <x v="0"/>
    <n v="2408"/>
    <x v="0"/>
    <s v="Andres Mape"/>
    <s v="TECU3FNPRO"/>
    <x v="12"/>
    <n v="1"/>
    <x v="1"/>
    <x v="1"/>
    <x v="1"/>
    <x v="0"/>
    <s v="Coordinadora"/>
    <s v="3034145 -84151111349"/>
    <d v="2025-01-21T17:11:07"/>
    <d v="2025-01-22T00:00:00"/>
    <x v="0"/>
    <n v="0"/>
    <n v="1"/>
    <s v="Cumple"/>
    <n v="42921"/>
    <m/>
    <m/>
  </r>
  <r>
    <d v="2025-01-21T00:00:00"/>
    <x v="0"/>
    <n v="2408"/>
    <x v="0"/>
    <s v="Andres Mape"/>
    <s v="TECUTCO8C"/>
    <x v="19"/>
    <n v="1"/>
    <x v="2"/>
    <x v="1"/>
    <x v="1"/>
    <x v="0"/>
    <s v="Coordinadora"/>
    <s v="3034147 -84151111351"/>
    <d v="2025-01-21T17:11:07"/>
    <d v="2025-01-22T00:00:00"/>
    <x v="0"/>
    <n v="0"/>
    <n v="1"/>
    <s v="Cumple"/>
    <n v="26749"/>
    <m/>
    <m/>
  </r>
  <r>
    <d v="2025-01-21T00:00:00"/>
    <x v="0"/>
    <n v="2408"/>
    <x v="0"/>
    <s v="Andres Mape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1-21T00:00:00"/>
    <x v="0"/>
    <n v="2409"/>
    <x v="0"/>
    <s v="Rainer Villarreal"/>
    <s v="TECURCO"/>
    <x v="30"/>
    <n v="1"/>
    <x v="6"/>
    <x v="7"/>
    <x v="12"/>
    <x v="0"/>
    <s v="Coordinadora"/>
    <s v="3034185 -84151111369"/>
    <d v="2025-01-21T17:11:07"/>
    <d v="2025-01-22T00:00:00"/>
    <x v="0"/>
    <n v="0"/>
    <n v="1"/>
    <e v="#N/A"/>
    <n v="47133"/>
    <m/>
    <m/>
  </r>
  <r>
    <d v="2025-01-21T00:00:00"/>
    <x v="0"/>
    <n v="2410"/>
    <x v="0"/>
    <s v="German Uchamocha Euscategui"/>
    <s v="TECU2FNG"/>
    <x v="5"/>
    <n v="1"/>
    <x v="1"/>
    <x v="4"/>
    <x v="13"/>
    <x v="0"/>
    <s v="Coordinadora"/>
    <s v="3034194 -84151111375"/>
    <d v="2025-01-21T17:11:07"/>
    <d v="2025-01-23T00:00:00"/>
    <x v="0"/>
    <n v="0"/>
    <n v="2"/>
    <e v="#N/A"/>
    <n v="59835"/>
    <m/>
    <m/>
  </r>
  <r>
    <d v="2025-01-21T00:00:00"/>
    <x v="0"/>
    <n v="2410"/>
    <x v="0"/>
    <s v="German Uchamocha Euscategui"/>
    <s v="TECUTFE5C"/>
    <x v="29"/>
    <n v="1"/>
    <x v="2"/>
    <x v="4"/>
    <x v="13"/>
    <x v="0"/>
    <s v="Coordinadora"/>
    <s v="3034195 -84151111376"/>
    <d v="2025-01-21T17:11:07"/>
    <d v="2025-01-23T00:00:00"/>
    <x v="0"/>
    <n v="0"/>
    <n v="2"/>
    <e v="#N/A"/>
    <n v="39078"/>
    <m/>
    <m/>
  </r>
  <r>
    <d v="2025-01-21T00:00:00"/>
    <x v="0"/>
    <n v="2411"/>
    <x v="0"/>
    <s v="Juan David Lagos Rodriguez"/>
    <s v="TECU3FNPRO"/>
    <x v="12"/>
    <n v="1"/>
    <x v="1"/>
    <x v="1"/>
    <x v="1"/>
    <x v="0"/>
    <s v="Coordinadora"/>
    <s v="3034920 -84151111800"/>
    <d v="2025-01-21T17:11:07"/>
    <d v="2025-01-22T00:00:00"/>
    <x v="0"/>
    <n v="0"/>
    <n v="1"/>
    <s v="Cumple"/>
    <n v="42921"/>
    <m/>
    <m/>
  </r>
  <r>
    <d v="2025-01-21T00:00:00"/>
    <x v="0"/>
    <n v="2411"/>
    <x v="0"/>
    <s v="Juan David Lagos Rodriguez"/>
    <s v="TECUROD"/>
    <x v="31"/>
    <n v="1"/>
    <x v="7"/>
    <x v="1"/>
    <x v="1"/>
    <x v="0"/>
    <s v="Coordinadora"/>
    <s v="3034923 -84151111801"/>
    <d v="2025-01-21T17:11:07"/>
    <d v="2025-01-22T00:00:00"/>
    <x v="0"/>
    <n v="0"/>
    <n v="1"/>
    <s v="Cumple"/>
    <n v="23875"/>
    <m/>
    <m/>
  </r>
  <r>
    <d v="2025-01-21T00:00:00"/>
    <x v="0"/>
    <n v="2411"/>
    <x v="0"/>
    <s v="Juan David Lagos Rodriguez"/>
    <m/>
    <x v="10"/>
    <n v="1"/>
    <x v="3"/>
    <x v="1"/>
    <x v="1"/>
    <x v="1"/>
    <s v="NA"/>
    <s v="NA"/>
    <d v="2025-01-23T00:00:00"/>
    <s v="NA"/>
    <x v="0"/>
    <s v="PTE"/>
    <e v="#VALUE!"/>
    <e v="#VALUE!"/>
    <n v="0"/>
    <m/>
    <m/>
  </r>
  <r>
    <d v="2025-01-14T00:00:00"/>
    <x v="0"/>
    <n v="2388"/>
    <x v="1"/>
    <s v="CAROLINA RAMIREZ RESTREPO"/>
    <s v="TECU2FNG"/>
    <x v="5"/>
    <n v="1"/>
    <x v="1"/>
    <x v="0"/>
    <x v="6"/>
    <x v="0"/>
    <s v="Coordinadora"/>
    <s v="3019490 - 84151105323"/>
    <d v="2025-01-14T00:00:00"/>
    <d v="2025-01-16T00:00:00"/>
    <x v="0"/>
    <n v="0"/>
    <n v="2"/>
    <s v="Cumple"/>
    <n v="112444"/>
    <n v="47258"/>
    <m/>
  </r>
  <r>
    <d v="2025-01-14T00:00:00"/>
    <x v="0"/>
    <n v="2388"/>
    <x v="1"/>
    <s v="CAROLINA RAMIREZ RESTREPO"/>
    <s v="TECUTCO6C"/>
    <x v="16"/>
    <n v="1"/>
    <x v="2"/>
    <x v="0"/>
    <x v="6"/>
    <x v="0"/>
    <s v="Coordinadora"/>
    <s v="3019497 - 84151105325"/>
    <d v="2025-01-14T00:00:00"/>
    <d v="2025-01-16T00:00:00"/>
    <x v="0"/>
    <n v="0"/>
    <n v="2"/>
    <s v="Cumple"/>
    <n v="98264"/>
    <n v="29257"/>
    <m/>
  </r>
  <r>
    <d v="2025-01-13T00:00:00"/>
    <x v="0"/>
    <n v="2366"/>
    <x v="1"/>
    <s v="Steven Hoyos"/>
    <s v="TECUBLS"/>
    <x v="32"/>
    <n v="1"/>
    <x v="0"/>
    <x v="8"/>
    <x v="14"/>
    <x v="0"/>
    <s v="Coordinadora"/>
    <s v="3015860 - 84151103434"/>
    <d v="2025-01-13T00:00:00"/>
    <d v="2025-01-14T00:00:00"/>
    <x v="0"/>
    <n v="0"/>
    <n v="1"/>
    <s v="Cumple"/>
    <n v="25385"/>
    <m/>
    <m/>
  </r>
  <r>
    <d v="2025-01-15T00:00:00"/>
    <x v="0"/>
    <n v="2366"/>
    <x v="2"/>
    <s v="Steven Hoyos"/>
    <s v="TECUBDPA"/>
    <x v="1"/>
    <n v="1"/>
    <x v="0"/>
    <x v="8"/>
    <x v="14"/>
    <x v="0"/>
    <s v="Coordinadora"/>
    <s v="3023584 - 84151107068"/>
    <d v="2025-01-16T00:00:00"/>
    <d v="2025-01-18T00:00:00"/>
    <x v="0"/>
    <n v="1"/>
    <n v="3"/>
    <s v="Cumple"/>
    <n v="24855"/>
    <m/>
    <m/>
  </r>
  <r>
    <d v="2025-01-20T00:00:00"/>
    <x v="0"/>
    <n v="2398"/>
    <x v="1"/>
    <s v="Juan David Martínez Gordillo"/>
    <s v="TECUTCO3C"/>
    <x v="23"/>
    <n v="1"/>
    <x v="2"/>
    <x v="1"/>
    <x v="1"/>
    <x v="0"/>
    <s v="Coordinadora"/>
    <s v="3035292 - 84151112021"/>
    <d v="2025-01-21T00:00:00"/>
    <d v="2025-01-23T00:00:00"/>
    <x v="0"/>
    <n v="1"/>
    <n v="3"/>
    <s v="Cumple"/>
    <n v="27929"/>
    <m/>
    <m/>
  </r>
  <r>
    <d v="2025-01-23T00:00:00"/>
    <x v="0"/>
    <n v="2412"/>
    <x v="0"/>
    <s v="Juan David Lagos Rodriguez"/>
    <s v="TECUCT"/>
    <x v="4"/>
    <n v="1"/>
    <x v="0"/>
    <x v="1"/>
    <x v="1"/>
    <x v="0"/>
    <s v="Coordinadora"/>
    <s v="3038877 -84151113422"/>
    <d v="2025-01-23T00:00:00"/>
    <d v="2025-01-24T00:00:00"/>
    <x v="0"/>
    <n v="0"/>
    <n v="1"/>
    <s v="Cumple"/>
    <n v="24885"/>
    <m/>
    <m/>
  </r>
  <r>
    <d v="2025-01-24T00:00:00"/>
    <x v="0"/>
    <n v="2413"/>
    <x v="0"/>
    <s v="Jorge Luis Monroy Herrera"/>
    <s v="TECU3FNPRO"/>
    <x v="12"/>
    <n v="1"/>
    <x v="1"/>
    <x v="2"/>
    <x v="2"/>
    <x v="0"/>
    <s v="Coordinadora"/>
    <s v="3041057 -84151114405"/>
    <d v="2025-01-24T00:00:00"/>
    <d v="2025-01-27T00:00:00"/>
    <x v="0"/>
    <n v="0"/>
    <n v="2"/>
    <s v="Cumple"/>
    <n v="62467"/>
    <m/>
    <m/>
  </r>
  <r>
    <d v="2025-01-24T00:00:00"/>
    <x v="0"/>
    <n v="2413"/>
    <x v="0"/>
    <s v="Jorge Luis Monroy Herrera"/>
    <s v="TECUTFE8M"/>
    <x v="33"/>
    <n v="1"/>
    <x v="2"/>
    <x v="2"/>
    <x v="2"/>
    <x v="0"/>
    <s v="Coordinadora"/>
    <s v="3041058 -84151114407"/>
    <d v="2025-01-24T00:00:00"/>
    <d v="2025-01-27T00:00:00"/>
    <x v="0"/>
    <n v="0"/>
    <n v="2"/>
    <s v="Cumple"/>
    <n v="44340"/>
    <m/>
    <m/>
  </r>
  <r>
    <d v="2025-01-24T00:00:00"/>
    <x v="0"/>
    <n v="2414"/>
    <x v="0"/>
    <s v="Julio Castellanos"/>
    <s v="TECU3FBRO"/>
    <x v="34"/>
    <n v="1"/>
    <x v="1"/>
    <x v="1"/>
    <x v="1"/>
    <x v="0"/>
    <s v="Coordinadora"/>
    <s v="3041064 -84151114410"/>
    <d v="2025-01-24T00:00:00"/>
    <d v="2025-01-25T00:00:00"/>
    <x v="0"/>
    <n v="0"/>
    <n v="1"/>
    <s v="Cumple"/>
    <n v="42921"/>
    <m/>
    <m/>
  </r>
  <r>
    <d v="2025-01-24T00:00:00"/>
    <x v="0"/>
    <n v="2414"/>
    <x v="0"/>
    <s v="Julio Castellanos"/>
    <s v="TECUTFE7M"/>
    <x v="35"/>
    <n v="1"/>
    <x v="2"/>
    <x v="1"/>
    <x v="1"/>
    <x v="0"/>
    <s v="Coordinadora"/>
    <s v="3041066 -84151114411"/>
    <d v="2025-01-24T00:00:00"/>
    <d v="2025-01-27T00:00:00"/>
    <x v="0"/>
    <n v="0"/>
    <n v="2"/>
    <s v="Cumple"/>
    <n v="24093"/>
    <m/>
    <m/>
  </r>
  <r>
    <d v="2025-01-24T00:00:00"/>
    <x v="0"/>
    <n v="2414"/>
    <x v="0"/>
    <s v="Julio Castellanos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1-24T00:00:00"/>
    <x v="0"/>
    <n v="2415"/>
    <x v="0"/>
    <s v="Julio Castellanos"/>
    <s v="TECUBDPA"/>
    <x v="1"/>
    <n v="1"/>
    <x v="0"/>
    <x v="1"/>
    <x v="1"/>
    <x v="0"/>
    <s v="Coordinadora"/>
    <s v="3041074 -84151114418"/>
    <d v="2025-01-24T00:00:00"/>
    <d v="2025-01-25T00:00:00"/>
    <x v="0"/>
    <n v="0"/>
    <n v="1"/>
    <s v="Cumple"/>
    <n v="16617"/>
    <m/>
    <m/>
  </r>
  <r>
    <d v="2025-01-24T00:00:00"/>
    <x v="0"/>
    <n v="2416"/>
    <x v="0"/>
    <s v="Juan Pablo Romero Bernal"/>
    <s v="TECU2FNG"/>
    <x v="5"/>
    <n v="1"/>
    <x v="1"/>
    <x v="1"/>
    <x v="1"/>
    <x v="0"/>
    <s v="Coordinadora"/>
    <s v="3041082 -84151114424"/>
    <d v="2025-01-24T00:00:00"/>
    <d v="2025-01-28T00:00:00"/>
    <x v="0"/>
    <n v="0"/>
    <n v="3"/>
    <s v="Cumple"/>
    <n v="41593"/>
    <m/>
    <m/>
  </r>
  <r>
    <d v="2025-01-24T00:00:00"/>
    <x v="0"/>
    <n v="2416"/>
    <x v="0"/>
    <s v="Juan Pablo Romero Bernal"/>
    <s v="TECUTFE5C"/>
    <x v="29"/>
    <n v="1"/>
    <x v="2"/>
    <x v="1"/>
    <x v="1"/>
    <x v="0"/>
    <s v="Coordinadora"/>
    <s v="3041083 -84151114425"/>
    <d v="2025-01-24T00:00:00"/>
    <d v="2025-01-28T00:00:00"/>
    <x v="0"/>
    <n v="0"/>
    <n v="3"/>
    <s v="Cumple"/>
    <n v="24093"/>
    <m/>
    <m/>
  </r>
  <r>
    <d v="2025-01-24T00:00:00"/>
    <x v="0"/>
    <n v="2417"/>
    <x v="0"/>
    <s v="Rosemery Carrillo"/>
    <s v="TECU3FNPRO"/>
    <x v="12"/>
    <n v="1"/>
    <x v="1"/>
    <x v="1"/>
    <x v="1"/>
    <x v="0"/>
    <s v="Coordinadora"/>
    <s v="3041165 -84151114467"/>
    <d v="2025-01-24T00:00:00"/>
    <d v="2025-01-27T00:00:00"/>
    <x v="0"/>
    <n v="0"/>
    <n v="2"/>
    <s v="Cumple"/>
    <n v="42921"/>
    <m/>
    <m/>
  </r>
  <r>
    <d v="2025-01-24T00:00:00"/>
    <x v="0"/>
    <n v="2418"/>
    <x v="0"/>
    <s v="Angela Patricia Duque Gutierrez"/>
    <s v="TECU3FNPRO"/>
    <x v="12"/>
    <n v="1"/>
    <x v="1"/>
    <x v="9"/>
    <x v="15"/>
    <x v="0"/>
    <s v="Entrega directa"/>
    <s v="Entrega en la bodega a la cliente"/>
    <d v="2025-01-24T00:00:00"/>
    <d v="2025-01-24T00:00:00"/>
    <x v="0"/>
    <n v="0"/>
    <n v="0"/>
    <e v="#N/A"/>
    <n v="0"/>
    <m/>
    <m/>
  </r>
  <r>
    <d v="2025-01-24T00:00:00"/>
    <x v="0"/>
    <n v="2419"/>
    <x v="0"/>
    <s v="Ricardo Mesa Gallego"/>
    <s v="TECUCT"/>
    <x v="4"/>
    <n v="1"/>
    <x v="0"/>
    <x v="0"/>
    <x v="8"/>
    <x v="0"/>
    <s v="Coordinadora"/>
    <s v="3041884 - 84151114874"/>
    <d v="2025-01-24T00:00:00"/>
    <d v="2025-01-25T00:00:00"/>
    <x v="0"/>
    <n v="0"/>
    <n v="1"/>
    <s v="Cumple"/>
    <n v="24885"/>
    <m/>
    <m/>
  </r>
  <r>
    <d v="2025-01-27T00:00:00"/>
    <x v="0"/>
    <n v="2420"/>
    <x v="0"/>
    <s v="Cristian Laguado"/>
    <s v="TECU3FNPRO"/>
    <x v="12"/>
    <n v="1"/>
    <x v="1"/>
    <x v="1"/>
    <x v="1"/>
    <x v="0"/>
    <s v="Coordinadora"/>
    <s v="3053751 - 84151119935"/>
    <d v="2025-01-30T00:00:00"/>
    <d v="2025-02-01T00:00:00"/>
    <x v="0"/>
    <n v="3"/>
    <n v="5"/>
    <s v="No cumple"/>
    <n v="42921"/>
    <m/>
    <m/>
  </r>
  <r>
    <d v="2025-01-27T00:00:00"/>
    <x v="0"/>
    <n v="2420"/>
    <x v="0"/>
    <s v="Cristian Laguado"/>
    <s v="TECUTRM5C"/>
    <x v="27"/>
    <n v="1"/>
    <x v="2"/>
    <x v="1"/>
    <x v="1"/>
    <x v="0"/>
    <s v="Coordinadora"/>
    <s v="3053752 - 84151119936"/>
    <d v="2025-01-30T00:00:00"/>
    <d v="2025-02-04T00:00:00"/>
    <x v="0"/>
    <n v="3"/>
    <n v="7"/>
    <s v="No cumple"/>
    <n v="24593"/>
    <m/>
    <m/>
  </r>
  <r>
    <d v="2025-01-27T00:00:00"/>
    <x v="0"/>
    <n v="2421"/>
    <x v="0"/>
    <s v="Carlos Salazar"/>
    <s v="TECUROD"/>
    <x v="31"/>
    <n v="1"/>
    <x v="7"/>
    <x v="10"/>
    <x v="16"/>
    <x v="0"/>
    <s v="Coordinadora"/>
    <s v="3048222 - 84151117369"/>
    <d v="2025-01-28T00:00:00"/>
    <d v="2025-01-29T00:00:00"/>
    <x v="0"/>
    <n v="1"/>
    <n v="2"/>
    <s v="Cumple"/>
    <n v="23875"/>
    <m/>
    <m/>
  </r>
  <r>
    <d v="2025-01-27T00:00:00"/>
    <x v="0"/>
    <n v="2422"/>
    <x v="0"/>
    <s v="Juan Angulo"/>
    <s v="TECUCT"/>
    <x v="4"/>
    <n v="1"/>
    <x v="0"/>
    <x v="2"/>
    <x v="2"/>
    <x v="0"/>
    <s v="Coordinadora"/>
    <s v="3048263 - 84151117376"/>
    <d v="2025-01-28T00:00:00"/>
    <d v="2025-01-30T00:00:00"/>
    <x v="0"/>
    <n v="1"/>
    <n v="3"/>
    <s v="Cumple"/>
    <n v="24885"/>
    <m/>
    <m/>
  </r>
  <r>
    <d v="2025-01-28T00:00:00"/>
    <x v="0"/>
    <n v="2423"/>
    <x v="0"/>
    <s v="Octavio De La Hoz Franco"/>
    <s v="TECU3FBRO"/>
    <x v="34"/>
    <n v="1"/>
    <x v="1"/>
    <x v="2"/>
    <x v="2"/>
    <x v="0"/>
    <s v="Coordinadora"/>
    <s v="3049137 - 84151117798"/>
    <d v="2025-01-28T00:00:00"/>
    <d v="2025-02-01T00:00:00"/>
    <x v="0"/>
    <n v="0"/>
    <n v="4"/>
    <s v="Cumple"/>
    <n v="62647"/>
    <m/>
    <m/>
  </r>
  <r>
    <d v="2025-01-28T00:00:00"/>
    <x v="0"/>
    <n v="2423"/>
    <x v="0"/>
    <s v="Octavio De La Hoz Franco"/>
    <s v="TECUTB20C"/>
    <x v="36"/>
    <n v="1"/>
    <x v="2"/>
    <x v="2"/>
    <x v="2"/>
    <x v="0"/>
    <s v="Coordinadora"/>
    <s v="3049139 - 84151117799"/>
    <d v="2025-01-28T00:00:00"/>
    <d v="2025-02-01T00:00:00"/>
    <x v="0"/>
    <n v="0"/>
    <n v="4"/>
    <s v="Cumple"/>
    <n v="44340"/>
    <m/>
    <m/>
  </r>
  <r>
    <d v="2025-01-28T00:00:00"/>
    <x v="0"/>
    <n v="2424"/>
    <x v="0"/>
    <s v="CARLOS ARTURO REYES ESCOBAR"/>
    <s v="TECU3FNPRO"/>
    <x v="12"/>
    <n v="1"/>
    <x v="1"/>
    <x v="6"/>
    <x v="17"/>
    <x v="0"/>
    <s v="Coordinadora"/>
    <s v="3050418 - 84151118335"/>
    <d v="2025-01-29T00:00:00"/>
    <d v="2025-01-31T00:00:00"/>
    <x v="0"/>
    <n v="1"/>
    <n v="3"/>
    <s v="Cumple"/>
    <n v="42921"/>
    <m/>
    <m/>
  </r>
  <r>
    <d v="2025-01-28T00:00:00"/>
    <x v="0"/>
    <n v="2424"/>
    <x v="0"/>
    <s v="CARLOS ARTURO REYES ESCOBAR"/>
    <s v="TECUTCO2C"/>
    <x v="37"/>
    <n v="1"/>
    <x v="2"/>
    <x v="6"/>
    <x v="17"/>
    <x v="0"/>
    <s v="Coordinadora"/>
    <s v="3050419 - 84151118336"/>
    <d v="2025-01-29T00:00:00"/>
    <d v="2025-01-31T00:00:00"/>
    <x v="0"/>
    <n v="1"/>
    <n v="3"/>
    <s v="Cumple"/>
    <n v="28741"/>
    <m/>
    <m/>
  </r>
  <r>
    <d v="2025-01-29T00:00:00"/>
    <x v="0"/>
    <n v="2425"/>
    <x v="0"/>
    <s v="Manuel eduardo Valdez mantero"/>
    <s v="TECU3FBRO"/>
    <x v="34"/>
    <n v="1"/>
    <x v="1"/>
    <x v="1"/>
    <x v="1"/>
    <x v="0"/>
    <s v="Coordinadora"/>
    <s v="3050613 - 84151118456"/>
    <d v="2025-01-29T00:00:00"/>
    <d v="2025-01-31T00:00:00"/>
    <x v="0"/>
    <n v="0"/>
    <n v="2"/>
    <s v="Cumple"/>
    <n v="42921"/>
    <m/>
    <m/>
  </r>
  <r>
    <d v="2025-01-29T00:00:00"/>
    <x v="0"/>
    <n v="2425"/>
    <x v="0"/>
    <s v="Manuel eduardo Valdez mantero"/>
    <s v="TECUTB7C"/>
    <x v="38"/>
    <n v="1"/>
    <x v="2"/>
    <x v="1"/>
    <x v="1"/>
    <x v="0"/>
    <s v="Coordinadora"/>
    <s v="3050615 - 84151118457"/>
    <d v="2025-01-29T00:00:00"/>
    <d v="2025-01-31T00:00:00"/>
    <x v="0"/>
    <n v="0"/>
    <n v="2"/>
    <s v="Cumple"/>
    <n v="24093"/>
    <m/>
    <m/>
  </r>
  <r>
    <d v="2025-01-30T00:00:00"/>
    <x v="0"/>
    <n v="2426"/>
    <x v="0"/>
    <s v="Rodrigo Rivera"/>
    <s v="TECU3FNPRO"/>
    <x v="12"/>
    <n v="1"/>
    <x v="1"/>
    <x v="6"/>
    <x v="17"/>
    <x v="0"/>
    <s v="Coordinadora"/>
    <s v="3052581 - 84151119369"/>
    <d v="2025-01-30T00:00:00"/>
    <d v="2025-02-01T00:00:00"/>
    <x v="0"/>
    <n v="0"/>
    <n v="2"/>
    <s v="Cumple"/>
    <n v="42921"/>
    <m/>
    <m/>
  </r>
  <r>
    <d v="2025-01-30T00:00:00"/>
    <x v="0"/>
    <n v="2426"/>
    <x v="0"/>
    <s v="Rodrigo Rivera"/>
    <s v="TECUTCO8C"/>
    <x v="19"/>
    <n v="1"/>
    <x v="2"/>
    <x v="6"/>
    <x v="17"/>
    <x v="0"/>
    <s v="Coordinadora"/>
    <s v="3052583 - 84151119370"/>
    <d v="2025-01-30T00:00:00"/>
    <d v="2025-02-01T00:00:00"/>
    <x v="0"/>
    <n v="0"/>
    <n v="2"/>
    <s v="Cumple"/>
    <n v="26749"/>
    <m/>
    <m/>
  </r>
  <r>
    <d v="2025-01-30T00:00:00"/>
    <x v="0"/>
    <n v="2427"/>
    <x v="0"/>
    <s v="María Manuela Bueno Tavera"/>
    <s v="TECU3FBRO"/>
    <x v="34"/>
    <n v="1"/>
    <x v="1"/>
    <x v="1"/>
    <x v="1"/>
    <x v="0"/>
    <s v="Coordinadora"/>
    <s v="3053317 - 84151119704"/>
    <d v="2025-01-30T00:00:00"/>
    <d v="2025-01-31T00:00:00"/>
    <x v="0"/>
    <n v="0"/>
    <n v="1"/>
    <s v="Cumple"/>
    <n v="42921"/>
    <m/>
    <m/>
  </r>
  <r>
    <d v="2025-01-30T00:00:00"/>
    <x v="0"/>
    <n v="2427"/>
    <x v="0"/>
    <s v="María Manuela Bueno Tavera"/>
    <s v="TECUTFE3C"/>
    <x v="39"/>
    <n v="1"/>
    <x v="2"/>
    <x v="1"/>
    <x v="1"/>
    <x v="0"/>
    <s v="Coordinadora"/>
    <s v="3053318 - 84151119705"/>
    <d v="2025-01-30T00:00:00"/>
    <d v="2025-01-31T00:00:00"/>
    <x v="0"/>
    <n v="0"/>
    <n v="1"/>
    <s v="Cumple"/>
    <n v="28741"/>
    <m/>
    <m/>
  </r>
  <r>
    <d v="2025-01-30T00:00:00"/>
    <x v="0"/>
    <n v="2428"/>
    <x v="0"/>
    <s v="Nicolas Enciso Calle"/>
    <s v="TECU2FNG"/>
    <x v="5"/>
    <n v="1"/>
    <x v="1"/>
    <x v="0"/>
    <x v="8"/>
    <x v="0"/>
    <s v="Coordinadora"/>
    <s v="3053377 - 84151119723"/>
    <d v="2025-01-30T00:00:00"/>
    <d v="2025-01-31T00:00:00"/>
    <x v="0"/>
    <n v="0"/>
    <n v="1"/>
    <s v="Cumple"/>
    <n v="41593"/>
    <m/>
    <m/>
  </r>
  <r>
    <d v="2025-01-30T00:00:00"/>
    <x v="0"/>
    <n v="2428"/>
    <x v="0"/>
    <s v="Nicolas Enciso Calle"/>
    <s v="TECUTRN6C"/>
    <x v="20"/>
    <n v="1"/>
    <x v="2"/>
    <x v="0"/>
    <x v="8"/>
    <x v="0"/>
    <s v="Coordinadora"/>
    <s v="3053379 - 84151119725"/>
    <d v="2025-01-30T00:00:00"/>
    <d v="2025-01-31T00:00:00"/>
    <x v="0"/>
    <n v="0"/>
    <n v="1"/>
    <s v="Cumple"/>
    <n v="24093"/>
    <m/>
    <m/>
  </r>
  <r>
    <d v="2025-01-31T00:00:00"/>
    <x v="0"/>
    <n v="2429"/>
    <x v="0"/>
    <s v="Geovanny Mendoza Gonzalez"/>
    <s v="TECU3FNPRO"/>
    <x v="12"/>
    <n v="1"/>
    <x v="1"/>
    <x v="2"/>
    <x v="2"/>
    <x v="0"/>
    <s v="Coordinadora"/>
    <s v="3059087 - 84151121970"/>
    <d v="2025-02-03T00:00:00"/>
    <d v="2025-02-05T00:00:00"/>
    <x v="0"/>
    <n v="2"/>
    <n v="4"/>
    <s v="Cumple"/>
    <n v="62467"/>
    <m/>
    <m/>
  </r>
  <r>
    <d v="2025-01-31T00:00:00"/>
    <x v="0"/>
    <n v="2429"/>
    <x v="0"/>
    <s v="Geovanny Mendoza Gonzalez"/>
    <s v="TECUTCO5M"/>
    <x v="40"/>
    <n v="1"/>
    <x v="2"/>
    <x v="2"/>
    <x v="2"/>
    <x v="0"/>
    <s v="Coordinadora"/>
    <s v="3059089 - 84151121971"/>
    <d v="2025-02-03T00:00:00"/>
    <d v="2025-02-05T00:00:00"/>
    <x v="0"/>
    <n v="2"/>
    <n v="4"/>
    <s v="Cumple"/>
    <n v="39078"/>
    <m/>
    <m/>
  </r>
  <r>
    <d v="2025-01-31T00:00:00"/>
    <x v="0"/>
    <n v="2430"/>
    <x v="0"/>
    <s v="john ibanez"/>
    <s v="TECU3FNPRO"/>
    <x v="12"/>
    <n v="1"/>
    <x v="1"/>
    <x v="1"/>
    <x v="1"/>
    <x v="0"/>
    <s v="Coordinadora"/>
    <s v="3059099 - 84151121978"/>
    <d v="2025-02-03T00:00:00"/>
    <d v="2025-02-05T00:00:00"/>
    <x v="0"/>
    <n v="2"/>
    <n v="4"/>
    <s v="No cumple"/>
    <n v="42921"/>
    <m/>
    <m/>
  </r>
  <r>
    <d v="2025-01-31T00:00:00"/>
    <x v="0"/>
    <n v="2430"/>
    <x v="0"/>
    <s v="john ibanez"/>
    <s v="TECUTCO8C"/>
    <x v="19"/>
    <n v="1"/>
    <x v="2"/>
    <x v="1"/>
    <x v="1"/>
    <x v="0"/>
    <s v="Coordinadora"/>
    <s v="3059100 - 84151121979"/>
    <d v="2025-02-03T00:00:00"/>
    <d v="2025-02-05T00:00:00"/>
    <x v="0"/>
    <n v="2"/>
    <n v="4"/>
    <s v="No cumple"/>
    <n v="26749"/>
    <m/>
    <m/>
  </r>
  <r>
    <d v="2025-01-31T00:00:00"/>
    <x v="0"/>
    <n v="2430"/>
    <x v="0"/>
    <s v="john ibanez"/>
    <s v="TECUROD"/>
    <x v="31"/>
    <n v="1"/>
    <x v="7"/>
    <x v="1"/>
    <x v="1"/>
    <x v="0"/>
    <s v="Coordinadora"/>
    <s v="3059107 - 84151121983"/>
    <d v="2025-02-03T00:00:00"/>
    <d v="2025-02-05T00:00:00"/>
    <x v="0"/>
    <n v="2"/>
    <n v="4"/>
    <s v="No cumple"/>
    <n v="23875"/>
    <m/>
    <m/>
  </r>
  <r>
    <d v="2025-02-02T00:00:00"/>
    <x v="1"/>
    <n v="2431"/>
    <x v="0"/>
    <s v="Patricia Luna Pamplona"/>
    <s v="TECU3FBRO"/>
    <x v="34"/>
    <n v="1"/>
    <x v="1"/>
    <x v="1"/>
    <x v="1"/>
    <x v="0"/>
    <s v="Coordinadora"/>
    <s v="3059121 - 84151121990"/>
    <d v="2025-02-03T00:00:00"/>
    <d v="2025-02-07T00:00:00"/>
    <x v="0"/>
    <n v="0"/>
    <n v="4"/>
    <s v="No cumple"/>
    <n v="42921"/>
    <m/>
    <m/>
  </r>
  <r>
    <d v="2025-02-02T00:00:00"/>
    <x v="1"/>
    <n v="2431"/>
    <x v="0"/>
    <s v="Patricia Luna Pamplona"/>
    <s v="TECUTB5M"/>
    <x v="41"/>
    <n v="1"/>
    <x v="2"/>
    <x v="1"/>
    <x v="1"/>
    <x v="0"/>
    <s v="Coordinadora"/>
    <s v="3059122 - 84151121991"/>
    <d v="2025-02-03T00:00:00"/>
    <d v="2025-02-05T00:00:00"/>
    <x v="0"/>
    <n v="0"/>
    <n v="2"/>
    <s v="Cumple"/>
    <n v="24093"/>
    <m/>
    <m/>
  </r>
  <r>
    <d v="2025-02-02T00:00:00"/>
    <x v="1"/>
    <n v="2431"/>
    <x v="0"/>
    <s v="Patricia Luna Pamplona"/>
    <s v="TECUBDPM"/>
    <x v="0"/>
    <n v="1"/>
    <x v="0"/>
    <x v="1"/>
    <x v="1"/>
    <x v="0"/>
    <s v="Coordinadora"/>
    <s v="3059143 - 84151122002"/>
    <d v="2025-02-03T00:00:00"/>
    <d v="2025-02-05T00:00:00"/>
    <x v="0"/>
    <n v="0"/>
    <n v="2"/>
    <s v="Cumple"/>
    <n v="16617"/>
    <m/>
    <m/>
  </r>
  <r>
    <d v="2025-02-02T00:00:00"/>
    <x v="1"/>
    <n v="2432"/>
    <x v="0"/>
    <s v="Edgar Federico Rodríguez Aranda"/>
    <s v="TECURCC"/>
    <x v="42"/>
    <n v="1"/>
    <x v="6"/>
    <x v="1"/>
    <x v="1"/>
    <x v="0"/>
    <s v="Coordinadora"/>
    <s v="3059168 - 84151122021"/>
    <d v="2025-02-03T00:00:00"/>
    <d v="2025-02-06T00:00:00"/>
    <x v="0"/>
    <n v="0"/>
    <n v="3"/>
    <s v="Cumple"/>
    <n v="23429"/>
    <m/>
    <m/>
  </r>
  <r>
    <d v="2025-02-02T00:00:00"/>
    <x v="1"/>
    <n v="2433"/>
    <x v="0"/>
    <s v="Laura Yepes Aranda"/>
    <s v="TECU3FNPRO"/>
    <x v="12"/>
    <n v="1"/>
    <x v="1"/>
    <x v="0"/>
    <x v="8"/>
    <x v="0"/>
    <s v="Coordinadora"/>
    <s v="3064792 - 84151123684"/>
    <d v="2025-02-04T00:00:00"/>
    <d v="2025-02-05T00:00:00"/>
    <x v="0"/>
    <n v="1"/>
    <n v="2"/>
    <s v="Cumple"/>
    <n v="42921"/>
    <m/>
    <m/>
  </r>
  <r>
    <d v="2025-02-02T00:00:00"/>
    <x v="1"/>
    <n v="2433"/>
    <x v="0"/>
    <s v="Laura Yepes Aranda"/>
    <s v="TECUTFE7M"/>
    <x v="35"/>
    <n v="1"/>
    <x v="2"/>
    <x v="0"/>
    <x v="8"/>
    <x v="0"/>
    <s v="Coordinadora"/>
    <s v="3064793 - 84151123685"/>
    <d v="2025-02-04T00:00:00"/>
    <d v="2025-02-05T00:00:00"/>
    <x v="0"/>
    <n v="1"/>
    <n v="2"/>
    <s v="Cumple"/>
    <n v="24093"/>
    <m/>
    <m/>
  </r>
  <r>
    <d v="2025-02-02T00:00:00"/>
    <x v="1"/>
    <n v="2433"/>
    <x v="0"/>
    <s v="Laura Yepes Aranda"/>
    <s v="TECUAFE"/>
    <x v="43"/>
    <n v="1"/>
    <x v="5"/>
    <x v="0"/>
    <x v="8"/>
    <x v="0"/>
    <s v="Envia"/>
    <s v="3067195 - 954101143183"/>
    <d v="2025-02-04T00:00:00"/>
    <d v="2025-02-06T00:00:00"/>
    <x v="0"/>
    <n v="1"/>
    <n v="3"/>
    <s v="Cumple"/>
    <n v="65682"/>
    <m/>
    <m/>
  </r>
  <r>
    <d v="2025-02-02T00:00:00"/>
    <x v="1"/>
    <n v="2433"/>
    <x v="0"/>
    <s v="Laura Yepes Aranda"/>
    <s v="TECUBLS"/>
    <x v="32"/>
    <n v="1"/>
    <x v="0"/>
    <x v="0"/>
    <x v="8"/>
    <x v="0"/>
    <s v="Coordinadora"/>
    <s v="3064802 -84151123689"/>
    <d v="2025-02-04T00:00:00"/>
    <d v="2025-02-05T00:00:00"/>
    <x v="0"/>
    <n v="1"/>
    <n v="2"/>
    <s v="Cumple"/>
    <n v="24885"/>
    <m/>
    <m/>
  </r>
  <r>
    <d v="2025-02-03T00:00:00"/>
    <x v="1"/>
    <n v="2434"/>
    <x v="0"/>
    <s v="Darwin Saenz"/>
    <s v="TECUACO"/>
    <x v="15"/>
    <n v="1"/>
    <x v="5"/>
    <x v="1"/>
    <x v="1"/>
    <x v="0"/>
    <s v="Envia"/>
    <s v="3067483 - 954101143262"/>
    <d v="2025-02-04T00:00:00"/>
    <d v="2025-02-06T00:00:00"/>
    <x v="0"/>
    <n v="1"/>
    <n v="3"/>
    <s v="Cumple"/>
    <n v="54929"/>
    <m/>
    <m/>
  </r>
  <r>
    <d v="2025-02-03T00:00:00"/>
    <x v="1"/>
    <n v="2435"/>
    <x v="0"/>
    <s v="Andres Adolfo Hernandez Celis"/>
    <s v="TECU3FNPRO"/>
    <x v="12"/>
    <n v="1"/>
    <x v="1"/>
    <x v="1"/>
    <x v="1"/>
    <x v="0"/>
    <s v="Coordinadora"/>
    <s v="3064808 - 84151123691"/>
    <d v="2025-02-04T00:00:00"/>
    <d v="2025-02-06T00:00:00"/>
    <x v="0"/>
    <n v="1"/>
    <n v="3"/>
    <s v="Cumple"/>
    <n v="42921"/>
    <m/>
    <m/>
  </r>
  <r>
    <d v="2025-02-03T00:00:00"/>
    <x v="1"/>
    <n v="2435"/>
    <x v="0"/>
    <s v="Andres Adolfo Hernandez Celis"/>
    <s v="TECUTCO8C"/>
    <x v="19"/>
    <n v="1"/>
    <x v="2"/>
    <x v="1"/>
    <x v="1"/>
    <x v="0"/>
    <s v="Coordinadora"/>
    <s v="3064809 - 84151123692"/>
    <d v="2025-02-04T00:00:00"/>
    <d v="2025-02-06T00:00:00"/>
    <x v="0"/>
    <n v="1"/>
    <n v="3"/>
    <s v="Cumple"/>
    <n v="26749"/>
    <m/>
    <m/>
  </r>
  <r>
    <d v="2025-02-03T00:00:00"/>
    <x v="1"/>
    <n v="2435"/>
    <x v="0"/>
    <s v="Andres Adolfo Hernandez Celis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2-04T00:00:00"/>
    <x v="1"/>
    <n v="2436"/>
    <x v="0"/>
    <s v="Jorge Andrés Martin González"/>
    <s v="TECU3FNPRO"/>
    <x v="12"/>
    <n v="1"/>
    <x v="1"/>
    <x v="1"/>
    <x v="1"/>
    <x v="0"/>
    <s v="Coordinadora"/>
    <s v="3064827 - 84151123703"/>
    <d v="2025-02-04T00:00:00"/>
    <d v="2025-02-06T00:00:00"/>
    <x v="0"/>
    <n v="0"/>
    <n v="2"/>
    <s v="Cumple"/>
    <n v="42921"/>
    <m/>
    <m/>
  </r>
  <r>
    <d v="2025-02-10T00:00:00"/>
    <x v="1"/>
    <n v="2437"/>
    <x v="0"/>
    <s v="Luis Angel Hernandez Barreto"/>
    <s v="TECU3FNPRO"/>
    <x v="12"/>
    <n v="1"/>
    <x v="1"/>
    <x v="1"/>
    <x v="18"/>
    <x v="0"/>
    <s v="Coordinadora"/>
    <s v="3076529 - 84151128765"/>
    <d v="2025-02-10T00:00:00"/>
    <d v="2025-02-12T00:00:00"/>
    <x v="0"/>
    <n v="0"/>
    <n v="2"/>
    <e v="#N/A"/>
    <n v="42921"/>
    <m/>
    <m/>
  </r>
  <r>
    <d v="2025-02-10T00:00:00"/>
    <x v="1"/>
    <n v="2437"/>
    <x v="0"/>
    <s v="Luis Angel Hernandez Barreto"/>
    <s v="TECUTFE4C"/>
    <x v="14"/>
    <n v="1"/>
    <x v="2"/>
    <x v="1"/>
    <x v="18"/>
    <x v="0"/>
    <s v="Coordinadora"/>
    <s v="3076530 - 84151128766"/>
    <d v="2025-02-10T00:00:00"/>
    <d v="2025-02-12T00:00:00"/>
    <x v="0"/>
    <n v="0"/>
    <n v="2"/>
    <e v="#N/A"/>
    <n v="24093"/>
    <m/>
    <m/>
  </r>
  <r>
    <d v="2025-02-10T00:00:00"/>
    <x v="1"/>
    <n v="2438"/>
    <x v="0"/>
    <s v="Alejandro León Marín"/>
    <s v="TECU3FNPRO"/>
    <x v="12"/>
    <n v="1"/>
    <x v="1"/>
    <x v="1"/>
    <x v="1"/>
    <x v="0"/>
    <s v="Coordinadora"/>
    <s v="3076861 - 84151128959"/>
    <d v="2025-02-10T00:00:00"/>
    <d v="2025-02-12T00:00:00"/>
    <x v="0"/>
    <n v="0"/>
    <n v="2"/>
    <s v="Cumple"/>
    <n v="42921"/>
    <m/>
    <m/>
  </r>
  <r>
    <d v="2025-02-10T00:00:00"/>
    <x v="1"/>
    <n v="2438"/>
    <x v="0"/>
    <s v="Alejandro León Marín"/>
    <s v="TECUTCO6C"/>
    <x v="16"/>
    <n v="1"/>
    <x v="2"/>
    <x v="1"/>
    <x v="1"/>
    <x v="0"/>
    <s v="Coordinadora"/>
    <s v="3076862 - 84151128960"/>
    <d v="2025-02-10T00:00:00"/>
    <d v="2025-02-12T00:00:00"/>
    <x v="0"/>
    <n v="0"/>
    <n v="2"/>
    <s v="Cumple"/>
    <n v="24093"/>
    <m/>
    <m/>
  </r>
  <r>
    <d v="2025-02-10T00:00:00"/>
    <x v="1"/>
    <n v="2438"/>
    <x v="0"/>
    <s v="Alejandro León Marín"/>
    <s v="TECUBDPM"/>
    <x v="0"/>
    <n v="1"/>
    <x v="0"/>
    <x v="1"/>
    <x v="1"/>
    <x v="0"/>
    <s v="Coordinadora"/>
    <s v="3076871 - 84151128965"/>
    <d v="2025-02-10T00:00:00"/>
    <d v="2025-02-12T00:00:00"/>
    <x v="0"/>
    <n v="0"/>
    <n v="2"/>
    <s v="Cumple"/>
    <n v="16617"/>
    <m/>
    <m/>
  </r>
  <r>
    <d v="2025-02-10T00:00:00"/>
    <x v="1"/>
    <n v="2438"/>
    <x v="0"/>
    <s v="Alejandro León Marín"/>
    <s v="TECUCT"/>
    <x v="4"/>
    <n v="1"/>
    <x v="0"/>
    <x v="1"/>
    <x v="1"/>
    <x v="0"/>
    <s v="Coordinadora"/>
    <s v="3076866 - 84151128963"/>
    <d v="2025-02-10T00:00:00"/>
    <d v="2025-02-12T00:00:00"/>
    <x v="0"/>
    <n v="0"/>
    <n v="2"/>
    <s v="Cumple"/>
    <n v="24885"/>
    <m/>
    <m/>
  </r>
  <r>
    <d v="2025-02-10T00:00:00"/>
    <x v="1"/>
    <n v="2438"/>
    <x v="0"/>
    <s v="Alejandro León Marín"/>
    <m/>
    <x v="10"/>
    <n v="1"/>
    <x v="3"/>
    <x v="1"/>
    <x v="1"/>
    <x v="1"/>
    <s v="NA"/>
    <s v="NA"/>
    <s v="NA"/>
    <s v="NA"/>
    <x v="0"/>
    <m/>
    <m/>
    <m/>
    <n v="0"/>
    <m/>
    <m/>
  </r>
  <r>
    <d v="2025-02-11T00:00:00"/>
    <x v="1"/>
    <n v="2439"/>
    <x v="0"/>
    <s v="SARA GALLON"/>
    <s v="TECU3FNPRO"/>
    <x v="12"/>
    <n v="1"/>
    <x v="1"/>
    <x v="0"/>
    <x v="8"/>
    <x v="0"/>
    <s v="Coordinadora"/>
    <s v="3079084 - 84151129998"/>
    <d v="2025-02-11T00:00:00"/>
    <d v="2025-02-12T00:00:00"/>
    <x v="0"/>
    <n v="0"/>
    <n v="1"/>
    <s v="Cumple"/>
    <n v="42921"/>
    <m/>
    <m/>
  </r>
  <r>
    <d v="2025-02-11T00:00:00"/>
    <x v="1"/>
    <n v="2440"/>
    <x v="0"/>
    <s v="Johanna Rodero"/>
    <s v="TECUAB"/>
    <x v="44"/>
    <n v="1"/>
    <x v="5"/>
    <x v="1"/>
    <x v="1"/>
    <x v="0"/>
    <s v="Coordinadora"/>
    <s v="3079174 - 954101147482"/>
    <d v="2025-02-11T00:00:00"/>
    <d v="2025-02-12T00:00:00"/>
    <x v="0"/>
    <n v="0"/>
    <n v="1"/>
    <s v="Cumple"/>
    <n v="54929"/>
    <m/>
    <m/>
  </r>
  <r>
    <d v="2025-02-11T00:00:00"/>
    <x v="1"/>
    <n v="2441"/>
    <x v="0"/>
    <s v="Sebastian Casas"/>
    <s v="TECULFN2"/>
    <x v="7"/>
    <n v="1"/>
    <x v="1"/>
    <x v="1"/>
    <x v="1"/>
    <x v="0"/>
    <s v="Coordinadora"/>
    <s v="3079240 - 84151130081"/>
    <d v="2025-02-11T00:00:00"/>
    <d v="2025-02-12T00:00:00"/>
    <x v="0"/>
    <n v="0"/>
    <n v="1"/>
    <s v="Cumple"/>
    <n v="62530"/>
    <m/>
    <m/>
  </r>
  <r>
    <d v="2025-02-11T00:00:00"/>
    <x v="1"/>
    <n v="2441"/>
    <x v="0"/>
    <s v="Sebastian Casas"/>
    <s v="TECUTLCCS"/>
    <x v="45"/>
    <n v="1"/>
    <x v="2"/>
    <x v="1"/>
    <x v="1"/>
    <x v="0"/>
    <s v="Coordinadora"/>
    <s v="3079242 - 84151130082"/>
    <d v="2025-02-11T00:00:00"/>
    <d v="2025-02-12T00:00:00"/>
    <x v="0"/>
    <n v="0"/>
    <n v="1"/>
    <s v="Cumple"/>
    <n v="26749"/>
    <m/>
    <m/>
  </r>
  <r>
    <d v="2025-02-13T00:00:00"/>
    <x v="1"/>
    <n v="2442"/>
    <x v="0"/>
    <s v="Camilo Pimentel Gomez"/>
    <s v="TECU2FNG"/>
    <x v="5"/>
    <n v="1"/>
    <x v="1"/>
    <x v="1"/>
    <x v="1"/>
    <x v="0"/>
    <s v="Coordinadora"/>
    <s v="3084198 - 84151132452"/>
    <d v="2025-02-13T00:00:00"/>
    <d v="2025-02-15T00:00:00"/>
    <x v="0"/>
    <n v="0"/>
    <n v="2"/>
    <s v="Cumple"/>
    <n v="41593"/>
    <m/>
    <m/>
  </r>
  <r>
    <d v="2025-02-13T00:00:00"/>
    <x v="1"/>
    <n v="2442"/>
    <x v="0"/>
    <s v="Camilo Pimentel Gomez"/>
    <s v="TECUTCO2C"/>
    <x v="37"/>
    <n v="1"/>
    <x v="2"/>
    <x v="1"/>
    <x v="1"/>
    <x v="0"/>
    <s v="Coordinadora"/>
    <s v="3084199 - 84151132453"/>
    <d v="2025-02-13T00:00:00"/>
    <d v="2025-02-17T00:00:00"/>
    <x v="0"/>
    <n v="0"/>
    <n v="3"/>
    <s v="Cumple"/>
    <n v="24093"/>
    <m/>
    <m/>
  </r>
  <r>
    <d v="2025-02-14T00:00:00"/>
    <x v="1"/>
    <n v="2443"/>
    <x v="0"/>
    <s v="rodrigo rivera alarcon"/>
    <s v="TECU3FNPRO"/>
    <x v="12"/>
    <n v="1"/>
    <x v="1"/>
    <x v="6"/>
    <x v="17"/>
    <x v="0"/>
    <s v="Coordinadora"/>
    <s v="3085936 - 84151133206"/>
    <d v="2025-02-14T00:00:00"/>
    <d v="2025-02-15T00:00:00"/>
    <x v="0"/>
    <n v="0"/>
    <n v="1"/>
    <s v="Cumple"/>
    <n v="42921"/>
    <m/>
    <m/>
  </r>
  <r>
    <d v="2025-02-14T00:00:00"/>
    <x v="1"/>
    <n v="2443"/>
    <x v="0"/>
    <s v="rodrigo rivera alarcon"/>
    <s v="TECUTCO6C"/>
    <x v="16"/>
    <n v="1"/>
    <x v="2"/>
    <x v="6"/>
    <x v="17"/>
    <x v="0"/>
    <s v="Coordinadora"/>
    <s v="3085937 - 84151133207"/>
    <d v="2025-02-14T00:00:00"/>
    <d v="2025-02-15T00:00:00"/>
    <x v="0"/>
    <n v="0"/>
    <n v="1"/>
    <s v="Cumple"/>
    <n v="24093"/>
    <m/>
    <m/>
  </r>
  <r>
    <d v="2025-02-14T00:00:00"/>
    <x v="1"/>
    <n v="2444"/>
    <x v="0"/>
    <s v="Antonella Ramirez"/>
    <s v="TECU2FBGO"/>
    <x v="2"/>
    <n v="1"/>
    <x v="1"/>
    <x v="11"/>
    <x v="19"/>
    <x v="0"/>
    <s v="Coordinadora"/>
    <s v="3090347 - 84151134931"/>
    <d v="2025-02-17T00:00:00"/>
    <d v="2025-02-18T00:00:00"/>
    <x v="0"/>
    <n v="2"/>
    <n v="3"/>
    <s v="Cumple"/>
    <n v="34156"/>
    <m/>
    <m/>
  </r>
  <r>
    <d v="2025-02-14T00:00:00"/>
    <x v="1"/>
    <n v="2444"/>
    <x v="0"/>
    <s v="Antonella Ramirez"/>
    <s v="TECUTB3C"/>
    <x v="46"/>
    <n v="1"/>
    <x v="2"/>
    <x v="11"/>
    <x v="19"/>
    <x v="0"/>
    <s v="Coordinadora"/>
    <s v="3090348 - 84151134932"/>
    <d v="2025-02-17T00:00:00"/>
    <d v="2025-02-18T00:00:00"/>
    <x v="0"/>
    <n v="2"/>
    <n v="3"/>
    <s v="Cumple"/>
    <n v="15194"/>
    <m/>
    <m/>
  </r>
  <r>
    <d v="2025-02-17T00:00:00"/>
    <x v="1"/>
    <n v="2445"/>
    <x v="0"/>
    <s v="Andres Torres"/>
    <s v="TECUROD"/>
    <x v="31"/>
    <n v="2"/>
    <x v="7"/>
    <x v="1"/>
    <x v="1"/>
    <x v="0"/>
    <s v="Coordinadora"/>
    <s v="3090669 - 84151135081"/>
    <d v="2025-02-17T00:00:00"/>
    <d v="2025-02-18T00:00:00"/>
    <x v="0"/>
    <n v="0"/>
    <n v="1"/>
    <s v="Cumple"/>
    <n v="23875"/>
    <m/>
    <m/>
  </r>
  <r>
    <d v="2025-02-17T00:00:00"/>
    <x v="1"/>
    <n v="2446"/>
    <x v="0"/>
    <s v="Shorelight Education Colombia SAS"/>
    <s v="TECU2FNG"/>
    <x v="5"/>
    <n v="1"/>
    <x v="1"/>
    <x v="1"/>
    <x v="1"/>
    <x v="0"/>
    <s v="Coordinadora"/>
    <s v="3091001 - 84151135253"/>
    <d v="2025-02-17T00:00:00"/>
    <d v="2025-02-18T00:00:00"/>
    <x v="0"/>
    <n v="0"/>
    <n v="1"/>
    <s v="Cumple"/>
    <n v="41593"/>
    <m/>
    <m/>
  </r>
  <r>
    <d v="2025-02-17T00:00:00"/>
    <x v="1"/>
    <n v="2446"/>
    <x v="0"/>
    <s v="Shorelight Education Colombia SAS"/>
    <s v="TECUTCO3C"/>
    <x v="23"/>
    <n v="1"/>
    <x v="2"/>
    <x v="1"/>
    <x v="1"/>
    <x v="0"/>
    <s v="Coordinadora"/>
    <s v="3091002 - 84151135254"/>
    <d v="2025-02-17T00:00:00"/>
    <d v="2025-02-18T00:00:00"/>
    <x v="0"/>
    <n v="0"/>
    <n v="1"/>
    <s v="Cumple"/>
    <n v="24093"/>
    <m/>
    <m/>
  </r>
  <r>
    <d v="2025-02-17T00:00:00"/>
    <x v="1"/>
    <n v="2447"/>
    <x v="0"/>
    <s v="INMOTICA LTDA"/>
    <s v="TECU3FNPRO"/>
    <x v="12"/>
    <n v="1"/>
    <x v="1"/>
    <x v="1"/>
    <x v="1"/>
    <x v="0"/>
    <s v="Coordinadora"/>
    <s v="3093202 - 84151136273"/>
    <d v="2025-02-18T00:00:00"/>
    <d v="2025-02-19T00:00:00"/>
    <x v="0"/>
    <n v="1"/>
    <n v="2"/>
    <s v="Cumple"/>
    <n v="42921"/>
    <m/>
    <m/>
  </r>
  <r>
    <d v="2025-02-17T00:00:00"/>
    <x v="1"/>
    <n v="2447"/>
    <x v="0"/>
    <s v="INMOTICA LTDA"/>
    <s v="TECUTFE6M"/>
    <x v="47"/>
    <n v="1"/>
    <x v="2"/>
    <x v="1"/>
    <x v="1"/>
    <x v="0"/>
    <s v="Coordinadora"/>
    <s v="3093203 - 84151136274"/>
    <d v="2025-02-18T00:00:00"/>
    <d v="2025-02-20T00:00:00"/>
    <x v="0"/>
    <n v="1"/>
    <n v="3"/>
    <s v="Cumple"/>
    <n v="24093"/>
    <m/>
    <m/>
  </r>
  <r>
    <d v="2025-02-18T00:00:00"/>
    <x v="1"/>
    <n v="2448"/>
    <x v="0"/>
    <s v="Maria Bueno"/>
    <s v="TECU2FBGO"/>
    <x v="2"/>
    <n v="1"/>
    <x v="1"/>
    <x v="1"/>
    <x v="1"/>
    <x v="0"/>
    <s v="Coordinadora"/>
    <s v="3093212 - 84151136283"/>
    <d v="2025-02-18T00:00:00"/>
    <d v="2025-02-19T00:00:00"/>
    <x v="0"/>
    <n v="0"/>
    <n v="1"/>
    <s v="Cumple"/>
    <n v="41593"/>
    <m/>
    <m/>
  </r>
  <r>
    <d v="2025-02-18T00:00:00"/>
    <x v="1"/>
    <n v="2448"/>
    <x v="0"/>
    <s v="Maria Bueno"/>
    <s v="TECUTFE4C"/>
    <x v="14"/>
    <n v="1"/>
    <x v="2"/>
    <x v="1"/>
    <x v="1"/>
    <x v="0"/>
    <s v="Coordinadora"/>
    <s v="3093214 - 84151136284"/>
    <d v="2025-02-18T00:00:00"/>
    <d v="2025-02-20T00:00:00"/>
    <x v="0"/>
    <n v="0"/>
    <n v="2"/>
    <s v="Cumple"/>
    <n v="24093"/>
    <m/>
    <m/>
  </r>
  <r>
    <d v="2025-02-18T00:00:00"/>
    <x v="1"/>
    <n v="2448"/>
    <x v="0"/>
    <s v="Maria Bueno"/>
    <s v="TECUAFE"/>
    <x v="43"/>
    <n v="1"/>
    <x v="5"/>
    <x v="1"/>
    <x v="1"/>
    <x v="0"/>
    <s v="Envia"/>
    <s v="3093235 - 954101152921"/>
    <d v="2025-02-18T00:00:00"/>
    <d v="2025-02-19T00:00:00"/>
    <x v="0"/>
    <n v="0"/>
    <n v="1"/>
    <s v="Cumple"/>
    <n v="54929"/>
    <m/>
    <m/>
  </r>
  <r>
    <d v="2025-02-18T00:00:00"/>
    <x v="1"/>
    <n v="2448"/>
    <x v="0"/>
    <s v="Maria Bueno"/>
    <s v="TECUBDPM"/>
    <x v="0"/>
    <n v="1"/>
    <x v="0"/>
    <x v="1"/>
    <x v="1"/>
    <x v="0"/>
    <s v="Coordinadora"/>
    <s v="3093225 - 84151136289"/>
    <d v="2025-02-18T00:00:00"/>
    <d v="2025-02-19T00:00:00"/>
    <x v="0"/>
    <n v="0"/>
    <n v="1"/>
    <s v="Cumple"/>
    <n v="16617"/>
    <m/>
    <m/>
  </r>
  <r>
    <d v="2025-02-19T00:00:00"/>
    <x v="1"/>
    <n v="2449"/>
    <x v="0"/>
    <s v="Esteban de Bedout"/>
    <s v="TECUACO"/>
    <x v="15"/>
    <n v="1"/>
    <x v="5"/>
    <x v="1"/>
    <x v="1"/>
    <x v="0"/>
    <s v="Envia"/>
    <s v="3094269 - 954101153161"/>
    <d v="2025-02-18T00:00:00"/>
    <d v="2025-02-19T00:00:00"/>
    <x v="0"/>
    <n v="-3"/>
    <n v="0"/>
    <s v="Cumple"/>
    <n v="65682"/>
    <m/>
    <m/>
  </r>
  <r>
    <d v="2025-02-19T00:00:00"/>
    <x v="1"/>
    <n v="2450"/>
    <x v="0"/>
    <s v="Antonia Estrada"/>
    <s v="TECU2FNG"/>
    <x v="5"/>
    <n v="1"/>
    <x v="1"/>
    <x v="0"/>
    <x v="5"/>
    <x v="0"/>
    <s v="Coordinadora"/>
    <s v="3096424 - 84151137576"/>
    <d v="2025-02-18T00:00:00"/>
    <d v="2025-02-20T00:00:00"/>
    <x v="0"/>
    <n v="-3"/>
    <n v="1"/>
    <s v="Cumple"/>
    <n v="41593"/>
    <m/>
    <m/>
  </r>
  <r>
    <d v="2025-02-19T00:00:00"/>
    <x v="1"/>
    <n v="2450"/>
    <x v="0"/>
    <s v="Antonia Estrada"/>
    <s v="TECUTRN6C"/>
    <x v="20"/>
    <n v="1"/>
    <x v="2"/>
    <x v="0"/>
    <x v="5"/>
    <x v="0"/>
    <s v="Coordinadora"/>
    <s v="3096425 - 84151137577"/>
    <d v="2025-02-18T00:00:00"/>
    <d v="2025-02-20T00:00:00"/>
    <x v="0"/>
    <n v="-3"/>
    <n v="1"/>
    <s v="Cumple"/>
    <n v="24093"/>
    <m/>
    <m/>
  </r>
  <r>
    <d v="2025-02-19T00:00:00"/>
    <x v="1"/>
    <n v="2451"/>
    <x v="0"/>
    <s v="ZAFERI SAS"/>
    <s v="TECUACC"/>
    <x v="48"/>
    <n v="1"/>
    <x v="5"/>
    <x v="0"/>
    <x v="5"/>
    <x v="0"/>
    <s v="Envia"/>
    <s v="3097652 - 954101154334"/>
    <d v="2025-02-19T00:00:00"/>
    <d v="2025-02-20T00:00:00"/>
    <x v="0"/>
    <n v="0"/>
    <n v="1"/>
    <s v="Cumple"/>
    <n v="65682"/>
    <m/>
    <m/>
  </r>
  <r>
    <d v="2025-02-19T00:00:00"/>
    <x v="1"/>
    <n v="2451"/>
    <x v="0"/>
    <s v="ZAFERI SAS"/>
    <s v="TECUCT"/>
    <x v="4"/>
    <n v="1"/>
    <x v="0"/>
    <x v="0"/>
    <x v="5"/>
    <x v="0"/>
    <s v="Envia"/>
    <s v="3097666 - 954101154347"/>
    <d v="2025-02-19T00:00:00"/>
    <d v="2025-02-20T00:00:00"/>
    <x v="0"/>
    <n v="0"/>
    <n v="1"/>
    <s v="Cumple"/>
    <n v="20376"/>
    <m/>
    <m/>
  </r>
  <r>
    <d v="2025-02-23T00:00:00"/>
    <x v="1"/>
    <n v="2452"/>
    <x v="0"/>
    <s v="Daniel Corrales"/>
    <s v="TECULFN2"/>
    <x v="7"/>
    <n v="1"/>
    <x v="1"/>
    <x v="1"/>
    <x v="1"/>
    <x v="0"/>
    <s v="Coordinadora"/>
    <s v="3105541 - 84151141166"/>
    <d v="2025-02-24T00:00:00"/>
    <d v="2025-02-26T00:00:00"/>
    <x v="1"/>
    <n v="0"/>
    <s v="PTE"/>
    <s v="PTE"/>
    <n v="62530"/>
    <m/>
    <m/>
  </r>
  <r>
    <d v="2025-02-23T00:00:00"/>
    <x v="1"/>
    <n v="2452"/>
    <x v="0"/>
    <s v="Daniel Corrales"/>
    <s v="TECUTLCCS"/>
    <x v="45"/>
    <n v="1"/>
    <x v="2"/>
    <x v="1"/>
    <x v="1"/>
    <x v="0"/>
    <s v="Coordinadora"/>
    <s v="3105542 - 84151141167"/>
    <d v="2025-02-24T00:00:00"/>
    <d v="2025-02-26T00:00:00"/>
    <x v="1"/>
    <n v="0"/>
    <s v="PTE"/>
    <s v="PTE"/>
    <n v="25749"/>
    <m/>
    <m/>
  </r>
  <r>
    <d v="2025-02-05T00:00:00"/>
    <x v="1"/>
    <n v="2430"/>
    <x v="1"/>
    <s v="john ibanez"/>
    <s v="TECUTCO8C"/>
    <x v="19"/>
    <n v="1"/>
    <x v="2"/>
    <x v="1"/>
    <x v="1"/>
    <x v="0"/>
    <s v="Coordinadora"/>
    <s v="3069906 - 954101144256"/>
    <d v="2025-02-06T00:00:00"/>
    <d v="2025-02-07T00:00:00"/>
    <x v="0"/>
    <n v="1"/>
    <n v="2"/>
    <s v="Cumple"/>
    <n v="30834"/>
    <m/>
    <m/>
  </r>
  <r>
    <d v="2025-02-24T00:00:00"/>
    <x v="1"/>
    <n v="2454"/>
    <x v="0"/>
    <s v="Kevin Lopez"/>
    <s v="TECU2FNG"/>
    <x v="5"/>
    <n v="1"/>
    <x v="1"/>
    <x v="1"/>
    <x v="20"/>
    <x v="0"/>
    <s v="Coordinadora"/>
    <s v="3109084 -84151142667"/>
    <d v="2025-02-25T00:00:00"/>
    <d v="2025-02-27T15:00:19"/>
    <x v="0"/>
    <n v="1"/>
    <n v="3"/>
    <s v="Cumple"/>
    <n v="41593"/>
    <m/>
    <m/>
  </r>
  <r>
    <d v="2025-02-24T00:00:00"/>
    <x v="1"/>
    <n v="2454"/>
    <x v="0"/>
    <s v="Kevin Lopez"/>
    <s v="TECUTFE4C"/>
    <x v="14"/>
    <n v="1"/>
    <x v="2"/>
    <x v="1"/>
    <x v="20"/>
    <x v="0"/>
    <s v="Coordinadora"/>
    <s v="3109085 -84151142668"/>
    <d v="2025-02-25T00:00:00"/>
    <d v="2025-02-27T15:05:28"/>
    <x v="0"/>
    <n v="1"/>
    <n v="3"/>
    <s v="Cumple"/>
    <n v="24093"/>
    <m/>
    <m/>
  </r>
  <r>
    <d v="2025-02-25T00:00:00"/>
    <x v="1"/>
    <n v="2455"/>
    <x v="0"/>
    <s v="Kevin Lopez"/>
    <s v="TECU2FBGO"/>
    <x v="2"/>
    <n v="1"/>
    <x v="1"/>
    <x v="1"/>
    <x v="20"/>
    <x v="0"/>
    <s v="Coordinadora"/>
    <s v="3109094 -84151142672"/>
    <d v="2025-02-25T00:00:00"/>
    <d v="2025-02-27T15:05:28"/>
    <x v="0"/>
    <n v="0"/>
    <n v="2"/>
    <s v="Cumple"/>
    <n v="41593"/>
    <m/>
    <m/>
  </r>
  <r>
    <d v="2025-02-25T00:00:00"/>
    <x v="1"/>
    <n v="2455"/>
    <x v="0"/>
    <s v="Kevin Lopez"/>
    <s v="TECUTFE4C"/>
    <x v="14"/>
    <n v="1"/>
    <x v="2"/>
    <x v="1"/>
    <x v="20"/>
    <x v="0"/>
    <s v="Coordinadora"/>
    <s v="3109095 -84151142673"/>
    <d v="2025-02-25T00:00:00"/>
    <d v="2025-02-27T15:00:19"/>
    <x v="0"/>
    <n v="0"/>
    <n v="2"/>
    <s v="Cumple"/>
    <n v="24093"/>
    <m/>
    <m/>
  </r>
  <r>
    <d v="2025-02-25T00:00:00"/>
    <x v="1"/>
    <n v="2456"/>
    <x v="0"/>
    <s v="Juan Daniel Tobar Parada / SERVICIOS ESTRATEGICOS CMH, SAPI DE CV"/>
    <s v="TECU3FNPRO"/>
    <x v="12"/>
    <n v="1"/>
    <x v="1"/>
    <x v="1"/>
    <x v="1"/>
    <x v="0"/>
    <s v="Coordinadora"/>
    <s v="3109970 -84151143085"/>
    <d v="2025-02-26T00:00:00"/>
    <d v="2025-02-27T12:17:44"/>
    <x v="0"/>
    <n v="1"/>
    <n v="2"/>
    <s v="Cumple"/>
    <n v="42921"/>
    <m/>
    <m/>
  </r>
  <r>
    <d v="2025-02-25T00:00:00"/>
    <x v="1"/>
    <n v="2456"/>
    <x v="0"/>
    <s v="Juan Daniel Tobar Parada / SERVICIOS ESTRATEGICOS CMH, SAPI DE CV"/>
    <s v="TECUTRN2C"/>
    <x v="11"/>
    <n v="1"/>
    <x v="2"/>
    <x v="1"/>
    <x v="1"/>
    <x v="0"/>
    <s v="Coordinadora"/>
    <s v="3109971 -84151143086"/>
    <d v="2025-02-26T00:00:00"/>
    <d v="2025-02-27T12:17:44"/>
    <x v="0"/>
    <n v="1"/>
    <n v="2"/>
    <s v="Cumple"/>
    <n v="28741"/>
    <m/>
    <m/>
  </r>
  <r>
    <d v="2025-02-26T00:00:00"/>
    <x v="1"/>
    <n v="2457"/>
    <x v="0"/>
    <s v="Santiago Patiño"/>
    <s v="TECU3FNPRO"/>
    <x v="12"/>
    <n v="1"/>
    <x v="1"/>
    <x v="0"/>
    <x v="8"/>
    <x v="0"/>
    <s v="Coordinadora"/>
    <s v="3112625 -84151144131"/>
    <d v="2025-02-27T00:00:00"/>
    <d v="2025-02-28T00:00:00"/>
    <x v="0"/>
    <n v="1"/>
    <n v="2"/>
    <s v="Cumple"/>
    <n v="42921"/>
    <m/>
    <m/>
  </r>
  <r>
    <d v="2025-02-26T00:00:00"/>
    <x v="1"/>
    <n v="2457"/>
    <x v="0"/>
    <s v="Santiago Patiño"/>
    <s v="TECUTCO4C"/>
    <x v="6"/>
    <n v="1"/>
    <x v="2"/>
    <x v="0"/>
    <x v="8"/>
    <x v="0"/>
    <s v="Coordinadora"/>
    <s v="3112627 -84151144132"/>
    <d v="2025-02-27T00:00:00"/>
    <d v="2025-02-27T09:53:23"/>
    <x v="0"/>
    <n v="1"/>
    <n v="1"/>
    <s v="Cumple"/>
    <n v="24093"/>
    <m/>
    <m/>
  </r>
  <r>
    <d v="2025-02-26T00:00:00"/>
    <x v="1"/>
    <n v="2457"/>
    <x v="0"/>
    <s v="Santiago Patiño"/>
    <s v="TECUROD"/>
    <x v="31"/>
    <n v="1"/>
    <x v="7"/>
    <x v="0"/>
    <x v="8"/>
    <x v="0"/>
    <s v="Coordinadora"/>
    <s v="3112637 -84151144139"/>
    <d v="2025-02-27T00:00:00"/>
    <d v="2025-02-27T09:53:23"/>
    <x v="0"/>
    <n v="1"/>
    <n v="1"/>
    <s v="Cumple"/>
    <n v="23875"/>
    <m/>
    <m/>
  </r>
  <r>
    <d v="2025-02-27T00:00:00"/>
    <x v="1"/>
    <n v="2458"/>
    <x v="0"/>
    <s v="Laura Romero"/>
    <s v="TECU2FBGO"/>
    <x v="2"/>
    <n v="1"/>
    <x v="1"/>
    <x v="1"/>
    <x v="21"/>
    <x v="0"/>
    <s v="Coordinadora"/>
    <s v="3117134 -84151145965"/>
    <d v="2025-02-28T00:00:00"/>
    <d v="2025-03-03T14:06:50"/>
    <x v="0"/>
    <n v="1"/>
    <n v="3"/>
    <s v="Cumple"/>
    <n v="41593"/>
    <m/>
    <m/>
  </r>
  <r>
    <d v="2025-02-27T00:00:00"/>
    <x v="1"/>
    <n v="2458"/>
    <x v="0"/>
    <s v="Laura Romero"/>
    <s v="TECUTFE4C"/>
    <x v="14"/>
    <n v="1"/>
    <x v="2"/>
    <x v="1"/>
    <x v="21"/>
    <x v="0"/>
    <s v="Coordinadora"/>
    <s v="3117136 -84151145966"/>
    <d v="2025-02-28T00:00:00"/>
    <d v="2025-03-03T14:06:50"/>
    <x v="0"/>
    <n v="1"/>
    <n v="3"/>
    <s v="Cumple"/>
    <n v="24093"/>
    <m/>
    <m/>
  </r>
  <r>
    <d v="2025-02-27T00:00:00"/>
    <x v="1"/>
    <n v="2458"/>
    <x v="0"/>
    <s v="Laura Romero"/>
    <s v="TECUROD"/>
    <x v="31"/>
    <n v="1"/>
    <x v="7"/>
    <x v="1"/>
    <x v="21"/>
    <x v="0"/>
    <s v="Coordinadora"/>
    <s v="3117170 -84151145983"/>
    <d v="2025-02-28T00:00:00"/>
    <d v="2025-03-03T14:06:50"/>
    <x v="0"/>
    <n v="1"/>
    <n v="3"/>
    <s v="Cumple"/>
    <n v="23875"/>
    <m/>
    <m/>
  </r>
  <r>
    <d v="2025-02-28T00:00:00"/>
    <x v="1"/>
    <n v="2459"/>
    <x v="0"/>
    <s v="Oscar Mauricio Pacheco Saavedra"/>
    <s v="TECUBDPA"/>
    <x v="1"/>
    <n v="1"/>
    <x v="0"/>
    <x v="0"/>
    <x v="5"/>
    <x v="0"/>
    <s v="Coordinadora"/>
    <s v="3117207 -84151145988"/>
    <d v="2025-02-28T00:00:00"/>
    <d v="2025-03-01T13:52:27"/>
    <x v="0"/>
    <n v="0"/>
    <n v="1"/>
    <s v="Cumple"/>
    <n v="16617"/>
    <m/>
    <m/>
  </r>
  <r>
    <d v="2025-02-28T00:00:00"/>
    <x v="1"/>
    <n v="2460"/>
    <x v="0"/>
    <s v="Juan Daniel Tobar Parada / SERVICIOS ESTRATEGICOS CMH, SAPI DE CV"/>
    <s v="TECUCT"/>
    <x v="4"/>
    <n v="1"/>
    <x v="0"/>
    <x v="1"/>
    <x v="1"/>
    <x v="0"/>
    <s v="Coordinadora"/>
    <s v="3117224 -84151145997"/>
    <d v="2025-02-28T00:00:00"/>
    <d v="2025-03-01T17:16:43"/>
    <x v="0"/>
    <n v="0"/>
    <n v="1"/>
    <s v="Cumple"/>
    <n v="24885"/>
    <m/>
    <m/>
  </r>
  <r>
    <d v="2025-02-28T00:00:00"/>
    <x v="1"/>
    <n v="2461"/>
    <x v="0"/>
    <s v="Afranio Cardona Gomez"/>
    <s v="TECU3FNPRO"/>
    <x v="12"/>
    <n v="1"/>
    <x v="1"/>
    <x v="5"/>
    <x v="9"/>
    <x v="0"/>
    <s v="Coordinadora"/>
    <s v="3144602 - 84151157538"/>
    <d v="2025-03-10T00:00:00"/>
    <d v="2025-03-11T00:00:00"/>
    <x v="0"/>
    <n v="8"/>
    <n v="9"/>
    <s v="No cumple"/>
    <n v="56077"/>
    <m/>
    <m/>
  </r>
  <r>
    <d v="2025-02-28T00:00:00"/>
    <x v="1"/>
    <n v="2461"/>
    <x v="0"/>
    <s v="Afranio Cardona Gomez"/>
    <s v="TECUTRM8C"/>
    <x v="49"/>
    <n v="1"/>
    <x v="2"/>
    <x v="5"/>
    <x v="9"/>
    <x v="0"/>
    <s v="Coordinadora"/>
    <s v="3144603 - 84151157539"/>
    <d v="2025-03-10T00:00:00"/>
    <d v="2025-03-11T00:00:00"/>
    <x v="0"/>
    <n v="8"/>
    <n v="9"/>
    <s v="No cumple"/>
    <n v="39089"/>
    <m/>
    <m/>
  </r>
  <r>
    <d v="2025-02-28T00:00:00"/>
    <x v="1"/>
    <n v="2461"/>
    <x v="0"/>
    <s v="Afranio Cardona Gomez"/>
    <s v="TECUACO"/>
    <x v="15"/>
    <n v="1"/>
    <x v="5"/>
    <x v="5"/>
    <x v="9"/>
    <x v="0"/>
    <s v="Envia"/>
    <s v="3138978 - 954101168244"/>
    <d v="2025-03-07T00:00:00"/>
    <d v="2025-03-10T00:00:00"/>
    <x v="0"/>
    <n v="6"/>
    <n v="8"/>
    <s v="No cumple"/>
    <n v="112490"/>
    <m/>
    <m/>
  </r>
  <r>
    <d v="2025-02-28T00:00:00"/>
    <x v="1"/>
    <n v="2461"/>
    <x v="0"/>
    <s v="Afranio Cardona Gomez"/>
    <s v="TECUBDPA"/>
    <x v="1"/>
    <n v="1"/>
    <x v="0"/>
    <x v="5"/>
    <x v="9"/>
    <x v="0"/>
    <s v="Coordinadora"/>
    <s v="3144699 - 84151157571"/>
    <d v="2025-03-10T00:00:00"/>
    <d v="2025-03-11T00:00:00"/>
    <x v="0"/>
    <n v="8"/>
    <n v="9"/>
    <s v="No cumple"/>
    <n v="16617"/>
    <m/>
    <m/>
  </r>
  <r>
    <d v="2025-02-28T00:00:00"/>
    <x v="1"/>
    <n v="2461"/>
    <x v="0"/>
    <s v="Afranio Cardona Gomez"/>
    <s v="TECUCT"/>
    <x v="4"/>
    <n v="1"/>
    <x v="0"/>
    <x v="5"/>
    <x v="9"/>
    <x v="0"/>
    <s v="Coordinadora"/>
    <s v="3144610 - 84151157543"/>
    <d v="2025-03-10T00:00:00"/>
    <d v="2025-03-11T00:00:00"/>
    <x v="0"/>
    <n v="8"/>
    <n v="9"/>
    <s v="No cumple"/>
    <n v="24885"/>
    <m/>
    <m/>
  </r>
  <r>
    <d v="2025-03-01T00:00:00"/>
    <x v="2"/>
    <n v="2462"/>
    <x v="0"/>
    <s v="Jhon Anderson Monroy Cardenas"/>
    <s v="TECU3FNPRO"/>
    <x v="12"/>
    <n v="1"/>
    <x v="1"/>
    <x v="0"/>
    <x v="8"/>
    <x v="0"/>
    <s v="Coordinadora"/>
    <s v="3121638 -84151148036"/>
    <d v="2025-03-03T15:51:33"/>
    <d v="2025-03-04T10:03:23"/>
    <x v="0"/>
    <n v="1"/>
    <n v="2"/>
    <s v="Cumple"/>
    <n v="42921"/>
    <m/>
    <m/>
  </r>
  <r>
    <d v="2025-03-01T00:00:00"/>
    <x v="2"/>
    <n v="2462"/>
    <x v="0"/>
    <s v="Jhon Anderson Monroy Cardenas"/>
    <s v="TECUTB8M"/>
    <x v="50"/>
    <n v="1"/>
    <x v="2"/>
    <x v="0"/>
    <x v="8"/>
    <x v="0"/>
    <s v="Coordinadora"/>
    <s v="3121640 -84151148037"/>
    <d v="2025-03-03T15:51:33"/>
    <d v="2025-03-04T10:20:02"/>
    <x v="0"/>
    <n v="1"/>
    <n v="2"/>
    <s v="Cumple"/>
    <n v="26749"/>
    <m/>
    <m/>
  </r>
  <r>
    <d v="2025-03-02T00:00:00"/>
    <x v="2"/>
    <n v="2463"/>
    <x v="0"/>
    <s v="Jorge Delgado"/>
    <s v="TECU2FBGO"/>
    <x v="2"/>
    <n v="1"/>
    <x v="1"/>
    <x v="6"/>
    <x v="17"/>
    <x v="0"/>
    <s v="Coordinadora"/>
    <s v="3121907 -84151148156"/>
    <d v="2025-03-03T15:51:33"/>
    <d v="2025-03-04T11:34:12"/>
    <x v="0"/>
    <n v="0"/>
    <n v="1"/>
    <s v="Cumple"/>
    <n v="41593"/>
    <m/>
    <m/>
  </r>
  <r>
    <d v="2025-03-02T00:00:00"/>
    <x v="2"/>
    <n v="2463"/>
    <x v="0"/>
    <s v="Jorge Delgado"/>
    <s v="TECUTFE3C"/>
    <x v="39"/>
    <n v="1"/>
    <x v="2"/>
    <x v="6"/>
    <x v="17"/>
    <x v="0"/>
    <s v="Coordinadora"/>
    <s v="3121913 -84151148159"/>
    <d v="2025-03-03T15:51:33"/>
    <d v="2025-03-04T11:34:12"/>
    <x v="0"/>
    <n v="0"/>
    <n v="1"/>
    <s v="Cumple"/>
    <n v="24093"/>
    <m/>
    <m/>
  </r>
  <r>
    <d v="2025-03-03T00:00:00"/>
    <x v="2"/>
    <n v="2464"/>
    <x v="0"/>
    <s v="Juan David Herrera Martinez"/>
    <s v="TECU3FBRO"/>
    <x v="34"/>
    <n v="1"/>
    <x v="1"/>
    <x v="0"/>
    <x v="8"/>
    <x v="0"/>
    <s v="Coordinadora"/>
    <s v="3121937 -84151148173"/>
    <d v="2025-03-03T15:51:33"/>
    <d v="2025-03-04T10:07:44"/>
    <x v="0"/>
    <n v="0"/>
    <n v="1"/>
    <s v="Cumple"/>
    <n v="42921"/>
    <m/>
    <m/>
  </r>
  <r>
    <d v="2025-03-03T00:00:00"/>
    <x v="2"/>
    <n v="2464"/>
    <x v="0"/>
    <s v="Juan David Herrera Martinez"/>
    <s v="TECUTFE5C"/>
    <x v="29"/>
    <n v="1"/>
    <x v="2"/>
    <x v="0"/>
    <x v="8"/>
    <x v="0"/>
    <s v="Coordinadora"/>
    <s v="3121938 -84151148174"/>
    <d v="2025-03-03T15:51:33"/>
    <d v="2025-03-04T10:07:44"/>
    <x v="0"/>
    <n v="0"/>
    <n v="1"/>
    <s v="Cumple"/>
    <n v="24093"/>
    <m/>
    <m/>
  </r>
  <r>
    <d v="2025-03-03T00:00:00"/>
    <x v="2"/>
    <n v="2465"/>
    <x v="0"/>
    <s v="Luis Gabriel García Ramírez"/>
    <s v="TECU3FBRO"/>
    <x v="34"/>
    <n v="1"/>
    <x v="1"/>
    <x v="0"/>
    <x v="22"/>
    <x v="0"/>
    <s v="Coordinadora"/>
    <s v="3127560 -84151149937"/>
    <d v="2025-03-04T15:47:29"/>
    <d v="2025-03-05T18:20:04"/>
    <x v="0"/>
    <n v="1"/>
    <n v="2"/>
    <s v="Cumple"/>
    <n v="42921"/>
    <m/>
    <m/>
  </r>
  <r>
    <d v="2025-03-03T00:00:00"/>
    <x v="2"/>
    <n v="2465"/>
    <x v="0"/>
    <s v="Luis Gabriel García Ramírez"/>
    <s v="TECUTFE5C"/>
    <x v="29"/>
    <n v="1"/>
    <x v="2"/>
    <x v="0"/>
    <x v="22"/>
    <x v="0"/>
    <s v="Coordinadora"/>
    <s v="3127562 -84151149938"/>
    <d v="2025-03-04T15:47:29"/>
    <d v="2025-03-05T18:20:04"/>
    <x v="0"/>
    <n v="1"/>
    <n v="2"/>
    <s v="Cumple"/>
    <n v="24093"/>
    <m/>
    <m/>
  </r>
  <r>
    <d v="2025-03-03T00:00:00"/>
    <x v="2"/>
    <n v="2466"/>
    <x v="0"/>
    <s v="Jorge Alberto Eslava Cogollos"/>
    <s v="TECURCO"/>
    <x v="30"/>
    <n v="1"/>
    <x v="6"/>
    <x v="1"/>
    <x v="1"/>
    <x v="0"/>
    <s v="Coordinadora"/>
    <s v="3127712 -84151150031"/>
    <d v="2025-03-04T15:47:29"/>
    <d v="2025-03-06T09:33:29"/>
    <x v="0"/>
    <n v="1"/>
    <n v="3"/>
    <s v="Cumple"/>
    <n v="23429"/>
    <m/>
    <m/>
  </r>
  <r>
    <d v="2025-03-04T00:00:00"/>
    <x v="2"/>
    <n v="2467"/>
    <x v="0"/>
    <s v="Camilo Luna"/>
    <s v="TECU3FNPRO"/>
    <x v="12"/>
    <n v="1"/>
    <x v="1"/>
    <x v="1"/>
    <x v="1"/>
    <x v="0"/>
    <s v="Coordinadora"/>
    <s v="3127532 - 84151149926"/>
    <d v="2025-03-04T00:00:00"/>
    <d v="2025-03-05T00:00:00"/>
    <x v="0"/>
    <n v="0"/>
    <n v="1"/>
    <s v="Cumple"/>
    <n v="42921"/>
    <m/>
    <m/>
  </r>
  <r>
    <d v="2025-03-04T00:00:00"/>
    <x v="2"/>
    <n v="2467"/>
    <x v="0"/>
    <s v="Camilo Luna"/>
    <s v="TECUTCO8C"/>
    <x v="19"/>
    <n v="1"/>
    <x v="2"/>
    <x v="1"/>
    <x v="1"/>
    <x v="0"/>
    <s v="Coordinadora"/>
    <s v="3127533 - 84151149927"/>
    <d v="2025-03-04T00:00:00"/>
    <d v="2025-03-06T00:00:00"/>
    <x v="0"/>
    <n v="0"/>
    <n v="2"/>
    <s v="Cumple"/>
    <n v="26749"/>
    <m/>
    <m/>
  </r>
  <r>
    <d v="2025-03-04T00:00:00"/>
    <x v="2"/>
    <n v="2467"/>
    <x v="0"/>
    <s v="Camilo Luna"/>
    <s v="TECUACO"/>
    <x v="15"/>
    <n v="1"/>
    <x v="5"/>
    <x v="1"/>
    <x v="1"/>
    <x v="0"/>
    <s v="Envia"/>
    <s v="3135236 - 954101167164"/>
    <d v="2025-03-04T00:00:00"/>
    <d v="2025-03-07T00:00:00"/>
    <x v="0"/>
    <n v="0"/>
    <n v="3"/>
    <s v="Cumple"/>
    <n v="54929"/>
    <m/>
    <m/>
  </r>
  <r>
    <d v="2025-03-04T00:00:00"/>
    <x v="2"/>
    <n v="2468"/>
    <x v="0"/>
    <s v="Katherin Hernández"/>
    <s v="TECU3FNPRO"/>
    <x v="12"/>
    <n v="1"/>
    <x v="1"/>
    <x v="0"/>
    <x v="8"/>
    <x v="0"/>
    <s v="Coordinadora"/>
    <s v="3127792 - 84151150086"/>
    <d v="2025-03-04T00:00:00"/>
    <d v="2025-03-07T00:00:00"/>
    <x v="0"/>
    <n v="0"/>
    <n v="3"/>
    <s v="Cumple"/>
    <n v="42921"/>
    <m/>
    <m/>
  </r>
  <r>
    <d v="2025-03-04T00:00:00"/>
    <x v="2"/>
    <n v="2468"/>
    <x v="0"/>
    <s v="Katherin Hernández"/>
    <s v="TECUTCO5C"/>
    <x v="51"/>
    <n v="1"/>
    <x v="2"/>
    <x v="0"/>
    <x v="8"/>
    <x v="0"/>
    <s v="Coordinadora"/>
    <s v="3127888 - 84151150087"/>
    <d v="2025-03-04T00:00:00"/>
    <d v="2025-03-07T00:00:00"/>
    <x v="0"/>
    <n v="0"/>
    <n v="3"/>
    <s v="Cumple"/>
    <n v="24093"/>
    <m/>
    <m/>
  </r>
  <r>
    <d v="2025-03-04T00:00:00"/>
    <x v="2"/>
    <n v="2468"/>
    <x v="0"/>
    <s v="Katherin Hernández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3-04T00:00:00"/>
    <x v="2"/>
    <n v="2469"/>
    <x v="0"/>
    <s v="Mauro Aguilar Bustamante"/>
    <s v="TECU3FNPRO"/>
    <x v="12"/>
    <n v="1"/>
    <x v="1"/>
    <x v="0"/>
    <x v="23"/>
    <x v="0"/>
    <s v="Coordinadora"/>
    <s v="3131151 - 84151151422"/>
    <d v="2025-03-04T00:00:00"/>
    <d v="2025-03-06T00:00:00"/>
    <x v="0"/>
    <n v="0"/>
    <n v="2"/>
    <s v="Cumple"/>
    <n v="42921"/>
    <m/>
    <m/>
  </r>
  <r>
    <d v="2025-03-04T00:00:00"/>
    <x v="2"/>
    <n v="2469"/>
    <x v="0"/>
    <s v="Mauro Aguilar Bustamante"/>
    <s v="TECUTRN5M"/>
    <x v="52"/>
    <n v="1"/>
    <x v="2"/>
    <x v="0"/>
    <x v="23"/>
    <x v="0"/>
    <s v="Coordinadora"/>
    <s v="3131152 - 84151151424"/>
    <d v="2025-03-04T00:00:00"/>
    <d v="2025-03-06T00:00:00"/>
    <x v="0"/>
    <n v="0"/>
    <n v="2"/>
    <s v="Cumple"/>
    <n v="24093"/>
    <m/>
    <m/>
  </r>
  <r>
    <d v="2025-03-06T00:00:00"/>
    <x v="2"/>
    <n v="2470"/>
    <x v="0"/>
    <s v="Eric Mitchell"/>
    <s v="TECULFN2"/>
    <x v="7"/>
    <n v="1"/>
    <x v="1"/>
    <x v="0"/>
    <x v="5"/>
    <x v="0"/>
    <s v="Coordinadora"/>
    <s v="3134270 - 84151152886"/>
    <d v="2025-03-06T00:00:00"/>
    <d v="2025-03-07T00:00:00"/>
    <x v="0"/>
    <n v="0"/>
    <n v="1"/>
    <s v="Cumple"/>
    <n v="62530"/>
    <m/>
    <m/>
  </r>
  <r>
    <d v="2025-03-06T00:00:00"/>
    <x v="2"/>
    <n v="2470"/>
    <x v="0"/>
    <s v="Eric Mitchell"/>
    <s v="TECUTLNS"/>
    <x v="17"/>
    <n v="1"/>
    <x v="2"/>
    <x v="0"/>
    <x v="5"/>
    <x v="0"/>
    <s v="Coordinadora"/>
    <s v="3134273 - 84151152887"/>
    <d v="2025-03-06T00:00:00"/>
    <d v="2025-03-07T00:00:00"/>
    <x v="0"/>
    <n v="0"/>
    <n v="1"/>
    <s v="Cumple"/>
    <n v="26749"/>
    <m/>
    <m/>
  </r>
  <r>
    <d v="2025-03-06T00:00:00"/>
    <x v="2"/>
    <n v="2470"/>
    <x v="0"/>
    <s v="Eric Mitchell"/>
    <m/>
    <x v="10"/>
    <n v="1"/>
    <x v="3"/>
    <x v="0"/>
    <x v="5"/>
    <x v="1"/>
    <s v="NA"/>
    <s v="NA"/>
    <s v="NA"/>
    <s v="NA"/>
    <x v="0"/>
    <s v="PTE"/>
    <e v="#VALUE!"/>
    <e v="#VALUE!"/>
    <n v="0"/>
    <m/>
    <m/>
  </r>
  <r>
    <d v="2025-03-06T00:00:00"/>
    <x v="2"/>
    <n v="2471"/>
    <x v="0"/>
    <s v="Daniel Turriago"/>
    <s v="TECU3FNPRO"/>
    <x v="12"/>
    <n v="1"/>
    <x v="1"/>
    <x v="1"/>
    <x v="1"/>
    <x v="0"/>
    <s v="Coordinadora"/>
    <s v="3134290 - 84151152892"/>
    <d v="2025-03-06T00:00:00"/>
    <d v="2025-03-07T00:00:00"/>
    <x v="0"/>
    <n v="0"/>
    <n v="1"/>
    <s v="Cumple"/>
    <n v="42921"/>
    <m/>
    <m/>
  </r>
  <r>
    <d v="2025-03-06T00:00:00"/>
    <x v="2"/>
    <n v="2471"/>
    <x v="0"/>
    <s v="Daniel Turriago"/>
    <s v="TECUTCO6C"/>
    <x v="16"/>
    <n v="1"/>
    <x v="2"/>
    <x v="1"/>
    <x v="1"/>
    <x v="0"/>
    <s v="Coordinadora"/>
    <s v="3134293 - 84151152894"/>
    <d v="2025-03-06T00:00:00"/>
    <d v="2025-03-07T00:00:00"/>
    <x v="0"/>
    <n v="0"/>
    <n v="1"/>
    <s v="Cumple"/>
    <n v="24093"/>
    <m/>
    <m/>
  </r>
  <r>
    <d v="2025-03-06T00:00:00"/>
    <x v="2"/>
    <n v="2472"/>
    <x v="0"/>
    <s v="Julian Vanegas Medina"/>
    <s v="TECURN"/>
    <x v="18"/>
    <n v="1"/>
    <x v="6"/>
    <x v="1"/>
    <x v="1"/>
    <x v="0"/>
    <s v="Coordinadora"/>
    <s v="3135222 - 84151153334"/>
    <d v="2025-03-06T00:00:00"/>
    <d v="2025-03-07T00:00:00"/>
    <x v="0"/>
    <n v="0"/>
    <n v="1"/>
    <s v="Cumple"/>
    <n v="23429"/>
    <m/>
    <m/>
  </r>
  <r>
    <d v="2025-03-07T00:00:00"/>
    <x v="2"/>
    <n v="2473"/>
    <x v="0"/>
    <s v="Nubia Sabogal"/>
    <s v="TECU3FNPRO"/>
    <x v="12"/>
    <n v="1"/>
    <x v="1"/>
    <x v="1"/>
    <x v="1"/>
    <x v="0"/>
    <s v="Coordinadora"/>
    <s v="3137243 - 84151154226"/>
    <d v="2025-03-07T00:00:00"/>
    <d v="2025-03-08T00:00:00"/>
    <x v="0"/>
    <n v="0"/>
    <n v="1"/>
    <s v="Cumple"/>
    <n v="42921"/>
    <m/>
    <m/>
  </r>
  <r>
    <d v="2025-03-07T00:00:00"/>
    <x v="2"/>
    <n v="2473"/>
    <x v="0"/>
    <s v="Nubia Sabogal"/>
    <s v="TECUTFE7C"/>
    <x v="53"/>
    <n v="1"/>
    <x v="2"/>
    <x v="1"/>
    <x v="1"/>
    <x v="0"/>
    <s v="Coordinadora"/>
    <s v="3137245 - 84151154228"/>
    <d v="2025-03-07T00:00:00"/>
    <d v="2025-03-08T00:00:00"/>
    <x v="0"/>
    <n v="0"/>
    <n v="1"/>
    <s v="Cumple"/>
    <n v="24093"/>
    <m/>
    <m/>
  </r>
  <r>
    <d v="2025-03-07T00:00:00"/>
    <x v="2"/>
    <n v="2474"/>
    <x v="0"/>
    <s v="Juan Pablo Castaño Tabares"/>
    <s v="TECU3FNPRO"/>
    <x v="12"/>
    <n v="1"/>
    <x v="1"/>
    <x v="1"/>
    <x v="1"/>
    <x v="0"/>
    <s v="Coordinadora"/>
    <s v="3137375 - 84151154253"/>
    <d v="2025-03-07T00:00:00"/>
    <d v="2025-03-10T00:00:00"/>
    <x v="0"/>
    <n v="0"/>
    <n v="2"/>
    <s v="Cumple"/>
    <n v="42921"/>
    <m/>
    <m/>
  </r>
  <r>
    <d v="2025-03-07T00:00:00"/>
    <x v="2"/>
    <n v="2474"/>
    <x v="0"/>
    <s v="Juan Pablo Castaño Tabares"/>
    <s v="TECUTCO8C"/>
    <x v="19"/>
    <n v="1"/>
    <x v="2"/>
    <x v="1"/>
    <x v="1"/>
    <x v="0"/>
    <s v="Coordinadora"/>
    <s v="3137376 - 84151154254"/>
    <d v="2025-03-07T00:00:00"/>
    <d v="2025-03-10T00:00:00"/>
    <x v="0"/>
    <n v="0"/>
    <n v="2"/>
    <s v="Cumple"/>
    <n v="26749"/>
    <m/>
    <m/>
  </r>
  <r>
    <d v="2025-03-10T00:00:00"/>
    <x v="2"/>
    <n v="2475"/>
    <x v="0"/>
    <s v="Johan Javier Morales Parrado"/>
    <s v="TECUACC"/>
    <x v="48"/>
    <n v="1"/>
    <x v="5"/>
    <x v="1"/>
    <x v="1"/>
    <x v="0"/>
    <s v="Envia"/>
    <s v="3143030 - 954101169505"/>
    <d v="2025-03-10T00:00:00"/>
    <d v="2025-03-11T00:00:00"/>
    <x v="0"/>
    <n v="0"/>
    <n v="1"/>
    <s v="Cumple"/>
    <n v="54929"/>
    <m/>
    <m/>
  </r>
  <r>
    <d v="2025-03-10T00:00:00"/>
    <x v="2"/>
    <n v="2476"/>
    <x v="0"/>
    <s v="Hernando Alvernia Navarro"/>
    <s v="TECU2FNG"/>
    <x v="5"/>
    <n v="1"/>
    <x v="1"/>
    <x v="12"/>
    <x v="24"/>
    <x v="0"/>
    <s v="Coordinadora"/>
    <s v="3144424  - 84151157437"/>
    <d v="2025-03-10T00:00:00"/>
    <d v="2025-03-13T00:00:00"/>
    <x v="0"/>
    <n v="0"/>
    <n v="3"/>
    <e v="#N/A"/>
    <n v="59835"/>
    <m/>
    <m/>
  </r>
  <r>
    <d v="2025-03-10T00:00:00"/>
    <x v="2"/>
    <n v="2476"/>
    <x v="0"/>
    <s v="Hernando Alvernia Navarro"/>
    <s v="TECUTCO6C"/>
    <x v="16"/>
    <n v="1"/>
    <x v="2"/>
    <x v="12"/>
    <x v="24"/>
    <x v="0"/>
    <s v="Coordinadora"/>
    <s v="3144479 - 84151157466"/>
    <d v="2025-03-10T00:00:00"/>
    <d v="2025-03-13T00:00:00"/>
    <x v="0"/>
    <n v="0"/>
    <n v="3"/>
    <e v="#N/A"/>
    <n v="39078"/>
    <m/>
    <m/>
  </r>
  <r>
    <d v="2025-03-10T00:00:00"/>
    <x v="2"/>
    <n v="2477"/>
    <x v="0"/>
    <s v="Hernando Alvernia Navarro"/>
    <s v="TECUBDPA"/>
    <x v="1"/>
    <n v="1"/>
    <x v="0"/>
    <x v="12"/>
    <x v="24"/>
    <x v="0"/>
    <s v="Coordinadora"/>
    <s v="3144499 - 84151157484"/>
    <d v="2025-03-10T00:00:00"/>
    <d v="2025-03-13T00:00:00"/>
    <x v="0"/>
    <n v="0"/>
    <n v="3"/>
    <e v="#N/A"/>
    <n v="16617"/>
    <m/>
    <m/>
  </r>
  <r>
    <d v="2025-03-10T00:00:00"/>
    <x v="2"/>
    <n v="2478"/>
    <x v="0"/>
    <s v="Juan Sebastian Sanchez Samudio"/>
    <s v="TECUROD"/>
    <x v="31"/>
    <n v="1"/>
    <x v="7"/>
    <x v="1"/>
    <x v="1"/>
    <x v="0"/>
    <s v="Coordinadora"/>
    <s v="3143050 - 84151156582"/>
    <d v="2025-03-10T00:00:00"/>
    <d v="2025-03-11T00:00:00"/>
    <x v="0"/>
    <n v="0"/>
    <n v="1"/>
    <s v="Cumple"/>
    <n v="23875"/>
    <m/>
    <m/>
  </r>
  <r>
    <d v="2025-03-10T00:00:00"/>
    <x v="2"/>
    <n v="2479"/>
    <x v="0"/>
    <s v="Miguel Montañez"/>
    <s v="TECU3FNPRO"/>
    <x v="12"/>
    <n v="1"/>
    <x v="1"/>
    <x v="1"/>
    <x v="1"/>
    <x v="0"/>
    <s v="Coordinadora"/>
    <s v="3143067 - 84151156591"/>
    <d v="2025-03-10T00:00:00"/>
    <d v="2025-03-12T00:00:00"/>
    <x v="0"/>
    <n v="0"/>
    <n v="2"/>
    <s v="Cumple"/>
    <n v="42921"/>
    <m/>
    <m/>
  </r>
  <r>
    <d v="2025-03-10T00:00:00"/>
    <x v="2"/>
    <n v="2479"/>
    <x v="0"/>
    <s v="Miguel Montañez"/>
    <s v="TECUTFE4C"/>
    <x v="14"/>
    <n v="1"/>
    <x v="2"/>
    <x v="1"/>
    <x v="1"/>
    <x v="0"/>
    <s v="Coordinadora"/>
    <s v="3143069 - 84151156592"/>
    <d v="2025-03-10T00:00:00"/>
    <d v="2025-03-12T00:00:00"/>
    <x v="0"/>
    <n v="0"/>
    <n v="2"/>
    <s v="Cumple"/>
    <n v="24093"/>
    <m/>
    <m/>
  </r>
  <r>
    <d v="2025-03-10T00:00:00"/>
    <x v="2"/>
    <n v="2480"/>
    <x v="0"/>
    <s v="Henry Stivent Montaño Ramirez"/>
    <s v="TECU2FNG"/>
    <x v="5"/>
    <n v="1"/>
    <x v="1"/>
    <x v="0"/>
    <x v="8"/>
    <x v="0"/>
    <s v="Coordinadora"/>
    <s v="3147501 - 84151158507"/>
    <d v="2025-03-11T00:00:00"/>
    <d v="2025-03-12T00:00:00"/>
    <x v="0"/>
    <n v="1"/>
    <n v="2"/>
    <s v="Cumple"/>
    <n v="24093"/>
    <m/>
    <m/>
  </r>
  <r>
    <d v="2025-03-10T00:00:00"/>
    <x v="2"/>
    <n v="2480"/>
    <x v="0"/>
    <s v="Henry Stivent Montaño Ramirez"/>
    <s v="TECUTCO5C"/>
    <x v="51"/>
    <n v="1"/>
    <x v="2"/>
    <x v="0"/>
    <x v="8"/>
    <x v="0"/>
    <s v="Coordinadora"/>
    <s v="3147502 - 84151158511"/>
    <d v="2025-03-11T00:00:00"/>
    <d v="2025-03-12T00:00:00"/>
    <x v="0"/>
    <n v="1"/>
    <n v="2"/>
    <s v="Cumple"/>
    <n v="41593"/>
    <m/>
    <m/>
  </r>
  <r>
    <d v="2025-03-10T00:00:00"/>
    <x v="2"/>
    <n v="2481"/>
    <x v="0"/>
    <s v="edwar camilo ortiz quintero"/>
    <s v="TECU3FNPRO"/>
    <x v="12"/>
    <n v="1"/>
    <x v="1"/>
    <x v="12"/>
    <x v="25"/>
    <x v="0"/>
    <s v="Coordinadora"/>
    <s v="3148825 - 84151159185"/>
    <d v="2025-03-11T00:00:00"/>
    <d v="2025-03-13T00:00:00"/>
    <x v="0"/>
    <n v="1"/>
    <n v="3"/>
    <e v="#N/A"/>
    <n v="67467"/>
    <m/>
    <m/>
  </r>
  <r>
    <d v="2025-03-10T00:00:00"/>
    <x v="2"/>
    <n v="2481"/>
    <x v="0"/>
    <s v="edwar camilo ortiz quintero"/>
    <s v="TECUTFE8C"/>
    <x v="21"/>
    <n v="1"/>
    <x v="2"/>
    <x v="12"/>
    <x v="25"/>
    <x v="0"/>
    <s v="Coordinadora"/>
    <s v="3148806 - 84151159175"/>
    <d v="2025-03-11T00:00:00"/>
    <d v="2025-03-13T00:00:00"/>
    <x v="0"/>
    <n v="1"/>
    <n v="3"/>
    <e v="#N/A"/>
    <n v="48840"/>
    <m/>
    <m/>
  </r>
  <r>
    <d v="2025-03-10T00:00:00"/>
    <x v="2"/>
    <n v="2481"/>
    <x v="0"/>
    <s v="edwar camilo ortiz quintero"/>
    <s v="TECUCT"/>
    <x v="4"/>
    <n v="1"/>
    <x v="0"/>
    <x v="12"/>
    <x v="25"/>
    <x v="0"/>
    <s v="Coordinadora"/>
    <s v="3148859 - 84151159199"/>
    <d v="2025-03-11T00:00:00"/>
    <d v="2025-03-13T00:00:00"/>
    <x v="0"/>
    <n v="1"/>
    <n v="3"/>
    <e v="#N/A"/>
    <n v="39762"/>
    <m/>
    <m/>
  </r>
  <r>
    <d v="2025-03-12T00:00:00"/>
    <x v="2"/>
    <n v="2482"/>
    <x v="0"/>
    <s v="HECTOR JAVIER LOPEZ DIAZ  - INMOTICA LTDA"/>
    <s v="TECUACC"/>
    <x v="48"/>
    <n v="1"/>
    <x v="5"/>
    <x v="1"/>
    <x v="1"/>
    <x v="0"/>
    <s v="Envia"/>
    <s v="3148896 - 954101171161"/>
    <d v="2025-03-11T00:00:00"/>
    <d v="2025-03-12T00:00:00"/>
    <x v="0"/>
    <n v="-3"/>
    <n v="0"/>
    <s v="Cumple"/>
    <n v="54929"/>
    <m/>
    <m/>
  </r>
  <r>
    <d v="2025-03-12T00:00:00"/>
    <x v="2"/>
    <n v="2483"/>
    <x v="0"/>
    <s v="Santiago Zapata"/>
    <s v="TECU2FNG"/>
    <x v="5"/>
    <n v="1"/>
    <x v="1"/>
    <x v="0"/>
    <x v="8"/>
    <x v="0"/>
    <s v="Coordinadora"/>
    <s v="3151177 - 84151159943"/>
    <d v="2025-03-12T00:00:00"/>
    <d v="2025-03-13T00:00:00"/>
    <x v="0"/>
    <n v="0"/>
    <n v="1"/>
    <s v="Cumple"/>
    <n v="41593"/>
    <m/>
    <m/>
  </r>
  <r>
    <d v="2025-03-12T00:00:00"/>
    <x v="2"/>
    <n v="2483"/>
    <x v="0"/>
    <s v="Santiago Zapata"/>
    <s v="TECUTRN6C"/>
    <x v="20"/>
    <n v="1"/>
    <x v="2"/>
    <x v="0"/>
    <x v="8"/>
    <x v="0"/>
    <s v="Coordinadora"/>
    <s v="3151178 - 84151159946"/>
    <d v="2025-03-12T00:00:00"/>
    <d v="2025-03-13T00:00:00"/>
    <x v="0"/>
    <n v="0"/>
    <n v="1"/>
    <s v="Cumple"/>
    <n v="24093"/>
    <m/>
    <m/>
  </r>
  <r>
    <d v="2025-03-12T00:00:00"/>
    <x v="2"/>
    <n v="2484"/>
    <x v="0"/>
    <s v="David Cadavid"/>
    <s v="TECUROD"/>
    <x v="31"/>
    <n v="1"/>
    <x v="7"/>
    <x v="0"/>
    <x v="5"/>
    <x v="0"/>
    <s v="Coordinadora"/>
    <s v="3152104 - 84151160248"/>
    <d v="2025-03-12T00:00:00"/>
    <d v="2025-03-13T00:00:00"/>
    <x v="0"/>
    <n v="0"/>
    <n v="1"/>
    <s v="Cumple"/>
    <n v="23875"/>
    <m/>
    <m/>
  </r>
  <r>
    <d v="2025-03-12T00:00:00"/>
    <x v="2"/>
    <n v="2484"/>
    <x v="0"/>
    <s v="David Cadavid"/>
    <s v="TECUTBANTE"/>
    <x v="54"/>
    <n v="1"/>
    <x v="0"/>
    <x v="0"/>
    <x v="5"/>
    <x v="0"/>
    <s v="Coordinadora"/>
    <s v="3152087 - 84151160236"/>
    <d v="2025-03-12T00:00:00"/>
    <d v="2025-03-14T00:00:00"/>
    <x v="0"/>
    <n v="0"/>
    <n v="2"/>
    <s v="Cumple"/>
    <n v="39225"/>
    <m/>
    <m/>
  </r>
  <r>
    <d v="2025-03-17T00:00:00"/>
    <x v="2"/>
    <n v="2485"/>
    <x v="0"/>
    <s v="Andres Dario Sanchez Lugo"/>
    <s v="TECU3FNPRO"/>
    <x v="12"/>
    <n v="1"/>
    <x v="1"/>
    <x v="1"/>
    <x v="1"/>
    <x v="0"/>
    <s v="Coordinadora"/>
    <s v="3178028 - 84151171291"/>
    <d v="2025-03-21T00:00:00"/>
    <d v="2025-03-26T00:00:00"/>
    <x v="0"/>
    <n v="4"/>
    <n v="7"/>
    <s v="No cumple"/>
    <n v="42921"/>
    <m/>
    <m/>
  </r>
  <r>
    <d v="2025-03-17T00:00:00"/>
    <x v="2"/>
    <n v="2485"/>
    <x v="0"/>
    <s v="Andres Dario Sanchez Lugo"/>
    <s v="TECUTRM5C"/>
    <x v="27"/>
    <n v="1"/>
    <x v="2"/>
    <x v="1"/>
    <x v="1"/>
    <x v="0"/>
    <s v="Coordinadora"/>
    <s v="3178029 - 84151171292"/>
    <d v="2025-03-21T00:00:00"/>
    <d v="2025-03-26T00:00:00"/>
    <x v="0"/>
    <n v="4"/>
    <n v="7"/>
    <s v="No cumple"/>
    <n v="24593"/>
    <m/>
    <m/>
  </r>
  <r>
    <d v="2025-03-17T00:00:00"/>
    <x v="2"/>
    <n v="2485"/>
    <x v="0"/>
    <s v="Andres Dario Sanchez Lugo"/>
    <s v="TECUCT"/>
    <x v="4"/>
    <n v="1"/>
    <x v="0"/>
    <x v="1"/>
    <x v="1"/>
    <x v="0"/>
    <s v="Coordinadora"/>
    <s v="3178034 - 84151171299"/>
    <d v="2025-03-21T00:00:00"/>
    <d v="2025-03-26T00:00:00"/>
    <x v="0"/>
    <n v="4"/>
    <n v="7"/>
    <s v="No cumple"/>
    <n v="24885"/>
    <m/>
    <m/>
  </r>
  <r>
    <d v="2025-03-17T00:00:00"/>
    <x v="2"/>
    <n v="2485"/>
    <x v="0"/>
    <s v="Andres Dario Sanchez Lugo"/>
    <s v="TECU3FNPRO"/>
    <x v="12"/>
    <n v="1"/>
    <x v="1"/>
    <x v="1"/>
    <x v="1"/>
    <x v="0"/>
    <s v="Coordinadora"/>
    <s v="3178037 - 84151171301"/>
    <d v="2025-03-21T00:00:00"/>
    <d v="2025-03-26T00:00:00"/>
    <x v="0"/>
    <n v="4"/>
    <n v="7"/>
    <s v="No cumple"/>
    <n v="42921"/>
    <m/>
    <m/>
  </r>
  <r>
    <d v="2025-03-17T00:00:00"/>
    <x v="2"/>
    <n v="2485"/>
    <x v="0"/>
    <s v="Andres Dario Sanchez Lugo"/>
    <s v="TECUTRM5C"/>
    <x v="27"/>
    <n v="1"/>
    <x v="2"/>
    <x v="1"/>
    <x v="1"/>
    <x v="0"/>
    <s v="Coordinadora"/>
    <s v="3178038 - 84151171302"/>
    <d v="2025-03-21T00:00:00"/>
    <d v="2025-03-26T00:00:00"/>
    <x v="0"/>
    <n v="4"/>
    <n v="7"/>
    <s v="No cumple"/>
    <n v="24593"/>
    <m/>
    <m/>
  </r>
  <r>
    <d v="2025-03-17T00:00:00"/>
    <x v="2"/>
    <n v="2485"/>
    <x v="0"/>
    <s v="Andres Dario Sanchez Lugo"/>
    <s v="TECUCT"/>
    <x v="4"/>
    <n v="1"/>
    <x v="0"/>
    <x v="1"/>
    <x v="1"/>
    <x v="0"/>
    <s v="Coordinadora"/>
    <s v="3178043 - 84151171304"/>
    <d v="2025-03-21T00:00:00"/>
    <d v="2025-03-26T00:00:00"/>
    <x v="0"/>
    <n v="4"/>
    <n v="7"/>
    <s v="No cumple"/>
    <n v="24885"/>
    <m/>
    <m/>
  </r>
  <r>
    <d v="2025-03-17T00:00:00"/>
    <x v="2"/>
    <n v="2485"/>
    <x v="0"/>
    <s v="Andres Dario Sanchez Lugo"/>
    <m/>
    <x v="10"/>
    <n v="2"/>
    <x v="3"/>
    <x v="1"/>
    <x v="1"/>
    <x v="1"/>
    <s v="NA"/>
    <s v="NA"/>
    <s v="NA"/>
    <s v="NA"/>
    <x v="0"/>
    <s v="PTE"/>
    <e v="#VALUE!"/>
    <e v="#VALUE!"/>
    <n v="0"/>
    <m/>
    <m/>
  </r>
  <r>
    <d v="2025-03-17T00:00:00"/>
    <x v="2"/>
    <n v="2486"/>
    <x v="0"/>
    <s v="Alejandro Marín Buriticá"/>
    <s v="TECU3FNCRO"/>
    <x v="55"/>
    <n v="1"/>
    <x v="1"/>
    <x v="0"/>
    <x v="8"/>
    <x v="0"/>
    <s v="Coordinadora"/>
    <s v="3163676 - 84151165337"/>
    <d v="2025-03-17T00:00:00"/>
    <d v="2025-03-18T00:00:00"/>
    <x v="0"/>
    <n v="0"/>
    <n v="1"/>
    <s v="Cumple"/>
    <n v="42921"/>
    <m/>
    <m/>
  </r>
  <r>
    <d v="2025-03-17T00:00:00"/>
    <x v="2"/>
    <n v="2486"/>
    <x v="0"/>
    <s v="Alejandro Marín Buriticá"/>
    <s v="TECUTB5C"/>
    <x v="56"/>
    <n v="1"/>
    <x v="2"/>
    <x v="0"/>
    <x v="8"/>
    <x v="0"/>
    <s v="Coordinadora"/>
    <s v="3163678 - 84151165339"/>
    <d v="2025-03-17T00:00:00"/>
    <d v="2025-03-18T00:00:00"/>
    <x v="0"/>
    <n v="0"/>
    <n v="1"/>
    <s v="Cumple"/>
    <n v="24093"/>
    <m/>
    <m/>
  </r>
  <r>
    <d v="2025-03-19T00:00:00"/>
    <x v="2"/>
    <n v="2487"/>
    <x v="0"/>
    <s v="Pablo Velasquez Caro"/>
    <s v="TECU3FNPRO"/>
    <x v="12"/>
    <n v="1"/>
    <x v="1"/>
    <x v="0"/>
    <x v="8"/>
    <x v="0"/>
    <s v="Coordinadora"/>
    <s v="3174414 - 84151169570"/>
    <d v="2025-03-20T00:00:00"/>
    <d v="2025-03-21T00:00:00"/>
    <x v="0"/>
    <n v="1"/>
    <n v="2"/>
    <s v="Cumple"/>
    <n v="42921"/>
    <m/>
    <m/>
  </r>
  <r>
    <d v="2025-03-19T00:00:00"/>
    <x v="2"/>
    <n v="2487"/>
    <x v="0"/>
    <s v="Pablo Velasquez Caro"/>
    <s v="TECUTRN2C"/>
    <x v="11"/>
    <n v="1"/>
    <x v="2"/>
    <x v="0"/>
    <x v="8"/>
    <x v="0"/>
    <s v="Coordinadora"/>
    <s v="3174422 - 84151169571"/>
    <d v="2025-03-20T00:00:00"/>
    <d v="2025-03-21T00:00:00"/>
    <x v="0"/>
    <n v="1"/>
    <n v="2"/>
    <s v="Cumple"/>
    <n v="28741"/>
    <m/>
    <m/>
  </r>
  <r>
    <d v="2025-03-20T00:00:00"/>
    <x v="2"/>
    <n v="2488"/>
    <x v="0"/>
    <s v="David Molano"/>
    <s v="TECU3FNPRO"/>
    <x v="12"/>
    <n v="1"/>
    <x v="1"/>
    <x v="11"/>
    <x v="26"/>
    <x v="0"/>
    <s v="Coordinadora"/>
    <s v="3191386 - 84151178126"/>
    <d v="2025-03-28T00:00:00"/>
    <d v="2025-03-29T00:00:00"/>
    <x v="0"/>
    <n v="6"/>
    <n v="7"/>
    <e v="#N/A"/>
    <n v="34953"/>
    <m/>
    <m/>
  </r>
  <r>
    <d v="2025-03-20T00:00:00"/>
    <x v="2"/>
    <n v="2488"/>
    <x v="0"/>
    <s v="David Molano"/>
    <s v="TECUTRM8C"/>
    <x v="49"/>
    <n v="1"/>
    <x v="2"/>
    <x v="11"/>
    <x v="26"/>
    <x v="0"/>
    <s v="Coordinadora"/>
    <s v="3191387 - 84151178127"/>
    <d v="2025-03-28T00:00:00"/>
    <d v="2025-03-29T00:00:00"/>
    <x v="0"/>
    <n v="6"/>
    <n v="7"/>
    <e v="#N/A"/>
    <n v="17288"/>
    <m/>
    <m/>
  </r>
  <r>
    <d v="2025-03-20T00:00:00"/>
    <x v="2"/>
    <n v="2488"/>
    <x v="0"/>
    <s v="David Molano"/>
    <s v="TECUCT"/>
    <x v="4"/>
    <n v="1"/>
    <x v="0"/>
    <x v="11"/>
    <x v="26"/>
    <x v="0"/>
    <s v="Coordinadora"/>
    <s v="3191393 - 84151178133"/>
    <d v="2025-03-28T00:00:00"/>
    <d v="2025-03-29T00:00:00"/>
    <x v="0"/>
    <n v="6"/>
    <n v="7"/>
    <e v="#N/A"/>
    <n v="15447"/>
    <m/>
    <m/>
  </r>
  <r>
    <d v="2025-03-21T00:00:00"/>
    <x v="2"/>
    <n v="2489"/>
    <x v="0"/>
    <s v="Benhur Hernández"/>
    <s v="TECU3FNPRO"/>
    <x v="12"/>
    <n v="1"/>
    <x v="1"/>
    <x v="1"/>
    <x v="1"/>
    <x v="0"/>
    <s v="Coordinadora"/>
    <s v="3195778 - 84151180056"/>
    <d v="2025-03-31T00:00:00"/>
    <d v="2025-04-01T00:00:00"/>
    <x v="0"/>
    <n v="7"/>
    <n v="8"/>
    <s v="No cumple"/>
    <n v="42921"/>
    <m/>
    <m/>
  </r>
  <r>
    <d v="2025-03-21T00:00:00"/>
    <x v="2"/>
    <n v="2489"/>
    <x v="0"/>
    <s v="Benhur Hernández"/>
    <s v="TECUTCO5M"/>
    <x v="40"/>
    <n v="1"/>
    <x v="2"/>
    <x v="1"/>
    <x v="1"/>
    <x v="0"/>
    <s v="Coordinadora"/>
    <s v="3195780 - 84151180057"/>
    <d v="2025-03-31T00:00:00"/>
    <d v="2025-04-01T00:00:00"/>
    <x v="0"/>
    <n v="7"/>
    <n v="8"/>
    <s v="No cumple"/>
    <n v="24093"/>
    <m/>
    <m/>
  </r>
  <r>
    <d v="2025-03-22T00:00:00"/>
    <x v="2"/>
    <n v="2490"/>
    <x v="0"/>
    <s v="Johan Sebastián Hernández Carvajal"/>
    <s v="TECU3FNPRO"/>
    <x v="12"/>
    <n v="1"/>
    <x v="1"/>
    <x v="0"/>
    <x v="27"/>
    <x v="0"/>
    <s v="Coordinadora"/>
    <s v="3182578 - 84151173203"/>
    <d v="2025-03-25T00:00:00"/>
    <d v="2025-03-26T00:00:00"/>
    <x v="0"/>
    <n v="1"/>
    <n v="2"/>
    <e v="#N/A"/>
    <n v="42921"/>
    <m/>
    <m/>
  </r>
  <r>
    <d v="2025-03-22T00:00:00"/>
    <x v="2"/>
    <n v="2490"/>
    <x v="0"/>
    <s v="Johan Sebastián Hernández Carvajal"/>
    <s v="TECUTRN4C"/>
    <x v="57"/>
    <n v="1"/>
    <x v="2"/>
    <x v="0"/>
    <x v="27"/>
    <x v="0"/>
    <s v="Coordinadora"/>
    <s v="3182579 - 84151173204"/>
    <d v="2025-03-25T00:00:00"/>
    <d v="2025-03-26T00:00:00"/>
    <x v="0"/>
    <n v="1"/>
    <n v="2"/>
    <e v="#N/A"/>
    <n v="24093"/>
    <m/>
    <m/>
  </r>
  <r>
    <d v="2025-03-23T00:00:00"/>
    <x v="2"/>
    <n v="2491"/>
    <x v="0"/>
    <s v="Luis Modesto Pacheco Pérez"/>
    <s v="TECU3FNPRO"/>
    <x v="12"/>
    <n v="1"/>
    <x v="1"/>
    <x v="1"/>
    <x v="1"/>
    <x v="0"/>
    <s v="Coordinadora"/>
    <s v="3185566 - 84151174823"/>
    <d v="2025-03-26T00:00:00"/>
    <d v="2025-03-28T00:00:00"/>
    <x v="0"/>
    <n v="1"/>
    <n v="3"/>
    <s v="Cumple"/>
    <n v="42921"/>
    <m/>
    <m/>
  </r>
  <r>
    <d v="2025-03-23T00:00:00"/>
    <x v="2"/>
    <n v="2491"/>
    <x v="0"/>
    <s v="Luis Modesto Pacheco Pérez"/>
    <s v="TECUTRN8C"/>
    <x v="58"/>
    <n v="1"/>
    <x v="2"/>
    <x v="1"/>
    <x v="1"/>
    <x v="0"/>
    <s v="Coordinadora"/>
    <s v="3185568 - 84151174824"/>
    <d v="2025-03-26T00:00:00"/>
    <d v="2025-03-28T00:00:00"/>
    <x v="0"/>
    <n v="1"/>
    <n v="3"/>
    <s v="Cumple"/>
    <n v="26749"/>
    <m/>
    <m/>
  </r>
  <r>
    <d v="2025-03-23T00:00:00"/>
    <x v="2"/>
    <n v="2492"/>
    <x v="0"/>
    <s v="Carlos Andres Urrea Lopez - Yumey A Orozco C"/>
    <s v="TECU3FNPRO"/>
    <x v="12"/>
    <n v="1"/>
    <x v="1"/>
    <x v="0"/>
    <x v="5"/>
    <x v="0"/>
    <s v="Coordinadora"/>
    <s v="3182510 - 84151173153"/>
    <d v="2025-03-25T00:00:00"/>
    <d v="2025-03-26T00:00:00"/>
    <x v="0"/>
    <n v="0"/>
    <n v="1"/>
    <s v="Cumple"/>
    <n v="42921"/>
    <m/>
    <m/>
  </r>
  <r>
    <d v="2025-03-23T00:00:00"/>
    <x v="2"/>
    <n v="2492"/>
    <x v="0"/>
    <s v="Carlos Andres Urrea Lopez - Yumey A Orozco C"/>
    <s v="TECUTFE2C"/>
    <x v="3"/>
    <n v="1"/>
    <x v="2"/>
    <x v="0"/>
    <x v="5"/>
    <x v="0"/>
    <s v="Coordinadora"/>
    <s v="3182512 - 84151173155"/>
    <d v="2025-03-25T00:00:00"/>
    <d v="2025-03-26T00:00:00"/>
    <x v="0"/>
    <n v="0"/>
    <n v="1"/>
    <s v="Cumple"/>
    <n v="28741"/>
    <m/>
    <m/>
  </r>
  <r>
    <d v="2025-03-23T00:00:00"/>
    <x v="2"/>
    <n v="2492"/>
    <x v="0"/>
    <s v="Carlos Andres Urrea Lopez - Yumey A Orozco C"/>
    <m/>
    <x v="10"/>
    <n v="1"/>
    <x v="3"/>
    <x v="0"/>
    <x v="5"/>
    <x v="1"/>
    <s v="NA"/>
    <s v="NA"/>
    <s v="NA"/>
    <s v="NA"/>
    <x v="0"/>
    <s v="PTE"/>
    <e v="#VALUE!"/>
    <e v="#VALUE!"/>
    <n v="0"/>
    <m/>
    <m/>
  </r>
  <r>
    <d v="2025-03-24T00:00:00"/>
    <x v="2"/>
    <n v="2493"/>
    <x v="0"/>
    <s v="Maria Garzon"/>
    <s v="TECU2FNG"/>
    <x v="5"/>
    <n v="1"/>
    <x v="1"/>
    <x v="1"/>
    <x v="1"/>
    <x v="0"/>
    <s v="Coordinadora"/>
    <s v="3185493 - 84151174778"/>
    <d v="2025-03-26T00:00:00"/>
    <d v="2025-03-28T00:00:00"/>
    <x v="0"/>
    <n v="1"/>
    <n v="3"/>
    <s v="Cumple"/>
    <n v="41593"/>
    <m/>
    <m/>
  </r>
  <r>
    <d v="2025-03-24T00:00:00"/>
    <x v="2"/>
    <n v="2493"/>
    <x v="0"/>
    <s v="Maria Garzon"/>
    <s v="TECUTFE3C"/>
    <x v="39"/>
    <n v="1"/>
    <x v="2"/>
    <x v="1"/>
    <x v="1"/>
    <x v="0"/>
    <s v="Coordinadora"/>
    <s v="3185494 - 84151174779"/>
    <d v="2025-03-26T00:00:00"/>
    <d v="2025-03-28T00:00:00"/>
    <x v="0"/>
    <n v="1"/>
    <n v="3"/>
    <s v="Cumple"/>
    <n v="24093"/>
    <m/>
    <m/>
  </r>
  <r>
    <d v="2025-03-25T00:00:00"/>
    <x v="2"/>
    <n v="2494"/>
    <x v="0"/>
    <s v="jhonnatan gonzalez"/>
    <s v="TECU2FNG"/>
    <x v="5"/>
    <n v="1"/>
    <x v="1"/>
    <x v="1"/>
    <x v="1"/>
    <x v="0"/>
    <s v="Coordinadora"/>
    <s v="3183196 - 84151173593"/>
    <d v="2025-03-25T00:00:00"/>
    <d v="2025-03-27T00:00:00"/>
    <x v="0"/>
    <n v="0"/>
    <n v="2"/>
    <s v="Cumple"/>
    <n v="41593"/>
    <m/>
    <m/>
  </r>
  <r>
    <d v="2025-03-25T00:00:00"/>
    <x v="2"/>
    <n v="2494"/>
    <x v="0"/>
    <s v="jhonnatan gonzalez"/>
    <s v="TECUTFE4C"/>
    <x v="14"/>
    <n v="1"/>
    <x v="2"/>
    <x v="1"/>
    <x v="1"/>
    <x v="0"/>
    <s v="Coordinadora"/>
    <s v="3183197 - 84151173594"/>
    <d v="2025-03-25T00:00:00"/>
    <d v="2025-03-27T00:00:00"/>
    <x v="0"/>
    <n v="0"/>
    <n v="2"/>
    <s v="Cumple"/>
    <n v="24093"/>
    <m/>
    <m/>
  </r>
  <r>
    <d v="2025-03-25T00:00:00"/>
    <x v="2"/>
    <n v="2494"/>
    <x v="0"/>
    <s v="jhonnatan gonzalez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3-26T00:00:00"/>
    <x v="2"/>
    <n v="2495"/>
    <x v="0"/>
    <s v="Jorge Madrid"/>
    <s v="TECU3FNCRO"/>
    <x v="55"/>
    <n v="1"/>
    <x v="1"/>
    <x v="0"/>
    <x v="5"/>
    <x v="0"/>
    <s v="Coordinadora"/>
    <s v="3188537 - 84151176378"/>
    <d v="2025-03-27T00:00:00"/>
    <d v="2025-03-28T00:00:00"/>
    <x v="0"/>
    <n v="1"/>
    <n v="2"/>
    <s v="Cumple"/>
    <n v="42921"/>
    <m/>
    <m/>
  </r>
  <r>
    <d v="2025-03-26T00:00:00"/>
    <x v="2"/>
    <n v="2495"/>
    <x v="0"/>
    <s v="Jorge Madrid"/>
    <s v="TECU-BMUSC"/>
    <x v="59"/>
    <n v="1"/>
    <x v="2"/>
    <x v="0"/>
    <x v="5"/>
    <x v="0"/>
    <s v="Coordinadora"/>
    <s v="3188538 - 84151176379"/>
    <d v="2025-03-27T00:00:00"/>
    <d v="2025-03-28T00:00:00"/>
    <x v="0"/>
    <n v="1"/>
    <n v="2"/>
    <s v="Cumple"/>
    <n v="24093"/>
    <m/>
    <m/>
  </r>
  <r>
    <d v="2025-03-26T00:00:00"/>
    <x v="2"/>
    <n v="2496"/>
    <x v="0"/>
    <s v="Victor Mesa"/>
    <s v="TECU2FNG"/>
    <x v="5"/>
    <n v="1"/>
    <x v="1"/>
    <x v="0"/>
    <x v="23"/>
    <x v="0"/>
    <s v="Coordinadora"/>
    <s v="3195822 - 84151180092"/>
    <d v="2025-03-31T00:00:00"/>
    <d v="2025-04-01T00:00:00"/>
    <x v="0"/>
    <n v="4"/>
    <n v="5"/>
    <s v="No cumple"/>
    <n v="41593"/>
    <m/>
    <m/>
  </r>
  <r>
    <d v="2025-03-26T00:00:00"/>
    <x v="2"/>
    <n v="2496"/>
    <x v="0"/>
    <s v="Victor Mesa"/>
    <s v="TECUTFE4C"/>
    <x v="14"/>
    <n v="1"/>
    <x v="2"/>
    <x v="0"/>
    <x v="23"/>
    <x v="0"/>
    <s v="Coordinadora"/>
    <s v="3195823 - 84151180093"/>
    <d v="2025-03-31T00:00:00"/>
    <d v="2025-04-01T00:00:00"/>
    <x v="0"/>
    <n v="4"/>
    <n v="5"/>
    <s v="No cumple"/>
    <n v="24093"/>
    <m/>
    <m/>
  </r>
  <r>
    <d v="2025-03-26T00:00:00"/>
    <x v="2"/>
    <n v="2496"/>
    <x v="0"/>
    <s v="Victor Mesa"/>
    <s v="TECUROD"/>
    <x v="31"/>
    <n v="1"/>
    <x v="7"/>
    <x v="0"/>
    <x v="23"/>
    <x v="0"/>
    <s v="Coordinadora"/>
    <s v="3195838 - 84151180106"/>
    <d v="2025-03-31T00:00:00"/>
    <d v="2025-04-01T00:00:00"/>
    <x v="0"/>
    <n v="4"/>
    <n v="5"/>
    <s v="No cumple"/>
    <n v="23875"/>
    <m/>
    <m/>
  </r>
  <r>
    <d v="2025-03-26T00:00:00"/>
    <x v="2"/>
    <n v="2496"/>
    <x v="0"/>
    <s v="Victor Mesa"/>
    <m/>
    <x v="10"/>
    <n v="1"/>
    <x v="3"/>
    <x v="0"/>
    <x v="23"/>
    <x v="1"/>
    <s v="NA"/>
    <s v="NA"/>
    <s v="NA"/>
    <s v="NA"/>
    <x v="2"/>
    <m/>
    <m/>
    <m/>
    <n v="0"/>
    <m/>
    <m/>
  </r>
  <r>
    <d v="2025-03-27T00:00:00"/>
    <x v="2"/>
    <n v="2497"/>
    <x v="0"/>
    <s v="Jorge Madrid"/>
    <s v="TECUCT"/>
    <x v="4"/>
    <n v="1"/>
    <x v="0"/>
    <x v="0"/>
    <x v="5"/>
    <x v="0"/>
    <s v="Coordinadora"/>
    <s v="3188548 - 84151176389"/>
    <d v="2025-03-27T00:00:00"/>
    <d v="2025-03-28T00:00:00"/>
    <x v="0"/>
    <n v="0"/>
    <n v="1"/>
    <s v="Cumple"/>
    <n v="24885"/>
    <m/>
    <m/>
  </r>
  <r>
    <d v="2025-03-27T00:00:00"/>
    <x v="2"/>
    <n v="2498"/>
    <x v="0"/>
    <s v="Gabriel Hernández Torres"/>
    <s v="TECU3FNPRO"/>
    <x v="12"/>
    <n v="1"/>
    <x v="1"/>
    <x v="13"/>
    <x v="28"/>
    <x v="0"/>
    <s v="Coordinadora"/>
    <s v="3190334 - 84151177324"/>
    <d v="2025-03-28T00:00:00"/>
    <d v="2025-03-29T00:00:00"/>
    <x v="0"/>
    <n v="1"/>
    <n v="2"/>
    <s v="Cumple"/>
    <n v="34953"/>
    <m/>
    <m/>
  </r>
  <r>
    <d v="2025-03-27T00:00:00"/>
    <x v="2"/>
    <n v="2498"/>
    <x v="0"/>
    <s v="Gabriel Hernández Torres"/>
    <s v="TECUTCO6C"/>
    <x v="16"/>
    <n v="1"/>
    <x v="2"/>
    <x v="13"/>
    <x v="28"/>
    <x v="0"/>
    <s v="Coordinadora"/>
    <s v="3190335 - 84151177325"/>
    <d v="2025-03-28T00:00:00"/>
    <d v="2025-03-29T00:00:00"/>
    <x v="0"/>
    <n v="1"/>
    <n v="2"/>
    <s v="Cumple"/>
    <n v="15194"/>
    <m/>
    <m/>
  </r>
  <r>
    <d v="2025-03-27T00:00:00"/>
    <x v="2"/>
    <n v="2498"/>
    <x v="0"/>
    <s v="Gabriel Hernández Torres"/>
    <s v="TECU3FBRO"/>
    <x v="34"/>
    <n v="1"/>
    <x v="1"/>
    <x v="13"/>
    <x v="28"/>
    <x v="0"/>
    <s v="Coordinadora"/>
    <s v="3190344 - 84151177331"/>
    <d v="2025-03-28T00:00:00"/>
    <d v="2025-03-29T00:00:00"/>
    <x v="0"/>
    <n v="1"/>
    <n v="2"/>
    <s v="Cumple"/>
    <n v="34953"/>
    <m/>
    <m/>
  </r>
  <r>
    <d v="2025-03-27T00:00:00"/>
    <x v="2"/>
    <n v="2498"/>
    <x v="0"/>
    <s v="Gabriel Hernández Torres"/>
    <s v="TECUTRN7C"/>
    <x v="60"/>
    <n v="1"/>
    <x v="2"/>
    <x v="13"/>
    <x v="28"/>
    <x v="0"/>
    <s v="Coordinadora"/>
    <s v="3190345 - 84151177333"/>
    <d v="2025-03-28T00:00:00"/>
    <d v="2025-03-29T00:00:00"/>
    <x v="0"/>
    <n v="1"/>
    <n v="2"/>
    <s v="Cumple"/>
    <n v="15194"/>
    <m/>
    <m/>
  </r>
  <r>
    <d v="2025-03-27T00:00:00"/>
    <x v="2"/>
    <n v="2499"/>
    <x v="0"/>
    <s v="Enrique Sabalza"/>
    <s v="TECUTB7C"/>
    <x v="38"/>
    <n v="1"/>
    <x v="2"/>
    <x v="2"/>
    <x v="2"/>
    <x v="0"/>
    <s v="Coordinadora"/>
    <s v="3190460 - 84151177408"/>
    <d v="2025-03-28T00:00:00"/>
    <d v="2025-03-31T00:00:00"/>
    <x v="0"/>
    <n v="1"/>
    <n v="3"/>
    <s v="Cumple"/>
    <n v="39078"/>
    <m/>
    <m/>
  </r>
  <r>
    <d v="2025-03-28T00:00:00"/>
    <x v="2"/>
    <n v="2500"/>
    <x v="3"/>
    <s v="Laura Camila Barrera Hernandéz"/>
    <s v="TECULFN2"/>
    <x v="7"/>
    <n v="1"/>
    <x v="1"/>
    <x v="1"/>
    <x v="29"/>
    <x v="0"/>
    <s v="Coordinadora"/>
    <s v="3190605 - 84151177475"/>
    <d v="2025-03-29T00:00:00"/>
    <d v="2025-04-08T00:00:00"/>
    <x v="0"/>
    <n v="1"/>
    <n v="9"/>
    <e v="#N/A"/>
    <m/>
    <s v="Se crean las guias por error a otr destino"/>
    <s v="Novedad error destino"/>
  </r>
  <r>
    <d v="2025-03-28T00:00:00"/>
    <x v="2"/>
    <n v="2500"/>
    <x v="3"/>
    <s v="Laura Camila Barrera Hernandéz"/>
    <s v="TECUTLBS"/>
    <x v="61"/>
    <n v="1"/>
    <x v="2"/>
    <x v="1"/>
    <x v="29"/>
    <x v="0"/>
    <s v="Coordinadora"/>
    <s v="3190606 - 84151177480"/>
    <d v="2025-03-29T00:00:00"/>
    <d v="2025-04-08T00:00:00"/>
    <x v="0"/>
    <n v="1"/>
    <n v="9"/>
    <e v="#N/A"/>
    <m/>
    <s v="Se crean las guias por error a otr destino"/>
    <s v="Novedad error destino"/>
  </r>
  <r>
    <d v="2025-03-28T00:00:00"/>
    <x v="2"/>
    <n v="2500"/>
    <x v="0"/>
    <s v="Laura Camila Barrera Hernandéz"/>
    <s v="TECULFN2"/>
    <x v="7"/>
    <n v="1"/>
    <x v="1"/>
    <x v="1"/>
    <x v="29"/>
    <x v="0"/>
    <s v="Coordinadora"/>
    <s v="3204501 - 84151183822"/>
    <d v="2025-04-02T00:00:00"/>
    <d v="2025-04-03T00:00:00"/>
    <x v="0"/>
    <n v="4"/>
    <n v="5"/>
    <e v="#N/A"/>
    <n v="54562"/>
    <m/>
    <m/>
  </r>
  <r>
    <d v="2025-03-28T00:00:00"/>
    <x v="2"/>
    <n v="2500"/>
    <x v="0"/>
    <s v="Laura Camila Barrera Hernandéz"/>
    <s v="TECUTLBS"/>
    <x v="61"/>
    <n v="1"/>
    <x v="2"/>
    <x v="1"/>
    <x v="29"/>
    <x v="0"/>
    <s v="Coordinadora"/>
    <s v="3204514 - 84151183826"/>
    <d v="2025-04-02T00:00:00"/>
    <d v="2025-04-03T00:00:00"/>
    <x v="0"/>
    <n v="4"/>
    <n v="5"/>
    <e v="#N/A"/>
    <n v="33241"/>
    <m/>
    <m/>
  </r>
  <r>
    <d v="2025-03-28T00:00:00"/>
    <x v="2"/>
    <n v="2501"/>
    <x v="0"/>
    <s v="Luis Hernando Puerto Rojas"/>
    <s v="TECU3FNPRO"/>
    <x v="12"/>
    <n v="1"/>
    <x v="1"/>
    <x v="0"/>
    <x v="8"/>
    <x v="0"/>
    <s v="Coordinadora"/>
    <s v="3195887 - 84151180134"/>
    <d v="2025-03-31T00:00:00"/>
    <d v="2025-04-01T00:00:00"/>
    <x v="0"/>
    <n v="2"/>
    <n v="3"/>
    <s v="Cumple"/>
    <n v="42921"/>
    <m/>
    <m/>
  </r>
  <r>
    <d v="2025-03-28T00:00:00"/>
    <x v="2"/>
    <n v="2501"/>
    <x v="0"/>
    <s v="Luis Hernando Puerto Rojas"/>
    <s v="TECUTCO20C"/>
    <x v="62"/>
    <n v="1"/>
    <x v="2"/>
    <x v="0"/>
    <x v="8"/>
    <x v="0"/>
    <s v="Coordinadora"/>
    <s v="3195888 - 84151180135"/>
    <d v="2025-03-31T00:00:00"/>
    <d v="2025-04-01T00:00:00"/>
    <x v="0"/>
    <n v="2"/>
    <n v="3"/>
    <s v="Cumple"/>
    <n v="26749"/>
    <m/>
    <m/>
  </r>
  <r>
    <d v="2025-03-28T00:00:00"/>
    <x v="2"/>
    <n v="2502"/>
    <x v="0"/>
    <s v="Fredy Marin"/>
    <s v="TECULFN2"/>
    <x v="7"/>
    <n v="1"/>
    <x v="1"/>
    <x v="1"/>
    <x v="1"/>
    <x v="0"/>
    <s v="Coordinadora"/>
    <s v="3195857 - 84151180115"/>
    <d v="2025-03-31T00:00:00"/>
    <d v="2025-04-03T00:00:00"/>
    <x v="0"/>
    <n v="2"/>
    <n v="5"/>
    <s v="No cumple"/>
    <n v="62530"/>
    <m/>
    <m/>
  </r>
  <r>
    <d v="2025-03-28T00:00:00"/>
    <x v="2"/>
    <n v="2502"/>
    <x v="0"/>
    <s v="Fredy Marin"/>
    <s v="TECUTLFES"/>
    <x v="63"/>
    <n v="1"/>
    <x v="2"/>
    <x v="1"/>
    <x v="1"/>
    <x v="0"/>
    <s v="Coordinadora"/>
    <s v="3195858 - 84151180118"/>
    <d v="2025-03-31T00:00:00"/>
    <d v="2025-04-02T00:00:00"/>
    <x v="0"/>
    <n v="2"/>
    <n v="4"/>
    <s v="No cumple"/>
    <n v="26749"/>
    <m/>
    <m/>
  </r>
  <r>
    <d v="2025-03-28T00:00:00"/>
    <x v="2"/>
    <n v="2503"/>
    <x v="0"/>
    <s v="Victor Arias"/>
    <s v="TECURCO"/>
    <x v="30"/>
    <n v="1"/>
    <x v="6"/>
    <x v="0"/>
    <x v="30"/>
    <x v="0"/>
    <s v="Coordinadora"/>
    <s v="3196090  - 84151180280"/>
    <d v="2025-03-31T00:00:00"/>
    <d v="2025-04-01T00:00:00"/>
    <x v="0"/>
    <n v="2"/>
    <n v="3"/>
    <s v="Cumple"/>
    <n v="23429"/>
    <m/>
    <m/>
  </r>
  <r>
    <d v="2025-03-30T00:00:00"/>
    <x v="2"/>
    <n v="2504"/>
    <x v="0"/>
    <s v="Camilo Andres Talero Neita"/>
    <s v="TECURCC"/>
    <x v="42"/>
    <n v="1"/>
    <x v="6"/>
    <x v="4"/>
    <x v="31"/>
    <x v="0"/>
    <s v="Coordinadora"/>
    <s v="3196095 - 84151180284"/>
    <d v="2025-03-31T00:00:00"/>
    <d v="2025-04-02T00:00:00"/>
    <x v="0"/>
    <n v="0"/>
    <n v="2"/>
    <s v="Cumple"/>
    <n v="37762"/>
    <m/>
    <m/>
  </r>
  <r>
    <d v="2025-03-31T00:00:00"/>
    <x v="2"/>
    <n v="2505"/>
    <x v="0"/>
    <s v="Estefania Granados"/>
    <s v="TECU2FBGO"/>
    <x v="2"/>
    <n v="1"/>
    <x v="1"/>
    <x v="1"/>
    <x v="1"/>
    <x v="0"/>
    <s v="Coordinadora"/>
    <s v="3199745 - 84151181524"/>
    <d v="2025-04-01T00:00:00"/>
    <d v="2025-04-02T00:00:00"/>
    <x v="0"/>
    <n v="1"/>
    <n v="2"/>
    <s v="Cumple"/>
    <n v="41593"/>
    <m/>
    <m/>
  </r>
  <r>
    <d v="2025-03-31T00:00:00"/>
    <x v="2"/>
    <n v="2505"/>
    <x v="0"/>
    <s v="Estefania Granados"/>
    <s v="TECUTFE6C"/>
    <x v="28"/>
    <n v="1"/>
    <x v="2"/>
    <x v="1"/>
    <x v="1"/>
    <x v="0"/>
    <s v="Coordinadora"/>
    <s v="3199746 - 84151181525"/>
    <d v="2025-04-01T00:00:00"/>
    <d v="2025-04-02T00:00:00"/>
    <x v="0"/>
    <n v="1"/>
    <n v="2"/>
    <s v="Cumple"/>
    <n v="24093"/>
    <m/>
    <m/>
  </r>
  <r>
    <d v="2025-03-13T00:00:00"/>
    <x v="2"/>
    <n v="2461"/>
    <x v="1"/>
    <s v="Afranio Cardona Gomez"/>
    <s v="TECUTRM8C"/>
    <x v="49"/>
    <n v="1"/>
    <x v="2"/>
    <x v="5"/>
    <x v="9"/>
    <x v="0"/>
    <s v="Coordinadora"/>
    <s v="3179505 - 84151171915"/>
    <d v="2025-03-22T00:00:00"/>
    <d v="2025-03-25T00:00:00"/>
    <x v="0"/>
    <n v="8"/>
    <n v="9"/>
    <s v="No cumple"/>
    <n v="43089"/>
    <m/>
    <m/>
  </r>
  <r>
    <d v="2025-04-01T00:00:00"/>
    <x v="3"/>
    <n v="2506"/>
    <x v="0"/>
    <s v="Angie Marcela Vargas Pardo"/>
    <s v="TECU2FNG"/>
    <x v="5"/>
    <n v="1"/>
    <x v="1"/>
    <x v="0"/>
    <x v="8"/>
    <x v="0"/>
    <s v="Coordinadora"/>
    <s v="3199774 - 84151181537"/>
    <d v="2025-04-01T00:00:00"/>
    <d v="2025-04-02T00:00:00"/>
    <x v="0"/>
    <n v="0"/>
    <n v="1"/>
    <s v="Cumple"/>
    <n v="41593"/>
    <m/>
    <m/>
  </r>
  <r>
    <d v="2025-04-01T00:00:00"/>
    <x v="3"/>
    <n v="2506"/>
    <x v="0"/>
    <s v="Angie Marcela Vargas Pardo"/>
    <s v="TECUTCO6C"/>
    <x v="16"/>
    <n v="1"/>
    <x v="2"/>
    <x v="0"/>
    <x v="8"/>
    <x v="0"/>
    <s v="Coordinadora"/>
    <s v="3199776 - 84151181538"/>
    <d v="2025-04-01T00:00:00"/>
    <d v="2025-04-02T00:00:00"/>
    <x v="0"/>
    <n v="0"/>
    <n v="1"/>
    <s v="Cumple"/>
    <n v="24093"/>
    <m/>
    <m/>
  </r>
  <r>
    <d v="2025-04-01T00:00:00"/>
    <x v="3"/>
    <n v="2506"/>
    <x v="0"/>
    <s v="Angie Marcela Vargas Pardo"/>
    <s v="TECUACO"/>
    <x v="15"/>
    <n v="1"/>
    <x v="5"/>
    <x v="0"/>
    <x v="8"/>
    <x v="0"/>
    <s v="Envia"/>
    <s v="3205716 - 954101187697"/>
    <d v="2025-04-01T00:00:00"/>
    <d v="2025-04-04T00:00:00"/>
    <x v="0"/>
    <n v="0"/>
    <n v="3"/>
    <s v="Cumple"/>
    <n v="65582"/>
    <m/>
    <m/>
  </r>
  <r>
    <d v="2025-04-01T00:00:00"/>
    <x v="3"/>
    <n v="2506"/>
    <x v="0"/>
    <s v="Angie Marcela Vargas Pardo"/>
    <s v="TECUCT"/>
    <x v="4"/>
    <n v="1"/>
    <x v="0"/>
    <x v="0"/>
    <x v="8"/>
    <x v="0"/>
    <s v="Coordinadora"/>
    <s v="3199793 - 84151181545"/>
    <d v="2025-04-01T00:00:00"/>
    <d v="2025-04-02T00:00:00"/>
    <x v="0"/>
    <n v="0"/>
    <n v="1"/>
    <s v="Cumple"/>
    <n v="24885"/>
    <m/>
    <m/>
  </r>
  <r>
    <d v="2025-04-02T00:00:00"/>
    <x v="3"/>
    <n v="2507"/>
    <x v="0"/>
    <s v="Juan Diego Cruz"/>
    <s v="TECUDSG"/>
    <x v="64"/>
    <n v="1"/>
    <x v="4"/>
    <x v="1"/>
    <x v="1"/>
    <x v="0"/>
    <s v="Coordinadora"/>
    <s v="3202877 - 84151183025"/>
    <d v="2025-04-02T00:00:00"/>
    <d v="2025-04-03T00:00:00"/>
    <x v="0"/>
    <n v="0"/>
    <n v="1"/>
    <s v="Cumple"/>
    <n v="26609"/>
    <m/>
    <m/>
  </r>
  <r>
    <d v="2025-04-04T00:00:00"/>
    <x v="3"/>
    <n v="2508"/>
    <x v="0"/>
    <s v="Esteban Salazar Zapata"/>
    <s v="TECU3FNPRO"/>
    <x v="12"/>
    <n v="1"/>
    <x v="1"/>
    <x v="0"/>
    <x v="22"/>
    <x v="0"/>
    <s v="Coordinadora"/>
    <s v="3213937 - 84151185713"/>
    <d v="2025-04-04T00:00:00"/>
    <d v="2025-04-07T00:00:00"/>
    <x v="0"/>
    <n v="0"/>
    <n v="2"/>
    <s v="Cumple"/>
    <n v="42921"/>
    <m/>
    <m/>
  </r>
  <r>
    <d v="2025-04-04T00:00:00"/>
    <x v="3"/>
    <n v="2508"/>
    <x v="0"/>
    <s v="Esteban Salazar Zapata"/>
    <s v="TECUTFE8C"/>
    <x v="21"/>
    <n v="1"/>
    <x v="2"/>
    <x v="0"/>
    <x v="22"/>
    <x v="0"/>
    <s v="Coordinadora"/>
    <s v="3213938 - 84151185714"/>
    <d v="2025-04-04T00:00:00"/>
    <d v="2025-04-06T00:00:00"/>
    <x v="0"/>
    <n v="0"/>
    <n v="1"/>
    <s v="Cumple"/>
    <n v="26749"/>
    <m/>
    <m/>
  </r>
  <r>
    <d v="2025-04-04T00:00:00"/>
    <x v="3"/>
    <n v="2509"/>
    <x v="0"/>
    <s v="Mario Alejandro Martinez Perdomo"/>
    <s v="TECU2FNG"/>
    <x v="5"/>
    <n v="1"/>
    <x v="1"/>
    <x v="1"/>
    <x v="1"/>
    <x v="0"/>
    <s v="Coordinadora"/>
    <s v="3213994 - 84151185740"/>
    <d v="2025-04-04T00:00:00"/>
    <d v="2025-04-07T00:00:00"/>
    <x v="0"/>
    <n v="0"/>
    <n v="2"/>
    <s v="Cumple"/>
    <n v="41593"/>
    <m/>
    <m/>
  </r>
  <r>
    <d v="2025-04-04T00:00:00"/>
    <x v="3"/>
    <n v="2509"/>
    <x v="0"/>
    <s v="Mario Alejandro Martinez Perdomo"/>
    <s v="TECUTFE5C"/>
    <x v="29"/>
    <n v="1"/>
    <x v="2"/>
    <x v="1"/>
    <x v="1"/>
    <x v="0"/>
    <s v="Coordinadora"/>
    <s v="3213995 - 84151185741"/>
    <d v="2025-04-04T00:00:00"/>
    <d v="2025-04-07T00:00:00"/>
    <x v="0"/>
    <n v="0"/>
    <n v="2"/>
    <s v="Cumple"/>
    <n v="24093"/>
    <m/>
    <m/>
  </r>
  <r>
    <d v="2025-04-04T00:00:00"/>
    <x v="3"/>
    <n v="2510"/>
    <x v="0"/>
    <s v="Rafael del castillo &amp; cia sa"/>
    <s v="TECU3FNPRO"/>
    <x v="12"/>
    <n v="1"/>
    <x v="1"/>
    <x v="14"/>
    <x v="32"/>
    <x v="0"/>
    <s v="Coordinadora"/>
    <s v="3230437-84151191223"/>
    <d v="2025-04-09T15:17:17"/>
    <d v="2025-04-11T14:36:39"/>
    <x v="0"/>
    <n v="4"/>
    <n v="6"/>
    <s v="No cumple"/>
    <n v="47787"/>
    <m/>
    <m/>
  </r>
  <r>
    <d v="2025-04-04T00:00:00"/>
    <x v="3"/>
    <n v="2510"/>
    <x v="0"/>
    <s v="Rafael del castillo &amp; cia sa"/>
    <s v="TECUTRM5C"/>
    <x v="27"/>
    <n v="1"/>
    <x v="2"/>
    <x v="14"/>
    <x v="32"/>
    <x v="0"/>
    <s v="Coordinadora"/>
    <s v="3230439-84151191225"/>
    <d v="2025-04-09T15:17:17"/>
    <d v="2025-04-11T14:36:39"/>
    <x v="0"/>
    <n v="4"/>
    <n v="6"/>
    <s v="No cumple"/>
    <n v="38578"/>
    <m/>
    <m/>
  </r>
  <r>
    <d v="2025-04-04T00:00:00"/>
    <x v="3"/>
    <n v="2510"/>
    <x v="0"/>
    <s v="Rafael del castillo &amp; cia sa"/>
    <s v="TECUCT"/>
    <x v="4"/>
    <n v="1"/>
    <x v="0"/>
    <x v="14"/>
    <x v="32"/>
    <x v="0"/>
    <s v="Coordinadora"/>
    <s v="3230442-84151191228"/>
    <d v="2025-04-09T15:17:17"/>
    <d v="2025-04-11T14:36:39"/>
    <x v="0"/>
    <n v="4"/>
    <n v="6"/>
    <s v="No cumple"/>
    <n v="22920"/>
    <m/>
    <m/>
  </r>
  <r>
    <d v="2025-04-05T00:00:00"/>
    <x v="3"/>
    <n v="2511"/>
    <x v="0"/>
    <s v="Julian David Montero Gonzalez"/>
    <s v="TECU3FNPRO"/>
    <x v="12"/>
    <n v="1"/>
    <x v="1"/>
    <x v="3"/>
    <x v="3"/>
    <x v="0"/>
    <s v="Coordinadora"/>
    <s v="3223029-84151187944"/>
    <d v="2025-04-07T16:17:07"/>
    <d v="2025-04-09T17:25:22"/>
    <x v="0"/>
    <n v="1"/>
    <n v="3"/>
    <s v="Cumple"/>
    <n v="47787"/>
    <m/>
    <m/>
  </r>
  <r>
    <d v="2025-04-05T00:00:00"/>
    <x v="3"/>
    <n v="2511"/>
    <x v="0"/>
    <s v="Julian David Montero Gonzalez"/>
    <s v="TECUTFE6M"/>
    <x v="47"/>
    <n v="1"/>
    <x v="2"/>
    <x v="3"/>
    <x v="3"/>
    <x v="0"/>
    <s v="Coordinadora"/>
    <s v="3223030-84151187946"/>
    <d v="2025-04-07T16:15:15"/>
    <d v="2025-04-09T17:57:23"/>
    <x v="0"/>
    <n v="1"/>
    <n v="3"/>
    <s v="Cumple"/>
    <n v="38578"/>
    <m/>
    <m/>
  </r>
  <r>
    <d v="2025-04-05T00:00:00"/>
    <x v="3"/>
    <n v="2512"/>
    <x v="0"/>
    <s v="Juan David ballesteros"/>
    <s v="TECU3FBRO"/>
    <x v="34"/>
    <n v="1"/>
    <x v="1"/>
    <x v="1"/>
    <x v="1"/>
    <x v="0"/>
    <s v="Coordinadora"/>
    <s v="3222672-84151187728"/>
    <d v="2025-04-07T16:17:07"/>
    <d v="2025-04-09T15:36:23"/>
    <x v="0"/>
    <n v="1"/>
    <n v="3"/>
    <s v="Cumple"/>
    <n v="28241"/>
    <m/>
    <m/>
  </r>
  <r>
    <d v="2025-04-05T00:00:00"/>
    <x v="3"/>
    <n v="2512"/>
    <x v="0"/>
    <s v="Juan David ballesteros"/>
    <s v="TECUTRN6C"/>
    <x v="20"/>
    <n v="1"/>
    <x v="2"/>
    <x v="1"/>
    <x v="1"/>
    <x v="0"/>
    <s v="Coordinadora"/>
    <s v="3222674-84151187730"/>
    <d v="2025-04-07T16:15:15"/>
    <d v="2025-04-09T15:36:23"/>
    <x v="0"/>
    <n v="1"/>
    <n v="3"/>
    <s v="Cumple"/>
    <n v="23593"/>
    <m/>
    <m/>
  </r>
  <r>
    <d v="2025-04-07T00:00:00"/>
    <x v="3"/>
    <n v="2513"/>
    <x v="0"/>
    <s v="Andrea Beltran Salazar"/>
    <s v="TECU2FBGO"/>
    <x v="2"/>
    <n v="1"/>
    <x v="1"/>
    <x v="1"/>
    <x v="33"/>
    <x v="0"/>
    <s v="Coordinadora"/>
    <s v="3222689-84151187740"/>
    <d v="2025-04-07T16:17:07"/>
    <d v="2025-04-09T19:17:03"/>
    <x v="0"/>
    <n v="0"/>
    <n v="2"/>
    <s v="Cumple"/>
    <n v="39191"/>
    <m/>
    <m/>
  </r>
  <r>
    <d v="2025-04-07T00:00:00"/>
    <x v="3"/>
    <n v="2513"/>
    <x v="0"/>
    <s v="Andrea Beltran Salazar"/>
    <s v="TECUTFE2C"/>
    <x v="3"/>
    <n v="1"/>
    <x v="2"/>
    <x v="1"/>
    <x v="33"/>
    <x v="0"/>
    <s v="Coordinadora"/>
    <s v="3222691-84151187741"/>
    <d v="2025-04-07T16:15:15"/>
    <d v="2025-04-09T19:17:03"/>
    <x v="0"/>
    <n v="0"/>
    <n v="2"/>
    <s v="Cumple"/>
    <n v="33679"/>
    <m/>
    <m/>
  </r>
  <r>
    <d v="2025-04-07T00:00:00"/>
    <x v="3"/>
    <n v="2514"/>
    <x v="0"/>
    <s v="José Miguel Dueñas Torres"/>
    <s v="TECU2FNG"/>
    <x v="5"/>
    <n v="1"/>
    <x v="1"/>
    <x v="1"/>
    <x v="1"/>
    <x v="0"/>
    <s v="Coordinadora"/>
    <s v="3223053-84151187965"/>
    <d v="2025-04-07T16:17:07"/>
    <d v="2025-04-10T11:20:58"/>
    <x v="0"/>
    <n v="0"/>
    <n v="3"/>
    <s v="Cumple"/>
    <n v="26913"/>
    <m/>
    <m/>
  </r>
  <r>
    <d v="2025-04-07T00:00:00"/>
    <x v="3"/>
    <n v="2514"/>
    <x v="0"/>
    <s v="José Miguel Dueñas Torres"/>
    <s v="TECUTCO2C"/>
    <x v="37"/>
    <n v="1"/>
    <x v="2"/>
    <x v="1"/>
    <x v="1"/>
    <x v="0"/>
    <s v="Coordinadora"/>
    <s v="3223055-84151187967"/>
    <d v="2025-04-07T16:15:15"/>
    <d v="2025-04-10T11:20:57"/>
    <x v="0"/>
    <n v="0"/>
    <n v="3"/>
    <s v="Cumple"/>
    <n v="23593"/>
    <m/>
    <m/>
  </r>
  <r>
    <d v="2025-04-07T00:00:00"/>
    <x v="3"/>
    <n v="2514"/>
    <x v="0"/>
    <s v="José Miguel Dueñas Torres"/>
    <s v="TECUACO"/>
    <x v="15"/>
    <n v="1"/>
    <x v="5"/>
    <x v="1"/>
    <x v="1"/>
    <x v="0"/>
    <s v="Envia"/>
    <s v="3226991-954101191266"/>
    <d v="2025-04-08T17:18:00"/>
    <d v="2025-04-09T16:32:00"/>
    <x v="0"/>
    <n v="1"/>
    <n v="2"/>
    <s v="Cumple"/>
    <n v="54929"/>
    <m/>
    <m/>
  </r>
  <r>
    <d v="2025-04-07T00:00:00"/>
    <x v="3"/>
    <n v="2514"/>
    <x v="0"/>
    <s v="José Miguel Dueñas Torres"/>
    <s v="TECURCO"/>
    <x v="30"/>
    <n v="1"/>
    <x v="6"/>
    <x v="1"/>
    <x v="1"/>
    <x v="0"/>
    <s v="Coordinadora"/>
    <s v="3222769-84151187791"/>
    <d v="2025-04-07T16:17:07"/>
    <d v="2025-04-09T10:54:43"/>
    <x v="0"/>
    <n v="0"/>
    <n v="2"/>
    <s v="Cumple"/>
    <n v="22929"/>
    <m/>
    <m/>
  </r>
  <r>
    <d v="2025-04-07T00:00:00"/>
    <x v="3"/>
    <n v="2514"/>
    <x v="0"/>
    <s v="José Miguel Dueñas Torres"/>
    <s v="TECUCT"/>
    <x v="4"/>
    <n v="1"/>
    <x v="0"/>
    <x v="1"/>
    <x v="1"/>
    <x v="0"/>
    <s v="Coordinadora"/>
    <s v="3222754-84151187780"/>
    <d v="2025-04-07T16:17:07"/>
    <d v="2025-04-09T10:54:43"/>
    <x v="0"/>
    <n v="0"/>
    <n v="2"/>
    <s v="Cumple"/>
    <n v="22920"/>
    <m/>
    <m/>
  </r>
  <r>
    <d v="2025-04-08T00:00:00"/>
    <x v="3"/>
    <n v="2515"/>
    <x v="0"/>
    <s v="Luis Landkoer"/>
    <s v="TECU3FNCRO"/>
    <x v="55"/>
    <n v="1"/>
    <x v="1"/>
    <x v="1"/>
    <x v="1"/>
    <x v="0"/>
    <s v="Coordinadora"/>
    <s v="3227044-84151189694"/>
    <d v="2025-04-08T17:14:08"/>
    <d v="2025-04-10T10:56:50"/>
    <x v="0"/>
    <n v="0"/>
    <n v="2"/>
    <s v="Cumple"/>
    <n v="28241"/>
    <m/>
    <m/>
  </r>
  <r>
    <d v="2025-04-08T00:00:00"/>
    <x v="3"/>
    <n v="2515"/>
    <x v="0"/>
    <s v="Luis Landkoer"/>
    <s v="TECUTFE6C"/>
    <x v="28"/>
    <n v="1"/>
    <x v="2"/>
    <x v="1"/>
    <x v="1"/>
    <x v="0"/>
    <s v="Coordinadora"/>
    <s v="3227045-84151189695"/>
    <d v="2025-04-08T17:14:08"/>
    <d v="2025-04-11T10:40:20"/>
    <x v="0"/>
    <n v="0"/>
    <n v="3"/>
    <s v="Cumple"/>
    <n v="23593"/>
    <m/>
    <m/>
  </r>
  <r>
    <d v="2025-04-08T00:00:00"/>
    <x v="3"/>
    <n v="2515"/>
    <x v="0"/>
    <s v="Luis Landkoer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4-08T00:00:00"/>
    <x v="3"/>
    <n v="2516"/>
    <x v="0"/>
    <s v="Rigoberto Castelblanco / HUSKY IMS COLOMBIA LTD"/>
    <s v="TECU3FNPRO"/>
    <x v="12"/>
    <n v="1"/>
    <x v="1"/>
    <x v="1"/>
    <x v="1"/>
    <x v="0"/>
    <s v="Coordinadora"/>
    <s v="3278750- 84151210701"/>
    <d v="2025-05-02T00:00:00"/>
    <d v="2025-05-05T00:00:00"/>
    <x v="0"/>
    <n v="18"/>
    <n v="20"/>
    <s v="No cumple"/>
    <n v="42921"/>
    <n v="42921"/>
    <m/>
  </r>
  <r>
    <d v="2025-04-08T00:00:00"/>
    <x v="3"/>
    <n v="2516"/>
    <x v="0"/>
    <s v="Rigoberto Castelblanco / HUSKY IMS COLOMBIA LTD"/>
    <s v="TECU3FNPRO"/>
    <x v="12"/>
    <n v="1"/>
    <x v="1"/>
    <x v="1"/>
    <x v="1"/>
    <x v="0"/>
    <s v="Coordinadora"/>
    <s v="3278759 - 84151210707"/>
    <d v="2025-05-02T00:00:00"/>
    <d v="2025-05-05T00:00:00"/>
    <x v="0"/>
    <n v="18"/>
    <n v="20"/>
    <s v="No cumple"/>
    <n v="42921"/>
    <n v="42921"/>
    <m/>
  </r>
  <r>
    <d v="2025-04-08T00:00:00"/>
    <x v="3"/>
    <n v="2516"/>
    <x v="0"/>
    <s v="Rigoberto Castelblanco / HUSKY IMS COLOMBIA LTD"/>
    <s v="TECUTCO5C"/>
    <x v="51"/>
    <n v="1"/>
    <x v="2"/>
    <x v="1"/>
    <x v="1"/>
    <x v="0"/>
    <s v="Coordinadora"/>
    <s v="3278751- 84151210702"/>
    <d v="2025-05-02T00:00:00"/>
    <d v="2025-05-05T00:00:00"/>
    <x v="0"/>
    <n v="18"/>
    <n v="20"/>
    <s v="No cumple"/>
    <n v="24093"/>
    <n v="24093"/>
    <m/>
  </r>
  <r>
    <d v="2025-04-08T00:00:00"/>
    <x v="3"/>
    <n v="2516"/>
    <x v="0"/>
    <s v="Rigoberto Castelblanco / HUSKY IMS COLOMBIA LTD"/>
    <s v="TECUTCO2C"/>
    <x v="37"/>
    <n v="1"/>
    <x v="2"/>
    <x v="1"/>
    <x v="1"/>
    <x v="0"/>
    <s v="Coordinadora"/>
    <s v="3278760- 84151210708"/>
    <d v="2025-05-02T00:00:00"/>
    <d v="2025-05-05T00:00:00"/>
    <x v="0"/>
    <n v="18"/>
    <n v="20"/>
    <s v="No cumple"/>
    <n v="54929"/>
    <n v="54929"/>
    <m/>
  </r>
  <r>
    <d v="2025-04-08T00:00:00"/>
    <x v="3"/>
    <n v="2516"/>
    <x v="0"/>
    <s v="Rigoberto Castelblanco / HUSKY IMS COLOMBIA LTD"/>
    <s v="TECUACO"/>
    <x v="15"/>
    <n v="1"/>
    <x v="5"/>
    <x v="1"/>
    <x v="1"/>
    <x v="0"/>
    <s v="Envia"/>
    <s v="3269598 - 954101203551"/>
    <d v="2025-04-28T00:00:00"/>
    <d v="2025-04-29T00:00:00"/>
    <x v="0"/>
    <n v="15"/>
    <n v="16"/>
    <s v="No cumple"/>
    <n v="54929"/>
    <n v="54929"/>
    <m/>
  </r>
  <r>
    <d v="2025-04-11T00:00:00"/>
    <x v="3"/>
    <n v="2517"/>
    <x v="0"/>
    <s v="Willington Soto Vivescas"/>
    <s v="TECU3FNCRO"/>
    <x v="55"/>
    <n v="1"/>
    <x v="1"/>
    <x v="5"/>
    <x v="9"/>
    <x v="0"/>
    <s v="Coordinadora"/>
    <s v="3242140-84151195687"/>
    <d v="2025-04-14T15:58:27"/>
    <d v="2025-04-19T15:05:54"/>
    <x v="0"/>
    <n v="2"/>
    <n v="5"/>
    <s v="No cumple"/>
    <n v="41397"/>
    <m/>
    <m/>
  </r>
  <r>
    <d v="2025-04-11T00:00:00"/>
    <x v="3"/>
    <n v="2517"/>
    <x v="0"/>
    <s v="Willington Soto Vivescas"/>
    <s v="TECUTCO8C"/>
    <x v="19"/>
    <n v="1"/>
    <x v="2"/>
    <x v="5"/>
    <x v="9"/>
    <x v="0"/>
    <s v="Coordinadora"/>
    <s v="3242141-84151195688"/>
    <d v="2025-04-14T15:58:27"/>
    <d v="2025-04-19T15:05:53"/>
    <x v="0"/>
    <n v="2"/>
    <n v="5"/>
    <s v="No cumple"/>
    <n v="38089"/>
    <m/>
    <m/>
  </r>
  <r>
    <d v="2025-04-11T00:00:00"/>
    <x v="3"/>
    <n v="2517"/>
    <x v="0"/>
    <s v="Willington Soto Vivescas"/>
    <s v="TECUBDPM"/>
    <x v="0"/>
    <n v="1"/>
    <x v="0"/>
    <x v="5"/>
    <x v="9"/>
    <x v="0"/>
    <s v="Coordinadora"/>
    <s v="3242151-84151195696"/>
    <d v="2025-04-14T15:58:27"/>
    <d v="2025-04-19T15:05:53"/>
    <x v="0"/>
    <n v="2"/>
    <n v="5"/>
    <s v="No cumple"/>
    <n v="15152"/>
    <m/>
    <m/>
  </r>
  <r>
    <d v="2025-04-11T00:00:00"/>
    <x v="3"/>
    <n v="2517"/>
    <x v="0"/>
    <s v="Willington Soto Vivescas"/>
    <s v="TECUCT"/>
    <x v="4"/>
    <n v="1"/>
    <x v="0"/>
    <x v="5"/>
    <x v="9"/>
    <x v="0"/>
    <s v="Coordinadora"/>
    <s v="3242162-84151195701"/>
    <d v="2025-04-14T15:58:27"/>
    <d v="2025-04-19T15:05:54"/>
    <x v="0"/>
    <n v="2"/>
    <n v="5"/>
    <s v="No cumple"/>
    <n v="22920"/>
    <m/>
    <m/>
  </r>
  <r>
    <d v="2025-04-12T00:00:00"/>
    <x v="3"/>
    <n v="2518"/>
    <x v="0"/>
    <s v="Ronald Rengifo"/>
    <s v="TECU3FNPRO"/>
    <x v="12"/>
    <n v="1"/>
    <x v="1"/>
    <x v="0"/>
    <x v="8"/>
    <x v="0"/>
    <s v="Coordinadora"/>
    <s v="3243367-84151196160"/>
    <d v="2025-04-15T16:02:10"/>
    <d v="2025-04-19T09:31:47"/>
    <x v="0"/>
    <n v="2"/>
    <n v="4"/>
    <s v="No cumple"/>
    <n v="28241"/>
    <m/>
    <m/>
  </r>
  <r>
    <d v="2025-04-12T00:00:00"/>
    <x v="3"/>
    <n v="2518"/>
    <x v="0"/>
    <s v="Ronald Rengifo"/>
    <s v="TECUTRN20C"/>
    <x v="65"/>
    <n v="1"/>
    <x v="2"/>
    <x v="0"/>
    <x v="8"/>
    <x v="0"/>
    <s v="Coordinadora"/>
    <s v="3243368-84151196161"/>
    <d v="2025-04-15T16:02:10"/>
    <d v="2025-04-19T09:31:47"/>
    <x v="0"/>
    <n v="2"/>
    <n v="4"/>
    <s v="No cumple"/>
    <n v="26249"/>
    <m/>
    <m/>
  </r>
  <r>
    <d v="2025-04-12T00:00:00"/>
    <x v="3"/>
    <n v="2519"/>
    <x v="0"/>
    <s v="Adrian Moya"/>
    <s v="TECU2FBGO"/>
    <x v="2"/>
    <n v="1"/>
    <x v="1"/>
    <x v="0"/>
    <x v="8"/>
    <x v="0"/>
    <s v="Coordinadora"/>
    <s v="3240492-84151194821"/>
    <d v="2025-04-14T15:58:27"/>
    <d v="2025-04-15T07:36:03"/>
    <x v="0"/>
    <n v="1"/>
    <n v="2"/>
    <s v="Cumple"/>
    <n v="26913"/>
    <m/>
    <m/>
  </r>
  <r>
    <d v="2025-04-12T00:00:00"/>
    <x v="3"/>
    <n v="2519"/>
    <x v="0"/>
    <s v="Adrian Moya"/>
    <s v="TECUTFE5C"/>
    <x v="29"/>
    <n v="1"/>
    <x v="2"/>
    <x v="0"/>
    <x v="8"/>
    <x v="0"/>
    <s v="Coordinadora"/>
    <s v="3240493-84151194822"/>
    <d v="2025-04-14T15:58:27"/>
    <d v="2025-04-15T07:36:03"/>
    <x v="0"/>
    <n v="1"/>
    <n v="2"/>
    <s v="Cumple"/>
    <n v="23593"/>
    <m/>
    <m/>
  </r>
  <r>
    <d v="2025-04-12T00:00:00"/>
    <x v="3"/>
    <n v="2519"/>
    <x v="0"/>
    <s v="Adrian Moya"/>
    <s v="TECUROD"/>
    <x v="31"/>
    <n v="1"/>
    <x v="7"/>
    <x v="0"/>
    <x v="8"/>
    <x v="0"/>
    <s v="Coordinadora"/>
    <s v="3240532-84151194845"/>
    <d v="2025-04-14T15:58:27"/>
    <d v="2025-04-15T07:36:03"/>
    <x v="0"/>
    <n v="1"/>
    <n v="2"/>
    <s v="Cumple"/>
    <n v="22920"/>
    <m/>
    <m/>
  </r>
  <r>
    <d v="2025-04-12T00:00:00"/>
    <x v="3"/>
    <n v="2519"/>
    <x v="0"/>
    <s v="Adrian Moya"/>
    <s v="TECUCT"/>
    <x v="4"/>
    <n v="1"/>
    <x v="0"/>
    <x v="0"/>
    <x v="8"/>
    <x v="0"/>
    <s v="Coordinadora"/>
    <s v="3241373-84151195322"/>
    <d v="2025-04-14T15:58:27"/>
    <d v="2025-04-15T07:36:03"/>
    <x v="0"/>
    <n v="1"/>
    <n v="2"/>
    <s v="Cumple"/>
    <n v="22920"/>
    <m/>
    <m/>
  </r>
  <r>
    <d v="2025-04-12T00:00:00"/>
    <x v="3"/>
    <n v="2519"/>
    <x v="0"/>
    <s v="Adrian Moya"/>
    <s v="TECUDSG"/>
    <x v="64"/>
    <n v="1"/>
    <x v="4"/>
    <x v="0"/>
    <x v="8"/>
    <x v="0"/>
    <s v="Coordinadora"/>
    <s v="3240547-84151194859"/>
    <d v="2025-04-14T15:58:27"/>
    <d v="2025-04-15T07:36:03"/>
    <x v="0"/>
    <n v="1"/>
    <n v="2"/>
    <s v="Cumple"/>
    <n v="22929"/>
    <m/>
    <m/>
  </r>
  <r>
    <d v="2025-04-12T00:00:00"/>
    <x v="3"/>
    <n v="2519"/>
    <x v="0"/>
    <s v="Adrian Moya"/>
    <s v="TECURCC"/>
    <x v="42"/>
    <n v="1"/>
    <x v="6"/>
    <x v="0"/>
    <x v="8"/>
    <x v="0"/>
    <s v="Coordinadora"/>
    <s v="NA"/>
    <d v="2025-04-14T15:58:27"/>
    <d v="2025-04-15T07:36:03"/>
    <x v="0"/>
    <n v="1"/>
    <n v="2"/>
    <s v="Cumple"/>
    <n v="0"/>
    <m/>
    <m/>
  </r>
  <r>
    <d v="2025-04-12T00:00:00"/>
    <x v="3"/>
    <n v="2519"/>
    <x v="0"/>
    <s v="Adrian Moya"/>
    <s v="TECUBDPM"/>
    <x v="0"/>
    <n v="1"/>
    <x v="0"/>
    <x v="0"/>
    <x v="8"/>
    <x v="0"/>
    <s v="Coordinadora"/>
    <s v="3240516-84151194831"/>
    <d v="2025-04-14T15:58:27"/>
    <d v="2025-04-15T07:36:03"/>
    <x v="0"/>
    <n v="1"/>
    <n v="2"/>
    <s v="Cumple"/>
    <n v="15152"/>
    <m/>
    <m/>
  </r>
  <r>
    <d v="2025-04-12T00:00:00"/>
    <x v="3"/>
    <n v="2520"/>
    <x v="0"/>
    <s v="Jose David Ludian Cohen"/>
    <s v="TECU3FNPRO"/>
    <x v="12"/>
    <n v="1"/>
    <x v="1"/>
    <x v="0"/>
    <x v="34"/>
    <x v="0"/>
    <s v="Coordinadora"/>
    <s v="3240730-84151194968"/>
    <d v="2025-04-14T15:58:27"/>
    <d v="2025-04-15T16:26:35"/>
    <x v="0"/>
    <n v="1"/>
    <n v="2"/>
    <s v="Cumple"/>
    <n v="28241"/>
    <m/>
    <m/>
  </r>
  <r>
    <d v="2025-04-12T00:00:00"/>
    <x v="3"/>
    <n v="2520"/>
    <x v="0"/>
    <s v="Jose David Ludian Cohen"/>
    <s v="TECUTCO8C"/>
    <x v="19"/>
    <n v="1"/>
    <x v="2"/>
    <x v="0"/>
    <x v="34"/>
    <x v="0"/>
    <s v="Coordinadora"/>
    <s v="3240731-84151194969"/>
    <d v="2025-04-14T15:58:27"/>
    <d v="2025-04-15T16:26:35"/>
    <x v="0"/>
    <n v="1"/>
    <n v="2"/>
    <s v="Cumple"/>
    <n v="26249"/>
    <m/>
    <m/>
  </r>
  <r>
    <d v="2025-04-12T00:00:00"/>
    <x v="3"/>
    <n v="2520"/>
    <x v="0"/>
    <s v="Jose David Ludian Cohen"/>
    <m/>
    <x v="10"/>
    <n v="1"/>
    <x v="3"/>
    <x v="0"/>
    <x v="34"/>
    <x v="1"/>
    <s v="NA"/>
    <s v="NA"/>
    <s v="NA"/>
    <s v="NA"/>
    <x v="0"/>
    <s v="PTE"/>
    <e v="#VALUE!"/>
    <e v="#VALUE!"/>
    <n v="0"/>
    <m/>
    <m/>
  </r>
  <r>
    <d v="2025-04-14T00:00:00"/>
    <x v="3"/>
    <n v="2521"/>
    <x v="0"/>
    <s v="Jose David Ludian Cohen"/>
    <s v="TECURCO"/>
    <x v="30"/>
    <n v="1"/>
    <x v="6"/>
    <x v="0"/>
    <x v="34"/>
    <x v="0"/>
    <s v="Coordinadora"/>
    <s v="NA"/>
    <d v="2025-04-14T15:58:27"/>
    <d v="2025-04-15T16:26:35"/>
    <x v="0"/>
    <n v="0"/>
    <n v="1"/>
    <s v="Cumple"/>
    <n v="0"/>
    <m/>
    <m/>
  </r>
  <r>
    <d v="2025-04-14T00:00:00"/>
    <x v="3"/>
    <n v="2522"/>
    <x v="0"/>
    <s v="Carlos Contreras"/>
    <s v="TECU3FNPRO"/>
    <x v="12"/>
    <n v="1"/>
    <x v="1"/>
    <x v="1"/>
    <x v="1"/>
    <x v="0"/>
    <s v="Coordinadora"/>
    <s v="3243391-84151196175"/>
    <d v="2025-04-15T16:02:10"/>
    <d v="2025-04-19T11:04:27"/>
    <x v="0"/>
    <n v="1"/>
    <n v="3"/>
    <s v="Cumple"/>
    <n v="28241"/>
    <m/>
    <m/>
  </r>
  <r>
    <d v="2025-04-14T00:00:00"/>
    <x v="3"/>
    <n v="2522"/>
    <x v="0"/>
    <s v="Carlos Contreras"/>
    <s v="TECUTFE8M"/>
    <x v="33"/>
    <n v="1"/>
    <x v="2"/>
    <x v="1"/>
    <x v="1"/>
    <x v="0"/>
    <s v="Coordinadora"/>
    <s v="3243392-84151196176"/>
    <d v="2025-04-15T16:02:10"/>
    <d v="2025-04-19T11:04:27"/>
    <x v="0"/>
    <n v="1"/>
    <n v="3"/>
    <s v="Cumple"/>
    <n v="26249"/>
    <m/>
    <m/>
  </r>
  <r>
    <d v="2025-04-14T00:00:00"/>
    <x v="3"/>
    <n v="2522"/>
    <x v="0"/>
    <s v="Carlos Contreras"/>
    <s v="TECUCT"/>
    <x v="4"/>
    <n v="1"/>
    <x v="0"/>
    <x v="1"/>
    <x v="1"/>
    <x v="0"/>
    <s v="Coordinadora"/>
    <s v="3243396-84151196178"/>
    <d v="2025-04-15T16:02:10"/>
    <d v="2025-04-19T11:04:27"/>
    <x v="0"/>
    <n v="1"/>
    <n v="3"/>
    <s v="Cumple"/>
    <n v="22920"/>
    <m/>
    <m/>
  </r>
  <r>
    <d v="2025-04-14T00:00:00"/>
    <x v="3"/>
    <n v="2522"/>
    <x v="0"/>
    <s v="Carlos Contreras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4-14T00:00:00"/>
    <x v="3"/>
    <n v="2522"/>
    <x v="1"/>
    <s v="Carlos Contreras"/>
    <s v="TECUTFE8M"/>
    <x v="33"/>
    <n v="1"/>
    <x v="2"/>
    <x v="1"/>
    <x v="1"/>
    <x v="0"/>
    <s v="Coordinadora"/>
    <s v="3253757-84151200430"/>
    <d v="2025-04-21T15:57:44"/>
    <d v="2025-04-22T16:40:34"/>
    <x v="0"/>
    <n v="4"/>
    <n v="5"/>
    <s v="No cumple"/>
    <n v="26249"/>
    <m/>
    <m/>
  </r>
  <r>
    <d v="2025-04-14T00:00:00"/>
    <x v="3"/>
    <n v="2522"/>
    <x v="1"/>
    <s v="Carlos Contreras"/>
    <s v="TECU3FNPRO"/>
    <x v="12"/>
    <n v="1"/>
    <x v="1"/>
    <x v="1"/>
    <x v="1"/>
    <x v="0"/>
    <s v="Coordinadora"/>
    <s v="3270225-84151207153"/>
    <d v="2025-04-28T15:17:25"/>
    <d v="2025-04-29T00:00:00"/>
    <x v="0"/>
    <n v="10"/>
    <n v="11"/>
    <s v="No cumple"/>
    <n v="28241"/>
    <m/>
    <m/>
  </r>
  <r>
    <d v="2025-04-15T00:00:00"/>
    <x v="3"/>
    <n v="2523"/>
    <x v="0"/>
    <s v="Jonathan Acero"/>
    <s v="TECUROD"/>
    <x v="31"/>
    <n v="1"/>
    <x v="7"/>
    <x v="1"/>
    <x v="35"/>
    <x v="0"/>
    <s v="Coordinadora"/>
    <s v="3243414-84151196181"/>
    <d v="2025-04-15T16:02:10"/>
    <d v="2025-04-19T11:28:43"/>
    <x v="0"/>
    <n v="0"/>
    <n v="2"/>
    <e v="#N/A"/>
    <n v="22920"/>
    <m/>
    <m/>
  </r>
  <r>
    <d v="2025-04-15T00:00:00"/>
    <x v="3"/>
    <n v="2524"/>
    <x v="0"/>
    <s v="Adrian Cardona"/>
    <s v="TECU2FNG"/>
    <x v="5"/>
    <n v="1"/>
    <x v="1"/>
    <x v="0"/>
    <x v="8"/>
    <x v="0"/>
    <s v="Coordinadora"/>
    <s v="3243462-84151196208"/>
    <d v="2025-04-15T16:02:10"/>
    <d v="2025-04-16T08:12:14"/>
    <x v="0"/>
    <n v="0"/>
    <n v="1"/>
    <s v="Cumple"/>
    <n v="26913"/>
    <m/>
    <m/>
  </r>
  <r>
    <d v="2025-04-15T00:00:00"/>
    <x v="3"/>
    <n v="2524"/>
    <x v="0"/>
    <s v="Adrian Cardona"/>
    <s v="TECUTCO6C"/>
    <x v="16"/>
    <n v="1"/>
    <x v="2"/>
    <x v="0"/>
    <x v="8"/>
    <x v="0"/>
    <s v="Coordinadora"/>
    <s v="3243463-84151196210"/>
    <d v="2025-04-15T16:02:10"/>
    <d v="2025-04-16T08:12:14"/>
    <x v="0"/>
    <n v="0"/>
    <n v="1"/>
    <s v="Cumple"/>
    <n v="23593"/>
    <m/>
    <m/>
  </r>
  <r>
    <d v="2025-04-15T00:00:00"/>
    <x v="3"/>
    <n v="2525"/>
    <x v="0"/>
    <s v="Doris Rodríguez"/>
    <s v="TECU2FBGO"/>
    <x v="2"/>
    <n v="1"/>
    <x v="1"/>
    <x v="1"/>
    <x v="1"/>
    <x v="0"/>
    <s v="Coordinadora"/>
    <s v="3243753-84151196341"/>
    <d v="2025-04-15T16:02:10"/>
    <d v="2025-04-22T15:21:02"/>
    <x v="0"/>
    <n v="0"/>
    <n v="4"/>
    <s v="No cumple"/>
    <n v="26913"/>
    <m/>
    <m/>
  </r>
  <r>
    <d v="2025-04-15T00:00:00"/>
    <x v="3"/>
    <n v="2525"/>
    <x v="0"/>
    <s v="Doris Rodríguez"/>
    <s v="TECUTFE2C"/>
    <x v="3"/>
    <n v="1"/>
    <x v="2"/>
    <x v="1"/>
    <x v="1"/>
    <x v="0"/>
    <s v="Coordinadora"/>
    <s v="3243756-84151196342"/>
    <d v="2025-04-15T16:02:10"/>
    <d v="2025-04-22T15:21:02"/>
    <x v="0"/>
    <n v="0"/>
    <n v="4"/>
    <s v="No cumple"/>
    <n v="23593"/>
    <m/>
    <m/>
  </r>
  <r>
    <d v="2025-04-15T00:00:00"/>
    <x v="3"/>
    <n v="2526"/>
    <x v="0"/>
    <s v="Arturo Diuza Cuero"/>
    <s v="TECU3FNPRO"/>
    <x v="12"/>
    <n v="1"/>
    <x v="1"/>
    <x v="6"/>
    <x v="17"/>
    <x v="0"/>
    <s v="Coordinadora"/>
    <s v="3243788-84151196357"/>
    <d v="2025-04-15T16:02:10"/>
    <d v="2025-04-21T15:29:41"/>
    <x v="0"/>
    <n v="0"/>
    <n v="3"/>
    <s v="Cumple"/>
    <n v="28241"/>
    <m/>
    <m/>
  </r>
  <r>
    <d v="2025-04-15T00:00:00"/>
    <x v="3"/>
    <n v="2527"/>
    <x v="0"/>
    <s v="Christiana Bowen"/>
    <s v="TECU2FNG"/>
    <x v="5"/>
    <n v="1"/>
    <x v="1"/>
    <x v="0"/>
    <x v="8"/>
    <x v="0"/>
    <s v="Coordinadora"/>
    <s v="3256028-84151201365"/>
    <d v="2025-04-22T15:50:56"/>
    <d v="2025-04-24T13:04:25"/>
    <x v="0"/>
    <n v="4"/>
    <n v="6"/>
    <s v="No cumple"/>
    <n v="26913"/>
    <m/>
    <m/>
  </r>
  <r>
    <d v="2025-04-15T00:00:00"/>
    <x v="3"/>
    <n v="2527"/>
    <x v="0"/>
    <s v="Christiana Bowen"/>
    <s v="TECUTRN6C"/>
    <x v="20"/>
    <n v="1"/>
    <x v="2"/>
    <x v="0"/>
    <x v="8"/>
    <x v="0"/>
    <s v="Coordinadora"/>
    <s v="3256029-84151201366"/>
    <d v="2025-04-22T15:50:56"/>
    <d v="2025-04-23T12:56:59"/>
    <x v="0"/>
    <n v="4"/>
    <n v="5"/>
    <s v="No cumple"/>
    <n v="23593"/>
    <m/>
    <m/>
  </r>
  <r>
    <d v="2025-04-15T00:00:00"/>
    <x v="3"/>
    <n v="2527"/>
    <x v="0"/>
    <s v="Christiana Bowen"/>
    <s v="TECUDSN"/>
    <x v="13"/>
    <n v="1"/>
    <x v="4"/>
    <x v="0"/>
    <x v="8"/>
    <x v="0"/>
    <s v="Coordinadora"/>
    <s v="3256066-84151201384"/>
    <d v="2025-04-22T15:50:56"/>
    <d v="2025-04-23T12:51:05"/>
    <x v="0"/>
    <n v="4"/>
    <n v="5"/>
    <s v="No cumple"/>
    <n v="22929"/>
    <m/>
    <m/>
  </r>
  <r>
    <d v="2025-04-15T00:00:00"/>
    <x v="3"/>
    <n v="2527"/>
    <x v="0"/>
    <s v="Christiana Bowen"/>
    <s v="TECU2FNG"/>
    <x v="5"/>
    <n v="1"/>
    <x v="1"/>
    <x v="0"/>
    <x v="8"/>
    <x v="0"/>
    <s v="Coordinadora"/>
    <s v="3256053-84151201375"/>
    <d v="2025-04-22T15:50:56"/>
    <d v="2025-04-23T12:51:05"/>
    <x v="0"/>
    <n v="4"/>
    <n v="5"/>
    <s v="No cumple"/>
    <n v="26913"/>
    <m/>
    <m/>
  </r>
  <r>
    <d v="2025-04-15T00:00:00"/>
    <x v="3"/>
    <n v="2527"/>
    <x v="0"/>
    <s v="Christiana Bowen"/>
    <s v="TECUTRN6C"/>
    <x v="20"/>
    <n v="1"/>
    <x v="2"/>
    <x v="0"/>
    <x v="8"/>
    <x v="0"/>
    <s v="Coordinadora"/>
    <s v="3256054-84151201376"/>
    <d v="2025-04-22T15:50:56"/>
    <d v="2025-04-23T12:56:59"/>
    <x v="0"/>
    <n v="4"/>
    <n v="5"/>
    <s v="No cumple"/>
    <n v="23593"/>
    <m/>
    <m/>
  </r>
  <r>
    <d v="2025-04-15T00:00:00"/>
    <x v="3"/>
    <n v="2527"/>
    <x v="0"/>
    <s v="Christiana Bowen"/>
    <s v="TECUDSN"/>
    <x v="13"/>
    <n v="1"/>
    <x v="4"/>
    <x v="0"/>
    <x v="8"/>
    <x v="0"/>
    <s v="Coordinadora"/>
    <s v="3256077-84151201389"/>
    <d v="2025-04-22T15:50:56"/>
    <d v="2025-04-23T12:51:05"/>
    <x v="0"/>
    <n v="4"/>
    <n v="5"/>
    <s v="No cumple"/>
    <n v="22929"/>
    <m/>
    <m/>
  </r>
  <r>
    <d v="2025-04-15T00:00:00"/>
    <x v="3"/>
    <n v="2527"/>
    <x v="0"/>
    <s v="Christiana Bowen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4-16T00:00:00"/>
    <x v="3"/>
    <n v="2528"/>
    <x v="0"/>
    <s v="Natalia Villegas"/>
    <s v="TECU3FNPRO"/>
    <x v="12"/>
    <n v="1"/>
    <x v="1"/>
    <x v="1"/>
    <x v="1"/>
    <x v="0"/>
    <s v="Coordinadora"/>
    <s v="3264476-84151205271"/>
    <d v="2025-04-25T14:59:11"/>
    <d v="2025-04-26T15:44:54"/>
    <x v="0"/>
    <n v="6"/>
    <n v="7"/>
    <s v="No cumple"/>
    <n v="28241"/>
    <m/>
    <m/>
  </r>
  <r>
    <d v="2025-04-16T00:00:00"/>
    <x v="3"/>
    <n v="2528"/>
    <x v="0"/>
    <s v="Natalia Villegas"/>
    <s v="TECUTRM5C"/>
    <x v="27"/>
    <n v="1"/>
    <x v="2"/>
    <x v="1"/>
    <x v="1"/>
    <x v="0"/>
    <s v="Coordinadora"/>
    <s v="3264477-84151205272"/>
    <d v="2025-04-25T14:59:11"/>
    <d v="2025-04-26T15:44:54"/>
    <x v="0"/>
    <n v="6"/>
    <n v="7"/>
    <s v="No cumple"/>
    <n v="23593"/>
    <m/>
    <m/>
  </r>
  <r>
    <d v="2025-04-16T00:00:00"/>
    <x v="3"/>
    <n v="2528"/>
    <x v="0"/>
    <s v="Natalia Villegas"/>
    <s v="TECUCT"/>
    <x v="4"/>
    <n v="1"/>
    <x v="0"/>
    <x v="1"/>
    <x v="1"/>
    <x v="0"/>
    <s v="Coordinadora"/>
    <s v="3264481-84151205274"/>
    <d v="2025-04-25T14:59:11"/>
    <d v="2025-04-26T15:44:54"/>
    <x v="0"/>
    <n v="6"/>
    <n v="7"/>
    <s v="No cumple"/>
    <n v="22920"/>
    <m/>
    <m/>
  </r>
  <r>
    <d v="2025-04-16T00:00:00"/>
    <x v="3"/>
    <n v="2528"/>
    <x v="0"/>
    <s v="Natalia Villegas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4-19T00:00:00"/>
    <x v="3"/>
    <n v="2529"/>
    <x v="0"/>
    <s v="Angie Barbosa Maldonado"/>
    <s v="TECU3FBCRO"/>
    <x v="66"/>
    <n v="1"/>
    <x v="1"/>
    <x v="1"/>
    <x v="1"/>
    <x v="0"/>
    <s v="Coordinadora"/>
    <s v="3251862-84151199277"/>
    <d v="2025-04-21T15:57:44"/>
    <d v="2025-04-22T16:12:01"/>
    <x v="0"/>
    <n v="1"/>
    <n v="2"/>
    <s v="Cumple"/>
    <n v="28241"/>
    <m/>
    <m/>
  </r>
  <r>
    <d v="2025-04-19T00:00:00"/>
    <x v="3"/>
    <n v="2529"/>
    <x v="0"/>
    <s v="Angie Barbosa Maldonado"/>
    <s v="TECUTFE5C"/>
    <x v="29"/>
    <n v="1"/>
    <x v="2"/>
    <x v="1"/>
    <x v="1"/>
    <x v="0"/>
    <s v="Coordinadora"/>
    <s v="3251865-84151199278"/>
    <d v="2025-04-21T15:57:44"/>
    <d v="2025-04-22T16:12:01"/>
    <x v="0"/>
    <n v="1"/>
    <n v="2"/>
    <s v="Cumple"/>
    <n v="23593"/>
    <m/>
    <m/>
  </r>
  <r>
    <d v="2025-04-19T00:00:00"/>
    <x v="3"/>
    <n v="2529"/>
    <x v="0"/>
    <s v="Angie Barbosa Maldonado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4-21T00:00:00"/>
    <x v="3"/>
    <n v="2530"/>
    <x v="0"/>
    <s v="Carlos Angel"/>
    <s v="TECUDSN"/>
    <x v="13"/>
    <n v="1"/>
    <x v="4"/>
    <x v="0"/>
    <x v="34"/>
    <x v="0"/>
    <s v="Coordinadora"/>
    <s v="3252191-84151199490"/>
    <d v="2025-04-21T15:57:44"/>
    <d v="2025-04-22T11:29:05"/>
    <x v="0"/>
    <n v="0"/>
    <n v="1"/>
    <s v="Cumple"/>
    <n v="22929"/>
    <m/>
    <m/>
  </r>
  <r>
    <d v="2025-04-21T00:00:00"/>
    <x v="3"/>
    <n v="2531"/>
    <x v="0"/>
    <s v="Luis Pimiento"/>
    <s v="TECU2FNG"/>
    <x v="5"/>
    <n v="1"/>
    <x v="1"/>
    <x v="5"/>
    <x v="36"/>
    <x v="0"/>
    <s v="Coordinadora"/>
    <s v="3252409-84151199626"/>
    <d v="2025-04-21T15:57:44"/>
    <d v="2025-04-22T18:10:01"/>
    <x v="0"/>
    <n v="0"/>
    <n v="1"/>
    <s v="Cumple"/>
    <n v="39191"/>
    <m/>
    <m/>
  </r>
  <r>
    <d v="2025-04-21T00:00:00"/>
    <x v="3"/>
    <n v="2531"/>
    <x v="0"/>
    <s v="Luis Pimiento"/>
    <s v="TECUTRN3C"/>
    <x v="67"/>
    <n v="1"/>
    <x v="2"/>
    <x v="5"/>
    <x v="36"/>
    <x v="0"/>
    <s v="Coordinadora"/>
    <s v="3252412-84151199628"/>
    <d v="2025-04-21T15:57:44"/>
    <d v="2025-04-22T18:10:01"/>
    <x v="0"/>
    <n v="0"/>
    <n v="1"/>
    <s v="Cumple"/>
    <n v="33679"/>
    <m/>
    <m/>
  </r>
  <r>
    <d v="2025-04-22T00:00:00"/>
    <x v="3"/>
    <n v="2532"/>
    <x v="0"/>
    <s v="David Felipe Bayona Heredia"/>
    <s v="TECU3FNPRO"/>
    <x v="12"/>
    <n v="1"/>
    <x v="1"/>
    <x v="1"/>
    <x v="1"/>
    <x v="0"/>
    <s v="Coordinadora"/>
    <s v="3256310-84151201489"/>
    <d v="2025-04-22T15:50:56"/>
    <d v="2025-04-23T15:50:21"/>
    <x v="0"/>
    <n v="0"/>
    <n v="1"/>
    <s v="Cumple"/>
    <n v="28241"/>
    <m/>
    <m/>
  </r>
  <r>
    <d v="2025-04-22T00:00:00"/>
    <x v="3"/>
    <n v="2532"/>
    <x v="0"/>
    <s v="David Felipe Bayona Heredia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4-23T00:00:00"/>
    <x v="3"/>
    <n v="2533"/>
    <x v="0"/>
    <s v="Diego Alejandro Forero Walteros"/>
    <s v="TECU3FBCRO"/>
    <x v="66"/>
    <n v="1"/>
    <x v="1"/>
    <x v="1"/>
    <x v="1"/>
    <x v="0"/>
    <s v="Coordinadora"/>
    <s v="3259082-84151202778"/>
    <d v="2025-04-23T15:29:13"/>
    <d v="2025-04-25T15:27:54"/>
    <x v="0"/>
    <n v="0"/>
    <n v="2"/>
    <s v="Cumple"/>
    <n v="28241"/>
    <m/>
    <m/>
  </r>
  <r>
    <d v="2025-04-23T00:00:00"/>
    <x v="3"/>
    <n v="2533"/>
    <x v="0"/>
    <s v="Diego Alejandro Forero Walteros"/>
    <s v="TECUTFE2C"/>
    <x v="3"/>
    <n v="1"/>
    <x v="2"/>
    <x v="1"/>
    <x v="1"/>
    <x v="0"/>
    <s v="Coordinadora"/>
    <s v="3259084-84151202780"/>
    <d v="2025-04-23T15:29:13"/>
    <d v="2025-04-25T15:27:54"/>
    <x v="0"/>
    <n v="0"/>
    <n v="2"/>
    <s v="Cumple"/>
    <n v="28241"/>
    <m/>
    <m/>
  </r>
  <r>
    <d v="2025-04-24T00:00:00"/>
    <x v="3"/>
    <n v="2534"/>
    <x v="0"/>
    <s v="Fabian Andres Mojica / COLIBRI IT SAS"/>
    <s v="TECU3FBCRO"/>
    <x v="66"/>
    <n v="1"/>
    <x v="1"/>
    <x v="1"/>
    <x v="1"/>
    <x v="0"/>
    <s v="Coordinadora"/>
    <s v="3261909-84151204046"/>
    <d v="2025-04-24T16:50:53"/>
    <d v="2025-04-26T11:08:31"/>
    <x v="0"/>
    <n v="0"/>
    <n v="2"/>
    <s v="Cumple"/>
    <n v="28241"/>
    <m/>
    <m/>
  </r>
  <r>
    <d v="2025-04-24T00:00:00"/>
    <x v="3"/>
    <n v="2534"/>
    <x v="0"/>
    <s v="Fabian Andres Mojica / COLIBRI IT SAS"/>
    <s v="TECUTB2C"/>
    <x v="68"/>
    <n v="1"/>
    <x v="2"/>
    <x v="1"/>
    <x v="1"/>
    <x v="0"/>
    <s v="Coordinadora"/>
    <s v="3261911-84151204048"/>
    <d v="2025-04-24T16:49:55"/>
    <d v="2025-04-26T11:29:14"/>
    <x v="0"/>
    <n v="0"/>
    <n v="2"/>
    <s v="Cumple"/>
    <n v="28241"/>
    <m/>
    <m/>
  </r>
  <r>
    <d v="2025-04-24T00:00:00"/>
    <x v="3"/>
    <n v="2534"/>
    <x v="0"/>
    <s v="Fabian Andres Mojica / COLIBRI IT SAS"/>
    <s v="TECUCT"/>
    <x v="4"/>
    <n v="1"/>
    <x v="0"/>
    <x v="1"/>
    <x v="1"/>
    <x v="0"/>
    <s v="Coordinadora"/>
    <s v="3261976-84151204073"/>
    <d v="2025-04-24T16:50:53"/>
    <d v="2025-04-25T18:00:49"/>
    <x v="0"/>
    <n v="0"/>
    <n v="1"/>
    <s v="Cumple"/>
    <n v="22920"/>
    <m/>
    <m/>
  </r>
  <r>
    <d v="2025-04-24T00:00:00"/>
    <x v="3"/>
    <n v="2534"/>
    <x v="0"/>
    <s v="Fabian Andres Mojica / COLIBRI IT SAS"/>
    <s v="TECU3FBCRO"/>
    <x v="66"/>
    <n v="1"/>
    <x v="1"/>
    <x v="1"/>
    <x v="1"/>
    <x v="0"/>
    <s v="Coordinadora"/>
    <s v="3261957-84151204068"/>
    <d v="2025-04-24T16:50:53"/>
    <d v="2025-04-26T11:31:07"/>
    <x v="0"/>
    <n v="0"/>
    <n v="2"/>
    <s v="Cumple"/>
    <n v="28241"/>
    <m/>
    <m/>
  </r>
  <r>
    <d v="2025-04-24T00:00:00"/>
    <x v="3"/>
    <n v="2534"/>
    <x v="0"/>
    <s v="Fabian Andres Mojica / COLIBRI IT SAS"/>
    <s v="TECUTB2C"/>
    <x v="68"/>
    <n v="1"/>
    <x v="2"/>
    <x v="1"/>
    <x v="1"/>
    <x v="0"/>
    <s v="Coordinadora"/>
    <s v="3261958-84151204069"/>
    <d v="2025-04-24T16:49:55"/>
    <d v="2025-04-26T11:08:31"/>
    <x v="0"/>
    <n v="0"/>
    <n v="2"/>
    <s v="Cumple"/>
    <n v="28241"/>
    <m/>
    <m/>
  </r>
  <r>
    <d v="2025-04-24T00:00:00"/>
    <x v="3"/>
    <n v="2534"/>
    <x v="0"/>
    <s v="Fabian Andres Mojica / COLIBRI IT SAS"/>
    <s v="TECUCT"/>
    <x v="4"/>
    <n v="1"/>
    <x v="0"/>
    <x v="1"/>
    <x v="1"/>
    <x v="0"/>
    <s v="Coordinadora"/>
    <s v="3261985-84151204075"/>
    <d v="2025-04-24T16:50:53"/>
    <d v="2025-04-25T17:58:36"/>
    <x v="0"/>
    <n v="0"/>
    <n v="1"/>
    <s v="Cumple"/>
    <n v="22920"/>
    <m/>
    <m/>
  </r>
  <r>
    <d v="2025-04-24T00:00:00"/>
    <x v="3"/>
    <n v="2535"/>
    <x v="0"/>
    <s v="Carlos Eduardo Ramírez F  / COLIBRI IT SAS"/>
    <s v="TECU3FBCRO"/>
    <x v="66"/>
    <n v="1"/>
    <x v="1"/>
    <x v="1"/>
    <x v="1"/>
    <x v="0"/>
    <s v="Coordinadora"/>
    <s v="3262209-84151204206"/>
    <d v="2025-04-24T16:50:53"/>
    <d v="2025-04-26T12:14:09"/>
    <x v="0"/>
    <n v="0"/>
    <n v="2"/>
    <s v="Cumple"/>
    <n v="28241"/>
    <m/>
    <m/>
  </r>
  <r>
    <d v="2025-04-24T00:00:00"/>
    <x v="3"/>
    <n v="2535"/>
    <x v="0"/>
    <s v="Carlos Eduardo Ramírez F  / COLIBRI IT SAS"/>
    <s v="TECUTB2C"/>
    <x v="68"/>
    <n v="1"/>
    <x v="2"/>
    <x v="1"/>
    <x v="1"/>
    <x v="0"/>
    <s v="Coordinadora"/>
    <s v="3262210-84151204211"/>
    <d v="2025-04-24T16:49:55"/>
    <d v="2025-04-26T13:02:36"/>
    <x v="0"/>
    <n v="0"/>
    <n v="2"/>
    <s v="Cumple"/>
    <n v="23593"/>
    <m/>
    <m/>
  </r>
  <r>
    <d v="2025-04-24T00:00:00"/>
    <x v="3"/>
    <n v="2535"/>
    <x v="0"/>
    <s v="Carlos Eduardo Ramírez F  / COLIBRI IT SAS"/>
    <s v="TECUCT"/>
    <x v="4"/>
    <n v="1"/>
    <x v="0"/>
    <x v="1"/>
    <x v="1"/>
    <x v="0"/>
    <s v="Coordinadora"/>
    <s v="3262218-84151204217"/>
    <d v="2025-04-24T16:50:53"/>
    <d v="2025-04-25T13:33:07"/>
    <x v="0"/>
    <n v="0"/>
    <n v="1"/>
    <s v="Cumple"/>
    <n v="22920"/>
    <m/>
    <m/>
  </r>
  <r>
    <d v="2025-04-26T00:00:00"/>
    <x v="3"/>
    <n v="2536"/>
    <x v="0"/>
    <s v="Juan David Cubillos Calvachi"/>
    <s v="TECU3FBRO"/>
    <x v="34"/>
    <n v="1"/>
    <x v="1"/>
    <x v="1"/>
    <x v="1"/>
    <x v="0"/>
    <s v="Coordinadora"/>
    <s v="3268967-84151206707"/>
    <d v="2025-04-28T15:17:25"/>
    <d v="2025-04-29T00:00:00"/>
    <x v="0"/>
    <n v="1"/>
    <n v="2"/>
    <s v="Cumple"/>
    <n v="28241"/>
    <m/>
    <m/>
  </r>
  <r>
    <d v="2025-04-26T00:00:00"/>
    <x v="3"/>
    <n v="2536"/>
    <x v="0"/>
    <s v="Juan David Cubillos Calvachi"/>
    <s v="TECUTFE7C"/>
    <x v="53"/>
    <n v="1"/>
    <x v="2"/>
    <x v="1"/>
    <x v="1"/>
    <x v="0"/>
    <s v="Coordinadora"/>
    <s v="3268968-84151206708"/>
    <d v="2025-04-28T15:17:25"/>
    <d v="2025-04-30T00:00:00"/>
    <x v="0"/>
    <n v="1"/>
    <n v="3"/>
    <s v="Cumple"/>
    <n v="23593"/>
    <m/>
    <m/>
  </r>
  <r>
    <d v="2025-04-26T00:00:00"/>
    <x v="3"/>
    <n v="2537"/>
    <x v="0"/>
    <s v="Sergio Prada"/>
    <s v="TECU2FNG"/>
    <x v="5"/>
    <n v="1"/>
    <x v="1"/>
    <x v="1"/>
    <x v="1"/>
    <x v="0"/>
    <s v="Coordinadora"/>
    <s v="3269004-84151206724"/>
    <d v="2025-04-28T15:17:25"/>
    <d v="2025-04-29T00:00:00"/>
    <x v="0"/>
    <n v="1"/>
    <n v="2"/>
    <s v="Cumple"/>
    <n v="26913"/>
    <m/>
    <m/>
  </r>
  <r>
    <d v="2025-04-26T00:00:00"/>
    <x v="3"/>
    <n v="2537"/>
    <x v="0"/>
    <s v="Sergio Prada"/>
    <s v="TECUTCO5C"/>
    <x v="51"/>
    <n v="1"/>
    <x v="2"/>
    <x v="1"/>
    <x v="1"/>
    <x v="0"/>
    <s v="Coordinadora"/>
    <s v="3269006-84151206725"/>
    <d v="2025-04-28T15:17:25"/>
    <d v="2025-04-29T00:00:00"/>
    <x v="0"/>
    <n v="1"/>
    <n v="2"/>
    <s v="Cumple"/>
    <n v="23593"/>
    <m/>
    <m/>
  </r>
  <r>
    <d v="2025-04-28T00:00:00"/>
    <x v="3"/>
    <n v="2538"/>
    <x v="0"/>
    <s v="Lizeth Manchego"/>
    <s v="TECU2FNG"/>
    <x v="5"/>
    <n v="1"/>
    <x v="1"/>
    <x v="5"/>
    <x v="37"/>
    <x v="0"/>
    <s v="Coordinadora"/>
    <s v="3270269-84151207172"/>
    <d v="2025-04-28T15:17:25"/>
    <d v="2025-04-30T00:00:00"/>
    <x v="0"/>
    <n v="0"/>
    <n v="2"/>
    <s v="Cumple"/>
    <n v="39191"/>
    <m/>
    <m/>
  </r>
  <r>
    <d v="2025-04-28T00:00:00"/>
    <x v="3"/>
    <n v="2538"/>
    <x v="0"/>
    <s v="Lizeth Manchego"/>
    <s v="TECUTFE4C"/>
    <x v="14"/>
    <n v="1"/>
    <x v="2"/>
    <x v="5"/>
    <x v="37"/>
    <x v="0"/>
    <s v="Coordinadora"/>
    <s v="3270271-84151207173"/>
    <d v="2025-04-28T15:17:25"/>
    <d v="2025-04-30T00:00:00"/>
    <x v="0"/>
    <n v="0"/>
    <n v="2"/>
    <s v="Cumple"/>
    <n v="33679"/>
    <m/>
    <m/>
  </r>
  <r>
    <d v="2025-04-28T00:00:00"/>
    <x v="3"/>
    <n v="2538"/>
    <x v="0"/>
    <s v="Lizeth Manchego"/>
    <s v="TECUCT"/>
    <x v="4"/>
    <n v="1"/>
    <x v="0"/>
    <x v="5"/>
    <x v="37"/>
    <x v="0"/>
    <s v="Coordinadora"/>
    <s v="3270272-84151207175"/>
    <d v="2025-04-28T15:17:25"/>
    <d v="2025-04-30T00:00:00"/>
    <x v="0"/>
    <n v="0"/>
    <n v="2"/>
    <s v="Cumple"/>
    <n v="22920"/>
    <m/>
    <m/>
  </r>
  <r>
    <d v="2025-04-29T00:00:00"/>
    <x v="3"/>
    <n v="2539"/>
    <x v="0"/>
    <s v="SEAQ HOLDINGS SAS / Andres Mujica"/>
    <s v="TECULFN2"/>
    <x v="7"/>
    <n v="1"/>
    <x v="1"/>
    <x v="1"/>
    <x v="1"/>
    <x v="0"/>
    <s v="Coordinadora"/>
    <s v="3272935 - 84151208399"/>
    <d v="2025-04-29T00:00:00"/>
    <d v="2025-04-30T00:00:00"/>
    <x v="0"/>
    <n v="0"/>
    <n v="1"/>
    <s v="Cumple"/>
    <n v="62530"/>
    <m/>
    <m/>
  </r>
  <r>
    <d v="2025-04-29T00:00:00"/>
    <x v="3"/>
    <n v="2539"/>
    <x v="0"/>
    <s v="SEAQ HOLDINGS SAS / Andres Mujica"/>
    <s v="TECUTLBS"/>
    <x v="61"/>
    <n v="1"/>
    <x v="2"/>
    <x v="1"/>
    <x v="1"/>
    <x v="0"/>
    <s v="Coordinadora"/>
    <s v="3272936 - 84151208400"/>
    <d v="2025-04-29T00:00:00"/>
    <d v="2025-04-30T00:00:00"/>
    <x v="0"/>
    <n v="0"/>
    <n v="1"/>
    <s v="Cumple"/>
    <n v="26749"/>
    <m/>
    <m/>
  </r>
  <r>
    <d v="2025-04-29T00:00:00"/>
    <x v="3"/>
    <n v="2539"/>
    <x v="0"/>
    <s v="SEAQ HOLDINGS SAS / Andres Mujica"/>
    <s v="TECUCT"/>
    <x v="4"/>
    <n v="1"/>
    <x v="0"/>
    <x v="1"/>
    <x v="1"/>
    <x v="0"/>
    <s v="Coordinadora"/>
    <s v="3272944 - 84151208407"/>
    <d v="2025-04-29T00:00:00"/>
    <d v="2025-04-30T00:00:00"/>
    <x v="0"/>
    <n v="0"/>
    <n v="1"/>
    <s v="Cumple"/>
    <n v="24885"/>
    <m/>
    <m/>
  </r>
  <r>
    <d v="2025-04-29T00:00:00"/>
    <x v="3"/>
    <n v="2539"/>
    <x v="0"/>
    <s v="SEAQ HOLDINGS SAS / Andres Mujica"/>
    <s v="TECUROD6"/>
    <x v="25"/>
    <n v="1"/>
    <x v="7"/>
    <x v="1"/>
    <x v="1"/>
    <x v="0"/>
    <s v="Coordinadora"/>
    <s v="3272954 - 84151208412"/>
    <d v="2025-04-29T00:00:00"/>
    <d v="2025-04-30T00:00:00"/>
    <x v="0"/>
    <n v="0"/>
    <n v="1"/>
    <s v="Cumple"/>
    <n v="23875"/>
    <m/>
    <m/>
  </r>
  <r>
    <d v="2025-04-29T00:00:00"/>
    <x v="3"/>
    <n v="2539"/>
    <x v="0"/>
    <s v="SEAQ HOLDINGS SAS / Andres Mujica"/>
    <s v="TECUTBANTE"/>
    <x v="54"/>
    <n v="1"/>
    <x v="0"/>
    <x v="1"/>
    <x v="1"/>
    <x v="0"/>
    <s v="Coordinadora"/>
    <s v="3273378 - 84151208645"/>
    <d v="2025-04-29T00:00:00"/>
    <d v="2025-04-30T00:00:00"/>
    <x v="0"/>
    <n v="0"/>
    <n v="1"/>
    <s v="Cumple"/>
    <n v="27929"/>
    <m/>
    <m/>
  </r>
  <r>
    <d v="2025-04-30T00:00:00"/>
    <x v="3"/>
    <n v="2540"/>
    <x v="0"/>
    <s v="Maria Paula Bonilla Gonzalez"/>
    <s v="TECU2FNG"/>
    <x v="5"/>
    <n v="1"/>
    <x v="1"/>
    <x v="1"/>
    <x v="1"/>
    <x v="0"/>
    <s v="Coordinadora"/>
    <s v="3275213 - 84151209472"/>
    <d v="2025-04-30T00:00:00"/>
    <d v="2025-05-02T00:00:00"/>
    <x v="0"/>
    <n v="0"/>
    <n v="1"/>
    <s v="Cumple"/>
    <n v="41593"/>
    <m/>
    <m/>
  </r>
  <r>
    <d v="2025-04-30T00:00:00"/>
    <x v="3"/>
    <n v="2540"/>
    <x v="0"/>
    <s v="Maria Paula Bonilla Gonzalez"/>
    <s v="TECUTCO2C"/>
    <x v="37"/>
    <n v="1"/>
    <x v="2"/>
    <x v="1"/>
    <x v="1"/>
    <x v="0"/>
    <s v="Coordinadora"/>
    <s v="3275215 - 84151209473"/>
    <d v="2025-04-30T00:00:00"/>
    <d v="2025-05-02T00:00:00"/>
    <x v="0"/>
    <n v="0"/>
    <n v="1"/>
    <s v="Cumple"/>
    <n v="24093"/>
    <m/>
    <m/>
  </r>
  <r>
    <d v="2025-04-30T00:00:00"/>
    <x v="3"/>
    <n v="2540"/>
    <x v="0"/>
    <s v="Maria Paula Bonilla Gonzalez"/>
    <s v="TECU2FNG"/>
    <x v="5"/>
    <n v="1"/>
    <x v="1"/>
    <x v="1"/>
    <x v="1"/>
    <x v="0"/>
    <s v="Coordinadora"/>
    <s v="3275222 - 84151209476"/>
    <d v="2025-04-30T00:00:00"/>
    <d v="2025-05-02T00:00:00"/>
    <x v="0"/>
    <n v="0"/>
    <n v="1"/>
    <s v="Cumple"/>
    <n v="41593"/>
    <m/>
    <m/>
  </r>
  <r>
    <d v="2025-04-30T00:00:00"/>
    <x v="3"/>
    <n v="2540"/>
    <x v="0"/>
    <s v="Maria Paula Bonilla Gonzalez"/>
    <s v="TECUTCO5C"/>
    <x v="51"/>
    <n v="1"/>
    <x v="2"/>
    <x v="1"/>
    <x v="1"/>
    <x v="0"/>
    <s v="Coordinadora"/>
    <s v="3275224 - 84151209477"/>
    <d v="2025-04-30T00:00:00"/>
    <d v="2025-05-02T00:00:00"/>
    <x v="0"/>
    <n v="0"/>
    <n v="1"/>
    <s v="Cumple"/>
    <n v="24093"/>
    <m/>
    <m/>
  </r>
  <r>
    <d v="2025-04-30T00:00:00"/>
    <x v="3"/>
    <n v="2540"/>
    <x v="0"/>
    <s v="Maria Paula Bonilla Gonzalez"/>
    <s v="TECUCT"/>
    <x v="4"/>
    <n v="1"/>
    <x v="0"/>
    <x v="1"/>
    <x v="1"/>
    <x v="0"/>
    <s v="Coordinadora"/>
    <s v="3275233 - 84151209479"/>
    <d v="2025-04-30T00:00:00"/>
    <d v="2025-05-02T00:00:00"/>
    <x v="0"/>
    <n v="0"/>
    <n v="1"/>
    <s v="Cumple"/>
    <n v="24885"/>
    <m/>
    <m/>
  </r>
  <r>
    <d v="2025-05-02T00:00:00"/>
    <x v="4"/>
    <n v="2541"/>
    <x v="0"/>
    <s v="Fernando Andres Cifuentes Calderon"/>
    <s v="TECU3FNCRO"/>
    <x v="55"/>
    <n v="1"/>
    <x v="1"/>
    <x v="6"/>
    <x v="17"/>
    <x v="0"/>
    <s v="Coordinadora"/>
    <s v="3280100 - 84151211327"/>
    <d v="2025-05-02T00:00:00"/>
    <d v="2025-05-03T00:00:00"/>
    <x v="0"/>
    <n v="0"/>
    <n v="1"/>
    <s v="Cumple"/>
    <n v="42921"/>
    <m/>
    <m/>
  </r>
  <r>
    <d v="2025-05-02T00:00:00"/>
    <x v="4"/>
    <n v="2541"/>
    <x v="0"/>
    <s v="Fernando Andres Cifuentes Calderon"/>
    <s v="TECUTCO4C"/>
    <x v="6"/>
    <n v="1"/>
    <x v="2"/>
    <x v="6"/>
    <x v="17"/>
    <x v="0"/>
    <s v="Coordinadora"/>
    <s v="3280101 - 84151211328"/>
    <d v="2025-05-02T00:00:00"/>
    <d v="2025-05-03T00:00:00"/>
    <x v="0"/>
    <n v="0"/>
    <n v="1"/>
    <s v="Cumple"/>
    <n v="24093"/>
    <m/>
    <m/>
  </r>
  <r>
    <d v="2025-04-30T00:00:00"/>
    <x v="3"/>
    <n v="2522"/>
    <x v="4"/>
    <s v="Carlos Contreras"/>
    <s v="TECUBDPA"/>
    <x v="1"/>
    <n v="1"/>
    <x v="0"/>
    <x v="1"/>
    <x v="1"/>
    <x v="0"/>
    <s v="Velotax"/>
    <s v="Envio terminal a terminal"/>
    <d v="2025-04-30T00:00:00"/>
    <d v="2025-05-01T00:00:00"/>
    <x v="0"/>
    <n v="0"/>
    <n v="0"/>
    <s v="Cumple"/>
    <n v="28241"/>
    <m/>
    <m/>
  </r>
  <r>
    <d v="2025-05-03T00:00:00"/>
    <x v="4"/>
    <n v="2542"/>
    <x v="0"/>
    <s v="Andrés Palma Meriño / Abbott Laboratories de Colombia S.A.S"/>
    <s v="TECU3FNPRO"/>
    <x v="12"/>
    <n v="1"/>
    <x v="1"/>
    <x v="1"/>
    <x v="1"/>
    <x v="0"/>
    <s v="Coordinadora"/>
    <s v="3285771- 84151213469"/>
    <d v="2025-05-05T00:00:00"/>
    <d v="2025-05-06T00:00:00"/>
    <x v="0"/>
    <n v="1"/>
    <n v="2"/>
    <s v="Cumple"/>
    <n v="42921"/>
    <m/>
    <m/>
  </r>
  <r>
    <d v="2025-05-05T00:00:00"/>
    <x v="4"/>
    <n v="2543"/>
    <x v="0"/>
    <s v="Maria Laura Rojas"/>
    <s v="TECU3FNPRO"/>
    <x v="12"/>
    <n v="1"/>
    <x v="1"/>
    <x v="1"/>
    <x v="1"/>
    <x v="0"/>
    <s v="Coordinadora"/>
    <s v="3289518- 84151215417"/>
    <d v="2025-05-06T00:00:00"/>
    <d v="2025-05-07T00:00:00"/>
    <x v="0"/>
    <n v="1"/>
    <n v="2"/>
    <s v="Cumple"/>
    <n v="42921"/>
    <m/>
    <m/>
  </r>
  <r>
    <d v="2025-05-05T00:00:00"/>
    <x v="4"/>
    <n v="2543"/>
    <x v="0"/>
    <s v="Maria Laura Rojas"/>
    <s v="TECUTFE4C"/>
    <x v="14"/>
    <n v="1"/>
    <x v="2"/>
    <x v="1"/>
    <x v="1"/>
    <x v="0"/>
    <s v="Coordinadora"/>
    <s v="3289520- 84151215419"/>
    <d v="2025-05-06T00:00:00"/>
    <d v="2025-05-08T00:00:00"/>
    <x v="0"/>
    <n v="1"/>
    <n v="3"/>
    <s v="Cumple"/>
    <n v="24093"/>
    <m/>
    <m/>
  </r>
  <r>
    <d v="2025-05-05T00:00:00"/>
    <x v="4"/>
    <n v="2543"/>
    <x v="0"/>
    <s v="Maria Laura Rojas"/>
    <s v="TECUBDPM"/>
    <x v="0"/>
    <n v="1"/>
    <x v="0"/>
    <x v="1"/>
    <x v="1"/>
    <x v="0"/>
    <s v="Coordinadora"/>
    <s v="3289506- 84151215414"/>
    <d v="2025-05-06T00:00:00"/>
    <d v="2025-05-07T00:00:00"/>
    <x v="0"/>
    <n v="1"/>
    <n v="2"/>
    <s v="Cumple"/>
    <n v="16617"/>
    <m/>
    <m/>
  </r>
  <r>
    <d v="2025-05-05T00:00:00"/>
    <x v="4"/>
    <n v="2543"/>
    <x v="0"/>
    <s v="Maria Laura Rojas"/>
    <s v="TECUAFE"/>
    <x v="43"/>
    <n v="1"/>
    <x v="5"/>
    <x v="1"/>
    <x v="1"/>
    <x v="0"/>
    <s v="Envia"/>
    <s v="3289257- 954101209673"/>
    <d v="2025-05-06T00:00:00"/>
    <d v="2025-05-08T00:00:00"/>
    <x v="0"/>
    <n v="1"/>
    <n v="3"/>
    <s v="Cumple"/>
    <n v="54929"/>
    <m/>
    <m/>
  </r>
  <r>
    <d v="2025-05-05T00:00:00"/>
    <x v="4"/>
    <n v="2543"/>
    <x v="0"/>
    <s v="Maria Laura Rojas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5-06T00:00:00"/>
    <x v="4"/>
    <n v="2544"/>
    <x v="0"/>
    <s v="EDDY BENEDICTA PEÑA MORENO"/>
    <s v="TECU3FBRO"/>
    <x v="34"/>
    <n v="1"/>
    <x v="1"/>
    <x v="0"/>
    <x v="8"/>
    <x v="0"/>
    <s v="Coordinadora"/>
    <s v="3289550- 84151215430"/>
    <d v="2025-05-06T00:00:00"/>
    <d v="2025-05-07T00:00:00"/>
    <x v="0"/>
    <n v="0"/>
    <n v="1"/>
    <s v="Cumple"/>
    <n v="42921"/>
    <m/>
    <m/>
  </r>
  <r>
    <d v="2025-05-06T00:00:00"/>
    <x v="4"/>
    <n v="2544"/>
    <x v="0"/>
    <s v="EDDY BENEDICTA PEÑA MORENO"/>
    <s v="TECUTFE8C"/>
    <x v="21"/>
    <n v="1"/>
    <x v="2"/>
    <x v="0"/>
    <x v="8"/>
    <x v="0"/>
    <s v="Coordinadora"/>
    <s v="3289551- 84151215431"/>
    <d v="2025-05-06T00:00:00"/>
    <d v="2025-05-07T00:00:00"/>
    <x v="0"/>
    <n v="0"/>
    <n v="1"/>
    <s v="Cumple"/>
    <n v="26749"/>
    <m/>
    <m/>
  </r>
  <r>
    <d v="2025-05-06T00:00:00"/>
    <x v="4"/>
    <n v="2544"/>
    <x v="0"/>
    <s v="EDDY BENEDICTA PEÑA MORENO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5-06T00:00:00"/>
    <x v="4"/>
    <n v="2545"/>
    <x v="0"/>
    <s v="Santiago Espitia Giron"/>
    <s v="TECU3FNPRO"/>
    <x v="12"/>
    <n v="1"/>
    <x v="1"/>
    <x v="1"/>
    <x v="1"/>
    <x v="0"/>
    <s v="Coordinadora"/>
    <s v="3289628- 84151215449"/>
    <d v="2025-05-06T00:00:00"/>
    <d v="2025-05-07T00:00:00"/>
    <x v="0"/>
    <n v="0"/>
    <n v="1"/>
    <s v="Cumple"/>
    <n v="42921"/>
    <m/>
    <m/>
  </r>
  <r>
    <d v="2025-05-06T00:00:00"/>
    <x v="4"/>
    <n v="2545"/>
    <x v="0"/>
    <s v="Santiago Espitia Giron"/>
    <s v="TECUTCO4C"/>
    <x v="6"/>
    <n v="1"/>
    <x v="2"/>
    <x v="1"/>
    <x v="1"/>
    <x v="0"/>
    <s v="Coordinadora"/>
    <s v="3289629- 84151215450"/>
    <d v="2025-05-06T00:00:00"/>
    <d v="2025-05-07T00:00:00"/>
    <x v="0"/>
    <n v="0"/>
    <n v="1"/>
    <s v="Cumple"/>
    <n v="26749"/>
    <m/>
    <m/>
  </r>
  <r>
    <d v="2025-05-06T00:00:00"/>
    <x v="4"/>
    <n v="2545"/>
    <x v="0"/>
    <s v="Santiago Espitia Giron"/>
    <s v="TECUROD"/>
    <x v="31"/>
    <n v="1"/>
    <x v="7"/>
    <x v="1"/>
    <x v="1"/>
    <x v="0"/>
    <s v="Coordinadora"/>
    <s v="3289643- 84151215458"/>
    <d v="2025-05-06T00:00:00"/>
    <d v="2025-05-07T00:00:00"/>
    <x v="0"/>
    <n v="0"/>
    <n v="1"/>
    <s v="Cumple"/>
    <n v="23875"/>
    <m/>
    <m/>
  </r>
  <r>
    <d v="2025-05-06T00:00:00"/>
    <x v="4"/>
    <n v="2546"/>
    <x v="0"/>
    <s v="Jesús David Traslaviña Fuentes"/>
    <s v="TECU3FBRO"/>
    <x v="34"/>
    <n v="1"/>
    <x v="1"/>
    <x v="1"/>
    <x v="1"/>
    <x v="0"/>
    <s v="Coordinadora"/>
    <s v="3289726 -84151215497"/>
    <d v="2025-05-06T00:00:00"/>
    <d v="2025-05-07T00:00:00"/>
    <x v="0"/>
    <n v="0"/>
    <n v="1"/>
    <s v="Cumple"/>
    <n v="42921"/>
    <m/>
    <m/>
  </r>
  <r>
    <d v="2025-05-06T00:00:00"/>
    <x v="4"/>
    <n v="2546"/>
    <x v="0"/>
    <s v="Jesús David Traslaviña Fuentes"/>
    <s v="TECUTB2C"/>
    <x v="68"/>
    <n v="1"/>
    <x v="2"/>
    <x v="1"/>
    <x v="1"/>
    <x v="0"/>
    <s v="Coordinadora"/>
    <s v="3289727 -84151215498"/>
    <d v="2025-05-06T00:00:00"/>
    <d v="2025-05-07T00:00:00"/>
    <x v="0"/>
    <n v="0"/>
    <n v="1"/>
    <s v="Cumple"/>
    <n v="28741"/>
    <m/>
    <m/>
  </r>
  <r>
    <d v="2025-05-06T00:00:00"/>
    <x v="4"/>
    <n v="2547"/>
    <x v="0"/>
    <s v="Cristhian Camilo Castro Melo"/>
    <s v="TECULFN2"/>
    <x v="7"/>
    <n v="1"/>
    <x v="1"/>
    <x v="1"/>
    <x v="38"/>
    <x v="0"/>
    <s v="Coordinadora"/>
    <s v="3293085 -84151216809"/>
    <d v="2025-05-07T00:00:00"/>
    <d v="2025-05-10T00:00:00"/>
    <x v="0"/>
    <n v="1"/>
    <n v="4"/>
    <s v="Cumple"/>
    <n v="62530"/>
    <m/>
    <m/>
  </r>
  <r>
    <d v="2025-05-06T00:00:00"/>
    <x v="4"/>
    <n v="2547"/>
    <x v="0"/>
    <s v="Cristhian Camilo Castro Melo"/>
    <s v="TECUTLCCS"/>
    <x v="45"/>
    <n v="1"/>
    <x v="2"/>
    <x v="1"/>
    <x v="38"/>
    <x v="0"/>
    <s v="Coordinadora"/>
    <s v="3293087 -84151216810"/>
    <d v="2025-05-07T00:00:00"/>
    <d v="2025-05-09T00:00:00"/>
    <x v="0"/>
    <n v="1"/>
    <n v="3"/>
    <s v="Cumple"/>
    <n v="26749"/>
    <m/>
    <m/>
  </r>
  <r>
    <d v="2025-05-07T00:00:00"/>
    <x v="4"/>
    <n v="2548"/>
    <x v="0"/>
    <s v="Pedro Vallejo Seade"/>
    <s v="TECU2FNG"/>
    <x v="5"/>
    <n v="1"/>
    <x v="1"/>
    <x v="1"/>
    <x v="1"/>
    <x v="0"/>
    <s v="Coordinadora"/>
    <s v="3293346 -84151216936"/>
    <d v="2025-05-07T00:00:00"/>
    <d v="2025-05-08T00:00:00"/>
    <x v="0"/>
    <n v="0"/>
    <n v="1"/>
    <s v="Cumple"/>
    <n v="41593"/>
    <m/>
    <m/>
  </r>
  <r>
    <d v="2025-05-07T00:00:00"/>
    <x v="4"/>
    <n v="2548"/>
    <x v="0"/>
    <s v="Pedro Vallejo Seade"/>
    <s v="TECUTCO2C"/>
    <x v="37"/>
    <n v="1"/>
    <x v="2"/>
    <x v="1"/>
    <x v="1"/>
    <x v="0"/>
    <s v="Coordinadora"/>
    <s v="3293348 -84151216938"/>
    <d v="2025-05-07T00:00:00"/>
    <d v="2025-05-10T00:00:00"/>
    <x v="0"/>
    <n v="0"/>
    <n v="3"/>
    <s v="Cumple"/>
    <n v="24093"/>
    <m/>
    <m/>
  </r>
  <r>
    <d v="2025-05-07T00:00:00"/>
    <x v="4"/>
    <n v="2548"/>
    <x v="0"/>
    <s v="Pedro Vallejo Seade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5-07T00:00:00"/>
    <x v="4"/>
    <n v="2549"/>
    <x v="0"/>
    <s v="Juan Angulo"/>
    <s v="TECUDSN"/>
    <x v="13"/>
    <n v="1"/>
    <x v="4"/>
    <x v="2"/>
    <x v="2"/>
    <x v="0"/>
    <s v="Coordinadora"/>
    <s v="3293276 -84151216896"/>
    <d v="2025-05-07T00:00:00"/>
    <d v="2025-05-09T00:00:00"/>
    <x v="0"/>
    <n v="0"/>
    <n v="2"/>
    <s v="Cumple"/>
    <n v="40942"/>
    <m/>
    <m/>
  </r>
  <r>
    <d v="2025-05-07T00:00:00"/>
    <x v="4"/>
    <n v="2549"/>
    <x v="0"/>
    <s v="Juan Angulo"/>
    <s v="TECUDSG"/>
    <x v="64"/>
    <n v="1"/>
    <x v="4"/>
    <x v="2"/>
    <x v="2"/>
    <x v="0"/>
    <s v="Coordinadora"/>
    <s v="3293285 -84151216902"/>
    <d v="2025-05-07T00:00:00"/>
    <d v="2025-05-09T00:00:00"/>
    <x v="0"/>
    <n v="0"/>
    <n v="2"/>
    <s v="Cumple"/>
    <n v="40942"/>
    <m/>
    <m/>
  </r>
  <r>
    <d v="2025-05-07T00:00:00"/>
    <x v="4"/>
    <n v="2549"/>
    <x v="0"/>
    <s v="Juan Angulo"/>
    <s v="TECUCT"/>
    <x v="4"/>
    <n v="1"/>
    <x v="0"/>
    <x v="2"/>
    <x v="2"/>
    <x v="0"/>
    <s v="Coordinadora"/>
    <s v="3293294 -84151216907"/>
    <d v="2025-05-07T00:00:00"/>
    <d v="2025-05-09T00:00:00"/>
    <x v="0"/>
    <n v="0"/>
    <n v="2"/>
    <s v="Cumple"/>
    <n v="24885"/>
    <m/>
    <m/>
  </r>
  <r>
    <d v="2025-05-07T00:00:00"/>
    <x v="4"/>
    <n v="2550"/>
    <x v="0"/>
    <s v="Benjamin Norman Baron"/>
    <s v="TECU3FNPRO"/>
    <x v="12"/>
    <n v="1"/>
    <x v="1"/>
    <x v="0"/>
    <x v="39"/>
    <x v="0"/>
    <s v="Coordinadora"/>
    <s v="3299173 -84151219490"/>
    <d v="2025-05-09T00:00:00"/>
    <d v="2025-05-10T00:00:00"/>
    <x v="0"/>
    <n v="2"/>
    <n v="3"/>
    <s v="Cumple"/>
    <n v="42921"/>
    <m/>
    <m/>
  </r>
  <r>
    <d v="2025-05-07T00:00:00"/>
    <x v="4"/>
    <n v="2550"/>
    <x v="0"/>
    <s v="Benjamin Norman Baron"/>
    <s v="TECU-BMUSRN"/>
    <x v="69"/>
    <n v="1"/>
    <x v="2"/>
    <x v="0"/>
    <x v="39"/>
    <x v="0"/>
    <s v="Coordinadora"/>
    <s v="3299174 -84151219491"/>
    <d v="2025-05-09T00:00:00"/>
    <d v="2025-05-10T00:00:00"/>
    <x v="0"/>
    <n v="2"/>
    <n v="3"/>
    <s v="Cumple"/>
    <n v="26749"/>
    <m/>
    <m/>
  </r>
  <r>
    <d v="2025-05-08T00:00:00"/>
    <x v="4"/>
    <n v="2551"/>
    <x v="0"/>
    <s v="EDDY BENEDICTA PEÑA MORENO"/>
    <s v="TECUCT"/>
    <x v="4"/>
    <n v="1"/>
    <x v="0"/>
    <x v="0"/>
    <x v="8"/>
    <x v="0"/>
    <s v="Coordinadora"/>
    <s v="3299184 -84151219494"/>
    <d v="2025-05-09T00:00:00"/>
    <d v="2025-05-10T00:00:00"/>
    <x v="0"/>
    <n v="1"/>
    <n v="2"/>
    <s v="Cumple"/>
    <n v="27929"/>
    <m/>
    <m/>
  </r>
  <r>
    <d v="2025-05-09T00:00:00"/>
    <x v="4"/>
    <n v="2552"/>
    <x v="0"/>
    <s v="Christian Rodríguez Caicedo"/>
    <s v="TECU3FNPRO"/>
    <x v="12"/>
    <n v="1"/>
    <x v="1"/>
    <x v="1"/>
    <x v="1"/>
    <x v="0"/>
    <s v="Coordinadora"/>
    <s v="3299911 -84151219835"/>
    <d v="2025-05-09T00:00:00"/>
    <d v="2025-05-10T00:00:00"/>
    <x v="0"/>
    <n v="0"/>
    <n v="1"/>
    <s v="Cumple"/>
    <n v="42921"/>
    <m/>
    <m/>
  </r>
  <r>
    <d v="2025-05-09T00:00:00"/>
    <x v="4"/>
    <n v="2552"/>
    <x v="0"/>
    <s v="Christian Rodríguez Caicedo"/>
    <s v="TECUTFE6C"/>
    <x v="28"/>
    <n v="1"/>
    <x v="2"/>
    <x v="1"/>
    <x v="1"/>
    <x v="0"/>
    <s v="Coordinadora"/>
    <s v="3299912 -84151219837"/>
    <d v="2025-05-09T00:00:00"/>
    <d v="2025-05-12T00:00:00"/>
    <x v="0"/>
    <n v="0"/>
    <n v="2"/>
    <s v="Cumple"/>
    <n v="24093"/>
    <m/>
    <m/>
  </r>
  <r>
    <d v="2025-05-09T00:00:00"/>
    <x v="4"/>
    <n v="2552"/>
    <x v="0"/>
    <s v="Christian Rodríguez Caicedo"/>
    <s v="TECUAFE"/>
    <x v="43"/>
    <n v="1"/>
    <x v="5"/>
    <x v="1"/>
    <x v="1"/>
    <x v="0"/>
    <s v="Envia"/>
    <s v="3312736 -954101215391"/>
    <d v="2025-05-14T00:00:00"/>
    <d v="2025-05-15T00:00:00"/>
    <x v="0"/>
    <n v="4"/>
    <n v="5"/>
    <s v="No cumple"/>
    <n v="54929"/>
    <m/>
    <m/>
  </r>
  <r>
    <d v="2025-05-09T00:00:00"/>
    <x v="4"/>
    <n v="2552"/>
    <x v="0"/>
    <s v="Christian Rodríguez Caicedo"/>
    <s v="TECUCT"/>
    <x v="4"/>
    <n v="1"/>
    <x v="0"/>
    <x v="1"/>
    <x v="1"/>
    <x v="0"/>
    <s v="Coordinadora"/>
    <s v="3299916 -84151219838"/>
    <d v="2025-05-09T00:00:00"/>
    <d v="2025-05-10T00:00:00"/>
    <x v="0"/>
    <n v="0"/>
    <n v="1"/>
    <s v="Cumple"/>
    <n v="24885"/>
    <m/>
    <m/>
  </r>
  <r>
    <d v="2025-05-10T00:00:00"/>
    <x v="4"/>
    <n v="2553"/>
    <x v="0"/>
    <s v="Sergio Vladimir Garcia Galvis"/>
    <s v="TECU3FNPRO"/>
    <x v="12"/>
    <n v="1"/>
    <x v="1"/>
    <x v="1"/>
    <x v="1"/>
    <x v="0"/>
    <s v="Coordinadora"/>
    <s v="3304708 -84151222141"/>
    <d v="2025-05-12T00:00:00"/>
    <d v="2025-05-13T00:00:00"/>
    <x v="0"/>
    <n v="1"/>
    <n v="2"/>
    <s v="Cumple"/>
    <n v="42921"/>
    <m/>
    <m/>
  </r>
  <r>
    <d v="2025-05-10T00:00:00"/>
    <x v="4"/>
    <n v="2553"/>
    <x v="0"/>
    <s v="Sergio Vladimir Garcia Galvis"/>
    <s v="TECUTCO7C"/>
    <x v="70"/>
    <n v="1"/>
    <x v="2"/>
    <x v="1"/>
    <x v="1"/>
    <x v="0"/>
    <s v="Coordinadora"/>
    <s v="3304710 -84151222143"/>
    <d v="2025-05-12T00:00:00"/>
    <d v="2025-05-13T00:00:00"/>
    <x v="0"/>
    <n v="1"/>
    <n v="2"/>
    <s v="Cumple"/>
    <n v="24093"/>
    <m/>
    <m/>
  </r>
  <r>
    <d v="2025-05-10T00:00:00"/>
    <x v="4"/>
    <n v="2554"/>
    <x v="0"/>
    <s v="Jessica Riano"/>
    <s v="TECU2FNG"/>
    <x v="5"/>
    <n v="1"/>
    <x v="1"/>
    <x v="1"/>
    <x v="1"/>
    <x v="0"/>
    <s v="Coordinadora"/>
    <s v="3304674 -84151222130"/>
    <d v="2025-05-12T00:00:00"/>
    <d v="2025-05-13T00:00:00"/>
    <x v="0"/>
    <n v="1"/>
    <n v="2"/>
    <s v="Cumple"/>
    <n v="41593"/>
    <m/>
    <m/>
  </r>
  <r>
    <d v="2025-05-10T00:00:00"/>
    <x v="4"/>
    <n v="2554"/>
    <x v="0"/>
    <s v="Jessica Riano"/>
    <s v="TECUTCO2C"/>
    <x v="37"/>
    <n v="1"/>
    <x v="2"/>
    <x v="1"/>
    <x v="1"/>
    <x v="0"/>
    <s v="Coordinadora"/>
    <s v="3304677 -84151222133"/>
    <d v="2025-05-12T00:00:00"/>
    <d v="2025-05-14T00:00:00"/>
    <x v="0"/>
    <n v="1"/>
    <n v="3"/>
    <s v="Cumple"/>
    <n v="24093"/>
    <m/>
    <m/>
  </r>
  <r>
    <d v="2025-05-11T00:00:00"/>
    <x v="4"/>
    <n v="2555"/>
    <x v="0"/>
    <s v="Anwar Chehade"/>
    <s v="TECU2FBGO"/>
    <x v="2"/>
    <n v="1"/>
    <x v="1"/>
    <x v="1"/>
    <x v="1"/>
    <x v="0"/>
    <s v="Coordinadora"/>
    <s v="3305441 -84151222584"/>
    <d v="2025-05-12T00:00:00"/>
    <d v="2025-05-13T00:00:00"/>
    <x v="0"/>
    <n v="0"/>
    <n v="1"/>
    <s v="Cumple"/>
    <n v="41593"/>
    <m/>
    <m/>
  </r>
  <r>
    <d v="2025-05-11T00:00:00"/>
    <x v="4"/>
    <n v="2555"/>
    <x v="0"/>
    <s v="Anwar Chehade"/>
    <s v="TECUTB2C"/>
    <x v="68"/>
    <n v="1"/>
    <x v="2"/>
    <x v="1"/>
    <x v="1"/>
    <x v="0"/>
    <s v="Coordinadora"/>
    <s v="3305443 -84151222586"/>
    <d v="2025-05-12T00:00:00"/>
    <d v="2025-05-14T00:00:00"/>
    <x v="0"/>
    <n v="0"/>
    <n v="2"/>
    <s v="Cumple"/>
    <n v="24093"/>
    <m/>
    <m/>
  </r>
  <r>
    <d v="2025-05-11T00:00:00"/>
    <x v="4"/>
    <n v="2555"/>
    <x v="0"/>
    <s v="Anwar Chehade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5-12T00:00:00"/>
    <x v="4"/>
    <n v="2556"/>
    <x v="0"/>
    <s v="Felipe Gomez Castano"/>
    <s v="TECU3FBRO"/>
    <x v="34"/>
    <n v="1"/>
    <x v="1"/>
    <x v="0"/>
    <x v="6"/>
    <x v="0"/>
    <s v="Coordinadora"/>
    <s v="3306649 -84151223326"/>
    <d v="2025-05-12T00:00:00"/>
    <d v="2025-05-13T00:00:00"/>
    <x v="0"/>
    <n v="0"/>
    <n v="1"/>
    <s v="Cumple"/>
    <n v="47921"/>
    <m/>
    <m/>
  </r>
  <r>
    <d v="2025-05-12T00:00:00"/>
    <x v="4"/>
    <n v="2556"/>
    <x v="0"/>
    <s v="Felipe Gomez Castano"/>
    <s v="TECUTFE3C"/>
    <x v="39"/>
    <n v="1"/>
    <x v="2"/>
    <x v="0"/>
    <x v="6"/>
    <x v="0"/>
    <s v="Coordinadora"/>
    <s v="3306728 -84151223369"/>
    <d v="2025-05-12T00:00:00"/>
    <d v="2025-05-13T00:00:00"/>
    <x v="0"/>
    <n v="0"/>
    <n v="1"/>
    <s v="Cumple"/>
    <n v="27929"/>
    <m/>
    <m/>
  </r>
  <r>
    <d v="2025-05-12T00:00:00"/>
    <x v="4"/>
    <n v="2557"/>
    <x v="0"/>
    <s v="Jerson Mendoza"/>
    <s v="TECU3FBRO"/>
    <x v="34"/>
    <n v="1"/>
    <x v="1"/>
    <x v="0"/>
    <x v="8"/>
    <x v="0"/>
    <s v="Coordinadora"/>
    <s v="3305206 -84151222430"/>
    <d v="2025-05-12T00:00:00"/>
    <d v="2025-05-13T00:00:00"/>
    <x v="0"/>
    <n v="0"/>
    <n v="1"/>
    <s v="Cumple"/>
    <n v="42921"/>
    <m/>
    <m/>
  </r>
  <r>
    <d v="2025-05-12T00:00:00"/>
    <x v="4"/>
    <n v="2557"/>
    <x v="0"/>
    <s v="Jerson Mendoza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5-12T00:00:00"/>
    <x v="4"/>
    <n v="2558"/>
    <x v="0"/>
    <s v="Carlos Eduardo Cortes Gomez"/>
    <s v="TECU3FNCRO"/>
    <x v="55"/>
    <n v="1"/>
    <x v="1"/>
    <x v="1"/>
    <x v="1"/>
    <x v="0"/>
    <s v="Coordinadora"/>
    <s v="3312804 -84151226481"/>
    <d v="2025-05-14T00:00:00"/>
    <d v="2025-05-16T00:00:00"/>
    <x v="0"/>
    <n v="2"/>
    <n v="4"/>
    <s v="No cumple"/>
    <n v="42921"/>
    <m/>
    <m/>
  </r>
  <r>
    <d v="2025-05-12T00:00:00"/>
    <x v="4"/>
    <n v="2558"/>
    <x v="0"/>
    <s v="Carlos Eduardo Cortes Gomez"/>
    <s v="TECUTCO5C"/>
    <x v="51"/>
    <n v="1"/>
    <x v="2"/>
    <x v="1"/>
    <x v="1"/>
    <x v="0"/>
    <s v="Coordinadora"/>
    <s v="3312805 -84151226482"/>
    <d v="2025-05-14T00:00:00"/>
    <d v="2025-05-16T00:00:00"/>
    <x v="0"/>
    <n v="2"/>
    <n v="4"/>
    <s v="No cumple"/>
    <n v="24093"/>
    <m/>
    <m/>
  </r>
  <r>
    <d v="2025-05-12T00:00:00"/>
    <x v="4"/>
    <n v="2558"/>
    <x v="0"/>
    <s v="Carlos Eduardo Cortes Gomez"/>
    <s v="TECUBLS"/>
    <x v="32"/>
    <n v="1"/>
    <x v="0"/>
    <x v="1"/>
    <x v="1"/>
    <x v="0"/>
    <s v="Coordinadora"/>
    <s v="3312815 -84151226486"/>
    <d v="2025-05-14T00:00:00"/>
    <d v="2025-05-15T00:00:00"/>
    <x v="0"/>
    <n v="2"/>
    <n v="3"/>
    <s v="Cumple"/>
    <n v="24885"/>
    <m/>
    <m/>
  </r>
  <r>
    <d v="2025-05-12T00:00:00"/>
    <x v="4"/>
    <n v="2558"/>
    <x v="0"/>
    <s v="Carlos Eduardo Cortes Gomez"/>
    <m/>
    <x v="10"/>
    <n v="1"/>
    <x v="3"/>
    <x v="1"/>
    <x v="1"/>
    <x v="1"/>
    <s v="NA"/>
    <s v="NA"/>
    <s v="NA"/>
    <s v="NA"/>
    <x v="0"/>
    <s v="PTE"/>
    <e v="#VALUE!"/>
    <e v="#VALUE!"/>
    <n v="0"/>
    <m/>
    <m/>
  </r>
  <r>
    <d v="2025-05-13T00:00:00"/>
    <x v="4"/>
    <n v="2559"/>
    <x v="0"/>
    <s v="LIONTECH S.A.S"/>
    <s v="TECU3FNCRO"/>
    <x v="55"/>
    <n v="1"/>
    <x v="1"/>
    <x v="1"/>
    <x v="1"/>
    <x v="0"/>
    <s v="Coordinadora"/>
    <s v="3314209 -84151227311"/>
    <d v="2025-05-14T00:00:00"/>
    <d v="2025-05-15T00:00:00"/>
    <x v="0"/>
    <n v="1"/>
    <n v="2"/>
    <s v="Cumple"/>
    <n v="42921"/>
    <m/>
    <m/>
  </r>
  <r>
    <d v="2025-05-13T00:00:00"/>
    <x v="4"/>
    <n v="2559"/>
    <x v="0"/>
    <s v="LIONTECH S.A.S"/>
    <s v="TECUTCO8C"/>
    <x v="19"/>
    <n v="1"/>
    <x v="2"/>
    <x v="1"/>
    <x v="1"/>
    <x v="0"/>
    <s v="Coordinadora"/>
    <s v="3314210 -84151227312"/>
    <d v="2025-05-14T00:00:00"/>
    <d v="2025-05-16T00:00:00"/>
    <x v="0"/>
    <n v="1"/>
    <n v="3"/>
    <s v="Cumple"/>
    <n v="26749"/>
    <m/>
    <m/>
  </r>
  <r>
    <d v="2025-05-13T00:00:00"/>
    <x v="4"/>
    <n v="2559"/>
    <x v="0"/>
    <s v="LIONTECH S.A.S"/>
    <s v="TECUCT"/>
    <x v="4"/>
    <n v="1"/>
    <x v="0"/>
    <x v="1"/>
    <x v="1"/>
    <x v="0"/>
    <s v="Coordinadora"/>
    <s v="3314227 -84151227322"/>
    <d v="2025-05-14T00:00:00"/>
    <d v="2025-05-15T00:00:00"/>
    <x v="0"/>
    <n v="1"/>
    <n v="2"/>
    <s v="Cumple"/>
    <n v="24885"/>
    <m/>
    <m/>
  </r>
  <r>
    <d v="2025-05-13T00:00:00"/>
    <x v="4"/>
    <n v="2560"/>
    <x v="0"/>
    <s v="Margarita Reyes &amp; HUSKY IMS COLOMBIA LTD."/>
    <s v="TECU3FNPRO"/>
    <x v="12"/>
    <n v="0"/>
    <x v="1"/>
    <x v="1"/>
    <x v="1"/>
    <x v="2"/>
    <s v="Coordinadora"/>
    <m/>
    <m/>
    <m/>
    <x v="0"/>
    <s v="PTE"/>
    <m/>
    <s v="Cumple"/>
    <m/>
    <m/>
    <m/>
  </r>
  <r>
    <d v="2025-05-13T00:00:00"/>
    <x v="4"/>
    <n v="2560"/>
    <x v="0"/>
    <s v="Margarita Reyes &amp; HUSKY IMS COLOMBIA LTD."/>
    <s v="TECUTRM8C"/>
    <x v="49"/>
    <n v="1"/>
    <x v="2"/>
    <x v="1"/>
    <x v="1"/>
    <x v="2"/>
    <s v="Coordinadora"/>
    <m/>
    <m/>
    <m/>
    <x v="0"/>
    <s v="PTE"/>
    <m/>
    <s v="Cumple"/>
    <m/>
    <m/>
    <m/>
  </r>
  <r>
    <d v="2025-05-13T00:00:00"/>
    <x v="4"/>
    <n v="2560"/>
    <x v="0"/>
    <s v="Margarita Reyes &amp; HUSKY IMS COLOMBIA LTD."/>
    <s v="TECUCT"/>
    <x v="4"/>
    <n v="1"/>
    <x v="0"/>
    <x v="1"/>
    <x v="1"/>
    <x v="2"/>
    <s v="Coordinadora"/>
    <m/>
    <m/>
    <m/>
    <x v="0"/>
    <s v="PTE"/>
    <m/>
    <s v="Cumple"/>
    <m/>
    <m/>
    <m/>
  </r>
  <r>
    <d v="2025-05-13T00:00:00"/>
    <x v="4"/>
    <n v="2560"/>
    <x v="0"/>
    <s v="Margarita Reyes &amp; HUSKY IMS COLOMBIA LTD."/>
    <s v="TECUROD"/>
    <x v="31"/>
    <n v="1"/>
    <x v="7"/>
    <x v="1"/>
    <x v="1"/>
    <x v="2"/>
    <s v="Coordinadora"/>
    <m/>
    <m/>
    <m/>
    <x v="0"/>
    <s v="PTE"/>
    <m/>
    <s v="Cumple"/>
    <m/>
    <m/>
    <m/>
  </r>
  <r>
    <d v="2025-05-13T00:00:00"/>
    <x v="4"/>
    <n v="2560"/>
    <x v="0"/>
    <s v="Margarita Reyes &amp; HUSKY IMS COLOMBIA LTD."/>
    <s v="TECUBDPA"/>
    <x v="1"/>
    <n v="1"/>
    <x v="0"/>
    <x v="1"/>
    <x v="1"/>
    <x v="2"/>
    <s v="Coordinadora"/>
    <m/>
    <m/>
    <m/>
    <x v="0"/>
    <s v="PTE"/>
    <m/>
    <s v="Cumple"/>
    <m/>
    <m/>
    <m/>
  </r>
  <r>
    <d v="2025-05-13T00:00:00"/>
    <x v="4"/>
    <n v="2560"/>
    <x v="0"/>
    <s v="Margarita Reyes &amp; HUSKY IMS COLOMBIA LTD."/>
    <s v="TECUBLS"/>
    <x v="32"/>
    <n v="1"/>
    <x v="0"/>
    <x v="1"/>
    <x v="1"/>
    <x v="2"/>
    <s v="Coordinadora"/>
    <m/>
    <m/>
    <m/>
    <x v="0"/>
    <s v="PTE"/>
    <m/>
    <s v="Cumple"/>
    <m/>
    <m/>
    <m/>
  </r>
  <r>
    <d v="2025-05-13T00:00:00"/>
    <x v="4"/>
    <n v="2560"/>
    <x v="0"/>
    <s v="Margarita Reyes &amp; HUSKY IMS COLOMBIA LTD."/>
    <s v="TECUAN"/>
    <x v="26"/>
    <n v="1"/>
    <x v="5"/>
    <x v="1"/>
    <x v="1"/>
    <x v="2"/>
    <s v="Envia"/>
    <m/>
    <m/>
    <m/>
    <x v="0"/>
    <s v="PTE"/>
    <m/>
    <s v="Cumple"/>
    <m/>
    <m/>
    <m/>
  </r>
  <r>
    <d v="2025-05-14T00:00:00"/>
    <x v="4"/>
    <n v="2561"/>
    <x v="0"/>
    <s v="Sergio Vladimir Garcia Galvis"/>
    <s v="TECUDSN"/>
    <x v="13"/>
    <n v="1"/>
    <x v="4"/>
    <x v="1"/>
    <x v="1"/>
    <x v="0"/>
    <s v="Coordinadora"/>
    <s v="3314531 -84151227501"/>
    <d v="2025-05-14T00:00:00"/>
    <d v="2025-05-15T00:00:00"/>
    <x v="0"/>
    <n v="0"/>
    <n v="1"/>
    <s v="Cumple"/>
    <n v="26609"/>
    <m/>
    <m/>
  </r>
  <r>
    <d v="2025-05-14T00:00:00"/>
    <x v="4"/>
    <n v="2562"/>
    <x v="0"/>
    <s v="Luis Michel Trujillo"/>
    <s v="TECU3FNPRO"/>
    <x v="12"/>
    <n v="1"/>
    <x v="1"/>
    <x v="13"/>
    <x v="28"/>
    <x v="0"/>
    <s v="Coordinadora"/>
    <s v="3316912 -84151228610"/>
    <d v="2025-05-15T00:00:00"/>
    <d v="2025-05-26T00:00:00"/>
    <x v="0"/>
    <n v="1"/>
    <n v="10"/>
    <s v="No cumple"/>
    <n v="34953"/>
    <m/>
    <m/>
  </r>
  <r>
    <d v="2025-05-14T00:00:00"/>
    <x v="4"/>
    <n v="2562"/>
    <x v="0"/>
    <s v="Luis Michel Trujillo"/>
    <s v="TECUTFE5C"/>
    <x v="29"/>
    <n v="1"/>
    <x v="2"/>
    <x v="13"/>
    <x v="28"/>
    <x v="0"/>
    <s v="Coordinadora"/>
    <s v="3316913 -84151228611"/>
    <d v="2025-05-15T00:00:00"/>
    <d v="2025-05-27T00:00:00"/>
    <x v="0"/>
    <n v="1"/>
    <n v="11"/>
    <s v="No cumple"/>
    <n v="15194"/>
    <m/>
    <m/>
  </r>
  <r>
    <d v="2025-05-15T00:00:00"/>
    <x v="4"/>
    <n v="2563"/>
    <x v="0"/>
    <s v="Diego Bellon"/>
    <s v="TECUBDPA"/>
    <x v="1"/>
    <n v="1"/>
    <x v="0"/>
    <x v="1"/>
    <x v="21"/>
    <x v="0"/>
    <s v="Coordinadora"/>
    <s v="3318734 -84151229697"/>
    <d v="2025-05-15T00:00:00"/>
    <d v="2025-05-17T00:00:00"/>
    <x v="0"/>
    <n v="0"/>
    <n v="2"/>
    <s v="Cumple"/>
    <n v="16617"/>
    <m/>
    <m/>
  </r>
  <r>
    <d v="2025-05-15T00:00:00"/>
    <x v="4"/>
    <n v="2563"/>
    <x v="0"/>
    <s v="Diego Bellon"/>
    <s v="TECURFE"/>
    <x v="71"/>
    <n v="1"/>
    <x v="6"/>
    <x v="1"/>
    <x v="21"/>
    <x v="0"/>
    <s v="Coordinadora"/>
    <s v="3318738 -84151229700"/>
    <d v="2025-05-15T00:00:00"/>
    <d v="2025-05-17T00:00:00"/>
    <x v="0"/>
    <n v="0"/>
    <n v="2"/>
    <s v="Cumple"/>
    <n v="23429"/>
    <m/>
    <m/>
  </r>
  <r>
    <d v="2025-05-18T00:00:00"/>
    <x v="4"/>
    <n v="2564"/>
    <x v="0"/>
    <s v="Angelica Obregon"/>
    <s v="TECU3FBRO"/>
    <x v="34"/>
    <n v="1"/>
    <x v="1"/>
    <x v="6"/>
    <x v="17"/>
    <x v="0"/>
    <s v="Coordinadora"/>
    <s v="3329190 -84151234549"/>
    <d v="2025-05-19T00:00:00"/>
    <d v="2025-05-20T00:00:00"/>
    <x v="0"/>
    <n v="0"/>
    <n v="1"/>
    <s v="Cumple"/>
    <n v="42921"/>
    <m/>
    <m/>
  </r>
  <r>
    <d v="2025-05-18T00:00:00"/>
    <x v="4"/>
    <n v="2564"/>
    <x v="0"/>
    <s v="Angelica Obregon"/>
    <s v="TECUTB6C"/>
    <x v="72"/>
    <n v="1"/>
    <x v="2"/>
    <x v="6"/>
    <x v="17"/>
    <x v="0"/>
    <s v="Coordinadora"/>
    <s v="3329191 -84151234550"/>
    <d v="2025-05-19T00:00:00"/>
    <d v="2025-05-20T00:00:00"/>
    <x v="0"/>
    <n v="0"/>
    <n v="1"/>
    <s v="Cumple"/>
    <n v="24093"/>
    <m/>
    <m/>
  </r>
  <r>
    <d v="2025-05-19T00:00:00"/>
    <x v="4"/>
    <n v="2565"/>
    <x v="0"/>
    <s v="Jason Cubides"/>
    <s v="TECU3FNCRO"/>
    <x v="55"/>
    <n v="1"/>
    <x v="1"/>
    <x v="1"/>
    <x v="1"/>
    <x v="0"/>
    <s v="Coordinadora"/>
    <s v="3329210 -84151234561"/>
    <d v="2025-05-19T00:00:00"/>
    <d v="2025-05-20T00:00:00"/>
    <x v="0"/>
    <n v="0"/>
    <n v="1"/>
    <s v="Cumple"/>
    <n v="42921"/>
    <m/>
    <m/>
  </r>
  <r>
    <d v="2025-05-19T00:00:00"/>
    <x v="4"/>
    <n v="2565"/>
    <x v="0"/>
    <s v="Jason Cubides"/>
    <s v="TECUTRN6C"/>
    <x v="20"/>
    <n v="1"/>
    <x v="2"/>
    <x v="1"/>
    <x v="1"/>
    <x v="0"/>
    <s v="Coordinadora"/>
    <s v="3329211 -84151234562"/>
    <d v="2025-05-19T00:00:00"/>
    <d v="2025-05-21T00:00:00"/>
    <x v="0"/>
    <n v="0"/>
    <n v="2"/>
    <s v="Cumple"/>
    <n v="24093"/>
    <m/>
    <m/>
  </r>
  <r>
    <d v="2025-05-21T00:00:00"/>
    <x v="4"/>
    <n v="2566"/>
    <x v="0"/>
    <s v="Juan Sebastian Quijano Rodriguez"/>
    <s v="TECU3FNCRO"/>
    <x v="55"/>
    <n v="1"/>
    <x v="1"/>
    <x v="1"/>
    <x v="1"/>
    <x v="0"/>
    <s v="Coordinadora"/>
    <s v="3336854 -84151238405"/>
    <d v="2025-05-21T00:00:00"/>
    <d v="2025-05-22T00:00:00"/>
    <x v="0"/>
    <n v="0"/>
    <n v="1"/>
    <s v="Cumple"/>
    <n v="42921"/>
    <m/>
    <m/>
  </r>
  <r>
    <d v="2025-05-21T00:00:00"/>
    <x v="4"/>
    <n v="2566"/>
    <x v="0"/>
    <s v="Juan Sebastian Quijano Rodriguez"/>
    <s v="TECUTCO3C"/>
    <x v="23"/>
    <n v="1"/>
    <x v="2"/>
    <x v="1"/>
    <x v="1"/>
    <x v="0"/>
    <s v="Coordinadora"/>
    <s v="3336855 -84151238406"/>
    <d v="2025-05-21T00:00:00"/>
    <d v="2025-05-22T00:00:00"/>
    <x v="0"/>
    <n v="0"/>
    <n v="1"/>
    <s v="Cumple"/>
    <n v="28741"/>
    <m/>
    <m/>
  </r>
  <r>
    <d v="2025-05-21T00:00:00"/>
    <x v="4"/>
    <n v="2566"/>
    <x v="0"/>
    <s v="Juan Sebastian Quijano Rodriguez"/>
    <s v="TECUDSN"/>
    <x v="13"/>
    <n v="1"/>
    <x v="4"/>
    <x v="1"/>
    <x v="1"/>
    <x v="0"/>
    <s v="Coordinadora"/>
    <s v="3336868 -84151238412"/>
    <d v="2025-05-21T00:00:00"/>
    <d v="2025-05-22T00:00:00"/>
    <x v="0"/>
    <n v="0"/>
    <n v="1"/>
    <s v="Cumple"/>
    <n v="26609"/>
    <m/>
    <m/>
  </r>
  <r>
    <d v="2025-05-21T00:00:00"/>
    <x v="4"/>
    <n v="2567"/>
    <x v="0"/>
    <s v="Jason Cubides"/>
    <s v="TECUCT"/>
    <x v="4"/>
    <n v="1"/>
    <x v="0"/>
    <x v="1"/>
    <x v="1"/>
    <x v="0"/>
    <s v="Coordinadora"/>
    <s v="3339519 -84151239641"/>
    <d v="2025-05-22T00:00:00"/>
    <d v="2025-05-24T00:00:00"/>
    <x v="0"/>
    <n v="1"/>
    <n v="3"/>
    <s v="Cumple"/>
    <n v="24885"/>
    <m/>
    <m/>
  </r>
  <r>
    <d v="2025-03-05T00:00:00"/>
    <x v="2"/>
    <n v="2120"/>
    <x v="1"/>
    <s v="Ivo Leonardo Ochoa Galeano"/>
    <s v="TECUROD"/>
    <x v="31"/>
    <n v="1"/>
    <x v="7"/>
    <x v="1"/>
    <x v="1"/>
    <x v="2"/>
    <s v="Envia"/>
    <s v="3132159 - 954101166134"/>
    <m/>
    <m/>
    <x v="2"/>
    <m/>
    <m/>
    <m/>
    <m/>
    <m/>
    <m/>
  </r>
  <r>
    <d v="2025-05-23T00:00:00"/>
    <x v="4"/>
    <n v="2568"/>
    <x v="0"/>
    <s v="Alain Bismark"/>
    <s v="TECUROD6"/>
    <x v="25"/>
    <n v="2"/>
    <x v="7"/>
    <x v="0"/>
    <x v="5"/>
    <x v="0"/>
    <s v="Coordinadora"/>
    <s v="3342080 -84151240722"/>
    <d v="2025-05-23T00:00:00"/>
    <d v="2025-05-24T00:00:00"/>
    <x v="0"/>
    <n v="0"/>
    <n v="1"/>
    <s v="Cumple"/>
    <n v="23875"/>
    <m/>
    <m/>
  </r>
  <r>
    <d v="2025-05-23T00:00:00"/>
    <x v="4"/>
    <n v="2569"/>
    <x v="0"/>
    <s v="Maria José Pineda Murillo"/>
    <s v="TECU2FNG"/>
    <x v="5"/>
    <n v="1"/>
    <x v="1"/>
    <x v="5"/>
    <x v="9"/>
    <x v="0"/>
    <s v="Coordinadora"/>
    <s v="3342141 -84151240759"/>
    <d v="2025-05-23T00:00:00"/>
    <d v="2025-05-26T00:00:00"/>
    <x v="0"/>
    <n v="0"/>
    <n v="2"/>
    <s v="Cumple"/>
    <n v="56077"/>
    <m/>
    <m/>
  </r>
  <r>
    <d v="2025-05-23T00:00:00"/>
    <x v="4"/>
    <n v="2569"/>
    <x v="0"/>
    <s v="Maria José Pineda Murillo"/>
    <s v="TECUTRN2C"/>
    <x v="11"/>
    <n v="1"/>
    <x v="2"/>
    <x v="5"/>
    <x v="9"/>
    <x v="0"/>
    <s v="Coordinadora"/>
    <s v="3342142 -84151240760"/>
    <d v="2025-05-23T00:00:00"/>
    <d v="2025-05-26T00:00:00"/>
    <x v="0"/>
    <n v="0"/>
    <n v="2"/>
    <s v="Cumple"/>
    <n v="41897"/>
    <m/>
    <m/>
  </r>
  <r>
    <d v="2025-05-23T00:00:00"/>
    <x v="4"/>
    <n v="2570"/>
    <x v="0"/>
    <s v="HENRY STIVENS ADARME MUÑOZ"/>
    <s v="TECU3FBCRO"/>
    <x v="66"/>
    <n v="1"/>
    <x v="1"/>
    <x v="6"/>
    <x v="40"/>
    <x v="0"/>
    <s v="Coordinadora"/>
    <s v="3342475 -84151240946"/>
    <d v="2025-05-23T00:00:00"/>
    <d v="2025-05-24T00:00:00"/>
    <x v="0"/>
    <n v="0"/>
    <n v="1"/>
    <s v="Cumple"/>
    <n v="42921"/>
    <m/>
    <m/>
  </r>
  <r>
    <d v="2025-05-23T00:00:00"/>
    <x v="4"/>
    <n v="2570"/>
    <x v="0"/>
    <s v="HENRY STIVENS ADARME MUÑOZ"/>
    <s v="TECUTFE2C"/>
    <x v="3"/>
    <n v="1"/>
    <x v="2"/>
    <x v="6"/>
    <x v="40"/>
    <x v="0"/>
    <s v="Coordinadora"/>
    <s v="3342476 -84151240947"/>
    <d v="2025-05-23T00:00:00"/>
    <d v="2025-05-24T00:00:00"/>
    <x v="0"/>
    <n v="0"/>
    <n v="1"/>
    <s v="Cumple"/>
    <n v="28741"/>
    <m/>
    <m/>
  </r>
  <r>
    <d v="2025-05-26T00:00:00"/>
    <x v="4"/>
    <n v="2571"/>
    <x v="0"/>
    <s v="Damian Duarte"/>
    <s v="TECULFN2"/>
    <x v="7"/>
    <n v="1"/>
    <x v="1"/>
    <x v="1"/>
    <x v="41"/>
    <x v="0"/>
    <s v="Coordinadora"/>
    <s v="3347321 -84151243010"/>
    <d v="2025-05-26T00:00:00"/>
    <d v="2025-05-29T00:00:00"/>
    <x v="0"/>
    <n v="0"/>
    <n v="3"/>
    <s v="Cumple"/>
    <n v="62530"/>
    <m/>
    <m/>
  </r>
  <r>
    <d v="2025-05-26T00:00:00"/>
    <x v="4"/>
    <n v="2571"/>
    <x v="0"/>
    <s v="Damian Duarte"/>
    <s v="TECUTLFES"/>
    <x v="63"/>
    <n v="1"/>
    <x v="2"/>
    <x v="1"/>
    <x v="41"/>
    <x v="0"/>
    <s v="Coordinadora"/>
    <s v="3347323 -84151243012"/>
    <d v="2025-05-26T00:00:00"/>
    <d v="2025-05-29T00:00:00"/>
    <x v="0"/>
    <n v="0"/>
    <n v="3"/>
    <s v="Cumple"/>
    <n v="26749"/>
    <m/>
    <m/>
  </r>
  <r>
    <d v="2025-05-30T00:00:00"/>
    <x v="4"/>
    <n v="2572"/>
    <x v="0"/>
    <s v="Katherine Rivera"/>
    <s v="TECULFN2"/>
    <x v="7"/>
    <n v="1"/>
    <x v="1"/>
    <x v="1"/>
    <x v="42"/>
    <x v="0"/>
    <s v="Coordinadora"/>
    <s v="3364457 -84151250134"/>
    <d v="2025-06-03T00:00:00"/>
    <d v="2025-06-05T00:00:00"/>
    <x v="0"/>
    <n v="2"/>
    <n v="4"/>
    <s v="Cumple"/>
    <n v="62530"/>
    <m/>
    <m/>
  </r>
  <r>
    <d v="2025-05-30T00:00:00"/>
    <x v="4"/>
    <n v="2572"/>
    <x v="0"/>
    <s v="Katherine Rivera"/>
    <s v="TECUTLBS"/>
    <x v="61"/>
    <n v="1"/>
    <x v="2"/>
    <x v="1"/>
    <x v="42"/>
    <x v="0"/>
    <s v="Coordinadora"/>
    <s v="3364460 -84151250136"/>
    <d v="2025-06-03T00:00:00"/>
    <d v="2025-06-06T00:00:00"/>
    <x v="0"/>
    <n v="2"/>
    <n v="5"/>
    <s v="Cumple"/>
    <n v="26749"/>
    <m/>
    <m/>
  </r>
  <r>
    <d v="2025-05-30T00:00:00"/>
    <x v="4"/>
    <n v="2572"/>
    <x v="0"/>
    <s v="Katherine Rivera"/>
    <s v="TECUAB"/>
    <x v="44"/>
    <n v="1"/>
    <x v="5"/>
    <x v="1"/>
    <x v="42"/>
    <x v="0"/>
    <s v="Envia"/>
    <s v="3369690 -954101229262"/>
    <d v="2025-06-04T00:00:00"/>
    <d v="2025-06-05T00:00:00"/>
    <x v="0"/>
    <n v="3"/>
    <n v="4"/>
    <s v="Cumple"/>
    <n v="65682"/>
    <m/>
    <m/>
  </r>
  <r>
    <d v="2025-05-30T00:00:00"/>
    <x v="4"/>
    <n v="2572"/>
    <x v="0"/>
    <s v="Katherine Rivera"/>
    <s v="TECUCT"/>
    <x v="4"/>
    <n v="1"/>
    <x v="0"/>
    <x v="1"/>
    <x v="42"/>
    <x v="0"/>
    <s v="Coordinadora"/>
    <s v="3364484 -84151250150"/>
    <d v="2025-06-03T00:00:00"/>
    <d v="2025-06-05T00:00:00"/>
    <x v="0"/>
    <n v="2"/>
    <n v="4"/>
    <s v="Cumple"/>
    <n v="24885"/>
    <m/>
    <m/>
  </r>
  <r>
    <d v="2025-06-01T00:00:00"/>
    <x v="5"/>
    <n v="2573"/>
    <x v="0"/>
    <s v="ANDRES MAURICIO MANTILLA"/>
    <s v="TECURCO"/>
    <x v="30"/>
    <n v="1"/>
    <x v="6"/>
    <x v="5"/>
    <x v="9"/>
    <x v="0"/>
    <s v="Coordinadora"/>
    <s v="3365198 -84151250496"/>
    <d v="2025-06-03T00:00:00"/>
    <d v="2025-06-05T00:00:00"/>
    <x v="0"/>
    <n v="0"/>
    <n v="2"/>
    <s v="Cumple"/>
    <n v="16617"/>
    <m/>
    <m/>
  </r>
  <r>
    <d v="2025-06-01T00:00:00"/>
    <x v="5"/>
    <n v="2573"/>
    <x v="0"/>
    <s v="ANDRES MAURICIO MANTILLA"/>
    <s v="TECUBDPA"/>
    <x v="1"/>
    <n v="1"/>
    <x v="0"/>
    <x v="5"/>
    <x v="9"/>
    <x v="0"/>
    <s v="Coordinadora"/>
    <s v="3365213 -84151250509"/>
    <d v="2025-06-03T00:00:00"/>
    <d v="2025-06-05T00:00:00"/>
    <x v="0"/>
    <n v="0"/>
    <n v="2"/>
    <s v="Cumple"/>
    <n v="33077"/>
    <m/>
    <m/>
  </r>
  <r>
    <d v="2025-06-02T00:00:00"/>
    <x v="5"/>
    <n v="2574"/>
    <x v="0"/>
    <s v="Maria del Mar Cuadros Collazos"/>
    <s v="TECU2FNG"/>
    <x v="5"/>
    <n v="1"/>
    <x v="1"/>
    <x v="6"/>
    <x v="11"/>
    <x v="0"/>
    <s v="Coordinadora"/>
    <s v="3364626 -84151250223"/>
    <d v="2025-06-03T00:00:00"/>
    <d v="2025-06-04T00:00:00"/>
    <x v="0"/>
    <n v="0"/>
    <n v="1"/>
    <e v="#N/A"/>
    <n v="41593"/>
    <m/>
    <m/>
  </r>
  <r>
    <d v="2025-06-02T00:00:00"/>
    <x v="5"/>
    <n v="2574"/>
    <x v="0"/>
    <s v="Maria del Mar Cuadros Collazos"/>
    <s v="TECUTFE3C"/>
    <x v="39"/>
    <n v="1"/>
    <x v="2"/>
    <x v="6"/>
    <x v="11"/>
    <x v="0"/>
    <s v="Coordinadora"/>
    <s v="3364629 -84151250225"/>
    <d v="2025-06-03T00:00:00"/>
    <d v="2025-06-04T00:00:00"/>
    <x v="0"/>
    <n v="0"/>
    <n v="1"/>
    <e v="#N/A"/>
    <n v="24093"/>
    <m/>
    <m/>
  </r>
  <r>
    <d v="2025-06-02T00:00:00"/>
    <x v="5"/>
    <n v="2574"/>
    <x v="0"/>
    <s v="Maria del Mar Cuadros Collazos"/>
    <s v="TECURFE"/>
    <x v="71"/>
    <n v="1"/>
    <x v="6"/>
    <x v="6"/>
    <x v="11"/>
    <x v="0"/>
    <s v="Coordinadora"/>
    <s v="NA"/>
    <s v="NA"/>
    <s v="NA"/>
    <x v="0"/>
    <e v="#VALUE!"/>
    <e v="#VALUE!"/>
    <e v="#VALUE!"/>
    <m/>
    <m/>
    <m/>
  </r>
  <r>
    <d v="2025-06-03T00:00:00"/>
    <x v="5"/>
    <n v="2575"/>
    <x v="0"/>
    <s v="Katherine Rivera"/>
    <s v="TECUCT"/>
    <x v="4"/>
    <n v="1"/>
    <x v="0"/>
    <x v="1"/>
    <x v="42"/>
    <x v="0"/>
    <s v="Coordinadora"/>
    <s v="3366052 -84151250990"/>
    <d v="2025-06-03T00:00:00"/>
    <d v="2025-06-05T00:00:00"/>
    <x v="0"/>
    <n v="0"/>
    <n v="2"/>
    <s v="Cumple"/>
    <n v="24885"/>
    <m/>
    <m/>
  </r>
  <r>
    <d v="2025-06-03T00:00:00"/>
    <x v="5"/>
    <n v="2576"/>
    <x v="0"/>
    <s v="Alejandro HERNANDEZ"/>
    <s v="TECU2FNG"/>
    <x v="5"/>
    <n v="1"/>
    <x v="1"/>
    <x v="0"/>
    <x v="8"/>
    <x v="0"/>
    <s v="Coordinadora"/>
    <s v="3370951 -84151252868"/>
    <d v="2025-06-04T00:00:00"/>
    <d v="2025-06-05T00:00:00"/>
    <x v="0"/>
    <n v="1"/>
    <n v="2"/>
    <s v="Cumple"/>
    <n v="41593"/>
    <m/>
    <m/>
  </r>
  <r>
    <d v="2025-06-03T00:00:00"/>
    <x v="5"/>
    <n v="2576"/>
    <x v="0"/>
    <s v="Alejandro HERNANDEZ"/>
    <s v="TECUTRN6C"/>
    <x v="20"/>
    <n v="1"/>
    <x v="2"/>
    <x v="0"/>
    <x v="8"/>
    <x v="0"/>
    <s v="Coordinadora"/>
    <s v="3370952 -84151252869"/>
    <d v="2025-06-04T00:00:00"/>
    <d v="2025-06-05T00:00:00"/>
    <x v="0"/>
    <n v="1"/>
    <n v="2"/>
    <s v="Cumple"/>
    <n v="24093"/>
    <m/>
    <m/>
  </r>
  <r>
    <d v="2025-06-03T00:00:00"/>
    <x v="5"/>
    <n v="2576"/>
    <x v="0"/>
    <s v="Alejandro HERNANDEZ"/>
    <m/>
    <x v="10"/>
    <n v="1"/>
    <x v="3"/>
    <x v="0"/>
    <x v="8"/>
    <x v="1"/>
    <s v="NA"/>
    <s v="NA"/>
    <s v="NA"/>
    <s v="NA"/>
    <x v="0"/>
    <s v="PTE"/>
    <e v="#VALUE!"/>
    <e v="#VALUE!"/>
    <n v="0"/>
    <m/>
    <m/>
  </r>
  <r>
    <d v="2025-06-03T00:00:00"/>
    <x v="5"/>
    <n v="2577"/>
    <x v="0"/>
    <s v="Daniel Bernal"/>
    <s v="TECU3FNPRO"/>
    <x v="12"/>
    <n v="1"/>
    <x v="1"/>
    <x v="1"/>
    <x v="1"/>
    <x v="0"/>
    <s v="Coordinadora"/>
    <s v="3370320 -84151252652"/>
    <d v="2025-06-04T00:00:00"/>
    <d v="2025-06-06T00:00:00"/>
    <x v="0"/>
    <n v="1"/>
    <n v="3"/>
    <s v="Cumple"/>
    <n v="42921"/>
    <m/>
    <m/>
  </r>
  <r>
    <d v="2025-06-03T00:00:00"/>
    <x v="5"/>
    <n v="2577"/>
    <x v="0"/>
    <s v="Daniel Bernal"/>
    <s v="TECUTFE5C"/>
    <x v="29"/>
    <n v="1"/>
    <x v="2"/>
    <x v="1"/>
    <x v="1"/>
    <x v="0"/>
    <s v="Coordinadora"/>
    <s v="3370321 -84151252654"/>
    <d v="2025-06-04T00:00:00"/>
    <d v="2025-06-06T00:00:00"/>
    <x v="0"/>
    <n v="1"/>
    <n v="3"/>
    <s v="Cumple"/>
    <n v="24093"/>
    <m/>
    <m/>
  </r>
  <r>
    <d v="2025-06-03T00:00:00"/>
    <x v="5"/>
    <n v="2577"/>
    <x v="0"/>
    <s v="Daniel Bernal"/>
    <s v="TECUCT"/>
    <x v="4"/>
    <n v="1"/>
    <x v="0"/>
    <x v="1"/>
    <x v="1"/>
    <x v="0"/>
    <s v="Coordinadora"/>
    <s v="3370334 -84151252662"/>
    <d v="2025-06-04T00:00:00"/>
    <d v="2025-06-06T00:00:00"/>
    <x v="0"/>
    <n v="1"/>
    <n v="3"/>
    <s v="Cumple"/>
    <n v="24885"/>
    <m/>
    <m/>
  </r>
  <r>
    <d v="2025-06-04T00:00:00"/>
    <x v="5"/>
    <n v="2578"/>
    <x v="0"/>
    <s v="Gabriel Herrera Zarate"/>
    <s v="TECULFN2"/>
    <x v="7"/>
    <n v="1"/>
    <x v="1"/>
    <x v="5"/>
    <x v="43"/>
    <x v="0"/>
    <s v="Coordinadora"/>
    <s v="3373416 -84151253901"/>
    <d v="2025-06-06T00:00:00"/>
    <d v="2025-06-09T00:00:00"/>
    <x v="0"/>
    <n v="2"/>
    <n v="4"/>
    <e v="#N/A"/>
    <n v="153778"/>
    <m/>
    <m/>
  </r>
  <r>
    <d v="2025-06-04T00:00:00"/>
    <x v="5"/>
    <n v="2578"/>
    <x v="0"/>
    <s v="Gabriel Herrera Zarate"/>
    <s v="TECUTLRNS"/>
    <x v="8"/>
    <n v="1"/>
    <x v="2"/>
    <x v="5"/>
    <x v="43"/>
    <x v="0"/>
    <s v="Coordinadora"/>
    <s v="3373418 -84151253903"/>
    <d v="2025-06-06T00:00:00"/>
    <d v="2025-06-09T00:00:00"/>
    <x v="0"/>
    <n v="2"/>
    <n v="4"/>
    <e v="#N/A"/>
    <n v="81384"/>
    <m/>
    <m/>
  </r>
  <r>
    <d v="2025-06-04T00:00:00"/>
    <x v="5"/>
    <n v="2578"/>
    <x v="0"/>
    <s v="Gabriel Herrera Zarate"/>
    <s v="TECUCT"/>
    <x v="4"/>
    <n v="1"/>
    <x v="0"/>
    <x v="5"/>
    <x v="43"/>
    <x v="0"/>
    <s v="Coordinadora"/>
    <s v="3373425 -84151253905"/>
    <d v="2025-06-06T00:00:00"/>
    <d v="2025-06-09T00:00:00"/>
    <x v="0"/>
    <n v="2"/>
    <n v="4"/>
    <e v="#N/A"/>
    <n v="34407"/>
    <m/>
    <m/>
  </r>
  <r>
    <d v="2025-06-04T00:00:00"/>
    <x v="5"/>
    <n v="2579"/>
    <x v="0"/>
    <s v="Christian Hurtado Ospina"/>
    <s v="TECURCO"/>
    <x v="30"/>
    <n v="1"/>
    <x v="6"/>
    <x v="6"/>
    <x v="44"/>
    <x v="0"/>
    <s v="Coordinadora"/>
    <s v="3373436 -84151253913"/>
    <d v="2025-06-06T00:00:00"/>
    <d v="2025-06-07T00:00:00"/>
    <x v="0"/>
    <n v="2"/>
    <n v="3"/>
    <e v="#N/A"/>
    <n v="23429"/>
    <m/>
    <m/>
  </r>
  <r>
    <d v="2025-06-06T00:00:00"/>
    <x v="5"/>
    <n v="2580"/>
    <x v="0"/>
    <s v="LEONARDO FONSECA"/>
    <s v="TECU3FNPRO"/>
    <x v="12"/>
    <n v="1"/>
    <x v="1"/>
    <x v="1"/>
    <x v="1"/>
    <x v="0"/>
    <s v="Coordinadora"/>
    <s v="3383394 -84151258353"/>
    <d v="2025-06-09T00:00:00"/>
    <m/>
    <x v="0"/>
    <n v="2"/>
    <n v="-39264"/>
    <s v="Cumple"/>
    <n v="42921"/>
    <m/>
    <m/>
  </r>
  <r>
    <d v="2025-06-06T00:00:00"/>
    <x v="5"/>
    <n v="2580"/>
    <x v="0"/>
    <s v="LEONARDO FONSECA"/>
    <s v="TECUTRM5C"/>
    <x v="27"/>
    <n v="1"/>
    <x v="2"/>
    <x v="1"/>
    <x v="1"/>
    <x v="0"/>
    <s v="Coordinadora"/>
    <s v="3383395 -84151258354"/>
    <d v="2025-06-09T00:00:00"/>
    <m/>
    <x v="0"/>
    <n v="2"/>
    <n v="-39264"/>
    <s v="Cumple"/>
    <n v="24593"/>
    <m/>
    <m/>
  </r>
  <r>
    <d v="2025-06-06T00:00:00"/>
    <x v="5"/>
    <n v="2580"/>
    <x v="0"/>
    <s v="LEONARDO FONSECA"/>
    <s v="TECUCT"/>
    <x v="4"/>
    <n v="1"/>
    <x v="0"/>
    <x v="1"/>
    <x v="1"/>
    <x v="0"/>
    <s v="Coordinadora"/>
    <s v="3383786 -84151258597"/>
    <d v="2025-06-09T00:00:00"/>
    <m/>
    <x v="0"/>
    <n v="2"/>
    <n v="-39264"/>
    <s v="Cumple"/>
    <n v="24885"/>
    <m/>
    <m/>
  </r>
  <r>
    <d v="2025-06-06T00:00:00"/>
    <x v="5"/>
    <n v="2580"/>
    <x v="0"/>
    <s v="LEONARDO FONSECA"/>
    <s v="TECUACO"/>
    <x v="15"/>
    <n v="1"/>
    <x v="5"/>
    <x v="1"/>
    <x v="1"/>
    <x v="0"/>
    <s v="Envia"/>
    <s v="3386668 -954101233039"/>
    <d v="2025-06-10T00:00:00"/>
    <m/>
    <x v="0"/>
    <n v="3"/>
    <n v="-39264"/>
    <s v="Cumple"/>
    <n v="54929"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4">
  <r>
    <d v="2025-01-01T00:00:00"/>
    <x v="0"/>
    <n v="2377"/>
    <x v="0"/>
    <s v="Cata Gómez"/>
    <s v="TECUBDPM"/>
    <s v="Desk Pad B Negro Café Miel"/>
    <n v="1"/>
    <x v="0"/>
    <s v="Antioquia"/>
    <s v="La estrella"/>
    <x v="0"/>
    <s v="Coordinadora"/>
    <s v="3002937 -84151097246"/>
    <d v="2025-01-07T00:00:00"/>
    <d v="2025-01-08T00:00:00"/>
    <s v="Entregado"/>
    <n v="0"/>
    <n v="1"/>
    <s v="Cumple"/>
    <n v="16617"/>
    <m/>
  </r>
  <r>
    <d v="2025-01-02T00:00:00"/>
    <x v="0"/>
    <n v="2378"/>
    <x v="0"/>
    <s v="Andres felipe Carreño"/>
    <s v="TECUBDPA"/>
    <s v="Desk Pad B Negro Azul"/>
    <n v="1"/>
    <x v="0"/>
    <s v="Bogotá y alrededores"/>
    <s v="Bogota"/>
    <x v="0"/>
    <s v="Coordinadora"/>
    <s v="3002977 -84151097273"/>
    <d v="2025-01-07T00:00:00"/>
    <d v="2025-01-08T00:00:00"/>
    <s v="Entregado"/>
    <n v="0"/>
    <n v="1"/>
    <s v="Cumple"/>
    <n v="16617"/>
    <m/>
  </r>
  <r>
    <d v="2025-01-06T00:00:00"/>
    <x v="0"/>
    <n v="2379"/>
    <x v="0"/>
    <s v="Juan Guevara"/>
    <s v="TECU2FBGO"/>
    <s v="Electric Standing Desk GO Blanco"/>
    <n v="1"/>
    <x v="1"/>
    <s v="Bogotá y alrededores"/>
    <s v="Bogota"/>
    <x v="0"/>
    <s v="Coordinadora"/>
    <s v="3006333 -84151099203"/>
    <d v="2025-01-08T00:00:00"/>
    <d v="2025-01-10T00:00:00"/>
    <s v="Entregado"/>
    <n v="1"/>
    <n v="3"/>
    <s v="Cumple"/>
    <n v="41593"/>
    <m/>
  </r>
  <r>
    <d v="2025-01-06T00:00:00"/>
    <x v="0"/>
    <n v="2379"/>
    <x v="0"/>
    <s v="Juan Guevara"/>
    <s v="TECUTFE2C"/>
    <s v="Superficie  Fresno Europeo 120x70 Clasico Small"/>
    <n v="1"/>
    <x v="2"/>
    <s v="Bogotá y alrededores"/>
    <s v="Bogota"/>
    <x v="0"/>
    <s v="Coordinadora"/>
    <s v="3006334 -84151099205"/>
    <d v="2025-01-08T00:00:00"/>
    <d v="2025-01-10T00:00:00"/>
    <s v="Entregado"/>
    <n v="1"/>
    <n v="3"/>
    <s v="Cumple"/>
    <n v="24093"/>
    <m/>
  </r>
  <r>
    <d v="2025-01-06T00:00:00"/>
    <x v="0"/>
    <n v="2379"/>
    <x v="0"/>
    <s v="Juan Guevara"/>
    <s v="TECUCT"/>
    <s v="Bandeja de cables"/>
    <n v="1"/>
    <x v="0"/>
    <s v="Bogotá y alrededores"/>
    <s v="Bogota"/>
    <x v="0"/>
    <s v="Coordinadora"/>
    <s v="3006341 -84151099209"/>
    <d v="2025-01-08T00:00:00"/>
    <d v="2025-01-10T00:00:00"/>
    <s v="Entregado"/>
    <n v="1"/>
    <n v="3"/>
    <s v="Cumple"/>
    <n v="24885"/>
    <m/>
  </r>
  <r>
    <d v="2025-01-06T00:00:00"/>
    <x v="0"/>
    <n v="2380"/>
    <x v="0"/>
    <s v="Juan Carlos Urbano"/>
    <s v="TECU2FNG"/>
    <s v="Electric Standing Desk GO Negro"/>
    <n v="1"/>
    <x v="1"/>
    <s v="Bogotá y alrededores"/>
    <s v="Bogota"/>
    <x v="0"/>
    <s v="Coordinadora"/>
    <s v="3003131 -84151097381"/>
    <d v="2025-01-07T00:00:00"/>
    <d v="2025-01-08T00:00:00"/>
    <s v="Entregado"/>
    <n v="0"/>
    <n v="1"/>
    <s v="Cumple"/>
    <n v="41593"/>
    <m/>
  </r>
  <r>
    <d v="2025-01-06T00:00:00"/>
    <x v="0"/>
    <n v="2380"/>
    <x v="0"/>
    <s v="Juan Carlos Urbano"/>
    <s v="TECUTCO4C"/>
    <s v="Superficie Caramelo 140x70 Clasico"/>
    <n v="1"/>
    <x v="2"/>
    <s v="Bogotá y alrededores"/>
    <s v="Bogota"/>
    <x v="0"/>
    <s v="Coordinadora"/>
    <s v="3003134 -84151097383"/>
    <d v="2025-01-07T00:00:00"/>
    <d v="2025-01-09T00:00:00"/>
    <s v="Entregado"/>
    <n v="0"/>
    <n v="2"/>
    <s v="Cumple"/>
    <n v="24093"/>
    <m/>
  </r>
  <r>
    <d v="2025-01-06T00:00:00"/>
    <x v="0"/>
    <n v="2380"/>
    <x v="0"/>
    <s v="Juan Carlos Urbano"/>
    <s v="TECUCT"/>
    <s v="Bandeja de cables"/>
    <n v="1"/>
    <x v="0"/>
    <s v="Bogotá y alrededores"/>
    <s v="Bogota"/>
    <x v="0"/>
    <s v="Coordinadora"/>
    <s v="3003144 -84151097390"/>
    <d v="2025-01-07T00:00:00"/>
    <d v="2025-01-09T00:00:00"/>
    <s v="Entregado"/>
    <n v="0"/>
    <n v="2"/>
    <s v="Cumple"/>
    <n v="24885"/>
    <m/>
  </r>
  <r>
    <d v="2025-01-06T00:00:00"/>
    <x v="0"/>
    <n v="2381"/>
    <x v="0"/>
    <s v="Julian Cujabante Villamil"/>
    <s v="TECULFN2"/>
    <s v="Electric Standing Desk  En L Frame Negro 2.0"/>
    <n v="1"/>
    <x v="1"/>
    <s v="Bogotá y alrededores"/>
    <s v="Bogota"/>
    <x v="0"/>
    <s v="Coordinadora"/>
    <s v="3006368 -84151099224"/>
    <d v="2025-01-08T00:00:00"/>
    <d v="2025-01-10T00:00:00"/>
    <s v="Entregado"/>
    <n v="1"/>
    <n v="3"/>
    <s v="Cumple"/>
    <n v="62530"/>
    <m/>
  </r>
  <r>
    <d v="2025-01-06T00:00:00"/>
    <x v="0"/>
    <n v="2381"/>
    <x v="0"/>
    <s v="Julian Cujabante Villamil"/>
    <s v="TECUTLRNS"/>
    <s v="Superficie en L Roble Negro 180x150cm x 70"/>
    <n v="1"/>
    <x v="2"/>
    <s v="Bogotá y alrededores"/>
    <s v="Bogota"/>
    <x v="0"/>
    <s v="Coordinadora"/>
    <s v="3006370 -84151099227"/>
    <d v="2025-01-08T00:00:00"/>
    <d v="2025-01-10T00:00:00"/>
    <s v="Entregado"/>
    <n v="1"/>
    <n v="3"/>
    <s v="Cumple"/>
    <n v="26749"/>
    <m/>
  </r>
  <r>
    <d v="2025-01-06T00:00:00"/>
    <x v="0"/>
    <n v="2381"/>
    <x v="0"/>
    <s v="Julian Cujabante Villamil"/>
    <s v="TECUCT"/>
    <s v="Bandeja de cables"/>
    <n v="1"/>
    <x v="0"/>
    <s v="Bogotá y alrededores"/>
    <s v="Bogota"/>
    <x v="0"/>
    <s v="Coordinadora"/>
    <s v="3006387 -84151099241"/>
    <d v="2025-01-08T00:00:00"/>
    <d v="2025-01-09T00:00:00"/>
    <s v="Entregado"/>
    <n v="1"/>
    <n v="2"/>
    <s v="Cumple"/>
    <n v="24885"/>
    <m/>
  </r>
  <r>
    <d v="2025-01-06T00:00:00"/>
    <x v="0"/>
    <n v="2381"/>
    <x v="0"/>
    <s v="Julian Cujabante Villamil"/>
    <s v="TECUTBANPI"/>
    <s v="Bandeja Piano"/>
    <n v="1"/>
    <x v="0"/>
    <s v="Bogotá y alrededores"/>
    <s v="Bogota"/>
    <x v="0"/>
    <s v="Coordinadora"/>
    <s v="3006380 -84151099237"/>
    <d v="2025-01-08T00:00:00"/>
    <d v="2025-01-10T00:00:00"/>
    <s v="Entregado"/>
    <n v="1"/>
    <n v="3"/>
    <s v="Cumple"/>
    <n v="39225"/>
    <m/>
  </r>
  <r>
    <d v="2025-01-06T00:00:00"/>
    <x v="0"/>
    <n v="2381"/>
    <x v="0"/>
    <s v="Julian Cujabante Villamil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1-07T00:00:00"/>
    <x v="0"/>
    <n v="2382"/>
    <x v="0"/>
    <s v="Henry De Alba"/>
    <s v="TECU2FNG"/>
    <s v="Electric Standing Desk GO Negro"/>
    <n v="1"/>
    <x v="1"/>
    <s v="Atlantico"/>
    <s v="Barranquilla"/>
    <x v="0"/>
    <s v="Coordinadora"/>
    <s v="3008585 -84151100462"/>
    <d v="2025-01-09T00:00:00"/>
    <d v="2025-01-11T00:00:00"/>
    <s v="Entregado"/>
    <n v="2"/>
    <n v="4"/>
    <s v="Cumple"/>
    <n v="59835"/>
    <m/>
  </r>
  <r>
    <d v="2025-01-07T00:00:00"/>
    <x v="0"/>
    <n v="2382"/>
    <x v="0"/>
    <s v="Henry De Alba"/>
    <s v="TECUTRN2C"/>
    <s v="Superficie  Roble Negro 120x70 Clasico Small"/>
    <n v="1"/>
    <x v="2"/>
    <s v="Atlantico"/>
    <s v="Barranquilla"/>
    <x v="0"/>
    <s v="Coordinadora"/>
    <s v="3008587 -84151100464"/>
    <d v="2025-01-09T00:00:00"/>
    <d v="2025-01-11T00:00:00"/>
    <s v="Entregado"/>
    <n v="2"/>
    <n v="4"/>
    <s v="Cumple"/>
    <n v="39078"/>
    <m/>
  </r>
  <r>
    <d v="2025-01-07T00:00:00"/>
    <x v="0"/>
    <n v="2383"/>
    <x v="0"/>
    <s v="Carlos Andres Polanco Triana"/>
    <s v="TECU3FNPRO"/>
    <s v="Electric Standing Desk  PRO Negro"/>
    <n v="1"/>
    <x v="1"/>
    <s v="Huila"/>
    <s v="Neiva"/>
    <x v="0"/>
    <s v="Coordinadora"/>
    <s v="3008595 -84151100470"/>
    <d v="2025-01-09T00:00:00"/>
    <d v="2025-01-11T00:00:00"/>
    <s v="Entregado"/>
    <n v="2"/>
    <n v="4"/>
    <s v="Cumple"/>
    <n v="62467"/>
    <m/>
  </r>
  <r>
    <d v="2025-01-07T00:00:00"/>
    <x v="0"/>
    <n v="2383"/>
    <x v="0"/>
    <s v="Carlos Andres Polanco Triana"/>
    <s v="TECUTCO4C"/>
    <s v="Superficie Caramelo 140x70 Clasico"/>
    <n v="1"/>
    <x v="2"/>
    <s v="Huila"/>
    <s v="Neiva"/>
    <x v="0"/>
    <s v="Coordinadora"/>
    <s v="3008596 -84151100471"/>
    <d v="2025-01-09T00:00:00"/>
    <d v="2025-01-11T00:00:00"/>
    <s v="Entregado"/>
    <n v="2"/>
    <n v="4"/>
    <s v="Cumple"/>
    <n v="39078"/>
    <m/>
  </r>
  <r>
    <d v="2025-01-08T00:00:00"/>
    <x v="0"/>
    <n v="2384"/>
    <x v="0"/>
    <s v="Samuel Antonio Cabezas Tibaquicha"/>
    <s v="TECU3FNPRO"/>
    <s v="Electric Standing Desk  PRO Negro"/>
    <n v="1"/>
    <x v="1"/>
    <s v="Bogotá y alrededores"/>
    <s v="Cota"/>
    <x v="0"/>
    <s v="Coordinadora"/>
    <s v="3006418 -84151099260"/>
    <d v="2025-01-08T00:00:00"/>
    <d v="2025-01-09T00:00:00"/>
    <s v="Entregado"/>
    <n v="0"/>
    <n v="1"/>
    <s v="Cumple"/>
    <n v="42921"/>
    <m/>
  </r>
  <r>
    <d v="2025-01-08T00:00:00"/>
    <x v="0"/>
    <n v="2384"/>
    <x v="0"/>
    <s v="Samuel Antonio Cabezas Tibaquicha"/>
    <s v="TECUDSN"/>
    <s v="Desk Stool Negra Silla ajustable"/>
    <n v="1"/>
    <x v="4"/>
    <s v="Bogotá y alrededores"/>
    <s v="Cota"/>
    <x v="0"/>
    <s v="Coordinadora"/>
    <s v="3006424 -84151099263"/>
    <d v="2025-01-08T00:00:00"/>
    <d v="2025-01-09T00:00:00"/>
    <s v="Entregado"/>
    <n v="0"/>
    <n v="1"/>
    <s v="Cumple"/>
    <n v="26609"/>
    <m/>
  </r>
  <r>
    <d v="2025-01-08T00:00:00"/>
    <x v="0"/>
    <n v="2385"/>
    <x v="0"/>
    <s v="Diana Ruiz"/>
    <s v="TECU3FNPRO"/>
    <s v="Electric Standing Desk  PRO Negro"/>
    <n v="1"/>
    <x v="1"/>
    <s v="Bogotá y alrededores"/>
    <s v="Bogota"/>
    <x v="0"/>
    <s v="Coordinadora"/>
    <s v="3009172 -84151100736"/>
    <d v="2025-01-09T00:00:00"/>
    <d v="2025-01-10T00:00:00"/>
    <s v="Entregado"/>
    <n v="1"/>
    <n v="2"/>
    <s v="Cumple"/>
    <n v="42921"/>
    <m/>
  </r>
  <r>
    <d v="2025-01-08T00:00:00"/>
    <x v="0"/>
    <n v="2385"/>
    <x v="0"/>
    <s v="Diana Ruiz"/>
    <s v="TECUTFE4C"/>
    <s v="Superficie  Fresno Europeo 140x70 Clasico"/>
    <n v="1"/>
    <x v="2"/>
    <s v="Bogotá y alrededores"/>
    <s v="Bogota"/>
    <x v="0"/>
    <s v="Coordinadora"/>
    <s v="3009173 -84151100737"/>
    <d v="2025-01-09T00:00:00"/>
    <d v="2025-01-10T00:00:00"/>
    <s v="Entregado"/>
    <n v="1"/>
    <n v="2"/>
    <s v="Cumple"/>
    <n v="24093"/>
    <m/>
  </r>
  <r>
    <d v="2025-01-08T00:00:00"/>
    <x v="0"/>
    <n v="2386"/>
    <x v="0"/>
    <s v="Samuel Vélez Sanín"/>
    <s v="TECU2FNG"/>
    <s v="Electric Standing Desk GO Negro"/>
    <n v="1"/>
    <x v="1"/>
    <s v="Antioquia"/>
    <s v="Envigado"/>
    <x v="0"/>
    <s v="Coordinadora"/>
    <s v="3008732 -84151100542"/>
    <d v="2025-01-09T00:00:00"/>
    <d v="2025-01-10T00:00:00"/>
    <s v="Entregado"/>
    <n v="1"/>
    <n v="2"/>
    <s v="Cumple"/>
    <n v="41593"/>
    <m/>
  </r>
  <r>
    <d v="2025-01-08T00:00:00"/>
    <x v="0"/>
    <n v="2386"/>
    <x v="0"/>
    <s v="Samuel Vélez Sanín"/>
    <s v="TECUTFE2C"/>
    <s v="Superficie  Fresno Europeo 120x70 Clasico Small"/>
    <n v="1"/>
    <x v="2"/>
    <s v="Antioquia"/>
    <s v="Envigado"/>
    <x v="0"/>
    <s v="Coordinadora"/>
    <s v="3008734 -84151100543"/>
    <d v="2025-01-09T00:00:00"/>
    <d v="2025-01-11T00:00:00"/>
    <s v="Entregado"/>
    <n v="1"/>
    <n v="3"/>
    <s v="Cumple"/>
    <n v="24093"/>
    <m/>
  </r>
  <r>
    <d v="2025-01-08T00:00:00"/>
    <x v="0"/>
    <n v="2387"/>
    <x v="0"/>
    <s v="Miguel Saavedra"/>
    <s v="TECUACO"/>
    <s v="Archivador TECU  Caramelo"/>
    <n v="1"/>
    <x v="5"/>
    <s v="Bogotá y alrededores"/>
    <s v="Bogota"/>
    <x v="0"/>
    <s v="Envia"/>
    <s v="3006909 -954101121278"/>
    <d v="2025-01-08T00:00:00"/>
    <d v="2025-01-09T00:00:00"/>
    <s v="Entregado"/>
    <n v="0"/>
    <n v="1"/>
    <s v="Cumple"/>
    <n v="70717"/>
    <m/>
  </r>
  <r>
    <d v="2025-01-09T00:00:00"/>
    <x v="0"/>
    <n v="2388"/>
    <x v="0"/>
    <s v="CAROLINA RAMIREZ RESTREPO"/>
    <s v="TECU2FNG"/>
    <s v="Electric Standing Desk GO Negro"/>
    <n v="1"/>
    <x v="1"/>
    <s v="Antioquia"/>
    <s v="Carmen de Viboral"/>
    <x v="0"/>
    <s v="Coordinadora"/>
    <s v="3008988 -84151100690"/>
    <d v="2025-01-09T00:00:00"/>
    <d v="2025-01-24T00:00:00"/>
    <s v="Entregado"/>
    <n v="0"/>
    <n v="13"/>
    <s v="No cumple"/>
    <n v="112444"/>
    <m/>
  </r>
  <r>
    <d v="2025-01-09T00:00:00"/>
    <x v="0"/>
    <n v="2388"/>
    <x v="0"/>
    <s v="CAROLINA RAMIREZ RESTREPO"/>
    <s v="TECUTCO6C"/>
    <s v="Superficie  Caramelo 160x70 Clasico"/>
    <n v="1"/>
    <x v="2"/>
    <s v="Antioquia"/>
    <s v="Carmen de Viboral"/>
    <x v="0"/>
    <s v="Coordinadora"/>
    <s v="3008990 -84151100691"/>
    <d v="2025-01-09T00:00:00"/>
    <d v="2025-01-24T00:00:00"/>
    <s v="Entregado"/>
    <n v="0"/>
    <n v="13"/>
    <s v="No cumple"/>
    <n v="98264"/>
    <m/>
  </r>
  <r>
    <d v="2025-01-09T00:00:00"/>
    <x v="0"/>
    <n v="2389"/>
    <x v="0"/>
    <s v="Alexander Gomez Chaparro"/>
    <s v="TECULFN2"/>
    <s v="Electric Standing Desk  En L Frame Negro 2.0"/>
    <n v="1"/>
    <x v="1"/>
    <s v="Boyaca"/>
    <s v="Tunja"/>
    <x v="0"/>
    <s v="Coordinadora"/>
    <s v="3011856 -84151101651"/>
    <d v="2025-01-10T00:00:00"/>
    <d v="2025-01-13T00:00:00"/>
    <s v="Entregado"/>
    <n v="1"/>
    <n v="3"/>
    <s v="Cumple"/>
    <n v="96409"/>
    <m/>
  </r>
  <r>
    <d v="2025-01-09T00:00:00"/>
    <x v="0"/>
    <n v="2389"/>
    <x v="0"/>
    <s v="Alexander Gomez Chaparro"/>
    <s v="TECUTLNS"/>
    <s v="Superficie  en L Negro 180x150cm x 70"/>
    <n v="1"/>
    <x v="2"/>
    <s v="Boyaca"/>
    <s v="Tunja"/>
    <x v="0"/>
    <s v="Coordinadora"/>
    <s v="3011858 -84151101652"/>
    <d v="2025-01-10T00:00:00"/>
    <d v="2025-01-13T00:00:00"/>
    <s v="Entregado"/>
    <n v="1"/>
    <n v="3"/>
    <s v="Cumple"/>
    <n v="44340"/>
    <m/>
  </r>
  <r>
    <d v="2025-01-09T00:00:00"/>
    <x v="0"/>
    <n v="2390"/>
    <x v="0"/>
    <s v="Alexander Gomez Chaparro"/>
    <s v="TECUCT"/>
    <s v="Bandeja de cables"/>
    <n v="1"/>
    <x v="0"/>
    <s v="Boyaca"/>
    <s v="Tunja"/>
    <x v="0"/>
    <s v="Coordinadora"/>
    <s v="3011897 -84151101678"/>
    <d v="2025-01-10T00:00:00"/>
    <d v="2025-01-13T00:00:00"/>
    <s v="Entregado"/>
    <n v="1"/>
    <n v="3"/>
    <s v="Cumple"/>
    <m/>
    <m/>
  </r>
  <r>
    <d v="2025-01-09T00:00:00"/>
    <x v="0"/>
    <n v="2390"/>
    <x v="0"/>
    <s v="Alexander Gomez Chaparro"/>
    <s v="TECUBDPA"/>
    <s v="Desk Pad B Negro Azul"/>
    <n v="1"/>
    <x v="0"/>
    <s v="Boyaca"/>
    <s v="Tunja"/>
    <x v="0"/>
    <s v="Coordinadora"/>
    <s v="3011889 -84151101671"/>
    <d v="2025-01-10T00:00:00"/>
    <d v="2025-01-13T00:00:00"/>
    <s v="Entregado"/>
    <n v="1"/>
    <n v="3"/>
    <s v="Cumple"/>
    <n v="16617"/>
    <m/>
  </r>
  <r>
    <d v="2025-01-09T00:00:00"/>
    <x v="0"/>
    <n v="2390"/>
    <x v="0"/>
    <s v="Alexander Gomez Chaparro"/>
    <s v="TECUDSN"/>
    <s v="Desk Stool Negra Silla ajustable"/>
    <n v="1"/>
    <x v="4"/>
    <s v="Boyaca"/>
    <s v="Tunja"/>
    <x v="0"/>
    <s v="Coordinadora"/>
    <s v="3011879 -84151101661"/>
    <d v="2025-01-10T00:00:00"/>
    <d v="2025-01-13T00:00:00"/>
    <s v="Entregado"/>
    <n v="1"/>
    <n v="3"/>
    <s v="Cumple"/>
    <n v="40942"/>
    <m/>
  </r>
  <r>
    <d v="2025-01-09T00:00:00"/>
    <x v="0"/>
    <n v="2390"/>
    <x v="0"/>
    <s v="Alexander Gomez Chaparro"/>
    <s v="TECURN"/>
    <s v="Repisa Negro"/>
    <n v="1"/>
    <x v="6"/>
    <s v="Boyaca"/>
    <s v="Tunja"/>
    <x v="0"/>
    <s v="Coordinadora"/>
    <s v="NA"/>
    <d v="2025-01-10T00:00:00"/>
    <d v="2025-01-13T00:00:00"/>
    <s v="Entregado"/>
    <n v="1"/>
    <n v="3"/>
    <s v="Cumple"/>
    <m/>
    <m/>
  </r>
  <r>
    <d v="2025-01-09T00:00:00"/>
    <x v="0"/>
    <n v="2391"/>
    <x v="0"/>
    <s v="Alexander Gomez Chaparro"/>
    <s v="TECUCT"/>
    <s v="Bandeja de cables"/>
    <n v="1"/>
    <x v="0"/>
    <s v="Boyaca"/>
    <s v="Tunja"/>
    <x v="0"/>
    <s v="Coordinadora"/>
    <s v="3011897 -84151101678"/>
    <d v="2025-01-10T00:00:00"/>
    <d v="2025-01-13T00:00:00"/>
    <s v="Entregado"/>
    <n v="1"/>
    <n v="3"/>
    <s v="Cumple"/>
    <n v="24885"/>
    <m/>
  </r>
  <r>
    <d v="2025-01-10T00:00:00"/>
    <x v="0"/>
    <n v="2392"/>
    <x v="0"/>
    <s v="David Cadavid"/>
    <s v="TECU3FNPRO"/>
    <s v="Electric Standing Desk  PRO Negro"/>
    <n v="1"/>
    <x v="1"/>
    <s v="Antioquia"/>
    <s v="Envigado"/>
    <x v="0"/>
    <s v="Coordinadora"/>
    <s v="3015845 -84151103419"/>
    <d v="2025-01-13T16:47:27"/>
    <d v="2025-01-14T15:27:49"/>
    <s v="Entregado"/>
    <n v="2"/>
    <n v="3"/>
    <s v="Cumple"/>
    <n v="42921"/>
    <m/>
  </r>
  <r>
    <d v="2025-01-10T00:00:00"/>
    <x v="0"/>
    <n v="2392"/>
    <x v="0"/>
    <s v="David Cadavid"/>
    <s v="TECUTCO8C"/>
    <s v="Superficie  Caramelo 180x70 Clasico"/>
    <n v="1"/>
    <x v="2"/>
    <s v="Antioquia"/>
    <s v="Envigado"/>
    <x v="0"/>
    <s v="Coordinadora"/>
    <s v="3015847 -84151103420"/>
    <d v="2025-01-13T16:48:27"/>
    <d v="2025-01-14T15:27:49"/>
    <s v="Entregado"/>
    <n v="2"/>
    <n v="3"/>
    <s v="Cumple"/>
    <n v="26749"/>
    <m/>
  </r>
  <r>
    <d v="2025-01-10T00:00:00"/>
    <x v="0"/>
    <n v="2392"/>
    <x v="0"/>
    <s v="David Cadavid"/>
    <s v="TECUCT"/>
    <s v="Bandeja de cables"/>
    <n v="1"/>
    <x v="0"/>
    <s v="Antioquia"/>
    <s v="Envigado"/>
    <x v="0"/>
    <s v="Coordinadora"/>
    <s v="3015858 -84151103425"/>
    <d v="2025-01-13T16:47:27"/>
    <d v="2025-01-14T15:27:49"/>
    <s v="Entregado"/>
    <n v="2"/>
    <n v="3"/>
    <s v="Cumple"/>
    <n v="24885"/>
    <m/>
  </r>
  <r>
    <d v="2025-01-11T00:00:00"/>
    <x v="0"/>
    <n v="2393"/>
    <x v="0"/>
    <s v="Santiago Garzon Diaz"/>
    <s v="TECU2FNG"/>
    <s v="Electric Standing Desk GO Negro"/>
    <n v="1"/>
    <x v="1"/>
    <s v="Antioquia"/>
    <s v="Medellin"/>
    <x v="0"/>
    <s v="Coordinadora"/>
    <s v="3015877 -84151103435"/>
    <d v="2025-01-13T16:47:27"/>
    <d v="2025-01-14T09:51:51"/>
    <s v="Entregado"/>
    <n v="1"/>
    <n v="2"/>
    <s v="Cumple"/>
    <n v="41593"/>
    <m/>
  </r>
  <r>
    <d v="2025-01-11T00:00:00"/>
    <x v="0"/>
    <n v="2393"/>
    <x v="0"/>
    <s v="Santiago Garzon Diaz"/>
    <m/>
    <s v="Servicio de instalacion"/>
    <n v="1"/>
    <x v="3"/>
    <s v="Antioquia"/>
    <s v="Medellin"/>
    <x v="1"/>
    <s v="NA"/>
    <s v="NA"/>
    <s v="NA"/>
    <s v="NA"/>
    <s v="Entregado"/>
    <s v="PTE"/>
    <e v="#VALUE!"/>
    <e v="#VALUE!"/>
    <n v="0"/>
    <m/>
  </r>
  <r>
    <d v="2025-01-12T00:00:00"/>
    <x v="0"/>
    <n v="2394"/>
    <x v="0"/>
    <s v="Julian Cajiao"/>
    <s v="TECU3FNPRO"/>
    <s v="Electric Standing Desk  PRO Negro"/>
    <n v="1"/>
    <x v="1"/>
    <s v="Antioquia"/>
    <s v="Medellin"/>
    <x v="0"/>
    <s v="Coordinadora"/>
    <s v="3015893 -84151103439"/>
    <d v="2025-01-13T16:47:27"/>
    <d v="2025-01-14T11:27:21"/>
    <s v="Entregado"/>
    <n v="0"/>
    <n v="1"/>
    <s v="Cumple"/>
    <n v="42921"/>
    <m/>
  </r>
  <r>
    <d v="2025-01-12T00:00:00"/>
    <x v="0"/>
    <n v="2394"/>
    <x v="0"/>
    <s v="Julian Cajiao"/>
    <s v="TECUTRN6C"/>
    <s v="Superficie  Roble Negro 160x70 Clasico"/>
    <n v="1"/>
    <x v="2"/>
    <s v="Antioquia"/>
    <s v="Medellin"/>
    <x v="0"/>
    <s v="Coordinadora"/>
    <s v="3015895 -84151103441"/>
    <d v="2025-01-13T16:48:27"/>
    <d v="2025-01-14T11:27:21"/>
    <s v="Entregado"/>
    <n v="0"/>
    <n v="1"/>
    <s v="Cumple"/>
    <n v="24093"/>
    <m/>
  </r>
  <r>
    <d v="2025-01-12T00:00:00"/>
    <x v="0"/>
    <n v="2394"/>
    <x v="0"/>
    <s v="Julian Cajiao"/>
    <m/>
    <s v="Servicio de instalacion"/>
    <n v="1"/>
    <x v="3"/>
    <s v="Antioquia"/>
    <s v="Medellin"/>
    <x v="1"/>
    <s v="NA"/>
    <s v="NA"/>
    <s v="NA"/>
    <s v="NA"/>
    <s v="Entregado"/>
    <s v="PTE"/>
    <e v="#VALUE!"/>
    <e v="#VALUE!"/>
    <n v="0"/>
    <m/>
  </r>
  <r>
    <d v="2025-01-13T00:00:00"/>
    <x v="0"/>
    <n v="2395"/>
    <x v="0"/>
    <s v="Lucas Latorre"/>
    <s v="TECU3FNPRO"/>
    <s v="Electric Standing Desk  PRO Negro"/>
    <n v="1"/>
    <x v="1"/>
    <s v="Santander"/>
    <s v="Bucaramanga"/>
    <x v="0"/>
    <s v="Coordinadora"/>
    <s v="3017031 -84151104118"/>
    <d v="2025-01-13T16:47:27"/>
    <d v="2025-01-15T17:17:03"/>
    <s v="Entregado"/>
    <n v="0"/>
    <n v="2"/>
    <s v="Cumple"/>
    <n v="56077"/>
    <m/>
  </r>
  <r>
    <d v="2025-01-13T00:00:00"/>
    <x v="0"/>
    <n v="2395"/>
    <x v="0"/>
    <s v="Lucas Latorre"/>
    <s v="TECUTFE8C"/>
    <s v="Superficie  Fresno Europeo 180x70 Clasico"/>
    <n v="1"/>
    <x v="2"/>
    <s v="Santander"/>
    <s v="Bucaramanga"/>
    <x v="0"/>
    <s v="Coordinadora"/>
    <s v="3017033 -84151104119"/>
    <d v="2025-01-13T16:48:27"/>
    <d v="2025-01-15T17:17:03"/>
    <s v="Entregado"/>
    <n v="0"/>
    <n v="2"/>
    <s v="Cumple"/>
    <n v="38589"/>
    <m/>
  </r>
  <r>
    <d v="2025-01-13T00:00:00"/>
    <x v="0"/>
    <n v="2396"/>
    <x v="0"/>
    <s v="FELIPE CASTAÑO"/>
    <s v="TECU3FNPRO"/>
    <s v="Electric Standing Desk  PRO Negro"/>
    <n v="1"/>
    <x v="1"/>
    <s v="Antioquia"/>
    <s v="Envigado"/>
    <x v="0"/>
    <s v="Coordinadora"/>
    <s v="3018831 -84151104925"/>
    <d v="2025-01-14T15:58:05"/>
    <d v="2025-01-15T10:33:56"/>
    <s v="Entregado"/>
    <n v="1"/>
    <n v="2"/>
    <s v="Cumple"/>
    <n v="42921"/>
    <m/>
  </r>
  <r>
    <d v="2025-01-13T00:00:00"/>
    <x v="0"/>
    <n v="2396"/>
    <x v="0"/>
    <s v="FELIPE CASTAÑO"/>
    <s v="TECUTCO6C"/>
    <s v="Superficie  Caramelo 160x70 Clasico"/>
    <n v="1"/>
    <x v="2"/>
    <s v="Antioquia"/>
    <s v="Envigado"/>
    <x v="0"/>
    <s v="Coordinadora"/>
    <s v="3018833 -84151104926"/>
    <d v="2025-01-14T15:58:05"/>
    <d v="2025-01-15T10:33:56"/>
    <s v="Entregado"/>
    <n v="1"/>
    <n v="2"/>
    <s v="Cumple"/>
    <n v="24093"/>
    <m/>
  </r>
  <r>
    <d v="2025-01-13T00:00:00"/>
    <x v="0"/>
    <n v="2396"/>
    <x v="0"/>
    <s v="FELIPE CASTAÑO"/>
    <s v="TECUDSN"/>
    <s v="Desk Stool Negra Silla ajustable"/>
    <n v="1"/>
    <x v="4"/>
    <s v="Antioquia"/>
    <s v="Envigado"/>
    <x v="0"/>
    <s v="Coordinadora"/>
    <s v="3018855 -84151104940"/>
    <d v="2025-01-14T15:58:05"/>
    <d v="2025-01-15T10:33:56"/>
    <s v="Entregado"/>
    <n v="1"/>
    <n v="2"/>
    <s v="Cumple"/>
    <n v="26609"/>
    <m/>
  </r>
  <r>
    <d v="2025-01-13T00:00:00"/>
    <x v="0"/>
    <n v="2396"/>
    <x v="0"/>
    <s v="FELIPE CASTAÑO"/>
    <m/>
    <s v="Servicio de instalacion"/>
    <n v="1"/>
    <x v="3"/>
    <s v="Antioquia"/>
    <s v="Envigado"/>
    <x v="1"/>
    <s v="NA"/>
    <s v="NA"/>
    <s v="NA"/>
    <s v="NA"/>
    <s v="Entregado"/>
    <s v="PTE"/>
    <e v="#VALUE!"/>
    <e v="#VALUE!"/>
    <n v="0"/>
    <m/>
  </r>
  <r>
    <d v="2025-01-14T00:00:00"/>
    <x v="0"/>
    <n v="2397"/>
    <x v="0"/>
    <s v="Andres Felipe Parra Rojas"/>
    <s v="TECU2FNG"/>
    <s v="Electric Standing Desk GO Negro"/>
    <n v="1"/>
    <x v="1"/>
    <s v="Bogotá y alrededores"/>
    <s v="Bogota"/>
    <x v="0"/>
    <s v="Coordinadora"/>
    <s v="3023657 -84151107102"/>
    <d v="2025-01-16T16:40:11"/>
    <d v="2025-01-17T16:21:03"/>
    <s v="Entregado"/>
    <n v="2"/>
    <n v="3"/>
    <s v="Cumple"/>
    <n v="41593"/>
    <m/>
  </r>
  <r>
    <d v="2025-01-14T00:00:00"/>
    <x v="0"/>
    <n v="2397"/>
    <x v="0"/>
    <s v="Andres Felipe Parra Rojas"/>
    <s v="TECUTRN5C"/>
    <s v="Superficie  Roble negro 150x70 Clasico"/>
    <n v="1"/>
    <x v="2"/>
    <s v="Bogotá y alrededores"/>
    <s v="Bogota"/>
    <x v="0"/>
    <s v="Coordinadora"/>
    <s v="3023658 -84151107103"/>
    <d v="2025-01-16T16:41:19"/>
    <d v="2025-01-18T14:05:19"/>
    <s v="Entregado"/>
    <n v="2"/>
    <n v="4"/>
    <s v="No cumple"/>
    <n v="24093"/>
    <m/>
  </r>
  <r>
    <d v="2025-01-16T00:00:00"/>
    <x v="0"/>
    <n v="2398"/>
    <x v="0"/>
    <s v="Juan David Martínez Gordillo"/>
    <s v="TECU2FNG"/>
    <s v="Electric Standing Desk GO Negro"/>
    <n v="1"/>
    <x v="1"/>
    <s v="Bogotá y alrededores"/>
    <s v="Bogota"/>
    <x v="0"/>
    <s v="Coordinadora"/>
    <s v="3023776 -84151107161"/>
    <d v="2025-01-16T16:40:11"/>
    <d v="2025-01-18T13:27:15"/>
    <s v="Entregado"/>
    <n v="0"/>
    <n v="2"/>
    <s v="Cumple"/>
    <n v="41593"/>
    <m/>
  </r>
  <r>
    <d v="2025-01-16T00:00:00"/>
    <x v="0"/>
    <n v="2398"/>
    <x v="0"/>
    <s v="Juan David Martínez Gordillo"/>
    <s v="TECUTCO3C"/>
    <s v="Superficie Caramelo 130x70 Clasico"/>
    <n v="1"/>
    <x v="2"/>
    <s v="Bogotá y alrededores"/>
    <s v="Bogota"/>
    <x v="0"/>
    <s v="Coordinadora"/>
    <s v="3023777 -84151107162"/>
    <d v="2025-01-16T16:41:19"/>
    <d v="2025-01-20T14:33:10"/>
    <s v="Entregado"/>
    <n v="0"/>
    <n v="3"/>
    <s v="Cumple"/>
    <n v="24093"/>
    <m/>
  </r>
  <r>
    <d v="2025-01-16T00:00:00"/>
    <x v="0"/>
    <n v="2399"/>
    <x v="0"/>
    <s v="Stefan de Brandt"/>
    <s v="TECU3FNPRO"/>
    <s v="Electric Standing Desk  PRO Negro"/>
    <n v="1"/>
    <x v="1"/>
    <s v="Antioquia"/>
    <s v="Envigado"/>
    <x v="0"/>
    <s v="Coordinadora"/>
    <s v="3023834 -84151107192"/>
    <d v="2025-01-16T16:40:11"/>
    <d v="2025-01-17T17:50:22"/>
    <s v="Entregado"/>
    <n v="0"/>
    <n v="1"/>
    <s v="Cumple"/>
    <n v="42921"/>
    <m/>
  </r>
  <r>
    <d v="2025-01-16T00:00:00"/>
    <x v="0"/>
    <n v="2399"/>
    <x v="0"/>
    <s v="Stefan de Brandt"/>
    <s v="TECUTCO6M"/>
    <s v="Superficie  Caramelo 160x70 Moderno"/>
    <n v="1"/>
    <x v="2"/>
    <s v="Antioquia"/>
    <s v="Envigado"/>
    <x v="0"/>
    <s v="Coordinadora"/>
    <s v="3023835 -84151107193"/>
    <d v="2025-01-16T16:41:19"/>
    <d v="2025-01-17T17:50:22"/>
    <s v="Entregado"/>
    <n v="0"/>
    <n v="1"/>
    <s v="Cumple"/>
    <n v="24093"/>
    <m/>
  </r>
  <r>
    <d v="2025-01-16T00:00:00"/>
    <x v="0"/>
    <n v="2399"/>
    <x v="0"/>
    <s v="Stefan de Brandt"/>
    <m/>
    <s v="Servicio de instalacion"/>
    <n v="1"/>
    <x v="3"/>
    <s v="Antioquia"/>
    <s v="Envigado"/>
    <x v="1"/>
    <s v="NA"/>
    <s v="NA"/>
    <s v="NA"/>
    <s v="NA"/>
    <s v="Entregado"/>
    <s v="PTE"/>
    <e v="#VALUE!"/>
    <e v="#VALUE!"/>
    <n v="0"/>
    <m/>
  </r>
  <r>
    <d v="2025-01-16T00:00:00"/>
    <x v="0"/>
    <n v="2400"/>
    <x v="0"/>
    <s v="Julian Cujabante Villamil"/>
    <s v="TECUROD6"/>
    <s v="Rodachines con freno para Standing desk x 6 UN"/>
    <n v="1"/>
    <x v="7"/>
    <s v="Bogotá y alrededores"/>
    <s v="Bogota"/>
    <x v="0"/>
    <s v="Coordinadora"/>
    <s v="3026040 -84151108154"/>
    <d v="2025-01-17T15:07:22"/>
    <d v="2025-01-20T12:41:03"/>
    <s v="Entregado"/>
    <n v="1"/>
    <n v="3"/>
    <s v="Cumple"/>
    <n v="23875"/>
    <m/>
  </r>
  <r>
    <d v="2025-01-16T00:00:00"/>
    <x v="0"/>
    <n v="2400"/>
    <x v="0"/>
    <s v="Julian Cujabante Villamil"/>
    <s v="TECUBDPA"/>
    <s v="Desk Pad B Negro Azul"/>
    <n v="1"/>
    <x v="0"/>
    <s v="Bogotá y alrededores"/>
    <s v="Bogota"/>
    <x v="0"/>
    <s v="Coordinadora"/>
    <s v="3026035 -84151108151"/>
    <d v="2025-01-17T15:07:22"/>
    <d v="2025-01-20T12:41:03"/>
    <s v="Entregado"/>
    <n v="1"/>
    <n v="3"/>
    <s v="Cumple"/>
    <n v="16617"/>
    <m/>
  </r>
  <r>
    <d v="2025-01-16T00:00:00"/>
    <x v="0"/>
    <n v="2400"/>
    <x v="0"/>
    <s v="Julian Cujabante Villamil"/>
    <s v="TECURN"/>
    <s v="Repisa Negro"/>
    <n v="1"/>
    <x v="6"/>
    <s v="Bogotá y alrededores"/>
    <s v="Bogota"/>
    <x v="0"/>
    <s v="Coordinadora"/>
    <s v="3026126 -84151108195"/>
    <d v="2025-01-17T15:07:22"/>
    <d v="2025-01-20T12:41:03"/>
    <s v="Entregado"/>
    <n v="1"/>
    <n v="3"/>
    <s v="Cumple"/>
    <n v="23429"/>
    <m/>
  </r>
  <r>
    <d v="2025-01-16T00:00:00"/>
    <x v="0"/>
    <n v="2400"/>
    <x v="0"/>
    <s v="Julian Cujabante Villamil"/>
    <m/>
    <s v="Servicio de instalacion"/>
    <n v="1"/>
    <x v="3"/>
    <s v="Bogotá y alrededores"/>
    <s v="Bogota"/>
    <x v="1"/>
    <s v="NA"/>
    <s v="NA"/>
    <d v="2025-01-21T00:00:00"/>
    <d v="2025-01-21T00:00:00"/>
    <s v="Entregado"/>
    <s v="PTE"/>
    <n v="4"/>
    <s v="No cumple"/>
    <n v="0"/>
    <m/>
  </r>
  <r>
    <d v="2025-01-16T00:00:00"/>
    <x v="0"/>
    <n v="2401"/>
    <x v="0"/>
    <s v="Julian Cujabante Villamil"/>
    <s v="TECUAN"/>
    <s v="Archivador TECU  Negro"/>
    <n v="1"/>
    <x v="5"/>
    <s v="Bogotá y alrededores"/>
    <s v="Bogota"/>
    <x v="0"/>
    <s v="Envia"/>
    <s v="3026752 -954101129148"/>
    <d v="2025-01-17T15:51:00"/>
    <d v="2025-01-18T11:58:00"/>
    <s v="Entregado"/>
    <n v="1"/>
    <n v="2"/>
    <s v="Cumple"/>
    <n v="70717"/>
    <m/>
  </r>
  <r>
    <d v="2025-01-17T00:00:00"/>
    <x v="0"/>
    <n v="2402"/>
    <x v="0"/>
    <s v="Catalina Alvarado"/>
    <s v="TECU2FNG"/>
    <s v="Electric Standing Desk GO Negro"/>
    <n v="1"/>
    <x v="1"/>
    <s v="Bogotá y alrededores"/>
    <s v="Bogota"/>
    <x v="0"/>
    <s v="Coordinadora"/>
    <s v="3026634 -84151108514"/>
    <d v="2025-01-17T15:07:22"/>
    <d v="2025-01-20T11:09:20"/>
    <s v="Entregado"/>
    <n v="0"/>
    <n v="2"/>
    <s v="Cumple"/>
    <n v="41593"/>
    <m/>
  </r>
  <r>
    <d v="2025-01-17T00:00:00"/>
    <x v="0"/>
    <n v="2402"/>
    <x v="0"/>
    <s v="Catalina Alvarado"/>
    <s v="TECUTFE2C"/>
    <s v="Superficie  Fresno Europeo 120x70 Clasico Small"/>
    <n v="1"/>
    <x v="2"/>
    <s v="Bogotá y alrededores"/>
    <s v="Bogota"/>
    <x v="0"/>
    <s v="Coordinadora"/>
    <s v="3026635 -84151108515"/>
    <d v="2025-01-17T15:07:22"/>
    <d v="2025-01-20T11:07:59"/>
    <s v="Entregado"/>
    <n v="0"/>
    <n v="2"/>
    <s v="Cumple"/>
    <n v="24093"/>
    <m/>
  </r>
  <r>
    <d v="2025-01-17T00:00:00"/>
    <x v="0"/>
    <n v="2403"/>
    <x v="0"/>
    <s v="Alexandra Martínez Ruiz"/>
    <s v="TECU3FNPRO"/>
    <s v="Electric Standing Desk  PRO Negro"/>
    <n v="1"/>
    <x v="1"/>
    <s v="Bogotá y alrededores"/>
    <s v="Bogota"/>
    <x v="0"/>
    <s v="Coordinadora"/>
    <s v="3030945 -84151109872"/>
    <d v="2025-01-20T16:52:51"/>
    <d v="2025-01-22T00:00:00"/>
    <s v="Entregado"/>
    <n v="2"/>
    <n v="4"/>
    <s v="No cumple"/>
    <n v="42921"/>
    <m/>
  </r>
  <r>
    <d v="2025-01-17T00:00:00"/>
    <x v="0"/>
    <n v="2403"/>
    <x v="0"/>
    <s v="Alexandra Martínez Ruiz"/>
    <s v="TECUTFE2C"/>
    <s v="Superficie  Fresno Europeo 120x70 Clasico Small"/>
    <n v="1"/>
    <x v="2"/>
    <s v="Bogotá y alrededores"/>
    <s v="Bogota"/>
    <x v="0"/>
    <s v="Coordinadora"/>
    <s v="3030946 -84151109873"/>
    <d v="2025-01-20T16:52:51"/>
    <d v="2025-01-21T15:36:08"/>
    <s v="Entregado"/>
    <n v="2"/>
    <n v="3"/>
    <s v="Cumple"/>
    <n v="28741"/>
    <m/>
  </r>
  <r>
    <d v="2025-01-17T00:00:00"/>
    <x v="0"/>
    <n v="2403"/>
    <x v="0"/>
    <s v="Alexandra Martínez Ruiz"/>
    <m/>
    <s v="Servicio de instalacion"/>
    <n v="1"/>
    <x v="3"/>
    <s v="Bogotá y alrededores"/>
    <s v="Bogota"/>
    <x v="1"/>
    <s v="NA"/>
    <s v="NA"/>
    <d v="2025-01-23T00:00:00"/>
    <s v="NA"/>
    <s v="Entregado"/>
    <s v="PTE"/>
    <e v="#VALUE!"/>
    <e v="#VALUE!"/>
    <n v="0"/>
    <m/>
  </r>
  <r>
    <d v="2025-01-18T00:00:00"/>
    <x v="0"/>
    <n v="2404"/>
    <x v="0"/>
    <s v="Juan Camilo Acosta Escobar"/>
    <s v="TECU3FNPRO"/>
    <s v="Electric Standing Desk  PRO Negro"/>
    <n v="1"/>
    <x v="1"/>
    <s v="Antioquia"/>
    <s v="El Retiro"/>
    <x v="0"/>
    <s v="Coordinadora"/>
    <s v="3030968 -84151109880"/>
    <d v="2025-01-20T16:52:51"/>
    <d v="2025-01-22T14:11:06"/>
    <s v="Entregado"/>
    <n v="1"/>
    <n v="3"/>
    <s v="Cumple"/>
    <n v="42921"/>
    <m/>
  </r>
  <r>
    <d v="2025-01-18T00:00:00"/>
    <x v="0"/>
    <n v="2404"/>
    <x v="0"/>
    <s v="Juan Camilo Acosta Escobar"/>
    <s v="TECUTRM5C"/>
    <s v="Superficie Roble Miel 150x70 Clasico"/>
    <n v="1"/>
    <x v="2"/>
    <s v="Antioquia"/>
    <s v="El Retiro"/>
    <x v="0"/>
    <s v="Coordinadora"/>
    <s v="3030970 -84151109882"/>
    <d v="2025-01-20T16:52:51"/>
    <d v="2025-01-22T14:11:06"/>
    <s v="Entregado"/>
    <n v="1"/>
    <n v="3"/>
    <s v="Cumple"/>
    <n v="24593"/>
    <m/>
  </r>
  <r>
    <d v="2025-01-18T00:00:00"/>
    <x v="0"/>
    <n v="2404"/>
    <x v="0"/>
    <s v="Juan Camilo Acosta Escobar"/>
    <s v="TECUCT"/>
    <s v="Bandeja de cables"/>
    <n v="1"/>
    <x v="0"/>
    <s v="Antioquia"/>
    <s v="El Retiro"/>
    <x v="0"/>
    <s v="Coordinadora"/>
    <s v="3031428 -84151110138"/>
    <d v="2025-01-20T16:52:51"/>
    <d v="2025-01-22T14:11:06"/>
    <s v="Entregado"/>
    <n v="1"/>
    <n v="3"/>
    <s v="Cumple"/>
    <n v="24885"/>
    <m/>
  </r>
  <r>
    <d v="2025-01-18T00:00:00"/>
    <x v="0"/>
    <n v="2405"/>
    <x v="0"/>
    <s v="Stefan de Brandt"/>
    <s v="TECUCT"/>
    <s v="Bandeja de cables"/>
    <n v="1"/>
    <x v="0"/>
    <s v="Antioquia"/>
    <s v="Envigado"/>
    <x v="0"/>
    <s v="Coordinadora"/>
    <s v="3031190 -84151110013"/>
    <d v="2025-01-20T16:52:51"/>
    <d v="2025-01-21T13:04:29"/>
    <s v="Entregado"/>
    <n v="1"/>
    <n v="2"/>
    <s v="Cumple"/>
    <n v="24885"/>
    <m/>
  </r>
  <r>
    <d v="2025-01-20T00:00:00"/>
    <x v="0"/>
    <n v="2406"/>
    <x v="0"/>
    <s v="MARIA RODRIGUEZ"/>
    <s v="TECU2FBGO"/>
    <s v="Electric Standing Desk GO Blanco"/>
    <n v="1"/>
    <x v="1"/>
    <s v="Valle del Cauca"/>
    <s v="Jamundi"/>
    <x v="0"/>
    <s v="Coordinadora"/>
    <s v="3034128 -84151111334"/>
    <d v="2025-01-21T17:11:07"/>
    <d v="2025-01-22T00:00:00"/>
    <s v="Entregado"/>
    <n v="1"/>
    <n v="2"/>
    <e v="#N/A"/>
    <n v="41593"/>
    <m/>
  </r>
  <r>
    <d v="2025-01-20T00:00:00"/>
    <x v="0"/>
    <n v="2406"/>
    <x v="0"/>
    <s v="MARIA RODRIGUEZ"/>
    <s v="TECUTFE6C"/>
    <s v="Superficie  Fresno Europeo 160x70 Clasico"/>
    <n v="1"/>
    <x v="2"/>
    <s v="Valle del Cauca"/>
    <s v="Jamundi"/>
    <x v="0"/>
    <s v="Coordinadora"/>
    <s v="3034129 -84151111335"/>
    <d v="2025-01-21T17:11:07"/>
    <d v="2025-01-22T00:00:00"/>
    <s v="Entregado"/>
    <n v="1"/>
    <n v="2"/>
    <e v="#N/A"/>
    <n v="24093"/>
    <m/>
  </r>
  <r>
    <d v="2025-01-21T00:00:00"/>
    <x v="0"/>
    <n v="2407"/>
    <x v="0"/>
    <s v="Juan Camilo Restrepo"/>
    <s v="TECU2FNG"/>
    <s v="Electric Standing Desk GO Negro"/>
    <n v="1"/>
    <x v="1"/>
    <s v="Bogotá y alrededores"/>
    <s v="Bogota"/>
    <x v="0"/>
    <s v="Coordinadora"/>
    <s v="3034103 -84151111318"/>
    <d v="2025-01-21T17:11:07"/>
    <d v="2025-01-22T00:00:00"/>
    <s v="Entregado"/>
    <n v="0"/>
    <n v="1"/>
    <s v="Cumple"/>
    <n v="41593"/>
    <m/>
  </r>
  <r>
    <d v="2025-01-21T00:00:00"/>
    <x v="0"/>
    <n v="2407"/>
    <x v="0"/>
    <s v="Juan Camilo Restrepo"/>
    <s v="TECUTFE5C"/>
    <s v="Superficie  Fresno Europeo 150x70 Clasico"/>
    <n v="1"/>
    <x v="2"/>
    <s v="Bogotá y alrededores"/>
    <s v="Bogota"/>
    <x v="0"/>
    <s v="Coordinadora"/>
    <s v="3034104 -84151111319"/>
    <d v="2025-01-21T17:11:07"/>
    <d v="2025-01-23T00:00:00"/>
    <s v="Entregado"/>
    <n v="0"/>
    <n v="2"/>
    <s v="Cumple"/>
    <n v="24093"/>
    <m/>
  </r>
  <r>
    <d v="2025-01-21T00:00:00"/>
    <x v="0"/>
    <n v="2407"/>
    <x v="0"/>
    <s v="Juan Camilo Restrepo"/>
    <s v="TECUCT"/>
    <s v="Bandeja de cables"/>
    <n v="1"/>
    <x v="0"/>
    <s v="Bogotá y alrededores"/>
    <s v="Bogota"/>
    <x v="0"/>
    <s v="Coordinadora"/>
    <s v="3034115 -84151111325"/>
    <d v="2025-01-21T17:11:07"/>
    <d v="2025-01-22T00:00:00"/>
    <s v="Entregado"/>
    <n v="0"/>
    <n v="1"/>
    <s v="Cumple"/>
    <n v="24885"/>
    <m/>
  </r>
  <r>
    <d v="2025-01-21T00:00:00"/>
    <x v="0"/>
    <n v="2408"/>
    <x v="0"/>
    <s v="Andres Mape"/>
    <s v="TECU3FNPRO"/>
    <s v="Electric Standing Desk  PRO Negro"/>
    <n v="1"/>
    <x v="1"/>
    <s v="Bogotá y alrededores"/>
    <s v="Bogota"/>
    <x v="0"/>
    <s v="Coordinadora"/>
    <s v="3034145 -84151111349"/>
    <d v="2025-01-21T17:11:07"/>
    <d v="2025-01-22T00:00:00"/>
    <s v="Entregado"/>
    <n v="0"/>
    <n v="1"/>
    <s v="Cumple"/>
    <n v="42921"/>
    <m/>
  </r>
  <r>
    <d v="2025-01-21T00:00:00"/>
    <x v="0"/>
    <n v="2408"/>
    <x v="0"/>
    <s v="Andres Mape"/>
    <s v="TECUTCO8C"/>
    <s v="Superficie  Caramelo 180x70 Clasico"/>
    <n v="1"/>
    <x v="2"/>
    <s v="Bogotá y alrededores"/>
    <s v="Bogota"/>
    <x v="0"/>
    <s v="Coordinadora"/>
    <s v="3034147 -84151111351"/>
    <d v="2025-01-21T17:11:07"/>
    <d v="2025-01-22T00:00:00"/>
    <s v="Entregado"/>
    <n v="0"/>
    <n v="1"/>
    <s v="Cumple"/>
    <n v="26749"/>
    <m/>
  </r>
  <r>
    <d v="2025-01-21T00:00:00"/>
    <x v="0"/>
    <n v="2408"/>
    <x v="0"/>
    <s v="Andres Mape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1-21T00:00:00"/>
    <x v="0"/>
    <n v="2409"/>
    <x v="0"/>
    <s v="Rainer Villarreal"/>
    <s v="TECURCO"/>
    <s v="Repisa Caramelo"/>
    <n v="1"/>
    <x v="6"/>
    <s v="Monteria"/>
    <s v="Cordoba"/>
    <x v="0"/>
    <s v="Coordinadora"/>
    <s v="3034185 -84151111369"/>
    <d v="2025-01-21T17:11:07"/>
    <d v="2025-01-22T00:00:00"/>
    <s v="Entregado"/>
    <n v="0"/>
    <n v="1"/>
    <e v="#N/A"/>
    <n v="47133"/>
    <m/>
  </r>
  <r>
    <d v="2025-01-21T00:00:00"/>
    <x v="0"/>
    <n v="2410"/>
    <x v="0"/>
    <s v="German Uchamocha Euscategui"/>
    <s v="TECU2FNG"/>
    <s v="Electric Standing Desk GO Negro"/>
    <n v="1"/>
    <x v="1"/>
    <s v="Boyaca"/>
    <s v="Duitama"/>
    <x v="0"/>
    <s v="Coordinadora"/>
    <s v="3034194 -84151111375"/>
    <d v="2025-01-21T17:11:07"/>
    <d v="2025-01-23T00:00:00"/>
    <s v="Entregado"/>
    <n v="0"/>
    <n v="2"/>
    <e v="#N/A"/>
    <n v="59835"/>
    <m/>
  </r>
  <r>
    <d v="2025-01-21T00:00:00"/>
    <x v="0"/>
    <n v="2410"/>
    <x v="0"/>
    <s v="German Uchamocha Euscategui"/>
    <s v="TECUTFE5C"/>
    <s v="Superficie  Fresno Europeo 150x70 Clasico"/>
    <n v="1"/>
    <x v="2"/>
    <s v="Boyaca"/>
    <s v="Duitama"/>
    <x v="0"/>
    <s v="Coordinadora"/>
    <s v="3034195 -84151111376"/>
    <d v="2025-01-21T17:11:07"/>
    <d v="2025-01-23T00:00:00"/>
    <s v="Entregado"/>
    <n v="0"/>
    <n v="2"/>
    <e v="#N/A"/>
    <n v="39078"/>
    <m/>
  </r>
  <r>
    <d v="2025-01-21T00:00:00"/>
    <x v="0"/>
    <n v="2411"/>
    <x v="0"/>
    <s v="Juan David Lagos Rodriguez"/>
    <s v="TECU3FNPRO"/>
    <s v="Electric Standing Desk  PRO Negro"/>
    <n v="1"/>
    <x v="1"/>
    <s v="Bogotá y alrededores"/>
    <s v="Bogota"/>
    <x v="0"/>
    <s v="Coordinadora"/>
    <s v="3034920 -84151111800"/>
    <d v="2025-01-21T17:11:07"/>
    <d v="2025-01-22T00:00:00"/>
    <s v="Entregado"/>
    <n v="0"/>
    <n v="1"/>
    <s v="Cumple"/>
    <n v="42921"/>
    <m/>
  </r>
  <r>
    <d v="2025-01-21T00:00:00"/>
    <x v="0"/>
    <n v="2411"/>
    <x v="0"/>
    <s v="Juan David Lagos Rodriguez"/>
    <s v="TECUROD"/>
    <s v="Rodachines con freno para Standing desk x 4 UN"/>
    <n v="1"/>
    <x v="7"/>
    <s v="Bogotá y alrededores"/>
    <s v="Bogota"/>
    <x v="0"/>
    <s v="Coordinadora"/>
    <s v="3034923 -84151111801"/>
    <d v="2025-01-21T17:11:07"/>
    <d v="2025-01-22T00:00:00"/>
    <s v="Entregado"/>
    <n v="0"/>
    <n v="1"/>
    <s v="Cumple"/>
    <n v="23875"/>
    <m/>
  </r>
  <r>
    <d v="2025-01-21T00:00:00"/>
    <x v="0"/>
    <n v="2411"/>
    <x v="0"/>
    <s v="Juan David Lagos Rodriguez"/>
    <m/>
    <s v="Servicio de instalacion"/>
    <n v="1"/>
    <x v="3"/>
    <s v="Bogotá y alrededores"/>
    <s v="Bogota"/>
    <x v="1"/>
    <s v="NA"/>
    <s v="NA"/>
    <d v="2025-01-23T00:00:00"/>
    <s v="NA"/>
    <s v="Entregado"/>
    <s v="PTE"/>
    <e v="#VALUE!"/>
    <e v="#VALUE!"/>
    <n v="0"/>
    <m/>
  </r>
  <r>
    <d v="2025-01-14T00:00:00"/>
    <x v="0"/>
    <n v="2388"/>
    <x v="1"/>
    <s v="CAROLINA RAMIREZ RESTREPO"/>
    <s v="TECU2FNG"/>
    <s v="Electric Standing Desk GO Negro"/>
    <n v="1"/>
    <x v="1"/>
    <s v="Antioquia"/>
    <s v="Carmen de Viboral"/>
    <x v="0"/>
    <s v="Coordinadora"/>
    <s v="3019490 - 84151105323"/>
    <d v="2025-01-14T00:00:00"/>
    <d v="2025-01-16T00:00:00"/>
    <s v="Entregado"/>
    <n v="0"/>
    <n v="2"/>
    <s v="Cumple"/>
    <n v="112444"/>
    <n v="47258"/>
  </r>
  <r>
    <d v="2025-01-14T00:00:00"/>
    <x v="0"/>
    <n v="2388"/>
    <x v="1"/>
    <s v="CAROLINA RAMIREZ RESTREPO"/>
    <s v="TECUTCO6C"/>
    <s v="Superficie  Caramelo 160x70 Clasico"/>
    <n v="1"/>
    <x v="2"/>
    <s v="Antioquia"/>
    <s v="Carmen de Viboral"/>
    <x v="0"/>
    <s v="Coordinadora"/>
    <s v="3019497 - 84151105325"/>
    <d v="2025-01-14T00:00:00"/>
    <d v="2025-01-16T00:00:00"/>
    <s v="Entregado"/>
    <n v="0"/>
    <n v="2"/>
    <s v="Cumple"/>
    <n v="98264"/>
    <n v="29257"/>
  </r>
  <r>
    <d v="2025-01-13T00:00:00"/>
    <x v="0"/>
    <n v="2366"/>
    <x v="1"/>
    <s v="Steven Hoyos"/>
    <s v="TECUBLS"/>
    <s v="Laptop Stand B"/>
    <n v="1"/>
    <x v="0"/>
    <s v="Cauca"/>
    <s v="Popayan"/>
    <x v="0"/>
    <s v="Coordinadora"/>
    <s v="3015860 - 84151103434"/>
    <d v="2025-01-13T00:00:00"/>
    <d v="2025-01-14T00:00:00"/>
    <s v="Entregado"/>
    <n v="0"/>
    <n v="1"/>
    <s v="Cumple"/>
    <n v="25385"/>
    <m/>
  </r>
  <r>
    <d v="2025-01-15T00:00:00"/>
    <x v="0"/>
    <n v="2366"/>
    <x v="2"/>
    <s v="Steven Hoyos"/>
    <s v="TECUBDPA"/>
    <s v="Desk Pad B Negro Azul"/>
    <n v="1"/>
    <x v="0"/>
    <s v="Cauca"/>
    <s v="Popayan"/>
    <x v="0"/>
    <s v="Coordinadora"/>
    <s v="3023584 - 84151107068"/>
    <d v="2025-01-16T00:00:00"/>
    <d v="2025-01-18T00:00:00"/>
    <s v="Entregado"/>
    <n v="1"/>
    <n v="3"/>
    <s v="Cumple"/>
    <n v="24855"/>
    <m/>
  </r>
  <r>
    <d v="2025-01-20T00:00:00"/>
    <x v="0"/>
    <n v="2398"/>
    <x v="1"/>
    <s v="Juan David Martínez Gordillo"/>
    <s v="TECUTCO3C"/>
    <s v="Superficie Caramelo 130x70 Clasico"/>
    <n v="1"/>
    <x v="2"/>
    <s v="Bogotá y alrededores"/>
    <s v="Bogota"/>
    <x v="0"/>
    <s v="Coordinadora"/>
    <s v="3035292 - 84151112021"/>
    <d v="2025-01-21T00:00:00"/>
    <d v="2025-01-23T00:00:00"/>
    <s v="Entregado"/>
    <n v="1"/>
    <n v="3"/>
    <s v="Cumple"/>
    <n v="27929"/>
    <m/>
  </r>
  <r>
    <d v="2025-01-23T00:00:00"/>
    <x v="0"/>
    <n v="2412"/>
    <x v="0"/>
    <s v="Juan David Lagos Rodriguez"/>
    <s v="TECUCT"/>
    <s v="Bandeja de cables"/>
    <n v="1"/>
    <x v="0"/>
    <s v="Bogotá y alrededores"/>
    <s v="Bogota"/>
    <x v="0"/>
    <s v="Coordinadora"/>
    <s v="3038877 -84151113422"/>
    <d v="2025-01-23T00:00:00"/>
    <d v="2025-01-24T00:00:00"/>
    <s v="Entregado"/>
    <n v="0"/>
    <n v="1"/>
    <s v="Cumple"/>
    <n v="24885"/>
    <m/>
  </r>
  <r>
    <d v="2025-01-24T00:00:00"/>
    <x v="0"/>
    <n v="2413"/>
    <x v="0"/>
    <s v="Jorge Luis Monroy Herrera"/>
    <s v="TECU3FNPRO"/>
    <s v="Electric Standing Desk  PRO Negro"/>
    <n v="1"/>
    <x v="1"/>
    <s v="Atlantico"/>
    <s v="Barranquilla"/>
    <x v="0"/>
    <s v="Coordinadora"/>
    <s v="3041057 -84151114405"/>
    <d v="2025-01-24T00:00:00"/>
    <d v="2025-01-27T00:00:00"/>
    <s v="Entregado"/>
    <n v="0"/>
    <n v="2"/>
    <s v="Cumple"/>
    <n v="62467"/>
    <m/>
  </r>
  <r>
    <d v="2025-01-24T00:00:00"/>
    <x v="0"/>
    <n v="2413"/>
    <x v="0"/>
    <s v="Jorge Luis Monroy Herrera"/>
    <s v="TECUTFE8M"/>
    <s v="Superficie  Fresno Europeo 180x70 Moderno"/>
    <n v="1"/>
    <x v="2"/>
    <s v="Atlantico"/>
    <s v="Barranquilla"/>
    <x v="0"/>
    <s v="Coordinadora"/>
    <s v="3041058 -84151114407"/>
    <d v="2025-01-24T00:00:00"/>
    <d v="2025-01-27T00:00:00"/>
    <s v="Entregado"/>
    <n v="0"/>
    <n v="2"/>
    <s v="Cumple"/>
    <n v="44340"/>
    <m/>
  </r>
  <r>
    <d v="2025-01-24T00:00:00"/>
    <x v="0"/>
    <n v="2414"/>
    <x v="0"/>
    <s v="Julio Castellanos"/>
    <s v="TECU3FBRO"/>
    <s v="Electric Standing Desk  PRO Blanco"/>
    <n v="1"/>
    <x v="1"/>
    <s v="Bogotá y alrededores"/>
    <s v="Bogota"/>
    <x v="0"/>
    <s v="Coordinadora"/>
    <s v="3041064 -84151114410"/>
    <d v="2025-01-24T00:00:00"/>
    <d v="2025-01-25T00:00:00"/>
    <s v="Entregado"/>
    <n v="0"/>
    <n v="1"/>
    <s v="Cumple"/>
    <n v="42921"/>
    <m/>
  </r>
  <r>
    <d v="2025-01-24T00:00:00"/>
    <x v="0"/>
    <n v="2414"/>
    <x v="0"/>
    <s v="Julio Castellanos"/>
    <s v="TECUTFE7M"/>
    <s v="Superficie  Fresno Europeo 170x70 Moderno"/>
    <n v="1"/>
    <x v="2"/>
    <s v="Bogotá y alrededores"/>
    <s v="Bogota"/>
    <x v="0"/>
    <s v="Coordinadora"/>
    <s v="3041066 -84151114411"/>
    <d v="2025-01-24T00:00:00"/>
    <d v="2025-01-27T00:00:00"/>
    <s v="Entregado"/>
    <n v="0"/>
    <n v="2"/>
    <s v="Cumple"/>
    <n v="24093"/>
    <m/>
  </r>
  <r>
    <d v="2025-01-24T00:00:00"/>
    <x v="0"/>
    <n v="2414"/>
    <x v="0"/>
    <s v="Julio Castellanos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1-24T00:00:00"/>
    <x v="0"/>
    <n v="2415"/>
    <x v="0"/>
    <s v="Julio Castellanos"/>
    <s v="TECUBDPA"/>
    <s v="Desk Pad B Negro Azul"/>
    <n v="1"/>
    <x v="0"/>
    <s v="Bogotá y alrededores"/>
    <s v="Bogota"/>
    <x v="0"/>
    <s v="Coordinadora"/>
    <s v="3041074 -84151114418"/>
    <d v="2025-01-24T00:00:00"/>
    <d v="2025-01-25T00:00:00"/>
    <s v="Entregado"/>
    <n v="0"/>
    <n v="1"/>
    <s v="Cumple"/>
    <n v="16617"/>
    <m/>
  </r>
  <r>
    <d v="2025-01-24T00:00:00"/>
    <x v="0"/>
    <n v="2416"/>
    <x v="0"/>
    <s v="Juan Pablo Romero Bernal"/>
    <s v="TECU2FNG"/>
    <s v="Electric Standing Desk GO Negro"/>
    <n v="1"/>
    <x v="1"/>
    <s v="Bogotá y alrededores"/>
    <s v="Bogota"/>
    <x v="0"/>
    <s v="Coordinadora"/>
    <s v="3041082 -84151114424"/>
    <d v="2025-01-24T00:00:00"/>
    <d v="2025-01-28T00:00:00"/>
    <s v="Entregado"/>
    <n v="0"/>
    <n v="3"/>
    <s v="Cumple"/>
    <n v="41593"/>
    <m/>
  </r>
  <r>
    <d v="2025-01-24T00:00:00"/>
    <x v="0"/>
    <n v="2416"/>
    <x v="0"/>
    <s v="Juan Pablo Romero Bernal"/>
    <s v="TECUTFE5C"/>
    <s v="Superficie  Fresno Europeo 150x70 Clasico"/>
    <n v="1"/>
    <x v="2"/>
    <s v="Bogotá y alrededores"/>
    <s v="Bogota"/>
    <x v="0"/>
    <s v="Coordinadora"/>
    <s v="3041083 -84151114425"/>
    <d v="2025-01-24T00:00:00"/>
    <d v="2025-01-28T00:00:00"/>
    <s v="Entregado"/>
    <n v="0"/>
    <n v="3"/>
    <s v="Cumple"/>
    <n v="24093"/>
    <m/>
  </r>
  <r>
    <d v="2025-01-24T00:00:00"/>
    <x v="0"/>
    <n v="2417"/>
    <x v="0"/>
    <s v="Rosemery Carrillo"/>
    <s v="TECU3FNPRO"/>
    <s v="Electric Standing Desk  PRO Negro"/>
    <n v="1"/>
    <x v="1"/>
    <s v="Bogotá y alrededores"/>
    <s v="Bogota"/>
    <x v="0"/>
    <s v="Coordinadora"/>
    <s v="3041165 -84151114467"/>
    <d v="2025-01-24T00:00:00"/>
    <d v="2025-01-27T00:00:00"/>
    <s v="Entregado"/>
    <n v="0"/>
    <n v="2"/>
    <s v="Cumple"/>
    <n v="42921"/>
    <m/>
  </r>
  <r>
    <d v="2025-01-24T00:00:00"/>
    <x v="0"/>
    <n v="2418"/>
    <x v="0"/>
    <s v="Angela Patricia Duque Gutierrez"/>
    <s v="TECU3FNPRO"/>
    <s v="Electric Standing Desk  PRO Negro"/>
    <n v="1"/>
    <x v="1"/>
    <s v="Quindio"/>
    <s v="La tebaida"/>
    <x v="0"/>
    <s v="Entrega directa"/>
    <s v="Entrega en la bodega a la cliente"/>
    <d v="2025-01-24T00:00:00"/>
    <d v="2025-01-24T00:00:00"/>
    <s v="Entregado"/>
    <n v="0"/>
    <n v="0"/>
    <e v="#N/A"/>
    <n v="0"/>
    <m/>
  </r>
  <r>
    <d v="2025-01-24T00:00:00"/>
    <x v="0"/>
    <n v="2419"/>
    <x v="0"/>
    <s v="Ricardo Mesa Gallego"/>
    <s v="TECUCT"/>
    <s v="Bandeja de cables"/>
    <n v="1"/>
    <x v="0"/>
    <s v="Antioquia"/>
    <s v="Medellin"/>
    <x v="0"/>
    <s v="Coordinadora"/>
    <s v="3041884 - 84151114874"/>
    <d v="2025-01-24T00:00:00"/>
    <d v="2025-01-25T00:00:00"/>
    <s v="Entregado"/>
    <n v="0"/>
    <n v="1"/>
    <s v="Cumple"/>
    <n v="24885"/>
    <m/>
  </r>
  <r>
    <d v="2025-01-27T00:00:00"/>
    <x v="0"/>
    <n v="2420"/>
    <x v="0"/>
    <s v="Cristian Laguado"/>
    <s v="TECU3FNPRO"/>
    <s v="Electric Standing Desk  PRO Negro"/>
    <n v="1"/>
    <x v="1"/>
    <s v="Bogotá y alrededores"/>
    <s v="Bogota"/>
    <x v="0"/>
    <s v="Coordinadora"/>
    <s v="3053751 - 84151119935"/>
    <d v="2025-01-30T00:00:00"/>
    <d v="2025-02-01T00:00:00"/>
    <s v="Entregado"/>
    <n v="3"/>
    <n v="5"/>
    <s v="No cumple"/>
    <n v="42921"/>
    <m/>
  </r>
  <r>
    <d v="2025-01-27T00:00:00"/>
    <x v="0"/>
    <n v="2420"/>
    <x v="0"/>
    <s v="Cristian Laguado"/>
    <s v="TECUTRM5C"/>
    <s v="Superficie Roble Miel 150x70 Clasico"/>
    <n v="1"/>
    <x v="2"/>
    <s v="Bogotá y alrededores"/>
    <s v="Bogota"/>
    <x v="0"/>
    <s v="Coordinadora"/>
    <s v="3053752 - 84151119936"/>
    <d v="2025-01-30T00:00:00"/>
    <d v="2025-02-04T00:00:00"/>
    <s v="Entregado"/>
    <n v="3"/>
    <n v="7"/>
    <s v="No cumple"/>
    <n v="24593"/>
    <m/>
  </r>
  <r>
    <d v="2025-01-27T00:00:00"/>
    <x v="0"/>
    <n v="2421"/>
    <x v="0"/>
    <s v="Carlos Salazar"/>
    <s v="TECUROD"/>
    <s v="Rodachines con freno para Standing desk x 4 UN"/>
    <n v="1"/>
    <x v="7"/>
    <s v="Tolima"/>
    <s v="Ibague"/>
    <x v="0"/>
    <s v="Coordinadora"/>
    <s v="3048222 - 84151117369"/>
    <d v="2025-01-28T00:00:00"/>
    <d v="2025-01-29T00:00:00"/>
    <s v="Entregado"/>
    <n v="1"/>
    <n v="2"/>
    <s v="Cumple"/>
    <n v="23875"/>
    <m/>
  </r>
  <r>
    <d v="2025-01-27T00:00:00"/>
    <x v="0"/>
    <n v="2422"/>
    <x v="0"/>
    <s v="Juan Angulo"/>
    <s v="TECUCT"/>
    <s v="Bandeja de cables"/>
    <n v="1"/>
    <x v="0"/>
    <s v="Atlantico"/>
    <s v="Barranquilla"/>
    <x v="0"/>
    <s v="Coordinadora"/>
    <s v="3048263 - 84151117376"/>
    <d v="2025-01-28T00:00:00"/>
    <d v="2025-01-30T00:00:00"/>
    <s v="Entregado"/>
    <n v="1"/>
    <n v="3"/>
    <s v="Cumple"/>
    <n v="24885"/>
    <m/>
  </r>
  <r>
    <d v="2025-01-28T00:00:00"/>
    <x v="0"/>
    <n v="2423"/>
    <x v="0"/>
    <s v="Octavio De La Hoz Franco"/>
    <s v="TECU3FBRO"/>
    <s v="Electric Standing Desk  PRO Blanco"/>
    <n v="1"/>
    <x v="1"/>
    <s v="Atlantico"/>
    <s v="Barranquilla"/>
    <x v="0"/>
    <s v="Coordinadora"/>
    <s v="3049137 - 84151117798"/>
    <d v="2025-01-28T00:00:00"/>
    <d v="2025-02-01T00:00:00"/>
    <s v="Entregado"/>
    <n v="0"/>
    <n v="4"/>
    <s v="Cumple"/>
    <n v="62647"/>
    <m/>
  </r>
  <r>
    <d v="2025-01-28T00:00:00"/>
    <x v="0"/>
    <n v="2423"/>
    <x v="0"/>
    <s v="Octavio De La Hoz Franco"/>
    <s v="TECUTB20C"/>
    <s v="Superficie Niebla 200x70 Clasico"/>
    <n v="1"/>
    <x v="2"/>
    <s v="Atlantico"/>
    <s v="Barranquilla"/>
    <x v="0"/>
    <s v="Coordinadora"/>
    <s v="3049139 - 84151117799"/>
    <d v="2025-01-28T00:00:00"/>
    <d v="2025-02-01T00:00:00"/>
    <s v="Entregado"/>
    <n v="0"/>
    <n v="4"/>
    <s v="Cumple"/>
    <n v="44340"/>
    <m/>
  </r>
  <r>
    <d v="2025-01-28T00:00:00"/>
    <x v="0"/>
    <n v="2424"/>
    <x v="0"/>
    <s v="CARLOS ARTURO REYES ESCOBAR"/>
    <s v="TECU3FNPRO"/>
    <s v="Electric Standing Desk  PRO Negro"/>
    <n v="1"/>
    <x v="1"/>
    <s v="Valle del Cauca"/>
    <s v="Cali"/>
    <x v="0"/>
    <s v="Coordinadora"/>
    <s v="3050418 - 84151118335"/>
    <d v="2025-01-29T00:00:00"/>
    <d v="2025-01-31T00:00:00"/>
    <s v="Entregado"/>
    <n v="1"/>
    <n v="3"/>
    <s v="Cumple"/>
    <n v="42921"/>
    <m/>
  </r>
  <r>
    <d v="2025-01-28T00:00:00"/>
    <x v="0"/>
    <n v="2424"/>
    <x v="0"/>
    <s v="CARLOS ARTURO REYES ESCOBAR"/>
    <s v="TECUTCO2C"/>
    <s v="Superficie  Caramelo 120x70 Clasico Small"/>
    <n v="1"/>
    <x v="2"/>
    <s v="Valle del Cauca"/>
    <s v="Cali"/>
    <x v="0"/>
    <s v="Coordinadora"/>
    <s v="3050419 - 84151118336"/>
    <d v="2025-01-29T00:00:00"/>
    <d v="2025-01-31T00:00:00"/>
    <s v="Entregado"/>
    <n v="1"/>
    <n v="3"/>
    <s v="Cumple"/>
    <n v="28741"/>
    <m/>
  </r>
  <r>
    <d v="2025-01-29T00:00:00"/>
    <x v="0"/>
    <n v="2425"/>
    <x v="0"/>
    <s v="Manuel eduardo Valdez mantero"/>
    <s v="TECU3FBRO"/>
    <s v="Electric Standing Desk  PRO Blanco"/>
    <n v="1"/>
    <x v="1"/>
    <s v="Bogotá y alrededores"/>
    <s v="Bogota"/>
    <x v="0"/>
    <s v="Coordinadora"/>
    <s v="3050613 - 84151118456"/>
    <d v="2025-01-29T00:00:00"/>
    <d v="2025-01-31T00:00:00"/>
    <s v="Entregado"/>
    <n v="0"/>
    <n v="2"/>
    <s v="Cumple"/>
    <n v="42921"/>
    <m/>
  </r>
  <r>
    <d v="2025-01-29T00:00:00"/>
    <x v="0"/>
    <n v="2425"/>
    <x v="0"/>
    <s v="Manuel eduardo Valdez mantero"/>
    <s v="TECUTB7C"/>
    <s v="Superficie Niebla 170x70 Clasico"/>
    <n v="1"/>
    <x v="2"/>
    <s v="Bogotá y alrededores"/>
    <s v="Bogota"/>
    <x v="0"/>
    <s v="Coordinadora"/>
    <s v="3050615 - 84151118457"/>
    <d v="2025-01-29T00:00:00"/>
    <d v="2025-01-31T00:00:00"/>
    <s v="Entregado"/>
    <n v="0"/>
    <n v="2"/>
    <s v="Cumple"/>
    <n v="24093"/>
    <m/>
  </r>
  <r>
    <d v="2025-01-30T00:00:00"/>
    <x v="0"/>
    <n v="2426"/>
    <x v="0"/>
    <s v="Rodrigo Rivera"/>
    <s v="TECU3FNPRO"/>
    <s v="Electric Standing Desk  PRO Negro"/>
    <n v="1"/>
    <x v="1"/>
    <s v="Valle del Cauca"/>
    <s v="Cali"/>
    <x v="0"/>
    <s v="Coordinadora"/>
    <s v="3052581 - 84151119369"/>
    <d v="2025-01-30T00:00:00"/>
    <d v="2025-02-01T00:00:00"/>
    <s v="Entregado"/>
    <n v="0"/>
    <n v="2"/>
    <s v="Cumple"/>
    <n v="42921"/>
    <m/>
  </r>
  <r>
    <d v="2025-01-30T00:00:00"/>
    <x v="0"/>
    <n v="2426"/>
    <x v="0"/>
    <s v="Rodrigo Rivera"/>
    <s v="TECUTCO8C"/>
    <s v="Superficie  Caramelo 180x70 Clasico"/>
    <n v="1"/>
    <x v="2"/>
    <s v="Valle del Cauca"/>
    <s v="Cali"/>
    <x v="0"/>
    <s v="Coordinadora"/>
    <s v="3052583 - 84151119370"/>
    <d v="2025-01-30T00:00:00"/>
    <d v="2025-02-01T00:00:00"/>
    <s v="Entregado"/>
    <n v="0"/>
    <n v="2"/>
    <s v="Cumple"/>
    <n v="26749"/>
    <m/>
  </r>
  <r>
    <d v="2025-01-30T00:00:00"/>
    <x v="0"/>
    <n v="2427"/>
    <x v="0"/>
    <s v="María Manuela Bueno Tavera"/>
    <s v="TECU3FBRO"/>
    <s v="Electric Standing Desk  PRO Blanco"/>
    <n v="1"/>
    <x v="1"/>
    <s v="Bogotá y alrededores"/>
    <s v="Bogota"/>
    <x v="0"/>
    <s v="Coordinadora"/>
    <s v="3053317 - 84151119704"/>
    <d v="2025-01-30T00:00:00"/>
    <d v="2025-01-31T00:00:00"/>
    <s v="Entregado"/>
    <n v="0"/>
    <n v="1"/>
    <s v="Cumple"/>
    <n v="42921"/>
    <m/>
  </r>
  <r>
    <d v="2025-01-30T00:00:00"/>
    <x v="0"/>
    <n v="2427"/>
    <x v="0"/>
    <s v="María Manuela Bueno Tavera"/>
    <s v="TECUTFE3C"/>
    <s v="Superficie  Fresno Europeo 130x70 Clasico"/>
    <n v="1"/>
    <x v="2"/>
    <s v="Bogotá y alrededores"/>
    <s v="Bogota"/>
    <x v="0"/>
    <s v="Coordinadora"/>
    <s v="3053318 - 84151119705"/>
    <d v="2025-01-30T00:00:00"/>
    <d v="2025-01-31T00:00:00"/>
    <s v="Entregado"/>
    <n v="0"/>
    <n v="1"/>
    <s v="Cumple"/>
    <n v="28741"/>
    <m/>
  </r>
  <r>
    <d v="2025-01-30T00:00:00"/>
    <x v="0"/>
    <n v="2428"/>
    <x v="0"/>
    <s v="Nicolas Enciso Calle"/>
    <s v="TECU2FNG"/>
    <s v="Electric Standing Desk GO Negro"/>
    <n v="1"/>
    <x v="1"/>
    <s v="Antioquia"/>
    <s v="Medellin"/>
    <x v="0"/>
    <s v="Coordinadora"/>
    <s v="3053377 - 84151119723"/>
    <d v="2025-01-30T00:00:00"/>
    <d v="2025-01-31T00:00:00"/>
    <s v="Entregado"/>
    <n v="0"/>
    <n v="1"/>
    <s v="Cumple"/>
    <n v="41593"/>
    <m/>
  </r>
  <r>
    <d v="2025-01-30T00:00:00"/>
    <x v="0"/>
    <n v="2428"/>
    <x v="0"/>
    <s v="Nicolas Enciso Calle"/>
    <s v="TECUTRN6C"/>
    <s v="Superficie  Roble Negro 160x70 Clasico"/>
    <n v="1"/>
    <x v="2"/>
    <s v="Antioquia"/>
    <s v="Medellin"/>
    <x v="0"/>
    <s v="Coordinadora"/>
    <s v="3053379 - 84151119725"/>
    <d v="2025-01-30T00:00:00"/>
    <d v="2025-01-31T00:00:00"/>
    <s v="Entregado"/>
    <n v="0"/>
    <n v="1"/>
    <s v="Cumple"/>
    <n v="24093"/>
    <m/>
  </r>
  <r>
    <d v="2025-01-31T00:00:00"/>
    <x v="0"/>
    <n v="2429"/>
    <x v="0"/>
    <s v="Geovanny Mendoza Gonzalez"/>
    <s v="TECU3FNPRO"/>
    <s v="Electric Standing Desk  PRO Negro"/>
    <n v="1"/>
    <x v="1"/>
    <s v="Atlantico"/>
    <s v="Barranquilla"/>
    <x v="0"/>
    <s v="Coordinadora"/>
    <s v="3059087 - 84151121970"/>
    <d v="2025-02-03T00:00:00"/>
    <d v="2025-02-05T00:00:00"/>
    <s v="Entregado"/>
    <n v="2"/>
    <n v="4"/>
    <s v="Cumple"/>
    <n v="62467"/>
    <m/>
  </r>
  <r>
    <d v="2025-01-31T00:00:00"/>
    <x v="0"/>
    <n v="2429"/>
    <x v="0"/>
    <s v="Geovanny Mendoza Gonzalez"/>
    <s v="TECUTCO5M"/>
    <s v="Superficie Caramelo 150x70 Moderno"/>
    <n v="1"/>
    <x v="2"/>
    <s v="Atlantico"/>
    <s v="Barranquilla"/>
    <x v="0"/>
    <s v="Coordinadora"/>
    <s v="3059089 - 84151121971"/>
    <d v="2025-02-03T00:00:00"/>
    <d v="2025-02-05T00:00:00"/>
    <s v="Entregado"/>
    <n v="2"/>
    <n v="4"/>
    <s v="Cumple"/>
    <n v="39078"/>
    <m/>
  </r>
  <r>
    <d v="2025-01-31T00:00:00"/>
    <x v="0"/>
    <n v="2430"/>
    <x v="0"/>
    <s v="john ibanez"/>
    <s v="TECU3FNPRO"/>
    <s v="Electric Standing Desk  PRO Negro"/>
    <n v="1"/>
    <x v="1"/>
    <s v="Bogotá y alrededores"/>
    <s v="Bogota"/>
    <x v="0"/>
    <s v="Coordinadora"/>
    <s v="3059099 - 84151121978"/>
    <d v="2025-02-03T00:00:00"/>
    <d v="2025-02-05T00:00:00"/>
    <s v="Entregado"/>
    <n v="2"/>
    <n v="4"/>
    <s v="No cumple"/>
    <n v="42921"/>
    <m/>
  </r>
  <r>
    <d v="2025-01-31T00:00:00"/>
    <x v="0"/>
    <n v="2430"/>
    <x v="0"/>
    <s v="john ibanez"/>
    <s v="TECUTCO8C"/>
    <s v="Superficie  Caramelo 180x70 Clasico"/>
    <n v="1"/>
    <x v="2"/>
    <s v="Bogotá y alrededores"/>
    <s v="Bogota"/>
    <x v="0"/>
    <s v="Coordinadora"/>
    <s v="3059100 - 84151121979"/>
    <d v="2025-02-03T00:00:00"/>
    <d v="2025-02-05T00:00:00"/>
    <s v="Entregado"/>
    <n v="2"/>
    <n v="4"/>
    <s v="No cumple"/>
    <n v="26749"/>
    <m/>
  </r>
  <r>
    <d v="2025-01-31T00:00:00"/>
    <x v="0"/>
    <n v="2430"/>
    <x v="0"/>
    <s v="john ibanez"/>
    <s v="TECUROD"/>
    <s v="Rodachines con freno para Standing desk x 4 UN"/>
    <n v="1"/>
    <x v="7"/>
    <s v="Bogotá y alrededores"/>
    <s v="Bogota"/>
    <x v="0"/>
    <s v="Coordinadora"/>
    <s v="3059107 - 84151121983"/>
    <d v="2025-02-03T00:00:00"/>
    <d v="2025-02-05T00:00:00"/>
    <s v="Entregado"/>
    <n v="2"/>
    <n v="4"/>
    <s v="No cumple"/>
    <n v="23875"/>
    <m/>
  </r>
  <r>
    <d v="2025-02-02T00:00:00"/>
    <x v="1"/>
    <n v="2431"/>
    <x v="0"/>
    <s v="Patricia Luna Pamplona"/>
    <s v="TECU3FBRO"/>
    <s v="Electric Standing Desk  PRO Blanco"/>
    <n v="1"/>
    <x v="1"/>
    <s v="Bogotá y alrededores"/>
    <s v="Bogota"/>
    <x v="0"/>
    <s v="Coordinadora"/>
    <s v="3059121 - 84151121990"/>
    <d v="2025-02-03T00:00:00"/>
    <d v="2025-02-07T00:00:00"/>
    <s v="Entregado"/>
    <n v="0"/>
    <n v="4"/>
    <s v="No cumple"/>
    <n v="42921"/>
    <m/>
  </r>
  <r>
    <d v="2025-02-02T00:00:00"/>
    <x v="1"/>
    <n v="2431"/>
    <x v="0"/>
    <s v="Patricia Luna Pamplona"/>
    <s v="TECUTB5M"/>
    <s v="Superficie Niebla 150x70 Moderno"/>
    <n v="1"/>
    <x v="2"/>
    <s v="Bogotá y alrededores"/>
    <s v="Bogota"/>
    <x v="0"/>
    <s v="Coordinadora"/>
    <s v="3059122 - 84151121991"/>
    <d v="2025-02-03T00:00:00"/>
    <d v="2025-02-05T00:00:00"/>
    <s v="Entregado"/>
    <n v="0"/>
    <n v="2"/>
    <s v="Cumple"/>
    <n v="24093"/>
    <m/>
  </r>
  <r>
    <d v="2025-02-02T00:00:00"/>
    <x v="1"/>
    <n v="2431"/>
    <x v="0"/>
    <s v="Patricia Luna Pamplona"/>
    <s v="TECUBDPM"/>
    <s v="Desk Pad B Negro Café Miel"/>
    <n v="1"/>
    <x v="0"/>
    <s v="Bogotá y alrededores"/>
    <s v="Bogota"/>
    <x v="0"/>
    <s v="Coordinadora"/>
    <s v="3059143 - 84151122002"/>
    <d v="2025-02-03T00:00:00"/>
    <d v="2025-02-05T00:00:00"/>
    <s v="Entregado"/>
    <n v="0"/>
    <n v="2"/>
    <s v="Cumple"/>
    <n v="16617"/>
    <m/>
  </r>
  <r>
    <d v="2025-02-02T00:00:00"/>
    <x v="1"/>
    <n v="2432"/>
    <x v="0"/>
    <s v="Edgar Federico Rodríguez Aranda"/>
    <s v="TECURCC"/>
    <s v="Repisa Miel"/>
    <n v="1"/>
    <x v="6"/>
    <s v="Bogotá y alrededores"/>
    <s v="Bogota"/>
    <x v="0"/>
    <s v="Coordinadora"/>
    <s v="3059168 - 84151122021"/>
    <d v="2025-02-03T00:00:00"/>
    <d v="2025-02-06T00:00:00"/>
    <s v="Entregado"/>
    <n v="0"/>
    <n v="3"/>
    <s v="Cumple"/>
    <n v="23429"/>
    <m/>
  </r>
  <r>
    <d v="2025-02-02T00:00:00"/>
    <x v="1"/>
    <n v="2433"/>
    <x v="0"/>
    <s v="Laura Yepes Aranda"/>
    <s v="TECU3FNPRO"/>
    <s v="Electric Standing Desk  PRO Negro"/>
    <n v="1"/>
    <x v="1"/>
    <s v="Antioquia"/>
    <s v="Medellin"/>
    <x v="0"/>
    <s v="Coordinadora"/>
    <s v="3064792 - 84151123684"/>
    <d v="2025-02-04T00:00:00"/>
    <d v="2025-02-05T00:00:00"/>
    <s v="Entregado"/>
    <n v="1"/>
    <n v="2"/>
    <s v="Cumple"/>
    <n v="42921"/>
    <m/>
  </r>
  <r>
    <d v="2025-02-02T00:00:00"/>
    <x v="1"/>
    <n v="2433"/>
    <x v="0"/>
    <s v="Laura Yepes Aranda"/>
    <s v="TECUTFE7M"/>
    <s v="Superficie  Fresno Europeo 170x70 Moderno"/>
    <n v="1"/>
    <x v="2"/>
    <s v="Antioquia"/>
    <s v="Medellin"/>
    <x v="0"/>
    <s v="Coordinadora"/>
    <s v="3064793 - 84151123685"/>
    <d v="2025-02-04T00:00:00"/>
    <d v="2025-02-05T00:00:00"/>
    <s v="Entregado"/>
    <n v="1"/>
    <n v="2"/>
    <s v="Cumple"/>
    <n v="24093"/>
    <m/>
  </r>
  <r>
    <d v="2025-02-02T00:00:00"/>
    <x v="1"/>
    <n v="2433"/>
    <x v="0"/>
    <s v="Laura Yepes Aranda"/>
    <s v="TECUAFE"/>
    <s v="Archivador TECU Fresno Europeo"/>
    <n v="1"/>
    <x v="5"/>
    <s v="Antioquia"/>
    <s v="Medellin"/>
    <x v="0"/>
    <s v="Envia"/>
    <s v="3067195 - 954101143183"/>
    <d v="2025-02-04T00:00:00"/>
    <d v="2025-02-06T00:00:00"/>
    <s v="Entregado"/>
    <n v="1"/>
    <n v="3"/>
    <s v="Cumple"/>
    <n v="65682"/>
    <m/>
  </r>
  <r>
    <d v="2025-02-02T00:00:00"/>
    <x v="1"/>
    <n v="2433"/>
    <x v="0"/>
    <s v="Laura Yepes Aranda"/>
    <s v="TECUBLS"/>
    <s v="Laptop Stand B"/>
    <n v="1"/>
    <x v="0"/>
    <s v="Antioquia"/>
    <s v="Medellin"/>
    <x v="0"/>
    <s v="Coordinadora"/>
    <s v="3064802 -84151123689"/>
    <d v="2025-02-04T00:00:00"/>
    <d v="2025-02-05T00:00:00"/>
    <s v="Entregado"/>
    <n v="1"/>
    <n v="2"/>
    <s v="Cumple"/>
    <n v="24885"/>
    <m/>
  </r>
  <r>
    <d v="2025-02-03T00:00:00"/>
    <x v="1"/>
    <n v="2434"/>
    <x v="0"/>
    <s v="Darwin Saenz"/>
    <s v="TECUACO"/>
    <s v="Archivador TECU  Caramelo"/>
    <n v="1"/>
    <x v="5"/>
    <s v="Bogotá y alrededores"/>
    <s v="Bogota"/>
    <x v="0"/>
    <s v="Envia"/>
    <s v="3067483 - 954101143262"/>
    <d v="2025-02-04T00:00:00"/>
    <d v="2025-02-06T00:00:00"/>
    <s v="Entregado"/>
    <n v="1"/>
    <n v="3"/>
    <s v="Cumple"/>
    <n v="54929"/>
    <m/>
  </r>
  <r>
    <d v="2025-02-03T00:00:00"/>
    <x v="1"/>
    <n v="2435"/>
    <x v="0"/>
    <s v="Andres Adolfo Hernandez Celis"/>
    <s v="TECU3FNPRO"/>
    <s v="Electric Standing Desk  PRO Negro"/>
    <n v="1"/>
    <x v="1"/>
    <s v="Bogotá y alrededores"/>
    <s v="Bogota"/>
    <x v="0"/>
    <s v="Coordinadora"/>
    <s v="3064808 - 84151123691"/>
    <d v="2025-02-04T00:00:00"/>
    <d v="2025-02-06T00:00:00"/>
    <s v="Entregado"/>
    <n v="1"/>
    <n v="3"/>
    <s v="Cumple"/>
    <n v="42921"/>
    <m/>
  </r>
  <r>
    <d v="2025-02-03T00:00:00"/>
    <x v="1"/>
    <n v="2435"/>
    <x v="0"/>
    <s v="Andres Adolfo Hernandez Celis"/>
    <s v="TECUTCO8C"/>
    <s v="Superficie  Caramelo 180x70 Clasico"/>
    <n v="1"/>
    <x v="2"/>
    <s v="Bogotá y alrededores"/>
    <s v="Bogota"/>
    <x v="0"/>
    <s v="Coordinadora"/>
    <s v="3064809 - 84151123692"/>
    <d v="2025-02-04T00:00:00"/>
    <d v="2025-02-06T00:00:00"/>
    <s v="Entregado"/>
    <n v="1"/>
    <n v="3"/>
    <s v="Cumple"/>
    <n v="26749"/>
    <m/>
  </r>
  <r>
    <d v="2025-02-03T00:00:00"/>
    <x v="1"/>
    <n v="2435"/>
    <x v="0"/>
    <s v="Andres Adolfo Hernandez Celis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2-04T00:00:00"/>
    <x v="1"/>
    <n v="2436"/>
    <x v="0"/>
    <s v="Jorge Andrés Martin González"/>
    <s v="TECU3FNPRO"/>
    <s v="Electric Standing Desk  PRO Negro"/>
    <n v="1"/>
    <x v="1"/>
    <s v="Bogotá y alrededores"/>
    <s v="Bogota"/>
    <x v="0"/>
    <s v="Coordinadora"/>
    <s v="3064827 - 84151123703"/>
    <d v="2025-02-04T00:00:00"/>
    <d v="2025-02-06T00:00:00"/>
    <s v="Entregado"/>
    <n v="0"/>
    <n v="2"/>
    <s v="Cumple"/>
    <n v="42921"/>
    <m/>
  </r>
  <r>
    <d v="2025-02-10T00:00:00"/>
    <x v="1"/>
    <n v="2437"/>
    <x v="0"/>
    <s v="Luis Angel Hernandez Barreto"/>
    <s v="TECU3FNPRO"/>
    <s v="Electric Standing Desk  PRO Negro"/>
    <n v="1"/>
    <x v="1"/>
    <s v="Bogotá y alrededores"/>
    <s v="Madrid"/>
    <x v="0"/>
    <s v="Coordinadora"/>
    <s v="3076529 - 84151128765"/>
    <d v="2025-02-10T00:00:00"/>
    <d v="2025-02-12T00:00:00"/>
    <s v="Entregado"/>
    <n v="0"/>
    <n v="2"/>
    <e v="#N/A"/>
    <n v="42921"/>
    <m/>
  </r>
  <r>
    <d v="2025-02-10T00:00:00"/>
    <x v="1"/>
    <n v="2437"/>
    <x v="0"/>
    <s v="Luis Angel Hernandez Barreto"/>
    <s v="TECUTFE4C"/>
    <s v="Superficie  Fresno Europeo 140x70 Clasico"/>
    <n v="1"/>
    <x v="2"/>
    <s v="Bogotá y alrededores"/>
    <s v="Madrid"/>
    <x v="0"/>
    <s v="Coordinadora"/>
    <s v="3076530 - 84151128766"/>
    <d v="2025-02-10T00:00:00"/>
    <d v="2025-02-12T00:00:00"/>
    <s v="Entregado"/>
    <n v="0"/>
    <n v="2"/>
    <e v="#N/A"/>
    <n v="24093"/>
    <m/>
  </r>
  <r>
    <d v="2025-02-10T00:00:00"/>
    <x v="1"/>
    <n v="2438"/>
    <x v="0"/>
    <s v="Alejandro León Marín"/>
    <s v="TECU3FNPRO"/>
    <s v="Electric Standing Desk  PRO Negro"/>
    <n v="1"/>
    <x v="1"/>
    <s v="Bogotá y alrededores"/>
    <s v="Bogota"/>
    <x v="0"/>
    <s v="Coordinadora"/>
    <s v="3076861 - 84151128959"/>
    <d v="2025-02-10T00:00:00"/>
    <d v="2025-02-12T00:00:00"/>
    <s v="Entregado"/>
    <n v="0"/>
    <n v="2"/>
    <s v="Cumple"/>
    <n v="42921"/>
    <m/>
  </r>
  <r>
    <d v="2025-02-10T00:00:00"/>
    <x v="1"/>
    <n v="2438"/>
    <x v="0"/>
    <s v="Alejandro León Marín"/>
    <s v="TECUTCO6C"/>
    <s v="Superficie  Caramelo 160x70 Clasico"/>
    <n v="1"/>
    <x v="2"/>
    <s v="Bogotá y alrededores"/>
    <s v="Bogota"/>
    <x v="0"/>
    <s v="Coordinadora"/>
    <s v="3076862 - 84151128960"/>
    <d v="2025-02-10T00:00:00"/>
    <d v="2025-02-12T00:00:00"/>
    <s v="Entregado"/>
    <n v="0"/>
    <n v="2"/>
    <s v="Cumple"/>
    <n v="24093"/>
    <m/>
  </r>
  <r>
    <d v="2025-02-10T00:00:00"/>
    <x v="1"/>
    <n v="2438"/>
    <x v="0"/>
    <s v="Alejandro León Marín"/>
    <s v="TECUBDPM"/>
    <s v="Desk Pad B Negro Café Miel"/>
    <n v="1"/>
    <x v="0"/>
    <s v="Bogotá y alrededores"/>
    <s v="Bogota"/>
    <x v="0"/>
    <s v="Coordinadora"/>
    <s v="3076871 - 84151128965"/>
    <d v="2025-02-10T00:00:00"/>
    <d v="2025-02-12T00:00:00"/>
    <s v="Entregado"/>
    <n v="0"/>
    <n v="2"/>
    <s v="Cumple"/>
    <n v="16617"/>
    <m/>
  </r>
  <r>
    <d v="2025-02-10T00:00:00"/>
    <x v="1"/>
    <n v="2438"/>
    <x v="0"/>
    <s v="Alejandro León Marín"/>
    <s v="TECUCT"/>
    <s v="Bandeja de cables"/>
    <n v="1"/>
    <x v="0"/>
    <s v="Bogotá y alrededores"/>
    <s v="Bogota"/>
    <x v="0"/>
    <s v="Coordinadora"/>
    <s v="3076866 - 84151128963"/>
    <d v="2025-02-10T00:00:00"/>
    <d v="2025-02-12T00:00:00"/>
    <s v="Entregado"/>
    <n v="0"/>
    <n v="2"/>
    <s v="Cumple"/>
    <n v="24885"/>
    <m/>
  </r>
  <r>
    <d v="2025-02-10T00:00:00"/>
    <x v="1"/>
    <n v="2438"/>
    <x v="0"/>
    <s v="Alejandro León Marín"/>
    <m/>
    <s v="Servicio de instalacion"/>
    <n v="1"/>
    <x v="3"/>
    <s v="Bogotá y alrededores"/>
    <s v="Bogota"/>
    <x v="1"/>
    <s v="NA"/>
    <s v="NA"/>
    <s v="NA"/>
    <s v="NA"/>
    <s v="Entregado"/>
    <m/>
    <m/>
    <m/>
    <n v="0"/>
    <m/>
  </r>
  <r>
    <d v="2025-02-11T00:00:00"/>
    <x v="1"/>
    <n v="2439"/>
    <x v="0"/>
    <s v="SARA GALLON"/>
    <s v="TECU3FNPRO"/>
    <s v="Electric Standing Desk  PRO Negro"/>
    <n v="1"/>
    <x v="1"/>
    <s v="Antioquia"/>
    <s v="Medellin"/>
    <x v="0"/>
    <s v="Coordinadora"/>
    <s v="3079084 - 84151129998"/>
    <d v="2025-02-11T00:00:00"/>
    <d v="2025-02-12T00:00:00"/>
    <s v="Entregado"/>
    <n v="0"/>
    <n v="1"/>
    <s v="Cumple"/>
    <n v="42921"/>
    <m/>
  </r>
  <r>
    <d v="2025-02-11T00:00:00"/>
    <x v="1"/>
    <n v="2440"/>
    <x v="0"/>
    <s v="Johanna Rodero"/>
    <s v="TECUAB"/>
    <s v="Archivador TECU  Blanco (Niebla)"/>
    <n v="1"/>
    <x v="5"/>
    <s v="Bogotá y alrededores"/>
    <s v="Bogota"/>
    <x v="0"/>
    <s v="Coordinadora"/>
    <s v="3079174 - 954101147482"/>
    <d v="2025-02-11T00:00:00"/>
    <d v="2025-02-12T00:00:00"/>
    <s v="Entregado"/>
    <n v="0"/>
    <n v="1"/>
    <s v="Cumple"/>
    <n v="54929"/>
    <m/>
  </r>
  <r>
    <d v="2025-02-11T00:00:00"/>
    <x v="1"/>
    <n v="2441"/>
    <x v="0"/>
    <s v="Sebastian Casas"/>
    <s v="TECULFN2"/>
    <s v="Electric Standing Desk  En L Frame Negro 2.0"/>
    <n v="1"/>
    <x v="1"/>
    <s v="Bogotá y alrededores"/>
    <s v="Bogota"/>
    <x v="0"/>
    <s v="Coordinadora"/>
    <s v="3079240 - 84151130081"/>
    <d v="2025-02-11T00:00:00"/>
    <d v="2025-02-12T00:00:00"/>
    <s v="Entregado"/>
    <n v="0"/>
    <n v="1"/>
    <s v="Cumple"/>
    <n v="62530"/>
    <m/>
  </r>
  <r>
    <d v="2025-02-11T00:00:00"/>
    <x v="1"/>
    <n v="2441"/>
    <x v="0"/>
    <s v="Sebastian Casas"/>
    <s v="TECUTLCCS"/>
    <s v="Superficie  en L Caramelo 180x150cm x 70"/>
    <n v="1"/>
    <x v="2"/>
    <s v="Bogotá y alrededores"/>
    <s v="Bogota"/>
    <x v="0"/>
    <s v="Coordinadora"/>
    <s v="3079242 - 84151130082"/>
    <d v="2025-02-11T00:00:00"/>
    <d v="2025-02-12T00:00:00"/>
    <s v="Entregado"/>
    <n v="0"/>
    <n v="1"/>
    <s v="Cumple"/>
    <n v="26749"/>
    <m/>
  </r>
  <r>
    <d v="2025-02-13T00:00:00"/>
    <x v="1"/>
    <n v="2442"/>
    <x v="0"/>
    <s v="Camilo Pimentel Gomez"/>
    <s v="TECU2FNG"/>
    <s v="Electric Standing Desk GO Negro"/>
    <n v="1"/>
    <x v="1"/>
    <s v="Bogotá y alrededores"/>
    <s v="Bogota"/>
    <x v="0"/>
    <s v="Coordinadora"/>
    <s v="3084198 - 84151132452"/>
    <d v="2025-02-13T00:00:00"/>
    <d v="2025-02-15T00:00:00"/>
    <s v="Entregado"/>
    <n v="0"/>
    <n v="2"/>
    <s v="Cumple"/>
    <n v="41593"/>
    <m/>
  </r>
  <r>
    <d v="2025-02-13T00:00:00"/>
    <x v="1"/>
    <n v="2442"/>
    <x v="0"/>
    <s v="Camilo Pimentel Gomez"/>
    <s v="TECUTCO2C"/>
    <s v="Superficie  Caramelo 120x70 Clasico Small"/>
    <n v="1"/>
    <x v="2"/>
    <s v="Bogotá y alrededores"/>
    <s v="Bogota"/>
    <x v="0"/>
    <s v="Coordinadora"/>
    <s v="3084199 - 84151132453"/>
    <d v="2025-02-13T00:00:00"/>
    <d v="2025-02-17T00:00:00"/>
    <s v="Entregado"/>
    <n v="0"/>
    <n v="3"/>
    <s v="Cumple"/>
    <n v="24093"/>
    <m/>
  </r>
  <r>
    <d v="2025-02-14T00:00:00"/>
    <x v="1"/>
    <n v="2443"/>
    <x v="0"/>
    <s v="rodrigo rivera alarcon"/>
    <s v="TECU3FNPRO"/>
    <s v="Electric Standing Desk  PRO Negro"/>
    <n v="1"/>
    <x v="1"/>
    <s v="Valle del Cauca"/>
    <s v="Cali"/>
    <x v="0"/>
    <s v="Coordinadora"/>
    <s v="3085936 - 84151133206"/>
    <d v="2025-02-14T00:00:00"/>
    <d v="2025-02-15T00:00:00"/>
    <s v="Entregado"/>
    <n v="0"/>
    <n v="1"/>
    <s v="Cumple"/>
    <n v="42921"/>
    <m/>
  </r>
  <r>
    <d v="2025-02-14T00:00:00"/>
    <x v="1"/>
    <n v="2443"/>
    <x v="0"/>
    <s v="rodrigo rivera alarcon"/>
    <s v="TECUTCO6C"/>
    <s v="Superficie  Caramelo 160x70 Clasico"/>
    <n v="1"/>
    <x v="2"/>
    <s v="Valle del Cauca"/>
    <s v="Cali"/>
    <x v="0"/>
    <s v="Coordinadora"/>
    <s v="3085937 - 84151133207"/>
    <d v="2025-02-14T00:00:00"/>
    <d v="2025-02-15T00:00:00"/>
    <s v="Entregado"/>
    <n v="0"/>
    <n v="1"/>
    <s v="Cumple"/>
    <n v="24093"/>
    <m/>
  </r>
  <r>
    <d v="2025-02-14T00:00:00"/>
    <x v="1"/>
    <n v="2444"/>
    <x v="0"/>
    <s v="Antonella Ramirez"/>
    <s v="TECU2FBGO"/>
    <s v="Electric Standing Desk GO Blanco"/>
    <n v="1"/>
    <x v="1"/>
    <s v="Risaralda"/>
    <s v="Pereira"/>
    <x v="0"/>
    <s v="Coordinadora"/>
    <s v="3090347 - 84151134931"/>
    <d v="2025-02-17T00:00:00"/>
    <d v="2025-02-18T00:00:00"/>
    <s v="Entregado"/>
    <n v="2"/>
    <n v="3"/>
    <s v="Cumple"/>
    <n v="34156"/>
    <m/>
  </r>
  <r>
    <d v="2025-02-14T00:00:00"/>
    <x v="1"/>
    <n v="2444"/>
    <x v="0"/>
    <s v="Antonella Ramirez"/>
    <s v="TECUTB3C"/>
    <s v="Superficie Niebla 130x70 Clasico"/>
    <n v="1"/>
    <x v="2"/>
    <s v="Risaralda"/>
    <s v="Pereira"/>
    <x v="0"/>
    <s v="Coordinadora"/>
    <s v="3090348 - 84151134932"/>
    <d v="2025-02-17T00:00:00"/>
    <d v="2025-02-18T00:00:00"/>
    <s v="Entregado"/>
    <n v="2"/>
    <n v="3"/>
    <s v="Cumple"/>
    <n v="15194"/>
    <m/>
  </r>
  <r>
    <d v="2025-02-17T00:00:00"/>
    <x v="1"/>
    <n v="2445"/>
    <x v="0"/>
    <s v="Andres Torres"/>
    <s v="TECUROD"/>
    <s v="Rodachines con freno para Standing desk x 4 UN"/>
    <n v="2"/>
    <x v="7"/>
    <s v="Bogotá y alrededores"/>
    <s v="Bogota"/>
    <x v="0"/>
    <s v="Coordinadora"/>
    <s v="3090669 - 84151135081"/>
    <d v="2025-02-17T00:00:00"/>
    <d v="2025-02-18T00:00:00"/>
    <s v="Entregado"/>
    <n v="0"/>
    <n v="1"/>
    <s v="Cumple"/>
    <n v="23875"/>
    <m/>
  </r>
  <r>
    <d v="2025-02-17T00:00:00"/>
    <x v="1"/>
    <n v="2446"/>
    <x v="0"/>
    <s v="Shorelight Education Colombia SAS"/>
    <s v="TECU2FNG"/>
    <s v="Electric Standing Desk GO Negro"/>
    <n v="1"/>
    <x v="1"/>
    <s v="Bogotá y alrededores"/>
    <s v="Bogota"/>
    <x v="0"/>
    <s v="Coordinadora"/>
    <s v="3091001 - 84151135253"/>
    <d v="2025-02-17T00:00:00"/>
    <d v="2025-02-18T00:00:00"/>
    <s v="Entregado"/>
    <n v="0"/>
    <n v="1"/>
    <s v="Cumple"/>
    <n v="41593"/>
    <m/>
  </r>
  <r>
    <d v="2025-02-17T00:00:00"/>
    <x v="1"/>
    <n v="2446"/>
    <x v="0"/>
    <s v="Shorelight Education Colombia SAS"/>
    <s v="TECUTCO3C"/>
    <s v="Superficie Caramelo 130x70 Clasico"/>
    <n v="1"/>
    <x v="2"/>
    <s v="Bogotá y alrededores"/>
    <s v="Bogota"/>
    <x v="0"/>
    <s v="Coordinadora"/>
    <s v="3091002 - 84151135254"/>
    <d v="2025-02-17T00:00:00"/>
    <d v="2025-02-18T00:00:00"/>
    <s v="Entregado"/>
    <n v="0"/>
    <n v="1"/>
    <s v="Cumple"/>
    <n v="24093"/>
    <m/>
  </r>
  <r>
    <d v="2025-02-17T00:00:00"/>
    <x v="1"/>
    <n v="2447"/>
    <x v="0"/>
    <s v="INMOTICA LTDA"/>
    <s v="TECU3FNPRO"/>
    <s v="Electric Standing Desk  PRO Negro"/>
    <n v="1"/>
    <x v="1"/>
    <s v="Bogotá y alrededores"/>
    <s v="Bogota"/>
    <x v="0"/>
    <s v="Coordinadora"/>
    <s v="3093202 - 84151136273"/>
    <d v="2025-02-18T00:00:00"/>
    <d v="2025-02-19T00:00:00"/>
    <s v="Entregado"/>
    <n v="1"/>
    <n v="2"/>
    <s v="Cumple"/>
    <n v="42921"/>
    <m/>
  </r>
  <r>
    <d v="2025-02-17T00:00:00"/>
    <x v="1"/>
    <n v="2447"/>
    <x v="0"/>
    <s v="INMOTICA LTDA"/>
    <s v="TECUTFE6M"/>
    <s v="Superficie  Fresno Europeo 160x70 Moderno"/>
    <n v="1"/>
    <x v="2"/>
    <s v="Bogotá y alrededores"/>
    <s v="Bogota"/>
    <x v="0"/>
    <s v="Coordinadora"/>
    <s v="3093203 - 84151136274"/>
    <d v="2025-02-18T00:00:00"/>
    <d v="2025-02-20T00:00:00"/>
    <s v="Entregado"/>
    <n v="1"/>
    <n v="3"/>
    <s v="Cumple"/>
    <n v="24093"/>
    <m/>
  </r>
  <r>
    <d v="2025-02-18T00:00:00"/>
    <x v="1"/>
    <n v="2448"/>
    <x v="0"/>
    <s v="Maria Bueno"/>
    <s v="TECU2FBGO"/>
    <s v="Electric Standing Desk GO Blanco"/>
    <n v="1"/>
    <x v="1"/>
    <s v="Bogotá y alrededores"/>
    <s v="Bogota"/>
    <x v="0"/>
    <s v="Coordinadora"/>
    <s v="3093212 - 84151136283"/>
    <d v="2025-02-18T00:00:00"/>
    <d v="2025-02-19T00:00:00"/>
    <s v="Entregado"/>
    <n v="0"/>
    <n v="1"/>
    <s v="Cumple"/>
    <n v="41593"/>
    <m/>
  </r>
  <r>
    <d v="2025-02-18T00:00:00"/>
    <x v="1"/>
    <n v="2448"/>
    <x v="0"/>
    <s v="Maria Bueno"/>
    <s v="TECUTFE4C"/>
    <s v="Superficie  Fresno Europeo 140x70 Clasico"/>
    <n v="1"/>
    <x v="2"/>
    <s v="Bogotá y alrededores"/>
    <s v="Bogota"/>
    <x v="0"/>
    <s v="Coordinadora"/>
    <s v="3093214 - 84151136284"/>
    <d v="2025-02-18T00:00:00"/>
    <d v="2025-02-20T00:00:00"/>
    <s v="Entregado"/>
    <n v="0"/>
    <n v="2"/>
    <s v="Cumple"/>
    <n v="24093"/>
    <m/>
  </r>
  <r>
    <d v="2025-02-18T00:00:00"/>
    <x v="1"/>
    <n v="2448"/>
    <x v="0"/>
    <s v="Maria Bueno"/>
    <s v="TECUAFE"/>
    <s v="Archivador TECU Fresno Europeo"/>
    <n v="1"/>
    <x v="5"/>
    <s v="Bogotá y alrededores"/>
    <s v="Bogota"/>
    <x v="0"/>
    <s v="Envia"/>
    <s v="3093235 - 954101152921"/>
    <d v="2025-02-18T00:00:00"/>
    <d v="2025-02-19T00:00:00"/>
    <s v="Entregado"/>
    <n v="0"/>
    <n v="1"/>
    <s v="Cumple"/>
    <n v="54929"/>
    <m/>
  </r>
  <r>
    <d v="2025-02-18T00:00:00"/>
    <x v="1"/>
    <n v="2448"/>
    <x v="0"/>
    <s v="Maria Bueno"/>
    <s v="TECUBDPM"/>
    <s v="Desk Pad B Negro Café Miel"/>
    <n v="1"/>
    <x v="0"/>
    <s v="Bogotá y alrededores"/>
    <s v="Bogota"/>
    <x v="0"/>
    <s v="Coordinadora"/>
    <s v="3093225 - 84151136289"/>
    <d v="2025-02-18T00:00:00"/>
    <d v="2025-02-19T00:00:00"/>
    <s v="Entregado"/>
    <n v="0"/>
    <n v="1"/>
    <s v="Cumple"/>
    <n v="16617"/>
    <m/>
  </r>
  <r>
    <d v="2025-02-19T00:00:00"/>
    <x v="1"/>
    <n v="2449"/>
    <x v="0"/>
    <s v="Esteban de Bedout"/>
    <s v="TECUACO"/>
    <s v="Archivador TECU  Caramelo"/>
    <n v="1"/>
    <x v="5"/>
    <s v="Bogotá y alrededores"/>
    <s v="Bogota"/>
    <x v="0"/>
    <s v="Envia"/>
    <s v="3094269 - 954101153161"/>
    <d v="2025-02-18T00:00:00"/>
    <d v="2025-02-19T00:00:00"/>
    <s v="Entregado"/>
    <n v="-3"/>
    <n v="0"/>
    <s v="Cumple"/>
    <n v="65682"/>
    <m/>
  </r>
  <r>
    <d v="2025-02-19T00:00:00"/>
    <x v="1"/>
    <n v="2450"/>
    <x v="0"/>
    <s v="Antonia Estrada"/>
    <s v="TECU2FNG"/>
    <s v="Electric Standing Desk GO Negro"/>
    <n v="1"/>
    <x v="1"/>
    <s v="Antioquia"/>
    <s v="Envigado"/>
    <x v="0"/>
    <s v="Coordinadora"/>
    <s v="3096424 - 84151137576"/>
    <d v="2025-02-18T00:00:00"/>
    <d v="2025-02-20T00:00:00"/>
    <s v="Entregado"/>
    <n v="-3"/>
    <n v="1"/>
    <s v="Cumple"/>
    <n v="41593"/>
    <m/>
  </r>
  <r>
    <d v="2025-02-19T00:00:00"/>
    <x v="1"/>
    <n v="2450"/>
    <x v="0"/>
    <s v="Antonia Estrada"/>
    <s v="TECUTRN6C"/>
    <s v="Superficie  Roble Negro 160x70 Clasico"/>
    <n v="1"/>
    <x v="2"/>
    <s v="Antioquia"/>
    <s v="Envigado"/>
    <x v="0"/>
    <s v="Coordinadora"/>
    <s v="3096425 - 84151137577"/>
    <d v="2025-02-18T00:00:00"/>
    <d v="2025-02-20T00:00:00"/>
    <s v="Entregado"/>
    <n v="-3"/>
    <n v="1"/>
    <s v="Cumple"/>
    <n v="24093"/>
    <m/>
  </r>
  <r>
    <d v="2025-02-19T00:00:00"/>
    <x v="1"/>
    <n v="2451"/>
    <x v="0"/>
    <s v="ZAFERI SAS"/>
    <s v="TECUACC"/>
    <s v="Archivador TECU  Miel"/>
    <n v="1"/>
    <x v="5"/>
    <s v="Antioquia"/>
    <s v="Envigado"/>
    <x v="0"/>
    <s v="Envia"/>
    <s v="3097652 - 954101154334"/>
    <d v="2025-02-19T00:00:00"/>
    <d v="2025-02-20T00:00:00"/>
    <s v="Entregado"/>
    <n v="0"/>
    <n v="1"/>
    <s v="Cumple"/>
    <n v="65682"/>
    <m/>
  </r>
  <r>
    <d v="2025-02-19T00:00:00"/>
    <x v="1"/>
    <n v="2451"/>
    <x v="0"/>
    <s v="ZAFERI SAS"/>
    <s v="TECUCT"/>
    <s v="Bandeja de cables"/>
    <n v="1"/>
    <x v="0"/>
    <s v="Antioquia"/>
    <s v="Envigado"/>
    <x v="0"/>
    <s v="Envia"/>
    <s v="3097666 - 954101154347"/>
    <d v="2025-02-19T00:00:00"/>
    <d v="2025-02-20T00:00:00"/>
    <s v="Entregado"/>
    <n v="0"/>
    <n v="1"/>
    <s v="Cumple"/>
    <n v="20376"/>
    <m/>
  </r>
  <r>
    <d v="2025-02-23T00:00:00"/>
    <x v="1"/>
    <n v="2452"/>
    <x v="0"/>
    <s v="Daniel Corrales"/>
    <s v="TECULFN2"/>
    <s v="Electric Standing Desk  En L Frame Negro 2.0"/>
    <n v="1"/>
    <x v="1"/>
    <s v="Bogotá y alrededores"/>
    <s v="Bogota"/>
    <x v="0"/>
    <s v="Coordinadora"/>
    <s v="3105541 - 84151141166"/>
    <d v="2025-02-24T00:00:00"/>
    <d v="2025-02-26T00:00:00"/>
    <s v="Entregado"/>
    <n v="0"/>
    <n v="2"/>
    <s v="Cumple"/>
    <n v="62530"/>
    <m/>
  </r>
  <r>
    <d v="2025-02-23T00:00:00"/>
    <x v="1"/>
    <n v="2452"/>
    <x v="0"/>
    <s v="Daniel Corrales"/>
    <s v="TECUTLCCS"/>
    <s v="Superficie  en L Caramelo 180x150cm x 70"/>
    <n v="1"/>
    <x v="2"/>
    <s v="Bogotá y alrededores"/>
    <s v="Bogota"/>
    <x v="0"/>
    <s v="Coordinadora"/>
    <s v="3105542 - 84151141167"/>
    <d v="2025-02-24T00:00:00"/>
    <d v="2025-02-26T00:00:00"/>
    <s v="Entregado"/>
    <n v="0"/>
    <n v="2"/>
    <s v="Cumple"/>
    <n v="25749"/>
    <m/>
  </r>
  <r>
    <d v="2025-02-05T00:00:00"/>
    <x v="1"/>
    <n v="2430"/>
    <x v="1"/>
    <s v="john ibanez"/>
    <s v="TECUTCO8C"/>
    <s v="Superficie  Caramelo 180x70 Clasico"/>
    <n v="1"/>
    <x v="2"/>
    <s v="Bogotá y alrededores"/>
    <s v="Bogota"/>
    <x v="0"/>
    <s v="Coordinadora"/>
    <s v="3069906 - 954101144256"/>
    <d v="2025-02-06T00:00:00"/>
    <d v="2025-02-07T00:00:00"/>
    <s v="Entregado"/>
    <n v="1"/>
    <n v="2"/>
    <s v="Cumple"/>
    <n v="30834"/>
    <m/>
  </r>
  <r>
    <d v="2025-02-24T00:00:00"/>
    <x v="1"/>
    <n v="2454"/>
    <x v="0"/>
    <s v="Kevin Lopez"/>
    <s v="TECU2FNG"/>
    <s v="Electric Standing Desk GO Negro"/>
    <n v="1"/>
    <x v="1"/>
    <s v="Bogotá y alrededores"/>
    <s v="Mosquera"/>
    <x v="0"/>
    <s v="Coordinadora"/>
    <s v="3109084 -84151142667"/>
    <d v="2025-02-25T00:00:00"/>
    <d v="2025-02-27T15:00:19"/>
    <s v="Entregado"/>
    <n v="1"/>
    <n v="3"/>
    <s v="Cumple"/>
    <n v="41593"/>
    <m/>
  </r>
  <r>
    <d v="2025-02-24T00:00:00"/>
    <x v="1"/>
    <n v="2454"/>
    <x v="0"/>
    <s v="Kevin Lopez"/>
    <s v="TECUTFE4C"/>
    <s v="Superficie  Fresno Europeo 140x70 Clasico"/>
    <n v="1"/>
    <x v="2"/>
    <s v="Bogotá y alrededores"/>
    <s v="Mosquera"/>
    <x v="0"/>
    <s v="Coordinadora"/>
    <s v="3109085 -84151142668"/>
    <d v="2025-02-25T00:00:00"/>
    <d v="2025-02-27T15:05:28"/>
    <s v="Entregado"/>
    <n v="1"/>
    <n v="3"/>
    <s v="Cumple"/>
    <n v="24093"/>
    <m/>
  </r>
  <r>
    <d v="2025-02-25T00:00:00"/>
    <x v="1"/>
    <n v="2455"/>
    <x v="0"/>
    <s v="Kevin Lopez"/>
    <s v="TECU2FBGO"/>
    <s v="Electric Standing Desk GO Blanco"/>
    <n v="1"/>
    <x v="1"/>
    <s v="Bogotá y alrededores"/>
    <s v="Mosquera"/>
    <x v="0"/>
    <s v="Coordinadora"/>
    <s v="3109094 -84151142672"/>
    <d v="2025-02-25T00:00:00"/>
    <d v="2025-02-27T15:05:28"/>
    <s v="Entregado"/>
    <n v="0"/>
    <n v="2"/>
    <s v="Cumple"/>
    <n v="41593"/>
    <m/>
  </r>
  <r>
    <d v="2025-02-25T00:00:00"/>
    <x v="1"/>
    <n v="2455"/>
    <x v="0"/>
    <s v="Kevin Lopez"/>
    <s v="TECUTFE4C"/>
    <s v="Superficie  Fresno Europeo 140x70 Clasico"/>
    <n v="1"/>
    <x v="2"/>
    <s v="Bogotá y alrededores"/>
    <s v="Mosquera"/>
    <x v="0"/>
    <s v="Coordinadora"/>
    <s v="3109095 -84151142673"/>
    <d v="2025-02-25T00:00:00"/>
    <d v="2025-02-27T15:00:19"/>
    <s v="Entregado"/>
    <n v="0"/>
    <n v="2"/>
    <s v="Cumple"/>
    <n v="24093"/>
    <m/>
  </r>
  <r>
    <d v="2025-02-25T00:00:00"/>
    <x v="1"/>
    <n v="2456"/>
    <x v="0"/>
    <s v="Juan Daniel Tobar Parada / SERVICIOS ESTRATEGICOS CMH, SAPI DE CV"/>
    <s v="TECU3FNPRO"/>
    <s v="Electric Standing Desk  PRO Negro"/>
    <n v="1"/>
    <x v="1"/>
    <s v="Bogotá y alrededores"/>
    <s v="Bogota"/>
    <x v="0"/>
    <s v="Coordinadora"/>
    <s v="3109970 -84151143085"/>
    <d v="2025-02-26T00:00:00"/>
    <d v="2025-02-27T12:17:44"/>
    <s v="Entregado"/>
    <n v="1"/>
    <n v="2"/>
    <s v="Cumple"/>
    <n v="42921"/>
    <m/>
  </r>
  <r>
    <d v="2025-02-25T00:00:00"/>
    <x v="1"/>
    <n v="2456"/>
    <x v="0"/>
    <s v="Juan Daniel Tobar Parada / SERVICIOS ESTRATEGICOS CMH, SAPI DE CV"/>
    <s v="TECUTRN2C"/>
    <s v="Superficie  Roble Negro 120x70 Clasico Small"/>
    <n v="1"/>
    <x v="2"/>
    <s v="Bogotá y alrededores"/>
    <s v="Bogota"/>
    <x v="0"/>
    <s v="Coordinadora"/>
    <s v="3109971 -84151143086"/>
    <d v="2025-02-26T00:00:00"/>
    <d v="2025-02-27T12:17:44"/>
    <s v="Entregado"/>
    <n v="1"/>
    <n v="2"/>
    <s v="Cumple"/>
    <n v="28741"/>
    <m/>
  </r>
  <r>
    <d v="2025-02-26T00:00:00"/>
    <x v="1"/>
    <n v="2457"/>
    <x v="0"/>
    <s v="Santiago Patiño"/>
    <s v="TECU3FNPRO"/>
    <s v="Electric Standing Desk  PRO Negro"/>
    <n v="1"/>
    <x v="1"/>
    <s v="Antioquia"/>
    <s v="Medellin"/>
    <x v="0"/>
    <s v="Coordinadora"/>
    <s v="3112625 -84151144131"/>
    <d v="2025-02-27T00:00:00"/>
    <d v="2025-02-28T00:00:00"/>
    <s v="Entregado"/>
    <n v="1"/>
    <n v="2"/>
    <s v="Cumple"/>
    <n v="42921"/>
    <m/>
  </r>
  <r>
    <d v="2025-02-26T00:00:00"/>
    <x v="1"/>
    <n v="2457"/>
    <x v="0"/>
    <s v="Santiago Patiño"/>
    <s v="TECUTCO4C"/>
    <s v="Superficie Caramelo 140x70 Clasico"/>
    <n v="1"/>
    <x v="2"/>
    <s v="Antioquia"/>
    <s v="Medellin"/>
    <x v="0"/>
    <s v="Coordinadora"/>
    <s v="3112627 -84151144132"/>
    <d v="2025-02-27T00:00:00"/>
    <d v="2025-02-27T09:53:23"/>
    <s v="Entregado"/>
    <n v="1"/>
    <n v="1"/>
    <s v="Cumple"/>
    <n v="24093"/>
    <m/>
  </r>
  <r>
    <d v="2025-02-26T00:00:00"/>
    <x v="1"/>
    <n v="2457"/>
    <x v="0"/>
    <s v="Santiago Patiño"/>
    <s v="TECUROD"/>
    <s v="Rodachines con freno para Standing desk x 4 UN"/>
    <n v="1"/>
    <x v="7"/>
    <s v="Antioquia"/>
    <s v="Medellin"/>
    <x v="0"/>
    <s v="Coordinadora"/>
    <s v="3112637 -84151144139"/>
    <d v="2025-02-27T00:00:00"/>
    <d v="2025-02-27T09:53:23"/>
    <s v="Entregado"/>
    <n v="1"/>
    <n v="1"/>
    <s v="Cumple"/>
    <n v="23875"/>
    <m/>
  </r>
  <r>
    <d v="2025-02-27T00:00:00"/>
    <x v="1"/>
    <n v="2458"/>
    <x v="0"/>
    <s v="Laura Romero"/>
    <s v="TECU2FBGO"/>
    <s v="Electric Standing Desk GO Blanco"/>
    <n v="1"/>
    <x v="1"/>
    <s v="Bogotá y alrededores"/>
    <s v="Cajica"/>
    <x v="0"/>
    <s v="Coordinadora"/>
    <s v="3117134 -84151145965"/>
    <d v="2025-02-28T00:00:00"/>
    <d v="2025-03-03T14:06:50"/>
    <s v="Entregado"/>
    <n v="1"/>
    <n v="3"/>
    <s v="Cumple"/>
    <n v="41593"/>
    <m/>
  </r>
  <r>
    <d v="2025-02-27T00:00:00"/>
    <x v="1"/>
    <n v="2458"/>
    <x v="0"/>
    <s v="Laura Romero"/>
    <s v="TECUTFE4C"/>
    <s v="Superficie  Fresno Europeo 140x70 Clasico"/>
    <n v="1"/>
    <x v="2"/>
    <s v="Bogotá y alrededores"/>
    <s v="Cajica"/>
    <x v="0"/>
    <s v="Coordinadora"/>
    <s v="3117136 -84151145966"/>
    <d v="2025-02-28T00:00:00"/>
    <d v="2025-03-03T14:06:50"/>
    <s v="Entregado"/>
    <n v="1"/>
    <n v="3"/>
    <s v="Cumple"/>
    <n v="24093"/>
    <m/>
  </r>
  <r>
    <d v="2025-02-27T00:00:00"/>
    <x v="1"/>
    <n v="2458"/>
    <x v="0"/>
    <s v="Laura Romero"/>
    <s v="TECUROD"/>
    <s v="Rodachines con freno para Standing desk x 4 UN"/>
    <n v="1"/>
    <x v="7"/>
    <s v="Bogotá y alrededores"/>
    <s v="Cajica"/>
    <x v="0"/>
    <s v="Coordinadora"/>
    <s v="3117170 -84151145983"/>
    <d v="2025-02-28T00:00:00"/>
    <d v="2025-03-03T14:06:50"/>
    <s v="Entregado"/>
    <n v="1"/>
    <n v="3"/>
    <s v="Cumple"/>
    <n v="23875"/>
    <m/>
  </r>
  <r>
    <d v="2025-02-28T00:00:00"/>
    <x v="1"/>
    <n v="2459"/>
    <x v="0"/>
    <s v="Oscar Mauricio Pacheco Saavedra"/>
    <s v="TECUBDPA"/>
    <s v="Desk Pad B Negro Azul"/>
    <n v="1"/>
    <x v="0"/>
    <s v="Antioquia"/>
    <s v="Envigado"/>
    <x v="0"/>
    <s v="Coordinadora"/>
    <s v="3117207 -84151145988"/>
    <d v="2025-02-28T00:00:00"/>
    <d v="2025-03-01T13:52:27"/>
    <s v="Entregado"/>
    <n v="0"/>
    <n v="1"/>
    <s v="Cumple"/>
    <n v="16617"/>
    <m/>
  </r>
  <r>
    <d v="2025-02-28T00:00:00"/>
    <x v="1"/>
    <n v="2460"/>
    <x v="0"/>
    <s v="Juan Daniel Tobar Parada / SERVICIOS ESTRATEGICOS CMH, SAPI DE CV"/>
    <s v="TECUCT"/>
    <s v="Bandeja de cables"/>
    <n v="1"/>
    <x v="0"/>
    <s v="Bogotá y alrededores"/>
    <s v="Bogota"/>
    <x v="0"/>
    <s v="Coordinadora"/>
    <s v="3117224 -84151145997"/>
    <d v="2025-02-28T00:00:00"/>
    <d v="2025-03-01T17:16:43"/>
    <s v="Entregado"/>
    <n v="0"/>
    <n v="1"/>
    <s v="Cumple"/>
    <n v="24885"/>
    <m/>
  </r>
  <r>
    <d v="2025-02-28T00:00:00"/>
    <x v="1"/>
    <n v="2461"/>
    <x v="0"/>
    <s v="Afranio Cardona Gomez"/>
    <s v="TECU3FNPRO"/>
    <s v="Electric Standing Desk  PRO Negro"/>
    <n v="1"/>
    <x v="1"/>
    <s v="Santander"/>
    <s v="Bucaramanga"/>
    <x v="0"/>
    <s v="Coordinadora"/>
    <s v="3144602 - 84151157538"/>
    <d v="2025-03-10T00:00:00"/>
    <d v="2025-03-11T00:00:00"/>
    <s v="Entregado"/>
    <n v="8"/>
    <n v="9"/>
    <s v="No cumple"/>
    <n v="56077"/>
    <m/>
  </r>
  <r>
    <d v="2025-02-28T00:00:00"/>
    <x v="1"/>
    <n v="2461"/>
    <x v="0"/>
    <s v="Afranio Cardona Gomez"/>
    <s v="TECUTRM8C"/>
    <s v="Superficie Roble Miel 180x70 Clasico"/>
    <n v="1"/>
    <x v="2"/>
    <s v="Santander"/>
    <s v="Bucaramanga"/>
    <x v="0"/>
    <s v="Coordinadora"/>
    <s v="3144603 - 84151157539"/>
    <d v="2025-03-10T00:00:00"/>
    <d v="2025-03-11T00:00:00"/>
    <s v="Entregado"/>
    <n v="8"/>
    <n v="9"/>
    <s v="No cumple"/>
    <n v="39089"/>
    <m/>
  </r>
  <r>
    <d v="2025-02-28T00:00:00"/>
    <x v="1"/>
    <n v="2461"/>
    <x v="0"/>
    <s v="Afranio Cardona Gomez"/>
    <s v="TECUACO"/>
    <s v="Archivador TECU  Caramelo"/>
    <n v="1"/>
    <x v="5"/>
    <s v="Santander"/>
    <s v="Bucaramanga"/>
    <x v="0"/>
    <s v="Envia"/>
    <s v="3138978 - 954101168244"/>
    <d v="2025-03-07T00:00:00"/>
    <d v="2025-03-10T00:00:00"/>
    <s v="Entregado"/>
    <n v="6"/>
    <n v="8"/>
    <s v="No cumple"/>
    <n v="112490"/>
    <m/>
  </r>
  <r>
    <d v="2025-02-28T00:00:00"/>
    <x v="1"/>
    <n v="2461"/>
    <x v="0"/>
    <s v="Afranio Cardona Gomez"/>
    <s v="TECUBDPA"/>
    <s v="Desk Pad B Negro Azul"/>
    <n v="1"/>
    <x v="0"/>
    <s v="Santander"/>
    <s v="Bucaramanga"/>
    <x v="0"/>
    <s v="Coordinadora"/>
    <s v="3144699 - 84151157571"/>
    <d v="2025-03-10T00:00:00"/>
    <d v="2025-03-11T00:00:00"/>
    <s v="Entregado"/>
    <n v="8"/>
    <n v="9"/>
    <s v="No cumple"/>
    <n v="16617"/>
    <m/>
  </r>
  <r>
    <d v="2025-02-28T00:00:00"/>
    <x v="1"/>
    <n v="2461"/>
    <x v="0"/>
    <s v="Afranio Cardona Gomez"/>
    <s v="TECUCT"/>
    <s v="Bandeja de cables"/>
    <n v="1"/>
    <x v="0"/>
    <s v="Santander"/>
    <s v="Bucaramanga"/>
    <x v="0"/>
    <s v="Coordinadora"/>
    <s v="3144610 - 84151157543"/>
    <d v="2025-03-10T00:00:00"/>
    <d v="2025-03-11T00:00:00"/>
    <s v="Entregado"/>
    <n v="8"/>
    <n v="9"/>
    <s v="No cumple"/>
    <n v="24885"/>
    <m/>
  </r>
  <r>
    <d v="2025-03-01T00:00:00"/>
    <x v="2"/>
    <n v="2462"/>
    <x v="0"/>
    <s v="Jhon Anderson Monroy Cardenas"/>
    <s v="TECU3FNPRO"/>
    <s v="Electric Standing Desk  PRO Negro"/>
    <n v="1"/>
    <x v="1"/>
    <s v="Antioquia"/>
    <s v="Medellin"/>
    <x v="0"/>
    <s v="Coordinadora"/>
    <s v="3121638 -84151148036"/>
    <d v="2025-03-03T15:51:33"/>
    <d v="2025-03-04T10:03:23"/>
    <s v="Entregado"/>
    <n v="1"/>
    <n v="2"/>
    <s v="Cumple"/>
    <n v="42921"/>
    <m/>
  </r>
  <r>
    <d v="2025-03-01T00:00:00"/>
    <x v="2"/>
    <n v="2462"/>
    <x v="0"/>
    <s v="Jhon Anderson Monroy Cardenas"/>
    <s v="TECUTB8M"/>
    <s v="Superficie Niebla 180x70 Moderno"/>
    <n v="1"/>
    <x v="2"/>
    <s v="Antioquia"/>
    <s v="Medellin"/>
    <x v="0"/>
    <s v="Coordinadora"/>
    <s v="3121640 -84151148037"/>
    <d v="2025-03-03T15:51:33"/>
    <d v="2025-03-04T10:20:02"/>
    <s v="Entregado"/>
    <n v="1"/>
    <n v="2"/>
    <s v="Cumple"/>
    <n v="26749"/>
    <m/>
  </r>
  <r>
    <d v="2025-03-02T00:00:00"/>
    <x v="2"/>
    <n v="2463"/>
    <x v="0"/>
    <s v="Jorge Delgado"/>
    <s v="TECU2FBGO"/>
    <s v="Electric Standing Desk GO Blanco"/>
    <n v="1"/>
    <x v="1"/>
    <s v="Valle del Cauca"/>
    <s v="Cali"/>
    <x v="0"/>
    <s v="Coordinadora"/>
    <s v="3121907 -84151148156"/>
    <d v="2025-03-03T15:51:33"/>
    <d v="2025-03-04T11:34:12"/>
    <s v="Entregado"/>
    <n v="0"/>
    <n v="1"/>
    <s v="Cumple"/>
    <n v="41593"/>
    <m/>
  </r>
  <r>
    <d v="2025-03-02T00:00:00"/>
    <x v="2"/>
    <n v="2463"/>
    <x v="0"/>
    <s v="Jorge Delgado"/>
    <s v="TECUTFE3C"/>
    <s v="Superficie  Fresno Europeo 130x70 Clasico"/>
    <n v="1"/>
    <x v="2"/>
    <s v="Valle del Cauca"/>
    <s v="Cali"/>
    <x v="0"/>
    <s v="Coordinadora"/>
    <s v="3121913 -84151148159"/>
    <d v="2025-03-03T15:51:33"/>
    <d v="2025-03-04T11:34:12"/>
    <s v="Entregado"/>
    <n v="0"/>
    <n v="1"/>
    <s v="Cumple"/>
    <n v="24093"/>
    <m/>
  </r>
  <r>
    <d v="2025-03-03T00:00:00"/>
    <x v="2"/>
    <n v="2464"/>
    <x v="0"/>
    <s v="Juan David Herrera Martinez"/>
    <s v="TECU3FBRO"/>
    <s v="Electric Standing Desk  PRO Blanco"/>
    <n v="1"/>
    <x v="1"/>
    <s v="Antioquia"/>
    <s v="Medellin"/>
    <x v="0"/>
    <s v="Coordinadora"/>
    <s v="3121937 -84151148173"/>
    <d v="2025-03-03T15:51:33"/>
    <d v="2025-03-04T10:07:44"/>
    <s v="Entregado"/>
    <n v="0"/>
    <n v="1"/>
    <s v="Cumple"/>
    <n v="42921"/>
    <m/>
  </r>
  <r>
    <d v="2025-03-03T00:00:00"/>
    <x v="2"/>
    <n v="2464"/>
    <x v="0"/>
    <s v="Juan David Herrera Martinez"/>
    <s v="TECUTFE5C"/>
    <s v="Superficie  Fresno Europeo 150x70 Clasico"/>
    <n v="1"/>
    <x v="2"/>
    <s v="Antioquia"/>
    <s v="Medellin"/>
    <x v="0"/>
    <s v="Coordinadora"/>
    <s v="3121938 -84151148174"/>
    <d v="2025-03-03T15:51:33"/>
    <d v="2025-03-04T10:07:44"/>
    <s v="Entregado"/>
    <n v="0"/>
    <n v="1"/>
    <s v="Cumple"/>
    <n v="24093"/>
    <m/>
  </r>
  <r>
    <d v="2025-03-03T00:00:00"/>
    <x v="2"/>
    <n v="2465"/>
    <x v="0"/>
    <s v="Luis Gabriel García Ramírez"/>
    <s v="TECU3FBRO"/>
    <s v="Electric Standing Desk  PRO Blanco"/>
    <n v="1"/>
    <x v="1"/>
    <s v="Antioquia"/>
    <s v="Marinilla"/>
    <x v="0"/>
    <s v="Coordinadora"/>
    <s v="3127560 -84151149937"/>
    <d v="2025-03-04T15:47:29"/>
    <d v="2025-03-05T18:20:04"/>
    <s v="Entregado"/>
    <n v="1"/>
    <n v="2"/>
    <s v="Cumple"/>
    <n v="42921"/>
    <m/>
  </r>
  <r>
    <d v="2025-03-03T00:00:00"/>
    <x v="2"/>
    <n v="2465"/>
    <x v="0"/>
    <s v="Luis Gabriel García Ramírez"/>
    <s v="TECUTFE5C"/>
    <s v="Superficie  Fresno Europeo 150x70 Clasico"/>
    <n v="1"/>
    <x v="2"/>
    <s v="Antioquia"/>
    <s v="Marinilla"/>
    <x v="0"/>
    <s v="Coordinadora"/>
    <s v="3127562 -84151149938"/>
    <d v="2025-03-04T15:47:29"/>
    <d v="2025-03-05T18:20:04"/>
    <s v="Entregado"/>
    <n v="1"/>
    <n v="2"/>
    <s v="Cumple"/>
    <n v="24093"/>
    <m/>
  </r>
  <r>
    <d v="2025-03-03T00:00:00"/>
    <x v="2"/>
    <n v="2466"/>
    <x v="0"/>
    <s v="Jorge Alberto Eslava Cogollos"/>
    <s v="TECURCO"/>
    <s v="Repisa Caramelo"/>
    <n v="1"/>
    <x v="6"/>
    <s v="Bogotá y alrededores"/>
    <s v="Bogota"/>
    <x v="0"/>
    <s v="Coordinadora"/>
    <s v="3127712 -84151150031"/>
    <d v="2025-03-04T15:47:29"/>
    <d v="2025-03-06T09:33:29"/>
    <s v="Entregado"/>
    <n v="1"/>
    <n v="3"/>
    <s v="Cumple"/>
    <n v="23429"/>
    <m/>
  </r>
  <r>
    <d v="2025-03-04T00:00:00"/>
    <x v="2"/>
    <n v="2467"/>
    <x v="0"/>
    <s v="Camilo Luna"/>
    <s v="TECU3FNPRO"/>
    <s v="Electric Standing Desk  PRO Negro"/>
    <n v="1"/>
    <x v="1"/>
    <s v="Bogotá y alrededores"/>
    <s v="Bogota"/>
    <x v="0"/>
    <s v="Coordinadora"/>
    <s v="3127532 - 84151149926"/>
    <d v="2025-03-04T00:00:00"/>
    <d v="2025-03-05T00:00:00"/>
    <s v="Entregado"/>
    <n v="0"/>
    <n v="1"/>
    <s v="Cumple"/>
    <n v="42921"/>
    <m/>
  </r>
  <r>
    <d v="2025-03-04T00:00:00"/>
    <x v="2"/>
    <n v="2467"/>
    <x v="0"/>
    <s v="Camilo Luna"/>
    <s v="TECUTCO8C"/>
    <s v="Superficie  Caramelo 180x70 Clasico"/>
    <n v="1"/>
    <x v="2"/>
    <s v="Bogotá y alrededores"/>
    <s v="Bogota"/>
    <x v="0"/>
    <s v="Coordinadora"/>
    <s v="3127533 - 84151149927"/>
    <d v="2025-03-04T00:00:00"/>
    <d v="2025-03-06T00:00:00"/>
    <s v="Entregado"/>
    <n v="0"/>
    <n v="2"/>
    <s v="Cumple"/>
    <n v="26749"/>
    <m/>
  </r>
  <r>
    <d v="2025-03-04T00:00:00"/>
    <x v="2"/>
    <n v="2467"/>
    <x v="0"/>
    <s v="Camilo Luna"/>
    <s v="TECUACO"/>
    <s v="Archivador TECU  Caramelo"/>
    <n v="1"/>
    <x v="5"/>
    <s v="Bogotá y alrededores"/>
    <s v="Bogota"/>
    <x v="0"/>
    <s v="Envia"/>
    <s v="3135236 - 954101167164"/>
    <d v="2025-03-04T00:00:00"/>
    <d v="2025-03-07T00:00:00"/>
    <s v="Entregado"/>
    <n v="0"/>
    <n v="3"/>
    <s v="Cumple"/>
    <n v="54929"/>
    <m/>
  </r>
  <r>
    <d v="2025-03-04T00:00:00"/>
    <x v="2"/>
    <n v="2468"/>
    <x v="0"/>
    <s v="Katherin Hernández"/>
    <s v="TECU3FNPRO"/>
    <s v="Electric Standing Desk  PRO Negro"/>
    <n v="1"/>
    <x v="1"/>
    <s v="Antioquia"/>
    <s v="Medellin"/>
    <x v="0"/>
    <s v="Coordinadora"/>
    <s v="3127792 - 84151150086"/>
    <d v="2025-03-04T00:00:00"/>
    <d v="2025-03-07T00:00:00"/>
    <s v="Entregado"/>
    <n v="0"/>
    <n v="3"/>
    <s v="Cumple"/>
    <n v="42921"/>
    <m/>
  </r>
  <r>
    <d v="2025-03-04T00:00:00"/>
    <x v="2"/>
    <n v="2468"/>
    <x v="0"/>
    <s v="Katherin Hernández"/>
    <s v="TECUTCO5C"/>
    <s v="Superficie Caramelo 150x70 Clasico"/>
    <n v="1"/>
    <x v="2"/>
    <s v="Antioquia"/>
    <s v="Medellin"/>
    <x v="0"/>
    <s v="Coordinadora"/>
    <s v="3127888 - 84151150087"/>
    <d v="2025-03-04T00:00:00"/>
    <d v="2025-03-07T00:00:00"/>
    <s v="Entregado"/>
    <n v="0"/>
    <n v="3"/>
    <s v="Cumple"/>
    <n v="24093"/>
    <m/>
  </r>
  <r>
    <d v="2025-03-04T00:00:00"/>
    <x v="2"/>
    <n v="2468"/>
    <x v="0"/>
    <s v="Katherin Hernández"/>
    <m/>
    <s v="Servicio de instalacion"/>
    <n v="1"/>
    <x v="3"/>
    <s v="Antioquia"/>
    <s v="Medellin"/>
    <x v="1"/>
    <s v="NA"/>
    <s v="NA"/>
    <s v="NA"/>
    <s v="NA"/>
    <s v="Entregado"/>
    <s v="PTE"/>
    <e v="#VALUE!"/>
    <e v="#VALUE!"/>
    <n v="0"/>
    <m/>
  </r>
  <r>
    <d v="2025-03-04T00:00:00"/>
    <x v="2"/>
    <n v="2469"/>
    <x v="0"/>
    <s v="Mauro Aguilar Bustamante"/>
    <s v="TECU3FNPRO"/>
    <s v="Electric Standing Desk  PRO Negro"/>
    <n v="1"/>
    <x v="1"/>
    <s v="Antioquia"/>
    <s v="Bello"/>
    <x v="0"/>
    <s v="Coordinadora"/>
    <s v="3131151 - 84151151422"/>
    <d v="2025-03-04T00:00:00"/>
    <d v="2025-03-06T00:00:00"/>
    <s v="Entregado"/>
    <n v="0"/>
    <n v="2"/>
    <s v="Cumple"/>
    <n v="42921"/>
    <m/>
  </r>
  <r>
    <d v="2025-03-04T00:00:00"/>
    <x v="2"/>
    <n v="2469"/>
    <x v="0"/>
    <s v="Mauro Aguilar Bustamante"/>
    <s v="TECUTRN5M"/>
    <s v="Superficie  Roble Negro 150x70 Moderno"/>
    <n v="1"/>
    <x v="2"/>
    <s v="Antioquia"/>
    <s v="Bello"/>
    <x v="0"/>
    <s v="Coordinadora"/>
    <s v="3131152 - 84151151424"/>
    <d v="2025-03-04T00:00:00"/>
    <d v="2025-03-06T00:00:00"/>
    <s v="Entregado"/>
    <n v="0"/>
    <n v="2"/>
    <s v="Cumple"/>
    <n v="24093"/>
    <m/>
  </r>
  <r>
    <d v="2025-03-06T00:00:00"/>
    <x v="2"/>
    <n v="2470"/>
    <x v="0"/>
    <s v="Eric Mitchell"/>
    <s v="TECULFN2"/>
    <s v="Electric Standing Desk  En L Frame Negro 2.0"/>
    <n v="1"/>
    <x v="1"/>
    <s v="Antioquia"/>
    <s v="Envigado"/>
    <x v="0"/>
    <s v="Coordinadora"/>
    <s v="3134270 - 84151152886"/>
    <d v="2025-03-06T00:00:00"/>
    <d v="2025-03-07T00:00:00"/>
    <s v="Entregado"/>
    <n v="0"/>
    <n v="1"/>
    <s v="Cumple"/>
    <n v="62530"/>
    <m/>
  </r>
  <r>
    <d v="2025-03-06T00:00:00"/>
    <x v="2"/>
    <n v="2470"/>
    <x v="0"/>
    <s v="Eric Mitchell"/>
    <s v="TECUTLNS"/>
    <s v="Superficie  en L Negro 180x150cm x 70"/>
    <n v="1"/>
    <x v="2"/>
    <s v="Antioquia"/>
    <s v="Envigado"/>
    <x v="0"/>
    <s v="Coordinadora"/>
    <s v="3134273 - 84151152887"/>
    <d v="2025-03-06T00:00:00"/>
    <d v="2025-03-07T00:00:00"/>
    <s v="Entregado"/>
    <n v="0"/>
    <n v="1"/>
    <s v="Cumple"/>
    <n v="26749"/>
    <m/>
  </r>
  <r>
    <d v="2025-03-06T00:00:00"/>
    <x v="2"/>
    <n v="2470"/>
    <x v="0"/>
    <s v="Eric Mitchell"/>
    <m/>
    <s v="Servicio de instalacion"/>
    <n v="1"/>
    <x v="3"/>
    <s v="Antioquia"/>
    <s v="Envigado"/>
    <x v="1"/>
    <s v="NA"/>
    <s v="NA"/>
    <s v="NA"/>
    <s v="NA"/>
    <s v="Entregado"/>
    <s v="PTE"/>
    <e v="#VALUE!"/>
    <e v="#VALUE!"/>
    <n v="0"/>
    <m/>
  </r>
  <r>
    <d v="2025-03-06T00:00:00"/>
    <x v="2"/>
    <n v="2471"/>
    <x v="0"/>
    <s v="Daniel Turriago"/>
    <s v="TECU3FNPRO"/>
    <s v="Electric Standing Desk  PRO Negro"/>
    <n v="1"/>
    <x v="1"/>
    <s v="Bogotá y alrededores"/>
    <s v="Bogota"/>
    <x v="0"/>
    <s v="Coordinadora"/>
    <s v="3134290 - 84151152892"/>
    <d v="2025-03-06T00:00:00"/>
    <d v="2025-03-07T00:00:00"/>
    <s v="Entregado"/>
    <n v="0"/>
    <n v="1"/>
    <s v="Cumple"/>
    <n v="42921"/>
    <m/>
  </r>
  <r>
    <d v="2025-03-06T00:00:00"/>
    <x v="2"/>
    <n v="2471"/>
    <x v="0"/>
    <s v="Daniel Turriago"/>
    <s v="TECUTCO6C"/>
    <s v="Superficie  Caramelo 160x70 Clasico"/>
    <n v="1"/>
    <x v="2"/>
    <s v="Bogotá y alrededores"/>
    <s v="Bogota"/>
    <x v="0"/>
    <s v="Coordinadora"/>
    <s v="3134293 - 84151152894"/>
    <d v="2025-03-06T00:00:00"/>
    <d v="2025-03-07T00:00:00"/>
    <s v="Entregado"/>
    <n v="0"/>
    <n v="1"/>
    <s v="Cumple"/>
    <n v="24093"/>
    <m/>
  </r>
  <r>
    <d v="2025-03-06T00:00:00"/>
    <x v="2"/>
    <n v="2472"/>
    <x v="0"/>
    <s v="Julian Vanegas Medina"/>
    <s v="TECURN"/>
    <s v="Repisa Negro"/>
    <n v="1"/>
    <x v="6"/>
    <s v="Bogotá y alrededores"/>
    <s v="Bogota"/>
    <x v="0"/>
    <s v="Coordinadora"/>
    <s v="3135222 - 84151153334"/>
    <d v="2025-03-06T00:00:00"/>
    <d v="2025-03-07T00:00:00"/>
    <s v="Entregado"/>
    <n v="0"/>
    <n v="1"/>
    <s v="Cumple"/>
    <n v="23429"/>
    <m/>
  </r>
  <r>
    <d v="2025-03-07T00:00:00"/>
    <x v="2"/>
    <n v="2473"/>
    <x v="0"/>
    <s v="Nubia Sabogal"/>
    <s v="TECU3FNPRO"/>
    <s v="Electric Standing Desk  PRO Negro"/>
    <n v="1"/>
    <x v="1"/>
    <s v="Bogotá y alrededores"/>
    <s v="Bogota"/>
    <x v="0"/>
    <s v="Coordinadora"/>
    <s v="3137243 - 84151154226"/>
    <d v="2025-03-07T00:00:00"/>
    <d v="2025-03-08T00:00:00"/>
    <s v="Entregado"/>
    <n v="0"/>
    <n v="1"/>
    <s v="Cumple"/>
    <n v="42921"/>
    <m/>
  </r>
  <r>
    <d v="2025-03-07T00:00:00"/>
    <x v="2"/>
    <n v="2473"/>
    <x v="0"/>
    <s v="Nubia Sabogal"/>
    <s v="TECUTFE7C"/>
    <s v="Superficie  Fresno Europeo 170x70 Clasico"/>
    <n v="1"/>
    <x v="2"/>
    <s v="Bogotá y alrededores"/>
    <s v="Bogota"/>
    <x v="0"/>
    <s v="Coordinadora"/>
    <s v="3137245 - 84151154228"/>
    <d v="2025-03-07T00:00:00"/>
    <d v="2025-03-08T00:00:00"/>
    <s v="Entregado"/>
    <n v="0"/>
    <n v="1"/>
    <s v="Cumple"/>
    <n v="24093"/>
    <m/>
  </r>
  <r>
    <d v="2025-03-07T00:00:00"/>
    <x v="2"/>
    <n v="2474"/>
    <x v="0"/>
    <s v="Juan Pablo Castaño Tabares"/>
    <s v="TECU3FNPRO"/>
    <s v="Electric Standing Desk  PRO Negro"/>
    <n v="1"/>
    <x v="1"/>
    <s v="Bogotá y alrededores"/>
    <s v="Bogota"/>
    <x v="0"/>
    <s v="Coordinadora"/>
    <s v="3137375 - 84151154253"/>
    <d v="2025-03-07T00:00:00"/>
    <d v="2025-03-10T00:00:00"/>
    <s v="Entregado"/>
    <n v="0"/>
    <n v="2"/>
    <s v="Cumple"/>
    <n v="42921"/>
    <m/>
  </r>
  <r>
    <d v="2025-03-07T00:00:00"/>
    <x v="2"/>
    <n v="2474"/>
    <x v="0"/>
    <s v="Juan Pablo Castaño Tabares"/>
    <s v="TECUTCO8C"/>
    <s v="Superficie  Caramelo 180x70 Clasico"/>
    <n v="1"/>
    <x v="2"/>
    <s v="Bogotá y alrededores"/>
    <s v="Bogota"/>
    <x v="0"/>
    <s v="Coordinadora"/>
    <s v="3137376 - 84151154254"/>
    <d v="2025-03-07T00:00:00"/>
    <d v="2025-03-10T00:00:00"/>
    <s v="Entregado"/>
    <n v="0"/>
    <n v="2"/>
    <s v="Cumple"/>
    <n v="26749"/>
    <m/>
  </r>
  <r>
    <d v="2025-03-10T00:00:00"/>
    <x v="2"/>
    <n v="2475"/>
    <x v="0"/>
    <s v="Johan Javier Morales Parrado"/>
    <s v="TECUACC"/>
    <s v="Archivador TECU  Miel"/>
    <n v="1"/>
    <x v="5"/>
    <s v="Bogotá y alrededores"/>
    <s v="Bogota"/>
    <x v="0"/>
    <s v="Envia"/>
    <s v="3143030 - 954101169505"/>
    <d v="2025-03-10T00:00:00"/>
    <d v="2025-03-11T00:00:00"/>
    <s v="Entregado"/>
    <n v="0"/>
    <n v="1"/>
    <s v="Cumple"/>
    <n v="54929"/>
    <m/>
  </r>
  <r>
    <d v="2025-03-10T00:00:00"/>
    <x v="2"/>
    <n v="2476"/>
    <x v="0"/>
    <s v="Hernando Alvernia Navarro"/>
    <s v="TECU2FNG"/>
    <s v="Electric Standing Desk GO Negro"/>
    <n v="1"/>
    <x v="1"/>
    <s v="Norte de Santander"/>
    <s v="Los patios"/>
    <x v="0"/>
    <s v="Coordinadora"/>
    <s v="3144424  - 84151157437"/>
    <d v="2025-03-10T00:00:00"/>
    <d v="2025-03-13T00:00:00"/>
    <s v="Entregado"/>
    <n v="0"/>
    <n v="3"/>
    <e v="#N/A"/>
    <n v="59835"/>
    <m/>
  </r>
  <r>
    <d v="2025-03-10T00:00:00"/>
    <x v="2"/>
    <n v="2476"/>
    <x v="0"/>
    <s v="Hernando Alvernia Navarro"/>
    <s v="TECUTCO6C"/>
    <s v="Superficie  Caramelo 160x70 Clasico"/>
    <n v="1"/>
    <x v="2"/>
    <s v="Norte de Santander"/>
    <s v="Los patios"/>
    <x v="0"/>
    <s v="Coordinadora"/>
    <s v="3144479 - 84151157466"/>
    <d v="2025-03-10T00:00:00"/>
    <d v="2025-03-13T00:00:00"/>
    <s v="Entregado"/>
    <n v="0"/>
    <n v="3"/>
    <e v="#N/A"/>
    <n v="39078"/>
    <m/>
  </r>
  <r>
    <d v="2025-03-10T00:00:00"/>
    <x v="2"/>
    <n v="2477"/>
    <x v="0"/>
    <s v="Hernando Alvernia Navarro"/>
    <s v="TECUBDPA"/>
    <s v="Desk Pad B Negro Azul"/>
    <n v="1"/>
    <x v="0"/>
    <s v="Norte de Santander"/>
    <s v="Los patios"/>
    <x v="0"/>
    <s v="Coordinadora"/>
    <s v="3144499 - 84151157484"/>
    <d v="2025-03-10T00:00:00"/>
    <d v="2025-03-13T00:00:00"/>
    <s v="Entregado"/>
    <n v="0"/>
    <n v="3"/>
    <e v="#N/A"/>
    <n v="16617"/>
    <m/>
  </r>
  <r>
    <d v="2025-03-10T00:00:00"/>
    <x v="2"/>
    <n v="2478"/>
    <x v="0"/>
    <s v="Juan Sebastian Sanchez Samudio"/>
    <s v="TECUROD"/>
    <s v="Rodachines con freno para Standing desk x 4 UN"/>
    <n v="1"/>
    <x v="7"/>
    <s v="Bogotá y alrededores"/>
    <s v="Bogota"/>
    <x v="0"/>
    <s v="Coordinadora"/>
    <s v="3143050 - 84151156582"/>
    <d v="2025-03-10T00:00:00"/>
    <d v="2025-03-11T00:00:00"/>
    <s v="Entregado"/>
    <n v="0"/>
    <n v="1"/>
    <s v="Cumple"/>
    <n v="23875"/>
    <m/>
  </r>
  <r>
    <d v="2025-03-10T00:00:00"/>
    <x v="2"/>
    <n v="2479"/>
    <x v="0"/>
    <s v="Miguel Montañez"/>
    <s v="TECU3FNPRO"/>
    <s v="Electric Standing Desk  PRO Negro"/>
    <n v="1"/>
    <x v="1"/>
    <s v="Bogotá y alrededores"/>
    <s v="Bogota"/>
    <x v="0"/>
    <s v="Coordinadora"/>
    <s v="3143067 - 84151156591"/>
    <d v="2025-03-10T00:00:00"/>
    <d v="2025-03-12T00:00:00"/>
    <s v="Entregado"/>
    <n v="0"/>
    <n v="2"/>
    <s v="Cumple"/>
    <n v="42921"/>
    <m/>
  </r>
  <r>
    <d v="2025-03-10T00:00:00"/>
    <x v="2"/>
    <n v="2479"/>
    <x v="0"/>
    <s v="Miguel Montañez"/>
    <s v="TECUTFE4C"/>
    <s v="Superficie  Fresno Europeo 140x70 Clasico"/>
    <n v="1"/>
    <x v="2"/>
    <s v="Bogotá y alrededores"/>
    <s v="Bogota"/>
    <x v="0"/>
    <s v="Coordinadora"/>
    <s v="3143069 - 84151156592"/>
    <d v="2025-03-10T00:00:00"/>
    <d v="2025-03-12T00:00:00"/>
    <s v="Entregado"/>
    <n v="0"/>
    <n v="2"/>
    <s v="Cumple"/>
    <n v="24093"/>
    <m/>
  </r>
  <r>
    <d v="2025-03-10T00:00:00"/>
    <x v="2"/>
    <n v="2480"/>
    <x v="0"/>
    <s v="Henry Stivent Montaño Ramirez"/>
    <s v="TECU2FNG"/>
    <s v="Electric Standing Desk GO Negro"/>
    <n v="1"/>
    <x v="1"/>
    <s v="Antioquia"/>
    <s v="Medellin"/>
    <x v="0"/>
    <s v="Coordinadora"/>
    <s v="3147501 - 84151158507"/>
    <d v="2025-03-11T00:00:00"/>
    <d v="2025-03-12T00:00:00"/>
    <s v="Entregado"/>
    <n v="1"/>
    <n v="2"/>
    <s v="Cumple"/>
    <n v="24093"/>
    <m/>
  </r>
  <r>
    <d v="2025-03-10T00:00:00"/>
    <x v="2"/>
    <n v="2480"/>
    <x v="0"/>
    <s v="Henry Stivent Montaño Ramirez"/>
    <s v="TECUTCO5C"/>
    <s v="Superficie Caramelo 150x70 Clasico"/>
    <n v="1"/>
    <x v="2"/>
    <s v="Antioquia"/>
    <s v="Medellin"/>
    <x v="0"/>
    <s v="Coordinadora"/>
    <s v="3147502 - 84151158511"/>
    <d v="2025-03-11T00:00:00"/>
    <d v="2025-03-12T00:00:00"/>
    <s v="Entregado"/>
    <n v="1"/>
    <n v="2"/>
    <s v="Cumple"/>
    <n v="41593"/>
    <m/>
  </r>
  <r>
    <d v="2025-03-10T00:00:00"/>
    <x v="2"/>
    <n v="2481"/>
    <x v="0"/>
    <s v="edwar camilo ortiz quintero"/>
    <s v="TECU3FNPRO"/>
    <s v="Electric Standing Desk  PRO Negro"/>
    <n v="1"/>
    <x v="1"/>
    <s v="Norte de Santander"/>
    <s v="Villa del rosario"/>
    <x v="0"/>
    <s v="Coordinadora"/>
    <s v="3148825 - 84151159185"/>
    <d v="2025-03-11T00:00:00"/>
    <d v="2025-03-13T00:00:00"/>
    <s v="Entregado"/>
    <n v="1"/>
    <n v="3"/>
    <e v="#N/A"/>
    <n v="67467"/>
    <m/>
  </r>
  <r>
    <d v="2025-03-10T00:00:00"/>
    <x v="2"/>
    <n v="2481"/>
    <x v="0"/>
    <s v="edwar camilo ortiz quintero"/>
    <s v="TECUTFE8C"/>
    <s v="Superficie  Fresno Europeo 180x70 Clasico"/>
    <n v="1"/>
    <x v="2"/>
    <s v="Norte de Santander"/>
    <s v="Villa del rosario"/>
    <x v="0"/>
    <s v="Coordinadora"/>
    <s v="3148806 - 84151159175"/>
    <d v="2025-03-11T00:00:00"/>
    <d v="2025-03-13T00:00:00"/>
    <s v="Entregado"/>
    <n v="1"/>
    <n v="3"/>
    <e v="#N/A"/>
    <n v="48840"/>
    <m/>
  </r>
  <r>
    <d v="2025-03-10T00:00:00"/>
    <x v="2"/>
    <n v="2481"/>
    <x v="0"/>
    <s v="edwar camilo ortiz quintero"/>
    <s v="TECUCT"/>
    <s v="Bandeja de cables"/>
    <n v="1"/>
    <x v="0"/>
    <s v="Norte de Santander"/>
    <s v="Villa del rosario"/>
    <x v="0"/>
    <s v="Coordinadora"/>
    <s v="3148859 - 84151159199"/>
    <d v="2025-03-11T00:00:00"/>
    <d v="2025-03-13T00:00:00"/>
    <s v="Entregado"/>
    <n v="1"/>
    <n v="3"/>
    <e v="#N/A"/>
    <n v="39762"/>
    <m/>
  </r>
  <r>
    <d v="2025-03-12T00:00:00"/>
    <x v="2"/>
    <n v="2482"/>
    <x v="0"/>
    <s v="HECTOR JAVIER LOPEZ DIAZ  - INMOTICA LTDA"/>
    <s v="TECUACC"/>
    <s v="Archivador TECU  Miel"/>
    <n v="1"/>
    <x v="5"/>
    <s v="Bogotá y alrededores"/>
    <s v="Bogota"/>
    <x v="0"/>
    <s v="Envia"/>
    <s v="3148896 - 954101171161"/>
    <d v="2025-03-11T00:00:00"/>
    <d v="2025-03-12T00:00:00"/>
    <s v="Entregado"/>
    <n v="-3"/>
    <n v="0"/>
    <s v="Cumple"/>
    <n v="54929"/>
    <m/>
  </r>
  <r>
    <d v="2025-03-12T00:00:00"/>
    <x v="2"/>
    <n v="2483"/>
    <x v="0"/>
    <s v="Santiago Zapata"/>
    <s v="TECU2FNG"/>
    <s v="Electric Standing Desk GO Negro"/>
    <n v="1"/>
    <x v="1"/>
    <s v="Antioquia"/>
    <s v="Medellin"/>
    <x v="0"/>
    <s v="Coordinadora"/>
    <s v="3151177 - 84151159943"/>
    <d v="2025-03-12T00:00:00"/>
    <d v="2025-03-13T00:00:00"/>
    <s v="Entregado"/>
    <n v="0"/>
    <n v="1"/>
    <s v="Cumple"/>
    <n v="41593"/>
    <m/>
  </r>
  <r>
    <d v="2025-03-12T00:00:00"/>
    <x v="2"/>
    <n v="2483"/>
    <x v="0"/>
    <s v="Santiago Zapata"/>
    <s v="TECUTRN6C"/>
    <s v="Superficie  Roble Negro 160x70 Clasico"/>
    <n v="1"/>
    <x v="2"/>
    <s v="Antioquia"/>
    <s v="Medellin"/>
    <x v="0"/>
    <s v="Coordinadora"/>
    <s v="3151178 - 84151159946"/>
    <d v="2025-03-12T00:00:00"/>
    <d v="2025-03-13T00:00:00"/>
    <s v="Entregado"/>
    <n v="0"/>
    <n v="1"/>
    <s v="Cumple"/>
    <n v="24093"/>
    <m/>
  </r>
  <r>
    <d v="2025-03-12T00:00:00"/>
    <x v="2"/>
    <n v="2484"/>
    <x v="0"/>
    <s v="David Cadavid"/>
    <s v="TECUROD"/>
    <s v="Rodachines con freno para Standing desk x 4 UN"/>
    <n v="1"/>
    <x v="7"/>
    <s v="Antioquia"/>
    <s v="Envigado"/>
    <x v="0"/>
    <s v="Coordinadora"/>
    <s v="3152104 - 84151160248"/>
    <d v="2025-03-12T00:00:00"/>
    <d v="2025-03-13T00:00:00"/>
    <s v="Entregado"/>
    <n v="0"/>
    <n v="1"/>
    <s v="Cumple"/>
    <n v="23875"/>
    <m/>
  </r>
  <r>
    <d v="2025-03-12T00:00:00"/>
    <x v="2"/>
    <n v="2484"/>
    <x v="0"/>
    <s v="David Cadavid"/>
    <s v="TECUTBANTE"/>
    <s v="Bandeja de teclado"/>
    <n v="1"/>
    <x v="0"/>
    <s v="Antioquia"/>
    <s v="Envigado"/>
    <x v="0"/>
    <s v="Coordinadora"/>
    <s v="3152087 - 84151160236"/>
    <d v="2025-03-12T00:00:00"/>
    <d v="2025-03-14T00:00:00"/>
    <s v="Entregado"/>
    <n v="0"/>
    <n v="2"/>
    <s v="Cumple"/>
    <n v="39225"/>
    <m/>
  </r>
  <r>
    <d v="2025-03-17T00:00:00"/>
    <x v="2"/>
    <n v="2485"/>
    <x v="0"/>
    <s v="Andres Dario Sanchez Lugo"/>
    <s v="TECU3FNPRO"/>
    <s v="Electric Standing Desk  PRO Negro"/>
    <n v="1"/>
    <x v="1"/>
    <s v="Bogotá y alrededores"/>
    <s v="Bogota"/>
    <x v="0"/>
    <s v="Coordinadora"/>
    <s v="3178028 - 84151171291"/>
    <d v="2025-03-21T00:00:00"/>
    <d v="2025-03-26T00:00:00"/>
    <s v="Entregado"/>
    <n v="4"/>
    <n v="7"/>
    <s v="No cumple"/>
    <n v="42921"/>
    <m/>
  </r>
  <r>
    <d v="2025-03-17T00:00:00"/>
    <x v="2"/>
    <n v="2485"/>
    <x v="0"/>
    <s v="Andres Dario Sanchez Lugo"/>
    <s v="TECUTRM5C"/>
    <s v="Superficie Roble Miel 150x70 Clasico"/>
    <n v="1"/>
    <x v="2"/>
    <s v="Bogotá y alrededores"/>
    <s v="Bogota"/>
    <x v="0"/>
    <s v="Coordinadora"/>
    <s v="3178029 - 84151171292"/>
    <d v="2025-03-21T00:00:00"/>
    <d v="2025-03-26T00:00:00"/>
    <s v="Entregado"/>
    <n v="4"/>
    <n v="7"/>
    <s v="No cumple"/>
    <n v="24593"/>
    <m/>
  </r>
  <r>
    <d v="2025-03-17T00:00:00"/>
    <x v="2"/>
    <n v="2485"/>
    <x v="0"/>
    <s v="Andres Dario Sanchez Lugo"/>
    <s v="TECUCT"/>
    <s v="Bandeja de cables"/>
    <n v="1"/>
    <x v="0"/>
    <s v="Bogotá y alrededores"/>
    <s v="Bogota"/>
    <x v="0"/>
    <s v="Coordinadora"/>
    <s v="3178034 - 84151171299"/>
    <d v="2025-03-21T00:00:00"/>
    <d v="2025-03-26T00:00:00"/>
    <s v="Entregado"/>
    <n v="4"/>
    <n v="7"/>
    <s v="No cumple"/>
    <n v="24885"/>
    <m/>
  </r>
  <r>
    <d v="2025-03-17T00:00:00"/>
    <x v="2"/>
    <n v="2485"/>
    <x v="0"/>
    <s v="Andres Dario Sanchez Lugo"/>
    <s v="TECU3FNPRO"/>
    <s v="Electric Standing Desk  PRO Negro"/>
    <n v="1"/>
    <x v="1"/>
    <s v="Bogotá y alrededores"/>
    <s v="Bogota"/>
    <x v="0"/>
    <s v="Coordinadora"/>
    <s v="3178037 - 84151171301"/>
    <d v="2025-03-21T00:00:00"/>
    <d v="2025-03-26T00:00:00"/>
    <s v="Entregado"/>
    <n v="4"/>
    <n v="7"/>
    <s v="No cumple"/>
    <n v="42921"/>
    <m/>
  </r>
  <r>
    <d v="2025-03-17T00:00:00"/>
    <x v="2"/>
    <n v="2485"/>
    <x v="0"/>
    <s v="Andres Dario Sanchez Lugo"/>
    <s v="TECUTRM5C"/>
    <s v="Superficie Roble Miel 150x70 Clasico"/>
    <n v="1"/>
    <x v="2"/>
    <s v="Bogotá y alrededores"/>
    <s v="Bogota"/>
    <x v="0"/>
    <s v="Coordinadora"/>
    <s v="3178038 - 84151171302"/>
    <d v="2025-03-21T00:00:00"/>
    <d v="2025-03-26T00:00:00"/>
    <s v="Entregado"/>
    <n v="4"/>
    <n v="7"/>
    <s v="No cumple"/>
    <n v="24593"/>
    <m/>
  </r>
  <r>
    <d v="2025-03-17T00:00:00"/>
    <x v="2"/>
    <n v="2485"/>
    <x v="0"/>
    <s v="Andres Dario Sanchez Lugo"/>
    <s v="TECUCT"/>
    <s v="Bandeja de cables"/>
    <n v="1"/>
    <x v="0"/>
    <s v="Bogotá y alrededores"/>
    <s v="Bogota"/>
    <x v="0"/>
    <s v="Coordinadora"/>
    <s v="3178043 - 84151171304"/>
    <d v="2025-03-21T00:00:00"/>
    <d v="2025-03-26T00:00:00"/>
    <s v="Entregado"/>
    <n v="4"/>
    <n v="7"/>
    <s v="No cumple"/>
    <n v="24885"/>
    <m/>
  </r>
  <r>
    <d v="2025-03-17T00:00:00"/>
    <x v="2"/>
    <n v="2485"/>
    <x v="0"/>
    <s v="Andres Dario Sanchez Lugo"/>
    <m/>
    <s v="Servicio de instalacion"/>
    <n v="2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3-17T00:00:00"/>
    <x v="2"/>
    <n v="2486"/>
    <x v="0"/>
    <s v="Alejandro Marín Buriticá"/>
    <s v="TECU3FNCRO"/>
    <s v="Electric Standing Desk  PRO Negro circular"/>
    <n v="1"/>
    <x v="1"/>
    <s v="Antioquia"/>
    <s v="Medellin"/>
    <x v="0"/>
    <s v="Coordinadora"/>
    <s v="3163676 - 84151165337"/>
    <d v="2025-03-17T00:00:00"/>
    <d v="2025-03-18T00:00:00"/>
    <s v="Entregado"/>
    <n v="0"/>
    <n v="1"/>
    <s v="Cumple"/>
    <n v="42921"/>
    <m/>
  </r>
  <r>
    <d v="2025-03-17T00:00:00"/>
    <x v="2"/>
    <n v="2486"/>
    <x v="0"/>
    <s v="Alejandro Marín Buriticá"/>
    <s v="TECUTB5C"/>
    <s v="Superficie Niebla 150x70 Clasico"/>
    <n v="1"/>
    <x v="2"/>
    <s v="Antioquia"/>
    <s v="Medellin"/>
    <x v="0"/>
    <s v="Coordinadora"/>
    <s v="3163678 - 84151165339"/>
    <d v="2025-03-17T00:00:00"/>
    <d v="2025-03-18T00:00:00"/>
    <s v="Entregado"/>
    <n v="0"/>
    <n v="1"/>
    <s v="Cumple"/>
    <n v="24093"/>
    <m/>
  </r>
  <r>
    <d v="2025-03-19T00:00:00"/>
    <x v="2"/>
    <n v="2487"/>
    <x v="0"/>
    <s v="Pablo Velasquez Caro"/>
    <s v="TECU3FNPRO"/>
    <s v="Electric Standing Desk  PRO Negro"/>
    <n v="1"/>
    <x v="1"/>
    <s v="Antioquia"/>
    <s v="Medellin"/>
    <x v="0"/>
    <s v="Coordinadora"/>
    <s v="3174414 - 84151169570"/>
    <d v="2025-03-20T00:00:00"/>
    <d v="2025-03-21T00:00:00"/>
    <s v="Entregado"/>
    <n v="1"/>
    <n v="2"/>
    <s v="Cumple"/>
    <n v="42921"/>
    <m/>
  </r>
  <r>
    <d v="2025-03-19T00:00:00"/>
    <x v="2"/>
    <n v="2487"/>
    <x v="0"/>
    <s v="Pablo Velasquez Caro"/>
    <s v="TECUTRN2C"/>
    <s v="Superficie  Roble Negro 120x70 Clasico Small"/>
    <n v="1"/>
    <x v="2"/>
    <s v="Antioquia"/>
    <s v="Medellin"/>
    <x v="0"/>
    <s v="Coordinadora"/>
    <s v="3174422 - 84151169571"/>
    <d v="2025-03-20T00:00:00"/>
    <d v="2025-03-21T00:00:00"/>
    <s v="Entregado"/>
    <n v="1"/>
    <n v="2"/>
    <s v="Cumple"/>
    <n v="28741"/>
    <m/>
  </r>
  <r>
    <d v="2025-03-20T00:00:00"/>
    <x v="2"/>
    <n v="2488"/>
    <x v="0"/>
    <s v="David Molano"/>
    <s v="TECU3FNPRO"/>
    <s v="Electric Standing Desk  PRO Negro"/>
    <n v="1"/>
    <x v="1"/>
    <s v="Risaralda"/>
    <s v="Santa Rosa de Cabal"/>
    <x v="0"/>
    <s v="Coordinadora"/>
    <s v="3191386 - 84151178126"/>
    <d v="2025-03-28T00:00:00"/>
    <d v="2025-03-29T00:00:00"/>
    <s v="Entregado"/>
    <n v="6"/>
    <n v="7"/>
    <e v="#N/A"/>
    <n v="34953"/>
    <m/>
  </r>
  <r>
    <d v="2025-03-20T00:00:00"/>
    <x v="2"/>
    <n v="2488"/>
    <x v="0"/>
    <s v="David Molano"/>
    <s v="TECUTRM8C"/>
    <s v="Superficie Roble Miel 180x70 Clasico"/>
    <n v="1"/>
    <x v="2"/>
    <s v="Risaralda"/>
    <s v="Santa Rosa de Cabal"/>
    <x v="0"/>
    <s v="Coordinadora"/>
    <s v="3191387 - 84151178127"/>
    <d v="2025-03-28T00:00:00"/>
    <d v="2025-03-29T00:00:00"/>
    <s v="Entregado"/>
    <n v="6"/>
    <n v="7"/>
    <e v="#N/A"/>
    <n v="17288"/>
    <m/>
  </r>
  <r>
    <d v="2025-03-20T00:00:00"/>
    <x v="2"/>
    <n v="2488"/>
    <x v="0"/>
    <s v="David Molano"/>
    <s v="TECUCT"/>
    <s v="Bandeja de cables"/>
    <n v="1"/>
    <x v="0"/>
    <s v="Risaralda"/>
    <s v="Santa Rosa de Cabal"/>
    <x v="0"/>
    <s v="Coordinadora"/>
    <s v="3191393 - 84151178133"/>
    <d v="2025-03-28T00:00:00"/>
    <d v="2025-03-29T00:00:00"/>
    <s v="Entregado"/>
    <n v="6"/>
    <n v="7"/>
    <e v="#N/A"/>
    <n v="15447"/>
    <m/>
  </r>
  <r>
    <d v="2025-03-21T00:00:00"/>
    <x v="2"/>
    <n v="2489"/>
    <x v="0"/>
    <s v="Benhur Hernández"/>
    <s v="TECU3FNPRO"/>
    <s v="Electric Standing Desk  PRO Negro"/>
    <n v="1"/>
    <x v="1"/>
    <s v="Bogotá y alrededores"/>
    <s v="Bogota"/>
    <x v="0"/>
    <s v="Coordinadora"/>
    <s v="3195778 - 84151180056"/>
    <d v="2025-03-31T00:00:00"/>
    <d v="2025-04-01T00:00:00"/>
    <s v="Entregado"/>
    <n v="7"/>
    <n v="8"/>
    <s v="No cumple"/>
    <n v="42921"/>
    <m/>
  </r>
  <r>
    <d v="2025-03-21T00:00:00"/>
    <x v="2"/>
    <n v="2489"/>
    <x v="0"/>
    <s v="Benhur Hernández"/>
    <s v="TECUTCO5M"/>
    <s v="Superficie Caramelo 150x70 Moderno"/>
    <n v="1"/>
    <x v="2"/>
    <s v="Bogotá y alrededores"/>
    <s v="Bogota"/>
    <x v="0"/>
    <s v="Coordinadora"/>
    <s v="3195780 - 84151180057"/>
    <d v="2025-03-31T00:00:00"/>
    <d v="2025-04-01T00:00:00"/>
    <s v="Entregado"/>
    <n v="7"/>
    <n v="8"/>
    <s v="No cumple"/>
    <n v="24093"/>
    <m/>
  </r>
  <r>
    <d v="2025-03-22T00:00:00"/>
    <x v="2"/>
    <n v="2490"/>
    <x v="0"/>
    <s v="Johan Sebastián Hernández Carvajal"/>
    <s v="TECU3FNPRO"/>
    <s v="Electric Standing Desk  PRO Negro"/>
    <n v="1"/>
    <x v="1"/>
    <s v="Antioquia"/>
    <s v="Copcabana"/>
    <x v="0"/>
    <s v="Coordinadora"/>
    <s v="3182578 - 84151173203"/>
    <d v="2025-03-25T00:00:00"/>
    <d v="2025-03-26T00:00:00"/>
    <s v="Entregado"/>
    <n v="1"/>
    <n v="2"/>
    <e v="#N/A"/>
    <n v="42921"/>
    <m/>
  </r>
  <r>
    <d v="2025-03-22T00:00:00"/>
    <x v="2"/>
    <n v="2490"/>
    <x v="0"/>
    <s v="Johan Sebastián Hernández Carvajal"/>
    <s v="TECUTRN4C"/>
    <s v="Superficie  Roble Negro 140x70 Clasico"/>
    <n v="1"/>
    <x v="2"/>
    <s v="Antioquia"/>
    <s v="Copcabana"/>
    <x v="0"/>
    <s v="Coordinadora"/>
    <s v="3182579 - 84151173204"/>
    <d v="2025-03-25T00:00:00"/>
    <d v="2025-03-26T00:00:00"/>
    <s v="Entregado"/>
    <n v="1"/>
    <n v="2"/>
    <e v="#N/A"/>
    <n v="24093"/>
    <m/>
  </r>
  <r>
    <d v="2025-03-23T00:00:00"/>
    <x v="2"/>
    <n v="2491"/>
    <x v="0"/>
    <s v="Luis Modesto Pacheco Pérez"/>
    <s v="TECU3FNPRO"/>
    <s v="Electric Standing Desk  PRO Negro"/>
    <n v="1"/>
    <x v="1"/>
    <s v="Bogotá y alrededores"/>
    <s v="Bogota"/>
    <x v="0"/>
    <s v="Coordinadora"/>
    <s v="3185566 - 84151174823"/>
    <d v="2025-03-26T00:00:00"/>
    <d v="2025-03-28T00:00:00"/>
    <s v="Entregado"/>
    <n v="1"/>
    <n v="3"/>
    <s v="Cumple"/>
    <n v="42921"/>
    <m/>
  </r>
  <r>
    <d v="2025-03-23T00:00:00"/>
    <x v="2"/>
    <n v="2491"/>
    <x v="0"/>
    <s v="Luis Modesto Pacheco Pérez"/>
    <s v="TECUTRN8C"/>
    <s v="Superficie  Roble Negro 180x70 Clasico"/>
    <n v="1"/>
    <x v="2"/>
    <s v="Bogotá y alrededores"/>
    <s v="Bogota"/>
    <x v="0"/>
    <s v="Coordinadora"/>
    <s v="3185568 - 84151174824"/>
    <d v="2025-03-26T00:00:00"/>
    <d v="2025-03-28T00:00:00"/>
    <s v="Entregado"/>
    <n v="1"/>
    <n v="3"/>
    <s v="Cumple"/>
    <n v="26749"/>
    <m/>
  </r>
  <r>
    <d v="2025-03-23T00:00:00"/>
    <x v="2"/>
    <n v="2492"/>
    <x v="0"/>
    <s v="Carlos Andres Urrea Lopez - Yumey A Orozco C"/>
    <s v="TECU3FNPRO"/>
    <s v="Electric Standing Desk  PRO Negro"/>
    <n v="1"/>
    <x v="1"/>
    <s v="Antioquia"/>
    <s v="Envigado"/>
    <x v="0"/>
    <s v="Coordinadora"/>
    <s v="3182510 - 84151173153"/>
    <d v="2025-03-25T00:00:00"/>
    <d v="2025-03-26T00:00:00"/>
    <s v="Entregado"/>
    <n v="0"/>
    <n v="1"/>
    <s v="Cumple"/>
    <n v="42921"/>
    <m/>
  </r>
  <r>
    <d v="2025-03-23T00:00:00"/>
    <x v="2"/>
    <n v="2492"/>
    <x v="0"/>
    <s v="Carlos Andres Urrea Lopez - Yumey A Orozco C"/>
    <s v="TECUTFE2C"/>
    <s v="Superficie  Fresno Europeo 120x70 Clasico Small"/>
    <n v="1"/>
    <x v="2"/>
    <s v="Antioquia"/>
    <s v="Envigado"/>
    <x v="0"/>
    <s v="Coordinadora"/>
    <s v="3182512 - 84151173155"/>
    <d v="2025-03-25T00:00:00"/>
    <d v="2025-03-26T00:00:00"/>
    <s v="Entregado"/>
    <n v="0"/>
    <n v="1"/>
    <s v="Cumple"/>
    <n v="28741"/>
    <m/>
  </r>
  <r>
    <d v="2025-03-23T00:00:00"/>
    <x v="2"/>
    <n v="2492"/>
    <x v="0"/>
    <s v="Carlos Andres Urrea Lopez - Yumey A Orozco C"/>
    <m/>
    <s v="Servicio de instalacion"/>
    <n v="1"/>
    <x v="3"/>
    <s v="Antioquia"/>
    <s v="Envigado"/>
    <x v="1"/>
    <s v="NA"/>
    <s v="NA"/>
    <s v="NA"/>
    <s v="NA"/>
    <s v="Entregado"/>
    <s v="PTE"/>
    <e v="#VALUE!"/>
    <e v="#VALUE!"/>
    <n v="0"/>
    <m/>
  </r>
  <r>
    <d v="2025-03-24T00:00:00"/>
    <x v="2"/>
    <n v="2493"/>
    <x v="0"/>
    <s v="Maria Garzon"/>
    <s v="TECU2FNG"/>
    <s v="Electric Standing Desk GO Negro"/>
    <n v="1"/>
    <x v="1"/>
    <s v="Bogotá y alrededores"/>
    <s v="Bogota"/>
    <x v="0"/>
    <s v="Coordinadora"/>
    <s v="3185493 - 84151174778"/>
    <d v="2025-03-26T00:00:00"/>
    <d v="2025-03-28T00:00:00"/>
    <s v="Entregado"/>
    <n v="1"/>
    <n v="3"/>
    <s v="Cumple"/>
    <n v="41593"/>
    <m/>
  </r>
  <r>
    <d v="2025-03-24T00:00:00"/>
    <x v="2"/>
    <n v="2493"/>
    <x v="0"/>
    <s v="Maria Garzon"/>
    <s v="TECUTFE3C"/>
    <s v="Superficie  Fresno Europeo 130x70 Clasico"/>
    <n v="1"/>
    <x v="2"/>
    <s v="Bogotá y alrededores"/>
    <s v="Bogota"/>
    <x v="0"/>
    <s v="Coordinadora"/>
    <s v="3185494 - 84151174779"/>
    <d v="2025-03-26T00:00:00"/>
    <d v="2025-03-28T00:00:00"/>
    <s v="Entregado"/>
    <n v="1"/>
    <n v="3"/>
    <s v="Cumple"/>
    <n v="24093"/>
    <m/>
  </r>
  <r>
    <d v="2025-03-25T00:00:00"/>
    <x v="2"/>
    <n v="2494"/>
    <x v="0"/>
    <s v="jhonnatan gonzalez"/>
    <s v="TECU2FNG"/>
    <s v="Electric Standing Desk GO Negro"/>
    <n v="1"/>
    <x v="1"/>
    <s v="Bogotá y alrededores"/>
    <s v="Bogota"/>
    <x v="0"/>
    <s v="Coordinadora"/>
    <s v="3183196 - 84151173593"/>
    <d v="2025-03-25T00:00:00"/>
    <d v="2025-03-27T00:00:00"/>
    <s v="Entregado"/>
    <n v="0"/>
    <n v="2"/>
    <s v="Cumple"/>
    <n v="41593"/>
    <m/>
  </r>
  <r>
    <d v="2025-03-25T00:00:00"/>
    <x v="2"/>
    <n v="2494"/>
    <x v="0"/>
    <s v="jhonnatan gonzalez"/>
    <s v="TECUTFE4C"/>
    <s v="Superficie  Fresno Europeo 140x70 Clasico"/>
    <n v="1"/>
    <x v="2"/>
    <s v="Bogotá y alrededores"/>
    <s v="Bogota"/>
    <x v="0"/>
    <s v="Coordinadora"/>
    <s v="3183197 - 84151173594"/>
    <d v="2025-03-25T00:00:00"/>
    <d v="2025-03-27T00:00:00"/>
    <s v="Entregado"/>
    <n v="0"/>
    <n v="2"/>
    <s v="Cumple"/>
    <n v="24093"/>
    <m/>
  </r>
  <r>
    <d v="2025-03-25T00:00:00"/>
    <x v="2"/>
    <n v="2494"/>
    <x v="0"/>
    <s v="jhonnatan gonzalez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3-26T00:00:00"/>
    <x v="2"/>
    <n v="2495"/>
    <x v="0"/>
    <s v="Jorge Madrid"/>
    <s v="TECU3FNCRO"/>
    <s v="Electric Standing Desk  PRO Negro circular"/>
    <n v="1"/>
    <x v="1"/>
    <s v="Antioquia"/>
    <s v="Envigado"/>
    <x v="0"/>
    <s v="Coordinadora"/>
    <s v="3188537 - 84151176378"/>
    <d v="2025-03-27T00:00:00"/>
    <d v="2025-03-28T00:00:00"/>
    <s v="Entregado"/>
    <n v="1"/>
    <n v="2"/>
    <s v="Cumple"/>
    <n v="42921"/>
    <m/>
  </r>
  <r>
    <d v="2025-03-26T00:00:00"/>
    <x v="2"/>
    <n v="2495"/>
    <x v="0"/>
    <s v="Jorge Madrid"/>
    <s v="TECU-BMUSC"/>
    <s v="Superficie  Music Caramelo"/>
    <n v="1"/>
    <x v="2"/>
    <s v="Antioquia"/>
    <s v="Envigado"/>
    <x v="0"/>
    <s v="Coordinadora"/>
    <s v="3188538 - 84151176379"/>
    <d v="2025-03-27T00:00:00"/>
    <d v="2025-03-28T00:00:00"/>
    <s v="Entregado"/>
    <n v="1"/>
    <n v="2"/>
    <s v="Cumple"/>
    <n v="24093"/>
    <m/>
  </r>
  <r>
    <d v="2025-03-26T00:00:00"/>
    <x v="2"/>
    <n v="2496"/>
    <x v="0"/>
    <s v="Victor Mesa"/>
    <s v="TECU2FNG"/>
    <s v="Electric Standing Desk GO Negro"/>
    <n v="1"/>
    <x v="1"/>
    <s v="Antioquia"/>
    <s v="Bello"/>
    <x v="0"/>
    <s v="Coordinadora"/>
    <s v="3195822 - 84151180092"/>
    <d v="2025-03-31T00:00:00"/>
    <d v="2025-04-01T00:00:00"/>
    <s v="Entregado"/>
    <n v="4"/>
    <n v="5"/>
    <s v="No cumple"/>
    <n v="41593"/>
    <m/>
  </r>
  <r>
    <d v="2025-03-26T00:00:00"/>
    <x v="2"/>
    <n v="2496"/>
    <x v="0"/>
    <s v="Victor Mesa"/>
    <s v="TECUTFE4C"/>
    <s v="Superficie  Fresno Europeo 140x70 Clasico"/>
    <n v="1"/>
    <x v="2"/>
    <s v="Antioquia"/>
    <s v="Bello"/>
    <x v="0"/>
    <s v="Coordinadora"/>
    <s v="3195823 - 84151180093"/>
    <d v="2025-03-31T00:00:00"/>
    <d v="2025-04-01T00:00:00"/>
    <s v="Entregado"/>
    <n v="4"/>
    <n v="5"/>
    <s v="No cumple"/>
    <n v="24093"/>
    <m/>
  </r>
  <r>
    <d v="2025-03-26T00:00:00"/>
    <x v="2"/>
    <n v="2496"/>
    <x v="0"/>
    <s v="Victor Mesa"/>
    <s v="TECUROD"/>
    <s v="Rodachines con freno para Standing desk x 4 UN"/>
    <n v="1"/>
    <x v="7"/>
    <s v="Antioquia"/>
    <s v="Bello"/>
    <x v="0"/>
    <s v="Coordinadora"/>
    <s v="3195838 - 84151180106"/>
    <d v="2025-03-31T00:00:00"/>
    <d v="2025-04-01T00:00:00"/>
    <s v="Entregado"/>
    <n v="4"/>
    <n v="5"/>
    <s v="No cumple"/>
    <n v="23875"/>
    <m/>
  </r>
  <r>
    <d v="2025-03-26T00:00:00"/>
    <x v="2"/>
    <n v="2496"/>
    <x v="0"/>
    <s v="Victor Mesa"/>
    <m/>
    <s v="Servicio de instalacion"/>
    <n v="1"/>
    <x v="3"/>
    <s v="Antioquia"/>
    <s v="Bello"/>
    <x v="1"/>
    <s v="NA"/>
    <s v="NA"/>
    <s v="NA"/>
    <s v="NA"/>
    <m/>
    <m/>
    <m/>
    <m/>
    <n v="0"/>
    <m/>
  </r>
  <r>
    <d v="2025-03-27T00:00:00"/>
    <x v="2"/>
    <n v="2497"/>
    <x v="0"/>
    <s v="Jorge Madrid"/>
    <s v="TECUCT"/>
    <s v="Bandeja de cables"/>
    <n v="1"/>
    <x v="0"/>
    <s v="Antioquia"/>
    <s v="Envigado"/>
    <x v="0"/>
    <s v="Coordinadora"/>
    <s v="3188548 - 84151176389"/>
    <d v="2025-03-27T00:00:00"/>
    <d v="2025-03-28T00:00:00"/>
    <s v="Entregado"/>
    <n v="0"/>
    <n v="1"/>
    <s v="Cumple"/>
    <n v="24885"/>
    <m/>
  </r>
  <r>
    <d v="2025-03-27T00:00:00"/>
    <x v="2"/>
    <n v="2498"/>
    <x v="0"/>
    <s v="Gabriel Hernández Torres"/>
    <s v="TECU3FNPRO"/>
    <s v="Electric Standing Desk  PRO Negro"/>
    <n v="1"/>
    <x v="1"/>
    <s v="Caldas"/>
    <s v="Manizales"/>
    <x v="0"/>
    <s v="Coordinadora"/>
    <s v="3190334 - 84151177324"/>
    <d v="2025-03-28T00:00:00"/>
    <d v="2025-03-29T00:00:00"/>
    <s v="Entregado"/>
    <n v="1"/>
    <n v="2"/>
    <s v="Cumple"/>
    <n v="34953"/>
    <m/>
  </r>
  <r>
    <d v="2025-03-27T00:00:00"/>
    <x v="2"/>
    <n v="2498"/>
    <x v="0"/>
    <s v="Gabriel Hernández Torres"/>
    <s v="TECUTCO6C"/>
    <s v="Superficie  Caramelo 160x70 Clasico"/>
    <n v="1"/>
    <x v="2"/>
    <s v="Caldas"/>
    <s v="Manizales"/>
    <x v="0"/>
    <s v="Coordinadora"/>
    <s v="3190335 - 84151177325"/>
    <d v="2025-03-28T00:00:00"/>
    <d v="2025-03-29T00:00:00"/>
    <s v="Entregado"/>
    <n v="1"/>
    <n v="2"/>
    <s v="Cumple"/>
    <n v="15194"/>
    <m/>
  </r>
  <r>
    <d v="2025-03-27T00:00:00"/>
    <x v="2"/>
    <n v="2498"/>
    <x v="0"/>
    <s v="Gabriel Hernández Torres"/>
    <s v="TECU3FBRO"/>
    <s v="Electric Standing Desk  PRO Blanco"/>
    <n v="1"/>
    <x v="1"/>
    <s v="Caldas"/>
    <s v="Manizales"/>
    <x v="0"/>
    <s v="Coordinadora"/>
    <s v="3190344 - 84151177331"/>
    <d v="2025-03-28T00:00:00"/>
    <d v="2025-03-29T00:00:00"/>
    <s v="Entregado"/>
    <n v="1"/>
    <n v="2"/>
    <s v="Cumple"/>
    <n v="34953"/>
    <m/>
  </r>
  <r>
    <d v="2025-03-27T00:00:00"/>
    <x v="2"/>
    <n v="2498"/>
    <x v="0"/>
    <s v="Gabriel Hernández Torres"/>
    <s v="TECUTRN7C"/>
    <s v="Superficie  Roble Negro 170x70 Clasico"/>
    <n v="1"/>
    <x v="2"/>
    <s v="Caldas"/>
    <s v="Manizales"/>
    <x v="0"/>
    <s v="Coordinadora"/>
    <s v="3190345 - 84151177333"/>
    <d v="2025-03-28T00:00:00"/>
    <d v="2025-03-29T00:00:00"/>
    <s v="Entregado"/>
    <n v="1"/>
    <n v="2"/>
    <s v="Cumple"/>
    <n v="15194"/>
    <m/>
  </r>
  <r>
    <d v="2025-03-27T00:00:00"/>
    <x v="2"/>
    <n v="2499"/>
    <x v="0"/>
    <s v="Enrique Sabalza"/>
    <s v="TECUTB7C"/>
    <s v="Superficie Niebla 170x70 Clasico"/>
    <n v="1"/>
    <x v="2"/>
    <s v="Atlantico"/>
    <s v="Barranquilla"/>
    <x v="0"/>
    <s v="Coordinadora"/>
    <s v="3190460 - 84151177408"/>
    <d v="2025-03-28T00:00:00"/>
    <d v="2025-03-31T00:00:00"/>
    <s v="Entregado"/>
    <n v="1"/>
    <n v="3"/>
    <s v="Cumple"/>
    <n v="39078"/>
    <m/>
  </r>
  <r>
    <d v="2025-03-28T00:00:00"/>
    <x v="2"/>
    <n v="2500"/>
    <x v="3"/>
    <s v="Laura Camila Barrera Hernandéz"/>
    <s v="TECULFN2"/>
    <s v="Electric Standing Desk  En L Frame Negro 2.0"/>
    <n v="1"/>
    <x v="1"/>
    <s v="Bogotá y alrededores"/>
    <s v="Siberia"/>
    <x v="0"/>
    <s v="Coordinadora"/>
    <s v="3190605 - 84151177475"/>
    <d v="2025-03-29T00:00:00"/>
    <d v="2025-04-08T00:00:00"/>
    <s v="Entregado"/>
    <n v="1"/>
    <n v="9"/>
    <e v="#N/A"/>
    <m/>
    <s v="Se crean las guias por error a otr destino"/>
  </r>
  <r>
    <d v="2025-03-28T00:00:00"/>
    <x v="2"/>
    <n v="2500"/>
    <x v="3"/>
    <s v="Laura Camila Barrera Hernandéz"/>
    <s v="TECUTLBS"/>
    <s v="Superficie  en L Niebla 180x150cm x 70"/>
    <n v="1"/>
    <x v="2"/>
    <s v="Bogotá y alrededores"/>
    <s v="Siberia"/>
    <x v="0"/>
    <s v="Coordinadora"/>
    <s v="3190606 - 84151177480"/>
    <d v="2025-03-29T00:00:00"/>
    <d v="2025-04-08T00:00:00"/>
    <s v="Entregado"/>
    <n v="1"/>
    <n v="9"/>
    <e v="#N/A"/>
    <m/>
    <s v="Se crean las guias por error a otr destino"/>
  </r>
  <r>
    <d v="2025-03-28T00:00:00"/>
    <x v="2"/>
    <n v="2500"/>
    <x v="0"/>
    <s v="Laura Camila Barrera Hernandéz"/>
    <s v="TECULFN2"/>
    <s v="Electric Standing Desk  En L Frame Negro 2.0"/>
    <n v="1"/>
    <x v="1"/>
    <s v="Bogotá y alrededores"/>
    <s v="Siberia"/>
    <x v="0"/>
    <s v="Coordinadora"/>
    <s v="3204501 - 84151183822"/>
    <d v="2025-04-02T00:00:00"/>
    <d v="2025-04-03T00:00:00"/>
    <s v="Entregado"/>
    <n v="4"/>
    <n v="5"/>
    <e v="#N/A"/>
    <n v="54562"/>
    <m/>
  </r>
  <r>
    <d v="2025-03-28T00:00:00"/>
    <x v="2"/>
    <n v="2500"/>
    <x v="0"/>
    <s v="Laura Camila Barrera Hernandéz"/>
    <s v="TECUTLBS"/>
    <s v="Superficie  en L Niebla 180x150cm x 70"/>
    <n v="1"/>
    <x v="2"/>
    <s v="Bogotá y alrededores"/>
    <s v="Siberia"/>
    <x v="0"/>
    <s v="Coordinadora"/>
    <s v="3204514 - 84151183826"/>
    <d v="2025-04-02T00:00:00"/>
    <d v="2025-04-03T00:00:00"/>
    <s v="Entregado"/>
    <n v="4"/>
    <n v="5"/>
    <e v="#N/A"/>
    <n v="33241"/>
    <m/>
  </r>
  <r>
    <d v="2025-03-28T00:00:00"/>
    <x v="2"/>
    <n v="2501"/>
    <x v="0"/>
    <s v="Luis Hernando Puerto Rojas"/>
    <s v="TECU3FNPRO"/>
    <s v="Electric Standing Desk  PRO Negro"/>
    <n v="1"/>
    <x v="1"/>
    <s v="Antioquia"/>
    <s v="Medellin"/>
    <x v="0"/>
    <s v="Coordinadora"/>
    <s v="3195887 - 84151180134"/>
    <d v="2025-03-31T00:00:00"/>
    <d v="2025-04-01T00:00:00"/>
    <s v="Entregado"/>
    <n v="2"/>
    <n v="3"/>
    <s v="Cumple"/>
    <n v="42921"/>
    <m/>
  </r>
  <r>
    <d v="2025-03-28T00:00:00"/>
    <x v="2"/>
    <n v="2501"/>
    <x v="0"/>
    <s v="Luis Hernando Puerto Rojas"/>
    <s v="TECUTCO20C"/>
    <s v="Superficie  Caramelo 200x70 Clasico"/>
    <n v="1"/>
    <x v="2"/>
    <s v="Antioquia"/>
    <s v="Medellin"/>
    <x v="0"/>
    <s v="Coordinadora"/>
    <s v="3195888 - 84151180135"/>
    <d v="2025-03-31T00:00:00"/>
    <d v="2025-04-01T00:00:00"/>
    <s v="Entregado"/>
    <n v="2"/>
    <n v="3"/>
    <s v="Cumple"/>
    <n v="26749"/>
    <m/>
  </r>
  <r>
    <d v="2025-03-28T00:00:00"/>
    <x v="2"/>
    <n v="2502"/>
    <x v="0"/>
    <s v="Fredy Marin"/>
    <s v="TECULFN2"/>
    <s v="Electric Standing Desk  En L Frame Negro 2.0"/>
    <n v="1"/>
    <x v="1"/>
    <s v="Bogotá y alrededores"/>
    <s v="Bogota"/>
    <x v="0"/>
    <s v="Coordinadora"/>
    <s v="3195857 - 84151180115"/>
    <d v="2025-03-31T00:00:00"/>
    <d v="2025-04-03T00:00:00"/>
    <s v="Entregado"/>
    <n v="2"/>
    <n v="5"/>
    <s v="No cumple"/>
    <n v="62530"/>
    <m/>
  </r>
  <r>
    <d v="2025-03-28T00:00:00"/>
    <x v="2"/>
    <n v="2502"/>
    <x v="0"/>
    <s v="Fredy Marin"/>
    <s v="TECUTLFES"/>
    <s v="Superficie en L Fresno 180x150cm x 70"/>
    <n v="1"/>
    <x v="2"/>
    <s v="Bogotá y alrededores"/>
    <s v="Bogota"/>
    <x v="0"/>
    <s v="Coordinadora"/>
    <s v="3195858 - 84151180118"/>
    <d v="2025-03-31T00:00:00"/>
    <d v="2025-04-02T00:00:00"/>
    <s v="Entregado"/>
    <n v="2"/>
    <n v="4"/>
    <s v="No cumple"/>
    <n v="26749"/>
    <m/>
  </r>
  <r>
    <d v="2025-03-28T00:00:00"/>
    <x v="2"/>
    <n v="2503"/>
    <x v="0"/>
    <s v="Victor Arias"/>
    <s v="TECURCO"/>
    <s v="Repisa Caramelo"/>
    <n v="1"/>
    <x v="6"/>
    <s v="Antioquia"/>
    <s v="Itagui"/>
    <x v="0"/>
    <s v="Coordinadora"/>
    <s v="3196090  - 84151180280"/>
    <d v="2025-03-31T00:00:00"/>
    <d v="2025-04-01T00:00:00"/>
    <s v="Entregado"/>
    <n v="2"/>
    <n v="3"/>
    <s v="Cumple"/>
    <n v="23429"/>
    <m/>
  </r>
  <r>
    <d v="2025-03-30T00:00:00"/>
    <x v="2"/>
    <n v="2504"/>
    <x v="0"/>
    <s v="Camilo Andres Talero Neita"/>
    <s v="TECURCC"/>
    <s v="Repisa Miel"/>
    <n v="1"/>
    <x v="6"/>
    <s v="Boyaca"/>
    <s v="Sogamoso"/>
    <x v="0"/>
    <s v="Coordinadora"/>
    <s v="3196095 - 84151180284"/>
    <d v="2025-03-31T00:00:00"/>
    <d v="2025-04-02T00:00:00"/>
    <s v="Entregado"/>
    <n v="0"/>
    <n v="2"/>
    <s v="Cumple"/>
    <n v="37762"/>
    <m/>
  </r>
  <r>
    <d v="2025-03-31T00:00:00"/>
    <x v="2"/>
    <n v="2505"/>
    <x v="0"/>
    <s v="Estefania Granados"/>
    <s v="TECU2FBGO"/>
    <s v="Electric Standing Desk GO Blanco"/>
    <n v="1"/>
    <x v="1"/>
    <s v="Bogotá y alrededores"/>
    <s v="Bogota"/>
    <x v="0"/>
    <s v="Coordinadora"/>
    <s v="3199745 - 84151181524"/>
    <d v="2025-04-01T00:00:00"/>
    <d v="2025-04-02T00:00:00"/>
    <s v="Entregado"/>
    <n v="1"/>
    <n v="2"/>
    <s v="Cumple"/>
    <n v="41593"/>
    <m/>
  </r>
  <r>
    <d v="2025-03-31T00:00:00"/>
    <x v="2"/>
    <n v="2505"/>
    <x v="0"/>
    <s v="Estefania Granados"/>
    <s v="TECUTFE6C"/>
    <s v="Superficie  Fresno Europeo 160x70 Clasico"/>
    <n v="1"/>
    <x v="2"/>
    <s v="Bogotá y alrededores"/>
    <s v="Bogota"/>
    <x v="0"/>
    <s v="Coordinadora"/>
    <s v="3199746 - 84151181525"/>
    <d v="2025-04-01T00:00:00"/>
    <d v="2025-04-02T00:00:00"/>
    <s v="Entregado"/>
    <n v="1"/>
    <n v="2"/>
    <s v="Cumple"/>
    <n v="24093"/>
    <m/>
  </r>
  <r>
    <d v="2025-03-13T00:00:00"/>
    <x v="2"/>
    <n v="2461"/>
    <x v="1"/>
    <s v="Afranio Cardona Gomez"/>
    <s v="TECUTRM8C"/>
    <s v="Superficie Roble Miel 180x70 Clasico"/>
    <n v="1"/>
    <x v="2"/>
    <s v="Santander"/>
    <s v="Bucaramanga"/>
    <x v="0"/>
    <s v="Coordinadora"/>
    <s v="3179505 - 84151171915"/>
    <d v="2025-03-22T00:00:00"/>
    <d v="2025-03-25T00:00:00"/>
    <s v="Entregado"/>
    <n v="8"/>
    <n v="9"/>
    <s v="No cumple"/>
    <n v="43089"/>
    <m/>
  </r>
  <r>
    <d v="2025-04-01T00:00:00"/>
    <x v="3"/>
    <n v="2506"/>
    <x v="0"/>
    <s v="Angie Marcela Vargas Pardo"/>
    <s v="TECU2FNG"/>
    <s v="Electric Standing Desk GO Negro"/>
    <n v="1"/>
    <x v="1"/>
    <s v="Antioquia"/>
    <s v="Medellin"/>
    <x v="0"/>
    <s v="Coordinadora"/>
    <s v="3199774 - 84151181537"/>
    <d v="2025-04-01T00:00:00"/>
    <d v="2025-04-02T00:00:00"/>
    <s v="Entregado"/>
    <n v="0"/>
    <n v="1"/>
    <s v="Cumple"/>
    <n v="41593"/>
    <m/>
  </r>
  <r>
    <d v="2025-04-01T00:00:00"/>
    <x v="3"/>
    <n v="2506"/>
    <x v="0"/>
    <s v="Angie Marcela Vargas Pardo"/>
    <s v="TECUTCO6C"/>
    <s v="Superficie  Caramelo 160x70 Clasico"/>
    <n v="1"/>
    <x v="2"/>
    <s v="Antioquia"/>
    <s v="Medellin"/>
    <x v="0"/>
    <s v="Coordinadora"/>
    <s v="3199776 - 84151181538"/>
    <d v="2025-04-01T00:00:00"/>
    <d v="2025-04-02T00:00:00"/>
    <s v="Entregado"/>
    <n v="0"/>
    <n v="1"/>
    <s v="Cumple"/>
    <n v="24093"/>
    <m/>
  </r>
  <r>
    <d v="2025-04-01T00:00:00"/>
    <x v="3"/>
    <n v="2506"/>
    <x v="0"/>
    <s v="Angie Marcela Vargas Pardo"/>
    <s v="TECUACO"/>
    <s v="Archivador TECU  Caramelo"/>
    <n v="1"/>
    <x v="5"/>
    <s v="Antioquia"/>
    <s v="Medellin"/>
    <x v="0"/>
    <s v="Envia"/>
    <s v="3205716 - 954101187697"/>
    <d v="2025-04-01T00:00:00"/>
    <d v="2025-04-04T00:00:00"/>
    <s v="Entregado"/>
    <n v="0"/>
    <n v="3"/>
    <s v="Cumple"/>
    <n v="65582"/>
    <m/>
  </r>
  <r>
    <d v="2025-04-01T00:00:00"/>
    <x v="3"/>
    <n v="2506"/>
    <x v="0"/>
    <s v="Angie Marcela Vargas Pardo"/>
    <s v="TECUCT"/>
    <s v="Bandeja de cables"/>
    <n v="1"/>
    <x v="0"/>
    <s v="Antioquia"/>
    <s v="Medellin"/>
    <x v="0"/>
    <s v="Coordinadora"/>
    <s v="3199793 - 84151181545"/>
    <d v="2025-04-01T00:00:00"/>
    <d v="2025-04-02T00:00:00"/>
    <s v="Entregado"/>
    <n v="0"/>
    <n v="1"/>
    <s v="Cumple"/>
    <n v="24885"/>
    <m/>
  </r>
  <r>
    <d v="2025-04-02T00:00:00"/>
    <x v="3"/>
    <n v="2507"/>
    <x v="0"/>
    <s v="Juan Diego Cruz"/>
    <s v="TECUDSG"/>
    <s v="Desk Stool Gris Silla ajustable"/>
    <n v="1"/>
    <x v="4"/>
    <s v="Bogotá y alrededores"/>
    <s v="Bogota"/>
    <x v="0"/>
    <s v="Coordinadora"/>
    <s v="3202877 - 84151183025"/>
    <d v="2025-04-02T00:00:00"/>
    <d v="2025-04-03T00:00:00"/>
    <s v="Entregado"/>
    <n v="0"/>
    <n v="1"/>
    <s v="Cumple"/>
    <n v="26609"/>
    <m/>
  </r>
  <r>
    <d v="2025-04-04T00:00:00"/>
    <x v="3"/>
    <n v="2508"/>
    <x v="0"/>
    <s v="Esteban Salazar Zapata"/>
    <s v="TECU3FNPRO"/>
    <s v="Electric Standing Desk  PRO Negro"/>
    <n v="1"/>
    <x v="1"/>
    <s v="Antioquia"/>
    <s v="Marinilla"/>
    <x v="0"/>
    <s v="Coordinadora"/>
    <s v="3213937 - 84151185713"/>
    <d v="2025-04-04T00:00:00"/>
    <d v="2025-04-07T00:00:00"/>
    <s v="Entregado"/>
    <n v="0"/>
    <n v="2"/>
    <s v="Cumple"/>
    <n v="42921"/>
    <m/>
  </r>
  <r>
    <d v="2025-04-04T00:00:00"/>
    <x v="3"/>
    <n v="2508"/>
    <x v="0"/>
    <s v="Esteban Salazar Zapata"/>
    <s v="TECUTFE8C"/>
    <s v="Superficie  Fresno Europeo 180x70 Clasico"/>
    <n v="1"/>
    <x v="2"/>
    <s v="Antioquia"/>
    <s v="Marinilla"/>
    <x v="0"/>
    <s v="Coordinadora"/>
    <s v="3213938 - 84151185714"/>
    <d v="2025-04-04T00:00:00"/>
    <d v="2025-04-06T00:00:00"/>
    <s v="Entregado"/>
    <n v="0"/>
    <n v="1"/>
    <s v="Cumple"/>
    <n v="26749"/>
    <m/>
  </r>
  <r>
    <d v="2025-04-04T00:00:00"/>
    <x v="3"/>
    <n v="2509"/>
    <x v="0"/>
    <s v="Mario Alejandro Martinez Perdomo"/>
    <s v="TECU2FNG"/>
    <s v="Electric Standing Desk GO Negro"/>
    <n v="1"/>
    <x v="1"/>
    <s v="Bogotá y alrededores"/>
    <s v="Bogota"/>
    <x v="0"/>
    <s v="Coordinadora"/>
    <s v="3213994 - 84151185740"/>
    <d v="2025-04-04T00:00:00"/>
    <d v="2025-04-07T00:00:00"/>
    <s v="Entregado"/>
    <n v="0"/>
    <n v="2"/>
    <s v="Cumple"/>
    <n v="41593"/>
    <m/>
  </r>
  <r>
    <d v="2025-04-04T00:00:00"/>
    <x v="3"/>
    <n v="2509"/>
    <x v="0"/>
    <s v="Mario Alejandro Martinez Perdomo"/>
    <s v="TECUTFE5C"/>
    <s v="Superficie  Fresno Europeo 150x70 Clasico"/>
    <n v="1"/>
    <x v="2"/>
    <s v="Bogotá y alrededores"/>
    <s v="Bogota"/>
    <x v="0"/>
    <s v="Coordinadora"/>
    <s v="3213995 - 84151185741"/>
    <d v="2025-04-04T00:00:00"/>
    <d v="2025-04-07T00:00:00"/>
    <s v="Entregado"/>
    <n v="0"/>
    <n v="2"/>
    <s v="Cumple"/>
    <n v="24093"/>
    <m/>
  </r>
  <r>
    <d v="2025-04-04T00:00:00"/>
    <x v="3"/>
    <n v="2510"/>
    <x v="0"/>
    <s v="Rafael del castillo &amp; cia sa"/>
    <s v="TECU3FNPRO"/>
    <s v="Electric Standing Desk  PRO Negro"/>
    <n v="1"/>
    <x v="1"/>
    <s v="Cartagena"/>
    <s v="Cartagena"/>
    <x v="0"/>
    <s v="Coordinadora"/>
    <s v="3230437-84151191223"/>
    <d v="2025-04-09T15:17:17"/>
    <d v="2025-04-11T14:36:39"/>
    <s v="Entregado"/>
    <n v="4"/>
    <n v="6"/>
    <s v="No cumple"/>
    <n v="47787"/>
    <m/>
  </r>
  <r>
    <d v="2025-04-04T00:00:00"/>
    <x v="3"/>
    <n v="2510"/>
    <x v="0"/>
    <s v="Rafael del castillo &amp; cia sa"/>
    <s v="TECUTRM5C"/>
    <s v="Superficie Roble Miel 150x70 Clasico"/>
    <n v="1"/>
    <x v="2"/>
    <s v="Cartagena"/>
    <s v="Cartagena"/>
    <x v="0"/>
    <s v="Coordinadora"/>
    <s v="3230439-84151191225"/>
    <d v="2025-04-09T15:17:17"/>
    <d v="2025-04-11T14:36:39"/>
    <s v="Entregado"/>
    <n v="4"/>
    <n v="6"/>
    <s v="No cumple"/>
    <n v="38578"/>
    <m/>
  </r>
  <r>
    <d v="2025-04-04T00:00:00"/>
    <x v="3"/>
    <n v="2510"/>
    <x v="0"/>
    <s v="Rafael del castillo &amp; cia sa"/>
    <s v="TECUCT"/>
    <s v="Bandeja de cables"/>
    <n v="1"/>
    <x v="0"/>
    <s v="Cartagena"/>
    <s v="Cartagena"/>
    <x v="0"/>
    <s v="Coordinadora"/>
    <s v="3230442-84151191228"/>
    <d v="2025-04-09T15:17:17"/>
    <d v="2025-04-11T14:36:39"/>
    <s v="Entregado"/>
    <n v="4"/>
    <n v="6"/>
    <s v="No cumple"/>
    <n v="22920"/>
    <m/>
  </r>
  <r>
    <d v="2025-04-05T00:00:00"/>
    <x v="3"/>
    <n v="2511"/>
    <x v="0"/>
    <s v="Julian David Montero Gonzalez"/>
    <s v="TECU3FNPRO"/>
    <s v="Electric Standing Desk  PRO Negro"/>
    <n v="1"/>
    <x v="1"/>
    <s v="Huila"/>
    <s v="Neiva"/>
    <x v="0"/>
    <s v="Coordinadora"/>
    <s v="3223029-84151187944"/>
    <d v="2025-04-07T16:17:07"/>
    <d v="2025-04-09T17:25:22"/>
    <s v="Entregado"/>
    <n v="1"/>
    <n v="3"/>
    <s v="Cumple"/>
    <n v="47787"/>
    <m/>
  </r>
  <r>
    <d v="2025-04-05T00:00:00"/>
    <x v="3"/>
    <n v="2511"/>
    <x v="0"/>
    <s v="Julian David Montero Gonzalez"/>
    <s v="TECUTFE6M"/>
    <s v="Superficie  Fresno Europeo 160x70 Moderno"/>
    <n v="1"/>
    <x v="2"/>
    <s v="Huila"/>
    <s v="Neiva"/>
    <x v="0"/>
    <s v="Coordinadora"/>
    <s v="3223030-84151187946"/>
    <d v="2025-04-07T16:15:15"/>
    <d v="2025-04-09T17:57:23"/>
    <s v="Entregado"/>
    <n v="1"/>
    <n v="3"/>
    <s v="Cumple"/>
    <n v="38578"/>
    <m/>
  </r>
  <r>
    <d v="2025-04-05T00:00:00"/>
    <x v="3"/>
    <n v="2512"/>
    <x v="0"/>
    <s v="Juan David ballesteros"/>
    <s v="TECU3FBRO"/>
    <s v="Electric Standing Desk  PRO Blanco"/>
    <n v="1"/>
    <x v="1"/>
    <s v="Bogotá y alrededores"/>
    <s v="Bogota"/>
    <x v="0"/>
    <s v="Coordinadora"/>
    <s v="3222672-84151187728"/>
    <d v="2025-04-07T16:17:07"/>
    <d v="2025-04-09T15:36:23"/>
    <s v="Entregado"/>
    <n v="1"/>
    <n v="3"/>
    <s v="Cumple"/>
    <n v="28241"/>
    <m/>
  </r>
  <r>
    <d v="2025-04-05T00:00:00"/>
    <x v="3"/>
    <n v="2512"/>
    <x v="0"/>
    <s v="Juan David ballesteros"/>
    <s v="TECUTRN6C"/>
    <s v="Superficie  Roble Negro 160x70 Clasico"/>
    <n v="1"/>
    <x v="2"/>
    <s v="Bogotá y alrededores"/>
    <s v="Bogota"/>
    <x v="0"/>
    <s v="Coordinadora"/>
    <s v="3222674-84151187730"/>
    <d v="2025-04-07T16:15:15"/>
    <d v="2025-04-09T15:36:23"/>
    <s v="Entregado"/>
    <n v="1"/>
    <n v="3"/>
    <s v="Cumple"/>
    <n v="23593"/>
    <m/>
  </r>
  <r>
    <d v="2025-04-07T00:00:00"/>
    <x v="3"/>
    <n v="2513"/>
    <x v="0"/>
    <s v="Andrea Beltran Salazar"/>
    <s v="TECU2FBGO"/>
    <s v="Electric Standing Desk GO Blanco"/>
    <n v="1"/>
    <x v="1"/>
    <s v="Bogotá y alrededores"/>
    <s v="Zipaquira"/>
    <x v="0"/>
    <s v="Coordinadora"/>
    <s v="3222689-84151187740"/>
    <d v="2025-04-07T16:17:07"/>
    <d v="2025-04-09T19:17:03"/>
    <s v="Entregado"/>
    <n v="0"/>
    <n v="2"/>
    <s v="Cumple"/>
    <n v="39191"/>
    <m/>
  </r>
  <r>
    <d v="2025-04-07T00:00:00"/>
    <x v="3"/>
    <n v="2513"/>
    <x v="0"/>
    <s v="Andrea Beltran Salazar"/>
    <s v="TECUTFE2C"/>
    <s v="Superficie  Fresno Europeo 120x70 Clasico Small"/>
    <n v="1"/>
    <x v="2"/>
    <s v="Bogotá y alrededores"/>
    <s v="Zipaquira"/>
    <x v="0"/>
    <s v="Coordinadora"/>
    <s v="3222691-84151187741"/>
    <d v="2025-04-07T16:15:15"/>
    <d v="2025-04-09T19:17:03"/>
    <s v="Entregado"/>
    <n v="0"/>
    <n v="2"/>
    <s v="Cumple"/>
    <n v="33679"/>
    <m/>
  </r>
  <r>
    <d v="2025-04-07T00:00:00"/>
    <x v="3"/>
    <n v="2514"/>
    <x v="0"/>
    <s v="José Miguel Dueñas Torres"/>
    <s v="TECU2FNG"/>
    <s v="Electric Standing Desk GO Negro"/>
    <n v="1"/>
    <x v="1"/>
    <s v="Bogotá y alrededores"/>
    <s v="Bogota"/>
    <x v="0"/>
    <s v="Coordinadora"/>
    <s v="3223053-84151187965"/>
    <d v="2025-04-07T16:17:07"/>
    <d v="2025-04-10T11:20:58"/>
    <s v="Entregado"/>
    <n v="0"/>
    <n v="3"/>
    <s v="Cumple"/>
    <n v="26913"/>
    <m/>
  </r>
  <r>
    <d v="2025-04-07T00:00:00"/>
    <x v="3"/>
    <n v="2514"/>
    <x v="0"/>
    <s v="José Miguel Dueñas Torres"/>
    <s v="TECUTCO2C"/>
    <s v="Superficie  Caramelo 120x70 Clasico Small"/>
    <n v="1"/>
    <x v="2"/>
    <s v="Bogotá y alrededores"/>
    <s v="Bogota"/>
    <x v="0"/>
    <s v="Coordinadora"/>
    <s v="3223055-84151187967"/>
    <d v="2025-04-07T16:15:15"/>
    <d v="2025-04-10T11:20:57"/>
    <s v="Entregado"/>
    <n v="0"/>
    <n v="3"/>
    <s v="Cumple"/>
    <n v="23593"/>
    <m/>
  </r>
  <r>
    <d v="2025-04-07T00:00:00"/>
    <x v="3"/>
    <n v="2514"/>
    <x v="0"/>
    <s v="José Miguel Dueñas Torres"/>
    <s v="TECUACO"/>
    <s v="Archivador TECU  Caramelo"/>
    <n v="1"/>
    <x v="5"/>
    <s v="Bogotá y alrededores"/>
    <s v="Bogota"/>
    <x v="0"/>
    <s v="Envia"/>
    <s v="3226991-954101191266"/>
    <d v="2025-04-08T17:18:00"/>
    <d v="2025-04-09T16:32:00"/>
    <s v="Entregado"/>
    <n v="1"/>
    <n v="2"/>
    <s v="Cumple"/>
    <n v="54929"/>
    <m/>
  </r>
  <r>
    <d v="2025-04-07T00:00:00"/>
    <x v="3"/>
    <n v="2514"/>
    <x v="0"/>
    <s v="José Miguel Dueñas Torres"/>
    <s v="TECURCO"/>
    <s v="Repisa Caramelo"/>
    <n v="1"/>
    <x v="6"/>
    <s v="Bogotá y alrededores"/>
    <s v="Bogota"/>
    <x v="0"/>
    <s v="Coordinadora"/>
    <s v="3222769-84151187791"/>
    <d v="2025-04-07T16:17:07"/>
    <d v="2025-04-09T10:54:43"/>
    <s v="Entregado"/>
    <n v="0"/>
    <n v="2"/>
    <s v="Cumple"/>
    <n v="22929"/>
    <m/>
  </r>
  <r>
    <d v="2025-04-07T00:00:00"/>
    <x v="3"/>
    <n v="2514"/>
    <x v="0"/>
    <s v="José Miguel Dueñas Torres"/>
    <s v="TECUCT"/>
    <s v="Bandeja de cables"/>
    <n v="1"/>
    <x v="0"/>
    <s v="Bogotá y alrededores"/>
    <s v="Bogota"/>
    <x v="0"/>
    <s v="Coordinadora"/>
    <s v="3222754-84151187780"/>
    <d v="2025-04-07T16:17:07"/>
    <d v="2025-04-09T10:54:43"/>
    <s v="Entregado"/>
    <n v="0"/>
    <n v="2"/>
    <s v="Cumple"/>
    <n v="22920"/>
    <m/>
  </r>
  <r>
    <d v="2025-04-08T00:00:00"/>
    <x v="3"/>
    <n v="2515"/>
    <x v="0"/>
    <s v="Luis Landkoer"/>
    <s v="TECU3FNCRO"/>
    <s v="Electric Standing Desk  PRO Negro circular"/>
    <n v="1"/>
    <x v="1"/>
    <s v="Bogotá y alrededores"/>
    <s v="Bogota"/>
    <x v="0"/>
    <s v="Coordinadora"/>
    <s v="3227044-84151189694"/>
    <d v="2025-04-08T17:14:08"/>
    <d v="2025-04-10T10:56:50"/>
    <s v="Entregado"/>
    <n v="0"/>
    <n v="2"/>
    <s v="Cumple"/>
    <n v="28241"/>
    <m/>
  </r>
  <r>
    <d v="2025-04-08T00:00:00"/>
    <x v="3"/>
    <n v="2515"/>
    <x v="0"/>
    <s v="Luis Landkoer"/>
    <s v="TECUTFE6C"/>
    <s v="Superficie  Fresno Europeo 160x70 Clasico"/>
    <n v="1"/>
    <x v="2"/>
    <s v="Bogotá y alrededores"/>
    <s v="Bogota"/>
    <x v="0"/>
    <s v="Coordinadora"/>
    <s v="3227045-84151189695"/>
    <d v="2025-04-08T17:14:08"/>
    <d v="2025-04-11T10:40:20"/>
    <s v="Entregado"/>
    <n v="0"/>
    <n v="3"/>
    <s v="Cumple"/>
    <n v="23593"/>
    <m/>
  </r>
  <r>
    <d v="2025-04-08T00:00:00"/>
    <x v="3"/>
    <n v="2515"/>
    <x v="0"/>
    <s v="Luis Landkoer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4-08T00:00:00"/>
    <x v="3"/>
    <n v="2516"/>
    <x v="0"/>
    <s v="Rigoberto Castelblanco / HUSKY IMS COLOMBIA LTD"/>
    <s v="TECU3FNPRO"/>
    <s v="Electric Standing Desk  PRO Negro"/>
    <n v="1"/>
    <x v="1"/>
    <s v="Bogotá y alrededores"/>
    <s v="Bogota"/>
    <x v="0"/>
    <s v="Coordinadora"/>
    <s v="3278750- 84151210701"/>
    <d v="2025-05-02T00:00:00"/>
    <d v="2025-05-05T00:00:00"/>
    <s v="Entregado"/>
    <n v="18"/>
    <n v="20"/>
    <s v="No cumple"/>
    <n v="42921"/>
    <n v="42921"/>
  </r>
  <r>
    <d v="2025-04-08T00:00:00"/>
    <x v="3"/>
    <n v="2516"/>
    <x v="0"/>
    <s v="Rigoberto Castelblanco / HUSKY IMS COLOMBIA LTD"/>
    <s v="TECU3FNPRO"/>
    <s v="Electric Standing Desk  PRO Negro"/>
    <n v="1"/>
    <x v="1"/>
    <s v="Bogotá y alrededores"/>
    <s v="Bogota"/>
    <x v="0"/>
    <s v="Coordinadora"/>
    <s v="3278759 - 84151210707"/>
    <d v="2025-05-02T00:00:00"/>
    <d v="2025-05-05T00:00:00"/>
    <s v="Entregado"/>
    <n v="18"/>
    <n v="20"/>
    <s v="No cumple"/>
    <n v="42921"/>
    <n v="42921"/>
  </r>
  <r>
    <d v="2025-04-08T00:00:00"/>
    <x v="3"/>
    <n v="2516"/>
    <x v="0"/>
    <s v="Rigoberto Castelblanco / HUSKY IMS COLOMBIA LTD"/>
    <s v="TECUTCO5C"/>
    <s v="Superficie Caramelo 150x70 Clasico"/>
    <n v="1"/>
    <x v="2"/>
    <s v="Bogotá y alrededores"/>
    <s v="Bogota"/>
    <x v="0"/>
    <s v="Coordinadora"/>
    <s v="3278751- 84151210702"/>
    <d v="2025-05-02T00:00:00"/>
    <d v="2025-05-05T00:00:00"/>
    <s v="Entregado"/>
    <n v="18"/>
    <n v="20"/>
    <s v="No cumple"/>
    <n v="24093"/>
    <n v="24093"/>
  </r>
  <r>
    <d v="2025-04-08T00:00:00"/>
    <x v="3"/>
    <n v="2516"/>
    <x v="0"/>
    <s v="Rigoberto Castelblanco / HUSKY IMS COLOMBIA LTD"/>
    <s v="TECUTCO2C"/>
    <s v="Superficie  Caramelo 120x70 Clasico Small"/>
    <n v="1"/>
    <x v="2"/>
    <s v="Bogotá y alrededores"/>
    <s v="Bogota"/>
    <x v="0"/>
    <s v="Coordinadora"/>
    <s v="3278760- 84151210708"/>
    <d v="2025-05-02T00:00:00"/>
    <d v="2025-05-05T00:00:00"/>
    <s v="Entregado"/>
    <n v="18"/>
    <n v="20"/>
    <s v="No cumple"/>
    <n v="54929"/>
    <n v="54929"/>
  </r>
  <r>
    <d v="2025-04-08T00:00:00"/>
    <x v="3"/>
    <n v="2516"/>
    <x v="0"/>
    <s v="Rigoberto Castelblanco / HUSKY IMS COLOMBIA LTD"/>
    <s v="TECUACO"/>
    <s v="Archivador TECU  Caramelo"/>
    <n v="1"/>
    <x v="5"/>
    <s v="Bogotá y alrededores"/>
    <s v="Bogota"/>
    <x v="0"/>
    <s v="Envia"/>
    <s v="3269598 - 954101203551"/>
    <d v="2025-04-28T00:00:00"/>
    <d v="2025-04-29T00:00:00"/>
    <s v="Entregado"/>
    <n v="15"/>
    <n v="16"/>
    <s v="No cumple"/>
    <n v="54929"/>
    <n v="54929"/>
  </r>
  <r>
    <d v="2025-04-11T00:00:00"/>
    <x v="3"/>
    <n v="2517"/>
    <x v="0"/>
    <s v="Willington Soto Vivescas"/>
    <s v="TECU3FNCRO"/>
    <s v="Electric Standing Desk  PRO Negro circular"/>
    <n v="1"/>
    <x v="1"/>
    <s v="Santander"/>
    <s v="Bucaramanga"/>
    <x v="0"/>
    <s v="Coordinadora"/>
    <s v="3242140-84151195687"/>
    <d v="2025-04-14T15:58:27"/>
    <d v="2025-04-19T15:05:54"/>
    <s v="Entregado"/>
    <n v="2"/>
    <n v="5"/>
    <s v="No cumple"/>
    <n v="41397"/>
    <m/>
  </r>
  <r>
    <d v="2025-04-11T00:00:00"/>
    <x v="3"/>
    <n v="2517"/>
    <x v="0"/>
    <s v="Willington Soto Vivescas"/>
    <s v="TECUTCO8C"/>
    <s v="Superficie  Caramelo 180x70 Clasico"/>
    <n v="1"/>
    <x v="2"/>
    <s v="Santander"/>
    <s v="Bucaramanga"/>
    <x v="0"/>
    <s v="Coordinadora"/>
    <s v="3242141-84151195688"/>
    <d v="2025-04-14T15:58:27"/>
    <d v="2025-04-19T15:05:53"/>
    <s v="Entregado"/>
    <n v="2"/>
    <n v="5"/>
    <s v="No cumple"/>
    <n v="38089"/>
    <m/>
  </r>
  <r>
    <d v="2025-04-11T00:00:00"/>
    <x v="3"/>
    <n v="2517"/>
    <x v="0"/>
    <s v="Willington Soto Vivescas"/>
    <s v="TECUBDPM"/>
    <s v="Desk Pad B Negro Café Miel"/>
    <n v="1"/>
    <x v="0"/>
    <s v="Santander"/>
    <s v="Bucaramanga"/>
    <x v="0"/>
    <s v="Coordinadora"/>
    <s v="3242151-84151195696"/>
    <d v="2025-04-14T15:58:27"/>
    <d v="2025-04-19T15:05:53"/>
    <s v="Entregado"/>
    <n v="2"/>
    <n v="5"/>
    <s v="No cumple"/>
    <n v="15152"/>
    <m/>
  </r>
  <r>
    <d v="2025-04-11T00:00:00"/>
    <x v="3"/>
    <n v="2517"/>
    <x v="0"/>
    <s v="Willington Soto Vivescas"/>
    <s v="TECUCT"/>
    <s v="Bandeja de cables"/>
    <n v="1"/>
    <x v="0"/>
    <s v="Santander"/>
    <s v="Bucaramanga"/>
    <x v="0"/>
    <s v="Coordinadora"/>
    <s v="3242162-84151195701"/>
    <d v="2025-04-14T15:58:27"/>
    <d v="2025-04-19T15:05:54"/>
    <s v="Entregado"/>
    <n v="2"/>
    <n v="5"/>
    <s v="No cumple"/>
    <n v="22920"/>
    <m/>
  </r>
  <r>
    <d v="2025-04-12T00:00:00"/>
    <x v="3"/>
    <n v="2518"/>
    <x v="0"/>
    <s v="Ronald Rengifo"/>
    <s v="TECU3FNPRO"/>
    <s v="Electric Standing Desk  PRO Negro"/>
    <n v="1"/>
    <x v="1"/>
    <s v="Antioquia"/>
    <s v="Medellin"/>
    <x v="0"/>
    <s v="Coordinadora"/>
    <s v="3243367-84151196160"/>
    <d v="2025-04-15T16:02:10"/>
    <d v="2025-04-19T09:31:47"/>
    <s v="Entregado"/>
    <n v="2"/>
    <n v="4"/>
    <s v="No cumple"/>
    <n v="28241"/>
    <m/>
  </r>
  <r>
    <d v="2025-04-12T00:00:00"/>
    <x v="3"/>
    <n v="2518"/>
    <x v="0"/>
    <s v="Ronald Rengifo"/>
    <s v="TECUTRN20C"/>
    <s v="Superficie  Roble Negro 200x70 Clasico"/>
    <n v="1"/>
    <x v="2"/>
    <s v="Antioquia"/>
    <s v="Medellin"/>
    <x v="0"/>
    <s v="Coordinadora"/>
    <s v="3243368-84151196161"/>
    <d v="2025-04-15T16:02:10"/>
    <d v="2025-04-19T09:31:47"/>
    <s v="Entregado"/>
    <n v="2"/>
    <n v="4"/>
    <s v="No cumple"/>
    <n v="26249"/>
    <m/>
  </r>
  <r>
    <d v="2025-04-12T00:00:00"/>
    <x v="3"/>
    <n v="2519"/>
    <x v="0"/>
    <s v="Adrian Moya"/>
    <s v="TECU2FBGO"/>
    <s v="Electric Standing Desk GO Blanco"/>
    <n v="1"/>
    <x v="1"/>
    <s v="Antioquia"/>
    <s v="Medellin"/>
    <x v="0"/>
    <s v="Coordinadora"/>
    <s v="3240492-84151194821"/>
    <d v="2025-04-14T15:58:27"/>
    <d v="2025-04-15T07:36:03"/>
    <s v="Entregado"/>
    <n v="1"/>
    <n v="2"/>
    <s v="Cumple"/>
    <n v="26913"/>
    <m/>
  </r>
  <r>
    <d v="2025-04-12T00:00:00"/>
    <x v="3"/>
    <n v="2519"/>
    <x v="0"/>
    <s v="Adrian Moya"/>
    <s v="TECUTFE5C"/>
    <s v="Superficie  Fresno Europeo 150x70 Clasico"/>
    <n v="1"/>
    <x v="2"/>
    <s v="Antioquia"/>
    <s v="Medellin"/>
    <x v="0"/>
    <s v="Coordinadora"/>
    <s v="3240493-84151194822"/>
    <d v="2025-04-14T15:58:27"/>
    <d v="2025-04-15T07:36:03"/>
    <s v="Entregado"/>
    <n v="1"/>
    <n v="2"/>
    <s v="Cumple"/>
    <n v="23593"/>
    <m/>
  </r>
  <r>
    <d v="2025-04-12T00:00:00"/>
    <x v="3"/>
    <n v="2519"/>
    <x v="0"/>
    <s v="Adrian Moya"/>
    <s v="TECUROD"/>
    <s v="Rodachines con freno para Standing desk x 4 UN"/>
    <n v="1"/>
    <x v="7"/>
    <s v="Antioquia"/>
    <s v="Medellin"/>
    <x v="0"/>
    <s v="Coordinadora"/>
    <s v="3240532-84151194845"/>
    <d v="2025-04-14T15:58:27"/>
    <d v="2025-04-15T07:36:03"/>
    <s v="Entregado"/>
    <n v="1"/>
    <n v="2"/>
    <s v="Cumple"/>
    <n v="22920"/>
    <m/>
  </r>
  <r>
    <d v="2025-04-12T00:00:00"/>
    <x v="3"/>
    <n v="2519"/>
    <x v="0"/>
    <s v="Adrian Moya"/>
    <s v="TECUCT"/>
    <s v="Bandeja de cables"/>
    <n v="1"/>
    <x v="0"/>
    <s v="Antioquia"/>
    <s v="Medellin"/>
    <x v="0"/>
    <s v="Coordinadora"/>
    <s v="3241373-84151195322"/>
    <d v="2025-04-14T15:58:27"/>
    <d v="2025-04-15T07:36:03"/>
    <s v="Entregado"/>
    <n v="1"/>
    <n v="2"/>
    <s v="Cumple"/>
    <n v="22920"/>
    <m/>
  </r>
  <r>
    <d v="2025-04-12T00:00:00"/>
    <x v="3"/>
    <n v="2519"/>
    <x v="0"/>
    <s v="Adrian Moya"/>
    <s v="TECUDSG"/>
    <s v="Desk Stool Gris Silla ajustable"/>
    <n v="1"/>
    <x v="4"/>
    <s v="Antioquia"/>
    <s v="Medellin"/>
    <x v="0"/>
    <s v="Coordinadora"/>
    <s v="3240547-84151194859"/>
    <d v="2025-04-14T15:58:27"/>
    <d v="2025-04-15T07:36:03"/>
    <s v="Entregado"/>
    <n v="1"/>
    <n v="2"/>
    <s v="Cumple"/>
    <n v="22929"/>
    <m/>
  </r>
  <r>
    <d v="2025-04-12T00:00:00"/>
    <x v="3"/>
    <n v="2519"/>
    <x v="0"/>
    <s v="Adrian Moya"/>
    <s v="TECURCC"/>
    <s v="Repisa Miel"/>
    <n v="1"/>
    <x v="6"/>
    <s v="Antioquia"/>
    <s v="Medellin"/>
    <x v="0"/>
    <s v="Coordinadora"/>
    <s v="NA"/>
    <d v="2025-04-14T15:58:27"/>
    <d v="2025-04-15T07:36:03"/>
    <s v="Entregado"/>
    <n v="1"/>
    <n v="2"/>
    <s v="Cumple"/>
    <n v="0"/>
    <m/>
  </r>
  <r>
    <d v="2025-04-12T00:00:00"/>
    <x v="3"/>
    <n v="2519"/>
    <x v="0"/>
    <s v="Adrian Moya"/>
    <s v="TECUBDPM"/>
    <s v="Desk Pad B Negro Café Miel"/>
    <n v="1"/>
    <x v="0"/>
    <s v="Antioquia"/>
    <s v="Medellin"/>
    <x v="0"/>
    <s v="Coordinadora"/>
    <s v="3240516-84151194831"/>
    <d v="2025-04-14T15:58:27"/>
    <d v="2025-04-15T07:36:03"/>
    <s v="Entregado"/>
    <n v="1"/>
    <n v="2"/>
    <s v="Cumple"/>
    <n v="15152"/>
    <m/>
  </r>
  <r>
    <d v="2025-04-12T00:00:00"/>
    <x v="3"/>
    <n v="2520"/>
    <x v="0"/>
    <s v="Jose David Ludian Cohen"/>
    <s v="TECU3FNPRO"/>
    <s v="Electric Standing Desk  PRO Negro"/>
    <n v="1"/>
    <x v="1"/>
    <s v="Antioquia"/>
    <s v="Rionegro"/>
    <x v="0"/>
    <s v="Coordinadora"/>
    <s v="3240730-84151194968"/>
    <d v="2025-04-14T15:58:27"/>
    <d v="2025-04-15T16:26:35"/>
    <s v="Entregado"/>
    <n v="1"/>
    <n v="2"/>
    <s v="Cumple"/>
    <n v="28241"/>
    <m/>
  </r>
  <r>
    <d v="2025-04-12T00:00:00"/>
    <x v="3"/>
    <n v="2520"/>
    <x v="0"/>
    <s v="Jose David Ludian Cohen"/>
    <s v="TECUTCO8C"/>
    <s v="Superficie  Caramelo 180x70 Clasico"/>
    <n v="1"/>
    <x v="2"/>
    <s v="Antioquia"/>
    <s v="Rionegro"/>
    <x v="0"/>
    <s v="Coordinadora"/>
    <s v="3240731-84151194969"/>
    <d v="2025-04-14T15:58:27"/>
    <d v="2025-04-15T16:26:35"/>
    <s v="Entregado"/>
    <n v="1"/>
    <n v="2"/>
    <s v="Cumple"/>
    <n v="26249"/>
    <m/>
  </r>
  <r>
    <d v="2025-04-12T00:00:00"/>
    <x v="3"/>
    <n v="2520"/>
    <x v="0"/>
    <s v="Jose David Ludian Cohen"/>
    <m/>
    <s v="Servicio de instalacion"/>
    <n v="1"/>
    <x v="3"/>
    <s v="Antioquia"/>
    <s v="Rionegro"/>
    <x v="1"/>
    <s v="NA"/>
    <s v="NA"/>
    <s v="NA"/>
    <s v="NA"/>
    <s v="Entregado"/>
    <s v="PTE"/>
    <e v="#VALUE!"/>
    <e v="#VALUE!"/>
    <n v="0"/>
    <m/>
  </r>
  <r>
    <d v="2025-04-14T00:00:00"/>
    <x v="3"/>
    <n v="2521"/>
    <x v="0"/>
    <s v="Jose David Ludian Cohen"/>
    <s v="TECURCO"/>
    <s v="Repisa Caramelo"/>
    <n v="1"/>
    <x v="6"/>
    <s v="Antioquia"/>
    <s v="Rionegro"/>
    <x v="0"/>
    <s v="Coordinadora"/>
    <s v="NA"/>
    <d v="2025-04-14T15:58:27"/>
    <d v="2025-04-15T16:26:35"/>
    <s v="Entregado"/>
    <n v="0"/>
    <n v="1"/>
    <s v="Cumple"/>
    <n v="0"/>
    <m/>
  </r>
  <r>
    <d v="2025-04-14T00:00:00"/>
    <x v="3"/>
    <n v="2522"/>
    <x v="0"/>
    <s v="Carlos Contreras"/>
    <s v="TECU3FNPRO"/>
    <s v="Electric Standing Desk  PRO Negro"/>
    <n v="1"/>
    <x v="1"/>
    <s v="Bogotá y alrededores"/>
    <s v="Bogota"/>
    <x v="0"/>
    <s v="Coordinadora"/>
    <s v="3243391-84151196175"/>
    <d v="2025-04-15T16:02:10"/>
    <d v="2025-04-19T11:04:27"/>
    <s v="Entregado"/>
    <n v="1"/>
    <n v="3"/>
    <s v="Cumple"/>
    <n v="28241"/>
    <m/>
  </r>
  <r>
    <d v="2025-04-14T00:00:00"/>
    <x v="3"/>
    <n v="2522"/>
    <x v="0"/>
    <s v="Carlos Contreras"/>
    <s v="TECUTFE8M"/>
    <s v="Superficie  Fresno Europeo 180x70 Moderno"/>
    <n v="1"/>
    <x v="2"/>
    <s v="Bogotá y alrededores"/>
    <s v="Bogota"/>
    <x v="0"/>
    <s v="Coordinadora"/>
    <s v="3243392-84151196176"/>
    <d v="2025-04-15T16:02:10"/>
    <d v="2025-04-19T11:04:27"/>
    <s v="Entregado"/>
    <n v="1"/>
    <n v="3"/>
    <s v="Cumple"/>
    <n v="26249"/>
    <m/>
  </r>
  <r>
    <d v="2025-04-14T00:00:00"/>
    <x v="3"/>
    <n v="2522"/>
    <x v="0"/>
    <s v="Carlos Contreras"/>
    <s v="TECUCT"/>
    <s v="Bandeja de cables"/>
    <n v="1"/>
    <x v="0"/>
    <s v="Bogotá y alrededores"/>
    <s v="Bogota"/>
    <x v="0"/>
    <s v="Coordinadora"/>
    <s v="3243396-84151196178"/>
    <d v="2025-04-15T16:02:10"/>
    <d v="2025-04-19T11:04:27"/>
    <s v="Entregado"/>
    <n v="1"/>
    <n v="3"/>
    <s v="Cumple"/>
    <n v="22920"/>
    <m/>
  </r>
  <r>
    <d v="2025-04-14T00:00:00"/>
    <x v="3"/>
    <n v="2522"/>
    <x v="0"/>
    <s v="Carlos Contreras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4-14T00:00:00"/>
    <x v="3"/>
    <n v="2522"/>
    <x v="1"/>
    <s v="Carlos Contreras"/>
    <s v="TECUTFE8M"/>
    <s v="Superficie  Fresno Europeo 180x70 Moderno"/>
    <n v="1"/>
    <x v="2"/>
    <s v="Bogotá y alrededores"/>
    <s v="Bogota"/>
    <x v="0"/>
    <s v="Coordinadora"/>
    <s v="3253757-84151200430"/>
    <d v="2025-04-21T15:57:44"/>
    <d v="2025-04-22T16:40:34"/>
    <s v="Entregado"/>
    <n v="4"/>
    <n v="5"/>
    <s v="No cumple"/>
    <n v="26249"/>
    <m/>
  </r>
  <r>
    <d v="2025-04-14T00:00:00"/>
    <x v="3"/>
    <n v="2522"/>
    <x v="1"/>
    <s v="Carlos Contreras"/>
    <s v="TECU3FNPRO"/>
    <s v="Electric Standing Desk  PRO Negro"/>
    <n v="1"/>
    <x v="1"/>
    <s v="Bogotá y alrededores"/>
    <s v="Bogota"/>
    <x v="0"/>
    <s v="Coordinadora"/>
    <s v="3270225-84151207153"/>
    <d v="2025-04-28T15:17:25"/>
    <d v="2025-04-29T00:00:00"/>
    <s v="Entregado"/>
    <n v="10"/>
    <n v="11"/>
    <s v="No cumple"/>
    <n v="28241"/>
    <m/>
  </r>
  <r>
    <d v="2025-04-15T00:00:00"/>
    <x v="3"/>
    <n v="2523"/>
    <x v="0"/>
    <s v="Jonathan Acero"/>
    <s v="TECUROD"/>
    <s v="Rodachines con freno para Standing desk x 4 UN"/>
    <n v="1"/>
    <x v="7"/>
    <s v="Bogotá y alrededores"/>
    <s v="Chía"/>
    <x v="0"/>
    <s v="Coordinadora"/>
    <s v="3243414-84151196181"/>
    <d v="2025-04-15T16:02:10"/>
    <d v="2025-04-19T11:28:43"/>
    <s v="Entregado"/>
    <n v="0"/>
    <n v="2"/>
    <e v="#N/A"/>
    <n v="22920"/>
    <m/>
  </r>
  <r>
    <d v="2025-04-15T00:00:00"/>
    <x v="3"/>
    <n v="2524"/>
    <x v="0"/>
    <s v="Adrian Cardona"/>
    <s v="TECU2FNG"/>
    <s v="Electric Standing Desk GO Negro"/>
    <n v="1"/>
    <x v="1"/>
    <s v="Antioquia"/>
    <s v="Medellin"/>
    <x v="0"/>
    <s v="Coordinadora"/>
    <s v="3243462-84151196208"/>
    <d v="2025-04-15T16:02:10"/>
    <d v="2025-04-16T08:12:14"/>
    <s v="Entregado"/>
    <n v="0"/>
    <n v="1"/>
    <s v="Cumple"/>
    <n v="26913"/>
    <m/>
  </r>
  <r>
    <d v="2025-04-15T00:00:00"/>
    <x v="3"/>
    <n v="2524"/>
    <x v="0"/>
    <s v="Adrian Cardona"/>
    <s v="TECUTCO6C"/>
    <s v="Superficie  Caramelo 160x70 Clasico"/>
    <n v="1"/>
    <x v="2"/>
    <s v="Antioquia"/>
    <s v="Medellin"/>
    <x v="0"/>
    <s v="Coordinadora"/>
    <s v="3243463-84151196210"/>
    <d v="2025-04-15T16:02:10"/>
    <d v="2025-04-16T08:12:14"/>
    <s v="Entregado"/>
    <n v="0"/>
    <n v="1"/>
    <s v="Cumple"/>
    <n v="23593"/>
    <m/>
  </r>
  <r>
    <d v="2025-04-15T00:00:00"/>
    <x v="3"/>
    <n v="2525"/>
    <x v="0"/>
    <s v="Doris Rodríguez"/>
    <s v="TECU2FBGO"/>
    <s v="Electric Standing Desk GO Blanco"/>
    <n v="1"/>
    <x v="1"/>
    <s v="Bogotá y alrededores"/>
    <s v="Bogota"/>
    <x v="0"/>
    <s v="Coordinadora"/>
    <s v="3243753-84151196341"/>
    <d v="2025-04-15T16:02:10"/>
    <d v="2025-04-22T15:21:02"/>
    <s v="Entregado"/>
    <n v="0"/>
    <n v="4"/>
    <s v="No cumple"/>
    <n v="26913"/>
    <m/>
  </r>
  <r>
    <d v="2025-04-15T00:00:00"/>
    <x v="3"/>
    <n v="2525"/>
    <x v="0"/>
    <s v="Doris Rodríguez"/>
    <s v="TECUTFE2C"/>
    <s v="Superficie  Fresno Europeo 120x70 Clasico Small"/>
    <n v="1"/>
    <x v="2"/>
    <s v="Bogotá y alrededores"/>
    <s v="Bogota"/>
    <x v="0"/>
    <s v="Coordinadora"/>
    <s v="3243756-84151196342"/>
    <d v="2025-04-15T16:02:10"/>
    <d v="2025-04-22T15:21:02"/>
    <s v="Entregado"/>
    <n v="0"/>
    <n v="4"/>
    <s v="No cumple"/>
    <n v="23593"/>
    <m/>
  </r>
  <r>
    <d v="2025-04-15T00:00:00"/>
    <x v="3"/>
    <n v="2526"/>
    <x v="0"/>
    <s v="Arturo Diuza Cuero"/>
    <s v="TECU3FNPRO"/>
    <s v="Electric Standing Desk  PRO Negro"/>
    <n v="1"/>
    <x v="1"/>
    <s v="Valle del Cauca"/>
    <s v="Cali"/>
    <x v="0"/>
    <s v="Coordinadora"/>
    <s v="3243788-84151196357"/>
    <d v="2025-04-15T16:02:10"/>
    <d v="2025-04-21T15:29:41"/>
    <s v="Entregado"/>
    <n v="0"/>
    <n v="3"/>
    <s v="Cumple"/>
    <n v="28241"/>
    <m/>
  </r>
  <r>
    <d v="2025-04-15T00:00:00"/>
    <x v="3"/>
    <n v="2527"/>
    <x v="0"/>
    <s v="Christiana Bowen"/>
    <s v="TECU2FNG"/>
    <s v="Electric Standing Desk GO Negro"/>
    <n v="1"/>
    <x v="1"/>
    <s v="Antioquia"/>
    <s v="Medellin"/>
    <x v="0"/>
    <s v="Coordinadora"/>
    <s v="3256028-84151201365"/>
    <d v="2025-04-22T15:50:56"/>
    <d v="2025-04-24T13:04:25"/>
    <s v="Entregado"/>
    <n v="4"/>
    <n v="6"/>
    <s v="No cumple"/>
    <n v="26913"/>
    <m/>
  </r>
  <r>
    <d v="2025-04-15T00:00:00"/>
    <x v="3"/>
    <n v="2527"/>
    <x v="0"/>
    <s v="Christiana Bowen"/>
    <s v="TECUTRN6C"/>
    <s v="Superficie  Roble Negro 160x70 Clasico"/>
    <n v="1"/>
    <x v="2"/>
    <s v="Antioquia"/>
    <s v="Medellin"/>
    <x v="0"/>
    <s v="Coordinadora"/>
    <s v="3256029-84151201366"/>
    <d v="2025-04-22T15:50:56"/>
    <d v="2025-04-23T12:56:59"/>
    <s v="Entregado"/>
    <n v="4"/>
    <n v="5"/>
    <s v="No cumple"/>
    <n v="23593"/>
    <m/>
  </r>
  <r>
    <d v="2025-04-15T00:00:00"/>
    <x v="3"/>
    <n v="2527"/>
    <x v="0"/>
    <s v="Christiana Bowen"/>
    <s v="TECUDSN"/>
    <s v="Desk Stool Negra Silla ajustable"/>
    <n v="1"/>
    <x v="4"/>
    <s v="Antioquia"/>
    <s v="Medellin"/>
    <x v="0"/>
    <s v="Coordinadora"/>
    <s v="3256066-84151201384"/>
    <d v="2025-04-22T15:50:56"/>
    <d v="2025-04-23T12:51:05"/>
    <s v="Entregado"/>
    <n v="4"/>
    <n v="5"/>
    <s v="No cumple"/>
    <n v="22929"/>
    <m/>
  </r>
  <r>
    <d v="2025-04-15T00:00:00"/>
    <x v="3"/>
    <n v="2527"/>
    <x v="0"/>
    <s v="Christiana Bowen"/>
    <s v="TECU2FNG"/>
    <s v="Electric Standing Desk GO Negro"/>
    <n v="1"/>
    <x v="1"/>
    <s v="Antioquia"/>
    <s v="Medellin"/>
    <x v="0"/>
    <s v="Coordinadora"/>
    <s v="3256053-84151201375"/>
    <d v="2025-04-22T15:50:56"/>
    <d v="2025-04-23T12:51:05"/>
    <s v="Entregado"/>
    <n v="4"/>
    <n v="5"/>
    <s v="No cumple"/>
    <n v="26913"/>
    <m/>
  </r>
  <r>
    <d v="2025-04-15T00:00:00"/>
    <x v="3"/>
    <n v="2527"/>
    <x v="0"/>
    <s v="Christiana Bowen"/>
    <s v="TECUTRN6C"/>
    <s v="Superficie  Roble Negro 160x70 Clasico"/>
    <n v="1"/>
    <x v="2"/>
    <s v="Antioquia"/>
    <s v="Medellin"/>
    <x v="0"/>
    <s v="Coordinadora"/>
    <s v="3256054-84151201376"/>
    <d v="2025-04-22T15:50:56"/>
    <d v="2025-04-23T12:56:59"/>
    <s v="Entregado"/>
    <n v="4"/>
    <n v="5"/>
    <s v="No cumple"/>
    <n v="23593"/>
    <m/>
  </r>
  <r>
    <d v="2025-04-15T00:00:00"/>
    <x v="3"/>
    <n v="2527"/>
    <x v="0"/>
    <s v="Christiana Bowen"/>
    <s v="TECUDSN"/>
    <s v="Desk Stool Negra Silla ajustable"/>
    <n v="1"/>
    <x v="4"/>
    <s v="Antioquia"/>
    <s v="Medellin"/>
    <x v="0"/>
    <s v="Coordinadora"/>
    <s v="3256077-84151201389"/>
    <d v="2025-04-22T15:50:56"/>
    <d v="2025-04-23T12:51:05"/>
    <s v="Entregado"/>
    <n v="4"/>
    <n v="5"/>
    <s v="No cumple"/>
    <n v="22929"/>
    <m/>
  </r>
  <r>
    <d v="2025-04-15T00:00:00"/>
    <x v="3"/>
    <n v="2527"/>
    <x v="0"/>
    <s v="Christiana Bowen"/>
    <m/>
    <s v="Servicio de instalacion"/>
    <n v="1"/>
    <x v="3"/>
    <s v="Antioquia"/>
    <s v="Medellin"/>
    <x v="1"/>
    <s v="NA"/>
    <s v="NA"/>
    <s v="NA"/>
    <s v="NA"/>
    <s v="Entregado"/>
    <s v="PTE"/>
    <e v="#VALUE!"/>
    <e v="#VALUE!"/>
    <n v="0"/>
    <m/>
  </r>
  <r>
    <d v="2025-04-16T00:00:00"/>
    <x v="3"/>
    <n v="2528"/>
    <x v="0"/>
    <s v="Natalia Villegas"/>
    <s v="TECU3FNPRO"/>
    <s v="Electric Standing Desk  PRO Negro"/>
    <n v="1"/>
    <x v="1"/>
    <s v="Bogotá y alrededores"/>
    <s v="Bogota"/>
    <x v="0"/>
    <s v="Coordinadora"/>
    <s v="3264476-84151205271"/>
    <d v="2025-04-25T14:59:11"/>
    <d v="2025-04-26T15:44:54"/>
    <s v="Entregado"/>
    <n v="6"/>
    <n v="7"/>
    <s v="No cumple"/>
    <n v="28241"/>
    <m/>
  </r>
  <r>
    <d v="2025-04-16T00:00:00"/>
    <x v="3"/>
    <n v="2528"/>
    <x v="0"/>
    <s v="Natalia Villegas"/>
    <s v="TECUTRM5C"/>
    <s v="Superficie Roble Miel 150x70 Clasico"/>
    <n v="1"/>
    <x v="2"/>
    <s v="Bogotá y alrededores"/>
    <s v="Bogota"/>
    <x v="0"/>
    <s v="Coordinadora"/>
    <s v="3264477-84151205272"/>
    <d v="2025-04-25T14:59:11"/>
    <d v="2025-04-26T15:44:54"/>
    <s v="Entregado"/>
    <n v="6"/>
    <n v="7"/>
    <s v="No cumple"/>
    <n v="23593"/>
    <m/>
  </r>
  <r>
    <d v="2025-04-16T00:00:00"/>
    <x v="3"/>
    <n v="2528"/>
    <x v="0"/>
    <s v="Natalia Villegas"/>
    <s v="TECUCT"/>
    <s v="Bandeja de cables"/>
    <n v="1"/>
    <x v="0"/>
    <s v="Bogotá y alrededores"/>
    <s v="Bogota"/>
    <x v="0"/>
    <s v="Coordinadora"/>
    <s v="3264481-84151205274"/>
    <d v="2025-04-25T14:59:11"/>
    <d v="2025-04-26T15:44:54"/>
    <s v="Entregado"/>
    <n v="6"/>
    <n v="7"/>
    <s v="No cumple"/>
    <n v="22920"/>
    <m/>
  </r>
  <r>
    <d v="2025-04-16T00:00:00"/>
    <x v="3"/>
    <n v="2528"/>
    <x v="0"/>
    <s v="Natalia Villegas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4-19T00:00:00"/>
    <x v="3"/>
    <n v="2529"/>
    <x v="0"/>
    <s v="Angie Barbosa Maldonado"/>
    <s v="TECU3FBCRO"/>
    <s v="Electric Standing Desk  PRO Blanco circular"/>
    <n v="1"/>
    <x v="1"/>
    <s v="Bogotá y alrededores"/>
    <s v="Bogota"/>
    <x v="0"/>
    <s v="Coordinadora"/>
    <s v="3251862-84151199277"/>
    <d v="2025-04-21T15:57:44"/>
    <d v="2025-04-22T16:12:01"/>
    <s v="Entregado"/>
    <n v="1"/>
    <n v="2"/>
    <s v="Cumple"/>
    <n v="28241"/>
    <m/>
  </r>
  <r>
    <d v="2025-04-19T00:00:00"/>
    <x v="3"/>
    <n v="2529"/>
    <x v="0"/>
    <s v="Angie Barbosa Maldonado"/>
    <s v="TECUTFE5C"/>
    <s v="Superficie  Fresno Europeo 150x70 Clasico"/>
    <n v="1"/>
    <x v="2"/>
    <s v="Bogotá y alrededores"/>
    <s v="Bogota"/>
    <x v="0"/>
    <s v="Coordinadora"/>
    <s v="3251865-84151199278"/>
    <d v="2025-04-21T15:57:44"/>
    <d v="2025-04-22T16:12:01"/>
    <s v="Entregado"/>
    <n v="1"/>
    <n v="2"/>
    <s v="Cumple"/>
    <n v="23593"/>
    <m/>
  </r>
  <r>
    <d v="2025-04-19T00:00:00"/>
    <x v="3"/>
    <n v="2529"/>
    <x v="0"/>
    <s v="Angie Barbosa Maldonado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4-21T00:00:00"/>
    <x v="3"/>
    <n v="2530"/>
    <x v="0"/>
    <s v="Carlos Angel"/>
    <s v="TECUDSN"/>
    <s v="Desk Stool Negra Silla ajustable"/>
    <n v="1"/>
    <x v="4"/>
    <s v="Antioquia"/>
    <s v="Rionegro"/>
    <x v="0"/>
    <s v="Coordinadora"/>
    <s v="3252191-84151199490"/>
    <d v="2025-04-21T15:57:44"/>
    <d v="2025-04-22T11:29:05"/>
    <s v="Entregado"/>
    <n v="0"/>
    <n v="1"/>
    <s v="Cumple"/>
    <n v="22929"/>
    <m/>
  </r>
  <r>
    <d v="2025-04-21T00:00:00"/>
    <x v="3"/>
    <n v="2531"/>
    <x v="0"/>
    <s v="Luis Pimiento"/>
    <s v="TECU2FNG"/>
    <s v="Electric Standing Desk GO Negro"/>
    <n v="1"/>
    <x v="1"/>
    <s v="Santander"/>
    <s v="Floridablanca"/>
    <x v="0"/>
    <s v="Coordinadora"/>
    <s v="3252409-84151199626"/>
    <d v="2025-04-21T15:57:44"/>
    <d v="2025-04-22T18:10:01"/>
    <s v="Entregado"/>
    <n v="0"/>
    <n v="1"/>
    <s v="Cumple"/>
    <n v="39191"/>
    <m/>
  </r>
  <r>
    <d v="2025-04-21T00:00:00"/>
    <x v="3"/>
    <n v="2531"/>
    <x v="0"/>
    <s v="Luis Pimiento"/>
    <s v="TECUTRN3C"/>
    <s v="Superficie  Roble Negro 130x70 Clasico"/>
    <n v="1"/>
    <x v="2"/>
    <s v="Santander"/>
    <s v="Floridablanca"/>
    <x v="0"/>
    <s v="Coordinadora"/>
    <s v="3252412-84151199628"/>
    <d v="2025-04-21T15:57:44"/>
    <d v="2025-04-22T18:10:01"/>
    <s v="Entregado"/>
    <n v="0"/>
    <n v="1"/>
    <s v="Cumple"/>
    <n v="33679"/>
    <m/>
  </r>
  <r>
    <d v="2025-04-22T00:00:00"/>
    <x v="3"/>
    <n v="2532"/>
    <x v="0"/>
    <s v="David Felipe Bayona Heredia"/>
    <s v="TECU3FNPRO"/>
    <s v="Electric Standing Desk  PRO Negro"/>
    <n v="1"/>
    <x v="1"/>
    <s v="Bogotá y alrededores"/>
    <s v="Bogota"/>
    <x v="0"/>
    <s v="Coordinadora"/>
    <s v="3256310-84151201489"/>
    <d v="2025-04-22T15:50:56"/>
    <d v="2025-04-23T15:50:21"/>
    <s v="Entregado"/>
    <n v="0"/>
    <n v="1"/>
    <s v="Cumple"/>
    <n v="28241"/>
    <m/>
  </r>
  <r>
    <d v="2025-04-22T00:00:00"/>
    <x v="3"/>
    <n v="2532"/>
    <x v="0"/>
    <s v="David Felipe Bayona Heredia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4-23T00:00:00"/>
    <x v="3"/>
    <n v="2533"/>
    <x v="0"/>
    <s v="Diego Alejandro Forero Walteros"/>
    <s v="TECU3FBCRO"/>
    <s v="Electric Standing Desk  PRO Blanco circular"/>
    <n v="1"/>
    <x v="1"/>
    <s v="Bogotá y alrededores"/>
    <s v="Bogota"/>
    <x v="0"/>
    <s v="Coordinadora"/>
    <s v="3259082-84151202778"/>
    <d v="2025-04-23T15:29:13"/>
    <d v="2025-04-25T15:27:54"/>
    <s v="Entregado"/>
    <n v="0"/>
    <n v="2"/>
    <s v="Cumple"/>
    <n v="28241"/>
    <m/>
  </r>
  <r>
    <d v="2025-04-23T00:00:00"/>
    <x v="3"/>
    <n v="2533"/>
    <x v="0"/>
    <s v="Diego Alejandro Forero Walteros"/>
    <s v="TECUTFE2C"/>
    <s v="Superficie  Fresno Europeo 120x70 Clasico Small"/>
    <n v="1"/>
    <x v="2"/>
    <s v="Bogotá y alrededores"/>
    <s v="Bogota"/>
    <x v="0"/>
    <s v="Coordinadora"/>
    <s v="3259084-84151202780"/>
    <d v="2025-04-23T15:29:13"/>
    <d v="2025-04-25T15:27:54"/>
    <s v="Entregado"/>
    <n v="0"/>
    <n v="2"/>
    <s v="Cumple"/>
    <n v="28241"/>
    <m/>
  </r>
  <r>
    <d v="2025-04-24T00:00:00"/>
    <x v="3"/>
    <n v="2534"/>
    <x v="0"/>
    <s v="Fabian Andres Mojica / COLIBRI IT SAS"/>
    <s v="TECU3FBCRO"/>
    <s v="Electric Standing Desk  PRO Blanco circular"/>
    <n v="1"/>
    <x v="1"/>
    <s v="Bogotá y alrededores"/>
    <s v="Bogota"/>
    <x v="0"/>
    <s v="Coordinadora"/>
    <s v="3261909-84151204046"/>
    <d v="2025-04-24T16:50:53"/>
    <d v="2025-04-26T11:08:31"/>
    <s v="Entregado"/>
    <n v="0"/>
    <n v="2"/>
    <s v="Cumple"/>
    <n v="28241"/>
    <m/>
  </r>
  <r>
    <d v="2025-04-24T00:00:00"/>
    <x v="3"/>
    <n v="2534"/>
    <x v="0"/>
    <s v="Fabian Andres Mojica / COLIBRI IT SAS"/>
    <s v="TECUTB2C"/>
    <s v="Superficie Niebla 120x70 Clasico Small"/>
    <n v="1"/>
    <x v="2"/>
    <s v="Bogotá y alrededores"/>
    <s v="Bogota"/>
    <x v="0"/>
    <s v="Coordinadora"/>
    <s v="3261911-84151204048"/>
    <d v="2025-04-24T16:49:55"/>
    <d v="2025-04-26T11:29:14"/>
    <s v="Entregado"/>
    <n v="0"/>
    <n v="2"/>
    <s v="Cumple"/>
    <n v="28241"/>
    <m/>
  </r>
  <r>
    <d v="2025-04-24T00:00:00"/>
    <x v="3"/>
    <n v="2534"/>
    <x v="0"/>
    <s v="Fabian Andres Mojica / COLIBRI IT SAS"/>
    <s v="TECUCT"/>
    <s v="Bandeja de cables"/>
    <n v="1"/>
    <x v="0"/>
    <s v="Bogotá y alrededores"/>
    <s v="Bogota"/>
    <x v="0"/>
    <s v="Coordinadora"/>
    <s v="3261976-84151204073"/>
    <d v="2025-04-24T16:50:53"/>
    <d v="2025-04-25T18:00:49"/>
    <s v="Entregado"/>
    <n v="0"/>
    <n v="1"/>
    <s v="Cumple"/>
    <n v="22920"/>
    <m/>
  </r>
  <r>
    <d v="2025-04-24T00:00:00"/>
    <x v="3"/>
    <n v="2534"/>
    <x v="0"/>
    <s v="Fabian Andres Mojica / COLIBRI IT SAS"/>
    <s v="TECU3FBCRO"/>
    <s v="Electric Standing Desk  PRO Blanco circular"/>
    <n v="1"/>
    <x v="1"/>
    <s v="Bogotá y alrededores"/>
    <s v="Bogota"/>
    <x v="0"/>
    <s v="Coordinadora"/>
    <s v="3261957-84151204068"/>
    <d v="2025-04-24T16:50:53"/>
    <d v="2025-04-26T11:31:07"/>
    <s v="Entregado"/>
    <n v="0"/>
    <n v="2"/>
    <s v="Cumple"/>
    <n v="28241"/>
    <m/>
  </r>
  <r>
    <d v="2025-04-24T00:00:00"/>
    <x v="3"/>
    <n v="2534"/>
    <x v="0"/>
    <s v="Fabian Andres Mojica / COLIBRI IT SAS"/>
    <s v="TECUTB2C"/>
    <s v="Superficie Niebla 120x70 Clasico Small"/>
    <n v="1"/>
    <x v="2"/>
    <s v="Bogotá y alrededores"/>
    <s v="Bogota"/>
    <x v="0"/>
    <s v="Coordinadora"/>
    <s v="3261958-84151204069"/>
    <d v="2025-04-24T16:49:55"/>
    <d v="2025-04-26T11:08:31"/>
    <s v="Entregado"/>
    <n v="0"/>
    <n v="2"/>
    <s v="Cumple"/>
    <n v="28241"/>
    <m/>
  </r>
  <r>
    <d v="2025-04-24T00:00:00"/>
    <x v="3"/>
    <n v="2534"/>
    <x v="0"/>
    <s v="Fabian Andres Mojica / COLIBRI IT SAS"/>
    <s v="TECUCT"/>
    <s v="Bandeja de cables"/>
    <n v="1"/>
    <x v="0"/>
    <s v="Bogotá y alrededores"/>
    <s v="Bogota"/>
    <x v="0"/>
    <s v="Coordinadora"/>
    <s v="3261985-84151204075"/>
    <d v="2025-04-24T16:50:53"/>
    <d v="2025-04-25T17:58:36"/>
    <s v="Entregado"/>
    <n v="0"/>
    <n v="1"/>
    <s v="Cumple"/>
    <n v="22920"/>
    <m/>
  </r>
  <r>
    <d v="2025-04-24T00:00:00"/>
    <x v="3"/>
    <n v="2535"/>
    <x v="0"/>
    <s v="Carlos Eduardo Ramírez F  / COLIBRI IT SAS"/>
    <s v="TECU3FBCRO"/>
    <s v="Electric Standing Desk  PRO Blanco circular"/>
    <n v="1"/>
    <x v="1"/>
    <s v="Bogotá y alrededores"/>
    <s v="Bogota"/>
    <x v="0"/>
    <s v="Coordinadora"/>
    <s v="3262209-84151204206"/>
    <d v="2025-04-24T16:50:53"/>
    <d v="2025-04-26T12:14:09"/>
    <s v="Entregado"/>
    <n v="0"/>
    <n v="2"/>
    <s v="Cumple"/>
    <n v="28241"/>
    <m/>
  </r>
  <r>
    <d v="2025-04-24T00:00:00"/>
    <x v="3"/>
    <n v="2535"/>
    <x v="0"/>
    <s v="Carlos Eduardo Ramírez F  / COLIBRI IT SAS"/>
    <s v="TECUTB2C"/>
    <s v="Superficie Niebla 120x70 Clasico Small"/>
    <n v="1"/>
    <x v="2"/>
    <s v="Bogotá y alrededores"/>
    <s v="Bogota"/>
    <x v="0"/>
    <s v="Coordinadora"/>
    <s v="3262210-84151204211"/>
    <d v="2025-04-24T16:49:55"/>
    <d v="2025-04-26T13:02:36"/>
    <s v="Entregado"/>
    <n v="0"/>
    <n v="2"/>
    <s v="Cumple"/>
    <n v="23593"/>
    <m/>
  </r>
  <r>
    <d v="2025-04-24T00:00:00"/>
    <x v="3"/>
    <n v="2535"/>
    <x v="0"/>
    <s v="Carlos Eduardo Ramírez F  / COLIBRI IT SAS"/>
    <s v="TECUCT"/>
    <s v="Bandeja de cables"/>
    <n v="1"/>
    <x v="0"/>
    <s v="Bogotá y alrededores"/>
    <s v="Bogota"/>
    <x v="0"/>
    <s v="Coordinadora"/>
    <s v="3262218-84151204217"/>
    <d v="2025-04-24T16:50:53"/>
    <d v="2025-04-25T13:33:07"/>
    <s v="Entregado"/>
    <n v="0"/>
    <n v="1"/>
    <s v="Cumple"/>
    <n v="22920"/>
    <m/>
  </r>
  <r>
    <d v="2025-04-26T00:00:00"/>
    <x v="3"/>
    <n v="2536"/>
    <x v="0"/>
    <s v="Juan David Cubillos Calvachi"/>
    <s v="TECU3FBRO"/>
    <s v="Electric Standing Desk  PRO Blanco"/>
    <n v="1"/>
    <x v="1"/>
    <s v="Bogotá y alrededores"/>
    <s v="Bogota"/>
    <x v="0"/>
    <s v="Coordinadora"/>
    <s v="3268967-84151206707"/>
    <d v="2025-04-28T15:17:25"/>
    <d v="2025-04-29T00:00:00"/>
    <s v="Entregado"/>
    <n v="1"/>
    <n v="2"/>
    <s v="Cumple"/>
    <n v="28241"/>
    <m/>
  </r>
  <r>
    <d v="2025-04-26T00:00:00"/>
    <x v="3"/>
    <n v="2536"/>
    <x v="0"/>
    <s v="Juan David Cubillos Calvachi"/>
    <s v="TECUTFE7C"/>
    <s v="Superficie  Fresno Europeo 170x70 Clasico"/>
    <n v="1"/>
    <x v="2"/>
    <s v="Bogotá y alrededores"/>
    <s v="Bogota"/>
    <x v="0"/>
    <s v="Coordinadora"/>
    <s v="3268968-84151206708"/>
    <d v="2025-04-28T15:17:25"/>
    <d v="2025-04-30T00:00:00"/>
    <s v="Entregado"/>
    <n v="1"/>
    <n v="3"/>
    <s v="Cumple"/>
    <n v="23593"/>
    <m/>
  </r>
  <r>
    <d v="2025-04-26T00:00:00"/>
    <x v="3"/>
    <n v="2537"/>
    <x v="0"/>
    <s v="Sergio Prada"/>
    <s v="TECU2FNG"/>
    <s v="Electric Standing Desk GO Negro"/>
    <n v="1"/>
    <x v="1"/>
    <s v="Bogotá y alrededores"/>
    <s v="Bogota"/>
    <x v="0"/>
    <s v="Coordinadora"/>
    <s v="3269004-84151206724"/>
    <d v="2025-04-28T15:17:25"/>
    <d v="2025-04-29T00:00:00"/>
    <s v="Entregado"/>
    <n v="1"/>
    <n v="2"/>
    <s v="Cumple"/>
    <n v="26913"/>
    <m/>
  </r>
  <r>
    <d v="2025-04-26T00:00:00"/>
    <x v="3"/>
    <n v="2537"/>
    <x v="0"/>
    <s v="Sergio Prada"/>
    <s v="TECUTCO5C"/>
    <s v="Superficie Caramelo 150x70 Clasico"/>
    <n v="1"/>
    <x v="2"/>
    <s v="Bogotá y alrededores"/>
    <s v="Bogota"/>
    <x v="0"/>
    <s v="Coordinadora"/>
    <s v="3269006-84151206725"/>
    <d v="2025-04-28T15:17:25"/>
    <d v="2025-04-29T00:00:00"/>
    <s v="Entregado"/>
    <n v="1"/>
    <n v="2"/>
    <s v="Cumple"/>
    <n v="23593"/>
    <m/>
  </r>
  <r>
    <d v="2025-04-28T00:00:00"/>
    <x v="3"/>
    <n v="2538"/>
    <x v="0"/>
    <s v="Lizeth Manchego"/>
    <s v="TECU2FNG"/>
    <s v="Electric Standing Desk GO Negro"/>
    <n v="1"/>
    <x v="1"/>
    <s v="Santander"/>
    <s v="Piedacuesta"/>
    <x v="0"/>
    <s v="Coordinadora"/>
    <s v="3270269-84151207172"/>
    <d v="2025-04-28T15:17:25"/>
    <d v="2025-04-30T00:00:00"/>
    <s v="Entregado"/>
    <n v="0"/>
    <n v="2"/>
    <s v="Cumple"/>
    <n v="39191"/>
    <m/>
  </r>
  <r>
    <d v="2025-04-28T00:00:00"/>
    <x v="3"/>
    <n v="2538"/>
    <x v="0"/>
    <s v="Lizeth Manchego"/>
    <s v="TECUTFE4C"/>
    <s v="Superficie  Fresno Europeo 140x70 Clasico"/>
    <n v="1"/>
    <x v="2"/>
    <s v="Santander"/>
    <s v="Piedacuesta"/>
    <x v="0"/>
    <s v="Coordinadora"/>
    <s v="3270271-84151207173"/>
    <d v="2025-04-28T15:17:25"/>
    <d v="2025-04-30T00:00:00"/>
    <s v="Entregado"/>
    <n v="0"/>
    <n v="2"/>
    <s v="Cumple"/>
    <n v="33679"/>
    <m/>
  </r>
  <r>
    <d v="2025-04-28T00:00:00"/>
    <x v="3"/>
    <n v="2538"/>
    <x v="0"/>
    <s v="Lizeth Manchego"/>
    <s v="TECUCT"/>
    <s v="Bandeja de cables"/>
    <n v="1"/>
    <x v="0"/>
    <s v="Santander"/>
    <s v="Piedacuesta"/>
    <x v="0"/>
    <s v="Coordinadora"/>
    <s v="3270272-84151207175"/>
    <d v="2025-04-28T15:17:25"/>
    <d v="2025-04-30T00:00:00"/>
    <s v="Entregado"/>
    <n v="0"/>
    <n v="2"/>
    <s v="Cumple"/>
    <n v="22920"/>
    <m/>
  </r>
  <r>
    <d v="2025-04-29T00:00:00"/>
    <x v="3"/>
    <n v="2539"/>
    <x v="0"/>
    <s v="SEAQ HOLDINGS SAS / Andres Mujica"/>
    <s v="TECULFN2"/>
    <s v="Electric Standing Desk  En L Frame Negro 2.0"/>
    <n v="1"/>
    <x v="1"/>
    <s v="Bogotá y alrededores"/>
    <s v="Bogota"/>
    <x v="0"/>
    <s v="Coordinadora"/>
    <s v="3272935 - 84151208399"/>
    <d v="2025-04-29T00:00:00"/>
    <d v="2025-04-30T00:00:00"/>
    <s v="Entregado"/>
    <n v="0"/>
    <n v="1"/>
    <s v="Cumple"/>
    <n v="62530"/>
    <m/>
  </r>
  <r>
    <d v="2025-04-29T00:00:00"/>
    <x v="3"/>
    <n v="2539"/>
    <x v="0"/>
    <s v="SEAQ HOLDINGS SAS / Andres Mujica"/>
    <s v="TECUTLBS"/>
    <s v="Superficie  en L Niebla 180x150cm x 70"/>
    <n v="1"/>
    <x v="2"/>
    <s v="Bogotá y alrededores"/>
    <s v="Bogota"/>
    <x v="0"/>
    <s v="Coordinadora"/>
    <s v="3272936 - 84151208400"/>
    <d v="2025-04-29T00:00:00"/>
    <d v="2025-04-30T00:00:00"/>
    <s v="Entregado"/>
    <n v="0"/>
    <n v="1"/>
    <s v="Cumple"/>
    <n v="26749"/>
    <m/>
  </r>
  <r>
    <d v="2025-04-29T00:00:00"/>
    <x v="3"/>
    <n v="2539"/>
    <x v="0"/>
    <s v="SEAQ HOLDINGS SAS / Andres Mujica"/>
    <s v="TECUCT"/>
    <s v="Bandeja de cables"/>
    <n v="1"/>
    <x v="0"/>
    <s v="Bogotá y alrededores"/>
    <s v="Bogota"/>
    <x v="0"/>
    <s v="Coordinadora"/>
    <s v="3272944 - 84151208407"/>
    <d v="2025-04-29T00:00:00"/>
    <d v="2025-04-30T00:00:00"/>
    <s v="Entregado"/>
    <n v="0"/>
    <n v="1"/>
    <s v="Cumple"/>
    <n v="24885"/>
    <m/>
  </r>
  <r>
    <d v="2025-04-29T00:00:00"/>
    <x v="3"/>
    <n v="2539"/>
    <x v="0"/>
    <s v="SEAQ HOLDINGS SAS / Andres Mujica"/>
    <s v="TECUROD6"/>
    <s v="Rodachines con freno para Standing desk x 6 UN"/>
    <n v="1"/>
    <x v="7"/>
    <s v="Bogotá y alrededores"/>
    <s v="Bogota"/>
    <x v="0"/>
    <s v="Coordinadora"/>
    <s v="3272954 - 84151208412"/>
    <d v="2025-04-29T00:00:00"/>
    <d v="2025-04-30T00:00:00"/>
    <s v="Entregado"/>
    <n v="0"/>
    <n v="1"/>
    <s v="Cumple"/>
    <n v="23875"/>
    <m/>
  </r>
  <r>
    <d v="2025-04-29T00:00:00"/>
    <x v="3"/>
    <n v="2539"/>
    <x v="0"/>
    <s v="SEAQ HOLDINGS SAS / Andres Mujica"/>
    <s v="TECUTBANTE"/>
    <s v="Bandeja de teclado"/>
    <n v="1"/>
    <x v="0"/>
    <s v="Bogotá y alrededores"/>
    <s v="Bogota"/>
    <x v="0"/>
    <s v="Coordinadora"/>
    <s v="3273378 - 84151208645"/>
    <d v="2025-04-29T00:00:00"/>
    <d v="2025-04-30T00:00:00"/>
    <s v="Entregado"/>
    <n v="0"/>
    <n v="1"/>
    <s v="Cumple"/>
    <n v="27929"/>
    <m/>
  </r>
  <r>
    <d v="2025-04-30T00:00:00"/>
    <x v="3"/>
    <n v="2540"/>
    <x v="0"/>
    <s v="Maria Paula Bonilla Gonzalez"/>
    <s v="TECU2FNG"/>
    <s v="Electric Standing Desk GO Negro"/>
    <n v="1"/>
    <x v="1"/>
    <s v="Bogotá y alrededores"/>
    <s v="Bogota"/>
    <x v="0"/>
    <s v="Coordinadora"/>
    <s v="3275213 - 84151209472"/>
    <d v="2025-04-30T00:00:00"/>
    <d v="2025-05-02T00:00:00"/>
    <s v="Entregado"/>
    <n v="0"/>
    <n v="1"/>
    <s v="Cumple"/>
    <n v="41593"/>
    <m/>
  </r>
  <r>
    <d v="2025-04-30T00:00:00"/>
    <x v="3"/>
    <n v="2540"/>
    <x v="0"/>
    <s v="Maria Paula Bonilla Gonzalez"/>
    <s v="TECUTCO2C"/>
    <s v="Superficie  Caramelo 120x70 Clasico Small"/>
    <n v="1"/>
    <x v="2"/>
    <s v="Bogotá y alrededores"/>
    <s v="Bogota"/>
    <x v="0"/>
    <s v="Coordinadora"/>
    <s v="3275215 - 84151209473"/>
    <d v="2025-04-30T00:00:00"/>
    <d v="2025-05-02T00:00:00"/>
    <s v="Entregado"/>
    <n v="0"/>
    <n v="1"/>
    <s v="Cumple"/>
    <n v="24093"/>
    <m/>
  </r>
  <r>
    <d v="2025-04-30T00:00:00"/>
    <x v="3"/>
    <n v="2540"/>
    <x v="0"/>
    <s v="Maria Paula Bonilla Gonzalez"/>
    <s v="TECU2FNG"/>
    <s v="Electric Standing Desk GO Negro"/>
    <n v="1"/>
    <x v="1"/>
    <s v="Bogotá y alrededores"/>
    <s v="Bogota"/>
    <x v="0"/>
    <s v="Coordinadora"/>
    <s v="3275222 - 84151209476"/>
    <d v="2025-04-30T00:00:00"/>
    <d v="2025-05-02T00:00:00"/>
    <s v="Entregado"/>
    <n v="0"/>
    <n v="1"/>
    <s v="Cumple"/>
    <n v="41593"/>
    <m/>
  </r>
  <r>
    <d v="2025-04-30T00:00:00"/>
    <x v="3"/>
    <n v="2540"/>
    <x v="0"/>
    <s v="Maria Paula Bonilla Gonzalez"/>
    <s v="TECUTCO5C"/>
    <s v="Superficie Caramelo 150x70 Clasico"/>
    <n v="1"/>
    <x v="2"/>
    <s v="Bogotá y alrededores"/>
    <s v="Bogota"/>
    <x v="0"/>
    <s v="Coordinadora"/>
    <s v="3275224 - 84151209477"/>
    <d v="2025-04-30T00:00:00"/>
    <d v="2025-05-02T00:00:00"/>
    <s v="Entregado"/>
    <n v="0"/>
    <n v="1"/>
    <s v="Cumple"/>
    <n v="24093"/>
    <m/>
  </r>
  <r>
    <d v="2025-04-30T00:00:00"/>
    <x v="3"/>
    <n v="2540"/>
    <x v="0"/>
    <s v="Maria Paula Bonilla Gonzalez"/>
    <s v="TECUCT"/>
    <s v="Bandeja de cables"/>
    <n v="1"/>
    <x v="0"/>
    <s v="Bogotá y alrededores"/>
    <s v="Bogota"/>
    <x v="0"/>
    <s v="Coordinadora"/>
    <s v="3275233 - 84151209479"/>
    <d v="2025-04-30T00:00:00"/>
    <d v="2025-05-02T00:00:00"/>
    <s v="Entregado"/>
    <n v="0"/>
    <n v="1"/>
    <s v="Cumple"/>
    <n v="24885"/>
    <m/>
  </r>
  <r>
    <d v="2025-05-02T00:00:00"/>
    <x v="4"/>
    <n v="2541"/>
    <x v="0"/>
    <s v="Fernando Andres Cifuentes Calderon"/>
    <s v="TECU3FNCRO"/>
    <s v="Electric Standing Desk  PRO Negro circular"/>
    <n v="1"/>
    <x v="1"/>
    <s v="Valle del Cauca"/>
    <s v="Cali"/>
    <x v="0"/>
    <s v="Coordinadora"/>
    <s v="3280100 - 84151211327"/>
    <d v="2025-05-02T00:00:00"/>
    <d v="2025-05-03T00:00:00"/>
    <s v="Entregado"/>
    <n v="0"/>
    <n v="1"/>
    <s v="Cumple"/>
    <n v="42921"/>
    <m/>
  </r>
  <r>
    <d v="2025-05-02T00:00:00"/>
    <x v="4"/>
    <n v="2541"/>
    <x v="0"/>
    <s v="Fernando Andres Cifuentes Calderon"/>
    <s v="TECUTCO4C"/>
    <s v="Superficie Caramelo 140x70 Clasico"/>
    <n v="1"/>
    <x v="2"/>
    <s v="Valle del Cauca"/>
    <s v="Cali"/>
    <x v="0"/>
    <s v="Coordinadora"/>
    <s v="3280101 - 84151211328"/>
    <d v="2025-05-02T00:00:00"/>
    <d v="2025-05-03T00:00:00"/>
    <s v="Entregado"/>
    <n v="0"/>
    <n v="1"/>
    <s v="Cumple"/>
    <n v="24093"/>
    <m/>
  </r>
  <r>
    <d v="2025-04-30T00:00:00"/>
    <x v="3"/>
    <n v="2522"/>
    <x v="4"/>
    <s v="Carlos Contreras"/>
    <s v="TECUBDPA"/>
    <s v="Desk Pad B Negro Azul"/>
    <n v="1"/>
    <x v="0"/>
    <s v="Bogotá y alrededores"/>
    <s v="Bogota"/>
    <x v="0"/>
    <s v="Velotax"/>
    <s v="Envio terminal a terminal"/>
    <d v="2025-04-30T00:00:00"/>
    <d v="2025-05-01T00:00:00"/>
    <s v="Entregado"/>
    <n v="0"/>
    <n v="0"/>
    <s v="Cumple"/>
    <n v="28241"/>
    <m/>
  </r>
  <r>
    <d v="2025-05-03T00:00:00"/>
    <x v="4"/>
    <n v="2542"/>
    <x v="0"/>
    <s v="Andrés Palma Meriño / Abbott Laboratories de Colombia S.A.S"/>
    <s v="TECU3FNPRO"/>
    <s v="Electric Standing Desk  PRO Negro"/>
    <n v="1"/>
    <x v="1"/>
    <s v="Bogotá y alrededores"/>
    <s v="Bogota"/>
    <x v="0"/>
    <s v="Coordinadora"/>
    <s v="3285771- 84151213469"/>
    <d v="2025-05-05T00:00:00"/>
    <d v="2025-05-06T00:00:00"/>
    <s v="Entregado"/>
    <n v="1"/>
    <n v="2"/>
    <s v="Cumple"/>
    <n v="42921"/>
    <m/>
  </r>
  <r>
    <d v="2025-05-05T00:00:00"/>
    <x v="4"/>
    <n v="2543"/>
    <x v="0"/>
    <s v="Maria Laura Rojas"/>
    <s v="TECU3FNPRO"/>
    <s v="Electric Standing Desk  PRO Negro"/>
    <n v="1"/>
    <x v="1"/>
    <s v="Bogotá y alrededores"/>
    <s v="Bogota"/>
    <x v="0"/>
    <s v="Coordinadora"/>
    <s v="3289518- 84151215417"/>
    <d v="2025-05-06T00:00:00"/>
    <d v="2025-05-07T00:00:00"/>
    <s v="Entregado"/>
    <n v="1"/>
    <n v="2"/>
    <s v="Cumple"/>
    <n v="42921"/>
    <m/>
  </r>
  <r>
    <d v="2025-05-05T00:00:00"/>
    <x v="4"/>
    <n v="2543"/>
    <x v="0"/>
    <s v="Maria Laura Rojas"/>
    <s v="TECUTFE4C"/>
    <s v="Superficie  Fresno Europeo 140x70 Clasico"/>
    <n v="1"/>
    <x v="2"/>
    <s v="Bogotá y alrededores"/>
    <s v="Bogota"/>
    <x v="0"/>
    <s v="Coordinadora"/>
    <s v="3289520- 84151215419"/>
    <d v="2025-05-06T00:00:00"/>
    <d v="2025-05-08T00:00:00"/>
    <s v="Entregado"/>
    <n v="1"/>
    <n v="3"/>
    <s v="Cumple"/>
    <n v="24093"/>
    <m/>
  </r>
  <r>
    <d v="2025-05-05T00:00:00"/>
    <x v="4"/>
    <n v="2543"/>
    <x v="0"/>
    <s v="Maria Laura Rojas"/>
    <s v="TECUBDPM"/>
    <s v="Desk Pad B Negro Café Miel"/>
    <n v="1"/>
    <x v="0"/>
    <s v="Bogotá y alrededores"/>
    <s v="Bogota"/>
    <x v="0"/>
    <s v="Coordinadora"/>
    <s v="3289506- 84151215414"/>
    <d v="2025-05-06T00:00:00"/>
    <d v="2025-05-07T00:00:00"/>
    <s v="Entregado"/>
    <n v="1"/>
    <n v="2"/>
    <s v="Cumple"/>
    <n v="16617"/>
    <m/>
  </r>
  <r>
    <d v="2025-05-05T00:00:00"/>
    <x v="4"/>
    <n v="2543"/>
    <x v="0"/>
    <s v="Maria Laura Rojas"/>
    <s v="TECUAFE"/>
    <s v="Archivador TECU Fresno Europeo"/>
    <n v="1"/>
    <x v="5"/>
    <s v="Bogotá y alrededores"/>
    <s v="Bogota"/>
    <x v="0"/>
    <s v="Envia"/>
    <s v="3289257- 954101209673"/>
    <d v="2025-05-06T00:00:00"/>
    <d v="2025-05-08T00:00:00"/>
    <s v="Entregado"/>
    <n v="1"/>
    <n v="3"/>
    <s v="Cumple"/>
    <n v="54929"/>
    <m/>
  </r>
  <r>
    <d v="2025-05-05T00:00:00"/>
    <x v="4"/>
    <n v="2543"/>
    <x v="0"/>
    <s v="Maria Laura Rojas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5-06T00:00:00"/>
    <x v="4"/>
    <n v="2544"/>
    <x v="0"/>
    <s v="EDDY BENEDICTA PEÑA MORENO"/>
    <s v="TECU3FBRO"/>
    <s v="Electric Standing Desk  PRO Blanco"/>
    <n v="1"/>
    <x v="1"/>
    <s v="Antioquia"/>
    <s v="Medellin"/>
    <x v="0"/>
    <s v="Coordinadora"/>
    <s v="3289550- 84151215430"/>
    <d v="2025-05-06T00:00:00"/>
    <d v="2025-05-07T00:00:00"/>
    <s v="Entregado"/>
    <n v="0"/>
    <n v="1"/>
    <s v="Cumple"/>
    <n v="42921"/>
    <m/>
  </r>
  <r>
    <d v="2025-05-06T00:00:00"/>
    <x v="4"/>
    <n v="2544"/>
    <x v="0"/>
    <s v="EDDY BENEDICTA PEÑA MORENO"/>
    <s v="TECUTFE8C"/>
    <s v="Superficie  Fresno Europeo 180x70 Clasico"/>
    <n v="1"/>
    <x v="2"/>
    <s v="Antioquia"/>
    <s v="Medellin"/>
    <x v="0"/>
    <s v="Coordinadora"/>
    <s v="3289551- 84151215431"/>
    <d v="2025-05-06T00:00:00"/>
    <d v="2025-05-07T00:00:00"/>
    <s v="Entregado"/>
    <n v="0"/>
    <n v="1"/>
    <s v="Cumple"/>
    <n v="26749"/>
    <m/>
  </r>
  <r>
    <d v="2025-05-06T00:00:00"/>
    <x v="4"/>
    <n v="2544"/>
    <x v="0"/>
    <s v="EDDY BENEDICTA PEÑA MORENO"/>
    <m/>
    <s v="Servicio de instalacion"/>
    <n v="1"/>
    <x v="3"/>
    <s v="Antioquia"/>
    <s v="Medellin"/>
    <x v="1"/>
    <s v="NA"/>
    <s v="NA"/>
    <s v="NA"/>
    <s v="NA"/>
    <s v="Entregado"/>
    <s v="PTE"/>
    <e v="#VALUE!"/>
    <e v="#VALUE!"/>
    <n v="0"/>
    <m/>
  </r>
  <r>
    <d v="2025-05-06T00:00:00"/>
    <x v="4"/>
    <n v="2545"/>
    <x v="0"/>
    <s v="Santiago Espitia Giron"/>
    <s v="TECU3FNPRO"/>
    <s v="Electric Standing Desk  PRO Negro"/>
    <n v="1"/>
    <x v="1"/>
    <s v="Bogotá y alrededores"/>
    <s v="Bogota"/>
    <x v="0"/>
    <s v="Coordinadora"/>
    <s v="3289628- 84151215449"/>
    <d v="2025-05-06T00:00:00"/>
    <d v="2025-05-07T00:00:00"/>
    <s v="Entregado"/>
    <n v="0"/>
    <n v="1"/>
    <s v="Cumple"/>
    <n v="42921"/>
    <m/>
  </r>
  <r>
    <d v="2025-05-06T00:00:00"/>
    <x v="4"/>
    <n v="2545"/>
    <x v="0"/>
    <s v="Santiago Espitia Giron"/>
    <s v="TECUTCO4C"/>
    <s v="Superficie Caramelo 140x70 Clasico"/>
    <n v="1"/>
    <x v="2"/>
    <s v="Bogotá y alrededores"/>
    <s v="Bogota"/>
    <x v="0"/>
    <s v="Coordinadora"/>
    <s v="3289629- 84151215450"/>
    <d v="2025-05-06T00:00:00"/>
    <d v="2025-05-07T00:00:00"/>
    <s v="Entregado"/>
    <n v="0"/>
    <n v="1"/>
    <s v="Cumple"/>
    <n v="26749"/>
    <m/>
  </r>
  <r>
    <d v="2025-05-06T00:00:00"/>
    <x v="4"/>
    <n v="2545"/>
    <x v="0"/>
    <s v="Santiago Espitia Giron"/>
    <s v="TECUROD"/>
    <s v="Rodachines con freno para Standing desk x 4 UN"/>
    <n v="1"/>
    <x v="7"/>
    <s v="Bogotá y alrededores"/>
    <s v="Bogota"/>
    <x v="0"/>
    <s v="Coordinadora"/>
    <s v="3289643- 84151215458"/>
    <d v="2025-05-06T00:00:00"/>
    <d v="2025-05-07T00:00:00"/>
    <s v="Entregado"/>
    <n v="0"/>
    <n v="1"/>
    <s v="Cumple"/>
    <n v="23875"/>
    <m/>
  </r>
  <r>
    <d v="2025-05-06T00:00:00"/>
    <x v="4"/>
    <n v="2546"/>
    <x v="0"/>
    <s v="Jesús David Traslaviña Fuentes"/>
    <s v="TECU3FBRO"/>
    <s v="Electric Standing Desk  PRO Blanco"/>
    <n v="1"/>
    <x v="1"/>
    <s v="Bogotá y alrededores"/>
    <s v="Bogota"/>
    <x v="0"/>
    <s v="Coordinadora"/>
    <s v="3289726 -84151215497"/>
    <d v="2025-05-06T00:00:00"/>
    <d v="2025-05-07T00:00:00"/>
    <s v="Entregado"/>
    <n v="0"/>
    <n v="1"/>
    <s v="Cumple"/>
    <n v="42921"/>
    <m/>
  </r>
  <r>
    <d v="2025-05-06T00:00:00"/>
    <x v="4"/>
    <n v="2546"/>
    <x v="0"/>
    <s v="Jesús David Traslaviña Fuentes"/>
    <s v="TECUTB2C"/>
    <s v="Superficie Niebla 120x70 Clasico Small"/>
    <n v="1"/>
    <x v="2"/>
    <s v="Bogotá y alrededores"/>
    <s v="Bogota"/>
    <x v="0"/>
    <s v="Coordinadora"/>
    <s v="3289727 -84151215498"/>
    <d v="2025-05-06T00:00:00"/>
    <d v="2025-05-07T00:00:00"/>
    <s v="Entregado"/>
    <n v="0"/>
    <n v="1"/>
    <s v="Cumple"/>
    <n v="28741"/>
    <m/>
  </r>
  <r>
    <d v="2025-05-06T00:00:00"/>
    <x v="4"/>
    <n v="2547"/>
    <x v="0"/>
    <s v="Cristhian Camilo Castro Melo"/>
    <s v="TECULFN2"/>
    <s v="Electric Standing Desk  En L Frame Negro 2.0"/>
    <n v="1"/>
    <x v="1"/>
    <s v="Bogotá y alrededores"/>
    <s v="Soacha"/>
    <x v="0"/>
    <s v="Coordinadora"/>
    <s v="3293085 -84151216809"/>
    <d v="2025-05-07T00:00:00"/>
    <d v="2025-05-10T00:00:00"/>
    <s v="Entregado"/>
    <n v="1"/>
    <n v="4"/>
    <s v="Cumple"/>
    <n v="62530"/>
    <m/>
  </r>
  <r>
    <d v="2025-05-06T00:00:00"/>
    <x v="4"/>
    <n v="2547"/>
    <x v="0"/>
    <s v="Cristhian Camilo Castro Melo"/>
    <s v="TECUTLCCS"/>
    <s v="Superficie  en L Caramelo 180x150cm x 70"/>
    <n v="1"/>
    <x v="2"/>
    <s v="Bogotá y alrededores"/>
    <s v="Soacha"/>
    <x v="0"/>
    <s v="Coordinadora"/>
    <s v="3293087 -84151216810"/>
    <d v="2025-05-07T00:00:00"/>
    <d v="2025-05-09T00:00:00"/>
    <s v="Entregado"/>
    <n v="1"/>
    <n v="3"/>
    <s v="Cumple"/>
    <n v="26749"/>
    <m/>
  </r>
  <r>
    <d v="2025-05-07T00:00:00"/>
    <x v="4"/>
    <n v="2548"/>
    <x v="0"/>
    <s v="Pedro Vallejo Seade"/>
    <s v="TECU2FNG"/>
    <s v="Electric Standing Desk GO Negro"/>
    <n v="1"/>
    <x v="1"/>
    <s v="Bogotá y alrededores"/>
    <s v="Bogota"/>
    <x v="0"/>
    <s v="Coordinadora"/>
    <s v="3293346 -84151216936"/>
    <d v="2025-05-07T00:00:00"/>
    <d v="2025-05-08T00:00:00"/>
    <s v="Entregado"/>
    <n v="0"/>
    <n v="1"/>
    <s v="Cumple"/>
    <n v="41593"/>
    <m/>
  </r>
  <r>
    <d v="2025-05-07T00:00:00"/>
    <x v="4"/>
    <n v="2548"/>
    <x v="0"/>
    <s v="Pedro Vallejo Seade"/>
    <s v="TECUTCO2C"/>
    <s v="Superficie  Caramelo 120x70 Clasico Small"/>
    <n v="1"/>
    <x v="2"/>
    <s v="Bogotá y alrededores"/>
    <s v="Bogota"/>
    <x v="0"/>
    <s v="Coordinadora"/>
    <s v="3293348 -84151216938"/>
    <d v="2025-05-07T00:00:00"/>
    <d v="2025-05-10T00:00:00"/>
    <s v="Entregado"/>
    <n v="0"/>
    <n v="3"/>
    <s v="Cumple"/>
    <n v="24093"/>
    <m/>
  </r>
  <r>
    <d v="2025-05-07T00:00:00"/>
    <x v="4"/>
    <n v="2548"/>
    <x v="0"/>
    <s v="Pedro Vallejo Seade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5-07T00:00:00"/>
    <x v="4"/>
    <n v="2549"/>
    <x v="0"/>
    <s v="Juan Angulo"/>
    <s v="TECUDSN"/>
    <s v="Desk Stool Negra Silla ajustable"/>
    <n v="1"/>
    <x v="4"/>
    <s v="Atlantico"/>
    <s v="Barranquilla"/>
    <x v="0"/>
    <s v="Coordinadora"/>
    <s v="3293276 -84151216896"/>
    <d v="2025-05-07T00:00:00"/>
    <d v="2025-05-09T00:00:00"/>
    <s v="Entregado"/>
    <n v="0"/>
    <n v="2"/>
    <s v="Cumple"/>
    <n v="40942"/>
    <m/>
  </r>
  <r>
    <d v="2025-05-07T00:00:00"/>
    <x v="4"/>
    <n v="2549"/>
    <x v="0"/>
    <s v="Juan Angulo"/>
    <s v="TECUDSG"/>
    <s v="Desk Stool Gris Silla ajustable"/>
    <n v="1"/>
    <x v="4"/>
    <s v="Atlantico"/>
    <s v="Barranquilla"/>
    <x v="0"/>
    <s v="Coordinadora"/>
    <s v="3293285 -84151216902"/>
    <d v="2025-05-07T00:00:00"/>
    <d v="2025-05-09T00:00:00"/>
    <s v="Entregado"/>
    <n v="0"/>
    <n v="2"/>
    <s v="Cumple"/>
    <n v="40942"/>
    <m/>
  </r>
  <r>
    <d v="2025-05-07T00:00:00"/>
    <x v="4"/>
    <n v="2549"/>
    <x v="0"/>
    <s v="Juan Angulo"/>
    <s v="TECUCT"/>
    <s v="Bandeja de cables"/>
    <n v="1"/>
    <x v="0"/>
    <s v="Atlantico"/>
    <s v="Barranquilla"/>
    <x v="0"/>
    <s v="Coordinadora"/>
    <s v="3293294 -84151216907"/>
    <d v="2025-05-07T00:00:00"/>
    <d v="2025-05-09T00:00:00"/>
    <s v="Entregado"/>
    <n v="0"/>
    <n v="2"/>
    <s v="Cumple"/>
    <n v="24885"/>
    <m/>
  </r>
  <r>
    <d v="2025-05-07T00:00:00"/>
    <x v="4"/>
    <n v="2550"/>
    <x v="0"/>
    <s v="Benjamin Norman Baron"/>
    <s v="TECU3FNPRO"/>
    <s v="Electric Standing Desk  PRO Negro"/>
    <n v="1"/>
    <x v="1"/>
    <s v="Antioquia"/>
    <s v="Retiro"/>
    <x v="0"/>
    <s v="Coordinadora"/>
    <s v="3299173 -84151219490"/>
    <d v="2025-05-09T00:00:00"/>
    <d v="2025-05-10T00:00:00"/>
    <s v="Entregado"/>
    <n v="2"/>
    <n v="3"/>
    <s v="Cumple"/>
    <n v="42921"/>
    <m/>
  </r>
  <r>
    <d v="2025-05-07T00:00:00"/>
    <x v="4"/>
    <n v="2550"/>
    <x v="0"/>
    <s v="Benjamin Norman Baron"/>
    <s v="TECU-BMUSRN"/>
    <s v="Superficie  Music Roble Negro"/>
    <n v="1"/>
    <x v="2"/>
    <s v="Antioquia"/>
    <s v="Retiro"/>
    <x v="0"/>
    <s v="Coordinadora"/>
    <s v="3299174 -84151219491"/>
    <d v="2025-05-09T00:00:00"/>
    <d v="2025-05-10T00:00:00"/>
    <s v="Entregado"/>
    <n v="2"/>
    <n v="3"/>
    <s v="Cumple"/>
    <n v="26749"/>
    <m/>
  </r>
  <r>
    <d v="2025-05-08T00:00:00"/>
    <x v="4"/>
    <n v="2551"/>
    <x v="0"/>
    <s v="EDDY BENEDICTA PEÑA MORENO"/>
    <s v="TECUCT"/>
    <s v="Bandeja de cables"/>
    <n v="1"/>
    <x v="0"/>
    <s v="Antioquia"/>
    <s v="Medellin"/>
    <x v="0"/>
    <s v="Coordinadora"/>
    <s v="3299184 -84151219494"/>
    <d v="2025-05-09T00:00:00"/>
    <d v="2025-05-10T00:00:00"/>
    <s v="Entregado"/>
    <n v="1"/>
    <n v="2"/>
    <s v="Cumple"/>
    <n v="27929"/>
    <m/>
  </r>
  <r>
    <d v="2025-05-09T00:00:00"/>
    <x v="4"/>
    <n v="2552"/>
    <x v="0"/>
    <s v="Christian Rodríguez Caicedo"/>
    <s v="TECU3FNPRO"/>
    <s v="Electric Standing Desk  PRO Negro"/>
    <n v="1"/>
    <x v="1"/>
    <s v="Bogotá y alrededores"/>
    <s v="Bogota"/>
    <x v="0"/>
    <s v="Coordinadora"/>
    <s v="3299911 -84151219835"/>
    <d v="2025-05-09T00:00:00"/>
    <d v="2025-05-10T00:00:00"/>
    <s v="Entregado"/>
    <n v="0"/>
    <n v="1"/>
    <s v="Cumple"/>
    <n v="42921"/>
    <m/>
  </r>
  <r>
    <d v="2025-05-09T00:00:00"/>
    <x v="4"/>
    <n v="2552"/>
    <x v="0"/>
    <s v="Christian Rodríguez Caicedo"/>
    <s v="TECUTFE6C"/>
    <s v="Superficie  Fresno Europeo 160x70 Clasico"/>
    <n v="1"/>
    <x v="2"/>
    <s v="Bogotá y alrededores"/>
    <s v="Bogota"/>
    <x v="0"/>
    <s v="Coordinadora"/>
    <s v="3299912 -84151219837"/>
    <d v="2025-05-09T00:00:00"/>
    <d v="2025-05-12T00:00:00"/>
    <s v="Entregado"/>
    <n v="0"/>
    <n v="2"/>
    <s v="Cumple"/>
    <n v="24093"/>
    <m/>
  </r>
  <r>
    <d v="2025-05-09T00:00:00"/>
    <x v="4"/>
    <n v="2552"/>
    <x v="0"/>
    <s v="Christian Rodríguez Caicedo"/>
    <s v="TECUAFE"/>
    <s v="Archivador TECU Fresno Europeo"/>
    <n v="1"/>
    <x v="5"/>
    <s v="Bogotá y alrededores"/>
    <s v="Bogota"/>
    <x v="0"/>
    <s v="Envia"/>
    <s v="3312736 -954101215391"/>
    <d v="2025-05-14T00:00:00"/>
    <d v="2025-05-15T00:00:00"/>
    <s v="Entregado"/>
    <n v="4"/>
    <n v="5"/>
    <s v="No cumple"/>
    <n v="54929"/>
    <m/>
  </r>
  <r>
    <d v="2025-05-09T00:00:00"/>
    <x v="4"/>
    <n v="2552"/>
    <x v="0"/>
    <s v="Christian Rodríguez Caicedo"/>
    <s v="TECUCT"/>
    <s v="Bandeja de cables"/>
    <n v="1"/>
    <x v="0"/>
    <s v="Bogotá y alrededores"/>
    <s v="Bogota"/>
    <x v="0"/>
    <s v="Coordinadora"/>
    <s v="3299916 -84151219838"/>
    <d v="2025-05-09T00:00:00"/>
    <d v="2025-05-10T00:00:00"/>
    <s v="Entregado"/>
    <n v="0"/>
    <n v="1"/>
    <s v="Cumple"/>
    <n v="24885"/>
    <m/>
  </r>
  <r>
    <d v="2025-05-10T00:00:00"/>
    <x v="4"/>
    <n v="2553"/>
    <x v="0"/>
    <s v="Sergio Vladimir Garcia Galvis"/>
    <s v="TECU3FNPRO"/>
    <s v="Electric Standing Desk  PRO Negro"/>
    <n v="1"/>
    <x v="1"/>
    <s v="Bogotá y alrededores"/>
    <s v="Bogota"/>
    <x v="0"/>
    <s v="Coordinadora"/>
    <s v="3304708 -84151222141"/>
    <d v="2025-05-12T00:00:00"/>
    <d v="2025-05-13T00:00:00"/>
    <s v="Entregado"/>
    <n v="1"/>
    <n v="2"/>
    <s v="Cumple"/>
    <n v="42921"/>
    <m/>
  </r>
  <r>
    <d v="2025-05-10T00:00:00"/>
    <x v="4"/>
    <n v="2553"/>
    <x v="0"/>
    <s v="Sergio Vladimir Garcia Galvis"/>
    <s v="TECUTCO7C"/>
    <s v="Superficie  Caramelo 170x70 Clasico"/>
    <n v="1"/>
    <x v="2"/>
    <s v="Bogotá y alrededores"/>
    <s v="Bogota"/>
    <x v="0"/>
    <s v="Coordinadora"/>
    <s v="3304710 -84151222143"/>
    <d v="2025-05-12T00:00:00"/>
    <d v="2025-05-13T00:00:00"/>
    <s v="Entregado"/>
    <n v="1"/>
    <n v="2"/>
    <s v="Cumple"/>
    <n v="24093"/>
    <m/>
  </r>
  <r>
    <d v="2025-05-10T00:00:00"/>
    <x v="4"/>
    <n v="2554"/>
    <x v="0"/>
    <s v="Jessica Riano"/>
    <s v="TECU2FNG"/>
    <s v="Electric Standing Desk GO Negro"/>
    <n v="1"/>
    <x v="1"/>
    <s v="Bogotá y alrededores"/>
    <s v="Bogota"/>
    <x v="0"/>
    <s v="Coordinadora"/>
    <s v="3304674 -84151222130"/>
    <d v="2025-05-12T00:00:00"/>
    <d v="2025-05-13T00:00:00"/>
    <s v="Entregado"/>
    <n v="1"/>
    <n v="2"/>
    <s v="Cumple"/>
    <n v="41593"/>
    <m/>
  </r>
  <r>
    <d v="2025-05-10T00:00:00"/>
    <x v="4"/>
    <n v="2554"/>
    <x v="0"/>
    <s v="Jessica Riano"/>
    <s v="TECUTCO2C"/>
    <s v="Superficie  Caramelo 120x70 Clasico Small"/>
    <n v="1"/>
    <x v="2"/>
    <s v="Bogotá y alrededores"/>
    <s v="Bogota"/>
    <x v="0"/>
    <s v="Coordinadora"/>
    <s v="3304677 -84151222133"/>
    <d v="2025-05-12T00:00:00"/>
    <d v="2025-05-14T00:00:00"/>
    <s v="Entregado"/>
    <n v="1"/>
    <n v="3"/>
    <s v="Cumple"/>
    <n v="24093"/>
    <m/>
  </r>
  <r>
    <d v="2025-05-11T00:00:00"/>
    <x v="4"/>
    <n v="2555"/>
    <x v="0"/>
    <s v="Anwar Chehade"/>
    <s v="TECU2FBGO"/>
    <s v="Electric Standing Desk GO Blanco"/>
    <n v="1"/>
    <x v="1"/>
    <s v="Bogotá y alrededores"/>
    <s v="Bogota"/>
    <x v="0"/>
    <s v="Coordinadora"/>
    <s v="3305441 -84151222584"/>
    <d v="2025-05-12T00:00:00"/>
    <d v="2025-05-13T00:00:00"/>
    <s v="Entregado"/>
    <n v="0"/>
    <n v="1"/>
    <s v="Cumple"/>
    <n v="41593"/>
    <m/>
  </r>
  <r>
    <d v="2025-05-11T00:00:00"/>
    <x v="4"/>
    <n v="2555"/>
    <x v="0"/>
    <s v="Anwar Chehade"/>
    <s v="TECUTB2C"/>
    <s v="Superficie Niebla 120x70 Clasico Small"/>
    <n v="1"/>
    <x v="2"/>
    <s v="Bogotá y alrededores"/>
    <s v="Bogota"/>
    <x v="0"/>
    <s v="Coordinadora"/>
    <s v="3305443 -84151222586"/>
    <d v="2025-05-12T00:00:00"/>
    <d v="2025-05-14T00:00:00"/>
    <s v="Entregado"/>
    <n v="0"/>
    <n v="2"/>
    <s v="Cumple"/>
    <n v="24093"/>
    <m/>
  </r>
  <r>
    <d v="2025-05-11T00:00:00"/>
    <x v="4"/>
    <n v="2555"/>
    <x v="0"/>
    <s v="Anwar Chehade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5-12T00:00:00"/>
    <x v="4"/>
    <n v="2556"/>
    <x v="0"/>
    <s v="Felipe Gomez Castano"/>
    <s v="TECU3FBRO"/>
    <s v="Electric Standing Desk  PRO Blanco"/>
    <n v="1"/>
    <x v="1"/>
    <s v="Antioquia"/>
    <s v="Carmen de Viboral"/>
    <x v="0"/>
    <s v="Coordinadora"/>
    <s v="3306649 -84151223326"/>
    <d v="2025-05-12T00:00:00"/>
    <d v="2025-05-13T00:00:00"/>
    <s v="Entregado"/>
    <n v="0"/>
    <n v="1"/>
    <s v="Cumple"/>
    <n v="47921"/>
    <m/>
  </r>
  <r>
    <d v="2025-05-12T00:00:00"/>
    <x v="4"/>
    <n v="2556"/>
    <x v="0"/>
    <s v="Felipe Gomez Castano"/>
    <s v="TECUTFE3C"/>
    <s v="Superficie  Fresno Europeo 130x70 Clasico"/>
    <n v="1"/>
    <x v="2"/>
    <s v="Antioquia"/>
    <s v="Carmen de Viboral"/>
    <x v="0"/>
    <s v="Coordinadora"/>
    <s v="3306728 -84151223369"/>
    <d v="2025-05-12T00:00:00"/>
    <d v="2025-05-13T00:00:00"/>
    <s v="Entregado"/>
    <n v="0"/>
    <n v="1"/>
    <s v="Cumple"/>
    <n v="27929"/>
    <m/>
  </r>
  <r>
    <d v="2025-05-12T00:00:00"/>
    <x v="4"/>
    <n v="2557"/>
    <x v="0"/>
    <s v="Jerson Mendoza"/>
    <s v="TECU3FBRO"/>
    <s v="Electric Standing Desk  PRO Blanco"/>
    <n v="1"/>
    <x v="1"/>
    <s v="Antioquia"/>
    <s v="Medellin"/>
    <x v="0"/>
    <s v="Coordinadora"/>
    <s v="3305206 -84151222430"/>
    <d v="2025-05-12T00:00:00"/>
    <d v="2025-05-13T00:00:00"/>
    <s v="Entregado"/>
    <n v="0"/>
    <n v="1"/>
    <s v="Cumple"/>
    <n v="42921"/>
    <m/>
  </r>
  <r>
    <d v="2025-05-12T00:00:00"/>
    <x v="4"/>
    <n v="2557"/>
    <x v="0"/>
    <s v="Jerson Mendoza"/>
    <m/>
    <s v="Servicio de instalacion"/>
    <n v="1"/>
    <x v="3"/>
    <s v="Antioquia"/>
    <s v="Medellin"/>
    <x v="1"/>
    <s v="NA"/>
    <s v="NA"/>
    <s v="NA"/>
    <s v="NA"/>
    <s v="Entregado"/>
    <s v="PTE"/>
    <e v="#VALUE!"/>
    <e v="#VALUE!"/>
    <n v="0"/>
    <m/>
  </r>
  <r>
    <d v="2025-05-12T00:00:00"/>
    <x v="4"/>
    <n v="2558"/>
    <x v="0"/>
    <s v="Carlos Eduardo Cortes Gomez"/>
    <s v="TECU3FNCRO"/>
    <s v="Electric Standing Desk  PRO Negro circular"/>
    <n v="1"/>
    <x v="1"/>
    <s v="Bogotá y alrededores"/>
    <s v="Bogota"/>
    <x v="0"/>
    <s v="Coordinadora"/>
    <s v="3312804 -84151226481"/>
    <d v="2025-05-14T00:00:00"/>
    <d v="2025-05-16T00:00:00"/>
    <s v="Entregado"/>
    <n v="2"/>
    <n v="4"/>
    <s v="No cumple"/>
    <n v="42921"/>
    <m/>
  </r>
  <r>
    <d v="2025-05-12T00:00:00"/>
    <x v="4"/>
    <n v="2558"/>
    <x v="0"/>
    <s v="Carlos Eduardo Cortes Gomez"/>
    <s v="TECUTCO5C"/>
    <s v="Superficie Caramelo 150x70 Clasico"/>
    <n v="1"/>
    <x v="2"/>
    <s v="Bogotá y alrededores"/>
    <s v="Bogota"/>
    <x v="0"/>
    <s v="Coordinadora"/>
    <s v="3312805 -84151226482"/>
    <d v="2025-05-14T00:00:00"/>
    <d v="2025-05-16T00:00:00"/>
    <s v="Entregado"/>
    <n v="2"/>
    <n v="4"/>
    <s v="No cumple"/>
    <n v="24093"/>
    <m/>
  </r>
  <r>
    <d v="2025-05-12T00:00:00"/>
    <x v="4"/>
    <n v="2558"/>
    <x v="0"/>
    <s v="Carlos Eduardo Cortes Gomez"/>
    <s v="TECUBLS"/>
    <s v="Laptop Stand B"/>
    <n v="1"/>
    <x v="0"/>
    <s v="Bogotá y alrededores"/>
    <s v="Bogota"/>
    <x v="0"/>
    <s v="Coordinadora"/>
    <s v="3312815 -84151226486"/>
    <d v="2025-05-14T00:00:00"/>
    <d v="2025-05-15T00:00:00"/>
    <s v="Entregado"/>
    <n v="2"/>
    <n v="3"/>
    <s v="Cumple"/>
    <n v="24885"/>
    <m/>
  </r>
  <r>
    <d v="2025-05-12T00:00:00"/>
    <x v="4"/>
    <n v="2558"/>
    <x v="0"/>
    <s v="Carlos Eduardo Cortes Gomez"/>
    <m/>
    <s v="Servicio de instalacion"/>
    <n v="1"/>
    <x v="3"/>
    <s v="Bogotá y alrededores"/>
    <s v="Bogota"/>
    <x v="1"/>
    <s v="NA"/>
    <s v="NA"/>
    <s v="NA"/>
    <s v="NA"/>
    <s v="Entregado"/>
    <s v="PTE"/>
    <e v="#VALUE!"/>
    <e v="#VALUE!"/>
    <n v="0"/>
    <m/>
  </r>
  <r>
    <d v="2025-05-13T00:00:00"/>
    <x v="4"/>
    <n v="2559"/>
    <x v="0"/>
    <s v="LIONTECH S.A.S"/>
    <s v="TECU3FNCRO"/>
    <s v="Electric Standing Desk  PRO Negro circular"/>
    <n v="1"/>
    <x v="1"/>
    <s v="Bogotá y alrededores"/>
    <s v="Bogota"/>
    <x v="0"/>
    <s v="Coordinadora"/>
    <s v="3314209 -84151227311"/>
    <d v="2025-05-14T00:00:00"/>
    <d v="2025-05-15T00:00:00"/>
    <s v="Entregado"/>
    <n v="1"/>
    <n v="2"/>
    <s v="Cumple"/>
    <n v="42921"/>
    <m/>
  </r>
  <r>
    <d v="2025-05-13T00:00:00"/>
    <x v="4"/>
    <n v="2559"/>
    <x v="0"/>
    <s v="LIONTECH S.A.S"/>
    <s v="TECUTCO8C"/>
    <s v="Superficie  Caramelo 180x70 Clasico"/>
    <n v="1"/>
    <x v="2"/>
    <s v="Bogotá y alrededores"/>
    <s v="Bogota"/>
    <x v="0"/>
    <s v="Coordinadora"/>
    <s v="3314210 -84151227312"/>
    <d v="2025-05-14T00:00:00"/>
    <d v="2025-05-16T00:00:00"/>
    <s v="Entregado"/>
    <n v="1"/>
    <n v="3"/>
    <s v="Cumple"/>
    <n v="26749"/>
    <m/>
  </r>
  <r>
    <d v="2025-05-13T00:00:00"/>
    <x v="4"/>
    <n v="2559"/>
    <x v="0"/>
    <s v="LIONTECH S.A.S"/>
    <s v="TECUCT"/>
    <s v="Bandeja de cables"/>
    <n v="1"/>
    <x v="0"/>
    <s v="Bogotá y alrededores"/>
    <s v="Bogota"/>
    <x v="0"/>
    <s v="Coordinadora"/>
    <s v="3314227 -84151227322"/>
    <d v="2025-05-14T00:00:00"/>
    <d v="2025-05-15T00:00:00"/>
    <s v="Entregado"/>
    <n v="1"/>
    <n v="2"/>
    <s v="Cumple"/>
    <n v="24885"/>
    <m/>
  </r>
  <r>
    <d v="2025-05-13T00:00:00"/>
    <x v="4"/>
    <n v="2560"/>
    <x v="0"/>
    <s v="Margarita Reyes &amp; HUSKY IMS COLOMBIA LTD."/>
    <s v="TECU3FNPRO"/>
    <s v="Electric Standing Desk  PRO Negro"/>
    <n v="1"/>
    <x v="1"/>
    <s v="Bogotá y alrededores"/>
    <s v="Bogota"/>
    <x v="2"/>
    <s v="Coordinadora"/>
    <m/>
    <m/>
    <m/>
    <s v="En transito"/>
    <s v="PTE"/>
    <m/>
    <s v="PTE"/>
    <m/>
    <m/>
  </r>
  <r>
    <d v="2025-05-13T00:00:00"/>
    <x v="4"/>
    <n v="2560"/>
    <x v="0"/>
    <s v="Margarita Reyes &amp; HUSKY IMS COLOMBIA LTD."/>
    <s v="TECUTRM8C"/>
    <s v="Superficie Roble Miel 180x70 Clasico"/>
    <n v="1"/>
    <x v="2"/>
    <s v="Bogotá y alrededores"/>
    <s v="Bogota"/>
    <x v="2"/>
    <s v="Coordinadora"/>
    <m/>
    <m/>
    <m/>
    <s v="En transito"/>
    <s v="PTE"/>
    <m/>
    <s v="PTE"/>
    <m/>
    <m/>
  </r>
  <r>
    <d v="2025-05-13T00:00:00"/>
    <x v="4"/>
    <n v="2560"/>
    <x v="0"/>
    <s v="Margarita Reyes &amp; HUSKY IMS COLOMBIA LTD."/>
    <s v="TECUCT"/>
    <s v="Bandeja de cables"/>
    <n v="1"/>
    <x v="0"/>
    <s v="Bogotá y alrededores"/>
    <s v="Bogota"/>
    <x v="2"/>
    <s v="Coordinadora"/>
    <m/>
    <m/>
    <m/>
    <s v="En transito"/>
    <s v="PTE"/>
    <m/>
    <s v="PTE"/>
    <m/>
    <m/>
  </r>
  <r>
    <d v="2025-05-13T00:00:00"/>
    <x v="4"/>
    <n v="2560"/>
    <x v="0"/>
    <s v="Margarita Reyes &amp; HUSKY IMS COLOMBIA LTD."/>
    <s v="TECUROD"/>
    <s v="Rodachines con freno para Standing desk x 4 UN"/>
    <n v="1"/>
    <x v="7"/>
    <s v="Bogotá y alrededores"/>
    <s v="Bogota"/>
    <x v="2"/>
    <s v="Coordinadora"/>
    <m/>
    <m/>
    <m/>
    <s v="En transito"/>
    <s v="PTE"/>
    <m/>
    <s v="PTE"/>
    <m/>
    <m/>
  </r>
  <r>
    <d v="2025-05-13T00:00:00"/>
    <x v="4"/>
    <n v="2560"/>
    <x v="0"/>
    <s v="Margarita Reyes &amp; HUSKY IMS COLOMBIA LTD."/>
    <s v="TECUBDPA"/>
    <s v="Desk Pad B Negro Azul"/>
    <n v="1"/>
    <x v="0"/>
    <s v="Bogotá y alrededores"/>
    <s v="Bogota"/>
    <x v="2"/>
    <s v="Coordinadora"/>
    <m/>
    <m/>
    <m/>
    <s v="En transito"/>
    <s v="PTE"/>
    <m/>
    <s v="PTE"/>
    <m/>
    <m/>
  </r>
  <r>
    <d v="2025-05-13T00:00:00"/>
    <x v="4"/>
    <n v="2560"/>
    <x v="0"/>
    <s v="Margarita Reyes &amp; HUSKY IMS COLOMBIA LTD."/>
    <s v="TECUBLS"/>
    <s v="Laptop Stand B"/>
    <n v="1"/>
    <x v="0"/>
    <s v="Bogotá y alrededores"/>
    <s v="Bogota"/>
    <x v="2"/>
    <s v="Coordinadora"/>
    <m/>
    <m/>
    <m/>
    <s v="En transito"/>
    <s v="PTE"/>
    <m/>
    <s v="PTE"/>
    <m/>
    <m/>
  </r>
  <r>
    <d v="2025-05-13T00:00:00"/>
    <x v="4"/>
    <n v="2560"/>
    <x v="0"/>
    <s v="Margarita Reyes &amp; HUSKY IMS COLOMBIA LTD."/>
    <s v="TECUAN"/>
    <s v="Archivador TECU  Negro"/>
    <n v="1"/>
    <x v="5"/>
    <s v="Bogotá y alrededores"/>
    <s v="Bogota"/>
    <x v="2"/>
    <s v="Envia"/>
    <m/>
    <m/>
    <m/>
    <s v="En transito"/>
    <s v="PTE"/>
    <m/>
    <s v="PTE"/>
    <m/>
    <m/>
  </r>
  <r>
    <d v="2025-05-14T00:00:00"/>
    <x v="4"/>
    <n v="2561"/>
    <x v="0"/>
    <s v="Sergio Vladimir Garcia Galvis"/>
    <s v="TECUDSN"/>
    <s v="Desk Stool Negra Silla ajustable"/>
    <n v="1"/>
    <x v="4"/>
    <s v="Bogotá y alrededores"/>
    <s v="Bogota"/>
    <x v="0"/>
    <s v="Coordinadora"/>
    <s v="3314531 -84151227501"/>
    <d v="2025-05-14T00:00:00"/>
    <d v="2025-05-15T00:00:00"/>
    <s v="Entregado"/>
    <n v="0"/>
    <n v="1"/>
    <s v="Cumple"/>
    <n v="26609"/>
    <m/>
  </r>
  <r>
    <d v="2025-05-14T00:00:00"/>
    <x v="4"/>
    <n v="2562"/>
    <x v="0"/>
    <s v="Luis Michel Trujillo"/>
    <s v="TECU3FNPRO"/>
    <s v="Electric Standing Desk  PRO Negro"/>
    <n v="1"/>
    <x v="1"/>
    <s v="Caldas"/>
    <s v="Manizales"/>
    <x v="0"/>
    <s v="Coordinadora"/>
    <s v="3316912 -84151228610"/>
    <d v="2025-05-15T00:00:00"/>
    <d v="2025-05-26T00:00:00"/>
    <s v="Entregado"/>
    <n v="1"/>
    <n v="10"/>
    <s v="No cumple"/>
    <n v="34953"/>
    <m/>
  </r>
  <r>
    <d v="2025-05-14T00:00:00"/>
    <x v="4"/>
    <n v="2562"/>
    <x v="0"/>
    <s v="Luis Michel Trujillo"/>
    <s v="TECUTFE5C"/>
    <s v="Superficie  Fresno Europeo 150x70 Clasico"/>
    <n v="1"/>
    <x v="2"/>
    <s v="Caldas"/>
    <s v="Manizales"/>
    <x v="0"/>
    <s v="Coordinadora"/>
    <s v="3316913 -84151228611"/>
    <d v="2025-05-15T00:00:00"/>
    <d v="2025-05-27T00:00:00"/>
    <s v="Entregado"/>
    <n v="1"/>
    <n v="11"/>
    <s v="No cumple"/>
    <n v="15194"/>
    <m/>
  </r>
  <r>
    <d v="2025-05-15T00:00:00"/>
    <x v="4"/>
    <n v="2563"/>
    <x v="0"/>
    <s v="Diego Bellon"/>
    <s v="TECUBDPA"/>
    <s v="Desk Pad B Negro Azul"/>
    <n v="1"/>
    <x v="0"/>
    <s v="Bogotá y alrededores"/>
    <s v="Cajica"/>
    <x v="0"/>
    <s v="Coordinadora"/>
    <s v="3318734 -84151229697"/>
    <d v="2025-05-15T00:00:00"/>
    <d v="2025-05-17T00:00:00"/>
    <s v="Entregado"/>
    <n v="0"/>
    <n v="2"/>
    <s v="Cumple"/>
    <n v="16617"/>
    <m/>
  </r>
  <r>
    <d v="2025-05-15T00:00:00"/>
    <x v="4"/>
    <n v="2563"/>
    <x v="0"/>
    <s v="Diego Bellon"/>
    <s v="TECURFE"/>
    <s v="Repisa TECU Fresno Europeo"/>
    <n v="1"/>
    <x v="6"/>
    <s v="Bogotá y alrededores"/>
    <s v="Cajica"/>
    <x v="0"/>
    <s v="Coordinadora"/>
    <s v="3318738 -84151229700"/>
    <d v="2025-05-15T00:00:00"/>
    <d v="2025-05-17T00:00:00"/>
    <s v="Entregado"/>
    <n v="0"/>
    <n v="2"/>
    <s v="Cumple"/>
    <n v="23429"/>
    <m/>
  </r>
  <r>
    <d v="2025-05-18T00:00:00"/>
    <x v="4"/>
    <n v="2564"/>
    <x v="0"/>
    <s v="Angelica Obregon"/>
    <s v="TECU3FBRO"/>
    <s v="Electric Standing Desk  PRO Blanco"/>
    <n v="1"/>
    <x v="1"/>
    <s v="Valle del Cauca"/>
    <s v="Cali"/>
    <x v="0"/>
    <s v="Coordinadora"/>
    <s v="3329190 -84151234549"/>
    <d v="2025-05-19T00:00:00"/>
    <d v="2025-05-20T00:00:00"/>
    <s v="Entregado"/>
    <n v="0"/>
    <n v="1"/>
    <s v="Cumple"/>
    <n v="42921"/>
    <m/>
  </r>
  <r>
    <d v="2025-05-18T00:00:00"/>
    <x v="4"/>
    <n v="2564"/>
    <x v="0"/>
    <s v="Angelica Obregon"/>
    <s v="TECUTB6C"/>
    <s v="Superficie Niebla 160x70 Clasico"/>
    <n v="1"/>
    <x v="2"/>
    <s v="Valle del Cauca"/>
    <s v="Cali"/>
    <x v="0"/>
    <s v="Coordinadora"/>
    <s v="3329191 -84151234550"/>
    <d v="2025-05-19T00:00:00"/>
    <d v="2025-05-20T00:00:00"/>
    <s v="Entregado"/>
    <n v="0"/>
    <n v="1"/>
    <s v="Cumple"/>
    <n v="24093"/>
    <m/>
  </r>
  <r>
    <d v="2025-05-19T00:00:00"/>
    <x v="4"/>
    <n v="2565"/>
    <x v="0"/>
    <s v="Jason Cubides"/>
    <s v="TECU3FNCRO"/>
    <s v="Electric Standing Desk  PRO Negro circular"/>
    <n v="1"/>
    <x v="1"/>
    <s v="Bogotá y alrededores"/>
    <s v="Bogota"/>
    <x v="0"/>
    <s v="Coordinadora"/>
    <s v="3329210 -84151234561"/>
    <d v="2025-05-19T00:00:00"/>
    <d v="2025-05-20T00:00:00"/>
    <s v="Entregado"/>
    <n v="0"/>
    <n v="1"/>
    <s v="Cumple"/>
    <n v="42921"/>
    <m/>
  </r>
  <r>
    <d v="2025-05-19T00:00:00"/>
    <x v="4"/>
    <n v="2565"/>
    <x v="0"/>
    <s v="Jason Cubides"/>
    <s v="TECUTRN6C"/>
    <s v="Superficie  Roble Negro 160x70 Clasico"/>
    <n v="1"/>
    <x v="2"/>
    <s v="Bogotá y alrededores"/>
    <s v="Bogota"/>
    <x v="0"/>
    <s v="Coordinadora"/>
    <s v="3329211 -84151234562"/>
    <d v="2025-05-19T00:00:00"/>
    <d v="2025-05-21T00:00:00"/>
    <s v="Entregado"/>
    <n v="0"/>
    <n v="2"/>
    <s v="Cumple"/>
    <n v="24093"/>
    <m/>
  </r>
  <r>
    <d v="2025-05-21T00:00:00"/>
    <x v="4"/>
    <n v="2566"/>
    <x v="0"/>
    <s v="Juan Sebastian Quijano Rodriguez"/>
    <s v="TECU3FNCRO"/>
    <s v="Electric Standing Desk  PRO Negro circular"/>
    <n v="1"/>
    <x v="1"/>
    <s v="Bogotá y alrededores"/>
    <s v="Bogota"/>
    <x v="0"/>
    <s v="Coordinadora"/>
    <s v="3336854 -84151238405"/>
    <d v="2025-05-21T00:00:00"/>
    <d v="2025-05-22T00:00:00"/>
    <s v="Entregado"/>
    <n v="0"/>
    <n v="1"/>
    <s v="Cumple"/>
    <n v="42921"/>
    <m/>
  </r>
  <r>
    <d v="2025-05-21T00:00:00"/>
    <x v="4"/>
    <n v="2566"/>
    <x v="0"/>
    <s v="Juan Sebastian Quijano Rodriguez"/>
    <s v="TECUTCO3C"/>
    <s v="Superficie Caramelo 130x70 Clasico"/>
    <n v="1"/>
    <x v="2"/>
    <s v="Bogotá y alrededores"/>
    <s v="Bogota"/>
    <x v="0"/>
    <s v="Coordinadora"/>
    <s v="3336855 -84151238406"/>
    <d v="2025-05-21T00:00:00"/>
    <d v="2025-05-22T00:00:00"/>
    <s v="Entregado"/>
    <n v="0"/>
    <n v="1"/>
    <s v="Cumple"/>
    <n v="28741"/>
    <m/>
  </r>
  <r>
    <d v="2025-05-21T00:00:00"/>
    <x v="4"/>
    <n v="2566"/>
    <x v="0"/>
    <s v="Juan Sebastian Quijano Rodriguez"/>
    <s v="TECUDSN"/>
    <s v="Desk Stool Negra Silla ajustable"/>
    <n v="1"/>
    <x v="4"/>
    <s v="Bogotá y alrededores"/>
    <s v="Bogota"/>
    <x v="0"/>
    <s v="Coordinadora"/>
    <s v="3336868 -84151238412"/>
    <d v="2025-05-21T00:00:00"/>
    <d v="2025-05-22T00:00:00"/>
    <s v="Entregado"/>
    <n v="0"/>
    <n v="1"/>
    <s v="Cumple"/>
    <n v="26609"/>
    <m/>
  </r>
  <r>
    <d v="2025-05-21T00:00:00"/>
    <x v="4"/>
    <n v="2567"/>
    <x v="0"/>
    <s v="Jason Cubides"/>
    <s v="TECUCT"/>
    <s v="Bandeja de cables"/>
    <n v="1"/>
    <x v="0"/>
    <s v="Bogotá y alrededores"/>
    <s v="Bogota"/>
    <x v="0"/>
    <s v="Coordinadora"/>
    <s v="3339519 -84151239641"/>
    <d v="2025-05-22T00:00:00"/>
    <d v="2025-05-24T00:00:00"/>
    <s v="Entregado"/>
    <n v="1"/>
    <n v="3"/>
    <s v="Cumple"/>
    <n v="24885"/>
    <m/>
  </r>
  <r>
    <d v="2025-03-05T00:00:00"/>
    <x v="2"/>
    <n v="2120"/>
    <x v="1"/>
    <s v="Ivo Leonardo Ochoa Galeano"/>
    <s v="TECUROD"/>
    <s v="Rodachines con freno para Standing desk x 4 UN"/>
    <n v="1"/>
    <x v="7"/>
    <s v="Bogotá y alrededores"/>
    <s v="Bogota"/>
    <x v="0"/>
    <s v="Envia"/>
    <s v="3132159 - 954101166134"/>
    <d v="2025-03-05T00:00:00"/>
    <d v="2025-03-06T00:00:00"/>
    <s v="Entregado"/>
    <n v="0"/>
    <m/>
    <s v="Cumple"/>
    <n v="18981"/>
    <m/>
  </r>
  <r>
    <d v="2025-05-23T00:00:00"/>
    <x v="4"/>
    <n v="2568"/>
    <x v="0"/>
    <s v="Alain Bismark"/>
    <s v="TECUROD6"/>
    <s v="Rodachines con freno para Standing desk x 6 UN"/>
    <n v="2"/>
    <x v="7"/>
    <s v="Antioquia"/>
    <s v="Envigado"/>
    <x v="0"/>
    <s v="Coordinadora"/>
    <s v="3342080 -84151240722"/>
    <d v="2025-05-23T00:00:00"/>
    <d v="2025-05-24T00:00:00"/>
    <s v="Entregado"/>
    <n v="0"/>
    <n v="1"/>
    <s v="Cumple"/>
    <n v="23875"/>
    <m/>
  </r>
  <r>
    <d v="2025-05-23T00:00:00"/>
    <x v="4"/>
    <n v="2569"/>
    <x v="0"/>
    <s v="Maria José Pineda Murillo"/>
    <s v="TECU2FNG"/>
    <s v="Electric Standing Desk GO Negro"/>
    <n v="1"/>
    <x v="1"/>
    <s v="Santander"/>
    <s v="Bucaramanga"/>
    <x v="0"/>
    <s v="Coordinadora"/>
    <s v="3342141 -84151240759"/>
    <d v="2025-05-23T00:00:00"/>
    <d v="2025-05-26T00:00:00"/>
    <s v="Entregado"/>
    <n v="0"/>
    <n v="2"/>
    <s v="Cumple"/>
    <n v="56077"/>
    <m/>
  </r>
  <r>
    <d v="2025-05-23T00:00:00"/>
    <x v="4"/>
    <n v="2569"/>
    <x v="0"/>
    <s v="Maria José Pineda Murillo"/>
    <s v="TECUTRN2C"/>
    <s v="Superficie  Roble Negro 120x70 Clasico Small"/>
    <n v="1"/>
    <x v="2"/>
    <s v="Santander"/>
    <s v="Bucaramanga"/>
    <x v="0"/>
    <s v="Coordinadora"/>
    <s v="3342142 -84151240760"/>
    <d v="2025-05-23T00:00:00"/>
    <d v="2025-05-26T00:00:00"/>
    <s v="Entregado"/>
    <n v="0"/>
    <n v="2"/>
    <s v="Cumple"/>
    <n v="41897"/>
    <m/>
  </r>
  <r>
    <d v="2025-05-23T00:00:00"/>
    <x v="4"/>
    <n v="2570"/>
    <x v="0"/>
    <s v="HENRY STIVENS ADARME MUÑOZ"/>
    <s v="TECU3FBCRO"/>
    <s v="Electric Standing Desk  PRO Blanco circular"/>
    <n v="1"/>
    <x v="1"/>
    <s v="Valle del Cauca"/>
    <s v="Palmira"/>
    <x v="0"/>
    <s v="Coordinadora"/>
    <s v="3342475 -84151240946"/>
    <d v="2025-05-23T00:00:00"/>
    <d v="2025-05-24T00:00:00"/>
    <s v="Entregado"/>
    <n v="0"/>
    <n v="1"/>
    <s v="Cumple"/>
    <n v="42921"/>
    <m/>
  </r>
  <r>
    <d v="2025-05-23T00:00:00"/>
    <x v="4"/>
    <n v="2570"/>
    <x v="0"/>
    <s v="HENRY STIVENS ADARME MUÑOZ"/>
    <s v="TECUTFE2C"/>
    <s v="Superficie  Fresno Europeo 120x70 Clasico Small"/>
    <n v="1"/>
    <x v="2"/>
    <s v="Valle del Cauca"/>
    <s v="Palmira"/>
    <x v="0"/>
    <s v="Coordinadora"/>
    <s v="3342476 -84151240947"/>
    <d v="2025-05-23T00:00:00"/>
    <d v="2025-05-24T00:00:00"/>
    <s v="Entregado"/>
    <n v="0"/>
    <n v="1"/>
    <s v="Cumple"/>
    <n v="28741"/>
    <m/>
  </r>
  <r>
    <d v="2025-05-26T00:00:00"/>
    <x v="4"/>
    <n v="2571"/>
    <x v="0"/>
    <s v="Damian Duarte"/>
    <s v="TECULFN2"/>
    <s v="Electric Standing Desk  En L Frame Negro 2.0"/>
    <n v="1"/>
    <x v="1"/>
    <s v="Bogotá y alrededores"/>
    <s v="Funza"/>
    <x v="0"/>
    <s v="Coordinadora"/>
    <s v="3347321 -84151243010"/>
    <d v="2025-05-26T00:00:00"/>
    <d v="2025-05-29T00:00:00"/>
    <s v="Entregado"/>
    <n v="0"/>
    <n v="3"/>
    <s v="Cumple"/>
    <n v="62530"/>
    <m/>
  </r>
  <r>
    <d v="2025-05-26T00:00:00"/>
    <x v="4"/>
    <n v="2571"/>
    <x v="0"/>
    <s v="Damian Duarte"/>
    <s v="TECUTLFES"/>
    <s v="Superficie en L Fresno 180x150cm x 70"/>
    <n v="1"/>
    <x v="2"/>
    <s v="Bogotá y alrededores"/>
    <s v="Funza"/>
    <x v="0"/>
    <s v="Coordinadora"/>
    <s v="3347323 -84151243012"/>
    <d v="2025-05-26T00:00:00"/>
    <d v="2025-05-29T00:00:00"/>
    <s v="Entregado"/>
    <n v="0"/>
    <n v="3"/>
    <s v="Cumple"/>
    <n v="26749"/>
    <m/>
  </r>
  <r>
    <d v="2025-05-30T00:00:00"/>
    <x v="4"/>
    <n v="2572"/>
    <x v="0"/>
    <s v="Katherine Rivera"/>
    <s v="TECULFN2"/>
    <s v="Electric Standing Desk  En L Frame Negro 2.0"/>
    <n v="1"/>
    <x v="1"/>
    <s v="Bogotá y alrededores"/>
    <s v="Chia"/>
    <x v="0"/>
    <s v="Coordinadora"/>
    <s v="3364457 -84151250134"/>
    <d v="2025-06-03T00:00:00"/>
    <d v="2025-06-05T00:00:00"/>
    <s v="Entregado"/>
    <n v="2"/>
    <n v="4"/>
    <s v="Cumple"/>
    <n v="62530"/>
    <m/>
  </r>
  <r>
    <d v="2025-05-30T00:00:00"/>
    <x v="4"/>
    <n v="2572"/>
    <x v="0"/>
    <s v="Katherine Rivera"/>
    <s v="TECUTLBS"/>
    <s v="Superficie  en L Niebla 180x150cm x 70"/>
    <n v="1"/>
    <x v="2"/>
    <s v="Bogotá y alrededores"/>
    <s v="Chia"/>
    <x v="0"/>
    <s v="Coordinadora"/>
    <s v="3364460 -84151250136"/>
    <d v="2025-06-03T00:00:00"/>
    <d v="2025-06-06T00:00:00"/>
    <s v="Entregado"/>
    <n v="2"/>
    <n v="5"/>
    <s v="Cumple"/>
    <n v="26749"/>
    <m/>
  </r>
  <r>
    <d v="2025-05-30T00:00:00"/>
    <x v="4"/>
    <n v="2572"/>
    <x v="0"/>
    <s v="Katherine Rivera"/>
    <s v="TECUAB"/>
    <s v="Archivador TECU  Blanco (Niebla)"/>
    <n v="1"/>
    <x v="5"/>
    <s v="Bogotá y alrededores"/>
    <s v="Chia"/>
    <x v="0"/>
    <s v="Envia"/>
    <s v="3369690 -954101229262"/>
    <d v="2025-06-04T00:00:00"/>
    <d v="2025-06-05T00:00:00"/>
    <s v="Entregado"/>
    <n v="3"/>
    <n v="4"/>
    <s v="Cumple"/>
    <n v="65682"/>
    <m/>
  </r>
  <r>
    <d v="2025-05-30T00:00:00"/>
    <x v="4"/>
    <n v="2572"/>
    <x v="0"/>
    <s v="Katherine Rivera"/>
    <s v="TECUCT"/>
    <s v="Bandeja de cables"/>
    <n v="1"/>
    <x v="0"/>
    <s v="Bogotá y alrededores"/>
    <s v="Chia"/>
    <x v="0"/>
    <s v="Coordinadora"/>
    <s v="3364484 -84151250150"/>
    <d v="2025-06-03T00:00:00"/>
    <d v="2025-06-05T00:00:00"/>
    <s v="Entregado"/>
    <n v="2"/>
    <n v="4"/>
    <s v="Cumple"/>
    <n v="24885"/>
    <m/>
  </r>
  <r>
    <d v="2025-06-01T00:00:00"/>
    <x v="5"/>
    <n v="2573"/>
    <x v="0"/>
    <s v="ANDRES MAURICIO MANTILLA"/>
    <s v="TECURCO"/>
    <s v="Repisa Caramelo"/>
    <n v="1"/>
    <x v="6"/>
    <s v="Santander"/>
    <s v="Bucaramanga"/>
    <x v="0"/>
    <s v="Coordinadora"/>
    <s v="3365198 -84151250496"/>
    <d v="2025-06-03T00:00:00"/>
    <d v="2025-06-05T00:00:00"/>
    <s v="Entregado"/>
    <n v="0"/>
    <n v="2"/>
    <s v="Cumple"/>
    <n v="16617"/>
    <m/>
  </r>
  <r>
    <d v="2025-06-01T00:00:00"/>
    <x v="5"/>
    <n v="2573"/>
    <x v="0"/>
    <s v="ANDRES MAURICIO MANTILLA"/>
    <s v="TECUBDPA"/>
    <s v="Desk Pad B Negro Azul"/>
    <n v="1"/>
    <x v="0"/>
    <s v="Santander"/>
    <s v="Bucaramanga"/>
    <x v="0"/>
    <s v="Coordinadora"/>
    <s v="3365213 -84151250509"/>
    <d v="2025-06-03T00:00:00"/>
    <d v="2025-06-05T00:00:00"/>
    <s v="Entregado"/>
    <n v="0"/>
    <n v="2"/>
    <s v="Cumple"/>
    <n v="33077"/>
    <m/>
  </r>
  <r>
    <d v="2025-06-02T00:00:00"/>
    <x v="5"/>
    <n v="2574"/>
    <x v="0"/>
    <s v="Maria del Mar Cuadros Collazos"/>
    <s v="TECU2FNG"/>
    <s v="Electric Standing Desk GO Negro"/>
    <n v="1"/>
    <x v="1"/>
    <s v="Valle del Cauca"/>
    <s v="Jamundi"/>
    <x v="0"/>
    <s v="Coordinadora"/>
    <s v="3364626 -84151250223"/>
    <d v="2025-06-03T00:00:00"/>
    <d v="2025-06-04T00:00:00"/>
    <s v="Entregado"/>
    <n v="0"/>
    <n v="1"/>
    <e v="#N/A"/>
    <n v="41593"/>
    <m/>
  </r>
  <r>
    <d v="2025-06-02T00:00:00"/>
    <x v="5"/>
    <n v="2574"/>
    <x v="0"/>
    <s v="Maria del Mar Cuadros Collazos"/>
    <s v="TECUTFE3C"/>
    <s v="Superficie  Fresno Europeo 130x70 Clasico"/>
    <n v="1"/>
    <x v="2"/>
    <s v="Valle del Cauca"/>
    <s v="Jamundi"/>
    <x v="0"/>
    <s v="Coordinadora"/>
    <s v="3364629 -84151250225"/>
    <d v="2025-06-03T00:00:00"/>
    <d v="2025-06-04T00:00:00"/>
    <s v="Entregado"/>
    <n v="0"/>
    <n v="1"/>
    <e v="#N/A"/>
    <n v="24093"/>
    <m/>
  </r>
  <r>
    <d v="2025-06-02T00:00:00"/>
    <x v="5"/>
    <n v="2574"/>
    <x v="0"/>
    <s v="Maria del Mar Cuadros Collazos"/>
    <s v="TECURFE"/>
    <s v="Repisa TECU Fresno Europeo"/>
    <n v="1"/>
    <x v="6"/>
    <s v="Valle del Cauca"/>
    <s v="Jamundi"/>
    <x v="0"/>
    <s v="Coordinadora"/>
    <s v="NA"/>
    <s v="NA"/>
    <s v="NA"/>
    <s v="Entregado"/>
    <e v="#VALUE!"/>
    <e v="#VALUE!"/>
    <e v="#VALUE!"/>
    <m/>
    <m/>
  </r>
  <r>
    <d v="2025-06-03T00:00:00"/>
    <x v="5"/>
    <n v="2575"/>
    <x v="0"/>
    <s v="Katherine Rivera"/>
    <s v="TECUCT"/>
    <s v="Bandeja de cables"/>
    <n v="1"/>
    <x v="0"/>
    <s v="Bogotá y alrededores"/>
    <s v="Chia"/>
    <x v="0"/>
    <s v="Coordinadora"/>
    <s v="3366052 -84151250990"/>
    <d v="2025-06-03T00:00:00"/>
    <d v="2025-06-05T00:00:00"/>
    <s v="Entregado"/>
    <n v="0"/>
    <n v="2"/>
    <s v="Cumple"/>
    <n v="24885"/>
    <m/>
  </r>
  <r>
    <d v="2025-06-03T00:00:00"/>
    <x v="5"/>
    <n v="2576"/>
    <x v="0"/>
    <s v="Alejandro HERNANDEZ"/>
    <s v="TECU2FNG"/>
    <s v="Electric Standing Desk GO Negro"/>
    <n v="1"/>
    <x v="1"/>
    <s v="Antioquia"/>
    <s v="Medellin"/>
    <x v="0"/>
    <s v="Coordinadora"/>
    <s v="3370951 -84151252868"/>
    <d v="2025-06-04T00:00:00"/>
    <d v="2025-06-05T00:00:00"/>
    <s v="Entregado"/>
    <n v="1"/>
    <n v="2"/>
    <s v="Cumple"/>
    <n v="41593"/>
    <m/>
  </r>
  <r>
    <d v="2025-06-03T00:00:00"/>
    <x v="5"/>
    <n v="2576"/>
    <x v="0"/>
    <s v="Alejandro HERNANDEZ"/>
    <s v="TECUTRN6C"/>
    <s v="Superficie  Roble Negro 160x70 Clasico"/>
    <n v="1"/>
    <x v="2"/>
    <s v="Antioquia"/>
    <s v="Medellin"/>
    <x v="0"/>
    <s v="Coordinadora"/>
    <s v="3370952 -84151252869"/>
    <d v="2025-06-04T00:00:00"/>
    <d v="2025-06-05T00:00:00"/>
    <s v="Entregado"/>
    <n v="1"/>
    <n v="2"/>
    <s v="Cumple"/>
    <n v="24093"/>
    <m/>
  </r>
  <r>
    <d v="2025-06-03T00:00:00"/>
    <x v="5"/>
    <n v="2576"/>
    <x v="0"/>
    <s v="Alejandro HERNANDEZ"/>
    <m/>
    <s v="Servicio de instalacion"/>
    <n v="1"/>
    <x v="3"/>
    <s v="Antioquia"/>
    <s v="Medellin"/>
    <x v="1"/>
    <s v="NA"/>
    <s v="NA"/>
    <s v="NA"/>
    <s v="NA"/>
    <s v="Entregado"/>
    <s v="PTE"/>
    <e v="#VALUE!"/>
    <e v="#VALUE!"/>
    <n v="0"/>
    <m/>
  </r>
  <r>
    <d v="2025-06-03T00:00:00"/>
    <x v="5"/>
    <n v="2577"/>
    <x v="0"/>
    <s v="Daniel Bernal"/>
    <s v="TECU3FNPRO"/>
    <s v="Electric Standing Desk  PRO Negro"/>
    <n v="1"/>
    <x v="1"/>
    <s v="Bogotá y alrededores"/>
    <s v="Bogota"/>
    <x v="0"/>
    <s v="Coordinadora"/>
    <s v="3370320 -84151252652"/>
    <d v="2025-06-04T00:00:00"/>
    <d v="2025-06-06T00:00:00"/>
    <s v="Entregado"/>
    <n v="1"/>
    <n v="3"/>
    <s v="Cumple"/>
    <n v="42921"/>
    <m/>
  </r>
  <r>
    <d v="2025-06-03T00:00:00"/>
    <x v="5"/>
    <n v="2577"/>
    <x v="0"/>
    <s v="Daniel Bernal"/>
    <s v="TECUTFE5C"/>
    <s v="Superficie  Fresno Europeo 150x70 Clasico"/>
    <n v="1"/>
    <x v="2"/>
    <s v="Bogotá y alrededores"/>
    <s v="Bogota"/>
    <x v="0"/>
    <s v="Coordinadora"/>
    <s v="3370321 -84151252654"/>
    <d v="2025-06-04T00:00:00"/>
    <d v="2025-06-06T00:00:00"/>
    <s v="Entregado"/>
    <n v="1"/>
    <n v="3"/>
    <s v="Cumple"/>
    <n v="24093"/>
    <m/>
  </r>
  <r>
    <d v="2025-06-03T00:00:00"/>
    <x v="5"/>
    <n v="2577"/>
    <x v="0"/>
    <s v="Daniel Bernal"/>
    <s v="TECUCT"/>
    <s v="Bandeja de cables"/>
    <n v="1"/>
    <x v="0"/>
    <s v="Bogotá y alrededores"/>
    <s v="Bogota"/>
    <x v="0"/>
    <s v="Coordinadora"/>
    <s v="3370334 -84151252662"/>
    <d v="2025-06-04T00:00:00"/>
    <d v="2025-06-06T00:00:00"/>
    <s v="Entregado"/>
    <n v="1"/>
    <n v="3"/>
    <s v="Cumple"/>
    <n v="24885"/>
    <m/>
  </r>
  <r>
    <d v="2025-06-04T00:00:00"/>
    <x v="5"/>
    <n v="2578"/>
    <x v="0"/>
    <s v="Gabriel Herrera Zarate"/>
    <s v="TECULFN2"/>
    <s v="Electric Standing Desk  En L Frame Negro 2.0"/>
    <n v="1"/>
    <x v="1"/>
    <s v="Santander"/>
    <s v="Barrancabermeja"/>
    <x v="0"/>
    <s v="Coordinadora"/>
    <s v="3373416 -84151253901"/>
    <d v="2025-06-06T00:00:00"/>
    <d v="2025-06-09T00:00:00"/>
    <s v="Entregado"/>
    <n v="2"/>
    <n v="4"/>
    <e v="#N/A"/>
    <n v="153778"/>
    <m/>
  </r>
  <r>
    <d v="2025-06-04T00:00:00"/>
    <x v="5"/>
    <n v="2578"/>
    <x v="0"/>
    <s v="Gabriel Herrera Zarate"/>
    <s v="TECUTLRNS"/>
    <s v="Superficie en L Roble Negro 180x150cm x 70"/>
    <n v="1"/>
    <x v="2"/>
    <s v="Santander"/>
    <s v="Barrancabermeja"/>
    <x v="0"/>
    <s v="Coordinadora"/>
    <s v="3373418 -84151253903"/>
    <d v="2025-06-06T00:00:00"/>
    <d v="2025-06-09T00:00:00"/>
    <s v="Entregado"/>
    <n v="2"/>
    <n v="4"/>
    <e v="#N/A"/>
    <n v="81384"/>
    <m/>
  </r>
  <r>
    <d v="2025-06-04T00:00:00"/>
    <x v="5"/>
    <n v="2578"/>
    <x v="0"/>
    <s v="Gabriel Herrera Zarate"/>
    <s v="TECUCT"/>
    <s v="Bandeja de cables"/>
    <n v="1"/>
    <x v="0"/>
    <s v="Santander"/>
    <s v="Barrancabermeja"/>
    <x v="0"/>
    <s v="Coordinadora"/>
    <s v="3373425 -84151253905"/>
    <d v="2025-06-06T00:00:00"/>
    <d v="2025-06-09T00:00:00"/>
    <s v="Entregado"/>
    <n v="2"/>
    <n v="4"/>
    <e v="#N/A"/>
    <n v="34407"/>
    <m/>
  </r>
  <r>
    <d v="2025-06-04T00:00:00"/>
    <x v="5"/>
    <n v="2579"/>
    <x v="0"/>
    <s v="Christian Hurtado Ospina"/>
    <s v="TECURCO"/>
    <s v="Repisa Caramelo"/>
    <n v="1"/>
    <x v="6"/>
    <s v="Valle del Cauca"/>
    <s v="Candelaria"/>
    <x v="0"/>
    <s v="Coordinadora"/>
    <s v="3373436 -84151253913"/>
    <d v="2025-06-06T00:00:00"/>
    <d v="2025-06-07T00:00:00"/>
    <s v="Entregado"/>
    <n v="2"/>
    <n v="3"/>
    <e v="#N/A"/>
    <n v="23429"/>
    <m/>
  </r>
  <r>
    <d v="2025-06-06T00:00:00"/>
    <x v="5"/>
    <n v="2580"/>
    <x v="0"/>
    <s v="LEONARDO FONSECA"/>
    <s v="TECU3FNPRO"/>
    <s v="Electric Standing Desk  PRO Negro"/>
    <n v="1"/>
    <x v="1"/>
    <s v="Bogotá y alrededores"/>
    <s v="Bogota"/>
    <x v="0"/>
    <s v="Coordinadora"/>
    <s v="3383394 -84151258353"/>
    <d v="2025-06-09T00:00:00"/>
    <d v="2025-06-11T00:00:00"/>
    <s v="Entregado"/>
    <n v="2"/>
    <n v="4"/>
    <s v="No cumple"/>
    <n v="42921"/>
    <m/>
  </r>
  <r>
    <d v="2025-06-06T00:00:00"/>
    <x v="5"/>
    <n v="2580"/>
    <x v="0"/>
    <s v="LEONARDO FONSECA"/>
    <s v="TECUTRM5C"/>
    <s v="Superficie Roble Miel 150x70 Clasico"/>
    <n v="1"/>
    <x v="2"/>
    <s v="Bogotá y alrededores"/>
    <s v="Bogota"/>
    <x v="0"/>
    <s v="Coordinadora"/>
    <s v="3383395 -84151258354"/>
    <d v="2025-06-09T00:00:00"/>
    <d v="2025-06-10T00:00:00"/>
    <s v="Entregado"/>
    <n v="2"/>
    <n v="3"/>
    <s v="Cumple"/>
    <n v="24593"/>
    <m/>
  </r>
  <r>
    <d v="2025-06-06T00:00:00"/>
    <x v="5"/>
    <n v="2580"/>
    <x v="0"/>
    <s v="LEONARDO FONSECA"/>
    <s v="TECUCT"/>
    <s v="Bandeja de cables"/>
    <n v="1"/>
    <x v="0"/>
    <s v="Bogotá y alrededores"/>
    <s v="Bogota"/>
    <x v="0"/>
    <s v="Coordinadora"/>
    <s v="3383786 -84151258597"/>
    <d v="2025-06-09T00:00:00"/>
    <d v="2025-06-10T00:00:00"/>
    <s v="Entregado"/>
    <n v="2"/>
    <n v="3"/>
    <s v="Cumple"/>
    <n v="24885"/>
    <m/>
  </r>
  <r>
    <d v="2025-06-06T00:00:00"/>
    <x v="5"/>
    <n v="2580"/>
    <x v="0"/>
    <s v="LEONARDO FONSECA"/>
    <s v="TECUACO"/>
    <s v="Archivador TECU  Caramelo"/>
    <n v="1"/>
    <x v="5"/>
    <s v="Bogotá y alrededores"/>
    <s v="Bogota"/>
    <x v="0"/>
    <s v="Envia"/>
    <s v="3386668 -954101233039"/>
    <d v="2025-06-10T00:00:00"/>
    <d v="2025-06-11T00:00:00"/>
    <s v="Entregado"/>
    <n v="3"/>
    <n v="4"/>
    <s v="No cumple"/>
    <n v="54929"/>
    <m/>
  </r>
  <r>
    <m/>
    <x v="0"/>
    <n v="2516"/>
    <x v="1"/>
    <s v="Rigoberto Castelblanco / HUSKY IMS COLOMBIA LTD"/>
    <s v="TECUTCO5C"/>
    <s v="Superficie Caramelo 150x70 Clasico"/>
    <n v="1"/>
    <x v="2"/>
    <s v="Bogotá y alrededores"/>
    <s v="Bogota"/>
    <x v="0"/>
    <s v="Coordinadora"/>
    <s v="3364883 - 84151250377"/>
    <d v="2025-06-03T00:00:00"/>
    <d v="2025-06-05T00:00:00"/>
    <s v="Entregado"/>
    <n v="39259"/>
    <n v="39261"/>
    <s v="No cumple"/>
    <n v="27929"/>
    <n v="24093"/>
  </r>
  <r>
    <d v="2025-06-07T00:00:00"/>
    <x v="5"/>
    <n v="2581"/>
    <x v="0"/>
    <s v="Andres Ortega"/>
    <s v="TECUACO"/>
    <s v="Archivador TECU  Caramelo"/>
    <n v="1"/>
    <x v="5"/>
    <s v="Bolivar"/>
    <s v="Cartagena"/>
    <x v="0"/>
    <s v="Envia"/>
    <s v="3383969 - 954101232498"/>
    <d v="2025-06-09T00:00:00"/>
    <d v="2025-06-13T00:00:00"/>
    <s v="Entregado"/>
    <n v="1"/>
    <n v="5"/>
    <s v="Cumple"/>
    <n v="113263"/>
    <m/>
  </r>
  <r>
    <d v="2025-06-07T00:00:00"/>
    <x v="5"/>
    <n v="2581"/>
    <x v="0"/>
    <s v="Andres Ortega"/>
    <s v="TECURCO"/>
    <s v="Repisa Caramelo"/>
    <n v="1"/>
    <x v="6"/>
    <s v="Bolivar"/>
    <s v="Cartagena"/>
    <x v="0"/>
    <s v="Coordinadora"/>
    <s v="3383902 - 84151258654"/>
    <d v="2025-06-09T00:00:00"/>
    <d v="2025-06-11T00:00:00"/>
    <s v="Entregado"/>
    <n v="1"/>
    <n v="3"/>
    <s v="Cumple"/>
    <n v="37762"/>
    <m/>
  </r>
  <r>
    <d v="2025-06-07T00:00:00"/>
    <x v="5"/>
    <n v="2582"/>
    <x v="0"/>
    <s v="Brigitte Carmona"/>
    <s v="TECU3FNCRO"/>
    <s v="Electric Standing Desk  PRO Negro circular"/>
    <n v="1"/>
    <x v="1"/>
    <s v="Bogotá y alrededores"/>
    <s v="Bogota"/>
    <x v="0"/>
    <s v="Coordinadora"/>
    <s v="3383417 - 84151258370"/>
    <d v="2025-06-09T00:00:00"/>
    <d v="2025-06-10T00:00:00"/>
    <s v="Entregado"/>
    <n v="1"/>
    <n v="2"/>
    <s v="Cumple"/>
    <n v="42921"/>
    <m/>
  </r>
  <r>
    <d v="2025-06-07T00:00:00"/>
    <x v="5"/>
    <n v="2582"/>
    <x v="0"/>
    <s v="Brigitte Carmona"/>
    <s v="TECUTFE7C"/>
    <s v="Superficie  Fresno Europeo 170x70 Clasico"/>
    <n v="1"/>
    <x v="2"/>
    <s v="Bogotá y alrededores"/>
    <s v="Bogota"/>
    <x v="0"/>
    <s v="Coordinadora"/>
    <s v="3383419 - 84151258371"/>
    <d v="2025-06-09T00:00:00"/>
    <d v="2025-06-10T00:00:00"/>
    <s v="Entregado"/>
    <n v="1"/>
    <n v="2"/>
    <s v="Cumple"/>
    <n v="24093"/>
    <m/>
  </r>
  <r>
    <d v="2025-06-07T00:00:00"/>
    <x v="5"/>
    <n v="2582"/>
    <x v="0"/>
    <s v="Brigitte Carmona"/>
    <s v="TECURFE"/>
    <s v="Repisa TECU Fresno Europeo"/>
    <n v="1"/>
    <x v="6"/>
    <s v="Bogotá y alrededores"/>
    <s v="Bogota"/>
    <x v="0"/>
    <s v="Coordinadora"/>
    <s v="3383447 - 84151258389"/>
    <d v="2025-06-09T00:00:00"/>
    <d v="2025-06-10T00:00:00"/>
    <s v="Entregado"/>
    <n v="1"/>
    <n v="2"/>
    <s v="Cumple"/>
    <n v="23429"/>
    <m/>
  </r>
  <r>
    <d v="2025-06-07T00:00:00"/>
    <x v="5"/>
    <n v="2582"/>
    <x v="0"/>
    <s v="Brigitte Carmona"/>
    <s v="TECUAFE"/>
    <s v="Archivador TECU Fresno Europeo"/>
    <n v="1"/>
    <x v="5"/>
    <s v="Bogotá y alrededores"/>
    <s v="Bogota"/>
    <x v="0"/>
    <s v="Envia"/>
    <s v="3383461 - 954101232360"/>
    <d v="2025-06-09T00:00:00"/>
    <d v="2025-06-10T00:00:00"/>
    <s v="Entregado"/>
    <n v="1"/>
    <n v="2"/>
    <s v="Cumple"/>
    <n v="54929"/>
    <m/>
  </r>
  <r>
    <d v="2025-06-07T00:00:00"/>
    <x v="5"/>
    <n v="2582"/>
    <x v="0"/>
    <s v="Brigitte Carmona"/>
    <m/>
    <s v="Servicio de instalacion"/>
    <n v="1"/>
    <x v="3"/>
    <s v="Bogotá y alrededores"/>
    <s v="Bogota"/>
    <x v="0"/>
    <s v="Coordinadora"/>
    <s v="NA"/>
    <s v="NA"/>
    <s v="NA"/>
    <s v="Entregado"/>
    <e v="#VALUE!"/>
    <e v="#VALUE!"/>
    <e v="#VALUE!"/>
    <m/>
    <m/>
  </r>
  <r>
    <d v="2025-06-07T00:00:00"/>
    <x v="5"/>
    <n v="2583"/>
    <x v="0"/>
    <s v="Juan Pablo Luquerna Recalde"/>
    <s v="TECU3FNPRO"/>
    <s v="Electric Standing Desk  PRO Negro"/>
    <n v="1"/>
    <x v="1"/>
    <s v="Bogotá y alrededores"/>
    <s v="Bogota"/>
    <x v="0"/>
    <s v="Coordinadora"/>
    <s v="3385049 - 84151259302"/>
    <d v="2025-06-09T00:00:00"/>
    <d v="2025-06-10T00:00:00"/>
    <s v="Entregado"/>
    <n v="1"/>
    <n v="2"/>
    <s v="Cumple"/>
    <n v="42921"/>
    <m/>
  </r>
  <r>
    <d v="2025-06-07T00:00:00"/>
    <x v="5"/>
    <n v="2583"/>
    <x v="0"/>
    <s v="Juan Pablo Luquerna Recalde"/>
    <s v="TECUTCO6M"/>
    <s v="Superficie  Caramelo 160x70 Moderno"/>
    <n v="1"/>
    <x v="2"/>
    <s v="Bogotá y alrededores"/>
    <s v="Bogota"/>
    <x v="0"/>
    <s v="Coordinadora"/>
    <s v="3385051 - 84151259304"/>
    <d v="2025-06-09T00:00:00"/>
    <d v="2025-06-10T00:00:00"/>
    <s v="Entregado"/>
    <n v="1"/>
    <n v="2"/>
    <s v="Cumple"/>
    <n v="24093"/>
    <m/>
  </r>
  <r>
    <d v="2025-06-07T00:00:00"/>
    <x v="5"/>
    <n v="2583"/>
    <x v="0"/>
    <s v="Juan Pablo Luquerna Recalde"/>
    <s v="TECUCT"/>
    <s v="Bandeja de cables"/>
    <n v="1"/>
    <x v="0"/>
    <s v="Bogotá y alrededores"/>
    <s v="Bogota"/>
    <x v="0"/>
    <s v="Coordinadora"/>
    <s v="3385138 - 84151259349"/>
    <d v="2025-06-09T00:00:00"/>
    <d v="2025-06-10T00:00:00"/>
    <s v="Entregado"/>
    <n v="1"/>
    <n v="2"/>
    <s v="Cumple"/>
    <n v="24885"/>
    <m/>
  </r>
  <r>
    <d v="2025-06-07T00:00:00"/>
    <x v="5"/>
    <n v="2583"/>
    <x v="0"/>
    <s v="Juan Pablo Luquerna Recalde"/>
    <m/>
    <s v="Servicio de instalacion"/>
    <n v="2"/>
    <x v="3"/>
    <s v="Bogotá y alrededores"/>
    <s v="Bogota"/>
    <x v="0"/>
    <s v="Coordinadora"/>
    <s v="NA"/>
    <s v="NA"/>
    <s v="NA"/>
    <s v="Entregado"/>
    <e v="#VALUE!"/>
    <e v="#VALUE!"/>
    <e v="#VALUE!"/>
    <m/>
    <m/>
  </r>
  <r>
    <d v="2025-06-07T00:00:00"/>
    <x v="5"/>
    <n v="2583"/>
    <x v="0"/>
    <s v="Juan Pablo Luquerna Recalde"/>
    <s v="TECU3FNPRO"/>
    <s v="Electric Standing Desk  PRO Negro"/>
    <n v="1"/>
    <x v="1"/>
    <s v="Bogotá y alrededores"/>
    <s v="Bogota"/>
    <x v="0"/>
    <s v="Coordinadora"/>
    <s v="3385060 - 84151259310"/>
    <d v="2025-06-09T00:00:00"/>
    <d v="2025-06-10T00:00:00"/>
    <s v="Entregado"/>
    <n v="1"/>
    <n v="2"/>
    <s v="Cumple"/>
    <n v="42921"/>
    <m/>
  </r>
  <r>
    <d v="2025-06-07T00:00:00"/>
    <x v="5"/>
    <n v="2583"/>
    <x v="0"/>
    <s v="Juan Pablo Luquerna Recalde"/>
    <s v="TECUTCO6M"/>
    <s v="Superficie  Caramelo 160x70 Moderno"/>
    <n v="1"/>
    <x v="2"/>
    <s v="Bogotá y alrededores"/>
    <s v="Bogota"/>
    <x v="0"/>
    <s v="Coordinadora"/>
    <s v="3385062 - 84151259311"/>
    <d v="2025-06-09T00:00:00"/>
    <d v="2025-06-10T00:00:00"/>
    <s v="Entregado"/>
    <n v="1"/>
    <n v="2"/>
    <s v="Cumple"/>
    <n v="24093"/>
    <m/>
  </r>
  <r>
    <d v="2025-06-07T00:00:00"/>
    <x v="5"/>
    <n v="2583"/>
    <x v="0"/>
    <s v="Juan Pablo Luquerna Recalde"/>
    <s v="TECUCT"/>
    <s v="Bandeja de cables"/>
    <n v="1"/>
    <x v="0"/>
    <s v="Bogotá y alrededores"/>
    <s v="Bogota"/>
    <x v="0"/>
    <s v="Coordinadora"/>
    <s v="3385154 - 84151259359"/>
    <d v="2025-06-09T00:00:00"/>
    <d v="2025-06-10T00:00:00"/>
    <s v="Entregado"/>
    <n v="1"/>
    <n v="2"/>
    <s v="Cumple"/>
    <n v="24885"/>
    <m/>
  </r>
  <r>
    <d v="2025-06-08T00:00:00"/>
    <x v="5"/>
    <n v="2584"/>
    <x v="0"/>
    <s v="Edwin Naranjo Sierra"/>
    <s v="TECU3FNPRO"/>
    <s v="Electric Standing Desk  PRO Negro"/>
    <n v="1"/>
    <x v="1"/>
    <s v="Manizales"/>
    <s v="Manizales"/>
    <x v="0"/>
    <s v="Coordinadora"/>
    <s v="3383501 - 84151258423"/>
    <d v="2025-06-09T00:00:00"/>
    <d v="2025-06-10T00:00:00"/>
    <s v="Entregado"/>
    <n v="0"/>
    <n v="1"/>
    <s v="Cumple"/>
    <n v="34953"/>
    <m/>
  </r>
  <r>
    <d v="2025-06-08T00:00:00"/>
    <x v="5"/>
    <n v="2585"/>
    <x v="0"/>
    <s v="DAYANA LEON"/>
    <s v="TECU2FBGO"/>
    <s v="Electric Standing Desk GO Blanco"/>
    <n v="1"/>
    <x v="1"/>
    <s v="Bogotá y alrededores"/>
    <s v="Bogota"/>
    <x v="0"/>
    <s v="Coordinadora"/>
    <s v="3383517 - 84151258435"/>
    <d v="2025-06-09T00:00:00"/>
    <d v="2025-06-10T00:00:00"/>
    <s v="Entregado"/>
    <n v="0"/>
    <n v="1"/>
    <s v="Cumple"/>
    <n v="41593"/>
    <m/>
  </r>
  <r>
    <d v="2025-06-08T00:00:00"/>
    <x v="5"/>
    <n v="2585"/>
    <x v="0"/>
    <s v="DAYANA LEON"/>
    <s v="TECUTFE2C"/>
    <s v="Superficie  Fresno Europeo 120x70 Clasico Small"/>
    <n v="1"/>
    <x v="2"/>
    <s v="Bogotá y alrededores"/>
    <s v="Bogota"/>
    <x v="0"/>
    <s v="Coordinadora"/>
    <s v="3383518 - 84151258436"/>
    <d v="2025-06-09T00:00:00"/>
    <d v="2025-06-10T00:00:00"/>
    <s v="Entregado"/>
    <n v="0"/>
    <n v="1"/>
    <s v="Cumple"/>
    <n v="24093"/>
    <m/>
  </r>
  <r>
    <d v="2025-06-08T00:00:00"/>
    <x v="5"/>
    <n v="2585"/>
    <x v="0"/>
    <s v="DAYANA LEON"/>
    <m/>
    <s v="Servicio de instalacion"/>
    <n v="1"/>
    <x v="3"/>
    <s v="Bogotá y alrededores"/>
    <s v="Bogota"/>
    <x v="0"/>
    <s v="Coordinadora"/>
    <s v="NA"/>
    <s v="NA"/>
    <s v="NA"/>
    <s v="Entregado"/>
    <e v="#VALUE!"/>
    <e v="#VALUE!"/>
    <e v="#VALUE!"/>
    <m/>
    <m/>
  </r>
  <r>
    <d v="2025-06-10T00:00:00"/>
    <x v="5"/>
    <n v="2586"/>
    <x v="0"/>
    <s v="Carlos Londono"/>
    <s v="TECURCO"/>
    <s v="Repisa Caramelo"/>
    <n v="1"/>
    <x v="6"/>
    <s v="Antioquia"/>
    <s v="Sabaneta"/>
    <x v="0"/>
    <s v="Coordinadora"/>
    <s v="3386724 - 84151259882"/>
    <d v="2025-06-10T00:00:00"/>
    <d v="2025-06-11T00:00:00"/>
    <s v="Entregado"/>
    <n v="0"/>
    <n v="1"/>
    <s v="Cumple"/>
    <n v="23429"/>
    <m/>
  </r>
  <r>
    <d v="2025-06-10T00:00:00"/>
    <x v="5"/>
    <n v="2587"/>
    <x v="0"/>
    <s v="Sofhía Velásquez"/>
    <s v="TECU3FNPRO"/>
    <s v="Electric Standing Desk  PRO Negro"/>
    <n v="1"/>
    <x v="1"/>
    <s v="Bogotá y alrededores"/>
    <s v="Bogota"/>
    <x v="0"/>
    <s v="Coordinadora"/>
    <s v="3387244 - 84151260111"/>
    <d v="2025-06-10T00:00:00"/>
    <d v="2025-06-11T00:00:00"/>
    <s v="Entregado"/>
    <n v="0"/>
    <n v="1"/>
    <s v="Cumple"/>
    <n v="42921"/>
    <m/>
  </r>
  <r>
    <d v="2025-06-10T00:00:00"/>
    <x v="5"/>
    <n v="2587"/>
    <x v="0"/>
    <s v="Sofhía Velásquez"/>
    <s v="TECUTCO2C"/>
    <s v="Superficie  Caramelo 120x70 Clasico Small"/>
    <n v="1"/>
    <x v="2"/>
    <s v="Bogotá y alrededores"/>
    <s v="Bogota"/>
    <x v="0"/>
    <s v="Coordinadora"/>
    <s v="3387247 - 84151260113"/>
    <d v="2025-06-10T00:00:00"/>
    <d v="2025-06-11T00:00:00"/>
    <s v="Entregado"/>
    <n v="0"/>
    <n v="1"/>
    <s v="Cumple"/>
    <n v="28741"/>
    <m/>
  </r>
  <r>
    <d v="2025-06-10T00:00:00"/>
    <x v="5"/>
    <n v="2588"/>
    <x v="0"/>
    <s v="Jose Henry Guevara Sánchez"/>
    <s v="TECU3FNCRO"/>
    <s v="Electric Standing Desk  PRO Negro circular"/>
    <n v="1"/>
    <x v="1"/>
    <s v="Valle del Cauca"/>
    <s v="Yumbo"/>
    <x v="0"/>
    <s v="Coordinadora"/>
    <s v="3388396 - 84151260586"/>
    <d v="2025-06-10T00:00:00"/>
    <d v="2025-06-11T00:00:00"/>
    <s v="Entregado"/>
    <n v="0"/>
    <n v="1"/>
    <s v="Cumple"/>
    <n v="42921"/>
    <m/>
  </r>
  <r>
    <d v="2025-06-10T00:00:00"/>
    <x v="5"/>
    <n v="2588"/>
    <x v="0"/>
    <s v="Jose Henry Guevara Sánchez"/>
    <s v="TECUTRM8M"/>
    <s v="Superficie Roble Miel 180x70 Moderno"/>
    <n v="1"/>
    <x v="2"/>
    <s v="Valle del Cauca"/>
    <s v="Yumbo"/>
    <x v="0"/>
    <s v="Coordinadora"/>
    <s v="3388397 - 84151260587"/>
    <d v="2025-06-10T00:00:00"/>
    <d v="2025-06-12T00:00:00"/>
    <s v="Entregado"/>
    <n v="0"/>
    <n v="2"/>
    <s v="Cumple"/>
    <n v="27249"/>
    <m/>
  </r>
  <r>
    <d v="2025-06-10T00:00:00"/>
    <x v="5"/>
    <n v="2588"/>
    <x v="0"/>
    <s v="Jose Henry Guevara Sánchez"/>
    <s v="TECUACO"/>
    <s v="Archivador TECU  Caramelo"/>
    <n v="1"/>
    <x v="5"/>
    <s v="Valle del Cauca"/>
    <s v="Yumbo"/>
    <x v="0"/>
    <s v="Envia"/>
    <s v="3390514 - 954101233899"/>
    <d v="2025-06-10T00:00:00"/>
    <d v="2025-06-12T00:00:00"/>
    <s v="Entregado"/>
    <n v="0"/>
    <n v="2"/>
    <s v="Cumple"/>
    <n v="65682"/>
    <m/>
  </r>
  <r>
    <d v="2025-06-10T00:00:00"/>
    <x v="5"/>
    <n v="2588"/>
    <x v="0"/>
    <s v="Jose Henry Guevara Sánchez"/>
    <s v="TECUCT"/>
    <s v="Bandeja de cables"/>
    <n v="1"/>
    <x v="0"/>
    <s v="Valle del Cauca"/>
    <s v="Yumbo"/>
    <x v="0"/>
    <s v="Coordinadora"/>
    <s v="3388400 - 84151260590"/>
    <d v="2025-06-10T00:00:00"/>
    <d v="2025-06-11T00:00:00"/>
    <s v="Entregado"/>
    <n v="0"/>
    <n v="1"/>
    <s v="Cumple"/>
    <n v="24885"/>
    <m/>
  </r>
  <r>
    <d v="2025-06-10T00:00:00"/>
    <x v="5"/>
    <n v="2588"/>
    <x v="0"/>
    <s v="Jose Henry Guevara Sánchez"/>
    <s v="TECUBDPM"/>
    <s v="Desk Pad B Negro Café Miel"/>
    <n v="1"/>
    <x v="0"/>
    <s v="Valle del Cauca"/>
    <s v="Yumbo"/>
    <x v="0"/>
    <s v="Coordinadora"/>
    <s v="3388404 - 84151260591"/>
    <d v="2025-06-10T00:00:00"/>
    <d v="2025-06-11T00:00:00"/>
    <s v="Entregado"/>
    <n v="0"/>
    <n v="1"/>
    <s v="Cumple"/>
    <n v="16617"/>
    <m/>
  </r>
  <r>
    <d v="2025-06-11T00:00:00"/>
    <x v="5"/>
    <n v="2589"/>
    <x v="0"/>
    <s v="Alberto Almario"/>
    <s v="TECU3FNPRO"/>
    <s v="Electric Standing Desk  PRO Negro"/>
    <n v="1"/>
    <x v="1"/>
    <s v="Bogotá y alrededores"/>
    <s v="Bogota"/>
    <x v="0"/>
    <s v="Coordinadora"/>
    <s v="3390673 - 84151261659"/>
    <d v="2025-06-11T00:00:00"/>
    <d v="2025-06-12T00:00:00"/>
    <s v="Entregado"/>
    <n v="0"/>
    <n v="1"/>
    <s v="Cumple"/>
    <n v="42921"/>
    <m/>
  </r>
  <r>
    <d v="2025-06-11T00:00:00"/>
    <x v="5"/>
    <n v="2589"/>
    <x v="0"/>
    <s v="Alberto Almario"/>
    <s v="TECUTFE7M"/>
    <s v="Superficie  Fresno Europeo 170x70 Moderno"/>
    <n v="1"/>
    <x v="2"/>
    <s v="Bogotá y alrededores"/>
    <s v="Bogota"/>
    <x v="0"/>
    <s v="Coordinadora"/>
    <s v="3390674 - 84151261660"/>
    <d v="2025-06-11T00:00:00"/>
    <d v="2025-06-13T00:00:00"/>
    <s v="Entregado"/>
    <n v="0"/>
    <n v="2"/>
    <s v="Cumple"/>
    <n v="24093"/>
    <m/>
  </r>
  <r>
    <d v="2025-06-11T00:00:00"/>
    <x v="5"/>
    <n v="2589"/>
    <x v="0"/>
    <s v="Alberto Almario"/>
    <s v="TECUAFE"/>
    <s v="Archivador TECU Fresno Europeo"/>
    <n v="1"/>
    <x v="5"/>
    <s v="Bogotá y alrededores"/>
    <s v="Bogota"/>
    <x v="0"/>
    <s v="Envia"/>
    <s v="3393621 - 954101234711"/>
    <d v="2025-06-12T00:00:00"/>
    <d v="2025-06-13T00:00:00"/>
    <s v="Entregado"/>
    <n v="1"/>
    <n v="2"/>
    <s v="Cumple"/>
    <n v="54929"/>
    <m/>
  </r>
  <r>
    <d v="2025-06-12T00:00:00"/>
    <x v="5"/>
    <n v="2590"/>
    <x v="0"/>
    <s v="cristhian Sabino ramirez Martinez"/>
    <s v="TECU3FBCRO"/>
    <s v="Electric Standing Desk  PRO Blanco circular"/>
    <n v="1"/>
    <x v="1"/>
    <s v="Antioquia"/>
    <s v="Rionegro"/>
    <x v="0"/>
    <s v="Coordinadora"/>
    <s v="3393629 - 84151262940"/>
    <d v="2025-06-12T00:00:00"/>
    <d v="2025-06-13T00:00:00"/>
    <s v="Entregado"/>
    <n v="0"/>
    <n v="1"/>
    <s v="Cumple"/>
    <n v="42921"/>
    <m/>
  </r>
  <r>
    <d v="2025-06-12T00:00:00"/>
    <x v="5"/>
    <n v="2590"/>
    <x v="0"/>
    <s v="cristhian Sabino ramirez Martinez"/>
    <s v="TECUTFE6C"/>
    <s v="Superficie  Fresno Europeo 160x70 Clasico"/>
    <n v="1"/>
    <x v="2"/>
    <s v="Antioquia"/>
    <s v="Rionegro"/>
    <x v="0"/>
    <s v="Coordinadora"/>
    <s v="3393630 - 84151262941"/>
    <d v="2025-06-12T00:00:00"/>
    <d v="2025-06-13T00:00:00"/>
    <s v="Entregado"/>
    <n v="0"/>
    <n v="1"/>
    <s v="Cumple"/>
    <n v="24093"/>
    <m/>
  </r>
  <r>
    <d v="2025-06-12T00:00:00"/>
    <x v="5"/>
    <n v="2590"/>
    <x v="0"/>
    <s v="cristhian Sabino ramirez Martinez"/>
    <s v="TECUDSG"/>
    <s v="Desk Stool Gris Silla ajustable"/>
    <n v="1"/>
    <x v="4"/>
    <s v="Antioquia"/>
    <s v="Rionegro"/>
    <x v="0"/>
    <s v="Coordinadora"/>
    <s v="3393650 - 84151262943"/>
    <d v="2025-06-12T00:00:00"/>
    <d v="2025-06-13T00:00:00"/>
    <s v="Entregado"/>
    <n v="0"/>
    <n v="1"/>
    <s v="Cumple"/>
    <n v="26609"/>
    <m/>
  </r>
  <r>
    <d v="2025-06-12T00:00:00"/>
    <x v="5"/>
    <n v="2591"/>
    <x v="0"/>
    <s v="Katherine Velilla García"/>
    <s v="TECU3FNPRO"/>
    <s v="Electric Standing Desk  PRO Negro"/>
    <n v="1"/>
    <x v="1"/>
    <s v="Antioquia"/>
    <s v="Copacabana"/>
    <x v="0"/>
    <s v="Coordinadora"/>
    <s v="3397716 - 84151263886 "/>
    <d v="2025-06-13T00:00:00"/>
    <d v="2025-06-14T00:00:00"/>
    <s v="Entregado"/>
    <n v="1"/>
    <n v="2"/>
    <e v="#N/A"/>
    <n v="42921"/>
    <m/>
  </r>
  <r>
    <d v="2025-06-12T00:00:00"/>
    <x v="5"/>
    <n v="2591"/>
    <x v="0"/>
    <s v="Katherine Velilla García"/>
    <s v="TECUTCO2C"/>
    <s v="Superficie  Caramelo 120x70 Clasico Small"/>
    <n v="1"/>
    <x v="2"/>
    <s v="Antioquia"/>
    <s v="Copacabana"/>
    <x v="0"/>
    <s v="Coordinadora"/>
    <s v="3397719 - 84151263888"/>
    <d v="2025-06-13T00:00:00"/>
    <d v="2025-06-14T00:00:00"/>
    <s v="Entregado"/>
    <n v="1"/>
    <n v="2"/>
    <e v="#N/A"/>
    <n v="28741"/>
    <m/>
  </r>
  <r>
    <d v="2025-06-13T00:00:00"/>
    <x v="5"/>
    <n v="2592"/>
    <x v="0"/>
    <s v="Anna Christina Kindgren Diaz"/>
    <s v="TECU3FNPRO"/>
    <s v="Electric Standing Desk  PRO Negro"/>
    <n v="1"/>
    <x v="1"/>
    <s v="Bogotá y alrededores"/>
    <s v="Bogota"/>
    <x v="0"/>
    <s v="Coordinadora"/>
    <s v="3397880 - 84151263950"/>
    <d v="2025-06-13T00:00:00"/>
    <d v="2025-06-16T00:00:00"/>
    <s v="Entregado"/>
    <n v="0"/>
    <n v="2"/>
    <s v="Cumple"/>
    <n v="42921"/>
    <m/>
  </r>
  <r>
    <d v="2025-06-13T00:00:00"/>
    <x v="5"/>
    <n v="2592"/>
    <x v="0"/>
    <s v="Anna Christina Kindgren Diaz"/>
    <s v="TECUTRN8C"/>
    <s v="Superficie  Roble Negro 180x70 Clasico"/>
    <n v="1"/>
    <x v="2"/>
    <s v="Bogotá y alrededores"/>
    <s v="Bogota"/>
    <x v="0"/>
    <s v="Coordinadora"/>
    <s v="3397882 - 84151263952"/>
    <d v="2025-06-13T00:00:00"/>
    <d v="2025-06-16T00:00:00"/>
    <s v="Entregado"/>
    <n v="0"/>
    <n v="2"/>
    <s v="Cumple"/>
    <n v="26749"/>
    <m/>
  </r>
  <r>
    <d v="2025-06-13T00:00:00"/>
    <x v="5"/>
    <n v="2592"/>
    <x v="0"/>
    <s v="Anna Christina Kindgren Diaz"/>
    <s v="TECUCT"/>
    <s v="Bandeja de cables"/>
    <n v="1"/>
    <x v="0"/>
    <s v="Bogotá y alrededores"/>
    <s v="Bogota"/>
    <x v="0"/>
    <s v="Coordinadora"/>
    <s v="3397899 - 84151263957"/>
    <d v="2025-06-13T00:00:00"/>
    <d v="2025-06-16T00:00:00"/>
    <s v="Entregado"/>
    <n v="0"/>
    <n v="2"/>
    <s v="Cumple"/>
    <n v="24885"/>
    <m/>
  </r>
  <r>
    <d v="2025-06-13T00:00:00"/>
    <x v="5"/>
    <n v="2593"/>
    <x v="0"/>
    <s v="Oriana Camila Rodriguez Ruiz"/>
    <s v="TECU2FNG"/>
    <s v="Electric Standing Desk GO Negro"/>
    <n v="1"/>
    <x v="1"/>
    <s v="Quindio"/>
    <s v="Armenia"/>
    <x v="2"/>
    <s v="Entrega directa"/>
    <s v="NA"/>
    <m/>
    <m/>
    <s v="En transito"/>
    <s v="PTE"/>
    <s v="PTE"/>
    <s v="PTE"/>
    <n v="20000"/>
    <m/>
  </r>
  <r>
    <d v="2025-06-13T00:00:00"/>
    <x v="5"/>
    <n v="2593"/>
    <x v="0"/>
    <s v="Oriana Camila Rodriguez Ruiz"/>
    <s v="TECUTRN6C"/>
    <s v="Superficie  Roble Negro 160x70 Clasico"/>
    <n v="1"/>
    <x v="2"/>
    <s v="Quindio"/>
    <s v="Armenia"/>
    <x v="2"/>
    <s v="Entrega directa"/>
    <s v="NA"/>
    <m/>
    <m/>
    <s v="En transito"/>
    <s v="PTE"/>
    <s v="PTE"/>
    <s v="PTE"/>
    <n v="20000"/>
    <m/>
  </r>
  <r>
    <d v="2025-06-16T00:00:00"/>
    <x v="5"/>
    <n v="2594"/>
    <x v="0"/>
    <s v="Leonardo Malavera Gomez"/>
    <s v="TECU2FNG"/>
    <s v="Electric Standing Desk GO Negro"/>
    <n v="1"/>
    <x v="1"/>
    <s v="Santander"/>
    <s v="Bucaramanga"/>
    <x v="0"/>
    <s v="Coordinadora"/>
    <s v="3404316 - 84151266205"/>
    <d v="2025-06-16T00:00:00"/>
    <d v="2025-06-18T00:00:00"/>
    <s v="Entregado"/>
    <n v="0"/>
    <n v="2"/>
    <s v="Cumple"/>
    <n v="53871"/>
    <m/>
  </r>
  <r>
    <d v="2025-06-16T00:00:00"/>
    <x v="5"/>
    <n v="2594"/>
    <x v="0"/>
    <s v="Leonardo Malavera Gomez"/>
    <s v="TECUTCO4C"/>
    <s v="Superficie Caramelo 140x70 Clasico"/>
    <n v="1"/>
    <x v="2"/>
    <s v="Santander"/>
    <s v="Bucaramanga"/>
    <x v="0"/>
    <s v="Coordinadora"/>
    <s v="3404317 - 84151266206"/>
    <d v="2025-06-16T00:00:00"/>
    <d v="2025-06-18T00:00:00"/>
    <s v="Entregado"/>
    <n v="0"/>
    <n v="2"/>
    <s v="Cumple"/>
    <n v="34179"/>
    <m/>
  </r>
  <r>
    <d v="2025-06-16T00:00:00"/>
    <x v="5"/>
    <n v="2594"/>
    <x v="0"/>
    <s v="Leonardo Malavera Gomez"/>
    <s v="TECUBDPA"/>
    <s v="Desk Pad B Negro Azul"/>
    <n v="1"/>
    <x v="0"/>
    <s v="Santander"/>
    <s v="Bucaramanga"/>
    <x v="0"/>
    <s v="Coordinadora"/>
    <s v="3404336 - 84151266214"/>
    <d v="2025-06-16T00:00:00"/>
    <d v="2025-06-18T00:00:00"/>
    <s v="Entregado"/>
    <n v="0"/>
    <n v="2"/>
    <s v="Cumple"/>
    <n v="16617"/>
    <m/>
  </r>
  <r>
    <d v="2025-06-16T00:00:00"/>
    <x v="5"/>
    <n v="2594"/>
    <x v="0"/>
    <s v="Leonardo Malavera Gomez"/>
    <s v="TECUROD"/>
    <s v="Rodachines con freno para Standing desk x 4 UN"/>
    <n v="1"/>
    <x v="7"/>
    <s v="Santander"/>
    <s v="Bucaramanga"/>
    <x v="0"/>
    <s v="Coordinadora"/>
    <s v="3404344 - 84151266220"/>
    <d v="2025-06-16T00:00:00"/>
    <d v="2025-06-18T00:00:00"/>
    <s v="Entregado"/>
    <n v="0"/>
    <n v="2"/>
    <s v="Cumple"/>
    <n v="23875"/>
    <m/>
  </r>
  <r>
    <d v="2025-06-16T00:00:00"/>
    <x v="5"/>
    <n v="2595"/>
    <x v="0"/>
    <s v="Alexandre Montoya"/>
    <s v="TECU2FNG"/>
    <s v="Electric Standing Desk GO Negro"/>
    <n v="1"/>
    <x v="1"/>
    <s v="Valle del Cauca"/>
    <s v="Cartago"/>
    <x v="0"/>
    <s v="Coordinadora"/>
    <s v="3404516 - 84151266312"/>
    <d v="2025-06-16T00:00:00"/>
    <d v="2025-06-17T00:00:00"/>
    <s v="Entregado"/>
    <n v="0"/>
    <n v="1"/>
    <e v="#N/A"/>
    <n v="34156"/>
    <m/>
  </r>
  <r>
    <d v="2025-06-16T00:00:00"/>
    <x v="5"/>
    <n v="2595"/>
    <x v="0"/>
    <s v="Alexandre Montoya"/>
    <s v="TECUTCO2C"/>
    <s v="Superficie  Caramelo 120x70 Clasico Small"/>
    <n v="1"/>
    <x v="2"/>
    <s v="Valle del Cauca"/>
    <s v="Cartago"/>
    <x v="0"/>
    <s v="Coordinadora"/>
    <s v="3404518 - 84151266314"/>
    <d v="2025-06-16T00:00:00"/>
    <d v="2025-06-17T00:00:00"/>
    <s v="Entregado"/>
    <n v="0"/>
    <n v="1"/>
    <e v="#N/A"/>
    <n v="15194"/>
    <m/>
  </r>
  <r>
    <d v="2025-06-16T00:00:00"/>
    <x v="5"/>
    <n v="2595"/>
    <x v="0"/>
    <s v="Alexandre Montoya"/>
    <s v="TECUDSN"/>
    <s v="Desk Stool Negra Silla ajustable"/>
    <n v="2"/>
    <x v="4"/>
    <s v="Valle del Cauca"/>
    <s v="Cartago"/>
    <x v="0"/>
    <s v="Coordinadora"/>
    <s v="3404537 - 84151266320"/>
    <d v="2025-06-16T00:00:00"/>
    <d v="2025-06-17T00:00:00"/>
    <s v="Entregado"/>
    <n v="0"/>
    <n v="1"/>
    <e v="#N/A"/>
    <m/>
    <m/>
  </r>
  <r>
    <d v="2025-06-16T00:00:00"/>
    <x v="5"/>
    <n v="2596"/>
    <x v="0"/>
    <s v="Frank Carlos Rubiano"/>
    <s v="TECU2FBGO"/>
    <s v="Electric Standing Desk GO Blanco"/>
    <n v="1"/>
    <x v="1"/>
    <s v="Antioquia"/>
    <s v="Medellin"/>
    <x v="0"/>
    <s v="Coordinadora"/>
    <s v="3404017 - 84151266051"/>
    <d v="2025-06-16T00:00:00"/>
    <d v="2025-06-18T00:00:00"/>
    <s v="Entregado"/>
    <n v="0"/>
    <n v="2"/>
    <s v="Cumple"/>
    <n v="41593"/>
    <m/>
  </r>
  <r>
    <d v="2025-06-16T00:00:00"/>
    <x v="5"/>
    <n v="2596"/>
    <x v="0"/>
    <s v="Frank Carlos Rubiano"/>
    <s v="TECUTFE2C"/>
    <s v="Superficie  Fresno Europeo 120x70 Clasico Small"/>
    <n v="1"/>
    <x v="2"/>
    <s v="Antioquia"/>
    <s v="Medellin"/>
    <x v="0"/>
    <s v="Coordinadora"/>
    <s v="3404019 - 84151266052"/>
    <d v="2025-06-16T00:00:00"/>
    <d v="2025-06-18T00:00:00"/>
    <s v="Entregado"/>
    <n v="0"/>
    <n v="2"/>
    <s v="Cumple"/>
    <n v="24093"/>
    <m/>
  </r>
  <r>
    <d v="2025-06-16T00:00:00"/>
    <x v="5"/>
    <n v="2597"/>
    <x v="0"/>
    <s v="Alejandro Franco"/>
    <s v="TECU3FNPRO"/>
    <s v="Electric Standing Desk  PRO Negro"/>
    <n v="1"/>
    <x v="1"/>
    <s v="Antioquia"/>
    <s v="Medellin"/>
    <x v="0"/>
    <s v="Coordinadora"/>
    <s v="3404807 - 84151266476"/>
    <d v="2025-06-16T00:00:00"/>
    <d v="2025-06-17T00:00:00"/>
    <s v="Entregado"/>
    <n v="0"/>
    <n v="1"/>
    <s v="Cumple"/>
    <n v="42921"/>
    <m/>
  </r>
  <r>
    <d v="2025-06-16T00:00:00"/>
    <x v="5"/>
    <n v="2597"/>
    <x v="0"/>
    <s v="Alejandro Franco"/>
    <s v="TECUTFE6C"/>
    <s v="Superficie  Fresno Europeo 160x70 Clasico"/>
    <n v="1"/>
    <x v="2"/>
    <s v="Antioquia"/>
    <s v="Medellin"/>
    <x v="0"/>
    <s v="Coordinadora"/>
    <s v="3404808 - 84151266477"/>
    <d v="2025-06-16T00:00:00"/>
    <d v="2025-06-17T00:00:00"/>
    <s v="Entregado"/>
    <n v="0"/>
    <n v="1"/>
    <s v="Cumple"/>
    <n v="24093"/>
    <m/>
  </r>
  <r>
    <d v="2025-06-16T00:00:00"/>
    <x v="5"/>
    <n v="2597"/>
    <x v="0"/>
    <s v="Alejandro Franco"/>
    <s v="TECUAFE"/>
    <s v="Archivador TECU Fresno Europeo"/>
    <n v="1"/>
    <x v="5"/>
    <s v="Antioquia"/>
    <s v="Medellin"/>
    <x v="0"/>
    <s v="Envia"/>
    <s v="3407567 - 954101237883"/>
    <d v="2025-06-16T00:00:00"/>
    <d v="2025-06-19T00:00:00"/>
    <s v="Entregado"/>
    <n v="0"/>
    <n v="3"/>
    <s v="Cumple"/>
    <n v="65682"/>
    <m/>
  </r>
  <r>
    <d v="2025-06-16T00:00:00"/>
    <x v="5"/>
    <n v="2597"/>
    <x v="0"/>
    <s v="Alejandro Franco"/>
    <m/>
    <s v="Servicio de instalacion"/>
    <n v="1"/>
    <x v="3"/>
    <s v="Antioquia"/>
    <s v="Medellin"/>
    <x v="0"/>
    <s v="Coordinadora"/>
    <s v="NA"/>
    <s v="NA"/>
    <s v="NA"/>
    <s v="Entregado"/>
    <e v="#VALUE!"/>
    <e v="#VALUE!"/>
    <e v="#VALUE!"/>
    <n v="0"/>
    <m/>
  </r>
  <r>
    <d v="2025-06-17T00:00:00"/>
    <x v="5"/>
    <n v="2598"/>
    <x v="0"/>
    <s v="Fredy Gonzalez"/>
    <s v="TECULFN2"/>
    <s v="Electric Standing Desk  En L Frame Negro 2.0"/>
    <n v="1"/>
    <x v="1"/>
    <s v="Atlantico"/>
    <s v="Sabanalarga"/>
    <x v="0"/>
    <s v="Coordinadora"/>
    <s v="3411404 - 84151269328"/>
    <d v="2025-06-18T00:00:00"/>
    <d v="2025-06-21T00:00:00"/>
    <s v="Entregado"/>
    <n v="1"/>
    <n v="4"/>
    <e v="#N/A"/>
    <n v="183036"/>
    <m/>
  </r>
  <r>
    <d v="2025-06-17T00:00:00"/>
    <x v="5"/>
    <n v="2598"/>
    <x v="0"/>
    <s v="Fredy Gonzalez"/>
    <s v="TECUTLFES"/>
    <s v="Superficie en L Fresno 180x150cm x 70"/>
    <n v="1"/>
    <x v="2"/>
    <s v="Atlantico"/>
    <s v="Sabanalarga"/>
    <x v="0"/>
    <s v="Coordinadora"/>
    <s v="3411405 - 84151269329"/>
    <d v="2025-06-18T00:00:00"/>
    <d v="2025-06-21T00:00:00"/>
    <s v="Entregado"/>
    <n v="1"/>
    <n v="4"/>
    <e v="#N/A"/>
    <n v="98264"/>
    <m/>
  </r>
  <r>
    <d v="2025-06-18T00:00:00"/>
    <x v="5"/>
    <n v="2599"/>
    <x v="0"/>
    <s v="Edward Ferraro Reyes"/>
    <s v="TECU3FNPRO"/>
    <s v="Electric Standing Desk  PRO Negro"/>
    <n v="1"/>
    <x v="1"/>
    <s v="Antioquia"/>
    <s v="Medellin"/>
    <x v="0"/>
    <s v="Coordinadora"/>
    <s v="3414277 - 84151270498"/>
    <d v="2025-06-19T00:00:00"/>
    <d v="2025-06-21T00:00:00"/>
    <s v="Entregado"/>
    <n v="1"/>
    <n v="3"/>
    <s v="Cumple"/>
    <n v="42921"/>
    <m/>
  </r>
  <r>
    <d v="2025-06-18T00:00:00"/>
    <x v="5"/>
    <n v="2599"/>
    <x v="0"/>
    <s v="Edward Ferraro Reyes"/>
    <s v="TECUTCO5C"/>
    <s v="Superficie Caramelo 150x70 Clasico"/>
    <n v="1"/>
    <x v="2"/>
    <s v="Antioquia"/>
    <s v="Medellin"/>
    <x v="0"/>
    <s v="Coordinadora"/>
    <s v="3414278 - 84151270499"/>
    <d v="2025-06-19T00:00:00"/>
    <d v="2025-06-21T00:00:00"/>
    <s v="Entregado"/>
    <n v="1"/>
    <n v="3"/>
    <s v="Cumple"/>
    <n v="24093"/>
    <m/>
  </r>
  <r>
    <d v="2025-06-18T00:00:00"/>
    <x v="5"/>
    <n v="2600"/>
    <x v="0"/>
    <s v="Alberto Almario"/>
    <s v="TECUCT"/>
    <s v="Bandeja de cables"/>
    <n v="1"/>
    <x v="0"/>
    <s v="Bogotá y alrededores"/>
    <s v="Bogota"/>
    <x v="0"/>
    <s v="Coordinadora"/>
    <s v="3411475 - 84151269372"/>
    <d v="2025-06-18T00:00:00"/>
    <d v="2025-06-19T00:00:00"/>
    <s v="Entregado"/>
    <n v="0"/>
    <n v="1"/>
    <s v="Cumple"/>
    <n v="24885"/>
    <m/>
  </r>
  <r>
    <d v="2025-06-18T00:00:00"/>
    <x v="5"/>
    <n v="2601"/>
    <x v="0"/>
    <s v="Luis Valencia"/>
    <s v="TECUAFE"/>
    <s v="Archivador TECU Fresno Europeo"/>
    <n v="1"/>
    <x v="5"/>
    <s v="Antioquia"/>
    <s v="Medellin"/>
    <x v="0"/>
    <s v="Envia"/>
    <s v="3414291 - 954101239801"/>
    <d v="2025-06-19T00:00:00"/>
    <d v="2025-06-20T00:00:00"/>
    <s v="Entregado"/>
    <n v="1"/>
    <n v="2"/>
    <s v="Cumple"/>
    <n v="65682"/>
    <m/>
  </r>
  <r>
    <d v="2025-06-19T00:00:00"/>
    <x v="5"/>
    <n v="2602"/>
    <x v="0"/>
    <s v="Diego Bellon"/>
    <s v="TECURCO"/>
    <s v="Repisa Caramelo"/>
    <n v="1"/>
    <x v="6"/>
    <s v="Bogotá y alrededores"/>
    <s v="Cajica"/>
    <x v="0"/>
    <s v="Coordinadora"/>
    <s v="3414325 - 84151270524"/>
    <d v="2025-06-19T00:00:00"/>
    <d v="2025-06-22T00:00:00"/>
    <s v="Entregado"/>
    <n v="0"/>
    <n v="2"/>
    <s v="Cumple"/>
    <n v="23429"/>
    <m/>
  </r>
  <r>
    <d v="2025-06-20T00:00:00"/>
    <x v="5"/>
    <n v="2603"/>
    <x v="0"/>
    <s v="Nicholas Austin"/>
    <s v="TECU3FNCRO"/>
    <s v="Electric Standing Desk  PRO Negro circular"/>
    <n v="1"/>
    <x v="1"/>
    <s v="Antioquia"/>
    <s v="Medellin"/>
    <x v="0"/>
    <s v="Coordinadora"/>
    <s v="3417032 - 84151271833"/>
    <d v="2025-06-20T00:00:00"/>
    <d v="2025-06-24T00:00:00"/>
    <s v="Entregado"/>
    <n v="0"/>
    <n v="2"/>
    <s v="Cumple"/>
    <n v="42921"/>
    <m/>
  </r>
  <r>
    <d v="2025-06-20T00:00:00"/>
    <x v="5"/>
    <n v="2603"/>
    <x v="0"/>
    <s v="Nicholas Austin"/>
    <s v="TECUTCO6M"/>
    <s v="Superficie  Caramelo 160x70 Moderno"/>
    <n v="1"/>
    <x v="2"/>
    <s v="Antioquia"/>
    <s v="Medellin"/>
    <x v="0"/>
    <s v="Coordinadora"/>
    <s v="3417033 - 84151271834"/>
    <d v="2025-06-20T00:00:00"/>
    <d v="2025-06-24T00:00:00"/>
    <s v="Entregado"/>
    <n v="0"/>
    <n v="2"/>
    <s v="Cumple"/>
    <n v="24093"/>
    <m/>
  </r>
  <r>
    <d v="2025-06-20T00:00:00"/>
    <x v="5"/>
    <n v="2603"/>
    <x v="0"/>
    <s v="Nicholas Austin"/>
    <s v="TECUBDPM"/>
    <s v="Desk Pad B Negro Café Miel"/>
    <n v="1"/>
    <x v="0"/>
    <s v="Antioquia"/>
    <s v="Medellin"/>
    <x v="0"/>
    <s v="Coordinadora"/>
    <s v="3417040 - 84151271838"/>
    <d v="2025-06-20T00:00:00"/>
    <d v="2025-06-24T00:00:00"/>
    <s v="Entregado"/>
    <n v="0"/>
    <n v="2"/>
    <s v="Cumple"/>
    <n v="16617"/>
    <m/>
  </r>
  <r>
    <d v="2025-06-20T00:00:00"/>
    <x v="5"/>
    <n v="2603"/>
    <x v="0"/>
    <s v="Nicholas Austin"/>
    <s v="TECUCT"/>
    <s v="Bandeja de cables"/>
    <n v="1"/>
    <x v="0"/>
    <s v="Antioquia"/>
    <s v="Medellin"/>
    <x v="0"/>
    <s v="Coordinadora"/>
    <s v="3417051 - 84151271841"/>
    <d v="2025-06-20T00:00:00"/>
    <d v="2025-06-24T00:00:00"/>
    <s v="Entregado"/>
    <n v="0"/>
    <n v="2"/>
    <s v="Cumple"/>
    <n v="24885"/>
    <m/>
  </r>
  <r>
    <d v="2025-06-21T00:00:00"/>
    <x v="5"/>
    <n v="2604"/>
    <x v="0"/>
    <s v="RODRIGO BELLO"/>
    <s v="TECU3FBRO"/>
    <s v="Electric Standing Desk  PRO Blanco"/>
    <n v="1"/>
    <x v="1"/>
    <s v="Bogotá y alrededores"/>
    <s v="Bogota"/>
    <x v="0"/>
    <s v="Coordinadora"/>
    <s v="3423093 - 84151274331"/>
    <d v="2025-06-24T00:00:00"/>
    <d v="2025-06-26T00:00:00"/>
    <s v="Entregado"/>
    <n v="1"/>
    <n v="3"/>
    <s v="Cumple"/>
    <n v="42921"/>
    <m/>
  </r>
  <r>
    <d v="2025-06-21T00:00:00"/>
    <x v="5"/>
    <n v="2604"/>
    <x v="0"/>
    <s v="RODRIGO BELLO"/>
    <s v="TECUTCO8C"/>
    <s v="Superficie  Caramelo 180x70 Clasico"/>
    <n v="1"/>
    <x v="2"/>
    <s v="Bogotá y alrededores"/>
    <s v="Bogota"/>
    <x v="0"/>
    <s v="Coordinadora"/>
    <s v="3423097 - 84151274334"/>
    <d v="2025-06-24T00:00:00"/>
    <d v="2025-06-27T00:00:00"/>
    <s v="Entregado"/>
    <n v="1"/>
    <n v="4"/>
    <s v="No cumple"/>
    <n v="26749"/>
    <m/>
  </r>
  <r>
    <d v="2025-06-21T00:00:00"/>
    <x v="5"/>
    <n v="2604"/>
    <x v="0"/>
    <s v="RODRIGO BELLO"/>
    <s v="TECUACO"/>
    <s v="Archivador TECU  Caramelo"/>
    <n v="1"/>
    <x v="5"/>
    <s v="Bogotá y alrededores"/>
    <s v="Bogota"/>
    <x v="0"/>
    <s v="Envia"/>
    <s v="3423312 - 954101242427"/>
    <d v="2025-06-24T00:00:00"/>
    <d v="2025-06-26T00:00:00"/>
    <s v="Entregado"/>
    <n v="1"/>
    <n v="3"/>
    <s v="Cumple"/>
    <n v="54929"/>
    <m/>
  </r>
  <r>
    <d v="2025-06-21T00:00:00"/>
    <x v="5"/>
    <n v="2604"/>
    <x v="0"/>
    <s v="RODRIGO BELLO"/>
    <s v="TECUDSG"/>
    <s v="Desk Stool Gris Silla ajustable"/>
    <n v="1"/>
    <x v="4"/>
    <s v="Bogotá y alrededores"/>
    <s v="Bogota"/>
    <x v="0"/>
    <s v="Coordinadora"/>
    <s v="3423132 - 84151274353"/>
    <d v="2025-06-24T00:00:00"/>
    <d v="2025-06-26T00:00:00"/>
    <s v="Entregado"/>
    <n v="1"/>
    <n v="3"/>
    <s v="Cumple"/>
    <n v="26609"/>
    <m/>
  </r>
  <r>
    <d v="2025-06-21T00:00:00"/>
    <x v="5"/>
    <n v="2604"/>
    <x v="0"/>
    <s v="RODRIGO BELLO"/>
    <s v="TECUBDPA"/>
    <s v="Desk Pad B Negro Azul"/>
    <n v="1"/>
    <x v="0"/>
    <s v="Bogotá y alrededores"/>
    <s v="Bogota"/>
    <x v="0"/>
    <s v="Coordinadora"/>
    <s v="3423114 - 84151274344"/>
    <d v="2025-06-24T00:00:00"/>
    <d v="2025-06-26T00:00:00"/>
    <s v="Entregado"/>
    <n v="1"/>
    <n v="3"/>
    <s v="Cumple"/>
    <n v="16617"/>
    <m/>
  </r>
  <r>
    <d v="2025-06-21T00:00:00"/>
    <x v="5"/>
    <n v="2604"/>
    <x v="0"/>
    <s v="RODRIGO BELLO"/>
    <s v="TECUCT"/>
    <s v="Bandeja de cables"/>
    <n v="1"/>
    <x v="0"/>
    <s v="Bogotá y alrededores"/>
    <s v="Bogota"/>
    <x v="0"/>
    <s v="Coordinadora"/>
    <s v="3423184 - 84151274377"/>
    <d v="2025-06-24T00:00:00"/>
    <d v="2025-06-26T00:00:00"/>
    <s v="Entregado"/>
    <n v="1"/>
    <n v="3"/>
    <s v="Cumple"/>
    <n v="24885"/>
    <m/>
  </r>
  <r>
    <d v="2025-06-21T00:00:00"/>
    <x v="5"/>
    <n v="2604"/>
    <x v="0"/>
    <s v="RODRIGO BELLO"/>
    <s v="TECUROD"/>
    <s v="Rodachines con freno para Standing desk x 4 UN"/>
    <n v="1"/>
    <x v="7"/>
    <s v="Bogotá y alrededores"/>
    <s v="Bogota"/>
    <x v="0"/>
    <s v="Coordinadora"/>
    <s v="3423161 - 84151274363"/>
    <d v="2025-06-24T00:00:00"/>
    <d v="2025-06-26T00:00:00"/>
    <s v="Entregado"/>
    <n v="1"/>
    <n v="3"/>
    <s v="Cumple"/>
    <n v="23875"/>
    <m/>
  </r>
  <r>
    <d v="2025-06-24T00:00:00"/>
    <x v="5"/>
    <n v="2605"/>
    <x v="0"/>
    <s v="Julian David Montero Gonzalez"/>
    <s v="TECUCT"/>
    <s v="Bandeja de cables"/>
    <n v="1"/>
    <x v="0"/>
    <s v="Huila"/>
    <s v="Neiva"/>
    <x v="0"/>
    <s v="Coordinadora"/>
    <s v="3426486 - 84151275801"/>
    <d v="2025-06-25T00:00:00"/>
    <d v="2025-06-27T00:00:00"/>
    <s v="Entregado"/>
    <n v="1"/>
    <n v="3"/>
    <s v="Cumple"/>
    <n v="24885"/>
    <m/>
  </r>
  <r>
    <d v="2025-06-26T00:00:00"/>
    <x v="5"/>
    <n v="100006"/>
    <x v="0"/>
    <s v="Richard Ardila Hernandez"/>
    <s v="TECU3FNPRO"/>
    <s v="Electric Standing Desk  PRO Negro"/>
    <n v="1"/>
    <x v="1"/>
    <s v="Valle del Cauca"/>
    <s v="Cali"/>
    <x v="0"/>
    <s v="Coordinadora"/>
    <s v="3429229 - 84151277047"/>
    <d v="2025-06-25T00:00:00"/>
    <d v="2025-06-27T00:00:00"/>
    <s v="Entregado"/>
    <n v="-3"/>
    <n v="1"/>
    <s v="Cumple"/>
    <n v="47921"/>
    <m/>
  </r>
  <r>
    <d v="2025-06-26T00:00:00"/>
    <x v="5"/>
    <n v="100006"/>
    <x v="0"/>
    <s v="Richard Ardila Hernandez"/>
    <s v="TECUTRN8C"/>
    <s v="Superficie  Roble Negro 180x70 Clasico"/>
    <n v="1"/>
    <x v="2"/>
    <s v="Valle del Cauca"/>
    <s v="Cali"/>
    <x v="0"/>
    <s v="Coordinadora"/>
    <s v="3429352 - 84151277060"/>
    <d v="2025-06-25T00:00:00"/>
    <d v="2025-06-27T00:00:00"/>
    <s v="Entregado"/>
    <n v="-3"/>
    <n v="1"/>
    <s v="Cumple"/>
    <n v="29249"/>
    <m/>
  </r>
  <r>
    <d v="2025-06-26T00:00:00"/>
    <x v="5"/>
    <n v="100006"/>
    <x v="0"/>
    <s v="Richard Ardila Hernandez"/>
    <s v="TECUCT"/>
    <s v="Bandeja de cables"/>
    <n v="1"/>
    <x v="0"/>
    <s v="Valle del Cauca"/>
    <s v="Cali"/>
    <x v="0"/>
    <s v="Coordinadora"/>
    <s v="3429388 - 84151277073"/>
    <d v="2025-06-25T00:00:00"/>
    <d v="2025-06-27T00:00:00"/>
    <s v="Entregado"/>
    <n v="-3"/>
    <n v="1"/>
    <s v="Cumple"/>
    <n v="25429"/>
    <m/>
  </r>
  <r>
    <d v="2025-06-26T00:00:00"/>
    <x v="5"/>
    <n v="100006"/>
    <x v="0"/>
    <s v="Richard Ardila Hernandez"/>
    <s v="TECUROD"/>
    <s v="Rodachines con freno para Standing desk x 4 UN"/>
    <n v="1"/>
    <x v="7"/>
    <s v="Valle del Cauca"/>
    <s v="Cali"/>
    <x v="0"/>
    <s v="Coordinadora"/>
    <s v="3429407 - 84151277085"/>
    <d v="2025-06-25T00:00:00"/>
    <d v="2025-06-27T00:00:00"/>
    <s v="Entregado"/>
    <n v="-3"/>
    <n v="1"/>
    <s v="Cumple"/>
    <n v="23885"/>
    <m/>
  </r>
  <r>
    <d v="2025-06-26T00:00:00"/>
    <x v="5"/>
    <n v="100007"/>
    <x v="0"/>
    <s v="Andrea Prieto"/>
    <s v="TECU2FBGO"/>
    <s v="Electric Standing Desk GO Blanco"/>
    <n v="1"/>
    <x v="1"/>
    <s v="Caldas"/>
    <s v="Manizales"/>
    <x v="0"/>
    <s v="Coordinadora"/>
    <s v="3432184 - 84151278502"/>
    <d v="2025-06-27T00:00:00"/>
    <d v="2025-06-28T00:00:00"/>
    <s v="Entregado"/>
    <n v="1"/>
    <n v="2"/>
    <s v="Cumple"/>
    <n v="39156"/>
    <m/>
  </r>
  <r>
    <d v="2025-06-26T00:00:00"/>
    <x v="5"/>
    <n v="100007"/>
    <x v="0"/>
    <s v="Andrea Prieto"/>
    <s v="TECUTFE3C"/>
    <s v="Superficie  Fresno Europeo 130x70 Clasico"/>
    <n v="1"/>
    <x v="2"/>
    <s v="Caldas"/>
    <s v="Manizales"/>
    <x v="0"/>
    <s v="Coordinadora"/>
    <s v="3432197 - 84151278515"/>
    <d v="2025-06-27T00:00:00"/>
    <d v="2025-06-28T00:00:00"/>
    <s v="Entregado"/>
    <n v="1"/>
    <n v="2"/>
    <s v="Cumple"/>
    <n v="19694"/>
    <m/>
  </r>
  <r>
    <d v="2025-06-26T00:00:00"/>
    <x v="5"/>
    <n v="100008"/>
    <x v="0"/>
    <s v="Miguel Berrío Vélez"/>
    <s v="TECURCO"/>
    <s v="Repisa Caramelo"/>
    <n v="1"/>
    <x v="6"/>
    <s v="Antioquia"/>
    <s v="Carmen de Viboral"/>
    <x v="0"/>
    <s v="Coordinadora"/>
    <s v="3439945 - 84151281832"/>
    <d v="2025-07-01T00:00:00"/>
    <d v="2025-07-09T00:00:00"/>
    <s v="Entregado"/>
    <n v="3"/>
    <n v="10"/>
    <s v="No cumple"/>
    <n v="24619"/>
    <m/>
  </r>
  <r>
    <d v="2025-06-26T00:00:00"/>
    <x v="5"/>
    <n v="100008"/>
    <x v="0"/>
    <s v="Miguel Berrío Vélez"/>
    <s v="TECUACO"/>
    <s v="Archivador TECU  Caramelo"/>
    <n v="2"/>
    <x v="5"/>
    <s v="Antioquia"/>
    <s v="Carmen de Viboral"/>
    <x v="0"/>
    <s v="Coordinadora"/>
    <s v="3439918 - 84151281819 // 3438430 - 84151281038"/>
    <d v="2025-07-01T00:00:00"/>
    <d v="2025-07-09T00:00:00"/>
    <s v="Entregado"/>
    <n v="3"/>
    <n v="10"/>
    <s v="No cumple"/>
    <n v="113638"/>
    <m/>
  </r>
  <r>
    <d v="2025-06-26T00:00:00"/>
    <x v="5"/>
    <n v="100008"/>
    <x v="0"/>
    <s v="Miguel Berrío Vélez"/>
    <s v="TECUCT"/>
    <s v="Bandeja de cables"/>
    <n v="2"/>
    <x v="0"/>
    <s v="Antioquia"/>
    <s v="Carmen de Viboral"/>
    <x v="0"/>
    <s v="Coordinadora"/>
    <s v="3439976 - 84151281842"/>
    <d v="2025-07-01T00:00:00"/>
    <d v="2025-07-09T00:00:00"/>
    <s v="Entregado"/>
    <n v="3"/>
    <n v="10"/>
    <s v="No cumple"/>
    <n v="25429"/>
    <m/>
  </r>
  <r>
    <d v="2025-06-26T00:00:00"/>
    <x v="5"/>
    <n v="100009"/>
    <x v="0"/>
    <s v="Luccas Rojas"/>
    <s v="TECU3FNPRO"/>
    <s v="Electric Standing Desk  PRO Negro"/>
    <n v="1"/>
    <x v="1"/>
    <s v="Bogotá y alrededores"/>
    <s v="Bogota"/>
    <x v="0"/>
    <s v="Coordinadora"/>
    <s v="3432963 - 84151278934"/>
    <d v="2025-06-27T00:00:00"/>
    <d v="2025-07-02T00:00:00"/>
    <s v="Entregado"/>
    <n v="1"/>
    <n v="4"/>
    <s v="No cumple"/>
    <n v="47921"/>
    <m/>
  </r>
  <r>
    <d v="2025-06-26T00:00:00"/>
    <x v="5"/>
    <n v="100009"/>
    <x v="0"/>
    <s v="Luccas Rojas"/>
    <s v="TECUTRN20C"/>
    <s v="Superficie  Roble Negro 200x70 Clasico"/>
    <n v="1"/>
    <x v="2"/>
    <s v="Bogotá y alrededores"/>
    <s v="Bogota"/>
    <x v="0"/>
    <s v="Coordinadora"/>
    <s v="3432973 - 84151278941"/>
    <d v="2025-06-27T00:00:00"/>
    <d v="2025-07-01T00:00:00"/>
    <s v="Entregado"/>
    <n v="1"/>
    <n v="3"/>
    <s v="Cumple"/>
    <n v="33241"/>
    <m/>
  </r>
  <r>
    <d v="2025-06-26T00:00:00"/>
    <x v="5"/>
    <n v="100009"/>
    <x v="0"/>
    <s v="Luccas Rojas"/>
    <s v="TECUCT"/>
    <s v="Bandeja de cables"/>
    <n v="1"/>
    <x v="0"/>
    <s v="Bogotá y alrededores"/>
    <s v="Bogota"/>
    <x v="0"/>
    <s v="Coordinadora"/>
    <s v="3432983 - 84151278947"/>
    <d v="2025-06-27T00:00:00"/>
    <d v="2025-07-02T00:00:00"/>
    <s v="Entregado"/>
    <n v="1"/>
    <n v="4"/>
    <s v="No cumple"/>
    <n v="25429"/>
    <m/>
  </r>
  <r>
    <d v="2025-06-27T00:00:00"/>
    <x v="5"/>
    <n v="100010"/>
    <x v="0"/>
    <s v="Harlin Acero"/>
    <s v="TECURCO"/>
    <s v="Repisa Caramelo"/>
    <n v="1"/>
    <x v="6"/>
    <s v="Bogotá y alrededores"/>
    <s v="Bogota"/>
    <x v="0"/>
    <s v="Coordinadora"/>
    <s v="3432352 - 84151278593"/>
    <d v="2025-06-27T00:00:00"/>
    <d v="2025-07-01T00:00:00"/>
    <s v="Entregado"/>
    <n v="0"/>
    <n v="2"/>
    <s v="Cumple"/>
    <n v="24619"/>
    <m/>
  </r>
  <r>
    <d v="2025-06-27T00:00:00"/>
    <x v="5"/>
    <n v="100013"/>
    <x v="0"/>
    <s v="Thomas Masmela"/>
    <s v="TECU2FNG"/>
    <s v="Electric Standing Desk GO Negro"/>
    <n v="1"/>
    <x v="1"/>
    <s v="Antioquia"/>
    <s v="Envigado"/>
    <x v="0"/>
    <s v="Coordinadora"/>
    <s v="3433016 - 84151278966"/>
    <d v="2025-06-27T00:00:00"/>
    <d v="2025-06-28T00:00:00"/>
    <s v="Entregado"/>
    <n v="0"/>
    <n v="1"/>
    <s v="Cumple"/>
    <n v="47258"/>
    <m/>
  </r>
  <r>
    <d v="2025-06-27T00:00:00"/>
    <x v="5"/>
    <n v="100013"/>
    <x v="0"/>
    <s v="Thomas Masmela"/>
    <s v="TECUTCO4C"/>
    <s v="Superficie Caramelo 140x70 Clasico"/>
    <n v="1"/>
    <x v="2"/>
    <s v="Antioquia"/>
    <s v="Envigado"/>
    <x v="0"/>
    <s v="Coordinadora"/>
    <s v="3433028- 84151278970"/>
    <d v="2025-06-27T00:00:00"/>
    <d v="2025-06-28T00:00:00"/>
    <s v="Entregado"/>
    <n v="0"/>
    <n v="1"/>
    <s v="Cumple"/>
    <n v="27929"/>
    <m/>
  </r>
  <r>
    <d v="2025-06-28T00:00:00"/>
    <x v="5"/>
    <n v="100014"/>
    <x v="0"/>
    <s v="Hugo Alban"/>
    <s v="TECULFN2"/>
    <s v="Electric Standing Desk  En L Frame Negro 2.0"/>
    <n v="1"/>
    <x v="1"/>
    <s v="Bogotá y alrededores"/>
    <s v="Bogota"/>
    <x v="0"/>
    <s v="Coordinadora"/>
    <s v="3440083 - 84151281888"/>
    <d v="2025-07-01T00:00:00"/>
    <d v="2025-07-02T00:00:00"/>
    <s v="Entregado"/>
    <n v="1"/>
    <n v="2"/>
    <s v="Cumple"/>
    <n v="54562"/>
    <m/>
  </r>
  <r>
    <d v="2025-06-28T00:00:00"/>
    <x v="5"/>
    <n v="100014"/>
    <x v="0"/>
    <s v="Hugo Alban"/>
    <s v="TECUTLRNS"/>
    <s v="Superficie en L Roble Negro 180x150cm x 70"/>
    <n v="1"/>
    <x v="2"/>
    <s v="Bogotá y alrededores"/>
    <s v="Bogota"/>
    <x v="0"/>
    <s v="Coordinadora"/>
    <s v="3440105 - 84151281901"/>
    <d v="2025-07-01T00:00:00"/>
    <d v="2025-07-03T00:00:00"/>
    <s v="Entregado"/>
    <n v="1"/>
    <n v="3"/>
    <s v="Cumple"/>
    <n v="31249"/>
    <m/>
  </r>
  <r>
    <d v="2025-06-29T00:00:00"/>
    <x v="5"/>
    <n v="100015"/>
    <x v="0"/>
    <s v="Nicolas Arocha"/>
    <s v="TECUCT"/>
    <s v="Bandeja de cables"/>
    <n v="1"/>
    <x v="0"/>
    <s v="Bogotá y alrededores"/>
    <s v="Bogota"/>
    <x v="0"/>
    <s v="Coordinadora"/>
    <s v="3440457 - 84151282118"/>
    <d v="2025-07-01T00:00:00"/>
    <d v="2025-07-02T00:00:00"/>
    <s v="Entregado"/>
    <n v="0"/>
    <n v="1"/>
    <s v="Cumple"/>
    <n v="25429"/>
    <m/>
  </r>
  <r>
    <d v="2025-06-30T00:00:00"/>
    <x v="5"/>
    <n v="100016"/>
    <x v="0"/>
    <s v="David Alejandro Villa Agudelo"/>
    <s v="TECU3FNPRO"/>
    <s v="Electric Standing Desk  PRO Negro"/>
    <n v="1"/>
    <x v="1"/>
    <s v="Caldas"/>
    <s v="Manizales"/>
    <x v="0"/>
    <s v="Coordinadora"/>
    <s v="3443015 - 84151283088"/>
    <d v="2025-07-02T00:00:00"/>
    <d v="2025-07-03T00:00:00"/>
    <s v="Entregado"/>
    <n v="1"/>
    <n v="2"/>
    <s v="Cumple"/>
    <n v="39953"/>
    <m/>
  </r>
  <r>
    <d v="2025-06-30T00:00:00"/>
    <x v="5"/>
    <n v="100016"/>
    <x v="0"/>
    <s v="David Alejandro Villa Agudelo"/>
    <s v="TECUTFE3C"/>
    <s v="Superficie  Fresno Europeo 130x70 Clasico"/>
    <n v="1"/>
    <x v="2"/>
    <s v="Caldas"/>
    <s v="Manizales"/>
    <x v="0"/>
    <s v="Coordinadora"/>
    <s v="3443031 - 84151283096"/>
    <d v="2025-07-02T00:00:00"/>
    <d v="2025-07-03T00:00:00"/>
    <s v="Entregado"/>
    <n v="1"/>
    <n v="2"/>
    <s v="Cumple"/>
    <n v="19296"/>
    <m/>
  </r>
  <r>
    <d v="2025-07-01T00:00:00"/>
    <x v="6"/>
    <n v="100017"/>
    <x v="0"/>
    <s v="MODULARIS COLOMBIA SAS"/>
    <s v="TECU2FNG"/>
    <s v="Electric Standing Desk GO Negro"/>
    <n v="1"/>
    <x v="1"/>
    <s v="Valle del Cauca"/>
    <s v="Cali"/>
    <x v="0"/>
    <s v="Coordinadora"/>
    <s v="3502488-84151306580"/>
    <d v="2025-07-22T00:00:00"/>
    <d v="2025-07-25T00:00:00"/>
    <s v="Entregado"/>
    <n v="18"/>
    <n v="21"/>
    <s v="No cumple"/>
    <n v="41593"/>
    <m/>
  </r>
  <r>
    <d v="2025-07-01T00:00:00"/>
    <x v="6"/>
    <n v="100017"/>
    <x v="0"/>
    <s v="MODULARIS COLOMBIA SAS"/>
    <s v="TECUTFE6C"/>
    <s v="Superficie  Fresno Europeo 160x70 Clasico"/>
    <n v="1"/>
    <x v="2"/>
    <s v="Valle del Cauca"/>
    <s v="Cali"/>
    <x v="0"/>
    <s v="Coordinadora"/>
    <s v="3502490-84151306581"/>
    <d v="2025-07-22T00:00:00"/>
    <d v="2025-07-25T00:00:00"/>
    <s v="Entregado"/>
    <n v="18"/>
    <n v="21"/>
    <s v="No cumple"/>
    <n v="24093"/>
    <m/>
  </r>
  <r>
    <d v="2025-07-01T00:00:00"/>
    <x v="6"/>
    <n v="100017"/>
    <x v="0"/>
    <s v="MODULARIS COLOMBIA SAS"/>
    <s v="TECU2FNG"/>
    <s v="Electric Standing Desk GO Negro"/>
    <n v="1"/>
    <x v="1"/>
    <s v="Valle del Cauca"/>
    <s v="Cali"/>
    <x v="0"/>
    <s v="Coordinadora"/>
    <s v="3502491-84151306582"/>
    <d v="2025-07-22T00:00:00"/>
    <d v="2025-07-25T00:00:00"/>
    <s v="Entregado"/>
    <n v="18"/>
    <n v="21"/>
    <s v="No cumple"/>
    <n v="41593"/>
    <m/>
  </r>
  <r>
    <d v="2025-07-01T00:00:00"/>
    <x v="6"/>
    <n v="100017"/>
    <x v="0"/>
    <s v="MODULARIS COLOMBIA SAS"/>
    <s v="TECUTFE6C"/>
    <s v="Superficie  Fresno Europeo 160x70 Clasico"/>
    <n v="1"/>
    <x v="2"/>
    <s v="Valle del Cauca"/>
    <s v="Cali"/>
    <x v="0"/>
    <s v="Coordinadora"/>
    <s v="3502494-84151306584"/>
    <d v="2025-07-22T00:00:00"/>
    <d v="2025-07-25T00:00:00"/>
    <s v="Entregado"/>
    <n v="18"/>
    <n v="21"/>
    <s v="No cumple"/>
    <n v="24093"/>
    <m/>
  </r>
  <r>
    <d v="2025-07-01T00:00:00"/>
    <x v="6"/>
    <n v="100018"/>
    <x v="0"/>
    <s v="MODULARIS COLOMBIA SAS"/>
    <s v="TECU2FNG"/>
    <s v="Electric Standing Desk GO Negro"/>
    <n v="1"/>
    <x v="1"/>
    <s v="Bogotá y alrededores"/>
    <s v="Zipaquira"/>
    <x v="0"/>
    <s v="Coordinadora"/>
    <s v="3502518-84151306592"/>
    <d v="2025-07-22T00:00:00"/>
    <d v="2025-07-24T00:00:00"/>
    <s v="Entregado"/>
    <n v="18"/>
    <n v="20"/>
    <s v="No cumple"/>
    <n v="53871"/>
    <m/>
  </r>
  <r>
    <d v="2025-07-01T00:00:00"/>
    <x v="6"/>
    <n v="100018"/>
    <x v="0"/>
    <s v="MODULARIS COLOMBIA SAS"/>
    <s v="TECUTFE6C"/>
    <s v="Superficie  Fresno Europeo 160x70 Clasico"/>
    <n v="1"/>
    <x v="2"/>
    <s v="Bogotá y alrededores"/>
    <s v="Zipaquira"/>
    <x v="0"/>
    <s v="Coordinadora"/>
    <s v="3502519-84151306593"/>
    <d v="2025-07-22T00:00:00"/>
    <d v="2025-07-25T00:00:00"/>
    <s v="Entregado"/>
    <n v="18"/>
    <n v="21"/>
    <s v="No cumple"/>
    <n v="34179"/>
    <m/>
  </r>
  <r>
    <d v="2025-07-01T00:00:00"/>
    <x v="6"/>
    <n v="100019"/>
    <x v="0"/>
    <s v="MODULARIS COLOMBIA SAS"/>
    <s v="TECU3FNCRO"/>
    <s v="Electric Standing Desk  PRO Negro circular"/>
    <n v="1"/>
    <x v="1"/>
    <s v="Valle del Cauca"/>
    <s v="Cali"/>
    <x v="0"/>
    <s v="Coordinadora"/>
    <s v="3461574-84151290812"/>
    <d v="2025-07-08T00:00:00"/>
    <d v="2025-07-11T00:00:00"/>
    <s v="Entregado"/>
    <n v="6"/>
    <n v="9"/>
    <s v="No cumple"/>
    <n v="41593"/>
    <m/>
  </r>
  <r>
    <d v="2025-07-01T00:00:00"/>
    <x v="6"/>
    <n v="100019"/>
    <x v="0"/>
    <s v="MODULARIS COLOMBIA SAS"/>
    <s v="TECUTB7C"/>
    <s v="Superficie Niebla 170x70 Clasico"/>
    <n v="1"/>
    <x v="2"/>
    <s v="Valle del Cauca"/>
    <s v="Cali"/>
    <x v="0"/>
    <s v="Coordinadora"/>
    <s v="3461575-84151290813"/>
    <d v="2025-07-08T00:00:00"/>
    <d v="2025-07-11T00:00:00"/>
    <s v="Entregado"/>
    <n v="6"/>
    <n v="9"/>
    <s v="No cumple"/>
    <n v="26749"/>
    <m/>
  </r>
  <r>
    <d v="2025-07-01T00:00:00"/>
    <x v="6"/>
    <n v="100020"/>
    <x v="0"/>
    <s v="NAYIBE ORJUELA"/>
    <s v="TECUBDPM"/>
    <s v="Desk Pad B Negro Café Miel"/>
    <n v="2"/>
    <x v="0"/>
    <s v="Atlantico"/>
    <s v="Barranquilla"/>
    <x v="0"/>
    <s v="Coordinadora"/>
    <s v="3440751-84151282262"/>
    <d v="2025-07-01T00:00:00"/>
    <d v="2025-07-04T00:00:00"/>
    <s v="Entregado"/>
    <n v="0"/>
    <n v="3"/>
    <s v="Cumple"/>
    <n v="25585"/>
    <m/>
  </r>
  <r>
    <d v="2025-07-01T00:00:00"/>
    <x v="6"/>
    <n v="100021"/>
    <x v="0"/>
    <s v="Sergio Lopez"/>
    <s v="TECU3FNPRO"/>
    <s v="Electric Standing Desk  PRO Negro"/>
    <n v="1"/>
    <x v="1"/>
    <s v="Bogotá y alrededores"/>
    <s v="Bogota"/>
    <x v="0"/>
    <s v="Coordinadora"/>
    <s v="3444656-84151283663"/>
    <d v="2025-07-03T00:00:00"/>
    <d v="2025-07-07T00:00:00"/>
    <s v="Entregado"/>
    <n v="2"/>
    <n v="5"/>
    <s v="No cumple"/>
    <n v="47921"/>
    <m/>
  </r>
  <r>
    <d v="2025-07-01T00:00:00"/>
    <x v="6"/>
    <n v="100021"/>
    <x v="0"/>
    <s v="Sergio Lopez"/>
    <s v="TECUTCO20C"/>
    <s v="Superficie  Caramelo 200x70 Clasico"/>
    <n v="1"/>
    <x v="2"/>
    <s v="Bogotá y alrededores"/>
    <s v="Bogota"/>
    <x v="0"/>
    <s v="Coordinadora"/>
    <s v="3444683-84151283672"/>
    <d v="2025-07-03T00:00:00"/>
    <d v="2025-07-04T00:00:00"/>
    <s v="Entregado"/>
    <n v="2"/>
    <n v="3"/>
    <s v="Cumple"/>
    <n v="33241"/>
    <m/>
  </r>
  <r>
    <d v="2025-07-01T00:00:00"/>
    <x v="6"/>
    <n v="100021"/>
    <x v="0"/>
    <s v="Sergio Lopez"/>
    <s v="TECUCT"/>
    <s v="Bandeja de cables"/>
    <n v="1"/>
    <x v="0"/>
    <s v="Bogotá y alrededores"/>
    <s v="Bogota"/>
    <x v="0"/>
    <s v="Coordinadora"/>
    <s v="3444629-84151283647"/>
    <d v="2025-07-03T00:00:00"/>
    <d v="2025-07-07T00:00:00"/>
    <s v="Entregado"/>
    <n v="2"/>
    <n v="5"/>
    <s v="No cumple"/>
    <n v="25429"/>
    <m/>
  </r>
  <r>
    <d v="2025-07-01T00:00:00"/>
    <x v="6"/>
    <n v="100021"/>
    <x v="0"/>
    <s v="Sergio Lopez"/>
    <m/>
    <s v="Servicio de instalacion"/>
    <n v="1"/>
    <x v="3"/>
    <s v="Bogotá y alrededores"/>
    <s v="Bogota"/>
    <x v="0"/>
    <s v="Coordinadora"/>
    <s v="NA"/>
    <s v="NA"/>
    <s v="NA"/>
    <s v="Entregado"/>
    <e v="#VALUE!"/>
    <e v="#VALUE!"/>
    <e v="#VALUE!"/>
    <m/>
    <m/>
  </r>
  <r>
    <d v="2025-07-02T00:00:00"/>
    <x v="6"/>
    <n v="100022"/>
    <x v="0"/>
    <s v="Cristian Navarro"/>
    <s v="TECU3FNCRO"/>
    <s v="Electric Standing Desk  PRO Negro circular"/>
    <n v="1"/>
    <x v="1"/>
    <s v="Bogotá y alrededores"/>
    <s v="Bogota"/>
    <x v="0"/>
    <s v="Coordinadora"/>
    <s v="3448094-84151285130"/>
    <d v="2025-07-03T00:00:00"/>
    <d v="2025-07-08T00:00:00"/>
    <s v="Entregado"/>
    <n v="1"/>
    <n v="5"/>
    <s v="No cumple"/>
    <n v="47921"/>
    <m/>
  </r>
  <r>
    <d v="2025-07-02T00:00:00"/>
    <x v="6"/>
    <n v="100022"/>
    <x v="0"/>
    <s v="Cristian Navarro"/>
    <s v="TECUTFE5M"/>
    <s v="Superficie  Fresno Europeo 150x70 Moderno"/>
    <n v="1"/>
    <x v="2"/>
    <s v="Bogotá y alrededores"/>
    <s v="Bogota"/>
    <x v="0"/>
    <s v="Coordinadora"/>
    <s v="3448161-84151285156"/>
    <d v="2025-07-03T00:00:00"/>
    <d v="2025-07-07T00:00:00"/>
    <s v="Entregado"/>
    <n v="1"/>
    <n v="4"/>
    <s v="No cumple"/>
    <n v="28593"/>
    <m/>
  </r>
  <r>
    <d v="2025-07-02T00:00:00"/>
    <x v="6"/>
    <n v="100022"/>
    <x v="0"/>
    <s v="Cristian Navarro"/>
    <s v="TECUCT"/>
    <s v="Bandeja de cables"/>
    <n v="1"/>
    <x v="0"/>
    <s v="Bogotá y alrededores"/>
    <s v="Bogota"/>
    <x v="0"/>
    <s v="Coordinadora"/>
    <s v="3448170-84151285159"/>
    <d v="2025-07-03T00:00:00"/>
    <d v="2025-07-08T00:00:00"/>
    <s v="Entregado"/>
    <n v="1"/>
    <n v="5"/>
    <s v="No cumple"/>
    <n v="25429"/>
    <m/>
  </r>
  <r>
    <d v="2025-07-02T00:00:00"/>
    <x v="6"/>
    <n v="100022"/>
    <x v="0"/>
    <s v="Cristian Navarro"/>
    <s v="TECUROD"/>
    <s v="Rodachines con freno para Standing desk x 4 UN"/>
    <n v="1"/>
    <x v="7"/>
    <s v="Bogotá y alrededores"/>
    <s v="Bogota"/>
    <x v="0"/>
    <s v="Coordinadora"/>
    <s v="3448184-84151285163"/>
    <d v="2025-07-03T00:00:00"/>
    <d v="2025-07-08T00:00:00"/>
    <s v="Entregado"/>
    <n v="1"/>
    <n v="5"/>
    <s v="No cumple"/>
    <n v="23885"/>
    <m/>
  </r>
  <r>
    <d v="2025-07-04T00:00:00"/>
    <x v="6"/>
    <n v="100023"/>
    <x v="0"/>
    <s v="Oscar Castro"/>
    <s v="TECU2FBGO"/>
    <s v="Electric Standing Desk GO Blanco"/>
    <n v="1"/>
    <x v="1"/>
    <s v="Valle del Cauca"/>
    <s v="Palmira"/>
    <x v="0"/>
    <s v="Coordinadora"/>
    <s v="3450640-84151286233"/>
    <d v="2025-07-04T00:00:00"/>
    <d v="2025-07-09T00:00:00"/>
    <s v="Entregado"/>
    <n v="0"/>
    <n v="4"/>
    <s v="No cumple"/>
    <n v="46593"/>
    <m/>
  </r>
  <r>
    <d v="2025-07-04T00:00:00"/>
    <x v="6"/>
    <n v="100023"/>
    <x v="0"/>
    <s v="Oscar Castro"/>
    <s v="TECUTFE2C"/>
    <s v="Superficie  Fresno Europeo 120x70 Clasico Small"/>
    <n v="1"/>
    <x v="2"/>
    <s v="Valle del Cauca"/>
    <s v="Palmira"/>
    <x v="0"/>
    <s v="Coordinadora"/>
    <s v="3450778-84151286248"/>
    <d v="2025-07-04T00:00:00"/>
    <d v="2025-07-09T00:00:00"/>
    <s v="Entregado"/>
    <n v="0"/>
    <n v="4"/>
    <s v="No cumple"/>
    <n v="28929"/>
    <m/>
  </r>
  <r>
    <d v="2025-07-05T00:00:00"/>
    <x v="6"/>
    <n v="100024"/>
    <x v="0"/>
    <s v="Hernando Uribe"/>
    <s v="TECU3FBCRO"/>
    <s v="Electric Standing Desk  PRO Blanco circular"/>
    <n v="1"/>
    <x v="1"/>
    <s v="Bogotá y alrededores"/>
    <s v="Bogota"/>
    <x v="0"/>
    <s v="Coordinadora"/>
    <s v="3461465-84151290787"/>
    <d v="2025-07-09T00:00:00"/>
    <d v="2025-07-11T00:00:00"/>
    <s v="Entregado"/>
    <n v="3"/>
    <n v="5"/>
    <s v="No cumple"/>
    <n v="41593"/>
    <m/>
  </r>
  <r>
    <d v="2025-07-05T00:00:00"/>
    <x v="6"/>
    <n v="100024"/>
    <x v="0"/>
    <s v="Hernando Uribe"/>
    <s v="TECUTB2C"/>
    <s v="Superficie Niebla 120x70 Clasico Small"/>
    <n v="1"/>
    <x v="2"/>
    <s v="Bogotá y alrededores"/>
    <s v="Bogota"/>
    <x v="0"/>
    <s v="Coordinadora"/>
    <s v="3461468-84151290789"/>
    <d v="2025-07-09T00:00:00"/>
    <d v="2025-07-11T00:00:00"/>
    <s v="Entregado"/>
    <n v="3"/>
    <n v="5"/>
    <s v="No cumple"/>
    <n v="24093"/>
    <m/>
  </r>
  <r>
    <d v="2025-07-05T00:00:00"/>
    <x v="6"/>
    <n v="100024"/>
    <x v="0"/>
    <s v="Hernando Uribe"/>
    <s v="TECUCT"/>
    <s v="Bandeja de cables"/>
    <n v="1"/>
    <x v="0"/>
    <s v="Bogotá y alrededores"/>
    <s v="Bogota"/>
    <x v="0"/>
    <s v="Coordinadora"/>
    <s v="3461582-84151290821"/>
    <d v="2025-07-09T00:00:00"/>
    <d v="2025-07-11T00:00:00"/>
    <s v="Entregado"/>
    <n v="3"/>
    <n v="5"/>
    <s v="No cumple"/>
    <n v="25429"/>
    <m/>
  </r>
  <r>
    <d v="2025-07-05T00:00:00"/>
    <x v="6"/>
    <n v="100025"/>
    <x v="0"/>
    <s v="Miguel Angel Diaz Rodríguez"/>
    <s v="TECULFN2"/>
    <s v="Electric Standing Desk  En L Frame Negro 2.0"/>
    <n v="1"/>
    <x v="1"/>
    <s v="Bogotá y alrededores"/>
    <s v="Bogota"/>
    <x v="0"/>
    <s v="Coordinadora"/>
    <s v="3456415-84151288616"/>
    <d v="2025-07-07T00:00:00"/>
    <d v="2025-07-10T00:00:00"/>
    <s v="Entregado"/>
    <n v="1"/>
    <n v="4"/>
    <s v="No cumple"/>
    <n v="62530"/>
    <m/>
  </r>
  <r>
    <d v="2025-07-05T00:00:00"/>
    <x v="6"/>
    <n v="100025"/>
    <x v="0"/>
    <s v="Miguel Angel Diaz Rodríguez"/>
    <s v="TECUTLCCS"/>
    <s v="Superficie  en L Caramelo 180x150cm x 70"/>
    <n v="1"/>
    <x v="2"/>
    <s v="Bogotá y alrededores"/>
    <s v="Bogota"/>
    <x v="0"/>
    <s v="Coordinadora"/>
    <s v="3456252-84151288525"/>
    <d v="2025-07-07T00:00:00"/>
    <d v="2025-07-09T00:00:00"/>
    <s v="Entregado"/>
    <n v="1"/>
    <n v="3"/>
    <s v="Cumple"/>
    <n v="26749"/>
    <m/>
  </r>
  <r>
    <d v="2025-07-07T00:00:00"/>
    <x v="6"/>
    <n v="100029"/>
    <x v="0"/>
    <s v="Jhon Fredy Rincon Santamaria"/>
    <s v="TECU3FNPRO"/>
    <s v="Electric Standing Desk  PRO Negro"/>
    <n v="1"/>
    <x v="1"/>
    <s v="Bogotá y alrededores"/>
    <s v="Bogota"/>
    <x v="0"/>
    <s v="Coordinadora"/>
    <s v="3461970-84151290869"/>
    <d v="2025-07-09T00:00:00"/>
    <d v="2025-07-10T00:00:00"/>
    <s v="Entregado"/>
    <n v="2"/>
    <n v="3"/>
    <s v="Cumple"/>
    <n v="41593"/>
    <m/>
  </r>
  <r>
    <d v="2025-07-07T00:00:00"/>
    <x v="6"/>
    <n v="100029"/>
    <x v="0"/>
    <s v="Jhon Fredy Rincon Santamaria"/>
    <s v="TECUTRM8C"/>
    <s v="Superficie Roble Miel 180x70 Clasico"/>
    <n v="1"/>
    <x v="2"/>
    <s v="Bogotá y alrededores"/>
    <s v="Bogota"/>
    <x v="0"/>
    <s v="Coordinadora"/>
    <s v="3461971-84151290870"/>
    <d v="2025-07-09T00:00:00"/>
    <d v="2025-07-10T00:00:00"/>
    <s v="Entregado"/>
    <n v="2"/>
    <n v="3"/>
    <s v="Cumple"/>
    <n v="26749"/>
    <m/>
  </r>
  <r>
    <d v="2025-07-07T00:00:00"/>
    <x v="6"/>
    <n v="100029"/>
    <x v="0"/>
    <s v="Jhon Fredy Rincon Santamaria"/>
    <s v="TECUCT"/>
    <s v="Bandeja de cables"/>
    <n v="1"/>
    <x v="0"/>
    <s v="Bogotá y alrededores"/>
    <s v="Bogota"/>
    <x v="0"/>
    <s v="Coordinadora"/>
    <s v="3462523-84151291069"/>
    <d v="2025-07-08T00:00:00"/>
    <d v="2025-07-10T00:00:00"/>
    <s v="Entregado"/>
    <n v="1"/>
    <n v="3"/>
    <s v="Cumple"/>
    <n v="25429"/>
    <m/>
  </r>
  <r>
    <d v="2025-07-07T00:00:00"/>
    <x v="6"/>
    <n v="100029"/>
    <x v="0"/>
    <s v="Jhon Fredy Rincon Santamaria"/>
    <s v="TECUROD"/>
    <s v="Rodachines con freno para Standing desk x 4 UN"/>
    <n v="1"/>
    <x v="7"/>
    <s v="Bogotá y alrededores"/>
    <s v="Bogota"/>
    <x v="0"/>
    <s v="Coordinadora"/>
    <s v="3462380-84151291048"/>
    <d v="2025-07-08T00:00:00"/>
    <d v="2025-07-10T00:00:00"/>
    <s v="Entregado"/>
    <n v="1"/>
    <n v="3"/>
    <s v="Cumple"/>
    <n v="19031"/>
    <m/>
  </r>
  <r>
    <d v="2025-07-07T00:00:00"/>
    <x v="6"/>
    <n v="100029"/>
    <x v="3"/>
    <s v="Jhon Fredy Rincon Santamaria"/>
    <s v="TECU3FNPRO"/>
    <s v="Electric Standing Desk  PRO Negro"/>
    <n v="1"/>
    <x v="1"/>
    <s v="Bogotá y alrededores"/>
    <s v="Bogota"/>
    <x v="0"/>
    <s v="Coordinadora"/>
    <s v="3472571-84151295219"/>
    <d v="2025-07-11T00:00:00"/>
    <d v="2025-07-14T00:00:00"/>
    <s v="Entregado"/>
    <n v="4"/>
    <n v="6"/>
    <s v="No cumple"/>
    <n v="47921"/>
    <s v="Se despachan por error circulares sin serlo inicilamente"/>
  </r>
  <r>
    <d v="2025-07-07T00:00:00"/>
    <x v="6"/>
    <n v="100030"/>
    <x v="0"/>
    <s v="LEONARDO FONSECA"/>
    <s v="TECUBDPA"/>
    <s v="Desk Pad B Negro Azul"/>
    <n v="1"/>
    <x v="0"/>
    <s v="Bogotá y alrededores"/>
    <s v="Bogota"/>
    <x v="0"/>
    <s v="Coordinadora"/>
    <s v="3457094-84151288948"/>
    <d v="2025-07-07T00:00:00"/>
    <d v="2025-07-09T00:00:00"/>
    <s v="Entregado"/>
    <n v="0"/>
    <n v="2"/>
    <s v="Cumple"/>
    <n v="23975"/>
    <m/>
  </r>
  <r>
    <d v="2025-07-07T00:00:00"/>
    <x v="6"/>
    <n v="100031"/>
    <x v="0"/>
    <s v="Mauricio Andres Ortega Marin"/>
    <s v="TECU2FNG"/>
    <s v="Electric Standing Desk GO Negro"/>
    <n v="1"/>
    <x v="1"/>
    <s v="Antioquia"/>
    <s v="Rionegro"/>
    <x v="0"/>
    <s v="Coordinadora"/>
    <s v="3461731-84151290825"/>
    <d v="2025-07-08T00:00:00"/>
    <d v="2025-07-09T00:00:00"/>
    <s v="Entregado"/>
    <n v="1"/>
    <n v="2"/>
    <s v="Cumple"/>
    <n v="41593"/>
    <m/>
  </r>
  <r>
    <d v="2025-07-07T00:00:00"/>
    <x v="6"/>
    <n v="100031"/>
    <x v="0"/>
    <s v="Mauricio Andres Ortega Marin"/>
    <s v="TECUTCO6C"/>
    <s v="Superficie  Caramelo 160x70 Clasico"/>
    <n v="1"/>
    <x v="2"/>
    <s v="Antioquia"/>
    <s v="Rionegro"/>
    <x v="0"/>
    <s v="Coordinadora"/>
    <s v="3461733-84151290827"/>
    <d v="2025-07-08T00:00:00"/>
    <d v="2025-07-09T00:00:00"/>
    <s v="Entregado"/>
    <n v="1"/>
    <n v="2"/>
    <s v="Cumple"/>
    <n v="24093"/>
    <m/>
  </r>
  <r>
    <d v="2025-07-07T00:00:00"/>
    <x v="6"/>
    <n v="100031"/>
    <x v="0"/>
    <s v="Mauricio Andres Ortega Marin"/>
    <s v="TECUBDPA"/>
    <s v="Desk Pad B Negro Azul"/>
    <n v="1"/>
    <x v="0"/>
    <s v="Antioquia"/>
    <s v="Rionegro"/>
    <x v="0"/>
    <s v="Coordinadora"/>
    <s v="3461848-84151290849"/>
    <d v="2025-07-08T00:00:00"/>
    <d v="2025-07-09T00:00:00"/>
    <s v="Entregado"/>
    <n v="1"/>
    <n v="2"/>
    <s v="Cumple"/>
    <n v="23975"/>
    <m/>
  </r>
  <r>
    <d v="2025-07-07T00:00:00"/>
    <x v="6"/>
    <n v="100031"/>
    <x v="0"/>
    <s v="Mauricio Andres Ortega Marin"/>
    <s v="TECUCT"/>
    <s v="Bandeja de cables"/>
    <n v="1"/>
    <x v="0"/>
    <s v="Antioquia"/>
    <s v="Rionegro"/>
    <x v="0"/>
    <s v="Coordinadora"/>
    <s v="3461864-84151290858"/>
    <d v="2025-07-08T00:00:00"/>
    <d v="2025-07-09T00:00:00"/>
    <s v="Entregado"/>
    <n v="1"/>
    <n v="2"/>
    <s v="Cumple"/>
    <n v="25429"/>
    <m/>
  </r>
  <r>
    <d v="2025-07-07T00:00:00"/>
    <x v="6"/>
    <n v="100031"/>
    <x v="0"/>
    <s v="Mauricio Andres Ortega Marin"/>
    <m/>
    <s v="Servicio de instalacion"/>
    <n v="1"/>
    <x v="3"/>
    <s v="Antioquia"/>
    <s v="Rionegro"/>
    <x v="0"/>
    <s v="Coordinadora"/>
    <s v="NA"/>
    <s v="NA"/>
    <s v="NA"/>
    <s v="Entregado"/>
    <e v="#VALUE!"/>
    <e v="#VALUE!"/>
    <e v="#VALUE!"/>
    <m/>
    <m/>
  </r>
  <r>
    <d v="2025-07-09T00:00:00"/>
    <x v="6"/>
    <n v="100032"/>
    <x v="0"/>
    <s v="Claudia Martinez"/>
    <s v="TECU3FNPRO"/>
    <s v="Electric Standing Desk  PRO Negro"/>
    <n v="1"/>
    <x v="1"/>
    <s v="Bogotá y alrededores"/>
    <s v="Bogota"/>
    <x v="0"/>
    <s v="Coordinadora"/>
    <s v="3465164-84151292097"/>
    <d v="2025-07-09T00:00:00"/>
    <d v="2025-07-11T00:00:00"/>
    <s v="Entregado"/>
    <n v="0"/>
    <n v="2"/>
    <s v="Cumple"/>
    <n v="42921"/>
    <m/>
  </r>
  <r>
    <d v="2025-07-09T00:00:00"/>
    <x v="6"/>
    <n v="100033"/>
    <x v="0"/>
    <s v="Juan Pablo Garrido"/>
    <s v="TECU3FBRO"/>
    <s v="Electric Standing Desk  PRO Blanco"/>
    <n v="1"/>
    <x v="1"/>
    <s v="Bogotá y alrededores"/>
    <s v="Bogota"/>
    <x v="0"/>
    <s v="Coordinadora"/>
    <s v="3465267-84151292166"/>
    <d v="2025-07-09T00:00:00"/>
    <d v="2025-07-10T00:00:00"/>
    <s v="Entregado"/>
    <n v="0"/>
    <n v="1"/>
    <s v="Cumple"/>
    <n v="41593"/>
    <m/>
  </r>
  <r>
    <d v="2025-07-09T00:00:00"/>
    <x v="6"/>
    <n v="100033"/>
    <x v="0"/>
    <s v="Juan Pablo Garrido"/>
    <s v="TECUTFE5C"/>
    <s v="Superficie  Fresno Europeo 150x70 Clasico"/>
    <n v="1"/>
    <x v="2"/>
    <s v="Bogotá y alrededores"/>
    <s v="Bogota"/>
    <x v="0"/>
    <s v="Coordinadora"/>
    <s v="3465269-84151292168"/>
    <d v="2025-07-09T00:00:00"/>
    <d v="2025-07-10T00:00:00"/>
    <s v="Entregado"/>
    <n v="0"/>
    <n v="1"/>
    <s v="Cumple"/>
    <n v="24093"/>
    <m/>
  </r>
  <r>
    <d v="2025-07-09T00:00:00"/>
    <x v="6"/>
    <n v="100033"/>
    <x v="0"/>
    <s v="Juan Pablo Garrido"/>
    <s v="TECUCT"/>
    <s v="Bandeja de cables"/>
    <n v="1"/>
    <x v="0"/>
    <s v="Bogotá y alrededores"/>
    <s v="Bogota"/>
    <x v="0"/>
    <s v="Coordinadora"/>
    <s v="3465340-84151292209"/>
    <d v="2025-07-09T00:00:00"/>
    <d v="2025-07-10T00:00:00"/>
    <s v="Entregado"/>
    <n v="0"/>
    <n v="1"/>
    <s v="Cumple"/>
    <n v="25429"/>
    <m/>
  </r>
  <r>
    <d v="2025-07-09T00:00:00"/>
    <x v="6"/>
    <n v="100033"/>
    <x v="0"/>
    <s v="Juan Pablo Garrido"/>
    <s v="TECUBDPA"/>
    <s v="Desk Pad B Negro Azul"/>
    <n v="1"/>
    <x v="0"/>
    <s v="Bogotá y alrededores"/>
    <s v="Bogota"/>
    <x v="0"/>
    <s v="Coordinadora"/>
    <s v="3465309-84151292197"/>
    <d v="2025-07-09T00:00:00"/>
    <d v="2025-07-10T00:00:00"/>
    <s v="Entregado"/>
    <n v="0"/>
    <n v="1"/>
    <s v="Cumple"/>
    <n v="19131"/>
    <m/>
  </r>
  <r>
    <d v="2025-07-09T00:00:00"/>
    <x v="6"/>
    <n v="100033"/>
    <x v="0"/>
    <s v="Juan Pablo Garrido"/>
    <s v="TECUAFE"/>
    <s v="Archivador TECU Fresno Europeo"/>
    <n v="1"/>
    <x v="5"/>
    <s v="Bogotá y alrededores"/>
    <s v="Bogota"/>
    <x v="0"/>
    <s v="Envia"/>
    <s v="3465205-954101253251"/>
    <d v="2025-07-09T00:00:00"/>
    <d v="2025-07-10T00:00:00"/>
    <s v="Entregado"/>
    <n v="0"/>
    <n v="1"/>
    <s v="Cumple"/>
    <n v="54929"/>
    <m/>
  </r>
  <r>
    <d v="2025-07-09T00:00:00"/>
    <x v="6"/>
    <n v="100033"/>
    <x v="0"/>
    <s v="Juan Pablo Garrido"/>
    <m/>
    <s v="Servicio de instalacion"/>
    <n v="1"/>
    <x v="3"/>
    <s v="Bogotá y alrededores"/>
    <s v="Bogota"/>
    <x v="0"/>
    <s v="Coordinadora"/>
    <s v="NA"/>
    <s v="NA"/>
    <s v="NA"/>
    <s v="Entregado"/>
    <e v="#VALUE!"/>
    <e v="#VALUE!"/>
    <e v="#VALUE!"/>
    <n v="0"/>
    <m/>
  </r>
  <r>
    <d v="2025-07-09T00:00:00"/>
    <x v="6"/>
    <n v="100033"/>
    <x v="3"/>
    <s v="Juan Pablo Garrido"/>
    <s v="TECU3FBRO"/>
    <s v="Electric Standing Desk  PRO Blanco"/>
    <n v="1"/>
    <x v="1"/>
    <s v="Bogotá y alrededores"/>
    <s v="Bogota"/>
    <x v="0"/>
    <s v="Coordinadora"/>
    <s v="3469342-84151293871"/>
    <d v="2025-07-10T00:00:00"/>
    <d v="2025-07-11T00:00:00"/>
    <s v="Entregado"/>
    <n v="1"/>
    <n v="2"/>
    <s v="Cumple"/>
    <n v="47921"/>
    <s v="Se despachan por error circulares sin serlo inicilamente"/>
  </r>
  <r>
    <d v="2025-07-09T00:00:00"/>
    <x v="6"/>
    <n v="100034"/>
    <x v="0"/>
    <s v="LUIS FERNANDO AMEZQUITA VASQUEZ"/>
    <s v="TECUAFE"/>
    <s v="Archivador TECU Fresno Europeo"/>
    <n v="1"/>
    <x v="5"/>
    <s v="Bogotá y alrededores"/>
    <s v="Bogota"/>
    <x v="0"/>
    <s v="Envia"/>
    <s v="3477954-954101256343"/>
    <d v="2025-07-14T00:00:00"/>
    <d v="2025-07-15T00:00:00"/>
    <s v="Entregado"/>
    <n v="4"/>
    <n v="5"/>
    <s v="No cumple"/>
    <n v="54929"/>
    <m/>
  </r>
  <r>
    <d v="2025-07-09T00:00:00"/>
    <x v="6"/>
    <n v="100036"/>
    <x v="0"/>
    <s v="felipe lopera"/>
    <s v="TECU3FNPRO"/>
    <s v="Electric Standing Desk  PRO Negro"/>
    <n v="1"/>
    <x v="1"/>
    <s v="Bogotá y alrededores"/>
    <s v="Bogota"/>
    <x v="0"/>
    <s v="Coordinadora"/>
    <s v="3466116-84151292584"/>
    <d v="2025-07-09T00:00:00"/>
    <d v="2025-07-10T00:00:00"/>
    <s v="Entregado"/>
    <n v="0"/>
    <n v="1"/>
    <s v="Cumple"/>
    <n v="41593"/>
    <m/>
  </r>
  <r>
    <d v="2025-07-09T00:00:00"/>
    <x v="6"/>
    <n v="100036"/>
    <x v="0"/>
    <s v="felipe lopera"/>
    <s v="TECUTFE7C"/>
    <s v="Superficie  Fresno Europeo 170x70 Clasico"/>
    <n v="1"/>
    <x v="2"/>
    <s v="Bogotá y alrededores"/>
    <s v="Bogota"/>
    <x v="0"/>
    <s v="Coordinadora"/>
    <s v="3466118-84151292586"/>
    <d v="2025-07-09T00:00:00"/>
    <d v="2025-07-11T00:00:00"/>
    <s v="Entregado"/>
    <n v="0"/>
    <n v="2"/>
    <s v="Cumple"/>
    <n v="26749"/>
    <m/>
  </r>
  <r>
    <d v="2025-07-09T00:00:00"/>
    <x v="6"/>
    <n v="100036"/>
    <x v="3"/>
    <s v="felipe lopera"/>
    <s v="TECU3FNPRO"/>
    <s v="Electric Standing Desk  PRO Negro"/>
    <n v="1"/>
    <x v="1"/>
    <s v="Bogotá y alrededores"/>
    <s v="Bogota"/>
    <x v="0"/>
    <s v="Coordinadora"/>
    <s v="3469382-84151293880"/>
    <d v="2025-07-10T00:00:00"/>
    <d v="2025-07-11T00:00:00"/>
    <s v="Entregado"/>
    <n v="1"/>
    <n v="2"/>
    <s v="Cumple"/>
    <n v="47921"/>
    <s v="Se despachan por error circulares sin serlo inicilamente"/>
  </r>
  <r>
    <d v="2025-07-09T00:00:00"/>
    <x v="6"/>
    <n v="100037"/>
    <x v="0"/>
    <s v="Juan Camilo Cardenas"/>
    <s v="TECU2FNG"/>
    <s v="Electric Standing Desk GO Negro"/>
    <n v="1"/>
    <x v="1"/>
    <s v="Risaralda"/>
    <s v="Pereira"/>
    <x v="0"/>
    <s v="Coordinadora"/>
    <s v="3465432-84151292246"/>
    <d v="2025-07-09T00:00:00"/>
    <d v="2025-07-10T00:00:00"/>
    <s v="Entregado"/>
    <n v="0"/>
    <n v="1"/>
    <s v="Cumple"/>
    <n v="34156"/>
    <m/>
  </r>
  <r>
    <d v="2025-07-09T00:00:00"/>
    <x v="6"/>
    <n v="100037"/>
    <x v="0"/>
    <s v="Juan Camilo Cardenas"/>
    <s v="TECUTCO6C"/>
    <s v="Superficie  Caramelo 160x70 Clasico"/>
    <n v="1"/>
    <x v="2"/>
    <s v="Risaralda"/>
    <s v="Pereira"/>
    <x v="0"/>
    <s v="Coordinadora"/>
    <s v="3465433-84151292247"/>
    <d v="2025-07-09T00:00:00"/>
    <d v="2025-07-10T00:00:00"/>
    <s v="Entregado"/>
    <n v="0"/>
    <n v="1"/>
    <s v="Cumple"/>
    <n v="15194"/>
    <m/>
  </r>
  <r>
    <d v="2025-07-09T00:00:00"/>
    <x v="6"/>
    <n v="100038"/>
    <x v="0"/>
    <s v="RAG TECH SAS"/>
    <s v="TECU3FNPRO"/>
    <s v="Electric Standing Desk  PRO Negro"/>
    <n v="1"/>
    <x v="1"/>
    <s v="Bogotá y alrededores"/>
    <s v="Bogota"/>
    <x v="0"/>
    <s v="Coordinadora"/>
    <s v="3468988-84151293735"/>
    <d v="2025-07-10T00:00:00"/>
    <d v="2025-07-12T00:00:00"/>
    <s v="Entregado"/>
    <n v="1"/>
    <n v="3"/>
    <s v="Cumple"/>
    <n v="47921"/>
    <m/>
  </r>
  <r>
    <d v="2025-07-09T00:00:00"/>
    <x v="6"/>
    <n v="100038"/>
    <x v="0"/>
    <s v="RAG TECH SAS"/>
    <s v="TECUTFE6M"/>
    <s v="Superficie  Fresno Europeo 160x70 Moderno"/>
    <n v="1"/>
    <x v="2"/>
    <s v="Bogotá y alrededores"/>
    <s v="Bogota"/>
    <x v="0"/>
    <s v="Coordinadora"/>
    <s v="3468420-84151293439"/>
    <d v="2025-07-10T00:00:00"/>
    <d v="2025-07-12T00:00:00"/>
    <s v="Entregado"/>
    <n v="1"/>
    <n v="3"/>
    <s v="Cumple"/>
    <n v="24093"/>
    <m/>
  </r>
  <r>
    <d v="2025-07-10T00:00:00"/>
    <x v="6"/>
    <n v="100039"/>
    <x v="0"/>
    <s v="Santiago Chica"/>
    <s v="TECU3FNPRO"/>
    <s v="Electric Standing Desk  PRO Negro"/>
    <n v="1"/>
    <x v="1"/>
    <s v="Bogotá y alrededores"/>
    <s v="Bogota"/>
    <x v="0"/>
    <s v="Coordinadora"/>
    <s v="3490689-84151301558"/>
    <d v="2025-07-17T00:00:00"/>
    <d v="2025-07-18T00:00:00"/>
    <s v="Entregado"/>
    <n v="6"/>
    <n v="7"/>
    <s v="No cumple"/>
    <n v="41593"/>
    <m/>
  </r>
  <r>
    <d v="2025-07-10T00:00:00"/>
    <x v="6"/>
    <n v="100039"/>
    <x v="0"/>
    <s v="Santiago Chica"/>
    <s v="TECUTCO2C"/>
    <s v="Superficie  Caramelo 120x70 Clasico Small"/>
    <n v="1"/>
    <x v="2"/>
    <s v="Bogotá y alrededores"/>
    <s v="Bogota"/>
    <x v="0"/>
    <s v="Coordinadora"/>
    <s v="3490690-84151301559"/>
    <d v="2025-07-17T00:00:00"/>
    <d v="2025-07-18T00:00:00"/>
    <s v="Entregado"/>
    <n v="6"/>
    <n v="7"/>
    <s v="No cumple"/>
    <n v="24093"/>
    <m/>
  </r>
  <r>
    <d v="2025-07-11T00:00:00"/>
    <x v="6"/>
    <n v="100040"/>
    <x v="0"/>
    <s v="jhon roa"/>
    <s v="TECU3FNPRO"/>
    <s v="Electric Standing Desk  PRO Negro"/>
    <n v="1"/>
    <x v="1"/>
    <s v="Bogotá y alrededores"/>
    <s v="Bogota"/>
    <x v="0"/>
    <s v="Coordinadora"/>
    <s v="3477995-84151296827"/>
    <d v="2025-07-14T00:00:00"/>
    <d v="2025-07-15T00:00:00"/>
    <s v="Entregado"/>
    <n v="2"/>
    <n v="3"/>
    <s v="Cumple"/>
    <n v="41593"/>
    <m/>
  </r>
  <r>
    <d v="2025-07-11T00:00:00"/>
    <x v="6"/>
    <n v="100040"/>
    <x v="0"/>
    <s v="jhon roa"/>
    <s v="TECUTRN6C"/>
    <s v="Superficie  Roble Negro 160x70 Clasico"/>
    <n v="1"/>
    <x v="2"/>
    <s v="Bogotá y alrededores"/>
    <s v="Bogota"/>
    <x v="0"/>
    <s v="Coordinadora"/>
    <s v="3477996-84151296828"/>
    <d v="2025-07-14T00:00:00"/>
    <d v="2025-07-16T00:00:00"/>
    <s v="Entregado"/>
    <n v="2"/>
    <n v="4"/>
    <s v="No cumple"/>
    <n v="24093"/>
    <m/>
  </r>
  <r>
    <d v="2025-07-11T00:00:00"/>
    <x v="6"/>
    <n v="100040"/>
    <x v="0"/>
    <s v="jhon roa"/>
    <m/>
    <s v="Servicio de instalacion"/>
    <n v="1"/>
    <x v="3"/>
    <s v="Bogotá y alrededores"/>
    <s v="Bogota"/>
    <x v="0"/>
    <s v="Coordinadora"/>
    <s v="NA"/>
    <s v="NA"/>
    <s v="NA"/>
    <s v="Entregado"/>
    <e v="#VALUE!"/>
    <e v="#VALUE!"/>
    <e v="#VALUE!"/>
    <m/>
    <m/>
  </r>
  <r>
    <d v="2025-07-14T00:00:00"/>
    <x v="6"/>
    <n v="100041"/>
    <x v="0"/>
    <s v="Andrea Guerra"/>
    <s v="TECU2FBGO"/>
    <s v="Electric Standing Desk GO Blanco"/>
    <n v="1"/>
    <x v="1"/>
    <s v="Antioquia"/>
    <s v="Sabaneta"/>
    <x v="0"/>
    <s v="Coordinadora"/>
    <s v="3479281-84151297305"/>
    <d v="2025-07-14T00:00:00"/>
    <d v="2025-07-15T00:00:00"/>
    <s v="Entregado"/>
    <n v="0"/>
    <n v="1"/>
    <s v="Cumple"/>
    <n v="41593"/>
    <m/>
  </r>
  <r>
    <d v="2025-07-14T00:00:00"/>
    <x v="6"/>
    <n v="100041"/>
    <x v="0"/>
    <s v="Andrea Guerra"/>
    <s v="TECUTFE2C"/>
    <s v="Superficie  Fresno Europeo 120x70 Clasico Small"/>
    <n v="1"/>
    <x v="2"/>
    <s v="Antioquia"/>
    <s v="Sabaneta"/>
    <x v="0"/>
    <s v="Coordinadora"/>
    <s v="3479284-84151297307"/>
    <d v="2025-07-14T00:00:00"/>
    <d v="2025-07-15T00:00:00"/>
    <s v="Entregado"/>
    <n v="0"/>
    <n v="1"/>
    <s v="Cumple"/>
    <n v="24093"/>
    <m/>
  </r>
  <r>
    <d v="2025-07-15T00:00:00"/>
    <x v="6"/>
    <n v="100042"/>
    <x v="0"/>
    <s v="Santiago Muñoz Ortega"/>
    <s v="TECU3FNPRO"/>
    <s v="Electric Standing Desk  PRO Negro"/>
    <n v="1"/>
    <x v="1"/>
    <s v="Antioquia"/>
    <s v="Medellin"/>
    <x v="0"/>
    <s v="Coordinadora"/>
    <s v="3482378-84151298529"/>
    <d v="2025-07-15T00:00:00"/>
    <d v="2025-07-16T00:00:00"/>
    <s v="Entregado"/>
    <n v="0"/>
    <n v="1"/>
    <s v="Cumple"/>
    <n v="41593"/>
    <m/>
  </r>
  <r>
    <d v="2025-07-15T00:00:00"/>
    <x v="6"/>
    <n v="100042"/>
    <x v="0"/>
    <s v="Santiago Muñoz Ortega"/>
    <s v="TECUTCO6M"/>
    <s v="Superficie  Caramelo 160x70 Moderno"/>
    <n v="1"/>
    <x v="2"/>
    <s v="Antioquia"/>
    <s v="Medellin"/>
    <x v="0"/>
    <s v="Coordinadora"/>
    <s v="3482380-84151298530"/>
    <d v="2025-07-15T00:00:00"/>
    <d v="2025-07-16T00:00:00"/>
    <s v="Entregado"/>
    <n v="0"/>
    <n v="1"/>
    <s v="Cumple"/>
    <n v="24093"/>
    <m/>
  </r>
  <r>
    <d v="2025-07-15T00:00:00"/>
    <x v="6"/>
    <n v="100043"/>
    <x v="0"/>
    <s v="Cesar Augusto Mancipe Sanabria"/>
    <s v="TECU3FNPRO"/>
    <s v="Electric Standing Desk  PRO Negro"/>
    <n v="1"/>
    <x v="1"/>
    <s v="Bogotá y alrededores"/>
    <s v="Bogota"/>
    <x v="0"/>
    <s v="Coordinadora"/>
    <s v="3487504-84151300216"/>
    <d v="2025-07-16T00:00:00"/>
    <d v="2025-07-17T00:00:00"/>
    <s v="Entregado"/>
    <n v="1"/>
    <n v="2"/>
    <s v="Cumple"/>
    <n v="41593"/>
    <m/>
  </r>
  <r>
    <d v="2025-07-15T00:00:00"/>
    <x v="6"/>
    <n v="100043"/>
    <x v="0"/>
    <s v="Cesar Augusto Mancipe Sanabria"/>
    <s v="TECUTB2C"/>
    <s v="Superficie Niebla 120x70 Clasico Small"/>
    <n v="1"/>
    <x v="2"/>
    <s v="Bogotá y alrededores"/>
    <s v="Bogota"/>
    <x v="0"/>
    <s v="Coordinadora"/>
    <s v="3487505-84151300217"/>
    <d v="2025-07-16T00:00:00"/>
    <d v="2025-07-18T00:00:00"/>
    <s v="Entregado"/>
    <n v="1"/>
    <n v="3"/>
    <s v="Cumple"/>
    <n v="24093"/>
    <m/>
  </r>
  <r>
    <d v="2025-07-16T00:00:00"/>
    <x v="6"/>
    <n v="100044"/>
    <x v="0"/>
    <s v="Juan Gomez"/>
    <s v="TECUCT"/>
    <s v="Bandeja de cables"/>
    <n v="1"/>
    <x v="0"/>
    <s v="Bogotá y alrededores"/>
    <s v="Bogota"/>
    <x v="0"/>
    <s v="Coordinadora"/>
    <s v="3488737-84151300710"/>
    <d v="2025-07-16T00:00:00"/>
    <d v="2025-07-17T00:00:00"/>
    <s v="Entregado"/>
    <n v="0"/>
    <n v="1"/>
    <s v="Cumple"/>
    <n v="25429"/>
    <m/>
  </r>
  <r>
    <d v="2025-07-16T00:00:00"/>
    <x v="6"/>
    <n v="100045"/>
    <x v="0"/>
    <s v="Laura Beltran"/>
    <s v="TECU2FNG"/>
    <s v="Electric Standing Desk GO Negro"/>
    <n v="1"/>
    <x v="1"/>
    <s v="Bogotá y alrededores"/>
    <s v="Bogota"/>
    <x v="0"/>
    <s v="Coordinadora"/>
    <s v="3490713-84151301572"/>
    <d v="2025-07-17T00:00:00"/>
    <d v="2025-07-18T00:00:00"/>
    <s v="Entregado"/>
    <n v="1"/>
    <n v="2"/>
    <s v="Cumple"/>
    <n v="41593"/>
    <m/>
  </r>
  <r>
    <d v="2025-07-16T00:00:00"/>
    <x v="6"/>
    <n v="100045"/>
    <x v="0"/>
    <s v="Laura Beltran"/>
    <s v="TECUTFE4C"/>
    <s v="Superficie  Fresno Europeo 140x70 Clasico"/>
    <n v="1"/>
    <x v="2"/>
    <s v="Bogotá y alrededores"/>
    <s v="Bogota"/>
    <x v="0"/>
    <s v="Coordinadora"/>
    <s v="3490717-84151301574"/>
    <d v="2025-07-17T00:00:00"/>
    <d v="2025-07-18T00:00:00"/>
    <s v="Entregado"/>
    <n v="1"/>
    <n v="2"/>
    <s v="Cumple"/>
    <n v="24093"/>
    <m/>
  </r>
  <r>
    <d v="2025-07-16T00:00:00"/>
    <x v="6"/>
    <n v="100045"/>
    <x v="0"/>
    <s v="Laura Beltran"/>
    <m/>
    <s v="Servicio de instalacion"/>
    <n v="1"/>
    <x v="3"/>
    <s v="Bogotá y alrededores"/>
    <s v="Bogota"/>
    <x v="0"/>
    <s v="Coordinadora"/>
    <s v="NA"/>
    <s v="NA"/>
    <s v="NA"/>
    <s v="Entregado"/>
    <e v="#VALUE!"/>
    <e v="#VALUE!"/>
    <e v="#VALUE!"/>
    <m/>
    <m/>
  </r>
  <r>
    <d v="2025-07-16T00:00:00"/>
    <x v="6"/>
    <n v="100046"/>
    <x v="0"/>
    <s v="Lenna Maria Vides Sanchez"/>
    <s v="TECU2FNG"/>
    <s v="Electric Standing Desk GO Negro"/>
    <n v="1"/>
    <x v="1"/>
    <s v="Antioquia"/>
    <s v="Medellin"/>
    <x v="0"/>
    <s v="Coordinadora"/>
    <s v="3487537-84151300233"/>
    <d v="2025-07-16T00:00:00"/>
    <d v="2025-07-17T00:00:00"/>
    <s v="Entregado"/>
    <n v="0"/>
    <n v="1"/>
    <s v="Cumple"/>
    <n v="41593"/>
    <m/>
  </r>
  <r>
    <d v="2025-07-16T00:00:00"/>
    <x v="6"/>
    <n v="100046"/>
    <x v="0"/>
    <s v="Lenna Maria Vides Sanchez"/>
    <s v="TECUTCO6C"/>
    <s v="Superficie  Caramelo 160x70 Clasico"/>
    <n v="1"/>
    <x v="2"/>
    <s v="Antioquia"/>
    <s v="Medellin"/>
    <x v="0"/>
    <s v="Coordinadora"/>
    <s v="3487538-84151300234"/>
    <d v="2025-07-16T00:00:00"/>
    <d v="2025-07-17T00:00:00"/>
    <s v="Entregado"/>
    <n v="0"/>
    <n v="1"/>
    <s v="Cumple"/>
    <n v="24093"/>
    <m/>
  </r>
  <r>
    <d v="2025-07-16T00:00:00"/>
    <x v="6"/>
    <n v="100046"/>
    <x v="0"/>
    <s v="Lenna Maria Vides Sanchez"/>
    <s v="TECUCT"/>
    <s v="Bandeja de cables"/>
    <n v="1"/>
    <x v="0"/>
    <s v="Antioquia"/>
    <s v="Medellin"/>
    <x v="0"/>
    <s v="Coordinadora"/>
    <s v="3488580-84151300694"/>
    <d v="2025-07-16T00:00:00"/>
    <d v="2025-07-17T00:00:00"/>
    <s v="Entregado"/>
    <n v="0"/>
    <n v="1"/>
    <s v="Cumple"/>
    <n v="25429"/>
    <m/>
  </r>
  <r>
    <d v="2025-07-16T00:00:00"/>
    <x v="6"/>
    <n v="100046"/>
    <x v="0"/>
    <s v="Lenna Maria Vides Sanchez"/>
    <m/>
    <s v="Servicio de instalacion"/>
    <n v="1"/>
    <x v="3"/>
    <s v="Antioquia"/>
    <s v="Medellin"/>
    <x v="0"/>
    <s v="Coordinadora"/>
    <s v="NA"/>
    <s v="NA"/>
    <s v="NA"/>
    <s v="Entregado"/>
    <e v="#VALUE!"/>
    <e v="#VALUE!"/>
    <e v="#VALUE!"/>
    <m/>
    <m/>
  </r>
  <r>
    <d v="2025-07-16T00:00:00"/>
    <x v="6"/>
    <n v="100047"/>
    <x v="0"/>
    <s v="Mario Martinez"/>
    <s v="TECUCT"/>
    <s v="Bandeja de cables"/>
    <n v="1"/>
    <x v="0"/>
    <s v="Bogotá y alrededores"/>
    <s v="Bogota"/>
    <x v="0"/>
    <s v="Coordinadora"/>
    <s v="3491793-84151302100"/>
    <d v="2025-07-17T00:00:00"/>
    <d v="2025-07-18T00:00:00"/>
    <s v="Entregado"/>
    <n v="1"/>
    <n v="2"/>
    <s v="Cumple"/>
    <n v="25429"/>
    <m/>
  </r>
  <r>
    <d v="2025-07-16T00:00:00"/>
    <x v="6"/>
    <n v="100047"/>
    <x v="0"/>
    <s v="Mario Martinez"/>
    <s v="TECUBDPA"/>
    <s v="Desk Pad B Negro Azul"/>
    <n v="1"/>
    <x v="0"/>
    <s v="Bogotá y alrededores"/>
    <s v="Bogota"/>
    <x v="0"/>
    <s v="Coordinadora"/>
    <s v="3491773-84151302096"/>
    <d v="2025-07-17T00:00:00"/>
    <d v="2025-07-18T00:00:00"/>
    <s v="Entregado"/>
    <n v="1"/>
    <n v="2"/>
    <s v="Cumple"/>
    <n v="23975"/>
    <m/>
  </r>
  <r>
    <d v="2025-07-19T00:00:00"/>
    <x v="6"/>
    <n v="100048"/>
    <x v="0"/>
    <s v="Andrés Godoy"/>
    <s v="TECURCO"/>
    <s v="Repisa Caramelo"/>
    <n v="1"/>
    <x v="6"/>
    <s v="Bogotá y alrededores"/>
    <s v="Cajica"/>
    <x v="0"/>
    <s v="Coordinadora"/>
    <s v="3499232-84151305173"/>
    <d v="2025-07-21T00:00:00"/>
    <d v="2025-07-23T00:00:00"/>
    <s v="Entregado"/>
    <n v="1"/>
    <n v="3"/>
    <s v="Cumple"/>
    <n v="23429"/>
    <m/>
  </r>
  <r>
    <d v="2025-07-22T00:00:00"/>
    <x v="6"/>
    <n v="100049"/>
    <x v="0"/>
    <s v="Cristian Gabriel Contreras Garcia"/>
    <s v="TECU3FNPRO"/>
    <s v="Electric Standing Desk  PRO Negro"/>
    <n v="1"/>
    <x v="1"/>
    <s v="Norte de Santander"/>
    <s v="Cucuta"/>
    <x v="0"/>
    <s v="Coordinadora"/>
    <s v="3503307-84151306936"/>
    <d v="2025-07-22T00:00:00"/>
    <d v="2025-07-25T00:00:00"/>
    <s v="Entregado"/>
    <n v="0"/>
    <n v="3"/>
    <e v="#N/A"/>
    <n v="59835"/>
    <m/>
  </r>
  <r>
    <d v="2025-07-22T00:00:00"/>
    <x v="6"/>
    <n v="100049"/>
    <x v="0"/>
    <s v="Cristian Gabriel Contreras Garcia"/>
    <s v="TECUTCO7C"/>
    <s v="Superficie  Caramelo 170x70 Clasico"/>
    <n v="1"/>
    <x v="2"/>
    <s v="Norte de Santander"/>
    <s v="Cucuta"/>
    <x v="0"/>
    <s v="Coordinadora"/>
    <s v="3503308-84151306937"/>
    <d v="2025-07-22T00:00:00"/>
    <d v="2025-07-26T00:00:00"/>
    <s v="Entregado"/>
    <n v="0"/>
    <n v="4"/>
    <e v="#N/A"/>
    <n v="44340"/>
    <m/>
  </r>
  <r>
    <d v="2025-07-22T00:00:00"/>
    <x v="6"/>
    <n v="100049"/>
    <x v="0"/>
    <s v="Cristian Gabriel Contreras Garcia"/>
    <s v="TECUCT"/>
    <s v="Bandeja de cables"/>
    <n v="1"/>
    <x v="0"/>
    <s v="Norte de Santander"/>
    <s v="Cucuta"/>
    <x v="0"/>
    <s v="Coordinadora"/>
    <s v="3503344-84151306944"/>
    <d v="2025-07-22T00:00:00"/>
    <d v="2025-07-26T00:00:00"/>
    <s v="Entregado"/>
    <n v="0"/>
    <n v="4"/>
    <e v="#N/A"/>
    <n v="24885"/>
    <m/>
  </r>
  <r>
    <d v="2025-07-22T00:00:00"/>
    <x v="6"/>
    <n v="100050"/>
    <x v="0"/>
    <s v="César Forero"/>
    <s v="TECUCT"/>
    <s v="Bandeja de cables"/>
    <n v="1"/>
    <x v="0"/>
    <s v="Bogotá y alrededores"/>
    <s v="Bogota"/>
    <x v="0"/>
    <s v="Coordinadora"/>
    <s v="3503249-84151306899"/>
    <d v="2025-07-22T00:00:00"/>
    <d v="2025-07-23T00:00:00"/>
    <s v="Entregado"/>
    <n v="0"/>
    <n v="1"/>
    <s v="Cumple"/>
    <n v="24885"/>
    <m/>
  </r>
  <r>
    <d v="2025-07-22T00:00:00"/>
    <x v="6"/>
    <n v="100050"/>
    <x v="0"/>
    <s v="César Forero"/>
    <s v="TECURFE"/>
    <s v="Repisa TECU Fresno Europeo"/>
    <n v="1"/>
    <x v="6"/>
    <s v="Bogotá y alrededores"/>
    <s v="Bogota"/>
    <x v="0"/>
    <s v="Coordinadora"/>
    <s v="3503254-84151306903"/>
    <d v="2025-07-22T00:00:00"/>
    <d v="2025-07-23T00:00:00"/>
    <s v="Entregado"/>
    <n v="0"/>
    <n v="1"/>
    <s v="Cumple"/>
    <n v="23429"/>
    <m/>
  </r>
  <r>
    <d v="2025-07-22T00:00:00"/>
    <x v="6"/>
    <n v="100051"/>
    <x v="0"/>
    <s v="GitLab Foundation"/>
    <s v="TECU2FBGO"/>
    <s v="Electric Standing Desk GO Blanco"/>
    <n v="1"/>
    <x v="1"/>
    <s v="Bogotá y alrededores"/>
    <s v="Bogota"/>
    <x v="0"/>
    <s v="Coordinadora"/>
    <s v="3508776-84151309296"/>
    <d v="2025-07-24T00:00:00"/>
    <d v="2025-07-25T00:00:00"/>
    <s v="Entregado"/>
    <n v="2"/>
    <n v="3"/>
    <s v="Cumple"/>
    <n v="41593"/>
    <m/>
  </r>
  <r>
    <d v="2025-07-22T00:00:00"/>
    <x v="6"/>
    <n v="100051"/>
    <x v="0"/>
    <s v="GitLab Foundation"/>
    <s v="TECUTFE2C"/>
    <s v="Superficie  Fresno Europeo 120x70 Clasico Small"/>
    <n v="1"/>
    <x v="2"/>
    <s v="Bogotá y alrededores"/>
    <s v="Bogota"/>
    <x v="0"/>
    <s v="Coordinadora"/>
    <s v="3508778-84151309298"/>
    <d v="2025-07-24T00:00:00"/>
    <d v="2025-07-26T00:00:00"/>
    <s v="Entregado"/>
    <n v="2"/>
    <n v="4"/>
    <s v="No cumple"/>
    <n v="24093"/>
    <m/>
  </r>
  <r>
    <d v="2025-07-22T00:00:00"/>
    <x v="6"/>
    <n v="100052"/>
    <x v="0"/>
    <s v="Jorge Andres Diaz Naranjo"/>
    <s v="TECULFN2"/>
    <s v="Electric Standing Desk  En L Frame Negro 2.0"/>
    <n v="1"/>
    <x v="1"/>
    <s v="Bogotá y alrededores"/>
    <s v="Bogota"/>
    <x v="0"/>
    <s v="Coordinadora"/>
    <s v="3506037-84151308167"/>
    <d v="2025-07-23T00:00:00"/>
    <d v="2025-07-25T00:00:00"/>
    <s v="Entregado"/>
    <n v="1"/>
    <n v="3"/>
    <s v="Cumple"/>
    <n v="62530"/>
    <m/>
  </r>
  <r>
    <d v="2025-07-22T00:00:00"/>
    <x v="6"/>
    <n v="100052"/>
    <x v="0"/>
    <s v="Jorge Andres Diaz Naranjo"/>
    <s v="TECUTLCCS"/>
    <s v="Superficie  en L Caramelo 180x150cm x 70"/>
    <n v="1"/>
    <x v="2"/>
    <s v="Bogotá y alrededores"/>
    <s v="Bogota"/>
    <x v="0"/>
    <s v="Coordinadora"/>
    <s v="3506038-84151308168"/>
    <d v="2025-07-23T00:00:00"/>
    <d v="2025-07-24T00:00:00"/>
    <s v="Entregado"/>
    <n v="1"/>
    <n v="2"/>
    <s v="Cumple"/>
    <n v="26749"/>
    <m/>
  </r>
  <r>
    <d v="2025-07-22T00:00:00"/>
    <x v="6"/>
    <n v="100052"/>
    <x v="0"/>
    <s v="Jorge Andres Diaz Naranjo"/>
    <s v="TECUBDPA"/>
    <s v="Desk Pad B Negro Azul"/>
    <n v="1"/>
    <x v="0"/>
    <s v="Bogotá y alrededores"/>
    <s v="Bogota"/>
    <x v="0"/>
    <s v="Coordinadora"/>
    <s v="3506051-84151308176"/>
    <d v="2025-07-23T00:00:00"/>
    <d v="2025-07-24T00:00:00"/>
    <s v="Entregado"/>
    <n v="1"/>
    <n v="2"/>
    <s v="Cumple"/>
    <n v="16617"/>
    <m/>
  </r>
  <r>
    <d v="2025-07-24T00:00:00"/>
    <x v="6"/>
    <n v="100053"/>
    <x v="0"/>
    <s v="John Alejandro Nuñez Giraldo"/>
    <s v="TECU2FBGO"/>
    <s v="Electric Standing Desk GO Blanco"/>
    <n v="1"/>
    <x v="1"/>
    <s v="Antioquia"/>
    <s v="Marinilla"/>
    <x v="0"/>
    <s v="Coordinadora"/>
    <s v="3508852-84151309317"/>
    <d v="2025-07-24T00:00:00"/>
    <d v="2025-07-25T00:00:00"/>
    <s v="Entregado"/>
    <n v="0"/>
    <n v="1"/>
    <s v="Cumple"/>
    <n v="41593"/>
    <m/>
  </r>
  <r>
    <d v="2025-07-24T00:00:00"/>
    <x v="6"/>
    <n v="100053"/>
    <x v="0"/>
    <s v="John Alejandro Nuñez Giraldo"/>
    <s v="TECUTB3C"/>
    <s v="Superficie Niebla 130x70 Clasico"/>
    <n v="1"/>
    <x v="2"/>
    <s v="Antioquia"/>
    <s v="Marinilla"/>
    <x v="0"/>
    <s v="Coordinadora"/>
    <s v="3508854-84151309318"/>
    <d v="2025-07-24T00:00:00"/>
    <d v="2025-07-25T00:00:00"/>
    <s v="Entregado"/>
    <n v="0"/>
    <n v="1"/>
    <s v="Cumple"/>
    <n v="24093"/>
    <m/>
  </r>
  <r>
    <d v="2025-07-24T00:00:00"/>
    <x v="6"/>
    <n v="100053"/>
    <x v="0"/>
    <s v="John Alejandro Nuñez Giraldo"/>
    <s v="TECURB"/>
    <s v="Repisa Niebla"/>
    <n v="1"/>
    <x v="6"/>
    <s v="Antioquia"/>
    <s v="Marinilla"/>
    <x v="0"/>
    <s v="Coordinadora"/>
    <s v="NA"/>
    <s v="NA"/>
    <s v="NA"/>
    <s v="Entregado"/>
    <e v="#VALUE!"/>
    <e v="#VALUE!"/>
    <e v="#VALUE!"/>
    <n v="0"/>
    <m/>
  </r>
  <r>
    <d v="2025-07-25T00:00:00"/>
    <x v="6"/>
    <n v="100054"/>
    <x v="0"/>
    <s v="Andrés Sneider García Quintero"/>
    <s v="TECU3FNPRO"/>
    <s v="Electric Standing Desk  PRO Negro"/>
    <n v="1"/>
    <x v="1"/>
    <s v="Bogotá y alrededores"/>
    <s v="Bogota"/>
    <x v="0"/>
    <s v="Coordinadora"/>
    <s v="3512271-84151310773"/>
    <d v="2025-07-25T00:00:00"/>
    <d v="2025-07-28T00:00:00"/>
    <s v="Entregado"/>
    <n v="0"/>
    <n v="2"/>
    <s v="Cumple"/>
    <n v="41593"/>
    <m/>
  </r>
  <r>
    <d v="2025-07-25T00:00:00"/>
    <x v="6"/>
    <n v="100054"/>
    <x v="0"/>
    <s v="Andrés Sneider García Quintero"/>
    <s v="TECUTFE4C"/>
    <s v="Superficie  Fresno Europeo 140x70 Clasico"/>
    <n v="1"/>
    <x v="2"/>
    <s v="Bogotá y alrededores"/>
    <s v="Bogota"/>
    <x v="0"/>
    <s v="Coordinadora"/>
    <s v="3512274-84151310774"/>
    <d v="2025-07-25T00:00:00"/>
    <d v="2025-07-28T00:00:00"/>
    <s v="Entregado"/>
    <n v="0"/>
    <n v="2"/>
    <s v="Cumple"/>
    <n v="24093"/>
    <m/>
  </r>
  <r>
    <d v="2025-07-25T00:00:00"/>
    <x v="6"/>
    <n v="100054"/>
    <x v="0"/>
    <s v="Andrés Sneider García Quintero"/>
    <s v="TECUAFE"/>
    <s v="Archivador TECU Fresno Europeo"/>
    <n v="1"/>
    <x v="5"/>
    <s v="Bogotá y alrededores"/>
    <s v="Bogota"/>
    <x v="0"/>
    <s v="Coordinadora"/>
    <s v="3520404-954101266645"/>
    <d v="2025-07-29T00:00:00"/>
    <d v="2025-07-30T00:00:00"/>
    <s v="Entregado"/>
    <n v="3"/>
    <n v="4"/>
    <s v="No cumple"/>
    <n v="54929"/>
    <m/>
  </r>
  <r>
    <d v="2025-07-25T00:00:00"/>
    <x v="6"/>
    <n v="100055"/>
    <x v="0"/>
    <s v="Ivan Alberto Macea Hernandez"/>
    <s v="TECU2FBGO"/>
    <s v="Electric Standing Desk GO Blanco"/>
    <n v="1"/>
    <x v="1"/>
    <s v="Cordoba"/>
    <s v="Monteria"/>
    <x v="0"/>
    <s v="Coordinadora"/>
    <s v="3512355-84151310814"/>
    <d v="2025-07-25T00:00:00"/>
    <d v="2025-07-28T00:00:00"/>
    <s v="Entregado"/>
    <n v="0"/>
    <n v="2"/>
    <s v="Cumple"/>
    <n v="71764"/>
    <m/>
  </r>
  <r>
    <d v="2025-07-25T00:00:00"/>
    <x v="6"/>
    <n v="100055"/>
    <x v="0"/>
    <s v="Ivan Alberto Macea Hernandez"/>
    <s v="TECUTFE2C"/>
    <s v="Superficie  Fresno Europeo 120x70 Clasico Small"/>
    <n v="1"/>
    <x v="2"/>
    <s v="Cordoba"/>
    <s v="Monteria"/>
    <x v="0"/>
    <s v="Coordinadora"/>
    <s v="3512356-84151310815"/>
    <d v="2025-07-25T00:00:00"/>
    <d v="2025-07-28T00:00:00"/>
    <s v="Entregado"/>
    <n v="0"/>
    <n v="2"/>
    <s v="Cumple"/>
    <n v="48876"/>
    <m/>
  </r>
  <r>
    <d v="2025-07-28T00:00:00"/>
    <x v="6"/>
    <n v="100056"/>
    <x v="0"/>
    <s v="Jaider Martinez"/>
    <s v="TECULFN2"/>
    <s v="Electric Standing Desk  En L Frame Negro 2.0"/>
    <n v="1"/>
    <x v="1"/>
    <s v="Bogotá y alrededores"/>
    <s v="Bogota"/>
    <x v="0"/>
    <s v="Coordinadora"/>
    <s v="3512361-84151310817"/>
    <d v="2025-07-25T00:00:00"/>
    <d v="2025-07-28T00:00:00"/>
    <s v="Entregado"/>
    <n v="-4"/>
    <n v="0"/>
    <s v="Cumple"/>
    <n v="62530"/>
    <m/>
  </r>
  <r>
    <d v="2025-07-28T00:00:00"/>
    <x v="6"/>
    <n v="100056"/>
    <x v="0"/>
    <s v="Jaider Martinez"/>
    <s v="TECUTLFES"/>
    <s v="Superficie en L Fresno 180x150cm x 70"/>
    <n v="1"/>
    <x v="2"/>
    <s v="Bogotá y alrededores"/>
    <s v="Bogota"/>
    <x v="0"/>
    <s v="Coordinadora"/>
    <s v="3512362-84151310818"/>
    <d v="2025-07-25T00:00:00"/>
    <d v="2025-07-28T00:00:00"/>
    <s v="Entregado"/>
    <n v="-4"/>
    <n v="0"/>
    <s v="Cumple"/>
    <n v="26749"/>
    <m/>
  </r>
  <r>
    <d v="2025-07-28T00:00:00"/>
    <x v="6"/>
    <n v="100057"/>
    <x v="0"/>
    <s v="Cristian Gabriel Contreras Garcia"/>
    <s v="TECUBDPA"/>
    <s v="Desk Pad B Negro Azul"/>
    <n v="1"/>
    <x v="0"/>
    <s v="Norte de Santander"/>
    <s v="Cucuta"/>
    <x v="0"/>
    <s v="Coordinadora"/>
    <s v="3516572-84151312542"/>
    <d v="2025-07-28T00:00:00"/>
    <d v="2025-07-31T00:00:00"/>
    <s v="Entregado"/>
    <n v="0"/>
    <n v="3"/>
    <e v="#N/A"/>
    <n v="16617"/>
    <m/>
  </r>
  <r>
    <d v="2025-07-28T00:00:00"/>
    <x v="6"/>
    <n v="100058"/>
    <x v="0"/>
    <s v="Andres Felipe Parra Rojas"/>
    <s v="TECULFN2"/>
    <s v="Electric Standing Desk  En L Frame Negro 2.0"/>
    <n v="1"/>
    <x v="1"/>
    <s v="Bogotá y alrededores"/>
    <s v="Bogota"/>
    <x v="0"/>
    <s v="Coordinadora"/>
    <s v="3516587-84151312553"/>
    <d v="2025-07-30T00:00:00"/>
    <d v="2025-07-31T00:00:00"/>
    <s v="Entregado"/>
    <n v="2"/>
    <n v="3"/>
    <s v="Cumple"/>
    <n v="62530"/>
    <m/>
  </r>
  <r>
    <d v="2025-07-28T00:00:00"/>
    <x v="6"/>
    <n v="100058"/>
    <x v="0"/>
    <s v="Andres Felipe Parra Rojas"/>
    <s v="TECUTLRNS"/>
    <s v="Superficie en L Roble Negro 180x150cm x 70"/>
    <n v="1"/>
    <x v="2"/>
    <s v="Bogotá y alrededores"/>
    <s v="Bogota"/>
    <x v="0"/>
    <s v="Coordinadora"/>
    <s v="3516590-84151312555"/>
    <d v="2025-07-30T00:00:00"/>
    <d v="2025-07-31T00:00:00"/>
    <s v="Entregado"/>
    <n v="2"/>
    <n v="3"/>
    <s v="Cumple"/>
    <n v="26749"/>
    <m/>
  </r>
  <r>
    <d v="2025-07-28T00:00:00"/>
    <x v="6"/>
    <n v="100059"/>
    <x v="0"/>
    <s v="Maria Fernanda Almonacid Ibarra"/>
    <s v="TECU3FBRO"/>
    <s v="Electric Standing Desk  PRO Blanco"/>
    <n v="1"/>
    <x v="1"/>
    <s v="Bogotá y alrededores"/>
    <s v="Bogota"/>
    <x v="0"/>
    <s v="Coordinadora"/>
    <s v="3516629-84151312576"/>
    <d v="2025-07-28T00:00:00"/>
    <d v="2025-07-30T00:00:00"/>
    <s v="Entregado"/>
    <n v="0"/>
    <n v="2"/>
    <s v="Cumple"/>
    <n v="41593"/>
    <m/>
  </r>
  <r>
    <d v="2025-07-28T00:00:00"/>
    <x v="6"/>
    <n v="100059"/>
    <x v="0"/>
    <s v="Maria Fernanda Almonacid Ibarra"/>
    <s v="TECUTFE2C"/>
    <s v="Superficie  Fresno Europeo 120x70 Clasico Small"/>
    <n v="1"/>
    <x v="2"/>
    <s v="Bogotá y alrededores"/>
    <s v="Bogota"/>
    <x v="0"/>
    <s v="Coordinadora"/>
    <s v="3516631-84151312577"/>
    <d v="2025-07-28T00:00:00"/>
    <d v="2025-07-30T00:00:00"/>
    <s v="Entregado"/>
    <n v="0"/>
    <n v="2"/>
    <s v="Cumple"/>
    <n v="24093"/>
    <m/>
  </r>
  <r>
    <d v="2025-07-28T00:00:00"/>
    <x v="6"/>
    <n v="100060"/>
    <x v="0"/>
    <s v="Jhonatan Steven Yepes"/>
    <s v="TECU3FNCRO"/>
    <s v="Electric Standing Desk  PRO Negro circular"/>
    <n v="1"/>
    <x v="1"/>
    <s v="Antioquia"/>
    <s v="Bello"/>
    <x v="0"/>
    <s v="Coordinadora"/>
    <s v="3516669-84151312589"/>
    <d v="2025-07-28T00:00:00"/>
    <d v="2025-07-30T00:00:00"/>
    <s v="Entregado"/>
    <n v="0"/>
    <n v="2"/>
    <s v="Cumple"/>
    <n v="41593"/>
    <m/>
  </r>
  <r>
    <d v="2025-07-28T00:00:00"/>
    <x v="6"/>
    <n v="100060"/>
    <x v="0"/>
    <s v="Jhonatan Steven Yepes"/>
    <s v="TECUTCO7C"/>
    <s v="Superficie  Caramelo 170x70 Clasico"/>
    <n v="1"/>
    <x v="2"/>
    <s v="Antioquia"/>
    <s v="Bello"/>
    <x v="0"/>
    <s v="Coordinadora"/>
    <s v="3516672-84151312590"/>
    <d v="2025-07-28T00:00:00"/>
    <d v="2025-07-30T00:00:00"/>
    <s v="Entregado"/>
    <n v="0"/>
    <n v="2"/>
    <s v="Cumple"/>
    <n v="24093"/>
    <m/>
  </r>
  <r>
    <d v="2025-07-28T00:00:00"/>
    <x v="6"/>
    <n v="100061"/>
    <x v="0"/>
    <s v="Adán Osorio"/>
    <s v="TECU3FNCRO"/>
    <s v="Electric Standing Desk  PRO Negro circular"/>
    <n v="1"/>
    <x v="1"/>
    <s v="Bogotá y alrededores"/>
    <s v="Bogota"/>
    <x v="0"/>
    <s v="Coordinadora"/>
    <s v="3523422-84151315863"/>
    <d v="2025-07-30T00:00:00"/>
    <d v="2025-07-31T00:00:00"/>
    <s v="Entregado"/>
    <n v="2"/>
    <n v="3"/>
    <s v="Cumple"/>
    <n v="26749"/>
    <m/>
  </r>
  <r>
    <d v="2025-07-28T00:00:00"/>
    <x v="6"/>
    <n v="100061"/>
    <x v="0"/>
    <s v="Adán Osorio"/>
    <s v="TECUTCO7C"/>
    <s v="Superficie  Caramelo 170x70 Clasico"/>
    <n v="1"/>
    <x v="2"/>
    <s v="Bogotá y alrededores"/>
    <s v="Bogota"/>
    <x v="0"/>
    <s v="Coordinadora"/>
    <s v="3523261-84151315791"/>
    <d v="2025-07-30T00:00:00"/>
    <d v="2025-08-02T00:00:00"/>
    <s v="Entregado"/>
    <n v="2"/>
    <n v="5"/>
    <s v="No cumple"/>
    <n v="48585"/>
    <m/>
  </r>
  <r>
    <d v="2025-07-28T00:00:00"/>
    <x v="6"/>
    <n v="100061"/>
    <x v="1"/>
    <s v="Adán Osorio"/>
    <s v="TECUTCO7C"/>
    <s v="Superficie  Caramelo 170x70 Clasico"/>
    <n v="1"/>
    <x v="2"/>
    <s v="Bogotá y alrededores"/>
    <s v="Bogota"/>
    <x v="0"/>
    <s v="Coordinadora"/>
    <s v="3539304-84151322827"/>
    <d v="2025-08-05T00:00:00"/>
    <d v="2025-08-08T00:00:00"/>
    <s v="Entregado"/>
    <n v="7"/>
    <n v="9"/>
    <s v="No cumple"/>
    <n v="29921"/>
    <m/>
  </r>
  <r>
    <d v="2025-08-01T00:00:00"/>
    <x v="7"/>
    <n v="100062"/>
    <x v="0"/>
    <s v="Jesus Garcia"/>
    <s v="TECU2FNG"/>
    <s v="Electric Standing Desk GO Negro"/>
    <n v="1"/>
    <x v="1"/>
    <s v="Antioquia"/>
    <s v="Sabaneta"/>
    <x v="0"/>
    <s v="Coordinadora"/>
    <s v="3529308-84151318310"/>
    <d v="2025-08-01T00:00:00"/>
    <d v="2025-08-02T00:00:00"/>
    <s v="Entregado"/>
    <n v="0"/>
    <n v="1"/>
    <s v="Cumple"/>
    <n v="41593"/>
    <m/>
  </r>
  <r>
    <d v="2025-08-01T00:00:00"/>
    <x v="7"/>
    <n v="100062"/>
    <x v="0"/>
    <s v="Jesus Garcia"/>
    <s v="TECUTFE6C"/>
    <s v="Superficie  Fresno Europeo 160x70 Clasico"/>
    <n v="1"/>
    <x v="2"/>
    <s v="Antioquia"/>
    <s v="Sabaneta"/>
    <x v="0"/>
    <s v="Coordinadora"/>
    <s v="3529309-84151318311"/>
    <d v="2025-08-01T00:00:00"/>
    <d v="2025-08-02T00:00:00"/>
    <s v="Entregado"/>
    <n v="0"/>
    <n v="1"/>
    <s v="Cumple"/>
    <n v="24093"/>
    <m/>
  </r>
  <r>
    <d v="2025-08-02T00:00:00"/>
    <x v="7"/>
    <n v="100063"/>
    <x v="0"/>
    <s v="Martin Schuchardt"/>
    <s v="TECU3FNPRO"/>
    <s v="Electric Standing Desk  PRO Negro"/>
    <n v="1"/>
    <x v="1"/>
    <s v="Antioquia"/>
    <s v="Envigado"/>
    <x v="0"/>
    <s v="Coordinadora"/>
    <s v="3534501-84151320634"/>
    <d v="2025-08-04T00:00:00"/>
    <d v="2025-08-05T00:00:00"/>
    <s v="Entregado"/>
    <n v="1"/>
    <n v="2"/>
    <s v="Cumple"/>
    <n v="41593"/>
    <m/>
  </r>
  <r>
    <d v="2025-08-02T00:00:00"/>
    <x v="7"/>
    <n v="100063"/>
    <x v="0"/>
    <s v="Martin Schuchardt"/>
    <s v="TECUTFE7M"/>
    <s v="Superficie  Fresno Europeo 170x70 Moderno"/>
    <n v="1"/>
    <x v="2"/>
    <s v="Antioquia"/>
    <s v="Envigado"/>
    <x v="0"/>
    <s v="Coordinadora"/>
    <s v="3534503-84151320636"/>
    <d v="2025-08-04T00:00:00"/>
    <d v="2025-08-05T00:00:00"/>
    <s v="Entregado"/>
    <n v="1"/>
    <n v="2"/>
    <s v="Cumple"/>
    <n v="24093"/>
    <m/>
  </r>
  <r>
    <d v="2025-08-02T00:00:00"/>
    <x v="7"/>
    <n v="100063"/>
    <x v="0"/>
    <s v="Martin Schuchardt"/>
    <m/>
    <s v="Servicio de instalacion"/>
    <n v="1"/>
    <x v="3"/>
    <s v="Antioquia"/>
    <s v="Envigado"/>
    <x v="0"/>
    <s v="Coordinadora"/>
    <s v="NA"/>
    <s v="NA"/>
    <s v="NA"/>
    <s v="Entregado"/>
    <e v="#VALUE!"/>
    <e v="#VALUE!"/>
    <e v="#VALUE!"/>
    <n v="0"/>
    <m/>
  </r>
  <r>
    <d v="2025-08-03T00:00:00"/>
    <x v="7"/>
    <n v="100064"/>
    <x v="0"/>
    <s v="Jorge Delgado"/>
    <s v="TECU2FNG"/>
    <s v="Electric Standing Desk GO Negro"/>
    <n v="1"/>
    <x v="1"/>
    <s v="Antioquia"/>
    <s v="Medellin"/>
    <x v="0"/>
    <s v="Coordinadora"/>
    <s v="3534543-84151320660"/>
    <d v="2025-08-04T00:00:00"/>
    <d v="2025-08-05T00:00:00"/>
    <s v="Entregado"/>
    <n v="0"/>
    <n v="1"/>
    <s v="Cumple"/>
    <n v="41593"/>
    <m/>
  </r>
  <r>
    <d v="2025-08-03T00:00:00"/>
    <x v="7"/>
    <n v="100064"/>
    <x v="0"/>
    <s v="Jorge Delgado"/>
    <s v="TECUTFE5C"/>
    <s v="Superficie  Fresno Europeo 150x70 Clasico"/>
    <n v="1"/>
    <x v="2"/>
    <s v="Antioquia"/>
    <s v="Medellin"/>
    <x v="0"/>
    <s v="Coordinadora"/>
    <s v="3534545-84151320661"/>
    <d v="2025-08-04T00:00:00"/>
    <d v="2025-08-05T00:00:00"/>
    <s v="Entregado"/>
    <n v="0"/>
    <n v="1"/>
    <s v="Cumple"/>
    <n v="24093"/>
    <m/>
  </r>
  <r>
    <d v="2025-08-04T00:00:00"/>
    <x v="7"/>
    <n v="100065"/>
    <x v="0"/>
    <s v="Alejandra Brausin"/>
    <s v="TECU3FBRO"/>
    <s v="Electric Standing Desk  PRO Blanco"/>
    <n v="1"/>
    <x v="1"/>
    <s v="Bogotá y alrededores"/>
    <s v="Bogota"/>
    <x v="0"/>
    <s v="Coordinadora"/>
    <s v="3539229-84151322804"/>
    <d v="2025-08-05T00:00:00"/>
    <d v="2025-08-08T00:00:00"/>
    <s v="Entregado"/>
    <n v="1"/>
    <n v="3"/>
    <s v="Cumple"/>
    <n v="41593"/>
    <m/>
  </r>
  <r>
    <d v="2025-08-04T00:00:00"/>
    <x v="7"/>
    <n v="100065"/>
    <x v="0"/>
    <s v="Alejandra Brausin"/>
    <s v="TECUTB2C"/>
    <s v="Superficie Niebla 120x70 Clasico Small"/>
    <n v="1"/>
    <x v="2"/>
    <s v="Bogotá y alrededores"/>
    <s v="Bogota"/>
    <x v="0"/>
    <s v="Coordinadora"/>
    <s v="3539231-84151322805"/>
    <d v="2025-08-05T00:00:00"/>
    <d v="2025-08-06T00:00:00"/>
    <s v="Entregado"/>
    <n v="1"/>
    <n v="2"/>
    <s v="Cumple"/>
    <n v="24093"/>
    <m/>
  </r>
  <r>
    <d v="2025-08-04T00:00:00"/>
    <x v="7"/>
    <n v="100065"/>
    <x v="0"/>
    <s v="Alejandra Brausin"/>
    <s v="TECUTBANTE"/>
    <s v="Bandeja de teclado"/>
    <n v="1"/>
    <x v="0"/>
    <s v="Bogotá y alrededores"/>
    <s v="Bogota"/>
    <x v="0"/>
    <s v="Coordinadora"/>
    <s v="3539239-84151322810"/>
    <d v="2025-08-05T00:00:00"/>
    <d v="2025-08-06T00:00:00"/>
    <s v="Entregado"/>
    <n v="1"/>
    <n v="2"/>
    <s v="Cumple"/>
    <n v="23429"/>
    <m/>
  </r>
  <r>
    <d v="2025-08-04T00:00:00"/>
    <x v="7"/>
    <n v="100066"/>
    <x v="0"/>
    <s v="Jeison Gabriel Hurtado Cabrera // I.A.S. Ingeniería, Aplicaciones y Software S.A.S."/>
    <s v="TECU2FNG"/>
    <s v="Electric Standing Desk GO Negro"/>
    <n v="1"/>
    <x v="1"/>
    <s v="Antioquia"/>
    <s v="Medellin"/>
    <x v="0"/>
    <s v="Coordinadora"/>
    <s v="3541457-84151323738"/>
    <d v="2025-08-06T00:00:00"/>
    <d v="2025-08-07T00:00:00"/>
    <s v="Entregado"/>
    <n v="2"/>
    <n v="2"/>
    <s v="Cumple"/>
    <n v="41593"/>
    <m/>
  </r>
  <r>
    <d v="2025-08-04T00:00:00"/>
    <x v="7"/>
    <n v="100066"/>
    <x v="0"/>
    <s v="Jeison Gabriel Hurtado Cabrera // I.A.S. Ingeniería, Aplicaciones y Software S.A.S."/>
    <s v="TECUTCO4C"/>
    <s v="Superficie Caramelo 140x70 Clasico"/>
    <n v="1"/>
    <x v="2"/>
    <s v="Antioquia"/>
    <s v="Medellin"/>
    <x v="0"/>
    <s v="Coordinadora"/>
    <s v="3541460-84151323739"/>
    <d v="2025-08-06T00:00:00"/>
    <d v="2025-08-07T00:00:00"/>
    <s v="Entregado"/>
    <n v="2"/>
    <n v="2"/>
    <s v="Cumple"/>
    <n v="24093"/>
    <m/>
  </r>
  <r>
    <d v="2025-08-05T00:00:00"/>
    <x v="7"/>
    <n v="100068"/>
    <x v="0"/>
    <s v="David Valero"/>
    <s v="TECU3FNPRO"/>
    <s v="Electric Standing Desk  PRO Negro"/>
    <n v="1"/>
    <x v="1"/>
    <s v="Bogotá y alrededores"/>
    <s v="Bogota"/>
    <x v="0"/>
    <s v="Coordinadora"/>
    <s v="3541468-84151323745"/>
    <d v="2025-08-06T00:00:00"/>
    <d v="2025-08-08T00:00:00"/>
    <s v="Entregado"/>
    <n v="1"/>
    <n v="2"/>
    <s v="Cumple"/>
    <n v="41593"/>
    <m/>
  </r>
  <r>
    <d v="2025-08-05T00:00:00"/>
    <x v="7"/>
    <n v="100068"/>
    <x v="0"/>
    <s v="David Valero"/>
    <s v="TECUTRN7C"/>
    <s v="Superficie  Roble Negro 170x70 Clasico"/>
    <n v="1"/>
    <x v="2"/>
    <s v="Bogotá y alrededores"/>
    <s v="Bogota"/>
    <x v="0"/>
    <s v="Coordinadora"/>
    <s v="3541472-84151323746"/>
    <d v="2025-08-06T00:00:00"/>
    <d v="2025-08-08T00:00:00"/>
    <s v="Entregado"/>
    <n v="1"/>
    <n v="2"/>
    <s v="Cumple"/>
    <n v="24093"/>
    <m/>
  </r>
  <r>
    <d v="2025-08-06T00:00:00"/>
    <x v="7"/>
    <n v="100069"/>
    <x v="0"/>
    <s v="Sergio David Garcia Morales"/>
    <s v="TECU2FNG"/>
    <s v="Electric Standing Desk GO Negro"/>
    <n v="1"/>
    <x v="1"/>
    <s v="Bogotá y alrededores"/>
    <s v="Bogota"/>
    <x v="0"/>
    <s v="Coordinadora"/>
    <s v="3544855-84151325297"/>
    <d v="2025-08-08T00:00:00"/>
    <d v="2025-08-11T00:00:00"/>
    <s v="Entregado"/>
    <n v="1"/>
    <n v="3"/>
    <s v="Cumple"/>
    <n v="41593"/>
    <m/>
  </r>
  <r>
    <d v="2025-08-06T00:00:00"/>
    <x v="7"/>
    <n v="100069"/>
    <x v="0"/>
    <s v="Sergio David Garcia Morales"/>
    <s v="TECUTRN3C"/>
    <s v="Superficie  Roble Negro 130x70 Clasico"/>
    <n v="1"/>
    <x v="2"/>
    <s v="Bogotá y alrededores"/>
    <s v="Bogota"/>
    <x v="0"/>
    <s v="Coordinadora"/>
    <s v="3544856-84151325298"/>
    <d v="2025-08-08T00:00:00"/>
    <d v="2025-08-11T00:00:00"/>
    <s v="Entregado"/>
    <n v="1"/>
    <n v="3"/>
    <s v="Cumple"/>
    <n v="24093"/>
    <m/>
  </r>
  <r>
    <d v="2025-08-07T00:00:00"/>
    <x v="7"/>
    <n v="100070"/>
    <x v="0"/>
    <s v="Anderson Gutierrez"/>
    <s v="TECU3FNCRO"/>
    <s v="Electric Standing Desk  PRO Negro circular"/>
    <n v="1"/>
    <x v="1"/>
    <s v="Caldas"/>
    <s v="Manizales"/>
    <x v="0"/>
    <s v="Coordinadora"/>
    <s v="3544990-84151325376"/>
    <d v="2025-08-08T00:00:00"/>
    <d v="2025-08-09T00:00:00"/>
    <s v="Entregado"/>
    <n v="0"/>
    <n v="1"/>
    <s v="Cumple"/>
    <n v="34156"/>
    <m/>
  </r>
  <r>
    <d v="2025-08-07T00:00:00"/>
    <x v="7"/>
    <n v="100070"/>
    <x v="0"/>
    <s v="Anderson Gutierrez"/>
    <s v="TECUTCO6M"/>
    <s v="Superficie  Caramelo 160x70 Moderno"/>
    <n v="1"/>
    <x v="2"/>
    <s v="Caldas"/>
    <s v="Manizales"/>
    <x v="0"/>
    <s v="Coordinadora"/>
    <s v="3544991-84151325377"/>
    <d v="2025-08-08T00:00:00"/>
    <d v="2025-08-11T00:00:00"/>
    <s v="Entregado"/>
    <n v="0"/>
    <n v="2"/>
    <s v="Cumple"/>
    <n v="15194"/>
    <m/>
  </r>
  <r>
    <d v="2025-08-07T00:00:00"/>
    <x v="7"/>
    <n v="100070"/>
    <x v="0"/>
    <s v="Anderson Gutierrez"/>
    <s v="TECUACO"/>
    <s v="Archivador TECU  Caramelo"/>
    <n v="1"/>
    <x v="5"/>
    <s v="Caldas"/>
    <s v="Manizales"/>
    <x v="0"/>
    <s v="Envia"/>
    <s v="3550220-954101274421"/>
    <d v="2025-08-11T00:00:00"/>
    <d v="2025-08-12T00:00:00"/>
    <s v="Entregado"/>
    <n v="2"/>
    <n v="3"/>
    <s v="Cumple"/>
    <n v="47267"/>
    <m/>
  </r>
  <r>
    <d v="2025-08-07T00:00:00"/>
    <x v="7"/>
    <n v="100071"/>
    <x v="0"/>
    <s v="Camila Santana"/>
    <s v="TECU2FNG"/>
    <s v="Electric Standing Desk GO Negro"/>
    <n v="1"/>
    <x v="1"/>
    <s v="Bogotá y alrededores"/>
    <s v="Bogota"/>
    <x v="0"/>
    <s v="Coordinadora"/>
    <s v="3544929-84151325346"/>
    <d v="2025-08-08T00:00:00"/>
    <d v="2025-08-12T00:00:00"/>
    <s v="Entregado"/>
    <n v="0"/>
    <n v="3"/>
    <s v="Cumple"/>
    <n v="41593"/>
    <m/>
  </r>
  <r>
    <d v="2025-08-07T00:00:00"/>
    <x v="7"/>
    <n v="100071"/>
    <x v="0"/>
    <s v="Camila Santana"/>
    <s v="TECUTCO5C"/>
    <s v="Superficie Caramelo 150x70 Clasico"/>
    <n v="1"/>
    <x v="2"/>
    <s v="Bogotá y alrededores"/>
    <s v="Bogota"/>
    <x v="0"/>
    <s v="Coordinadora"/>
    <s v="3544930-84151325347"/>
    <d v="2025-08-08T00:00:00"/>
    <d v="2025-08-12T00:00:00"/>
    <s v="Entregado"/>
    <n v="0"/>
    <n v="3"/>
    <s v="Cumple"/>
    <n v="24093"/>
    <m/>
  </r>
  <r>
    <d v="2025-08-07T00:00:00"/>
    <x v="7"/>
    <n v="100071"/>
    <x v="0"/>
    <s v="Camila Santana"/>
    <m/>
    <s v="Servicio de instalacion"/>
    <n v="1"/>
    <x v="3"/>
    <s v="Bogotá y alrededores"/>
    <s v="Bogota"/>
    <x v="0"/>
    <s v="Coordinadora"/>
    <s v="NA"/>
    <s v="NA"/>
    <s v="NA"/>
    <s v="Entregado"/>
    <e v="#VALUE!"/>
    <e v="#VALUE!"/>
    <e v="#VALUE!"/>
    <n v="0"/>
    <m/>
  </r>
  <r>
    <d v="2025-08-12T00:00:00"/>
    <x v="7"/>
    <n v="100072"/>
    <x v="0"/>
    <s v="Juan Pablo Reyes"/>
    <s v="TECU3FNPRO"/>
    <s v="Electric Standing Desk  PRO Negro"/>
    <n v="1"/>
    <x v="1"/>
    <s v="Bogotá y alrededores"/>
    <s v="Bogota"/>
    <x v="0"/>
    <s v="Coordinadora"/>
    <s v="3554342-84151329239"/>
    <d v="2025-08-12T00:00:00"/>
    <d v="2025-08-16T00:00:00"/>
    <s v="Entregado"/>
    <n v="0"/>
    <n v="4"/>
    <s v="No cumple"/>
    <n v="41593"/>
    <m/>
  </r>
  <r>
    <d v="2025-08-12T00:00:00"/>
    <x v="7"/>
    <n v="100072"/>
    <x v="0"/>
    <s v="Juan Pablo Reyes"/>
    <s v="TECUTCO6C"/>
    <s v="Superficie  Caramelo 160x70 Clasico"/>
    <n v="1"/>
    <x v="2"/>
    <s v="Bogotá y alrededores"/>
    <s v="Bogota"/>
    <x v="0"/>
    <s v="Coordinadora"/>
    <s v="3554345-84151329240"/>
    <d v="2025-08-12T00:00:00"/>
    <d v="2025-08-14T00:00:00"/>
    <s v="Entregado"/>
    <n v="0"/>
    <n v="2"/>
    <s v="Cumple"/>
    <n v="24093"/>
    <m/>
  </r>
  <r>
    <d v="2025-08-12T00:00:00"/>
    <x v="7"/>
    <n v="100073"/>
    <x v="0"/>
    <s v="JUAN SEBASTIAN QUIJANO RODRIGUEZ / HL ABOGADOS Y AUDITORES SAS"/>
    <s v="TECU3FNPRO"/>
    <s v="Electric Standing Desk  PRO Negro"/>
    <n v="1"/>
    <x v="1"/>
    <s v="Bogotá y alrededores"/>
    <s v="Bogota"/>
    <x v="0"/>
    <s v="Coordinadora"/>
    <s v="3555315-84151329621"/>
    <d v="2025-08-12T00:00:00"/>
    <d v="2025-08-15T00:00:00"/>
    <s v="Entregado"/>
    <n v="0"/>
    <n v="3"/>
    <s v="Cumple"/>
    <n v="41593"/>
    <m/>
  </r>
  <r>
    <d v="2025-08-12T00:00:00"/>
    <x v="7"/>
    <n v="100073"/>
    <x v="0"/>
    <s v="JUAN SEBASTIAN QUIJANO RODRIGUEZ / HL ABOGADOS Y AUDITORES SAS"/>
    <s v="TECUTCO2C"/>
    <s v="Superficie  Caramelo 120x70 Clasico Small"/>
    <n v="1"/>
    <x v="2"/>
    <s v="Bogotá y alrededores"/>
    <s v="Bogota"/>
    <x v="0"/>
    <s v="Coordinadora"/>
    <s v="3555317-84151329622"/>
    <d v="2025-08-12T00:00:00"/>
    <d v="2025-08-14T00:00:00"/>
    <s v="Entregado"/>
    <n v="0"/>
    <n v="2"/>
    <s v="Cumple"/>
    <n v="24093"/>
    <m/>
  </r>
  <r>
    <d v="2025-08-12T00:00:00"/>
    <x v="7"/>
    <n v="100073"/>
    <x v="0"/>
    <s v="JUAN SEBASTIAN QUIJANO RODRIGUEZ / HL ABOGADOS Y AUDITORES SAS"/>
    <s v="TECUTCO2C"/>
    <s v="Superficie  Caramelo 120x70 Clasico Small"/>
    <n v="1"/>
    <x v="2"/>
    <s v="Bogotá y alrededores"/>
    <s v="Bogota"/>
    <x v="0"/>
    <s v="Coordinadora"/>
    <s v="3555324-84151329623"/>
    <d v="2025-08-12T00:00:00"/>
    <d v="2025-08-14T00:00:00"/>
    <s v="Entregado"/>
    <n v="0"/>
    <n v="2"/>
    <s v="Cumple"/>
    <n v="24093"/>
    <m/>
  </r>
  <r>
    <d v="2025-08-14T00:00:00"/>
    <x v="7"/>
    <n v="100075"/>
    <x v="0"/>
    <s v="Cristhian Sabino Ramirez Martinez"/>
    <s v="TECUTBANPI"/>
    <s v="Bandeja Piano"/>
    <n v="1"/>
    <x v="0"/>
    <s v="Antioquia"/>
    <s v="Rionegro"/>
    <x v="0"/>
    <s v="Coordinadora"/>
    <s v="3561538-84151332165"/>
    <d v="2025-08-14T00:00:00"/>
    <d v="2025-08-15T00:00:00"/>
    <s v="Entregado"/>
    <n v="0"/>
    <n v="1"/>
    <s v="Cumple"/>
    <n v="39225"/>
    <m/>
  </r>
  <r>
    <d v="2025-08-14T00:00:00"/>
    <x v="7"/>
    <n v="100076"/>
    <x v="0"/>
    <s v="Tomas Ortiz Perez / Carrocerias Antioquia SA "/>
    <s v="TECU3FNPRO"/>
    <s v="Electric Standing Desk  PRO Negro"/>
    <n v="1"/>
    <x v="1"/>
    <s v="Antioquia"/>
    <s v="Medellin"/>
    <x v="0"/>
    <s v="Coordinadora"/>
    <s v="3561546-84151332169"/>
    <d v="2025-08-14T00:00:00"/>
    <d v="2025-08-15T00:00:00"/>
    <s v="Entregado"/>
    <n v="0"/>
    <n v="1"/>
    <s v="Cumple"/>
    <n v="41593"/>
    <m/>
  </r>
  <r>
    <d v="2025-08-14T00:00:00"/>
    <x v="7"/>
    <n v="100076"/>
    <x v="0"/>
    <s v="Tomas Ortiz Perez / Carrocerias Antioquia SA "/>
    <s v="TECUTCO2C"/>
    <s v="Superficie  Caramelo 120x70 Clasico Small"/>
    <n v="1"/>
    <x v="2"/>
    <s v="Antioquia"/>
    <s v="Medellin"/>
    <x v="0"/>
    <s v="Coordinadora"/>
    <s v="3561549-84151332170"/>
    <d v="2025-08-14T00:00:00"/>
    <d v="2025-08-15T00:00:00"/>
    <s v="Entregado"/>
    <n v="0"/>
    <n v="1"/>
    <s v="Cumple"/>
    <n v="24093"/>
    <m/>
  </r>
  <r>
    <d v="2025-08-15T00:00:00"/>
    <x v="7"/>
    <n v="100078"/>
    <x v="0"/>
    <s v="Juan Lizcano"/>
    <s v="TECU2FNG"/>
    <s v="Electric Standing Desk GO Negro"/>
    <n v="1"/>
    <x v="1"/>
    <s v="Bogotá y alrededores"/>
    <s v="Bogota"/>
    <x v="0"/>
    <s v="Coordinadora"/>
    <s v="3564886-84151333337"/>
    <d v="2025-08-15T00:00:00"/>
    <d v="2025-08-19T00:00:00"/>
    <s v="Entregado"/>
    <n v="0"/>
    <n v="2"/>
    <s v="Cumple"/>
    <n v="41593"/>
    <m/>
  </r>
  <r>
    <d v="2025-08-15T00:00:00"/>
    <x v="7"/>
    <n v="100078"/>
    <x v="0"/>
    <s v="Juan Lizcano"/>
    <s v="TECUTFE6C"/>
    <s v="Superficie  Fresno Europeo 160x70 Clasico"/>
    <n v="1"/>
    <x v="2"/>
    <s v="Bogotá y alrededores"/>
    <s v="Bogota"/>
    <x v="0"/>
    <s v="Coordinadora"/>
    <s v="3564887-84151333338"/>
    <d v="2025-08-15T00:00:00"/>
    <d v="2025-08-19T00:00:00"/>
    <s v="Entregado"/>
    <n v="0"/>
    <n v="2"/>
    <s v="Cumple"/>
    <n v="24093"/>
    <m/>
  </r>
  <r>
    <d v="2025-08-16T00:00:00"/>
    <x v="7"/>
    <n v="100080"/>
    <x v="0"/>
    <s v="Viviana Maldonado"/>
    <s v="TECULFN2"/>
    <s v="Electric Standing Desk  En L Frame Negro 2.0"/>
    <n v="1"/>
    <x v="1"/>
    <s v="Antioquia"/>
    <s v="Medellin"/>
    <x v="0"/>
    <s v="Coordinadora"/>
    <s v="3570815-84151335460"/>
    <d v="2025-08-19T00:00:00"/>
    <d v="2025-08-21T00:00:00"/>
    <s v="Entregado"/>
    <n v="1"/>
    <n v="3"/>
    <s v="Cumple"/>
    <n v="62530"/>
    <m/>
  </r>
  <r>
    <d v="2025-08-16T00:00:00"/>
    <x v="7"/>
    <n v="100080"/>
    <x v="0"/>
    <s v="Viviana Maldonado"/>
    <s v="TECUTLBS"/>
    <s v="Superficie  en L Niebla 180x150cm x 70"/>
    <n v="1"/>
    <x v="2"/>
    <s v="Antioquia"/>
    <s v="Medellin"/>
    <x v="0"/>
    <s v="Coordinadora"/>
    <s v="3570816-84151335461"/>
    <d v="2025-08-19T00:00:00"/>
    <d v="2025-08-21T00:00:00"/>
    <s v="Entregado"/>
    <n v="1"/>
    <n v="3"/>
    <s v="Cumple"/>
    <n v="26749"/>
    <m/>
  </r>
  <r>
    <d v="2025-08-16T00:00:00"/>
    <x v="7"/>
    <n v="100080"/>
    <x v="0"/>
    <s v="Viviana Maldonado"/>
    <s v="TECURB"/>
    <s v="Repisa Niebla"/>
    <n v="1"/>
    <x v="6"/>
    <s v="Antioquia"/>
    <s v="Medellin"/>
    <x v="0"/>
    <s v="Coordinadora"/>
    <s v="3570839-84151335471"/>
    <d v="2025-08-19T00:00:00"/>
    <d v="2025-08-21T00:00:00"/>
    <s v="Entregado"/>
    <n v="1"/>
    <n v="3"/>
    <s v="Cumple"/>
    <n v="23429"/>
    <m/>
  </r>
  <r>
    <d v="2025-08-17T00:00:00"/>
    <x v="7"/>
    <n v="100081"/>
    <x v="0"/>
    <s v="Elias Rodelo"/>
    <s v="TECUCT"/>
    <s v="Bandeja de cables"/>
    <n v="1"/>
    <x v="0"/>
    <s v="Caldas"/>
    <s v="Villamaria"/>
    <x v="0"/>
    <s v="Coordinadora"/>
    <s v="3570878-84151335490"/>
    <d v="2025-08-19T00:00:00"/>
    <d v="2025-08-21T00:00:00"/>
    <s v="Entregado"/>
    <n v="0"/>
    <n v="2"/>
    <s v="Cumple"/>
    <n v="15447"/>
    <m/>
  </r>
  <r>
    <d v="2025-08-18T00:00:00"/>
    <x v="7"/>
    <n v="100082"/>
    <x v="0"/>
    <s v="Giovanny Gomez"/>
    <s v="TECU3FNPRO"/>
    <s v="Electric Standing Desk  PRO Negro"/>
    <n v="1"/>
    <x v="1"/>
    <s v="Antioquia"/>
    <s v="Santuario"/>
    <x v="0"/>
    <s v="Coordinadora"/>
    <s v="3574929-84151337178"/>
    <d v="2025-08-20T00:00:00"/>
    <d v="2025-08-21T00:00:00"/>
    <s v="Entregado"/>
    <n v="1"/>
    <n v="2"/>
    <e v="#N/A"/>
    <n v="41593"/>
    <m/>
  </r>
  <r>
    <d v="2025-08-18T00:00:00"/>
    <x v="7"/>
    <n v="100082"/>
    <x v="0"/>
    <s v="Giovanny Gomez"/>
    <s v="TECUTCO6C"/>
    <s v="Superficie  Caramelo 160x70 Clasico"/>
    <n v="1"/>
    <x v="2"/>
    <s v="Antioquia"/>
    <s v="Santuario"/>
    <x v="0"/>
    <s v="Coordinadora"/>
    <s v="3574930-84151337179"/>
    <d v="2025-08-20T00:00:00"/>
    <d v="2025-08-21T00:00:00"/>
    <s v="Entregado"/>
    <n v="1"/>
    <n v="2"/>
    <e v="#N/A"/>
    <n v="24093"/>
    <m/>
  </r>
  <r>
    <d v="2025-08-18T00:00:00"/>
    <x v="7"/>
    <n v="100083"/>
    <x v="0"/>
    <s v="jose david carrillo lozano"/>
    <s v="TECU3FNPRO"/>
    <s v="Electric Standing Desk  PRO Negro"/>
    <n v="1"/>
    <x v="1"/>
    <s v="Bogotá y alrededores"/>
    <s v="Cajica"/>
    <x v="0"/>
    <s v="Coordinadora"/>
    <s v="3574972-84151337198"/>
    <d v="2025-08-20T00:00:00"/>
    <d v="2025-08-21T00:00:00"/>
    <s v="Entregado"/>
    <n v="1"/>
    <n v="2"/>
    <s v="Cumple"/>
    <n v="41593"/>
    <m/>
  </r>
  <r>
    <d v="2025-08-18T00:00:00"/>
    <x v="7"/>
    <n v="100083"/>
    <x v="0"/>
    <s v="jose david carrillo lozano"/>
    <s v="TECUTFE8C"/>
    <s v="Superficie  Fresno Europeo 180x70 Clasico"/>
    <n v="1"/>
    <x v="2"/>
    <s v="Bogotá y alrededores"/>
    <s v="Cajica"/>
    <x v="0"/>
    <s v="Coordinadora"/>
    <s v="3574973-84151337199"/>
    <d v="2025-08-20T00:00:00"/>
    <d v="2025-08-21T00:00:00"/>
    <s v="Entregado"/>
    <n v="1"/>
    <n v="2"/>
    <s v="Cumple"/>
    <n v="26749"/>
    <m/>
  </r>
  <r>
    <d v="2025-08-18T00:00:00"/>
    <x v="7"/>
    <n v="100084"/>
    <x v="0"/>
    <s v="Andres Naranjo"/>
    <s v="TECU3FNCRO"/>
    <s v="Electric Standing Desk  PRO Negro circular"/>
    <n v="1"/>
    <x v="1"/>
    <s v="Bogotá y alrededores"/>
    <s v="Mosquera"/>
    <x v="0"/>
    <s v="Coordinadora"/>
    <s v="3575124-84151337269"/>
    <d v="2025-08-20T00:00:00"/>
    <d v="2025-08-21T00:00:00"/>
    <s v="Entregado"/>
    <n v="1"/>
    <n v="2"/>
    <s v="Cumple"/>
    <n v="41593"/>
    <m/>
  </r>
  <r>
    <d v="2025-08-18T00:00:00"/>
    <x v="7"/>
    <n v="100084"/>
    <x v="0"/>
    <s v="Andres Naranjo"/>
    <s v="TECUTB8C"/>
    <s v="Superficie Niebla 180x70 Clasico"/>
    <n v="1"/>
    <x v="2"/>
    <s v="Bogotá y alrededores"/>
    <s v="Mosquera"/>
    <x v="0"/>
    <s v="Coordinadora"/>
    <s v="3575125-84151337270"/>
    <d v="2025-08-20T00:00:00"/>
    <d v="2025-08-21T00:00:00"/>
    <s v="Entregado"/>
    <n v="1"/>
    <n v="2"/>
    <s v="Cumple"/>
    <n v="26749"/>
    <m/>
  </r>
  <r>
    <d v="2025-08-18T00:00:00"/>
    <x v="7"/>
    <n v="100084"/>
    <x v="0"/>
    <s v="Andres Naranjo"/>
    <s v="TECUAB"/>
    <s v="Archivador TECU  Blanco (Niebla)"/>
    <n v="1"/>
    <x v="5"/>
    <s v="Bogotá y alrededores"/>
    <s v="Mosquera"/>
    <x v="0"/>
    <s v="Envia"/>
    <s v="3595004-954101284712"/>
    <d v="2025-08-28T00:00:00"/>
    <d v="2025-08-29T00:00:00"/>
    <s v="Entregado"/>
    <n v="8"/>
    <n v="9"/>
    <s v="No cumple"/>
    <n v="65682"/>
    <m/>
  </r>
  <r>
    <d v="2025-08-19T00:00:00"/>
    <x v="7"/>
    <n v="100085"/>
    <x v="0"/>
    <s v="Santiago Quevedo"/>
    <s v="TECU3FNPRO"/>
    <s v="Electric Standing Desk  PRO Negro"/>
    <n v="1"/>
    <x v="1"/>
    <s v="Antioquia"/>
    <s v="Medellin"/>
    <x v="0"/>
    <s v="Coordinadora"/>
    <s v="3577663-84151338324"/>
    <d v="2025-08-21T00:00:00"/>
    <d v="2025-08-22T00:00:00"/>
    <s v="Entregado"/>
    <n v="2"/>
    <n v="3"/>
    <s v="Cumple"/>
    <n v="41593"/>
    <m/>
  </r>
  <r>
    <d v="2025-08-19T00:00:00"/>
    <x v="7"/>
    <n v="100085"/>
    <x v="0"/>
    <s v="Santiago Quevedo"/>
    <s v="TECUTRN7C"/>
    <s v="Superficie  Roble Negro 170x70 Clasico"/>
    <n v="1"/>
    <x v="2"/>
    <s v="Antioquia"/>
    <s v="Medellin"/>
    <x v="0"/>
    <s v="Coordinadora"/>
    <s v="3577664-84151338325"/>
    <d v="2025-08-21T00:00:00"/>
    <d v="2025-08-22T00:00:00"/>
    <s v="Entregado"/>
    <n v="2"/>
    <n v="3"/>
    <s v="Cumple"/>
    <n v="24093"/>
    <m/>
  </r>
  <r>
    <d v="2025-08-19T00:00:00"/>
    <x v="7"/>
    <n v="100085"/>
    <x v="0"/>
    <s v="Santiago Quevedo"/>
    <s v="TECUCT"/>
    <s v="Bandeja de cables"/>
    <n v="1"/>
    <x v="0"/>
    <s v="Antioquia"/>
    <s v="Medellin"/>
    <x v="0"/>
    <s v="Coordinadora"/>
    <s v="3577680-84151338329"/>
    <d v="2025-08-21T00:00:00"/>
    <d v="2025-08-22T00:00:00"/>
    <s v="Entregado"/>
    <n v="2"/>
    <n v="3"/>
    <s v="Cumple"/>
    <n v="24885"/>
    <m/>
  </r>
  <r>
    <d v="2025-08-19T00:00:00"/>
    <x v="7"/>
    <n v="100086"/>
    <x v="0"/>
    <s v="Alejandro Velez Grajales"/>
    <s v="TECU3FNPRO"/>
    <s v="Electric Standing Desk  PRO Negro"/>
    <n v="1"/>
    <x v="1"/>
    <s v="Antioquia"/>
    <s v="Itagui"/>
    <x v="0"/>
    <s v="Coordinadora"/>
    <s v="3577738-84151338351"/>
    <d v="2025-08-21T00:00:00"/>
    <d v="2025-08-23T00:00:00"/>
    <s v="Entregado"/>
    <n v="2"/>
    <n v="4"/>
    <s v="No cumple"/>
    <n v="41593"/>
    <m/>
  </r>
  <r>
    <d v="2025-08-19T00:00:00"/>
    <x v="7"/>
    <n v="100086"/>
    <x v="0"/>
    <s v="Alejandro Velez Grajales"/>
    <s v="TECUTCO4C"/>
    <s v="Superficie Caramelo 140x70 Clasico"/>
    <n v="1"/>
    <x v="2"/>
    <s v="Antioquia"/>
    <s v="Itagui"/>
    <x v="0"/>
    <s v="Coordinadora"/>
    <s v="3577739-84151338352"/>
    <d v="2025-08-21T00:00:00"/>
    <d v="2025-08-23T00:00:00"/>
    <s v="Entregado"/>
    <n v="2"/>
    <n v="4"/>
    <s v="No cumple"/>
    <n v="24093"/>
    <m/>
  </r>
  <r>
    <d v="2025-08-19T00:00:00"/>
    <x v="7"/>
    <n v="100086"/>
    <x v="0"/>
    <s v="Alejandro Velez Grajales"/>
    <s v="TECUCT"/>
    <s v="Bandeja de cables"/>
    <n v="1"/>
    <x v="0"/>
    <s v="Antioquia"/>
    <s v="Itagui"/>
    <x v="0"/>
    <s v="Coordinadora"/>
    <s v="3577757-84151338354"/>
    <d v="2025-08-21T00:00:00"/>
    <d v="2025-08-22T00:00:00"/>
    <s v="Entregado"/>
    <n v="2"/>
    <n v="3"/>
    <s v="Cumple"/>
    <n v="24885"/>
    <m/>
  </r>
  <r>
    <d v="2025-08-20T00:00:00"/>
    <x v="7"/>
    <n v="100087"/>
    <x v="0"/>
    <s v="Sebastian Guerrero / Productos Disanfer SAS"/>
    <s v="TECU3FNCRO"/>
    <s v="Electric Standing Desk  PRO Negro circular"/>
    <n v="1"/>
    <x v="1"/>
    <s v="Bogotá y alrededores"/>
    <s v="Bogota"/>
    <x v="0"/>
    <s v="Coordinadora"/>
    <s v="3577771-84151338374"/>
    <d v="2025-08-21T00:00:00"/>
    <d v="2025-08-23T00:00:00"/>
    <s v="Entregado"/>
    <n v="1"/>
    <n v="3"/>
    <s v="Cumple"/>
    <n v="41593"/>
    <m/>
  </r>
  <r>
    <d v="2025-08-20T00:00:00"/>
    <x v="7"/>
    <n v="100087"/>
    <x v="0"/>
    <s v="Sebastian Guerrero / Productos Disanfer SAS"/>
    <s v="TECUTFE2C"/>
    <s v="Superficie  Fresno Europeo 120x70 Clasico Small"/>
    <n v="1"/>
    <x v="2"/>
    <s v="Bogotá y alrededores"/>
    <s v="Bogota"/>
    <x v="0"/>
    <s v="Coordinadora"/>
    <s v="3577772-84151338376"/>
    <d v="2025-08-21T00:00:00"/>
    <d v="2025-08-23T00:00:00"/>
    <s v="Entregado"/>
    <n v="1"/>
    <n v="3"/>
    <s v="Cumple"/>
    <n v="24093"/>
    <m/>
  </r>
  <r>
    <d v="2025-08-20T00:00:00"/>
    <x v="7"/>
    <n v="100087"/>
    <x v="0"/>
    <s v="Sebastian Guerrero / Productos Disanfer SAS"/>
    <s v="TECUCT"/>
    <s v="Bandeja de cables"/>
    <n v="1"/>
    <x v="0"/>
    <s v="Bogotá y alrededores"/>
    <s v="Bogota"/>
    <x v="0"/>
    <s v="Coordinadora"/>
    <s v="3577781-84151338377"/>
    <d v="2025-08-21T00:00:00"/>
    <d v="2025-08-23T00:00:00"/>
    <s v="Entregado"/>
    <n v="1"/>
    <n v="3"/>
    <s v="Cumple"/>
    <n v="24885"/>
    <m/>
  </r>
  <r>
    <d v="2025-08-22T00:00:00"/>
    <x v="7"/>
    <n v="100088"/>
    <x v="0"/>
    <s v="Nancy Ballesteros / Sense Design SAS"/>
    <s v="TECU2FBGO"/>
    <s v="Electric Standing Desk GO Blanco"/>
    <n v="1"/>
    <x v="1"/>
    <s v="Bogotá y alrededores"/>
    <s v="Bogota"/>
    <x v="0"/>
    <s v="Coordinadora"/>
    <s v="3595018-84151345133"/>
    <d v="2025-08-28T00:00:00"/>
    <d v="2025-09-01T00:00:00"/>
    <s v="Entregado"/>
    <n v="5"/>
    <n v="8"/>
    <s v="No cumple"/>
    <n v="41593"/>
    <m/>
  </r>
  <r>
    <d v="2025-08-22T00:00:00"/>
    <x v="7"/>
    <n v="100088"/>
    <x v="0"/>
    <s v="Nancy Ballesteros / Sense Design SAS"/>
    <s v="TECUTFE2C"/>
    <s v="Superficie  Fresno Europeo 120x70 Clasico Small"/>
    <n v="1"/>
    <x v="2"/>
    <s v="Bogotá y alrededores"/>
    <s v="Bogota"/>
    <x v="0"/>
    <s v="Coordinadora"/>
    <s v="3595019-84151345134"/>
    <d v="2025-08-28T00:00:00"/>
    <d v="2025-09-01T00:00:00"/>
    <s v="Entregado"/>
    <n v="5"/>
    <n v="8"/>
    <s v="No cumple"/>
    <n v="24093"/>
    <m/>
  </r>
  <r>
    <d v="2025-08-22T00:00:00"/>
    <x v="7"/>
    <n v="100088"/>
    <x v="0"/>
    <s v="Nancy Ballesteros / Sense Design SAS"/>
    <m/>
    <s v="Servicio de instalacion"/>
    <n v="1"/>
    <x v="3"/>
    <s v="Bogotá y alrededores"/>
    <s v="Bogota"/>
    <x v="0"/>
    <s v="Coordinadora"/>
    <s v="NA"/>
    <s v="NA"/>
    <s v="NA"/>
    <s v="Entregado"/>
    <e v="#VALUE!"/>
    <e v="#VALUE!"/>
    <e v="#VALUE!"/>
    <n v="0"/>
    <m/>
  </r>
  <r>
    <d v="2025-08-24T00:00:00"/>
    <x v="7"/>
    <n v="100089"/>
    <x v="0"/>
    <s v="Alejandro Dueñas Garcia"/>
    <s v="TECU3FNPRO"/>
    <s v="Electric Standing Desk  PRO Negro"/>
    <n v="1"/>
    <x v="1"/>
    <s v="Bogotá y alrededores"/>
    <s v="Bogota"/>
    <x v="0"/>
    <s v="Coordinadora"/>
    <s v="3595031-84151345138"/>
    <d v="2025-08-28T00:00:00"/>
    <d v="2025-09-01T00:00:00"/>
    <s v="Entregado"/>
    <n v="3"/>
    <n v="6"/>
    <s v="No cumple"/>
    <n v="41593"/>
    <m/>
  </r>
  <r>
    <d v="2025-08-24T00:00:00"/>
    <x v="7"/>
    <n v="100089"/>
    <x v="0"/>
    <s v="Alejandro Dueñas Garcia"/>
    <s v="TECUTRN8C"/>
    <s v="Superficie  Roble Negro 180x70 Clasico"/>
    <n v="1"/>
    <x v="2"/>
    <s v="Bogotá y alrededores"/>
    <s v="Bogota"/>
    <x v="0"/>
    <s v="Coordinadora"/>
    <s v="3595032-84151345139"/>
    <d v="2025-08-28T00:00:00"/>
    <d v="2025-09-01T00:00:00"/>
    <s v="Entregado"/>
    <n v="3"/>
    <n v="6"/>
    <s v="No cumple"/>
    <n v="26749"/>
    <m/>
  </r>
  <r>
    <d v="2025-08-24T00:00:00"/>
    <x v="7"/>
    <n v="100089"/>
    <x v="0"/>
    <s v="Alejandro Dueñas Garcia"/>
    <s v="TECUCT"/>
    <s v="Bandeja de cables"/>
    <n v="1"/>
    <x v="0"/>
    <s v="Bogotá y alrededores"/>
    <s v="Bogota"/>
    <x v="0"/>
    <s v="Coordinadora"/>
    <s v="3595040-84151345144"/>
    <d v="2025-08-28T00:00:00"/>
    <d v="2025-09-01T00:00:00"/>
    <s v="Entregado"/>
    <n v="3"/>
    <n v="6"/>
    <s v="No cumple"/>
    <n v="24885"/>
    <m/>
  </r>
  <r>
    <d v="2025-08-24T00:00:00"/>
    <x v="7"/>
    <n v="100089"/>
    <x v="0"/>
    <s v="Alejandro Dueñas Garcia"/>
    <m/>
    <s v="Servicio de instalacion"/>
    <n v="1"/>
    <x v="3"/>
    <s v="Bogotá y alrededores"/>
    <s v="Bogota"/>
    <x v="0"/>
    <s v="Coordinadora"/>
    <s v="NA"/>
    <s v="NA"/>
    <s v="NA"/>
    <s v="Entregado"/>
    <e v="#VALUE!"/>
    <e v="#VALUE!"/>
    <e v="#VALUE!"/>
    <m/>
    <m/>
  </r>
  <r>
    <d v="2025-08-25T00:00:00"/>
    <x v="7"/>
    <n v="100090"/>
    <x v="0"/>
    <s v="alejandro herreño"/>
    <s v="TECURCO"/>
    <s v="Repisa Caramelo"/>
    <n v="1"/>
    <x v="6"/>
    <s v="Atlantico"/>
    <s v="Barranquilla"/>
    <x v="0"/>
    <s v="Coordinadora"/>
    <s v="3593945-84151344669"/>
    <d v="2025-08-27T00:00:00"/>
    <d v="2025-08-29T00:00:00"/>
    <s v="Entregado"/>
    <n v="2"/>
    <n v="4"/>
    <s v="Cumple"/>
    <n v="37762"/>
    <m/>
  </r>
  <r>
    <d v="2025-08-25T00:00:00"/>
    <x v="7"/>
    <n v="100091"/>
    <x v="0"/>
    <s v="Sebastian Guerrero / Productos Disanfer SAS"/>
    <s v="TECUAFE"/>
    <s v="Archivador TECU Fresno Europeo"/>
    <n v="1"/>
    <x v="5"/>
    <s v="Bogotá y alrededores"/>
    <s v="Bogota"/>
    <x v="0"/>
    <s v="Coordinadora"/>
    <s v="3594583-954101284510"/>
    <d v="2025-08-27T00:00:00"/>
    <d v="2025-08-29T00:00:00"/>
    <s v="Entregado"/>
    <n v="2"/>
    <n v="4"/>
    <s v="No cumple"/>
    <n v="59843"/>
    <m/>
  </r>
  <r>
    <d v="2025-08-26T00:00:00"/>
    <x v="7"/>
    <n v="100092"/>
    <x v="0"/>
    <s v="David Fernando Ordoñez Vargas"/>
    <s v="TECU2FNG"/>
    <s v="Electric Standing Desk GO Negro"/>
    <n v="1"/>
    <x v="1"/>
    <s v="Meta"/>
    <s v="Villavicencio"/>
    <x v="2"/>
    <s v="Coordinadora"/>
    <m/>
    <m/>
    <m/>
    <s v="En transito"/>
    <s v="PTE"/>
    <s v="PTE"/>
    <s v="PTE"/>
    <m/>
    <m/>
  </r>
  <r>
    <d v="2025-08-26T00:00:00"/>
    <x v="7"/>
    <n v="100092"/>
    <x v="0"/>
    <s v="David Fernando Ordoñez Vargas"/>
    <s v="TECUTFE2C"/>
    <s v="Superficie  Fresno Europeo 120x70 Clasico Small"/>
    <n v="1"/>
    <x v="2"/>
    <s v="Meta"/>
    <s v="Villavicencio"/>
    <x v="2"/>
    <s v="Coordinadora"/>
    <m/>
    <m/>
    <m/>
    <s v="En transito"/>
    <s v="PTE"/>
    <s v="PTE"/>
    <s v="PTE"/>
    <m/>
    <m/>
  </r>
  <r>
    <d v="2025-08-27T00:00:00"/>
    <x v="7"/>
    <n v="100093"/>
    <x v="0"/>
    <s v="Jorge Enrique Galindez"/>
    <s v="TECU3FNPRO"/>
    <s v="Electric Standing Desk  PRO Negro"/>
    <n v="1"/>
    <x v="1"/>
    <s v="Bogotá y alrededores"/>
    <s v="Bogota"/>
    <x v="2"/>
    <s v="Coordinadora"/>
    <m/>
    <m/>
    <m/>
    <s v="En transito"/>
    <s v="PTE"/>
    <s v="PTE"/>
    <s v="PTE"/>
    <m/>
    <m/>
  </r>
  <r>
    <d v="2025-08-27T00:00:00"/>
    <x v="7"/>
    <n v="100093"/>
    <x v="0"/>
    <s v="Jorge Enrique Galindez"/>
    <s v="TECUTRM5C"/>
    <s v="Superficie Roble Miel 150x70 Clasico"/>
    <n v="1"/>
    <x v="2"/>
    <s v="Bogotá y alrededores"/>
    <s v="Bogota"/>
    <x v="2"/>
    <s v="Coordinadora"/>
    <m/>
    <m/>
    <m/>
    <s v="En transito"/>
    <s v="PTE"/>
    <s v="PTE"/>
    <s v="PTE"/>
    <m/>
    <m/>
  </r>
  <r>
    <d v="2025-08-27T00:00:00"/>
    <x v="7"/>
    <n v="100093"/>
    <x v="0"/>
    <s v="Jorge Enrique Galindez"/>
    <s v="TECUCT"/>
    <s v="Bandeja de cables"/>
    <n v="1"/>
    <x v="0"/>
    <s v="Bogotá y alrededores"/>
    <s v="Bogota"/>
    <x v="2"/>
    <s v="Coordinadora"/>
    <m/>
    <m/>
    <m/>
    <s v="En transito"/>
    <s v="PTE"/>
    <s v="PTE"/>
    <s v="PTE"/>
    <m/>
    <m/>
  </r>
  <r>
    <d v="2025-08-27T00:00:00"/>
    <x v="7"/>
    <n v="100093"/>
    <x v="0"/>
    <s v="Jorge Enrique Galindez"/>
    <m/>
    <s v="Servicio de instalacion"/>
    <n v="1"/>
    <x v="3"/>
    <s v="Bogotá y alrededores"/>
    <s v="Bogota"/>
    <x v="2"/>
    <s v="Coordinadora"/>
    <m/>
    <m/>
    <m/>
    <s v="En transito"/>
    <s v="PTE"/>
    <s v="PTE"/>
    <s v="PTE"/>
    <m/>
    <m/>
  </r>
  <r>
    <d v="2025-08-28T00:00:00"/>
    <x v="7"/>
    <n v="100094"/>
    <x v="0"/>
    <s v="Alfredo Chuscano"/>
    <s v="TECURCO"/>
    <s v="Repisa Caramelo"/>
    <n v="1"/>
    <x v="6"/>
    <s v="Bogotá y alrededores"/>
    <s v="Bogota"/>
    <x v="2"/>
    <s v="Coordinadora"/>
    <m/>
    <m/>
    <m/>
    <s v="En transito"/>
    <s v="PTE"/>
    <s v="PTE"/>
    <s v="PTE"/>
    <m/>
    <m/>
  </r>
  <r>
    <d v="2025-08-28T00:00:00"/>
    <x v="7"/>
    <n v="100095"/>
    <x v="0"/>
    <s v="JUAN SEBASTIAN ZULUAGA"/>
    <s v="TECU3FNPRO"/>
    <s v="Electric Standing Desk  PRO Negro"/>
    <n v="1"/>
    <x v="1"/>
    <s v="Bogotá y alrededores"/>
    <s v="Bogota"/>
    <x v="2"/>
    <s v="Coordinadora"/>
    <m/>
    <m/>
    <m/>
    <s v="En transito"/>
    <s v="PTE"/>
    <s v="PTE"/>
    <s v="PTE"/>
    <m/>
    <m/>
  </r>
  <r>
    <d v="2025-08-28T00:00:00"/>
    <x v="7"/>
    <n v="100095"/>
    <x v="0"/>
    <s v="JUAN SEBASTIAN ZULUAGA"/>
    <s v="TECUTRN3C"/>
    <s v="Superficie  Roble Negro 130x70 Clasico"/>
    <n v="1"/>
    <x v="2"/>
    <s v="Bogotá y alrededores"/>
    <s v="Bogota"/>
    <x v="2"/>
    <s v="Coordinadora"/>
    <m/>
    <m/>
    <m/>
    <s v="En transito"/>
    <s v="PTE"/>
    <s v="PTE"/>
    <s v="PTE"/>
    <m/>
    <m/>
  </r>
  <r>
    <d v="2025-08-28T00:00:00"/>
    <x v="7"/>
    <n v="100096"/>
    <x v="0"/>
    <s v="ELEV8 MEDIA SAS LUISA SANCHEZ"/>
    <s v="TECU3FNPRO"/>
    <s v="Electric Standing Desk  PRO Negro"/>
    <n v="1"/>
    <x v="1"/>
    <s v="Antioquia"/>
    <s v="Medellin"/>
    <x v="2"/>
    <s v="Coordinadora"/>
    <m/>
    <m/>
    <m/>
    <s v="En transito"/>
    <s v="PTE"/>
    <s v="PTE"/>
    <s v="PTE"/>
    <m/>
    <m/>
  </r>
  <r>
    <d v="2025-08-28T00:00:00"/>
    <x v="7"/>
    <n v="100096"/>
    <x v="0"/>
    <s v="ELEV8 MEDIA SAS LUISA SANCHEZ"/>
    <s v="TECUTRN8M"/>
    <s v="Superficie  Roble Negro 180x70 Moderno"/>
    <n v="1"/>
    <x v="2"/>
    <s v="Antioquia"/>
    <s v="Medellin"/>
    <x v="2"/>
    <s v="Coordinadora"/>
    <m/>
    <m/>
    <m/>
    <s v="En transito"/>
    <s v="PTE"/>
    <s v="PTE"/>
    <s v="PTE"/>
    <m/>
    <m/>
  </r>
  <r>
    <d v="2025-08-28T00:00:00"/>
    <x v="7"/>
    <n v="100096"/>
    <x v="0"/>
    <s v="ELEV8 MEDIA SAS LUISA SANCHEZ"/>
    <m/>
    <s v="Servicio de instalacion"/>
    <m/>
    <x v="3"/>
    <s v="Antioquia"/>
    <s v="Medellin"/>
    <x v="2"/>
    <s v="Coordinadora"/>
    <m/>
    <m/>
    <m/>
    <s v="En transito"/>
    <s v="PTE"/>
    <s v="PTE"/>
    <s v="PTE"/>
    <m/>
    <m/>
  </r>
  <r>
    <d v="2025-08-28T00:00:00"/>
    <x v="7"/>
    <n v="100097"/>
    <x v="0"/>
    <s v="Diego Fernando Franco Gonzalez"/>
    <s v="TECU3FBRO"/>
    <s v="Electric Standing Desk  PRO Blanco"/>
    <n v="1"/>
    <x v="1"/>
    <s v="Bogotá y alrededores"/>
    <s v="Bogota"/>
    <x v="2"/>
    <s v="Coordinadora"/>
    <m/>
    <m/>
    <m/>
    <s v="En transito"/>
    <s v="PTE"/>
    <s v="PTE"/>
    <s v="PTE"/>
    <m/>
    <m/>
  </r>
  <r>
    <d v="2025-08-28T00:00:00"/>
    <x v="7"/>
    <n v="100097"/>
    <x v="0"/>
    <s v="Diego Fernando Franco Gonzalez"/>
    <s v="TECUTCO2C"/>
    <s v="Superficie  Caramelo 120x70 Clasico Small"/>
    <n v="1"/>
    <x v="2"/>
    <s v="Bogotá y alrededores"/>
    <s v="Bogota"/>
    <x v="2"/>
    <s v="Coordinadora"/>
    <m/>
    <m/>
    <m/>
    <s v="En transito"/>
    <s v="PTE"/>
    <s v="PTE"/>
    <s v="PTE"/>
    <m/>
    <m/>
  </r>
  <r>
    <d v="2025-08-28T00:00:00"/>
    <x v="7"/>
    <n v="100097"/>
    <x v="0"/>
    <s v="Diego Fernando Franco Gonzalez"/>
    <m/>
    <s v="Servicio de instalacion"/>
    <n v="1"/>
    <x v="3"/>
    <s v="Bogotá y alrededores"/>
    <s v="Bogota"/>
    <x v="2"/>
    <s v="Coordinadora"/>
    <m/>
    <m/>
    <m/>
    <s v="En transito"/>
    <s v="PTE"/>
    <s v="PTE"/>
    <s v="PTE"/>
    <m/>
    <m/>
  </r>
  <r>
    <d v="2025-08-30T00:00:00"/>
    <x v="7"/>
    <n v="100098"/>
    <x v="0"/>
    <s v="Diego Fernando Franco Gonzalez"/>
    <s v="TECUROD"/>
    <s v="Rodachines con freno para Standing desk x 4 UN"/>
    <n v="1"/>
    <x v="7"/>
    <s v="Bogotá y alrededores"/>
    <s v="Bogota"/>
    <x v="2"/>
    <s v="Coordinadora"/>
    <m/>
    <m/>
    <m/>
    <s v="En transito"/>
    <s v="PTE"/>
    <s v="PTE"/>
    <s v="PTE"/>
    <m/>
    <m/>
  </r>
  <r>
    <d v="2025-08-30T00:00:00"/>
    <x v="7"/>
    <n v="100099"/>
    <x v="0"/>
    <s v="Dolf Bouwe Joseph August Andringa"/>
    <s v="TECU3FNPRO"/>
    <s v="Electric Standing Desk  PRO Negro"/>
    <n v="1"/>
    <x v="1"/>
    <s v="Antioquia"/>
    <s v="Medellin"/>
    <x v="2"/>
    <s v="Coordinadora"/>
    <m/>
    <m/>
    <m/>
    <s v="En transito"/>
    <s v="PTE"/>
    <s v="PTE"/>
    <s v="PTE"/>
    <m/>
    <m/>
  </r>
  <r>
    <d v="2025-08-30T00:00:00"/>
    <x v="7"/>
    <n v="100099"/>
    <x v="0"/>
    <s v="Dolf Bouwe Joseph August Andringa"/>
    <s v="TECUTCO6M"/>
    <s v="Superficie  Caramelo 160x70 Moderno"/>
    <n v="1"/>
    <x v="2"/>
    <s v="Antioquia"/>
    <s v="Medellin"/>
    <x v="2"/>
    <s v="Coordinadora"/>
    <m/>
    <m/>
    <m/>
    <s v="En transito"/>
    <s v="PTE"/>
    <s v="PTE"/>
    <s v="PTE"/>
    <m/>
    <m/>
  </r>
  <r>
    <d v="2025-08-30T00:00:00"/>
    <x v="7"/>
    <n v="100099"/>
    <x v="0"/>
    <s v="Dolf Bouwe Joseph August Andringa"/>
    <s v="TECU3FNPRO"/>
    <s v="Electric Standing Desk  PRO Negro"/>
    <n v="1"/>
    <x v="1"/>
    <s v="Antioquia"/>
    <s v="Medellin"/>
    <x v="2"/>
    <s v="Coordinadora"/>
    <m/>
    <m/>
    <m/>
    <s v="En transito"/>
    <s v="PTE"/>
    <s v="PTE"/>
    <s v="PTE"/>
    <m/>
    <m/>
  </r>
  <r>
    <d v="2025-08-30T00:00:00"/>
    <x v="7"/>
    <n v="100099"/>
    <x v="0"/>
    <s v="Dolf Bouwe Joseph August Andringa"/>
    <s v="TECUTCO5M"/>
    <s v="Superficie Caramelo 150x70 Moderno"/>
    <n v="1"/>
    <x v="2"/>
    <s v="Antioquia"/>
    <s v="Medellin"/>
    <x v="2"/>
    <s v="Coordinadora"/>
    <m/>
    <m/>
    <m/>
    <s v="En transito"/>
    <s v="PTE"/>
    <s v="PTE"/>
    <s v="PTE"/>
    <m/>
    <m/>
  </r>
  <r>
    <d v="2025-08-30T00:00:00"/>
    <x v="7"/>
    <n v="100099"/>
    <x v="0"/>
    <s v="Dolf Bouwe Joseph August Andringa"/>
    <s v="TECUCT"/>
    <s v="Bandeja de cables"/>
    <n v="2"/>
    <x v="0"/>
    <s v="Antioquia"/>
    <s v="Medellin"/>
    <x v="2"/>
    <s v="Coordinadora"/>
    <m/>
    <m/>
    <m/>
    <s v="En transito"/>
    <s v="PTE"/>
    <s v="PTE"/>
    <s v="PTE"/>
    <m/>
    <m/>
  </r>
  <r>
    <d v="2025-08-30T00:00:00"/>
    <x v="7"/>
    <n v="100099"/>
    <x v="0"/>
    <s v="Dolf Bouwe Joseph August Andringa"/>
    <s v="TECUBDPA"/>
    <s v="Desk Pad B Negro Azul"/>
    <n v="2"/>
    <x v="0"/>
    <s v="Antioquia"/>
    <s v="Medellin"/>
    <x v="2"/>
    <s v="Coordinadora"/>
    <m/>
    <m/>
    <m/>
    <s v="En transito"/>
    <s v="PTE"/>
    <s v="PTE"/>
    <s v="PTE"/>
    <m/>
    <m/>
  </r>
  <r>
    <d v="2025-09-01T00:00:00"/>
    <x v="8"/>
    <n v="100102"/>
    <x v="0"/>
    <s v="Miguel Angel Romero Olaya"/>
    <s v="TECU3FNPRO"/>
    <s v="Electric Standing Desk  PRO Negro"/>
    <n v="1"/>
    <x v="1"/>
    <s v="Bogotá y alrededores"/>
    <s v="Fusagasuga"/>
    <x v="2"/>
    <s v="Coordinadora"/>
    <m/>
    <m/>
    <m/>
    <s v="En transito"/>
    <s v="PTE"/>
    <s v="PTE"/>
    <s v="PTE"/>
    <m/>
    <m/>
  </r>
  <r>
    <d v="2025-09-01T00:00:00"/>
    <x v="8"/>
    <n v="100102"/>
    <x v="0"/>
    <s v="Miguel Angel Romero Olaya"/>
    <s v="TECUTRN7C"/>
    <s v="Superficie  Roble Negro 170x70 Clasico"/>
    <n v="1"/>
    <x v="2"/>
    <s v="Bogotá y alrededores"/>
    <s v="Fusagasuga"/>
    <x v="2"/>
    <s v="Coordinadora"/>
    <m/>
    <m/>
    <m/>
    <s v="En transito"/>
    <s v="PTE"/>
    <s v="PTE"/>
    <s v="PTE"/>
    <m/>
    <m/>
  </r>
  <r>
    <d v="2025-09-02T00:00:00"/>
    <x v="8"/>
    <n v="100103"/>
    <x v="0"/>
    <s v="alex castro"/>
    <s v="TECU3FBRO"/>
    <s v="Electric Standing Desk  PRO Blanco"/>
    <n v="1"/>
    <x v="1"/>
    <s v="Bogotá y alrededores"/>
    <s v="Bogota"/>
    <x v="2"/>
    <s v="Coordinadora"/>
    <m/>
    <m/>
    <m/>
    <s v="En transito"/>
    <s v="PTE"/>
    <s v="PTE"/>
    <s v="PTE"/>
    <m/>
    <m/>
  </r>
  <r>
    <d v="2025-09-02T00:00:00"/>
    <x v="8"/>
    <n v="100103"/>
    <x v="0"/>
    <s v="alex castro"/>
    <s v="TECUTB2C"/>
    <s v="Superficie Niebla 120x70 Clasico Small"/>
    <n v="1"/>
    <x v="2"/>
    <s v="Bogotá y alrededores"/>
    <s v="Bogota"/>
    <x v="2"/>
    <s v="Coordinadora"/>
    <m/>
    <m/>
    <m/>
    <s v="En transito"/>
    <s v="PTE"/>
    <s v="PTE"/>
    <s v="PTE"/>
    <m/>
    <m/>
  </r>
  <r>
    <d v="2025-09-03T00:00:00"/>
    <x v="8"/>
    <n v="100104"/>
    <x v="0"/>
    <s v="Laura Ximena Urueña Camacho"/>
    <s v="TECU3FBCRO"/>
    <s v="Electric Standing Desk  PRO Blanco circular"/>
    <n v="1"/>
    <x v="1"/>
    <s v="Bogotá y alrededores"/>
    <s v="Bogota"/>
    <x v="2"/>
    <s v="Coordinadora"/>
    <m/>
    <m/>
    <m/>
    <s v="En transito"/>
    <s v="PTE"/>
    <s v="PTE"/>
    <s v="PTE"/>
    <m/>
    <m/>
  </r>
  <r>
    <d v="2025-09-03T00:00:00"/>
    <x v="8"/>
    <n v="100104"/>
    <x v="0"/>
    <s v="Laura Ximena Urueña Camacho"/>
    <s v="TECUTFE7C"/>
    <s v="Superficie  Fresno Europeo 170x70 Clasico"/>
    <n v="1"/>
    <x v="2"/>
    <s v="Bogotá y alrededores"/>
    <s v="Bogota"/>
    <x v="2"/>
    <s v="Coordinadora"/>
    <m/>
    <m/>
    <m/>
    <s v="En transito"/>
    <s v="PTE"/>
    <s v="PTE"/>
    <s v="PTE"/>
    <m/>
    <m/>
  </r>
  <r>
    <d v="2025-09-03T00:00:00"/>
    <x v="8"/>
    <n v="100105"/>
    <x v="0"/>
    <s v="Matias Velez"/>
    <s v="TECU3FNPRO"/>
    <s v="Electric Standing Desk  PRO Negro"/>
    <n v="1"/>
    <x v="1"/>
    <s v="Caldas"/>
    <s v="Manizales"/>
    <x v="2"/>
    <s v="Coordinadora"/>
    <m/>
    <m/>
    <m/>
    <s v="En transito"/>
    <s v="PTE"/>
    <s v="PTE"/>
    <s v="PTE"/>
    <m/>
    <m/>
  </r>
  <r>
    <d v="2025-09-03T00:00:00"/>
    <x v="8"/>
    <n v="100105"/>
    <x v="0"/>
    <s v="Matias Velez"/>
    <s v="TECUTCO2C"/>
    <s v="Superficie  Caramelo 120x70 Clasico Small"/>
    <n v="1"/>
    <x v="2"/>
    <s v="Caldas"/>
    <s v="Manizales"/>
    <x v="2"/>
    <s v="Coordinadora"/>
    <m/>
    <m/>
    <m/>
    <s v="En transito"/>
    <s v="PTE"/>
    <s v="PTE"/>
    <s v="PTE"/>
    <m/>
    <m/>
  </r>
  <r>
    <d v="2025-09-03T00:00:00"/>
    <x v="8"/>
    <n v="100106"/>
    <x v="0"/>
    <s v="Manuel Agudelo"/>
    <s v="TECU3FNPRO"/>
    <s v="Electric Standing Desk  PRO Negro"/>
    <n v="1"/>
    <x v="1"/>
    <s v="Bogotá y alrededores"/>
    <s v="Bogota"/>
    <x v="2"/>
    <s v="Coordinadora"/>
    <m/>
    <m/>
    <m/>
    <s v="En transito"/>
    <s v="PTE"/>
    <s v="PTE"/>
    <s v="PTE"/>
    <m/>
    <m/>
  </r>
  <r>
    <d v="2025-09-03T00:00:00"/>
    <x v="8"/>
    <n v="100106"/>
    <x v="0"/>
    <s v="Manuel Agudelo"/>
    <s v="TECUTRN20C"/>
    <s v="Superficie  Roble Negro 200x70 Clasico"/>
    <n v="1"/>
    <x v="2"/>
    <s v="Bogotá y alrededores"/>
    <s v="Bogota"/>
    <x v="2"/>
    <s v="Coordinadora"/>
    <m/>
    <m/>
    <m/>
    <s v="En transito"/>
    <s v="PTE"/>
    <s v="PTE"/>
    <s v="PTE"/>
    <m/>
    <m/>
  </r>
  <r>
    <d v="2025-09-05T00:00:00"/>
    <x v="8"/>
    <n v="100108"/>
    <x v="0"/>
    <s v="Julio Álvarez"/>
    <s v="TECU2FNG"/>
    <s v="Electric Standing Desk GO Negro"/>
    <n v="1"/>
    <x v="1"/>
    <s v="Valle del Cauca"/>
    <s v="Buga"/>
    <x v="2"/>
    <s v="Coordinadora"/>
    <m/>
    <m/>
    <m/>
    <s v="En transito"/>
    <s v="PTE"/>
    <s v="PTE"/>
    <s v="PTE"/>
    <m/>
    <m/>
  </r>
  <r>
    <d v="2025-09-05T00:00:00"/>
    <x v="8"/>
    <n v="100108"/>
    <x v="0"/>
    <s v="Julio Álvarez"/>
    <s v="TECUTFE6C"/>
    <s v="Superficie  Fresno Europeo 160x70 Clasico"/>
    <n v="1"/>
    <x v="2"/>
    <s v="Valle del Cauca"/>
    <s v="Buga"/>
    <x v="2"/>
    <s v="Coordinadora"/>
    <m/>
    <m/>
    <m/>
    <s v="En transito"/>
    <s v="PTE"/>
    <s v="PTE"/>
    <s v="PTE"/>
    <m/>
    <m/>
  </r>
  <r>
    <d v="2025-09-05T00:00:00"/>
    <x v="8"/>
    <n v="100108"/>
    <x v="0"/>
    <s v="Julio Álvarez"/>
    <s v="TECUAFE"/>
    <s v="Archivador TECU Fresno Europeo"/>
    <n v="1"/>
    <x v="5"/>
    <s v="Valle del Cauca"/>
    <s v="Buga"/>
    <x v="2"/>
    <s v="Coordinadora"/>
    <m/>
    <m/>
    <m/>
    <s v="En transito"/>
    <s v="PTE"/>
    <s v="PTE"/>
    <s v="PTE"/>
    <m/>
    <m/>
  </r>
  <r>
    <d v="2025-09-05T00:00:00"/>
    <x v="8"/>
    <n v="100108"/>
    <x v="0"/>
    <s v="Julio Álvarez"/>
    <s v="TECUROD"/>
    <s v="Rodachines con freno para Standing desk x 4 UN"/>
    <n v="1"/>
    <x v="7"/>
    <s v="Valle del Cauca"/>
    <s v="Buga"/>
    <x v="2"/>
    <s v="Coordinadora"/>
    <m/>
    <m/>
    <m/>
    <s v="En transito"/>
    <s v="PTE"/>
    <s v="PTE"/>
    <s v="PTE"/>
    <m/>
    <m/>
  </r>
  <r>
    <d v="2025-09-09T00:00:00"/>
    <x v="8"/>
    <n v="100109"/>
    <x v="0"/>
    <s v="Frank Leao Serrato"/>
    <s v="TECULFN2"/>
    <s v="Electric Standing Desk  En L Frame Negro 2.0"/>
    <n v="1"/>
    <x v="1"/>
    <s v="Bogotá y alrededores"/>
    <s v="Tocancipa"/>
    <x v="2"/>
    <s v="Coordinadora"/>
    <m/>
    <m/>
    <m/>
    <s v="En transito"/>
    <s v="PTE"/>
    <s v="PTE"/>
    <s v="PTE"/>
    <m/>
    <m/>
  </r>
  <r>
    <d v="2025-09-09T00:00:00"/>
    <x v="8"/>
    <n v="100109"/>
    <x v="0"/>
    <s v="Frank Leao Serrato"/>
    <s v="TECUTLFES"/>
    <s v="Superficie en L Fresno 180x150cm x 70"/>
    <n v="1"/>
    <x v="2"/>
    <s v="Bogotá y alrededores"/>
    <s v="Tocancipa"/>
    <x v="2"/>
    <s v="Coordinadora"/>
    <m/>
    <m/>
    <m/>
    <s v="En transito"/>
    <s v="PTE"/>
    <s v="PTE"/>
    <s v="PTE"/>
    <m/>
    <m/>
  </r>
  <r>
    <d v="2025-09-10T00:00:00"/>
    <x v="8"/>
    <n v="100110"/>
    <x v="0"/>
    <s v="Juan Jose Castaño"/>
    <s v="TECUCT"/>
    <s v="Bandeja de cables"/>
    <n v="1"/>
    <x v="0"/>
    <s v="Bogotá y alrededores"/>
    <s v="Bogota"/>
    <x v="2"/>
    <s v="Coordinadora"/>
    <m/>
    <m/>
    <m/>
    <s v="En transito"/>
    <s v="PTE"/>
    <s v="PTE"/>
    <s v="PTE"/>
    <m/>
    <m/>
  </r>
  <r>
    <d v="2025-09-11T00:00:00"/>
    <x v="8"/>
    <n v="100111"/>
    <x v="0"/>
    <s v="Diego Beltrán"/>
    <s v="TECU3FNPRO"/>
    <s v="Electric Standing Desk  PRO Negro"/>
    <n v="1"/>
    <x v="1"/>
    <s v="Bogotá y alrededores"/>
    <s v="Bogota"/>
    <x v="2"/>
    <s v="Coordinadora"/>
    <m/>
    <m/>
    <m/>
    <s v="En transito"/>
    <s v="PTE"/>
    <s v="PTE"/>
    <s v="PTE"/>
    <m/>
    <m/>
  </r>
  <r>
    <d v="2025-09-11T00:00:00"/>
    <x v="8"/>
    <n v="100111"/>
    <x v="0"/>
    <s v="Diego Beltrán"/>
    <s v="TECUTRC8C"/>
    <s v="Superficie Roble Caramelo 180x70 Clasico"/>
    <n v="1"/>
    <x v="2"/>
    <s v="Bogotá y alrededores"/>
    <s v="Bogota"/>
    <x v="2"/>
    <s v="Coordinadora"/>
    <m/>
    <m/>
    <m/>
    <s v="En transito"/>
    <s v="PTE"/>
    <s v="PTE"/>
    <s v="PTE"/>
    <m/>
    <m/>
  </r>
  <r>
    <d v="2025-09-11T00:00:00"/>
    <x v="8"/>
    <n v="100111"/>
    <x v="0"/>
    <s v="Diego Beltrán"/>
    <s v="TECUCT"/>
    <s v="Bandeja de cables"/>
    <n v="1"/>
    <x v="0"/>
    <s v="Bogotá y alrededores"/>
    <s v="Bogota"/>
    <x v="2"/>
    <s v="Coordinadora"/>
    <m/>
    <m/>
    <m/>
    <s v="En transito"/>
    <s v="PTE"/>
    <s v="PTE"/>
    <s v="PTE"/>
    <m/>
    <m/>
  </r>
  <r>
    <d v="2025-09-11T00:00:00"/>
    <x v="8"/>
    <n v="100112"/>
    <x v="0"/>
    <s v="Lucas Salazar"/>
    <s v="TECU3FNPRO"/>
    <s v="Electric Standing Desk  PRO Negro"/>
    <n v="1"/>
    <x v="1"/>
    <s v="Antioquia"/>
    <s v="Medellin"/>
    <x v="2"/>
    <s v="Coordinadora"/>
    <m/>
    <m/>
    <m/>
    <s v="En transito"/>
    <s v="PTE"/>
    <s v="PTE"/>
    <s v="PTE"/>
    <m/>
    <m/>
  </r>
  <r>
    <d v="2025-09-11T00:00:00"/>
    <x v="8"/>
    <n v="100112"/>
    <x v="0"/>
    <s v="Lucas Salazar"/>
    <s v="TECUTRN6C"/>
    <s v="Superficie  Roble Negro 160x70 Clasico"/>
    <n v="1"/>
    <x v="2"/>
    <s v="Antioquia"/>
    <s v="Medellin"/>
    <x v="2"/>
    <s v="Coordinadora"/>
    <m/>
    <m/>
    <m/>
    <s v="En transito"/>
    <s v="PTE"/>
    <s v="PTE"/>
    <s v="PTE"/>
    <m/>
    <m/>
  </r>
  <r>
    <d v="2025-09-11T00:00:00"/>
    <x v="8"/>
    <n v="100112"/>
    <x v="0"/>
    <s v="Lucas Salazar"/>
    <s v="TECUCT"/>
    <s v="Bandeja de cables"/>
    <n v="1"/>
    <x v="0"/>
    <s v="Antioquia"/>
    <s v="Medellin"/>
    <x v="2"/>
    <s v="Coordinadora"/>
    <m/>
    <m/>
    <m/>
    <s v="En transito"/>
    <s v="PTE"/>
    <s v="PTE"/>
    <s v="PTE"/>
    <m/>
    <m/>
  </r>
  <r>
    <d v="2025-09-11T00:00:00"/>
    <x v="8"/>
    <n v="100112"/>
    <x v="0"/>
    <s v="Lucas Salazar"/>
    <m/>
    <s v="Servicio de instalacion"/>
    <n v="1"/>
    <x v="3"/>
    <s v="Antioquia"/>
    <s v="Medellin"/>
    <x v="2"/>
    <s v="Coordinadora"/>
    <m/>
    <m/>
    <m/>
    <s v="En transito"/>
    <s v="PTE"/>
    <s v="PTE"/>
    <s v="PTE"/>
    <m/>
    <m/>
  </r>
  <r>
    <d v="2025-09-12T00:00:00"/>
    <x v="8"/>
    <n v="100113"/>
    <x v="0"/>
    <s v="Green Motion SAS"/>
    <s v="TECU3FBRO"/>
    <s v="Electric Standing Desk  PRO Blanco"/>
    <n v="1"/>
    <x v="1"/>
    <s v="Bogotá y alrededores"/>
    <s v="Chía"/>
    <x v="2"/>
    <s v="Coordinadora"/>
    <m/>
    <m/>
    <m/>
    <s v="En transito"/>
    <s v="PTE"/>
    <s v="PTE"/>
    <s v="PTE"/>
    <m/>
    <m/>
  </r>
  <r>
    <d v="2025-09-12T00:00:00"/>
    <x v="8"/>
    <n v="100113"/>
    <x v="0"/>
    <s v="Green Motion SAS"/>
    <s v="TECUTFE6M"/>
    <s v="Superficie  Fresno Europeo 160x70 Moderno"/>
    <n v="1"/>
    <x v="2"/>
    <s v="Bogotá y alrededores"/>
    <s v="Chía"/>
    <x v="2"/>
    <s v="Coordinadora"/>
    <m/>
    <m/>
    <m/>
    <s v="En transito"/>
    <s v="PTE"/>
    <s v="PTE"/>
    <s v="PTE"/>
    <m/>
    <m/>
  </r>
  <r>
    <d v="2025-09-12T00:00:00"/>
    <x v="8"/>
    <n v="100113"/>
    <x v="0"/>
    <s v="Green Motion SAS"/>
    <m/>
    <s v="Servicio de instalacion"/>
    <n v="1"/>
    <x v="3"/>
    <s v="Bogotá y alrededores"/>
    <s v="Chía"/>
    <x v="2"/>
    <s v="Coordinadora"/>
    <m/>
    <m/>
    <m/>
    <s v="En transito"/>
    <s v="PTE"/>
    <s v="PTE"/>
    <s v="PTE"/>
    <m/>
    <m/>
  </r>
  <r>
    <d v="2025-07-10T00:00:00"/>
    <x v="6"/>
    <s v="Luis"/>
    <x v="0"/>
    <s v="Luis - Marketing"/>
    <s v="TECU3FNPRO"/>
    <s v="Electric Standing Desk  PRO Negro"/>
    <n v="1"/>
    <x v="1"/>
    <s v="Bogotá y alrededores"/>
    <s v="Bogota"/>
    <x v="0"/>
    <s v="Coordinadora"/>
    <s v="3469534 - 84151293954"/>
    <d v="2025-07-10T00:00:00"/>
    <d v="2025-07-11T00:00:00"/>
    <s v="Entregado"/>
    <n v="0"/>
    <n v="1"/>
    <s v="Cumple"/>
    <n v="47921"/>
    <m/>
  </r>
  <r>
    <d v="2025-07-10T00:00:00"/>
    <x v="6"/>
    <s v="Luis"/>
    <x v="0"/>
    <s v="Luis - Marketing"/>
    <s v="TECUTCO5M"/>
    <s v="Superficie Caramelo 150x70 Moderno"/>
    <n v="1"/>
    <x v="2"/>
    <s v="Bogotá y alrededores"/>
    <s v="Bogota"/>
    <x v="0"/>
    <s v="Coordinadora"/>
    <s v="3469565 - 84151293964"/>
    <d v="2025-07-10T00:00:00"/>
    <d v="2025-07-11T00:00:00"/>
    <s v="Entregado"/>
    <n v="0"/>
    <n v="1"/>
    <s v="Cumple"/>
    <n v="28593"/>
    <m/>
  </r>
  <r>
    <d v="2025-07-10T00:00:00"/>
    <x v="6"/>
    <s v="James"/>
    <x v="0"/>
    <s v="James - Marketing"/>
    <s v="TECU2FBGO"/>
    <s v="Electric Standing Desk GO Blanco"/>
    <n v="1"/>
    <x v="1"/>
    <s v="Atlantico"/>
    <s v="Barranquilla"/>
    <x v="0"/>
    <s v="Coordinadora"/>
    <s v="3469617 - 84151293980"/>
    <d v="2025-07-10T00:00:00"/>
    <d v="2025-07-12T00:00:00"/>
    <s v="Entregado"/>
    <n v="0"/>
    <n v="2"/>
    <s v="Cumple"/>
    <n v="66151"/>
    <m/>
  </r>
  <r>
    <d v="2025-07-10T00:00:00"/>
    <x v="6"/>
    <s v="James"/>
    <x v="0"/>
    <s v="James - Marketing"/>
    <s v="TECUTB2C"/>
    <s v="Superficie Niebla 120x70 Clasico Small"/>
    <n v="1"/>
    <x v="2"/>
    <s v="Atlantico"/>
    <s v="Barranquilla"/>
    <x v="0"/>
    <s v="Coordinadora"/>
    <s v="3469599 - 84151293976"/>
    <d v="2025-07-10T00:00:00"/>
    <d v="2025-07-12T00:00:00"/>
    <s v="Entregado"/>
    <n v="0"/>
    <n v="2"/>
    <s v="Cumple"/>
    <n v="42262"/>
    <m/>
  </r>
  <r>
    <d v="2025-07-10T00:00:00"/>
    <x v="6"/>
    <s v="James"/>
    <x v="0"/>
    <s v="James - Marketing"/>
    <s v="TECUTB8M"/>
    <s v="Superficie Niebla 180x70 Moderno"/>
    <n v="1"/>
    <x v="2"/>
    <s v="Atlantico"/>
    <s v="Barranquilla"/>
    <x v="0"/>
    <s v="Coordinadora"/>
    <s v="3491818 - 84151302131"/>
    <d v="2025-07-17T00:00:00"/>
    <d v="2025-07-21T00:00:00"/>
    <s v="Entregado"/>
    <n v="6"/>
    <n v="9"/>
    <s v="No cumple"/>
    <n v="47524"/>
    <m/>
  </r>
  <r>
    <d v="2025-09-16T00:00:00"/>
    <x v="8"/>
    <n v="100114"/>
    <x v="0"/>
    <s v="OSCAR FORERO - SENSE DESIGN SAS"/>
    <s v="TECULFN2"/>
    <s v="Electric Standing Desk  En L Frame Negro 2.0"/>
    <n v="1"/>
    <x v="1"/>
    <s v="Bogotá y alrededores"/>
    <s v="Bogota"/>
    <x v="2"/>
    <s v="Coordinadora"/>
    <m/>
    <m/>
    <m/>
    <m/>
    <m/>
    <m/>
    <m/>
    <m/>
    <m/>
  </r>
  <r>
    <d v="2025-09-16T00:00:00"/>
    <x v="8"/>
    <n v="100114"/>
    <x v="0"/>
    <s v="OSCAR FORERO - SENSE DESIGN SAS"/>
    <s v="TECUTLFES"/>
    <s v="Superficie en L Fresno 180x150cm x 70"/>
    <n v="1"/>
    <x v="2"/>
    <s v="Bogotá y alrededores"/>
    <s v="Bogota"/>
    <x v="2"/>
    <s v="Coordinadora"/>
    <m/>
    <m/>
    <m/>
    <m/>
    <m/>
    <m/>
    <m/>
    <m/>
    <m/>
  </r>
  <r>
    <d v="2025-09-16T00:00:00"/>
    <x v="8"/>
    <n v="100114"/>
    <x v="0"/>
    <s v="OSCAR FORERO - SENSE DESIGN SAS"/>
    <m/>
    <s v="Servicio de instalacion"/>
    <n v="1"/>
    <x v="3"/>
    <s v="Bogotá y alrededores"/>
    <s v="Bogota"/>
    <x v="2"/>
    <s v="Coordinadora"/>
    <m/>
    <m/>
    <m/>
    <m/>
    <m/>
    <m/>
    <m/>
    <m/>
    <m/>
  </r>
  <r>
    <d v="2025-09-16T00:00:00"/>
    <x v="8"/>
    <n v="100115"/>
    <x v="0"/>
    <s v="Alejandro Barragan"/>
    <s v="TECUCT"/>
    <s v="Bandeja de cables"/>
    <n v="1"/>
    <x v="0"/>
    <s v="Bogotá y alrededores"/>
    <s v="Bogota"/>
    <x v="2"/>
    <s v="Coordinadora"/>
    <m/>
    <m/>
    <m/>
    <m/>
    <m/>
    <m/>
    <m/>
    <m/>
    <m/>
  </r>
  <r>
    <d v="2025-09-16T00:00:00"/>
    <x v="8"/>
    <n v="100116"/>
    <x v="0"/>
    <s v="2D ARQUITECTOS SAS SAS"/>
    <s v="TECU2FNG"/>
    <s v="Electric Standing Desk GO Negro"/>
    <n v="1"/>
    <x v="1"/>
    <s v="Bogotá y alrededores"/>
    <s v="Bogota"/>
    <x v="2"/>
    <s v="Coordinadora"/>
    <m/>
    <m/>
    <m/>
    <m/>
    <m/>
    <m/>
    <m/>
    <m/>
    <m/>
  </r>
  <r>
    <d v="2025-09-17T00:00:00"/>
    <x v="8"/>
    <n v="100117"/>
    <x v="0"/>
    <s v="WILSON CARO"/>
    <s v="TECU3FNPRO"/>
    <s v="Electric Standing Desk  PRO Negro"/>
    <n v="1"/>
    <x v="1"/>
    <s v="Atlantico"/>
    <s v="Barranquilla"/>
    <x v="2"/>
    <s v="Coordinadora"/>
    <m/>
    <m/>
    <m/>
    <m/>
    <m/>
    <m/>
    <m/>
    <m/>
    <m/>
  </r>
  <r>
    <d v="2025-09-17T00:00:00"/>
    <x v="8"/>
    <n v="100117"/>
    <x v="0"/>
    <s v="WILSON CARO"/>
    <s v="TECUTFE2C"/>
    <s v="Superficie  Fresno Europeo 120x70 Clasico Small"/>
    <n v="1"/>
    <x v="2"/>
    <s v="Atlantico"/>
    <s v="Barranquilla"/>
    <x v="2"/>
    <s v="Coordinadora"/>
    <m/>
    <m/>
    <m/>
    <m/>
    <m/>
    <m/>
    <m/>
    <m/>
    <m/>
  </r>
  <r>
    <d v="2025-09-17T00:00:00"/>
    <x v="8"/>
    <n v="100117"/>
    <x v="0"/>
    <s v="WILSON CARO"/>
    <s v="TECUCT"/>
    <s v="Bandeja de cables"/>
    <n v="1"/>
    <x v="0"/>
    <s v="Atlantico"/>
    <s v="Barranquilla"/>
    <x v="2"/>
    <s v="Coordinadora"/>
    <m/>
    <m/>
    <m/>
    <m/>
    <m/>
    <m/>
    <m/>
    <m/>
    <m/>
  </r>
  <r>
    <d v="2025-09-17T00:00:00"/>
    <x v="8"/>
    <n v="100118"/>
    <x v="0"/>
    <s v="Juan Camilo Díaz Hernández"/>
    <s v="TECU3FNPRO"/>
    <s v="Electric Standing Desk  PRO Negro"/>
    <n v="1"/>
    <x v="1"/>
    <s v="Antioquia"/>
    <s v="Copacabana"/>
    <x v="2"/>
    <s v="Coordinadora"/>
    <m/>
    <m/>
    <m/>
    <m/>
    <m/>
    <m/>
    <m/>
    <m/>
    <m/>
  </r>
  <r>
    <d v="2025-09-17T00:00:00"/>
    <x v="8"/>
    <n v="100118"/>
    <x v="0"/>
    <s v="Juan Camilo Díaz Hernández"/>
    <s v="TECUTRN5C"/>
    <s v="Superficie  Roble negro 150x70 Clasico"/>
    <n v="1"/>
    <x v="2"/>
    <s v="Antioquia"/>
    <s v="Copacabana"/>
    <x v="2"/>
    <s v="Coordinadora"/>
    <m/>
    <m/>
    <m/>
    <m/>
    <m/>
    <m/>
    <m/>
    <m/>
    <m/>
  </r>
  <r>
    <d v="2025-09-17T00:00:00"/>
    <x v="8"/>
    <n v="100118"/>
    <x v="0"/>
    <s v="Juan Camilo Díaz Hernández"/>
    <s v="TECUAN"/>
    <s v="Archivador TECU  Negro"/>
    <n v="1"/>
    <x v="5"/>
    <s v="Antioquia"/>
    <s v="Copacabana"/>
    <x v="2"/>
    <s v="Coordinadora"/>
    <m/>
    <m/>
    <m/>
    <m/>
    <m/>
    <m/>
    <m/>
    <m/>
    <m/>
  </r>
  <r>
    <d v="2025-09-18T00:00:00"/>
    <x v="8"/>
    <n v="100119"/>
    <x v="0"/>
    <s v="Luis Miguel Arroyave Trujillo"/>
    <s v="TECU3FNPRO"/>
    <s v="Electric Standing Desk  PRO Negro"/>
    <n v="1"/>
    <x v="1"/>
    <s v="Antioquia"/>
    <s v="Medellin"/>
    <x v="2"/>
    <s v="Coordinadora"/>
    <m/>
    <m/>
    <m/>
    <m/>
    <m/>
    <m/>
    <m/>
    <m/>
    <m/>
  </r>
  <r>
    <d v="2025-09-18T00:00:00"/>
    <x v="8"/>
    <n v="100119"/>
    <x v="0"/>
    <s v="Luis Miguel Arroyave Trujillo"/>
    <s v="TECUTCO2C"/>
    <s v="Superficie  Caramelo 120x70 Clasico Small"/>
    <n v="1"/>
    <x v="2"/>
    <s v="Antioquia"/>
    <s v="Medellin"/>
    <x v="2"/>
    <s v="Coordinadora"/>
    <m/>
    <m/>
    <m/>
    <m/>
    <m/>
    <m/>
    <m/>
    <m/>
    <m/>
  </r>
  <r>
    <d v="2025-09-18T00:00:00"/>
    <x v="8"/>
    <n v="100119"/>
    <x v="0"/>
    <s v="Luis Miguel Arroyave Trujillo"/>
    <m/>
    <s v="Servicio de instalacion"/>
    <n v="1"/>
    <x v="3"/>
    <s v="Antioquia"/>
    <s v="Medellin"/>
    <x v="2"/>
    <s v="Coordinadora"/>
    <m/>
    <m/>
    <m/>
    <m/>
    <m/>
    <m/>
    <m/>
    <m/>
    <m/>
  </r>
  <r>
    <d v="2025-09-19T00:00:00"/>
    <x v="8"/>
    <n v="100120"/>
    <x v="0"/>
    <s v="Jose Mateo Vidal Barrera"/>
    <s v="TECU3FNPRO"/>
    <s v="Electric Standing Desk  PRO Negro"/>
    <n v="1"/>
    <x v="1"/>
    <s v="Antioquia"/>
    <s v="Envigado"/>
    <x v="2"/>
    <s v="Coordinadora"/>
    <m/>
    <m/>
    <m/>
    <m/>
    <m/>
    <m/>
    <m/>
    <m/>
    <m/>
  </r>
  <r>
    <d v="2025-09-19T00:00:00"/>
    <x v="8"/>
    <n v="100120"/>
    <x v="0"/>
    <s v="Jose Mateo Vidal Barrera"/>
    <s v="TECUTCO8C"/>
    <s v="Superficie  Caramelo 180x70 Clasico"/>
    <n v="1"/>
    <x v="2"/>
    <s v="Antioquia"/>
    <s v="Envigado"/>
    <x v="2"/>
    <s v="Coordinadora"/>
    <m/>
    <m/>
    <m/>
    <m/>
    <m/>
    <m/>
    <m/>
    <m/>
    <m/>
  </r>
  <r>
    <d v="2025-09-22T00:00:00"/>
    <x v="8"/>
    <n v="100121"/>
    <x v="0"/>
    <s v="FRANCO GROUP SA"/>
    <s v="TECU3FBRO"/>
    <s v="Electric Standing Desk  PRO Blanco"/>
    <n v="1"/>
    <x v="1"/>
    <s v="Bogotá y alrededores"/>
    <s v="Bogota"/>
    <x v="2"/>
    <s v="Coordinadora"/>
    <m/>
    <m/>
    <m/>
    <m/>
    <m/>
    <m/>
    <m/>
    <m/>
    <m/>
  </r>
  <r>
    <d v="2025-09-22T00:00:00"/>
    <x v="8"/>
    <n v="100121"/>
    <x v="0"/>
    <s v="FRANCO GROUP SA"/>
    <s v="TECUTCO20C"/>
    <s v="Superficie  Caramelo 200x70 Clasico"/>
    <n v="1"/>
    <x v="2"/>
    <s v="Bogotá y alrededores"/>
    <s v="Bogota"/>
    <x v="2"/>
    <s v="Coordinadora"/>
    <m/>
    <m/>
    <m/>
    <m/>
    <m/>
    <m/>
    <m/>
    <m/>
    <m/>
  </r>
  <r>
    <d v="2025-09-22T00:00:00"/>
    <x v="8"/>
    <n v="100121"/>
    <x v="0"/>
    <s v="FRANCO GROUP SA"/>
    <s v="TECU3FBRO"/>
    <s v="Electric Standing Desk  PRO Blanco"/>
    <n v="1"/>
    <x v="1"/>
    <s v="Bogotá y alrededores"/>
    <s v="Bogota"/>
    <x v="2"/>
    <s v="Coordinadora"/>
    <m/>
    <m/>
    <m/>
    <m/>
    <m/>
    <m/>
    <m/>
    <m/>
    <m/>
  </r>
  <r>
    <d v="2025-09-22T00:00:00"/>
    <x v="8"/>
    <n v="100121"/>
    <x v="0"/>
    <s v="FRANCO GROUP SA"/>
    <s v="TECUTCO8C"/>
    <s v="Superficie  Caramelo 180x70 Clasico"/>
    <n v="1"/>
    <x v="2"/>
    <s v="Bogotá y alrededores"/>
    <s v="Bogota"/>
    <x v="2"/>
    <s v="Coordinadora"/>
    <m/>
    <m/>
    <m/>
    <m/>
    <m/>
    <m/>
    <m/>
    <m/>
    <m/>
  </r>
  <r>
    <d v="2025-09-22T00:00:00"/>
    <x v="8"/>
    <n v="100121"/>
    <x v="0"/>
    <s v="FRANCO GROUP SA"/>
    <s v="TECUTBANPI"/>
    <s v="Bandeja Piano"/>
    <n v="1"/>
    <x v="0"/>
    <s v="Bogotá y alrededores"/>
    <s v="Bogota"/>
    <x v="2"/>
    <s v="Coordinadora"/>
    <m/>
    <m/>
    <m/>
    <m/>
    <m/>
    <m/>
    <m/>
    <m/>
    <m/>
  </r>
  <r>
    <d v="2025-09-22T00:00:00"/>
    <x v="8"/>
    <n v="100122"/>
    <x v="0"/>
    <s v="Diego Rodriguez Baquero"/>
    <s v="TECUAB"/>
    <s v="Archivador TECU  Blanco (Niebla)"/>
    <n v="1"/>
    <x v="5"/>
    <s v="Bogotá y alrededores"/>
    <s v="Bogota"/>
    <x v="2"/>
    <s v="Coordinadora"/>
    <m/>
    <m/>
    <m/>
    <m/>
    <m/>
    <m/>
    <m/>
    <m/>
    <m/>
  </r>
  <r>
    <d v="2025-09-24T00:00:00"/>
    <x v="8"/>
    <n v="100123"/>
    <x v="0"/>
    <s v="Hugo Prieto"/>
    <s v="TECU3FNPRO"/>
    <s v="Electric Standing Desk  PRO Negro"/>
    <n v="1"/>
    <x v="1"/>
    <s v="Bogotá y alrededores"/>
    <s v="Bogota"/>
    <x v="2"/>
    <s v="Coordinadora"/>
    <m/>
    <m/>
    <m/>
    <m/>
    <m/>
    <m/>
    <m/>
    <m/>
    <m/>
  </r>
  <r>
    <d v="2025-09-24T00:00:00"/>
    <x v="8"/>
    <n v="100123"/>
    <x v="0"/>
    <s v="Hugo Prieto"/>
    <s v="TECUTRN8C"/>
    <s v="Superficie  Roble Negro 180x70 Clasico"/>
    <n v="1"/>
    <x v="2"/>
    <s v="Bogotá y alrededores"/>
    <s v="Bogota"/>
    <x v="2"/>
    <s v="Coordinadora"/>
    <m/>
    <m/>
    <m/>
    <m/>
    <m/>
    <m/>
    <m/>
    <m/>
    <m/>
  </r>
  <r>
    <d v="2025-09-24T00:00:00"/>
    <x v="8"/>
    <n v="100123"/>
    <x v="0"/>
    <s v="Hugo Prieto"/>
    <s v="TECUBDPA"/>
    <s v="Desk Pad B Negro Azul"/>
    <n v="1"/>
    <x v="0"/>
    <s v="Bogotá y alrededores"/>
    <s v="Bogota"/>
    <x v="2"/>
    <s v="Coordinadora"/>
    <m/>
    <m/>
    <m/>
    <m/>
    <m/>
    <m/>
    <m/>
    <m/>
    <m/>
  </r>
  <r>
    <d v="2025-09-24T00:00:00"/>
    <x v="8"/>
    <n v="100123"/>
    <x v="0"/>
    <s v="Hugo Prieto"/>
    <s v="TECUCT"/>
    <s v="Bandeja de cables"/>
    <n v="1"/>
    <x v="0"/>
    <s v="Bogotá y alrededores"/>
    <s v="Bogota"/>
    <x v="2"/>
    <s v="Coordinadora"/>
    <m/>
    <m/>
    <m/>
    <m/>
    <m/>
    <m/>
    <m/>
    <m/>
    <m/>
  </r>
  <r>
    <d v="2025-09-24T00:00:00"/>
    <x v="8"/>
    <n v="100123"/>
    <x v="0"/>
    <s v="Hugo Prieto"/>
    <s v="TECUDSG"/>
    <s v="Desk Stool Gris Silla ajustable"/>
    <n v="1"/>
    <x v="4"/>
    <s v="Bogotá y alrededores"/>
    <s v="Bogota"/>
    <x v="2"/>
    <s v="Coordinadora"/>
    <m/>
    <m/>
    <m/>
    <m/>
    <m/>
    <m/>
    <m/>
    <m/>
    <m/>
  </r>
  <r>
    <d v="2025-09-24T00:00:00"/>
    <x v="8"/>
    <n v="100123"/>
    <x v="0"/>
    <s v="Hugo Prieto"/>
    <m/>
    <s v="Servicio de instalacion"/>
    <n v="1"/>
    <x v="3"/>
    <s v="Bogotá y alrededores"/>
    <s v="Bogota"/>
    <x v="2"/>
    <s v="Coordinadora"/>
    <m/>
    <m/>
    <m/>
    <m/>
    <m/>
    <m/>
    <m/>
    <m/>
    <m/>
  </r>
  <r>
    <d v="2025-09-24T00:00:00"/>
    <x v="8"/>
    <n v="100124"/>
    <x v="0"/>
    <s v="Lorena Rincón"/>
    <s v="TECU3FBRO"/>
    <s v="Electric Standing Desk  PRO Blanco"/>
    <n v="1"/>
    <x v="1"/>
    <s v="Bogotá y alrededores"/>
    <s v="Bogota"/>
    <x v="2"/>
    <s v="Coordinadora"/>
    <m/>
    <m/>
    <m/>
    <m/>
    <m/>
    <m/>
    <m/>
    <m/>
    <m/>
  </r>
  <r>
    <d v="2025-09-25T00:00:00"/>
    <x v="8"/>
    <n v="100125"/>
    <x v="0"/>
    <s v="Jose Luis Diaz"/>
    <s v="TECU3FBRO"/>
    <s v="Electric Standing Desk  PRO Blanco"/>
    <n v="1"/>
    <x v="1"/>
    <s v="Bogotá y alrededores"/>
    <s v="Bogota"/>
    <x v="2"/>
    <s v="Coordinadora"/>
    <m/>
    <m/>
    <m/>
    <m/>
    <m/>
    <m/>
    <m/>
    <m/>
    <m/>
  </r>
  <r>
    <d v="2025-09-25T00:00:00"/>
    <x v="8"/>
    <n v="100125"/>
    <x v="0"/>
    <s v="Jose Luis Diaz"/>
    <s v="TECUTCO6C"/>
    <s v="Superficie  Caramelo 160x70 Clasico"/>
    <n v="1"/>
    <x v="2"/>
    <s v="Bogotá y alrededores"/>
    <s v="Bogota"/>
    <x v="2"/>
    <s v="Coordinadora"/>
    <m/>
    <m/>
    <m/>
    <m/>
    <m/>
    <m/>
    <m/>
    <m/>
    <m/>
  </r>
  <r>
    <d v="2025-09-26T00:00:00"/>
    <x v="8"/>
    <n v="100126"/>
    <x v="0"/>
    <s v="Carlos Agudelo"/>
    <s v="TECU2FNG"/>
    <s v="Electric Standing Desk GO Negro"/>
    <n v="1"/>
    <x v="1"/>
    <s v="Antioquia"/>
    <s v="Medellin"/>
    <x v="2"/>
    <s v="Coordinadora"/>
    <m/>
    <m/>
    <m/>
    <m/>
    <m/>
    <m/>
    <m/>
    <m/>
    <m/>
  </r>
  <r>
    <d v="2025-09-26T00:00:00"/>
    <x v="8"/>
    <n v="100126"/>
    <x v="0"/>
    <s v="Carlos Agudelo"/>
    <s v="TECUTFE2C"/>
    <s v="Superficie  Fresno Europeo 120x70 Clasico Small"/>
    <n v="1"/>
    <x v="2"/>
    <s v="Antioquia"/>
    <s v="Medellin"/>
    <x v="2"/>
    <s v="Coordinadora"/>
    <m/>
    <m/>
    <m/>
    <m/>
    <m/>
    <m/>
    <m/>
    <m/>
    <m/>
  </r>
  <r>
    <d v="2025-09-27T00:00:00"/>
    <x v="8"/>
    <n v="100127"/>
    <x v="0"/>
    <s v="YENIREE LEAL"/>
    <s v="TECUTFE4C"/>
    <s v="Superficie  Fresno Europeo 140x70 Clasico"/>
    <n v="1"/>
    <x v="2"/>
    <s v="Bogotá y alrededores"/>
    <s v="Bogota"/>
    <x v="2"/>
    <s v="Coordinadora"/>
    <m/>
    <m/>
    <m/>
    <m/>
    <m/>
    <m/>
    <m/>
    <m/>
    <m/>
  </r>
  <r>
    <d v="2025-09-27T00:00:00"/>
    <x v="8"/>
    <n v="100129"/>
    <x v="0"/>
    <s v="Abstrabyte SAS"/>
    <s v="TECU3FNPRO"/>
    <s v="Electric Standing Desk  PRO Negro"/>
    <n v="1"/>
    <x v="1"/>
    <s v="Tolima"/>
    <s v="Ibague"/>
    <x v="2"/>
    <s v="Coordinadora"/>
    <m/>
    <m/>
    <m/>
    <m/>
    <m/>
    <m/>
    <m/>
    <m/>
    <m/>
  </r>
  <r>
    <d v="2025-09-27T00:00:00"/>
    <x v="8"/>
    <n v="100129"/>
    <x v="0"/>
    <s v="Abstrabyte SAS"/>
    <s v="TECUTRM5C"/>
    <s v="Superficie Roble Miel 150x70 Clasico"/>
    <n v="1"/>
    <x v="2"/>
    <s v="Tolima"/>
    <s v="Ibague"/>
    <x v="2"/>
    <s v="Coordinadora"/>
    <m/>
    <m/>
    <m/>
    <m/>
    <m/>
    <m/>
    <m/>
    <m/>
    <m/>
  </r>
  <r>
    <d v="2025-09-27T00:00:00"/>
    <x v="8"/>
    <n v="100129"/>
    <x v="0"/>
    <s v="Abstrabyte SAS"/>
    <s v="TECUCT"/>
    <s v="Bandeja de cables"/>
    <n v="1"/>
    <x v="0"/>
    <s v="Tolima"/>
    <s v="Ibague"/>
    <x v="2"/>
    <s v="Coordinadora"/>
    <m/>
    <m/>
    <m/>
    <m/>
    <m/>
    <m/>
    <m/>
    <m/>
    <m/>
  </r>
  <r>
    <d v="2025-09-28T00:00:00"/>
    <x v="8"/>
    <n v="100130"/>
    <x v="0"/>
    <s v="Hugo Prieto"/>
    <s v="TECUAN"/>
    <s v="Archivador TECU  Negro"/>
    <n v="1"/>
    <x v="5"/>
    <s v="Bogotá y alrededores"/>
    <s v="Bogota"/>
    <x v="2"/>
    <s v="Coordinadora"/>
    <m/>
    <m/>
    <m/>
    <m/>
    <m/>
    <m/>
    <m/>
    <m/>
    <m/>
  </r>
  <r>
    <d v="2025-09-29T00:00:00"/>
    <x v="8"/>
    <n v="100131"/>
    <x v="0"/>
    <s v="Santiago Carmona Rincon"/>
    <s v="TECUACC"/>
    <s v="Archivador TECU  Miel"/>
    <n v="1"/>
    <x v="5"/>
    <s v="Antioquia"/>
    <s v="Rionegro"/>
    <x v="2"/>
    <s v="Coordinadora"/>
    <m/>
    <m/>
    <m/>
    <m/>
    <m/>
    <m/>
    <m/>
    <m/>
    <m/>
  </r>
  <r>
    <d v="2025-09-29T00:00:00"/>
    <x v="8"/>
    <n v="100134"/>
    <x v="0"/>
    <s v="Oscar Solano"/>
    <s v="TECU2FNG"/>
    <s v="Electric Standing Desk GO Negro"/>
    <n v="1"/>
    <x v="1"/>
    <s v="Bogotá y alrededores"/>
    <s v="Bogota"/>
    <x v="2"/>
    <s v="Coordinadora"/>
    <m/>
    <m/>
    <m/>
    <m/>
    <m/>
    <m/>
    <m/>
    <m/>
    <m/>
  </r>
  <r>
    <d v="2025-09-29T00:00:00"/>
    <x v="8"/>
    <n v="100134"/>
    <x v="0"/>
    <s v="Oscar Solano"/>
    <s v="TECUTCO7C"/>
    <s v="Superficie  Caramelo 170x70 Clasico"/>
    <n v="1"/>
    <x v="2"/>
    <s v="Bogotá y alrededores"/>
    <s v="Bogota"/>
    <x v="2"/>
    <s v="Coordinadora"/>
    <m/>
    <m/>
    <m/>
    <m/>
    <m/>
    <m/>
    <m/>
    <m/>
    <m/>
  </r>
  <r>
    <d v="2025-10-01T00:00:00"/>
    <x v="9"/>
    <n v="100135"/>
    <x v="0"/>
    <s v="Hugo Prieto"/>
    <s v="TECUTRN8C"/>
    <s v="Superficie  Roble Negro 180x70 Clasico"/>
    <n v="1"/>
    <x v="2"/>
    <s v="Bogotá y alrededores"/>
    <s v="Bogota"/>
    <x v="2"/>
    <s v="Coordinadora"/>
    <m/>
    <m/>
    <m/>
    <m/>
    <m/>
    <m/>
    <m/>
    <m/>
    <m/>
  </r>
  <r>
    <d v="2025-10-01T00:00:00"/>
    <x v="9"/>
    <n v="100136"/>
    <x v="0"/>
    <s v="wpd Colombia SAS -"/>
    <s v="TECU2FNG"/>
    <s v="Electric Standing Desk GO Negro"/>
    <n v="1"/>
    <x v="1"/>
    <s v="Bogotá y alrededores"/>
    <s v="Bogota"/>
    <x v="2"/>
    <s v="Coordinadora"/>
    <m/>
    <m/>
    <m/>
    <m/>
    <m/>
    <m/>
    <m/>
    <m/>
    <m/>
  </r>
  <r>
    <d v="2025-10-01T00:00:00"/>
    <x v="9"/>
    <n v="100136"/>
    <x v="0"/>
    <s v="wpd Colombia SAS -"/>
    <s v="TECUTFE4C"/>
    <s v="Superficie  Fresno Europeo 140x70 Clasico"/>
    <n v="1"/>
    <x v="2"/>
    <s v="Bogotá y alrededores"/>
    <s v="Bogota"/>
    <x v="2"/>
    <s v="Coordinadora"/>
    <m/>
    <m/>
    <m/>
    <m/>
    <m/>
    <m/>
    <m/>
    <m/>
    <m/>
  </r>
  <r>
    <d v="2025-10-02T00:00:00"/>
    <x v="9"/>
    <n v="100137"/>
    <x v="0"/>
    <s v="Gabriel Mejia"/>
    <s v="TECU2FNG"/>
    <s v="Electric Standing Desk GO Negro"/>
    <n v="1"/>
    <x v="1"/>
    <s v="Bogotá y alrededores"/>
    <s v="Bogota"/>
    <x v="2"/>
    <s v="Coordinadora"/>
    <m/>
    <m/>
    <m/>
    <m/>
    <m/>
    <m/>
    <m/>
    <m/>
    <m/>
  </r>
  <r>
    <d v="2025-10-02T00:00:00"/>
    <x v="9"/>
    <n v="100137"/>
    <x v="0"/>
    <s v="Gabriel Mejia"/>
    <s v="TECUTCO6C-60"/>
    <s v="Superficie Escritorio Caramelo 160x60 Clasico"/>
    <n v="1"/>
    <x v="2"/>
    <s v="Bogotá y alrededores"/>
    <s v="Bogota"/>
    <x v="2"/>
    <s v="Coordinadora"/>
    <m/>
    <m/>
    <m/>
    <m/>
    <m/>
    <m/>
    <m/>
    <m/>
    <m/>
  </r>
  <r>
    <d v="2025-10-02T00:00:00"/>
    <x v="9"/>
    <n v="100137"/>
    <x v="0"/>
    <s v="Gabriel Mejia"/>
    <s v="TECURFCO-80"/>
    <s v="Repisa Flotante Caramelo x 80cm"/>
    <n v="1"/>
    <x v="6"/>
    <s v="Bogotá y alrededores"/>
    <s v="Bogota"/>
    <x v="2"/>
    <s v="Coordinadora"/>
    <m/>
    <m/>
    <m/>
    <m/>
    <m/>
    <m/>
    <m/>
    <m/>
    <m/>
  </r>
  <r>
    <d v="2025-10-02T00:00:00"/>
    <x v="9"/>
    <n v="100137"/>
    <x v="0"/>
    <s v="Gabriel Mejia"/>
    <s v="TECUACO"/>
    <s v="Archivador TECU  Caramelo"/>
    <n v="1"/>
    <x v="5"/>
    <s v="Bogotá y alrededores"/>
    <s v="Bogota"/>
    <x v="2"/>
    <s v="Coordinadora"/>
    <m/>
    <m/>
    <m/>
    <m/>
    <m/>
    <m/>
    <m/>
    <m/>
    <m/>
  </r>
  <r>
    <d v="2025-10-02T00:00:00"/>
    <x v="9"/>
    <n v="100137"/>
    <x v="0"/>
    <s v="Gabriel Mejia"/>
    <m/>
    <s v="Servicio de instalacion"/>
    <n v="1"/>
    <x v="3"/>
    <s v="Bogotá y alrededores"/>
    <s v="Bogota"/>
    <x v="2"/>
    <s v="Coordinadora"/>
    <m/>
    <m/>
    <m/>
    <m/>
    <m/>
    <m/>
    <m/>
    <m/>
    <m/>
  </r>
  <r>
    <d v="2025-10-02T00:00:00"/>
    <x v="9"/>
    <n v="100138"/>
    <x v="0"/>
    <s v="Sergio Vladimir Garcia Galvis"/>
    <s v="TECUCT"/>
    <s v="Bandeja de cables"/>
    <n v="1"/>
    <x v="0"/>
    <s v="Bogotá y alrededores"/>
    <s v="Bogota"/>
    <x v="2"/>
    <s v="Coordinadora"/>
    <m/>
    <m/>
    <m/>
    <m/>
    <m/>
    <m/>
    <m/>
    <m/>
    <m/>
  </r>
  <r>
    <d v="2025-10-04T00:00:00"/>
    <x v="9"/>
    <n v="100139"/>
    <x v="0"/>
    <s v="Carlos Londoño"/>
    <s v="TECU2CBC-77"/>
    <s v="Cajonero 2.0 Bicolor Caramelo x77cm"/>
    <n v="1"/>
    <x v="5"/>
    <s v="Antioquia"/>
    <s v="Sabaneta"/>
    <x v="2"/>
    <s v="Coordinadora"/>
    <m/>
    <m/>
    <m/>
    <m/>
    <m/>
    <m/>
    <m/>
    <m/>
    <m/>
  </r>
  <r>
    <d v="2025-10-04T00:00:00"/>
    <x v="9"/>
    <n v="100139"/>
    <x v="2"/>
    <s v="Carlos Londoño"/>
    <s v="TECURFCO-80"/>
    <s v="Repisa Flotante Caramelo x 80cm"/>
    <n v="1"/>
    <x v="6"/>
    <s v="Antioquia"/>
    <s v="Sabaneta"/>
    <x v="2"/>
    <s v="Coordinadora"/>
    <m/>
    <m/>
    <m/>
    <m/>
    <m/>
    <m/>
    <m/>
    <m/>
    <m/>
  </r>
  <r>
    <d v="2025-10-06T00:00:00"/>
    <x v="9"/>
    <n v="100140"/>
    <x v="0"/>
    <s v="Yeison Montes Valencia"/>
    <s v="TECU2FNG"/>
    <s v="Electric Standing Desk GO Negro"/>
    <n v="1"/>
    <x v="1"/>
    <s v="Antioquia"/>
    <s v="Rionegro"/>
    <x v="2"/>
    <s v="Coordinadora"/>
    <m/>
    <m/>
    <m/>
    <m/>
    <m/>
    <m/>
    <m/>
    <m/>
    <m/>
  </r>
  <r>
    <d v="2025-10-06T00:00:00"/>
    <x v="9"/>
    <n v="100140"/>
    <x v="0"/>
    <s v="Yeison Montes Valencia"/>
    <s v="TECUTCO5C"/>
    <s v="Superficie Caramelo 150x70 Clasico"/>
    <n v="1"/>
    <x v="2"/>
    <s v="Antioquia"/>
    <s v="Rionegro"/>
    <x v="2"/>
    <s v="Coordinadora"/>
    <m/>
    <m/>
    <m/>
    <m/>
    <m/>
    <m/>
    <m/>
    <m/>
    <m/>
  </r>
  <r>
    <d v="2025-10-07T00:00:00"/>
    <x v="9"/>
    <n v="100143"/>
    <x v="0"/>
    <s v="andres gutierrez"/>
    <s v="TECU3FNPRO"/>
    <s v="Electric Standing Desk  PRO Negro"/>
    <n v="1"/>
    <x v="1"/>
    <s v="Bogotá y alrededores"/>
    <s v="Bogota"/>
    <x v="2"/>
    <s v="Coordinadora"/>
    <m/>
    <m/>
    <m/>
    <m/>
    <m/>
    <m/>
    <m/>
    <m/>
    <m/>
  </r>
  <r>
    <d v="2025-10-07T00:00:00"/>
    <x v="9"/>
    <n v="100143"/>
    <x v="0"/>
    <s v="andres gutierrez"/>
    <s v="TECUTCO3C-60"/>
    <s v="Superficie Escritorio Caramelo 130x60 Clasico"/>
    <n v="1"/>
    <x v="2"/>
    <s v="Bogotá y alrededores"/>
    <s v="Bogota"/>
    <x v="2"/>
    <s v="Coordinadora"/>
    <m/>
    <m/>
    <m/>
    <m/>
    <m/>
    <m/>
    <m/>
    <m/>
    <m/>
  </r>
  <r>
    <d v="2025-10-07T00:00:00"/>
    <x v="9"/>
    <n v="100143"/>
    <x v="0"/>
    <s v="andres gutierrez"/>
    <s v="TECUCT"/>
    <s v="Bandeja de cables"/>
    <n v="1"/>
    <x v="0"/>
    <s v="Bogotá y alrededores"/>
    <s v="Bogota"/>
    <x v="2"/>
    <s v="Coordinadora"/>
    <m/>
    <m/>
    <m/>
    <m/>
    <m/>
    <m/>
    <m/>
    <m/>
    <m/>
  </r>
  <r>
    <d v="2025-10-07T00:00:00"/>
    <x v="9"/>
    <n v="100143"/>
    <x v="0"/>
    <s v="andres gutierrez"/>
    <m/>
    <s v="Servicio de instalacion"/>
    <n v="1"/>
    <x v="3"/>
    <s v="Bogotá y alrededores"/>
    <s v="Bogota"/>
    <x v="2"/>
    <s v="Coordinadora"/>
    <m/>
    <m/>
    <m/>
    <m/>
    <m/>
    <m/>
    <m/>
    <m/>
    <m/>
  </r>
  <r>
    <d v="2025-10-07T00:00:00"/>
    <x v="9"/>
    <n v="100144"/>
    <x v="0"/>
    <s v="JUAN CAMILO BURBANO ALVAREZ"/>
    <s v="TECU3FNPRO"/>
    <s v="Electric Standing Desk  PRO Negro"/>
    <n v="1"/>
    <x v="1"/>
    <s v="Valle del Cauca"/>
    <s v="Cali"/>
    <x v="2"/>
    <s v="Coordinadora"/>
    <m/>
    <m/>
    <m/>
    <m/>
    <m/>
    <m/>
    <m/>
    <m/>
    <m/>
  </r>
  <r>
    <d v="2025-10-07T00:00:00"/>
    <x v="9"/>
    <n v="100144"/>
    <x v="0"/>
    <s v="JUAN CAMILO BURBANO ALVAREZ"/>
    <s v="TECUTFE6C"/>
    <s v="Superficie  Fresno Europeo 160x70 Clasico"/>
    <n v="1"/>
    <x v="2"/>
    <s v="Valle del Cauca"/>
    <s v="Cali"/>
    <x v="2"/>
    <s v="Coordinadora"/>
    <m/>
    <m/>
    <m/>
    <m/>
    <m/>
    <m/>
    <m/>
    <m/>
    <m/>
  </r>
  <r>
    <d v="2025-10-07T00:00:00"/>
    <x v="9"/>
    <n v="100145"/>
    <x v="0"/>
    <s v="Cristiam Diaz"/>
    <s v="TECUREFE -110"/>
    <s v="Repisa Escritorio Fresno Europeo x 110cm"/>
    <n v="1"/>
    <x v="6"/>
    <s v="Caqueta"/>
    <s v="Florencia"/>
    <x v="2"/>
    <s v="Coordinadora"/>
    <m/>
    <m/>
    <m/>
    <m/>
    <m/>
    <m/>
    <m/>
    <m/>
    <m/>
  </r>
  <r>
    <d v="2025-10-07T00:00:00"/>
    <x v="9"/>
    <n v="100146"/>
    <x v="0"/>
    <s v="DIEGO FRANCO"/>
    <s v="TECUCT"/>
    <s v="Bandeja de cables"/>
    <n v="1"/>
    <x v="0"/>
    <s v="Bogotá y alrededores"/>
    <s v="Bogota"/>
    <x v="2"/>
    <s v="Coordinadora"/>
    <m/>
    <m/>
    <m/>
    <m/>
    <m/>
    <m/>
    <m/>
    <m/>
    <m/>
  </r>
  <r>
    <d v="2025-10-09T00:00:00"/>
    <x v="9"/>
    <n v="100148"/>
    <x v="0"/>
    <s v="Giovanny Villa"/>
    <s v="TECU3FNPRO"/>
    <s v="Electric Standing Desk  PRO Negro"/>
    <n v="1"/>
    <x v="1"/>
    <s v="Antioquia"/>
    <s v="Bello"/>
    <x v="2"/>
    <s v="Coordinadora"/>
    <m/>
    <m/>
    <m/>
    <m/>
    <m/>
    <m/>
    <m/>
    <m/>
    <m/>
  </r>
  <r>
    <d v="2025-10-09T00:00:00"/>
    <x v="9"/>
    <n v="100148"/>
    <x v="0"/>
    <s v="Giovanny Villa"/>
    <s v="TECUTRM8C"/>
    <s v="Superficie Roble Miel 180x70 Clasico"/>
    <n v="1"/>
    <x v="2"/>
    <s v="Antioquia"/>
    <s v="Bello"/>
    <x v="2"/>
    <s v="Coordinadora"/>
    <m/>
    <m/>
    <m/>
    <m/>
    <m/>
    <m/>
    <m/>
    <m/>
    <m/>
  </r>
  <r>
    <d v="2025-10-09T00:00:00"/>
    <x v="9"/>
    <n v="100148"/>
    <x v="0"/>
    <s v="Giovanny Villa"/>
    <s v="TECUCT"/>
    <s v="Bandeja de cables"/>
    <n v="1"/>
    <x v="0"/>
    <s v="Antioquia"/>
    <s v="Bello"/>
    <x v="2"/>
    <s v="Coordinadora"/>
    <m/>
    <m/>
    <m/>
    <m/>
    <m/>
    <m/>
    <m/>
    <m/>
    <m/>
  </r>
  <r>
    <d v="2025-10-09T00:00:00"/>
    <x v="9"/>
    <n v="100149"/>
    <x v="0"/>
    <s v="FRANCO GROUP SA"/>
    <s v="TECU3FNPRO"/>
    <s v="Electric Standing Desk  PRO Negro"/>
    <n v="1"/>
    <x v="1"/>
    <s v="Bogotá y alrededores"/>
    <s v="Bogota"/>
    <x v="2"/>
    <s v="Coordinadora"/>
    <m/>
    <m/>
    <m/>
    <m/>
    <m/>
    <m/>
    <m/>
    <m/>
    <m/>
  </r>
  <r>
    <d v="2025-10-09T00:00:00"/>
    <x v="9"/>
    <n v="100149"/>
    <x v="0"/>
    <s v="FRANCO GROUP SA"/>
    <s v="TECUTCO20C"/>
    <s v="Superficie  Caramelo 200x70 Clasico"/>
    <n v="1"/>
    <x v="2"/>
    <s v="Bogotá y alrededores"/>
    <s v="Bogota"/>
    <x v="2"/>
    <s v="Coordinadora"/>
    <m/>
    <m/>
    <m/>
    <m/>
    <m/>
    <m/>
    <m/>
    <m/>
    <m/>
  </r>
  <r>
    <d v="2025-10-09T00:00:00"/>
    <x v="9"/>
    <n v="100149"/>
    <x v="0"/>
    <s v="FRANCO GROUP SA"/>
    <s v="TECUCT"/>
    <s v="Bandeja de cables"/>
    <n v="1"/>
    <x v="0"/>
    <s v="Bogotá y alrededores"/>
    <s v="Bogota"/>
    <x v="2"/>
    <s v="Coordinadora"/>
    <m/>
    <m/>
    <m/>
    <m/>
    <m/>
    <m/>
    <m/>
    <m/>
    <m/>
  </r>
  <r>
    <d v="2025-10-09T00:00:00"/>
    <x v="9"/>
    <n v="100149"/>
    <x v="0"/>
    <s v="FRANCO GROUP SA"/>
    <m/>
    <s v="Servicio de instalacion"/>
    <n v="1"/>
    <x v="3"/>
    <s v="Bogotá y alrededores"/>
    <s v="Bogota"/>
    <x v="2"/>
    <s v="Coordinadora"/>
    <m/>
    <m/>
    <m/>
    <m/>
    <m/>
    <m/>
    <m/>
    <m/>
    <m/>
  </r>
  <r>
    <d v="2025-10-10T00:00:00"/>
    <x v="9"/>
    <n v="100150"/>
    <x v="0"/>
    <s v="Jasbeidy Yurany Perez Correa"/>
    <s v="TECUREN-80"/>
    <s v="Repisa Escritorio Negro x 80cm"/>
    <n v="1"/>
    <x v="6"/>
    <s v="Antioquia"/>
    <s v="Bello"/>
    <x v="2"/>
    <s v="Coordinadora"/>
    <m/>
    <m/>
    <m/>
    <m/>
    <m/>
    <m/>
    <m/>
    <m/>
    <m/>
  </r>
  <r>
    <d v="2025-10-11T00:00:00"/>
    <x v="9"/>
    <n v="100151"/>
    <x v="0"/>
    <s v="Maria Olga Saenz Guerrero"/>
    <s v="TECU2FNG"/>
    <s v="Electric Standing Desk GO Negro"/>
    <n v="1"/>
    <x v="1"/>
    <s v="Bogotá y alrededores"/>
    <s v="Soacha"/>
    <x v="2"/>
    <s v="Coordinadora"/>
    <m/>
    <m/>
    <m/>
    <m/>
    <m/>
    <m/>
    <m/>
    <m/>
    <m/>
  </r>
  <r>
    <d v="2025-10-11T00:00:00"/>
    <x v="9"/>
    <n v="100151"/>
    <x v="0"/>
    <s v="Maria Olga Saenz Guerrero"/>
    <s v="TECUTFE5C"/>
    <s v="Superficie  Fresno Europeo 150x70 Clasico"/>
    <n v="1"/>
    <x v="2"/>
    <s v="Bogotá y alrededores"/>
    <s v="Soacha"/>
    <x v="2"/>
    <s v="Coordinadora"/>
    <m/>
    <m/>
    <m/>
    <m/>
    <m/>
    <m/>
    <m/>
    <m/>
    <m/>
  </r>
  <r>
    <d v="2025-10-13T00:00:00"/>
    <x v="9"/>
    <n v="100152"/>
    <x v="0"/>
    <s v="Manuel Ricardo CHAVARRO VARGAS"/>
    <s v="TECULFN2"/>
    <s v="Electric Standing Desk  En L Frame Negro 2.0"/>
    <n v="1"/>
    <x v="1"/>
    <s v="Meta"/>
    <s v="Villavicencio"/>
    <x v="2"/>
    <s v="Coordinadora"/>
    <m/>
    <m/>
    <m/>
    <m/>
    <m/>
    <m/>
    <m/>
    <m/>
    <m/>
  </r>
  <r>
    <d v="2025-10-14T00:00:00"/>
    <x v="9"/>
    <n v="100153"/>
    <x v="0"/>
    <s v="Johan Alexander Rojas Zapata"/>
    <s v="TECU3FNPRO"/>
    <s v="Electric Standing Desk  PRO Negro"/>
    <n v="1"/>
    <x v="1"/>
    <s v="Risaralda"/>
    <s v="Dosquebradas"/>
    <x v="2"/>
    <s v="Coordinadora"/>
    <m/>
    <m/>
    <m/>
    <m/>
    <m/>
    <m/>
    <m/>
    <m/>
    <m/>
  </r>
  <r>
    <d v="2025-10-14T00:00:00"/>
    <x v="9"/>
    <n v="100153"/>
    <x v="0"/>
    <s v="Johan Alexander Rojas Zapata"/>
    <s v="TECUTFE2C-60"/>
    <s v="Superficie Escritorio Fresno Europeo 120x60 Clasico Small"/>
    <n v="1"/>
    <x v="2"/>
    <s v="Risaralda"/>
    <s v="Dosquebradas"/>
    <x v="2"/>
    <s v="Coordinadora"/>
    <m/>
    <m/>
    <m/>
    <m/>
    <m/>
    <m/>
    <m/>
    <m/>
    <m/>
  </r>
  <r>
    <d v="2025-10-14T00:00:00"/>
    <x v="9"/>
    <n v="100154"/>
    <x v="0"/>
    <s v="Evelyn Castaño Bohórquez"/>
    <s v="TECUFX-T72"/>
    <s v="Escritorio FIjo Linea - T x 72,5 cm"/>
    <n v="1"/>
    <x v="8"/>
    <s v="Caqueta"/>
    <s v="Florencia"/>
    <x v="2"/>
    <s v="Coordinadora"/>
    <m/>
    <m/>
    <m/>
    <m/>
    <m/>
    <m/>
    <m/>
    <m/>
    <m/>
  </r>
  <r>
    <d v="2025-10-14T00:00:00"/>
    <x v="9"/>
    <n v="100154"/>
    <x v="0"/>
    <s v="Evelyn Castaño Bohórquez"/>
    <s v="TECUTCO5C-60"/>
    <s v="Superficie Escritorio Caramelo 150x60 Clasico"/>
    <n v="1"/>
    <x v="2"/>
    <s v="Caqueta"/>
    <s v="Florencia"/>
    <x v="2"/>
    <s v="Coordinadora"/>
    <m/>
    <m/>
    <m/>
    <m/>
    <m/>
    <m/>
    <m/>
    <m/>
    <m/>
  </r>
  <r>
    <d v="2025-10-14T00:00:00"/>
    <x v="9"/>
    <n v="100154"/>
    <x v="2"/>
    <s v="Evelyn Castaño Bohórquez"/>
    <s v="TECUBDPM"/>
    <s v="Desk Pad B Negro Café Miel"/>
    <n v="1"/>
    <x v="0"/>
    <s v="Caqueta"/>
    <s v="Florencia"/>
    <x v="2"/>
    <s v="Coordinadora"/>
    <m/>
    <m/>
    <m/>
    <m/>
    <m/>
    <m/>
    <m/>
    <m/>
    <m/>
  </r>
  <r>
    <d v="2025-10-14T00:00:00"/>
    <x v="9"/>
    <n v="100155"/>
    <x v="0"/>
    <s v="FRANCO GROUP SA"/>
    <s v="TECUDSG"/>
    <s v="Desk Stool Gris Silla ajustable"/>
    <n v="1"/>
    <x v="4"/>
    <s v="Bogotá y alrededores"/>
    <s v="Bogota"/>
    <x v="2"/>
    <s v="Coordinadora"/>
    <m/>
    <m/>
    <m/>
    <m/>
    <m/>
    <m/>
    <m/>
    <m/>
    <m/>
  </r>
  <r>
    <d v="2025-10-14T00:00:00"/>
    <x v="9"/>
    <n v="100155"/>
    <x v="0"/>
    <s v="FRANCO GROUP SA"/>
    <s v="TECUDSG"/>
    <s v="Desk Stool Gris Silla ajustable"/>
    <n v="1"/>
    <x v="4"/>
    <s v="Bogotá y alrededores"/>
    <s v="Bogota"/>
    <x v="2"/>
    <s v="Coordinadora"/>
    <m/>
    <m/>
    <m/>
    <m/>
    <m/>
    <m/>
    <m/>
    <m/>
    <m/>
  </r>
  <r>
    <d v="2025-10-16T00:00:00"/>
    <x v="9"/>
    <n v="100156"/>
    <x v="0"/>
    <s v="Hugo Prieto"/>
    <s v="TECUAN"/>
    <s v="Archivador TECU  Negro"/>
    <n v="1"/>
    <x v="5"/>
    <s v="Bogotá y alrededores"/>
    <s v="Bogota"/>
    <x v="2"/>
    <s v="Coordinadora"/>
    <m/>
    <m/>
    <m/>
    <m/>
    <m/>
    <m/>
    <m/>
    <m/>
    <m/>
  </r>
  <r>
    <d v="2025-10-18T00:00:00"/>
    <x v="9"/>
    <n v="100158"/>
    <x v="0"/>
    <s v="Felipe Cordoba"/>
    <s v="TECU3FNCRO"/>
    <s v="Electric Standing Desk  PRO Negro circular"/>
    <n v="1"/>
    <x v="1"/>
    <s v="Bogotá y alrededores"/>
    <s v="Bogota"/>
    <x v="2"/>
    <s v="Coordinadora"/>
    <m/>
    <m/>
    <m/>
    <m/>
    <m/>
    <m/>
    <m/>
    <m/>
    <m/>
  </r>
  <r>
    <d v="2025-10-18T00:00:00"/>
    <x v="9"/>
    <n v="100158"/>
    <x v="0"/>
    <s v="Felipe Cordoba"/>
    <s v="TECUTCO4C"/>
    <s v="Superficie Caramelo 140x70 Clasico"/>
    <n v="1"/>
    <x v="2"/>
    <s v="Bogotá y alrededores"/>
    <s v="Bogota"/>
    <x v="2"/>
    <s v="Coordinadora"/>
    <m/>
    <m/>
    <m/>
    <m/>
    <m/>
    <m/>
    <m/>
    <m/>
    <m/>
  </r>
  <r>
    <d v="2025-10-18T00:00:00"/>
    <x v="9"/>
    <n v="100158"/>
    <x v="0"/>
    <s v="Felipe Cordoba"/>
    <s v="TECURECO-110"/>
    <s v="Repisa Escritorio Caramelo x 110cm"/>
    <n v="1"/>
    <x v="6"/>
    <s v="Bogotá y alrededores"/>
    <s v="Bogota"/>
    <x v="2"/>
    <s v="Coordinadora"/>
    <m/>
    <m/>
    <m/>
    <m/>
    <m/>
    <m/>
    <m/>
    <m/>
    <m/>
  </r>
  <r>
    <d v="2025-10-18T00:00:00"/>
    <x v="9"/>
    <n v="100158"/>
    <x v="0"/>
    <s v="Felipe Cordoba"/>
    <s v="TECUCT"/>
    <s v="Bandeja de cables"/>
    <n v="1"/>
    <x v="0"/>
    <s v="Bogotá y alrededores"/>
    <s v="Bogota"/>
    <x v="2"/>
    <s v="Coordinadora"/>
    <m/>
    <m/>
    <m/>
    <m/>
    <m/>
    <m/>
    <m/>
    <m/>
    <m/>
  </r>
  <r>
    <d v="2025-10-18T00:00:00"/>
    <x v="9"/>
    <n v="100158"/>
    <x v="0"/>
    <s v="Felipe Cordoba"/>
    <s v="TECU2CBC-73"/>
    <s v="Cajonero 2.0 Bicolor Caramelo x73cm"/>
    <n v="1"/>
    <x v="5"/>
    <s v="Bogotá y alrededores"/>
    <s v="Bogota"/>
    <x v="2"/>
    <s v="Coordinadora"/>
    <m/>
    <m/>
    <m/>
    <m/>
    <m/>
    <m/>
    <m/>
    <m/>
    <m/>
  </r>
  <r>
    <d v="2025-10-18T00:00:00"/>
    <x v="9"/>
    <n v="100158"/>
    <x v="0"/>
    <s v="Felipe Cordoba"/>
    <m/>
    <s v="Servicio de instalacion"/>
    <n v="1"/>
    <x v="3"/>
    <s v="Bogotá y alrededores"/>
    <s v="Bogota"/>
    <x v="2"/>
    <s v="Coordinadora"/>
    <m/>
    <m/>
    <m/>
    <m/>
    <m/>
    <m/>
    <m/>
    <m/>
    <m/>
  </r>
  <r>
    <d v="2025-10-20T00:00:00"/>
    <x v="9"/>
    <n v="100159"/>
    <x v="0"/>
    <s v="Sergio Lopez"/>
    <s v="TECU3FNPRO"/>
    <s v="Electric Standing Desk  PRO Negro"/>
    <n v="1"/>
    <x v="1"/>
    <s v="Bogotá y alrededores"/>
    <s v="Bogota"/>
    <x v="2"/>
    <s v="Coordinadora"/>
    <m/>
    <m/>
    <m/>
    <m/>
    <m/>
    <m/>
    <m/>
    <m/>
    <m/>
  </r>
  <r>
    <d v="2025-10-20T00:00:00"/>
    <x v="9"/>
    <n v="100159"/>
    <x v="0"/>
    <s v="Sergio Lopez"/>
    <s v="TECUTCO3C"/>
    <s v="Superficie Caramelo 130x70 Clasico"/>
    <n v="1"/>
    <x v="2"/>
    <s v="Bogotá y alrededores"/>
    <s v="Bogota"/>
    <x v="2"/>
    <s v="Coordinadora"/>
    <m/>
    <m/>
    <m/>
    <m/>
    <m/>
    <m/>
    <m/>
    <m/>
    <m/>
  </r>
  <r>
    <d v="2025-10-20T00:00:00"/>
    <x v="9"/>
    <n v="100159"/>
    <x v="0"/>
    <s v="Sergio Lopez"/>
    <m/>
    <s v="Servicio de instalacion"/>
    <n v="1"/>
    <x v="3"/>
    <s v="Bogotá y alrededores"/>
    <s v="Bogota"/>
    <x v="2"/>
    <s v="Coordinadora"/>
    <m/>
    <m/>
    <m/>
    <m/>
    <m/>
    <m/>
    <m/>
    <m/>
    <m/>
  </r>
  <r>
    <d v="2025-10-20T00:00:00"/>
    <x v="9"/>
    <n v="100160"/>
    <x v="0"/>
    <s v="Pedro Fernandez"/>
    <s v="TECU3FBRO"/>
    <s v="Electric Standing Desk  PRO Blanco"/>
    <n v="1"/>
    <x v="1"/>
    <s v="Bogotá y alrededores"/>
    <s v="Bogota"/>
    <x v="2"/>
    <s v="Coordinadora"/>
    <m/>
    <m/>
    <m/>
    <m/>
    <m/>
    <m/>
    <m/>
    <m/>
    <m/>
  </r>
  <r>
    <d v="2025-10-20T00:00:00"/>
    <x v="9"/>
    <n v="100160"/>
    <x v="0"/>
    <s v="Pedro Fernandez"/>
    <s v="TECUTFE9C"/>
    <s v="Superficie  Fresno Europeo 190x70 Clasico"/>
    <n v="1"/>
    <x v="2"/>
    <s v="Bogotá y alrededores"/>
    <s v="Bogota"/>
    <x v="2"/>
    <s v="Coordinadora"/>
    <m/>
    <m/>
    <m/>
    <m/>
    <m/>
    <m/>
    <m/>
    <m/>
    <m/>
  </r>
  <r>
    <d v="2025-10-20T00:00:00"/>
    <x v="9"/>
    <n v="100161"/>
    <x v="0"/>
    <s v="Diana Silva"/>
    <s v="TECU2FBGO"/>
    <s v="Electric Standing Desk GO Blanco"/>
    <n v="1"/>
    <x v="1"/>
    <s v="Bogotá y alrededores"/>
    <s v="Bogota"/>
    <x v="2"/>
    <s v="Coordinadora"/>
    <m/>
    <m/>
    <m/>
    <m/>
    <m/>
    <m/>
    <m/>
    <m/>
    <m/>
  </r>
  <r>
    <d v="2025-10-20T00:00:00"/>
    <x v="9"/>
    <n v="100161"/>
    <x v="0"/>
    <s v="Diana Silva"/>
    <s v="TECUTB3C-60"/>
    <s v="Superficie Escritorio Blanco (Niebla) 130x60 Clasico"/>
    <n v="1"/>
    <x v="2"/>
    <s v="Bogotá y alrededores"/>
    <s v="Bogota"/>
    <x v="2"/>
    <s v="Coordinadora"/>
    <m/>
    <m/>
    <m/>
    <m/>
    <m/>
    <m/>
    <m/>
    <m/>
    <m/>
  </r>
  <r>
    <d v="2025-10-21T00:00:00"/>
    <x v="9"/>
    <n v="100162"/>
    <x v="0"/>
    <s v="Carlos Salazar"/>
    <s v="TECUDSG"/>
    <s v="Desk Stool Gris Silla ajustable"/>
    <n v="1"/>
    <x v="4"/>
    <s v="Tolima"/>
    <s v="Ibague"/>
    <x v="2"/>
    <s v="Coordinadora"/>
    <m/>
    <m/>
    <m/>
    <m/>
    <m/>
    <m/>
    <m/>
    <m/>
    <m/>
  </r>
  <r>
    <d v="2025-10-22T00:00:00"/>
    <x v="9"/>
    <n v="100163"/>
    <x v="0"/>
    <s v="Julian Rodriguez"/>
    <s v="TECU3FBRO"/>
    <s v="Electric Standing Desk  PRO Blanco"/>
    <n v="1"/>
    <x v="1"/>
    <s v="Bogotá y alrededores"/>
    <s v="Bogota"/>
    <x v="2"/>
    <s v="Coordinadora"/>
    <m/>
    <m/>
    <m/>
    <m/>
    <m/>
    <m/>
    <m/>
    <m/>
    <m/>
  </r>
  <r>
    <d v="2025-10-22T00:00:00"/>
    <x v="9"/>
    <n v="100163"/>
    <x v="0"/>
    <s v="Julian Rodriguez"/>
    <s v="TECUTFE8C-80"/>
    <s v="Superficie Escritorio Fresno Europeo 180x80 Clasico"/>
    <n v="1"/>
    <x v="2"/>
    <s v="Bogotá y alrededores"/>
    <s v="Bogota"/>
    <x v="2"/>
    <s v="Coordinadora"/>
    <m/>
    <m/>
    <m/>
    <m/>
    <m/>
    <m/>
    <m/>
    <m/>
    <m/>
  </r>
  <r>
    <d v="2025-10-24T00:00:00"/>
    <x v="9"/>
    <n v="100164"/>
    <x v="0"/>
    <s v="Daniel Sadovnik"/>
    <s v="TECU3FNPRO"/>
    <s v="Electric Standing Desk  PRO Negro"/>
    <n v="1"/>
    <x v="1"/>
    <s v="Bogotá y alrededores"/>
    <s v="Bogota"/>
    <x v="2"/>
    <s v="Coordinadora"/>
    <m/>
    <m/>
    <m/>
    <m/>
    <m/>
    <m/>
    <m/>
    <m/>
    <m/>
  </r>
  <r>
    <d v="2025-10-24T00:00:00"/>
    <x v="9"/>
    <n v="100164"/>
    <x v="0"/>
    <s v="Daniel Sadovnik"/>
    <s v="TECUTFE8M-80"/>
    <s v="Superficie Escritorio Fresno Europeo 180x80 Moderno"/>
    <n v="1"/>
    <x v="2"/>
    <s v="Bogotá y alrededores"/>
    <s v="Bogota"/>
    <x v="2"/>
    <s v="Coordinadora"/>
    <m/>
    <m/>
    <m/>
    <m/>
    <m/>
    <m/>
    <m/>
    <m/>
    <m/>
  </r>
  <r>
    <d v="2025-10-24T00:00:00"/>
    <x v="9"/>
    <n v="100164"/>
    <x v="0"/>
    <s v="Daniel Sadovnik"/>
    <m/>
    <s v="Servicio de instalacion"/>
    <n v="1"/>
    <x v="3"/>
    <s v="Bogotá y alrededores"/>
    <s v="Bogota"/>
    <x v="2"/>
    <s v="Coordinadora"/>
    <m/>
    <m/>
    <m/>
    <m/>
    <m/>
    <m/>
    <m/>
    <m/>
    <m/>
  </r>
  <r>
    <d v="2025-10-24T00:00:00"/>
    <x v="9"/>
    <n v="100165"/>
    <x v="0"/>
    <s v="Julian Rodriguez"/>
    <s v="TECULFN2"/>
    <s v="Electric Standing Desk  En L Frame Negro 2.0"/>
    <n v="1"/>
    <x v="1"/>
    <s v="Bogotá y alrededores"/>
    <s v="Bogota"/>
    <x v="2"/>
    <s v="Coordinadora"/>
    <m/>
    <m/>
    <m/>
    <m/>
    <m/>
    <m/>
    <m/>
    <m/>
    <m/>
  </r>
  <r>
    <d v="2025-10-24T00:00:00"/>
    <x v="9"/>
    <n v="100165"/>
    <x v="0"/>
    <s v="Julian Rodriguez"/>
    <s v="TECUTLRN5x5-60"/>
    <s v="Superficie  en L Roble Negro 150x150cm x60"/>
    <n v="1"/>
    <x v="2"/>
    <s v="Bogotá y alrededores"/>
    <s v="Bogota"/>
    <x v="2"/>
    <s v="Coordinadora"/>
    <m/>
    <m/>
    <m/>
    <m/>
    <m/>
    <m/>
    <m/>
    <m/>
    <m/>
  </r>
  <r>
    <d v="2025-10-24T00:00:00"/>
    <x v="9"/>
    <n v="100166"/>
    <x v="0"/>
    <s v="Alberto Amaris"/>
    <s v="TECU3FNCRO"/>
    <s v="Electric Standing Desk  PRO Negro circular"/>
    <n v="1"/>
    <x v="1"/>
    <s v="Bolivar"/>
    <s v="Cartagena"/>
    <x v="2"/>
    <s v="Coordinadora"/>
    <m/>
    <m/>
    <m/>
    <m/>
    <m/>
    <m/>
    <m/>
    <m/>
    <m/>
  </r>
  <r>
    <d v="2025-10-24T00:00:00"/>
    <x v="9"/>
    <n v="100166"/>
    <x v="0"/>
    <s v="Alberto Amaris"/>
    <s v="TECUTB2C-60"/>
    <s v="Superficie Escritorio Blanco (Niebla) 120x60 Clasico Small"/>
    <n v="1"/>
    <x v="2"/>
    <s v="Bolivar"/>
    <s v="Cartagena"/>
    <x v="2"/>
    <s v="Coordinadora"/>
    <m/>
    <m/>
    <m/>
    <m/>
    <m/>
    <m/>
    <m/>
    <m/>
    <m/>
  </r>
  <r>
    <d v="2025-10-24T00:00:00"/>
    <x v="9"/>
    <n v="100166"/>
    <x v="0"/>
    <s v="Alberto Amaris"/>
    <m/>
    <s v=" "/>
    <n v="1"/>
    <x v="9"/>
    <s v="Bolivar"/>
    <s v="Cartagena"/>
    <x v="2"/>
    <s v="Coordinadora"/>
    <m/>
    <m/>
    <m/>
    <m/>
    <m/>
    <m/>
    <m/>
    <m/>
    <m/>
  </r>
  <r>
    <d v="2025-10-25T00:00:00"/>
    <x v="9"/>
    <n v="100167"/>
    <x v="0"/>
    <s v="Nicholas Gooding"/>
    <s v="TECULFN2"/>
    <s v="Electric Standing Desk  En L Frame Negro 2.0"/>
    <n v="1"/>
    <x v="1"/>
    <s v="Bogotá y alrededores"/>
    <s v="Bogota"/>
    <x v="2"/>
    <s v="Coordinadora"/>
    <m/>
    <m/>
    <m/>
    <m/>
    <m/>
    <m/>
    <m/>
    <m/>
    <m/>
  </r>
  <r>
    <d v="2025-10-25T00:00:00"/>
    <x v="9"/>
    <n v="100167"/>
    <x v="0"/>
    <s v="Nicholas Gooding"/>
    <s v="TECUTLCCS"/>
    <s v="Superficie  en L Caramelo 180x150cm x 70"/>
    <n v="1"/>
    <x v="2"/>
    <s v="Bogotá y alrededores"/>
    <s v="Bogota"/>
    <x v="2"/>
    <s v="Coordinadora"/>
    <m/>
    <m/>
    <m/>
    <m/>
    <m/>
    <m/>
    <m/>
    <m/>
    <m/>
  </r>
  <r>
    <d v="2025-10-25T00:00:00"/>
    <x v="9"/>
    <n v="100167"/>
    <x v="0"/>
    <s v="Nicholas Gooding"/>
    <s v="TECUCT"/>
    <s v="Bandeja de cables"/>
    <n v="1"/>
    <x v="0"/>
    <s v="Bogotá y alrededores"/>
    <s v="Bogota"/>
    <x v="2"/>
    <s v="Coordinadora"/>
    <m/>
    <m/>
    <m/>
    <m/>
    <m/>
    <m/>
    <m/>
    <m/>
    <m/>
  </r>
  <r>
    <d v="2025-10-25T00:00:00"/>
    <x v="9"/>
    <n v="100167"/>
    <x v="0"/>
    <s v="Nicholas Gooding"/>
    <s v="TECURECO-110"/>
    <s v="Repisa Escritorio Caramelo x 110cm"/>
    <n v="1"/>
    <x v="6"/>
    <s v="Bogotá y alrededores"/>
    <s v="Bogota"/>
    <x v="2"/>
    <s v="Coordinadora"/>
    <m/>
    <m/>
    <m/>
    <m/>
    <m/>
    <m/>
    <m/>
    <m/>
    <m/>
  </r>
  <r>
    <d v="2025-10-27T00:00:00"/>
    <x v="9"/>
    <n v="100168"/>
    <x v="0"/>
    <s v="Diego Alejandro Jaramillo Rendon"/>
    <s v="TECUTCO20C"/>
    <s v="Superficie  Caramelo 200x70 Clasico"/>
    <n v="1"/>
    <x v="2"/>
    <s v="Bogotá y alrededores"/>
    <s v="Bogota"/>
    <x v="2"/>
    <s v="Coordinadora"/>
    <m/>
    <m/>
    <m/>
    <m/>
    <m/>
    <m/>
    <m/>
    <m/>
    <m/>
  </r>
  <r>
    <d v="2025-10-27T00:00:00"/>
    <x v="9"/>
    <n v="100169"/>
    <x v="0"/>
    <s v="Carlos Beltrán"/>
    <s v="TECU3FNPRO"/>
    <s v="Electric Standing Desk  PRO Negro"/>
    <n v="1"/>
    <x v="1"/>
    <s v="Quindio"/>
    <s v="Armenia"/>
    <x v="2"/>
    <s v="Entrega directa"/>
    <m/>
    <m/>
    <m/>
    <m/>
    <m/>
    <m/>
    <m/>
    <m/>
    <m/>
  </r>
  <r>
    <d v="2025-10-27T00:00:00"/>
    <x v="9"/>
    <n v="100169"/>
    <x v="0"/>
    <s v="Carlos Beltrán"/>
    <s v="TECUTFE8C"/>
    <s v="Superficie  Fresno Europeo 180x70 Clasico"/>
    <n v="1"/>
    <x v="2"/>
    <s v="Quindio"/>
    <s v="Armenia"/>
    <x v="2"/>
    <s v="Entrega directa"/>
    <m/>
    <m/>
    <m/>
    <m/>
    <m/>
    <m/>
    <m/>
    <m/>
    <m/>
  </r>
  <r>
    <d v="2025-10-31T00:00:00"/>
    <x v="9"/>
    <n v="100170"/>
    <x v="0"/>
    <s v="Andrea Rosales"/>
    <s v="TECUTFE2C"/>
    <s v="Superficie  Fresno Europeo 120x70 Clasico Small"/>
    <n v="1"/>
    <x v="2"/>
    <s v="Antioquia"/>
    <s v="Envigado"/>
    <x v="2"/>
    <s v="Coordinadora"/>
    <m/>
    <m/>
    <m/>
    <m/>
    <m/>
    <m/>
    <m/>
    <m/>
    <m/>
  </r>
  <r>
    <d v="2025-10-31T00:00:00"/>
    <x v="9"/>
    <n v="100170"/>
    <x v="0"/>
    <s v="Andrea Rosales"/>
    <s v="TECURFE"/>
    <s v="Repisa TECU Fresno Europeo"/>
    <n v="1"/>
    <x v="6"/>
    <s v="Antioquia"/>
    <s v="Envigado"/>
    <x v="2"/>
    <s v="Coordinadora"/>
    <m/>
    <m/>
    <m/>
    <m/>
    <m/>
    <m/>
    <m/>
    <m/>
    <m/>
  </r>
  <r>
    <d v="2025-10-31T00:00:00"/>
    <x v="9"/>
    <n v="100172"/>
    <x v="0"/>
    <s v="JUAN DAVID RUIZ VALENCIA / LEAN INSTITUTE COLOMBIA"/>
    <s v="TECU3FNPRO"/>
    <s v="Electric Standing Desk  PRO Negro"/>
    <n v="1"/>
    <x v="1"/>
    <s v="Valle del Cauca"/>
    <s v="Cali"/>
    <x v="2"/>
    <s v="Coordinadora"/>
    <m/>
    <m/>
    <m/>
    <m/>
    <m/>
    <m/>
    <m/>
    <m/>
    <m/>
  </r>
  <r>
    <d v="2025-10-31T00:00:00"/>
    <x v="9"/>
    <n v="100172"/>
    <x v="0"/>
    <s v="JUAN DAVID RUIZ VALENCIA / LEAN INSTITUTE COLOMBIA"/>
    <s v="TECUTCO8C"/>
    <s v="Superficie  Caramelo 180x70 Clasico"/>
    <n v="1"/>
    <x v="2"/>
    <s v="Valle del Cauca"/>
    <s v="Cali"/>
    <x v="2"/>
    <s v="Coordinadora"/>
    <m/>
    <m/>
    <m/>
    <m/>
    <m/>
    <m/>
    <m/>
    <m/>
    <m/>
  </r>
  <r>
    <d v="2025-10-31T00:00:00"/>
    <x v="9"/>
    <n v="100173"/>
    <x v="0"/>
    <s v="Maria Fernanda Almonacid"/>
    <s v="TECU2CUF-65"/>
    <s v="Cajonero 2.0 Unicolor Fresno Europeo x65cm"/>
    <n v="1"/>
    <x v="5"/>
    <s v="Bogotá y alrededores"/>
    <s v="Bogota"/>
    <x v="2"/>
    <s v="Envia"/>
    <m/>
    <m/>
    <m/>
    <m/>
    <m/>
    <m/>
    <m/>
    <m/>
    <m/>
  </r>
  <r>
    <d v="2025-11-02T00:00:00"/>
    <x v="10"/>
    <n v="100174"/>
    <x v="0"/>
    <s v="Ivan Paez"/>
    <s v="TECU2FNG"/>
    <s v="Electric Standing Desk GO Negro"/>
    <n v="1"/>
    <x v="1"/>
    <s v="Antioquia"/>
    <s v="Envigado"/>
    <x v="2"/>
    <s v="Coordinadora"/>
    <m/>
    <m/>
    <m/>
    <m/>
    <m/>
    <m/>
    <m/>
    <m/>
    <m/>
  </r>
  <r>
    <d v="2025-11-02T00:00:00"/>
    <x v="10"/>
    <n v="100174"/>
    <x v="0"/>
    <s v="Ivan Paez"/>
    <s v="TECUTCO7C"/>
    <s v="Superficie  Caramelo 170x70 Clasico"/>
    <n v="1"/>
    <x v="2"/>
    <s v="Antioquia"/>
    <s v="Envigado"/>
    <x v="2"/>
    <s v="Coordinadora"/>
    <m/>
    <m/>
    <m/>
    <m/>
    <m/>
    <m/>
    <m/>
    <m/>
    <m/>
  </r>
  <r>
    <d v="2025-11-02T00:00:00"/>
    <x v="10"/>
    <n v="100174"/>
    <x v="0"/>
    <s v="Ivan Paez"/>
    <s v="TECURECO-110"/>
    <s v="Repisa Escritorio Caramelo x 110cm"/>
    <n v="1"/>
    <x v="6"/>
    <s v="Antioquia"/>
    <s v="Envigado"/>
    <x v="2"/>
    <s v="Coordinadora"/>
    <m/>
    <m/>
    <m/>
    <m/>
    <m/>
    <m/>
    <m/>
    <m/>
    <m/>
  </r>
  <r>
    <d v="2025-11-02T00:00:00"/>
    <x v="10"/>
    <n v="100174"/>
    <x v="0"/>
    <s v="Ivan Paez"/>
    <s v="TECUCT"/>
    <s v="Bandeja de cables"/>
    <n v="1"/>
    <x v="0"/>
    <s v="Antioquia"/>
    <s v="Envigado"/>
    <x v="2"/>
    <s v="Coordinadora"/>
    <m/>
    <m/>
    <m/>
    <m/>
    <m/>
    <m/>
    <m/>
    <m/>
    <m/>
  </r>
  <r>
    <d v="2025-11-02T00:00:00"/>
    <x v="10"/>
    <n v="100174"/>
    <x v="0"/>
    <s v="Ivan Paez"/>
    <m/>
    <s v="Servicio de instalacion"/>
    <n v="1"/>
    <x v="3"/>
    <s v="Antioquia"/>
    <s v="Envigado"/>
    <x v="2"/>
    <s v="Coordinadora"/>
    <m/>
    <m/>
    <m/>
    <m/>
    <m/>
    <m/>
    <m/>
    <m/>
    <m/>
  </r>
  <r>
    <d v="2025-11-06T00:00:00"/>
    <x v="10"/>
    <n v="100175"/>
    <x v="0"/>
    <s v="FRANCO GROUP SA"/>
    <s v="TECUDSG"/>
    <s v="Desk Stool Gris Silla ajustable"/>
    <n v="1"/>
    <x v="4"/>
    <s v="Bogotá y alrededores"/>
    <s v="Bogota"/>
    <x v="2"/>
    <m/>
    <m/>
    <m/>
    <m/>
    <m/>
    <m/>
    <m/>
    <m/>
    <m/>
    <m/>
  </r>
  <r>
    <d v="2025-11-06T00:00:00"/>
    <x v="10"/>
    <n v="100176"/>
    <x v="0"/>
    <s v="FRANCO GROUP SA"/>
    <s v="TECUDSG"/>
    <s v="Desk Stool Gris Silla ajustable"/>
    <n v="2"/>
    <x v="4"/>
    <s v="Meta"/>
    <s v="Villavicencio"/>
    <x v="2"/>
    <m/>
    <m/>
    <m/>
    <m/>
    <m/>
    <m/>
    <m/>
    <m/>
    <m/>
    <m/>
  </r>
  <r>
    <d v="2025-11-07T00:00:00"/>
    <x v="10"/>
    <n v="100177"/>
    <x v="0"/>
    <s v="Laura Tatiana Florian Hernandez"/>
    <s v="TECURECO-80"/>
    <s v="Repisa Escritorio Caramelo x 80cm"/>
    <n v="1"/>
    <x v="6"/>
    <s v="Bogotá y alrededores"/>
    <s v="Bogota"/>
    <x v="2"/>
    <m/>
    <m/>
    <m/>
    <m/>
    <m/>
    <m/>
    <m/>
    <m/>
    <m/>
    <m/>
  </r>
  <r>
    <d v="2025-11-07T00:00:00"/>
    <x v="10"/>
    <n v="100178"/>
    <x v="0"/>
    <s v="Sebastian Garcia Ospina"/>
    <s v="TECUREFE -110"/>
    <s v="Repisa Escritorio Fresno Europeo x 110cm"/>
    <n v="1"/>
    <x v="6"/>
    <s v="Bogotá y alrededores"/>
    <s v="Chía"/>
    <x v="2"/>
    <m/>
    <m/>
    <m/>
    <m/>
    <m/>
    <m/>
    <m/>
    <m/>
    <m/>
    <m/>
  </r>
  <r>
    <d v="2025-11-08T00:00:00"/>
    <x v="10"/>
    <n v="100179"/>
    <x v="0"/>
    <s v="DATA AND AI CONSULTING"/>
    <s v="TECU3FNPRO"/>
    <s v="Electric Standing Desk  PRO Negro"/>
    <n v="1"/>
    <x v="1"/>
    <s v="Bogotá y alrededores"/>
    <s v="Bogota"/>
    <x v="2"/>
    <m/>
    <m/>
    <m/>
    <m/>
    <m/>
    <m/>
    <m/>
    <m/>
    <m/>
    <m/>
  </r>
  <r>
    <d v="2025-11-08T00:00:00"/>
    <x v="10"/>
    <n v="100179"/>
    <x v="0"/>
    <s v="DATA AND AI CONSULTING"/>
    <s v="TECUTFE6C-80"/>
    <s v="Superficie Escritorio Fresno Europeo 160x80 Clasico"/>
    <n v="1"/>
    <x v="2"/>
    <s v="Bogotá y alrededores"/>
    <s v="Bogota"/>
    <x v="2"/>
    <m/>
    <m/>
    <m/>
    <m/>
    <m/>
    <m/>
    <m/>
    <m/>
    <m/>
    <m/>
  </r>
  <r>
    <d v="2025-11-08T00:00:00"/>
    <x v="10"/>
    <n v="100180"/>
    <x v="0"/>
    <s v="Diego Rodriguez"/>
    <s v="TECU3FNPRO"/>
    <s v="Electric Standing Desk  PRO Negro"/>
    <n v="1"/>
    <x v="1"/>
    <s v="Bogotá y alrededores"/>
    <s v="Mosquera"/>
    <x v="2"/>
    <m/>
    <m/>
    <m/>
    <m/>
    <m/>
    <m/>
    <m/>
    <m/>
    <m/>
    <m/>
  </r>
  <r>
    <d v="2025-11-09T00:00:00"/>
    <x v="10"/>
    <n v="100181"/>
    <x v="0"/>
    <s v="JORGE CAMILO"/>
    <s v="TECU3FNPRO"/>
    <s v="Electric Standing Desk  PRO Negro"/>
    <n v="1"/>
    <x v="1"/>
    <s v="Guajira"/>
    <s v="Maicao"/>
    <x v="2"/>
    <m/>
    <m/>
    <m/>
    <m/>
    <m/>
    <m/>
    <m/>
    <m/>
    <m/>
    <m/>
  </r>
  <r>
    <d v="2025-11-09T00:00:00"/>
    <x v="10"/>
    <n v="100181"/>
    <x v="0"/>
    <s v="JORGE CAMILO"/>
    <s v="TECUTRN20C-80"/>
    <s v="Superficie Escritorio Roble Negro 200x80 Clasico"/>
    <n v="1"/>
    <x v="2"/>
    <s v="Guajira"/>
    <s v="Maicao"/>
    <x v="2"/>
    <m/>
    <m/>
    <m/>
    <m/>
    <m/>
    <m/>
    <m/>
    <m/>
    <m/>
    <m/>
  </r>
  <r>
    <d v="2025-11-09T00:00:00"/>
    <x v="10"/>
    <n v="100182"/>
    <x v="0"/>
    <s v="JAM TRADING PRO SAS"/>
    <s v="TECULFN2"/>
    <s v="Electric Standing Desk  En L Frame Negro 2.0"/>
    <n v="1"/>
    <x v="1"/>
    <s v="Bogotá y alrededores"/>
    <s v="Bogota"/>
    <x v="2"/>
    <m/>
    <m/>
    <m/>
    <m/>
    <m/>
    <m/>
    <m/>
    <m/>
    <m/>
    <m/>
  </r>
  <r>
    <d v="2025-11-09T00:00:00"/>
    <x v="10"/>
    <n v="100182"/>
    <x v="0"/>
    <s v="JAM TRADING PRO SAS"/>
    <s v="TECUTLFE8x5-60"/>
    <s v="Superficie  en L Fresno 180x150cm x60"/>
    <n v="1"/>
    <x v="2"/>
    <s v="Bogotá y alrededores"/>
    <s v="Bogota"/>
    <x v="2"/>
    <m/>
    <m/>
    <m/>
    <m/>
    <m/>
    <m/>
    <m/>
    <m/>
    <m/>
    <m/>
  </r>
  <r>
    <d v="2025-11-09T00:00:00"/>
    <x v="10"/>
    <n v="100182"/>
    <x v="0"/>
    <s v="JAM TRADING PRO SAS"/>
    <s v="TECURFFE -80"/>
    <s v="Repisa Flotante Fresno Europeo x 80cm"/>
    <n v="1"/>
    <x v="6"/>
    <s v="Bogotá y alrededores"/>
    <s v="Bogota"/>
    <x v="2"/>
    <m/>
    <m/>
    <m/>
    <m/>
    <m/>
    <m/>
    <m/>
    <m/>
    <m/>
    <m/>
  </r>
  <r>
    <d v="2025-11-09T00:00:00"/>
    <x v="10"/>
    <n v="100182"/>
    <x v="0"/>
    <s v="JAM TRADING PRO SAS"/>
    <s v="TECU2CBF-73"/>
    <s v="Cajonero 2.0 Bicolor Fresno Europeo x73cm"/>
    <n v="1"/>
    <x v="5"/>
    <s v="Bogotá y alrededores"/>
    <s v="Bogota"/>
    <x v="2"/>
    <m/>
    <m/>
    <m/>
    <m/>
    <m/>
    <m/>
    <m/>
    <m/>
    <m/>
    <m/>
  </r>
  <r>
    <d v="2025-11-09T00:00:00"/>
    <x v="10"/>
    <n v="100182"/>
    <x v="0"/>
    <s v="JAM TRADING PRO SAS"/>
    <s v="TECUBDPA"/>
    <s v="Desk Pad B Negro Azul"/>
    <n v="1"/>
    <x v="0"/>
    <s v="Bogotá y alrededores"/>
    <s v="Bogota"/>
    <x v="2"/>
    <m/>
    <m/>
    <m/>
    <m/>
    <m/>
    <m/>
    <m/>
    <m/>
    <m/>
    <m/>
  </r>
  <r>
    <d v="2025-11-09T00:00:00"/>
    <x v="10"/>
    <n v="100182"/>
    <x v="0"/>
    <s v="JAM TRADING PRO SAS"/>
    <m/>
    <s v="Servicio de instalacion"/>
    <n v="1"/>
    <x v="3"/>
    <s v="Bogotá y alrededores"/>
    <s v="Bogota"/>
    <x v="2"/>
    <m/>
    <m/>
    <m/>
    <m/>
    <m/>
    <m/>
    <m/>
    <m/>
    <m/>
    <m/>
  </r>
  <r>
    <d v="2025-11-14T00:00:00"/>
    <x v="10"/>
    <n v="100183"/>
    <x v="0"/>
    <s v="DCM SYSTEM SAS"/>
    <s v="TECU3FNCRO"/>
    <s v="Electric Standing Desk  PRO Negro circular"/>
    <n v="1"/>
    <x v="1"/>
    <s v="Atlantico"/>
    <s v="Barranquilla"/>
    <x v="2"/>
    <m/>
    <m/>
    <m/>
    <m/>
    <m/>
    <m/>
    <m/>
    <m/>
    <m/>
    <m/>
  </r>
  <r>
    <d v="2025-11-14T00:00:00"/>
    <x v="10"/>
    <n v="100183"/>
    <x v="0"/>
    <s v="DCM SYSTEM SAS"/>
    <s v="TECUTB7C"/>
    <s v="Superficie Niebla 170x70 Clasico"/>
    <n v="1"/>
    <x v="2"/>
    <s v="Atlantico"/>
    <s v="Barranquilla"/>
    <x v="2"/>
    <m/>
    <m/>
    <m/>
    <m/>
    <m/>
    <m/>
    <m/>
    <m/>
    <m/>
    <m/>
  </r>
  <r>
    <d v="2025-11-14T00:00:00"/>
    <x v="10"/>
    <n v="100184"/>
    <x v="0"/>
    <s v="Jorge Esteban Ariza Hernández"/>
    <s v="TECU3FBRO"/>
    <s v="Electric Standing Desk  PRO Blanco"/>
    <n v="1"/>
    <x v="1"/>
    <s v="Bogotá y alrededores"/>
    <s v="Bogota"/>
    <x v="2"/>
    <m/>
    <m/>
    <m/>
    <m/>
    <m/>
    <m/>
    <m/>
    <m/>
    <m/>
    <m/>
  </r>
  <r>
    <d v="2025-11-14T00:00:00"/>
    <x v="10"/>
    <n v="100184"/>
    <x v="0"/>
    <s v="Jorge Esteban Ariza Hernández"/>
    <s v="TECUTCO8C"/>
    <s v="Superficie  Caramelo 180x70 Clasico"/>
    <n v="1"/>
    <x v="2"/>
    <s v="Bogotá y alrededores"/>
    <s v="Bogota"/>
    <x v="2"/>
    <m/>
    <m/>
    <m/>
    <m/>
    <m/>
    <m/>
    <m/>
    <m/>
    <m/>
    <m/>
  </r>
  <r>
    <d v="2025-11-15T00:00:00"/>
    <x v="10"/>
    <n v="100185"/>
    <x v="0"/>
    <s v="Guillermo Castano"/>
    <s v="TECU2FBGO"/>
    <s v="Electric Standing Desk GO Blanco"/>
    <n v="1"/>
    <x v="1"/>
    <s v="Risaralda"/>
    <s v="Pereira"/>
    <x v="2"/>
    <m/>
    <m/>
    <m/>
    <m/>
    <m/>
    <m/>
    <m/>
    <m/>
    <m/>
    <m/>
  </r>
  <r>
    <d v="2025-11-15T00:00:00"/>
    <x v="10"/>
    <n v="100185"/>
    <x v="0"/>
    <s v="Guillermo Castano"/>
    <s v="TECUTRN2C-60"/>
    <s v="Superficie Escritorio Roble Negro 120x60 Clasico Small"/>
    <n v="1"/>
    <x v="2"/>
    <s v="Risaralda"/>
    <s v="Pereira"/>
    <x v="2"/>
    <m/>
    <m/>
    <m/>
    <m/>
    <m/>
    <m/>
    <m/>
    <m/>
    <m/>
    <m/>
  </r>
  <r>
    <d v="2025-11-18T00:00:00"/>
    <x v="10"/>
    <n v="100187"/>
    <x v="0"/>
    <s v="Luisa Fernanda Acosta Castillo"/>
    <s v="TECU3FBRO"/>
    <s v="Electric Standing Desk  PRO Blanco"/>
    <n v="1"/>
    <x v="1"/>
    <s v="Bogotá y alrededores"/>
    <s v="Bogota"/>
    <x v="2"/>
    <m/>
    <m/>
    <m/>
    <m/>
    <m/>
    <m/>
    <m/>
    <m/>
    <m/>
    <m/>
  </r>
  <r>
    <d v="2025-11-18T00:00:00"/>
    <x v="10"/>
    <n v="100187"/>
    <x v="0"/>
    <s v="Luisa Fernanda Acosta Castillo"/>
    <s v="TECUTFE6C"/>
    <s v="Superficie  Fresno Europeo 160x70 Clasico"/>
    <n v="1"/>
    <x v="2"/>
    <s v="Bogotá y alrededores"/>
    <s v="Bogota"/>
    <x v="2"/>
    <m/>
    <m/>
    <m/>
    <m/>
    <m/>
    <m/>
    <m/>
    <m/>
    <m/>
    <m/>
  </r>
  <r>
    <d v="2025-11-18T00:00:00"/>
    <x v="10"/>
    <n v="100188"/>
    <x v="0"/>
    <s v="Fabian Marquez"/>
    <s v="TECU3FBRO"/>
    <s v="Electric Standing Desk  PRO Blanco"/>
    <n v="1"/>
    <x v="1"/>
    <s v="Bogotá y alrededores"/>
    <s v="Bogota"/>
    <x v="2"/>
    <m/>
    <m/>
    <m/>
    <m/>
    <m/>
    <m/>
    <m/>
    <m/>
    <m/>
    <m/>
  </r>
  <r>
    <d v="2025-11-18T00:00:00"/>
    <x v="10"/>
    <n v="100188"/>
    <x v="0"/>
    <s v="Fabian Marquez"/>
    <s v="TECUTFE5M"/>
    <s v="Superficie  Fresno Europeo 150x70 Moderno"/>
    <n v="1"/>
    <x v="2"/>
    <s v="Bogotá y alrededores"/>
    <s v="Bogota"/>
    <x v="2"/>
    <m/>
    <m/>
    <m/>
    <m/>
    <m/>
    <m/>
    <m/>
    <m/>
    <m/>
    <m/>
  </r>
  <r>
    <d v="2025-11-18T00:00:00"/>
    <x v="10"/>
    <n v="100188"/>
    <x v="0"/>
    <s v="Fabian Marquez"/>
    <s v="TECUDSG"/>
    <s v="Desk Stool Gris Silla ajustable"/>
    <n v="1"/>
    <x v="4"/>
    <s v="Bogotá y alrededores"/>
    <s v="Bogota"/>
    <x v="2"/>
    <m/>
    <m/>
    <m/>
    <m/>
    <m/>
    <m/>
    <m/>
    <m/>
    <m/>
    <m/>
  </r>
  <r>
    <d v="2025-11-19T00:00:00"/>
    <x v="10"/>
    <n v="100189"/>
    <x v="0"/>
    <s v="Marcela González"/>
    <s v="TECU3FBRO"/>
    <s v="Electric Standing Desk  PRO Blanco"/>
    <n v="1"/>
    <x v="1"/>
    <s v="Valle del Cauca"/>
    <s v="Cali"/>
    <x v="2"/>
    <m/>
    <m/>
    <m/>
    <m/>
    <m/>
    <m/>
    <m/>
    <m/>
    <m/>
    <m/>
  </r>
  <r>
    <d v="2025-11-19T00:00:00"/>
    <x v="10"/>
    <n v="100189"/>
    <x v="0"/>
    <s v="Marcela González"/>
    <s v="TECUTFE4C-60"/>
    <s v="Superficie Escritorio Fresno Europeo 140x60 Clasico"/>
    <n v="1"/>
    <x v="2"/>
    <s v="Valle del Cauca"/>
    <s v="Cali"/>
    <x v="2"/>
    <m/>
    <m/>
    <m/>
    <m/>
    <m/>
    <m/>
    <m/>
    <m/>
    <m/>
    <m/>
  </r>
  <r>
    <d v="2025-11-19T00:00:00"/>
    <x v="10"/>
    <n v="100190"/>
    <x v="0"/>
    <s v="Marcelo Fumagalli"/>
    <s v="TECU3FNPRO"/>
    <s v="Electric Standing Desk  PRO Negro"/>
    <n v="1"/>
    <x v="1"/>
    <s v="Antioquia"/>
    <s v="Medellin"/>
    <x v="2"/>
    <m/>
    <m/>
    <m/>
    <m/>
    <m/>
    <m/>
    <m/>
    <m/>
    <m/>
    <m/>
  </r>
  <r>
    <d v="2025-11-19T00:00:00"/>
    <x v="10"/>
    <n v="100190"/>
    <x v="0"/>
    <s v="Marcelo Fumagalli"/>
    <s v="TECUTB6C-80"/>
    <s v="Superficie Escritorio Blanco (Niebla) 160x80 Clasico"/>
    <n v="1"/>
    <x v="2"/>
    <s v="Antioquia"/>
    <s v="Medellin"/>
    <x v="2"/>
    <m/>
    <m/>
    <m/>
    <m/>
    <m/>
    <m/>
    <m/>
    <m/>
    <m/>
    <m/>
  </r>
  <r>
    <d v="2025-11-19T00:00:00"/>
    <x v="10"/>
    <n v="100191"/>
    <x v="0"/>
    <s v="Jose Araque"/>
    <s v="TECU3FNPRO"/>
    <s v="Electric Standing Desk  PRO Negro"/>
    <n v="1"/>
    <x v="1"/>
    <s v="Bogotá y alrededores"/>
    <s v="Bogota"/>
    <x v="2"/>
    <m/>
    <m/>
    <m/>
    <m/>
    <m/>
    <m/>
    <m/>
    <m/>
    <m/>
    <m/>
  </r>
  <r>
    <d v="2025-11-19T00:00:00"/>
    <x v="10"/>
    <n v="100191"/>
    <x v="0"/>
    <s v="Jose Araque"/>
    <s v="TECUTB6C-80"/>
    <s v="Superficie Escritorio Blanco (Niebla) 160x80 Clasico"/>
    <n v="1"/>
    <x v="2"/>
    <s v="Bogotá y alrededores"/>
    <s v="Bogota"/>
    <x v="2"/>
    <m/>
    <m/>
    <m/>
    <m/>
    <m/>
    <m/>
    <m/>
    <m/>
    <m/>
    <m/>
  </r>
  <r>
    <d v="2025-11-19T00:00:00"/>
    <x v="10"/>
    <n v="100191"/>
    <x v="0"/>
    <s v="Jose Araque"/>
    <m/>
    <s v="Servicio de instalacion"/>
    <n v="1"/>
    <x v="3"/>
    <s v="Bogotá y alrededores"/>
    <s v="Bogota"/>
    <x v="2"/>
    <m/>
    <m/>
    <m/>
    <m/>
    <m/>
    <m/>
    <m/>
    <m/>
    <m/>
    <m/>
  </r>
  <r>
    <d v="2025-11-19T00:00:00"/>
    <x v="10"/>
    <n v="100192"/>
    <x v="0"/>
    <s v="Bramdon Murillo"/>
    <s v="TECU2FNG"/>
    <s v="Electric Standing Desk GO Negro"/>
    <n v="1"/>
    <x v="1"/>
    <s v="Bogotá y alrededores"/>
    <s v="Bogota"/>
    <x v="2"/>
    <m/>
    <m/>
    <m/>
    <m/>
    <m/>
    <m/>
    <m/>
    <m/>
    <m/>
    <m/>
  </r>
  <r>
    <d v="2025-11-19T00:00:00"/>
    <x v="10"/>
    <n v="100192"/>
    <x v="0"/>
    <s v="Bramdon Murillo"/>
    <s v="TECUTCO5C"/>
    <s v="Superficie Caramelo 150x70 Clasico"/>
    <n v="1"/>
    <x v="2"/>
    <s v="Bogotá y alrededores"/>
    <s v="Bogota"/>
    <x v="2"/>
    <m/>
    <m/>
    <m/>
    <m/>
    <m/>
    <m/>
    <m/>
    <m/>
    <m/>
    <m/>
  </r>
  <r>
    <d v="2025-11-20T00:00:00"/>
    <x v="10"/>
    <n v="100193"/>
    <x v="0"/>
    <s v="Edgar Cervantes De Los Rios"/>
    <s v="TECU3FNPRO"/>
    <s v="Electric Standing Desk  PRO Negro"/>
    <n v="1"/>
    <x v="1"/>
    <s v="Bogotá y alrededores"/>
    <s v="Bogota"/>
    <x v="2"/>
    <m/>
    <m/>
    <m/>
    <m/>
    <m/>
    <m/>
    <m/>
    <m/>
    <m/>
    <m/>
  </r>
  <r>
    <d v="2025-11-20T00:00:00"/>
    <x v="10"/>
    <n v="100193"/>
    <x v="0"/>
    <s v="Edgar Cervantes De Los Rios"/>
    <s v="TECUTCO2C-60"/>
    <s v="Superficie Escritorio Caramelo 120x60 Clasico Small"/>
    <n v="1"/>
    <x v="2"/>
    <s v="Bogotá y alrededores"/>
    <s v="Bogota"/>
    <x v="2"/>
    <m/>
    <m/>
    <m/>
    <m/>
    <m/>
    <m/>
    <m/>
    <m/>
    <m/>
    <m/>
  </r>
  <r>
    <d v="2025-11-21T00:00:00"/>
    <x v="10"/>
    <n v="100194"/>
    <x v="0"/>
    <s v="Cristian Andres Cruz Suazo"/>
    <s v="TECU3FNPRO"/>
    <s v="Electric Standing Desk  PRO Negro"/>
    <n v="1"/>
    <x v="1"/>
    <s v="Quindio"/>
    <s v="Armenia"/>
    <x v="2"/>
    <m/>
    <m/>
    <m/>
    <m/>
    <m/>
    <m/>
    <m/>
    <m/>
    <m/>
    <m/>
  </r>
  <r>
    <d v="2025-11-21T00:00:00"/>
    <x v="10"/>
    <n v="100194"/>
    <x v="0"/>
    <s v="Cristian Andres Cruz Suazo"/>
    <s v="TECUTCO9C"/>
    <s v="Superficie  Caramelo 190x70 Clasico"/>
    <n v="1"/>
    <x v="2"/>
    <s v="Quindio"/>
    <s v="Armenia"/>
    <x v="2"/>
    <m/>
    <m/>
    <m/>
    <m/>
    <m/>
    <m/>
    <m/>
    <m/>
    <m/>
    <m/>
  </r>
  <r>
    <d v="2025-11-22T00:00:00"/>
    <x v="10"/>
    <n v="100195"/>
    <x v="0"/>
    <s v="Stephany Sánchez Vergel"/>
    <s v="TECU2FNG"/>
    <s v="Electric Standing Desk GO Negro"/>
    <n v="1"/>
    <x v="1"/>
    <s v="Bogotá y alrededores"/>
    <s v="Bogota"/>
    <x v="2"/>
    <m/>
    <m/>
    <m/>
    <m/>
    <m/>
    <m/>
    <m/>
    <m/>
    <m/>
    <m/>
  </r>
  <r>
    <d v="2025-11-22T00:00:00"/>
    <x v="10"/>
    <n v="100195"/>
    <x v="0"/>
    <s v="Stephany Sánchez Vergel"/>
    <s v="TECUTCO2C-60"/>
    <s v="Superficie Escritorio Caramelo 120x60 Clasico Small"/>
    <n v="1"/>
    <x v="2"/>
    <s v="Bogotá y alrededores"/>
    <s v="Bogota"/>
    <x v="2"/>
    <m/>
    <m/>
    <m/>
    <m/>
    <m/>
    <m/>
    <m/>
    <m/>
    <m/>
    <m/>
  </r>
  <r>
    <d v="2025-11-22T00:00:00"/>
    <x v="10"/>
    <n v="100196"/>
    <x v="0"/>
    <s v="Jaime David Burbano Montoya"/>
    <s v="TECU3FNCRO"/>
    <s v="Electric Standing Desk  PRO Negro circular"/>
    <n v="1"/>
    <x v="1"/>
    <s v="Valle del Cauca"/>
    <s v="Cali"/>
    <x v="2"/>
    <m/>
    <m/>
    <m/>
    <m/>
    <m/>
    <m/>
    <m/>
    <m/>
    <m/>
    <m/>
  </r>
  <r>
    <d v="2025-11-22T00:00:00"/>
    <x v="10"/>
    <n v="100196"/>
    <x v="0"/>
    <s v="Jaime David Burbano Montoya"/>
    <s v="TECUTFE5C-80"/>
    <s v="Superficie Escritorio Fresno Europeo 150x80 Clasico"/>
    <n v="1"/>
    <x v="2"/>
    <s v="Valle del Cauca"/>
    <s v="Cali"/>
    <x v="2"/>
    <m/>
    <m/>
    <m/>
    <m/>
    <m/>
    <m/>
    <m/>
    <m/>
    <m/>
    <m/>
  </r>
  <r>
    <d v="2025-11-22T00:00:00"/>
    <x v="10"/>
    <n v="100196"/>
    <x v="0"/>
    <s v="Jaime David Burbano Montoya"/>
    <s v="TECUCT"/>
    <s v="Bandeja de cables"/>
    <n v="1"/>
    <x v="0"/>
    <s v="Valle del Cauca"/>
    <s v="Cali"/>
    <x v="2"/>
    <m/>
    <m/>
    <m/>
    <m/>
    <m/>
    <m/>
    <m/>
    <m/>
    <m/>
    <m/>
  </r>
  <r>
    <d v="2025-11-23T00:00:00"/>
    <x v="10"/>
    <n v="100197"/>
    <x v="0"/>
    <s v="Luis Perez"/>
    <s v="TECU3FBRO"/>
    <s v="Electric Standing Desk  PRO Blanco"/>
    <n v="1"/>
    <x v="1"/>
    <s v="Bogotá y alrededores"/>
    <s v="Bogota"/>
    <x v="2"/>
    <m/>
    <m/>
    <m/>
    <m/>
    <m/>
    <m/>
    <m/>
    <m/>
    <m/>
    <m/>
  </r>
  <r>
    <d v="2025-11-23T00:00:00"/>
    <x v="10"/>
    <n v="100197"/>
    <x v="0"/>
    <s v="Luis Perez"/>
    <s v="TECUTFE4C"/>
    <s v="Superficie  Fresno Europeo 140x70 Clasico"/>
    <n v="1"/>
    <x v="2"/>
    <s v="Bogotá y alrededores"/>
    <s v="Bogota"/>
    <x v="2"/>
    <m/>
    <m/>
    <m/>
    <m/>
    <m/>
    <m/>
    <m/>
    <m/>
    <m/>
    <m/>
  </r>
  <r>
    <d v="2025-11-24T00:00:00"/>
    <x v="10"/>
    <n v="100198"/>
    <x v="0"/>
    <s v="Juan Pablo Lalinde"/>
    <s v="TECU3FNPRO"/>
    <s v="Electric Standing Desk  PRO Negro"/>
    <n v="1"/>
    <x v="1"/>
    <s v="Bogotá y alrededores"/>
    <s v="Bogota"/>
    <x v="2"/>
    <m/>
    <m/>
    <m/>
    <m/>
    <m/>
    <m/>
    <m/>
    <m/>
    <m/>
    <m/>
  </r>
  <r>
    <d v="2025-11-24T00:00:00"/>
    <x v="10"/>
    <n v="100198"/>
    <x v="0"/>
    <s v="Juan Pablo Lalinde"/>
    <s v="TECUTRM8C"/>
    <s v="Superficie Roble Miel 180x70 Clasico"/>
    <n v="1"/>
    <x v="2"/>
    <s v="Bogotá y alrededores"/>
    <s v="Bogota"/>
    <x v="2"/>
    <m/>
    <m/>
    <m/>
    <m/>
    <m/>
    <m/>
    <m/>
    <m/>
    <m/>
    <m/>
  </r>
  <r>
    <d v="2025-11-24T00:00:00"/>
    <x v="10"/>
    <n v="100198"/>
    <x v="0"/>
    <s v="Juan Pablo Lalinde"/>
    <s v="TECUCT"/>
    <s v="Bandeja de cables"/>
    <n v="1"/>
    <x v="0"/>
    <s v="Bogotá y alrededores"/>
    <s v="Bogota"/>
    <x v="2"/>
    <m/>
    <m/>
    <m/>
    <m/>
    <m/>
    <m/>
    <m/>
    <m/>
    <m/>
    <m/>
  </r>
  <r>
    <d v="2025-11-24T00:00:00"/>
    <x v="10"/>
    <n v="100199"/>
    <x v="0"/>
    <s v="John Alejandro Nunez Giraldo"/>
    <s v="TECURCO"/>
    <s v="Repisa Caramelo"/>
    <n v="1"/>
    <x v="6"/>
    <s v="Antioquia"/>
    <s v="Marinilla"/>
    <x v="2"/>
    <m/>
    <m/>
    <m/>
    <m/>
    <m/>
    <m/>
    <m/>
    <m/>
    <m/>
    <m/>
  </r>
  <r>
    <d v="2025-11-24T00:00:00"/>
    <x v="10"/>
    <n v="100200"/>
    <x v="0"/>
    <s v="Laura Alvarez"/>
    <s v="TECU2FBGO"/>
    <s v="Electric Standing Desk GO Blanco"/>
    <n v="1"/>
    <x v="1"/>
    <s v="Antioquia"/>
    <s v="Medellin"/>
    <x v="2"/>
    <m/>
    <m/>
    <m/>
    <m/>
    <m/>
    <m/>
    <m/>
    <m/>
    <m/>
    <m/>
  </r>
  <r>
    <d v="2025-11-24T00:00:00"/>
    <x v="10"/>
    <n v="100200"/>
    <x v="0"/>
    <s v="Laura Alvarez"/>
    <s v="TECUTRN2C-60"/>
    <s v="Superficie Escritorio Roble Negro 120x60 Clasico Small"/>
    <n v="1"/>
    <x v="2"/>
    <s v="Antioquia"/>
    <s v="Medellin"/>
    <x v="2"/>
    <m/>
    <m/>
    <m/>
    <m/>
    <m/>
    <m/>
    <m/>
    <m/>
    <m/>
    <m/>
  </r>
  <r>
    <d v="2025-11-24T00:00:00"/>
    <x v="10"/>
    <n v="100201"/>
    <x v="0"/>
    <s v="jose gabriel guzman lopez"/>
    <s v="TECUCT"/>
    <s v="Bandeja de cables"/>
    <n v="1"/>
    <x v="0"/>
    <s v="Antioquia"/>
    <s v="Sabaneta"/>
    <x v="2"/>
    <m/>
    <m/>
    <m/>
    <m/>
    <m/>
    <m/>
    <m/>
    <m/>
    <m/>
    <m/>
  </r>
  <r>
    <d v="2025-11-24T00:00:00"/>
    <x v="10"/>
    <n v="100202"/>
    <x v="0"/>
    <s v="Cristian Fernando Alvarez Trujillo"/>
    <s v="TECU2CBC-65"/>
    <s v="Cajonero 2.0 Bicolor Caramelo x65cm"/>
    <n v="1"/>
    <x v="5"/>
    <s v="Huila"/>
    <s v="Neiva"/>
    <x v="2"/>
    <m/>
    <m/>
    <m/>
    <m/>
    <m/>
    <m/>
    <m/>
    <m/>
    <m/>
    <m/>
  </r>
  <r>
    <d v="2025-11-24T00:00:00"/>
    <x v="10"/>
    <n v="100203"/>
    <x v="0"/>
    <s v="Daniela Paola Maestre Iglesias"/>
    <s v="TECU2FBGO"/>
    <s v="Electric Standing Desk GO Blanco"/>
    <n v="1"/>
    <x v="1"/>
    <s v="Antioquia"/>
    <s v="Itagui"/>
    <x v="2"/>
    <m/>
    <m/>
    <m/>
    <m/>
    <m/>
    <m/>
    <m/>
    <m/>
    <m/>
    <m/>
  </r>
  <r>
    <d v="2025-11-24T00:00:00"/>
    <x v="10"/>
    <n v="100203"/>
    <x v="0"/>
    <s v="Daniela Paola Maestre Iglesias"/>
    <s v="TECUTFE4C-60"/>
    <s v="Superficie Escritorio Fresno Europeo 140x60 Clasico"/>
    <n v="1"/>
    <x v="2"/>
    <s v="Antioquia"/>
    <s v="Itagui"/>
    <x v="2"/>
    <m/>
    <m/>
    <m/>
    <m/>
    <m/>
    <m/>
    <m/>
    <m/>
    <m/>
    <m/>
  </r>
  <r>
    <d v="2025-11-24T00:00:00"/>
    <x v="10"/>
    <n v="100204"/>
    <x v="0"/>
    <s v="Karen Prieto"/>
    <s v="TECU3FBRO"/>
    <s v="Electric Standing Desk  PRO Blanco"/>
    <n v="1"/>
    <x v="1"/>
    <s v="Bogotá y alrededores"/>
    <s v="Bogota"/>
    <x v="2"/>
    <m/>
    <m/>
    <m/>
    <m/>
    <m/>
    <m/>
    <m/>
    <m/>
    <m/>
    <m/>
  </r>
  <r>
    <d v="2025-11-24T00:00:00"/>
    <x v="10"/>
    <n v="100204"/>
    <x v="0"/>
    <s v="Karen Prieto"/>
    <s v="TECUTFE4C"/>
    <s v="Superficie  Fresno Europeo 140x70 Clasico"/>
    <n v="1"/>
    <x v="2"/>
    <s v="Bogotá y alrededores"/>
    <s v="Bogota"/>
    <x v="2"/>
    <m/>
    <m/>
    <m/>
    <m/>
    <m/>
    <m/>
    <m/>
    <m/>
    <m/>
    <m/>
  </r>
  <r>
    <d v="2025-11-25T00:00:00"/>
    <x v="10"/>
    <n v="100205"/>
    <x v="0"/>
    <s v="Daniel Marcano"/>
    <s v="TECU2FBGO"/>
    <s v="Electric Standing Desk GO Blanco"/>
    <n v="1"/>
    <x v="1"/>
    <s v="Manizales"/>
    <s v="Caldas"/>
    <x v="2"/>
    <m/>
    <m/>
    <m/>
    <m/>
    <m/>
    <m/>
    <m/>
    <m/>
    <m/>
    <m/>
  </r>
  <r>
    <d v="2025-11-25T00:00:00"/>
    <x v="10"/>
    <n v="100205"/>
    <x v="0"/>
    <s v="Daniel Marcano"/>
    <s v="TECUTCO2C-60"/>
    <s v="Superficie Escritorio Caramelo 120x60 Clasico Small"/>
    <n v="1"/>
    <x v="2"/>
    <s v="Manizales"/>
    <s v="Caldas"/>
    <x v="2"/>
    <m/>
    <m/>
    <m/>
    <m/>
    <m/>
    <m/>
    <m/>
    <m/>
    <m/>
    <m/>
  </r>
  <r>
    <d v="2025-11-25T00:00:00"/>
    <x v="10"/>
    <n v="100206"/>
    <x v="0"/>
    <s v="Alexander Vergara"/>
    <s v="TECU3FNPRO"/>
    <s v="Electric Standing Desk  PRO Negro"/>
    <n v="1"/>
    <x v="1"/>
    <s v="Antioquia"/>
    <s v="Bello"/>
    <x v="2"/>
    <m/>
    <m/>
    <m/>
    <m/>
    <m/>
    <m/>
    <m/>
    <m/>
    <m/>
    <m/>
  </r>
  <r>
    <d v="2025-11-25T00:00:00"/>
    <x v="10"/>
    <n v="100206"/>
    <x v="0"/>
    <s v="Alexander Vergara"/>
    <s v="TECUTRN5C"/>
    <s v="Superficie  Roble negro 150x70 Clasico"/>
    <n v="1"/>
    <x v="2"/>
    <s v="Antioquia"/>
    <s v="Bello"/>
    <x v="2"/>
    <m/>
    <m/>
    <m/>
    <m/>
    <m/>
    <m/>
    <m/>
    <m/>
    <m/>
    <m/>
  </r>
  <r>
    <d v="2025-11-26T00:00:00"/>
    <x v="10"/>
    <n v="100207"/>
    <x v="0"/>
    <s v="Jorge Ferro"/>
    <s v="TECU3FNPRO"/>
    <s v="Electric Standing Desk  PRO Negro"/>
    <n v="1"/>
    <x v="1"/>
    <s v="Bogotá y alrededores"/>
    <s v="Bogota"/>
    <x v="2"/>
    <m/>
    <m/>
    <m/>
    <m/>
    <m/>
    <m/>
    <m/>
    <m/>
    <m/>
    <m/>
  </r>
  <r>
    <d v="2025-11-26T00:00:00"/>
    <x v="10"/>
    <n v="100207"/>
    <x v="0"/>
    <s v="Jorge Ferro"/>
    <s v="TECUTFE6C-60"/>
    <s v="Superficie Escritorio Fresno Europeo 160x60 Clasico"/>
    <n v="1"/>
    <x v="2"/>
    <s v="Bogotá y alrededores"/>
    <s v="Bogota"/>
    <x v="2"/>
    <m/>
    <m/>
    <m/>
    <m/>
    <m/>
    <m/>
    <m/>
    <m/>
    <m/>
    <m/>
  </r>
  <r>
    <d v="2025-11-27T00:00:00"/>
    <x v="10"/>
    <n v="100208"/>
    <x v="0"/>
    <s v="Juan Diego Betancur"/>
    <s v="TECULFN2"/>
    <s v="Electric Standing Desk  En L Frame Negro 2.0"/>
    <n v="1"/>
    <x v="1"/>
    <s v="Antioquia"/>
    <s v="Carmen de Viboral"/>
    <x v="2"/>
    <m/>
    <m/>
    <m/>
    <m/>
    <m/>
    <m/>
    <m/>
    <m/>
    <m/>
    <m/>
  </r>
  <r>
    <d v="2025-11-27T00:00:00"/>
    <x v="10"/>
    <n v="100208"/>
    <x v="0"/>
    <s v="Juan Diego Betancur"/>
    <s v="TECUTLCO5x70"/>
    <s v="Superficie Escritorio Caramelo en L 150x70"/>
    <n v="1"/>
    <x v="2"/>
    <s v="Antioquia"/>
    <s v="Carmen de Viboral"/>
    <x v="2"/>
    <m/>
    <m/>
    <m/>
    <m/>
    <m/>
    <m/>
    <m/>
    <m/>
    <m/>
    <m/>
  </r>
  <r>
    <d v="2025-11-27T00:00:00"/>
    <x v="10"/>
    <n v="100208"/>
    <x v="0"/>
    <s v="Juan Diego Betancur"/>
    <s v="TECUCT"/>
    <s v="Bandeja de cables"/>
    <n v="1"/>
    <x v="0"/>
    <s v="Antioquia"/>
    <s v="Carmen de Viboral"/>
    <x v="2"/>
    <m/>
    <m/>
    <m/>
    <m/>
    <m/>
    <m/>
    <m/>
    <m/>
    <m/>
    <m/>
  </r>
  <r>
    <d v="2025-11-27T00:00:00"/>
    <x v="10"/>
    <n v="100209"/>
    <x v="0"/>
    <s v="Andres Sanchez"/>
    <s v="TECU3FNPRO"/>
    <s v="Electric Standing Desk  PRO Negro"/>
    <n v="1"/>
    <x v="1"/>
    <s v="Bogotá y alrededores"/>
    <s v="Bogota"/>
    <x v="2"/>
    <m/>
    <m/>
    <m/>
    <m/>
    <m/>
    <m/>
    <m/>
    <m/>
    <m/>
    <m/>
  </r>
  <r>
    <d v="2025-11-27T00:00:00"/>
    <x v="10"/>
    <n v="100210"/>
    <x v="0"/>
    <s v="Víctor Julio Cañas Rincón"/>
    <s v="TECU3FNPRO"/>
    <s v="Electric Standing Desk  PRO Negro"/>
    <n v="1"/>
    <x v="1"/>
    <s v="Boyaca"/>
    <s v="Nobsa"/>
    <x v="2"/>
    <m/>
    <m/>
    <m/>
    <m/>
    <m/>
    <m/>
    <m/>
    <m/>
    <m/>
    <m/>
  </r>
  <r>
    <d v="2025-11-27T00:00:00"/>
    <x v="10"/>
    <n v="100210"/>
    <x v="0"/>
    <s v="Víctor Julio Cañas Rincón"/>
    <s v="TECUTCO6C"/>
    <s v="Superficie  Caramelo 160x70 Clasico"/>
    <n v="1"/>
    <x v="2"/>
    <s v="Boyaca"/>
    <s v="Nobsa"/>
    <x v="2"/>
    <m/>
    <m/>
    <m/>
    <m/>
    <m/>
    <m/>
    <m/>
    <m/>
    <m/>
    <m/>
  </r>
  <r>
    <d v="2025-11-28T00:00:00"/>
    <x v="10"/>
    <n v="100211"/>
    <x v="0"/>
    <s v="Ma.C Gutierrez Arquitectos sas"/>
    <s v="TECULFN2"/>
    <s v="Electric Standing Desk  En L Frame Negro 2.0"/>
    <n v="1"/>
    <x v="1"/>
    <s v="Bogotá y alrededores"/>
    <s v="Bogota"/>
    <x v="2"/>
    <m/>
    <m/>
    <m/>
    <m/>
    <m/>
    <m/>
    <m/>
    <m/>
    <m/>
    <m/>
  </r>
  <r>
    <d v="2025-11-28T00:00:00"/>
    <x v="10"/>
    <n v="100212"/>
    <x v="0"/>
    <s v="Sergio Acosta"/>
    <s v="TECUTCO6C-60"/>
    <s v="Superficie Escritorio Caramelo 160x60 Clasico"/>
    <n v="1"/>
    <x v="2"/>
    <s v="Boyaca"/>
    <s v="Tunja"/>
    <x v="2"/>
    <m/>
    <m/>
    <m/>
    <m/>
    <m/>
    <m/>
    <m/>
    <m/>
    <m/>
    <m/>
  </r>
  <r>
    <d v="2025-11-28T00:00:00"/>
    <x v="10"/>
    <n v="100212"/>
    <x v="0"/>
    <s v="Sergio Acosta"/>
    <s v="TECU2CBC-73"/>
    <s v="Cajonero 2.0 Bicolor Caramelo x73cm"/>
    <n v="1"/>
    <x v="5"/>
    <s v="Boyaca"/>
    <s v="Tunja"/>
    <x v="2"/>
    <m/>
    <m/>
    <m/>
    <m/>
    <m/>
    <m/>
    <m/>
    <m/>
    <m/>
    <m/>
  </r>
  <r>
    <d v="2025-11-28T00:00:00"/>
    <x v="10"/>
    <n v="100212"/>
    <x v="0"/>
    <s v="Sergio Acosta"/>
    <s v="TECUFX-E72"/>
    <s v="Escritorio FIjo Linea - E x 72,5 cm"/>
    <n v="1"/>
    <x v="8"/>
    <s v="Boyaca"/>
    <s v="Tunja"/>
    <x v="2"/>
    <m/>
    <m/>
    <m/>
    <m/>
    <m/>
    <m/>
    <m/>
    <m/>
    <m/>
    <m/>
  </r>
  <r>
    <d v="2025-11-28T00:00:00"/>
    <x v="10"/>
    <n v="100213"/>
    <x v="0"/>
    <s v="Santiago Jaramillo"/>
    <s v="TECU3FNPRO"/>
    <s v="Electric Standing Desk  PRO Negro"/>
    <n v="1"/>
    <x v="1"/>
    <s v="Antioquia"/>
    <s v="Envigado"/>
    <x v="2"/>
    <m/>
    <m/>
    <m/>
    <m/>
    <m/>
    <m/>
    <m/>
    <m/>
    <m/>
    <m/>
  </r>
  <r>
    <d v="2025-11-28T00:00:00"/>
    <x v="10"/>
    <n v="100213"/>
    <x v="0"/>
    <s v="Santiago Jaramillo"/>
    <s v="TECUTFE2C-80"/>
    <s v="Superficie Escritorio Fresno Europeo 120x80 Clasico Small"/>
    <n v="1"/>
    <x v="2"/>
    <s v="Antioquia"/>
    <s v="Envigado"/>
    <x v="2"/>
    <m/>
    <m/>
    <m/>
    <m/>
    <m/>
    <m/>
    <m/>
    <m/>
    <m/>
    <m/>
  </r>
  <r>
    <d v="2025-11-28T00:00:00"/>
    <x v="10"/>
    <n v="100214"/>
    <x v="0"/>
    <s v="Lizeth Lopez"/>
    <s v="TECU3FBRO"/>
    <s v="Electric Standing Desk  PRO Blanco"/>
    <n v="1"/>
    <x v="1"/>
    <s v="Antioquia"/>
    <s v="Sabaneta"/>
    <x v="2"/>
    <m/>
    <m/>
    <m/>
    <m/>
    <m/>
    <m/>
    <m/>
    <m/>
    <m/>
    <m/>
  </r>
  <r>
    <d v="2025-11-28T00:00:00"/>
    <x v="10"/>
    <n v="100214"/>
    <x v="0"/>
    <s v="Lizeth Lopez"/>
    <s v="TECUTFE7C"/>
    <s v="Superficie  Fresno Europeo 170x70 Clasico"/>
    <n v="1"/>
    <x v="2"/>
    <s v="Antioquia"/>
    <s v="Sabaneta"/>
    <x v="2"/>
    <m/>
    <m/>
    <m/>
    <m/>
    <m/>
    <m/>
    <m/>
    <m/>
    <m/>
    <m/>
  </r>
  <r>
    <d v="2025-11-28T00:00:00"/>
    <x v="10"/>
    <n v="100215"/>
    <x v="0"/>
    <s v="Cristian David Naranjo Trejos"/>
    <s v="TECURFE"/>
    <s v="Repisa TECU Fresno Europeo"/>
    <n v="1"/>
    <x v="6"/>
    <s v="Valle del Cauca"/>
    <s v="Cali"/>
    <x v="2"/>
    <m/>
    <m/>
    <m/>
    <m/>
    <m/>
    <m/>
    <m/>
    <m/>
    <m/>
    <m/>
  </r>
  <r>
    <d v="2025-11-28T00:00:00"/>
    <x v="10"/>
    <n v="100216"/>
    <x v="0"/>
    <s v="Cristian Camilo Castro Peña"/>
    <s v="TECU3FNPRO"/>
    <s v="Electric Standing Desk  PRO Negro"/>
    <n v="1"/>
    <x v="1"/>
    <s v="Manizales"/>
    <s v="Caldas"/>
    <x v="2"/>
    <m/>
    <m/>
    <m/>
    <m/>
    <m/>
    <m/>
    <m/>
    <m/>
    <m/>
    <m/>
  </r>
  <r>
    <d v="2025-11-28T00:00:00"/>
    <x v="10"/>
    <n v="100216"/>
    <x v="0"/>
    <s v="Cristian Camilo Castro Peña"/>
    <s v="TECUTFE5M"/>
    <s v="Superficie  Fresno Europeo 150x70 Moderno"/>
    <n v="1"/>
    <x v="2"/>
    <s v="Manizales"/>
    <s v="Caldas"/>
    <x v="2"/>
    <m/>
    <m/>
    <m/>
    <m/>
    <m/>
    <m/>
    <m/>
    <m/>
    <m/>
    <m/>
  </r>
  <r>
    <d v="2025-11-28T00:00:00"/>
    <x v="10"/>
    <n v="100217"/>
    <x v="0"/>
    <s v="Víctor Claudio Vladimir Cortés Arévalo"/>
    <s v="TECUBDPM"/>
    <s v="Desk Pad B Negro Café Miel"/>
    <n v="1"/>
    <x v="0"/>
    <s v="Bogotá y alrededores"/>
    <s v="Bogota"/>
    <x v="2"/>
    <m/>
    <m/>
    <m/>
    <m/>
    <m/>
    <m/>
    <m/>
    <m/>
    <m/>
    <m/>
  </r>
  <r>
    <d v="2025-11-29T00:00:00"/>
    <x v="10"/>
    <n v="100218"/>
    <x v="0"/>
    <s v="Juliana Barajas"/>
    <s v="TECU2FBGO"/>
    <s v="Electric Standing Desk GO Blanco"/>
    <n v="1"/>
    <x v="1"/>
    <s v="Bogotá y alrededores"/>
    <s v="Bogota"/>
    <x v="2"/>
    <m/>
    <m/>
    <m/>
    <m/>
    <m/>
    <m/>
    <m/>
    <m/>
    <m/>
    <m/>
  </r>
  <r>
    <d v="2025-11-29T00:00:00"/>
    <x v="10"/>
    <n v="100218"/>
    <x v="0"/>
    <s v="Juliana Barajas"/>
    <s v="TECUTFE3C-60"/>
    <s v="Superficie Escritorio Fresno Europeo 130x60 Clasico"/>
    <n v="1"/>
    <x v="2"/>
    <s v="Bogotá y alrededores"/>
    <s v="Bogota"/>
    <x v="2"/>
    <m/>
    <m/>
    <m/>
    <m/>
    <m/>
    <m/>
    <m/>
    <m/>
    <m/>
    <m/>
  </r>
  <r>
    <d v="2025-11-29T00:00:00"/>
    <x v="10"/>
    <n v="100219"/>
    <x v="0"/>
    <s v="Manuel Zapata"/>
    <s v="TECU2FNG"/>
    <s v="Electric Standing Desk GO Negro"/>
    <n v="1"/>
    <x v="1"/>
    <s v="Antioquia"/>
    <s v="Bello"/>
    <x v="2"/>
    <m/>
    <m/>
    <m/>
    <m/>
    <m/>
    <m/>
    <m/>
    <m/>
    <m/>
    <m/>
  </r>
  <r>
    <d v="2025-11-29T00:00:00"/>
    <x v="10"/>
    <n v="100219"/>
    <x v="0"/>
    <s v="Manuel Zapata"/>
    <s v="TECUTCO2C-60"/>
    <s v="Superficie Escritorio Caramelo 120x60 Clasico Small"/>
    <n v="1"/>
    <x v="2"/>
    <s v="Antioquia"/>
    <s v="Bello"/>
    <x v="2"/>
    <m/>
    <m/>
    <m/>
    <m/>
    <m/>
    <m/>
    <m/>
    <m/>
    <m/>
    <m/>
  </r>
  <r>
    <d v="2025-11-29T00:00:00"/>
    <x v="10"/>
    <n v="100219"/>
    <x v="0"/>
    <s v="Manuel Zapata"/>
    <s v="TECURCO"/>
    <s v="Repisa Caramelo"/>
    <n v="1"/>
    <x v="6"/>
    <s v="Antioquia"/>
    <s v="Bello"/>
    <x v="2"/>
    <m/>
    <m/>
    <m/>
    <m/>
    <m/>
    <m/>
    <m/>
    <m/>
    <m/>
    <m/>
  </r>
  <r>
    <d v="2025-11-29T00:00:00"/>
    <x v="10"/>
    <n v="100219"/>
    <x v="0"/>
    <s v="Manuel Zapata"/>
    <s v="TECUCT"/>
    <s v="Bandeja de cables"/>
    <n v="1"/>
    <x v="0"/>
    <s v="Antioquia"/>
    <s v="Bello"/>
    <x v="2"/>
    <m/>
    <m/>
    <m/>
    <m/>
    <m/>
    <m/>
    <m/>
    <m/>
    <m/>
    <m/>
  </r>
  <r>
    <d v="2025-11-29T00:00:00"/>
    <x v="10"/>
    <n v="100219"/>
    <x v="0"/>
    <s v="Manuel Zapata"/>
    <s v="TECUDSG"/>
    <s v="Desk Stool Gris Silla ajustable"/>
    <n v="1"/>
    <x v="4"/>
    <s v="Antioquia"/>
    <s v="Bello"/>
    <x v="2"/>
    <m/>
    <m/>
    <m/>
    <m/>
    <m/>
    <m/>
    <m/>
    <m/>
    <m/>
    <m/>
  </r>
  <r>
    <d v="2025-11-29T00:00:00"/>
    <x v="10"/>
    <n v="100220"/>
    <x v="0"/>
    <s v="Sebastian Medrano"/>
    <s v="TECU2FNG"/>
    <s v="Electric Standing Desk GO Negro"/>
    <n v="1"/>
    <x v="1"/>
    <s v="Antioquia"/>
    <s v="Medellin"/>
    <x v="2"/>
    <m/>
    <m/>
    <m/>
    <m/>
    <m/>
    <m/>
    <m/>
    <m/>
    <m/>
    <m/>
  </r>
  <r>
    <d v="2025-11-29T00:00:00"/>
    <x v="10"/>
    <n v="100220"/>
    <x v="0"/>
    <s v="Sebastian Medrano"/>
    <s v="TECUTFE2C"/>
    <s v="Superficie  Fresno Europeo 120x70 Clasico Small"/>
    <n v="1"/>
    <x v="2"/>
    <s v="Antioquia"/>
    <s v="Medellin"/>
    <x v="2"/>
    <m/>
    <m/>
    <m/>
    <m/>
    <m/>
    <m/>
    <m/>
    <m/>
    <m/>
    <m/>
  </r>
  <r>
    <d v="2025-11-29T00:00:00"/>
    <x v="10"/>
    <n v="100220"/>
    <x v="0"/>
    <s v="Sebastian Medrano"/>
    <s v="TECUCT"/>
    <s v="Bandeja de cables"/>
    <n v="1"/>
    <x v="0"/>
    <s v="Antioquia"/>
    <s v="Medellin"/>
    <x v="2"/>
    <m/>
    <m/>
    <m/>
    <m/>
    <m/>
    <m/>
    <m/>
    <m/>
    <m/>
    <m/>
  </r>
  <r>
    <d v="2025-11-30T00:00:00"/>
    <x v="10"/>
    <n v="100221"/>
    <x v="0"/>
    <s v="Camilo Ortiz"/>
    <s v="TECU3FBRO"/>
    <s v="Electric Standing Desk  PRO Blanco"/>
    <n v="1"/>
    <x v="1"/>
    <s v="Bogotá y alrededores"/>
    <s v="Bogota"/>
    <x v="2"/>
    <m/>
    <m/>
    <m/>
    <m/>
    <m/>
    <m/>
    <m/>
    <m/>
    <m/>
    <m/>
  </r>
  <r>
    <d v="2025-11-30T00:00:00"/>
    <x v="10"/>
    <n v="100221"/>
    <x v="0"/>
    <s v="Camilo Ortiz"/>
    <s v="TECUTRN2C"/>
    <s v="Superficie  Roble Negro 120x70 Clasico Small"/>
    <n v="1"/>
    <x v="2"/>
    <s v="Bogotá y alrededores"/>
    <s v="Bogota"/>
    <x v="2"/>
    <m/>
    <m/>
    <m/>
    <m/>
    <m/>
    <m/>
    <m/>
    <m/>
    <m/>
    <m/>
  </r>
  <r>
    <d v="2025-11-30T00:00:00"/>
    <x v="10"/>
    <n v="100224"/>
    <x v="0"/>
    <s v="Andres David Varela"/>
    <s v="TECU2FBGO"/>
    <s v="Electric Standing Desk GO Blanco"/>
    <n v="1"/>
    <x v="1"/>
    <s v="Valle del Cauca"/>
    <s v="Palmira"/>
    <x v="2"/>
    <m/>
    <m/>
    <m/>
    <m/>
    <m/>
    <m/>
    <m/>
    <m/>
    <m/>
    <m/>
  </r>
  <r>
    <d v="2025-11-30T00:00:00"/>
    <x v="10"/>
    <n v="100224"/>
    <x v="0"/>
    <s v="Andres David Varela"/>
    <s v="TECUTFE8C"/>
    <s v="Superficie  Fresno Europeo 180x70 Clasico"/>
    <n v="1"/>
    <x v="2"/>
    <s v="Valle del Cauca"/>
    <s v="Palmira"/>
    <x v="2"/>
    <m/>
    <m/>
    <m/>
    <m/>
    <m/>
    <m/>
    <m/>
    <m/>
    <m/>
    <m/>
  </r>
  <r>
    <d v="2025-11-30T00:00:00"/>
    <x v="10"/>
    <n v="100225"/>
    <x v="0"/>
    <s v="Andres Ortiz"/>
    <s v="TECU3FNPRO"/>
    <s v="Electric Standing Desk  PRO Negro"/>
    <n v="1"/>
    <x v="1"/>
    <s v="Valle del Cauca"/>
    <s v="Cali"/>
    <x v="2"/>
    <m/>
    <m/>
    <m/>
    <m/>
    <m/>
    <m/>
    <m/>
    <m/>
    <m/>
    <m/>
  </r>
  <r>
    <d v="2025-11-30T00:00:00"/>
    <x v="10"/>
    <n v="100225"/>
    <x v="0"/>
    <s v="Andres Ortiz"/>
    <s v="TECUTCO8C"/>
    <s v="Superficie  Caramelo 180x70 Clasico"/>
    <n v="1"/>
    <x v="2"/>
    <s v="Valle del Cauca"/>
    <s v="Cali"/>
    <x v="2"/>
    <m/>
    <m/>
    <m/>
    <m/>
    <m/>
    <m/>
    <m/>
    <m/>
    <m/>
    <m/>
  </r>
  <r>
    <d v="2025-11-30T00:00:00"/>
    <x v="10"/>
    <n v="100226"/>
    <x v="0"/>
    <s v="Andres Ortiz"/>
    <s v="TECUCT"/>
    <s v="Bandeja de cables"/>
    <n v="1"/>
    <x v="0"/>
    <s v="Valle del Cauca"/>
    <s v="Cali"/>
    <x v="2"/>
    <m/>
    <m/>
    <m/>
    <m/>
    <m/>
    <m/>
    <m/>
    <m/>
    <m/>
    <m/>
  </r>
  <r>
    <d v="2025-11-30T00:00:00"/>
    <x v="10"/>
    <n v="100226"/>
    <x v="0"/>
    <s v="Andres Ortiz"/>
    <s v="TECU2CBC-65"/>
    <s v="Cajonero 2.0 Bicolor Caramelo x65cm"/>
    <n v="1"/>
    <x v="5"/>
    <s v="Valle del Cauca"/>
    <s v="Cali"/>
    <x v="2"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4">
  <r>
    <d v="2025-01-01T00:00:00"/>
    <x v="0"/>
    <n v="2377"/>
    <x v="0"/>
    <s v="Cata Gómez"/>
    <s v="TECUBDPM"/>
    <x v="0"/>
    <n v="1"/>
    <x v="0"/>
    <s v="Antioquia"/>
    <s v="La estrella"/>
    <s v="Despachado"/>
    <s v="Coordinadora"/>
    <s v="3002937 -84151097246"/>
    <d v="2025-01-07T00:00:00"/>
    <d v="2025-01-08T00:00:00"/>
    <s v="Entregado"/>
    <n v="0"/>
    <n v="1"/>
    <s v="Cumple"/>
    <n v="16617"/>
    <m/>
    <s v="Vacaciones TECU"/>
  </r>
  <r>
    <d v="2025-01-02T00:00:00"/>
    <x v="0"/>
    <n v="2378"/>
    <x v="0"/>
    <s v="Andres felipe Carreño"/>
    <s v="TECUBDPA"/>
    <x v="1"/>
    <n v="1"/>
    <x v="0"/>
    <s v="Bogotá y alrededores"/>
    <s v="Bogota"/>
    <s v="Despachado"/>
    <s v="Coordinadora"/>
    <s v="3002977 -84151097273"/>
    <d v="2025-01-07T00:00:00"/>
    <d v="2025-01-08T00:00:00"/>
    <s v="Entregado"/>
    <n v="0"/>
    <n v="1"/>
    <s v="Cumple"/>
    <n v="16617"/>
    <m/>
    <s v="Vacaciones TECU"/>
  </r>
  <r>
    <d v="2025-01-06T00:00:00"/>
    <x v="0"/>
    <n v="2379"/>
    <x v="0"/>
    <s v="Juan Guevara"/>
    <s v="TECU2FBGO"/>
    <x v="2"/>
    <n v="1"/>
    <x v="1"/>
    <s v="Bogotá y alrededores"/>
    <s v="Bogota"/>
    <s v="Despachado"/>
    <s v="Coordinadora"/>
    <s v="3006333 -84151099203"/>
    <d v="2025-01-08T00:00:00"/>
    <d v="2025-01-10T00:00:00"/>
    <s v="Entregado"/>
    <n v="1"/>
    <n v="3"/>
    <s v="Cumple"/>
    <n v="41593"/>
    <m/>
    <m/>
  </r>
  <r>
    <d v="2025-01-06T00:00:00"/>
    <x v="0"/>
    <n v="2379"/>
    <x v="0"/>
    <s v="Juan Guevara"/>
    <s v="TECUTFE2C"/>
    <x v="3"/>
    <n v="1"/>
    <x v="2"/>
    <s v="Bogotá y alrededores"/>
    <s v="Bogota"/>
    <s v="Despachado"/>
    <s v="Coordinadora"/>
    <s v="3006334 -84151099205"/>
    <d v="2025-01-08T00:00:00"/>
    <d v="2025-01-10T00:00:00"/>
    <s v="Entregado"/>
    <n v="1"/>
    <n v="3"/>
    <s v="Cumple"/>
    <n v="24093"/>
    <m/>
    <m/>
  </r>
  <r>
    <d v="2025-01-06T00:00:00"/>
    <x v="0"/>
    <n v="2379"/>
    <x v="0"/>
    <s v="Juan Guevara"/>
    <s v="TECUCT"/>
    <x v="4"/>
    <n v="1"/>
    <x v="0"/>
    <s v="Bogotá y alrededores"/>
    <s v="Bogota"/>
    <s v="Despachado"/>
    <s v="Coordinadora"/>
    <s v="3006341 -84151099209"/>
    <d v="2025-01-08T00:00:00"/>
    <d v="2025-01-10T00:00:00"/>
    <s v="Entregado"/>
    <n v="1"/>
    <n v="3"/>
    <s v="Cumple"/>
    <n v="24885"/>
    <m/>
    <m/>
  </r>
  <r>
    <d v="2025-01-06T00:00:00"/>
    <x v="0"/>
    <n v="2380"/>
    <x v="0"/>
    <s v="Juan Carlos Urbano"/>
    <s v="TECU2FNG"/>
    <x v="5"/>
    <n v="1"/>
    <x v="1"/>
    <s v="Bogotá y alrededores"/>
    <s v="Bogota"/>
    <s v="Despachado"/>
    <s v="Coordinadora"/>
    <s v="3003131 -84151097381"/>
    <d v="2025-01-07T00:00:00"/>
    <d v="2025-01-08T00:00:00"/>
    <s v="Entregado"/>
    <n v="0"/>
    <n v="1"/>
    <s v="Cumple"/>
    <n v="41593"/>
    <m/>
    <m/>
  </r>
  <r>
    <d v="2025-01-06T00:00:00"/>
    <x v="0"/>
    <n v="2380"/>
    <x v="0"/>
    <s v="Juan Carlos Urbano"/>
    <s v="TECUTCO4C"/>
    <x v="6"/>
    <n v="1"/>
    <x v="2"/>
    <s v="Bogotá y alrededores"/>
    <s v="Bogota"/>
    <s v="Despachado"/>
    <s v="Coordinadora"/>
    <s v="3003134 -84151097383"/>
    <d v="2025-01-07T00:00:00"/>
    <d v="2025-01-09T00:00:00"/>
    <s v="Entregado"/>
    <n v="0"/>
    <n v="2"/>
    <s v="Cumple"/>
    <n v="24093"/>
    <m/>
    <m/>
  </r>
  <r>
    <d v="2025-01-06T00:00:00"/>
    <x v="0"/>
    <n v="2380"/>
    <x v="0"/>
    <s v="Juan Carlos Urbano"/>
    <s v="TECUCT"/>
    <x v="4"/>
    <n v="1"/>
    <x v="0"/>
    <s v="Bogotá y alrededores"/>
    <s v="Bogota"/>
    <s v="Despachado"/>
    <s v="Coordinadora"/>
    <s v="3003144 -84151097390"/>
    <d v="2025-01-07T00:00:00"/>
    <d v="2025-01-09T00:00:00"/>
    <s v="Entregado"/>
    <n v="0"/>
    <n v="2"/>
    <s v="Cumple"/>
    <n v="24885"/>
    <m/>
    <m/>
  </r>
  <r>
    <d v="2025-01-06T00:00:00"/>
    <x v="0"/>
    <n v="2381"/>
    <x v="0"/>
    <s v="Julian Cujabante Villamil"/>
    <s v="TECULFN2"/>
    <x v="7"/>
    <n v="1"/>
    <x v="1"/>
    <s v="Bogotá y alrededores"/>
    <s v="Bogota"/>
    <s v="Despachado"/>
    <s v="Coordinadora"/>
    <s v="3006368 -84151099224"/>
    <d v="2025-01-08T00:00:00"/>
    <d v="2025-01-10T00:00:00"/>
    <s v="Entregado"/>
    <n v="1"/>
    <n v="3"/>
    <s v="Cumple"/>
    <n v="62530"/>
    <m/>
    <m/>
  </r>
  <r>
    <d v="2025-01-06T00:00:00"/>
    <x v="0"/>
    <n v="2381"/>
    <x v="0"/>
    <s v="Julian Cujabante Villamil"/>
    <s v="TECUTLRNS"/>
    <x v="8"/>
    <n v="1"/>
    <x v="2"/>
    <s v="Bogotá y alrededores"/>
    <s v="Bogota"/>
    <s v="Despachado"/>
    <s v="Coordinadora"/>
    <s v="3006370 -84151099227"/>
    <d v="2025-01-08T00:00:00"/>
    <d v="2025-01-10T00:00:00"/>
    <s v="Entregado"/>
    <n v="1"/>
    <n v="3"/>
    <s v="Cumple"/>
    <n v="26749"/>
    <m/>
    <m/>
  </r>
  <r>
    <d v="2025-01-06T00:00:00"/>
    <x v="0"/>
    <n v="2381"/>
    <x v="0"/>
    <s v="Julian Cujabante Villamil"/>
    <s v="TECUCT"/>
    <x v="4"/>
    <n v="1"/>
    <x v="0"/>
    <s v="Bogotá y alrededores"/>
    <s v="Bogota"/>
    <s v="Despachado"/>
    <s v="Coordinadora"/>
    <s v="3006387 -84151099241"/>
    <d v="2025-01-08T00:00:00"/>
    <d v="2025-01-09T00:00:00"/>
    <s v="Entregado"/>
    <n v="1"/>
    <n v="2"/>
    <s v="Cumple"/>
    <n v="24885"/>
    <m/>
    <m/>
  </r>
  <r>
    <d v="2025-01-06T00:00:00"/>
    <x v="0"/>
    <n v="2381"/>
    <x v="0"/>
    <s v="Julian Cujabante Villamil"/>
    <s v="TECUTBANPI"/>
    <x v="9"/>
    <n v="1"/>
    <x v="0"/>
    <s v="Bogotá y alrededores"/>
    <s v="Bogota"/>
    <s v="Despachado"/>
    <s v="Coordinadora"/>
    <s v="3006380 -84151099237"/>
    <d v="2025-01-08T00:00:00"/>
    <d v="2025-01-10T00:00:00"/>
    <s v="Entregado"/>
    <n v="1"/>
    <n v="3"/>
    <s v="Cumple"/>
    <n v="39225"/>
    <m/>
    <m/>
  </r>
  <r>
    <d v="2025-01-06T00:00:00"/>
    <x v="0"/>
    <n v="2381"/>
    <x v="0"/>
    <s v="Julian Cujabante Villamil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1-07T00:00:00"/>
    <x v="0"/>
    <n v="2382"/>
    <x v="0"/>
    <s v="Henry De Alba"/>
    <s v="TECU2FNG"/>
    <x v="5"/>
    <n v="1"/>
    <x v="1"/>
    <s v="Atlantico"/>
    <s v="Barranquilla"/>
    <s v="Despachado"/>
    <s v="Coordinadora"/>
    <s v="3008585 -84151100462"/>
    <d v="2025-01-09T00:00:00"/>
    <d v="2025-01-11T00:00:00"/>
    <s v="Entregado"/>
    <n v="2"/>
    <n v="4"/>
    <s v="Cumple"/>
    <n v="59835"/>
    <m/>
    <m/>
  </r>
  <r>
    <d v="2025-01-07T00:00:00"/>
    <x v="0"/>
    <n v="2382"/>
    <x v="0"/>
    <s v="Henry De Alba"/>
    <s v="TECUTRN2C"/>
    <x v="11"/>
    <n v="1"/>
    <x v="2"/>
    <s v="Atlantico"/>
    <s v="Barranquilla"/>
    <s v="Despachado"/>
    <s v="Coordinadora"/>
    <s v="3008587 -84151100464"/>
    <d v="2025-01-09T00:00:00"/>
    <d v="2025-01-11T00:00:00"/>
    <s v="Entregado"/>
    <n v="2"/>
    <n v="4"/>
    <s v="Cumple"/>
    <n v="39078"/>
    <m/>
    <m/>
  </r>
  <r>
    <d v="2025-01-07T00:00:00"/>
    <x v="0"/>
    <n v="2383"/>
    <x v="0"/>
    <s v="Carlos Andres Polanco Triana"/>
    <s v="TECU3FNPRO"/>
    <x v="12"/>
    <n v="1"/>
    <x v="1"/>
    <s v="Huila"/>
    <s v="Neiva"/>
    <s v="Despachado"/>
    <s v="Coordinadora"/>
    <s v="3008595 -84151100470"/>
    <d v="2025-01-09T00:00:00"/>
    <d v="2025-01-11T00:00:00"/>
    <s v="Entregado"/>
    <n v="2"/>
    <n v="4"/>
    <s v="Cumple"/>
    <n v="62467"/>
    <m/>
    <m/>
  </r>
  <r>
    <d v="2025-01-07T00:00:00"/>
    <x v="0"/>
    <n v="2383"/>
    <x v="0"/>
    <s v="Carlos Andres Polanco Triana"/>
    <s v="TECUTCO4C"/>
    <x v="6"/>
    <n v="1"/>
    <x v="2"/>
    <s v="Huila"/>
    <s v="Neiva"/>
    <s v="Despachado"/>
    <s v="Coordinadora"/>
    <s v="3008596 -84151100471"/>
    <d v="2025-01-09T00:00:00"/>
    <d v="2025-01-11T00:00:00"/>
    <s v="Entregado"/>
    <n v="2"/>
    <n v="4"/>
    <s v="Cumple"/>
    <n v="39078"/>
    <m/>
    <m/>
  </r>
  <r>
    <d v="2025-01-08T00:00:00"/>
    <x v="0"/>
    <n v="2384"/>
    <x v="0"/>
    <s v="Samuel Antonio Cabezas Tibaquicha"/>
    <s v="TECU3FNPRO"/>
    <x v="12"/>
    <n v="1"/>
    <x v="1"/>
    <s v="Bogotá y alrededores"/>
    <s v="Cota"/>
    <s v="Despachado"/>
    <s v="Coordinadora"/>
    <s v="3006418 -84151099260"/>
    <d v="2025-01-08T00:00:00"/>
    <d v="2025-01-09T00:00:00"/>
    <s v="Entregado"/>
    <n v="0"/>
    <n v="1"/>
    <s v="Cumple"/>
    <n v="42921"/>
    <m/>
    <m/>
  </r>
  <r>
    <d v="2025-01-08T00:00:00"/>
    <x v="0"/>
    <n v="2384"/>
    <x v="0"/>
    <s v="Samuel Antonio Cabezas Tibaquicha"/>
    <s v="TECUDSN"/>
    <x v="13"/>
    <n v="1"/>
    <x v="4"/>
    <s v="Bogotá y alrededores"/>
    <s v="Cota"/>
    <s v="Despachado"/>
    <s v="Coordinadora"/>
    <s v="3006424 -84151099263"/>
    <d v="2025-01-08T00:00:00"/>
    <d v="2025-01-09T00:00:00"/>
    <s v="Entregado"/>
    <n v="0"/>
    <n v="1"/>
    <s v="Cumple"/>
    <n v="26609"/>
    <m/>
    <m/>
  </r>
  <r>
    <d v="2025-01-08T00:00:00"/>
    <x v="0"/>
    <n v="2385"/>
    <x v="0"/>
    <s v="Diana Ruiz"/>
    <s v="TECU3FNPRO"/>
    <x v="12"/>
    <n v="1"/>
    <x v="1"/>
    <s v="Bogotá y alrededores"/>
    <s v="Bogota"/>
    <s v="Despachado"/>
    <s v="Coordinadora"/>
    <s v="3009172 -84151100736"/>
    <d v="2025-01-09T00:00:00"/>
    <d v="2025-01-10T00:00:00"/>
    <s v="Entregado"/>
    <n v="1"/>
    <n v="2"/>
    <s v="Cumple"/>
    <n v="42921"/>
    <m/>
    <m/>
  </r>
  <r>
    <d v="2025-01-08T00:00:00"/>
    <x v="0"/>
    <n v="2385"/>
    <x v="0"/>
    <s v="Diana Ruiz"/>
    <s v="TECUTFE4C"/>
    <x v="14"/>
    <n v="1"/>
    <x v="2"/>
    <s v="Bogotá y alrededores"/>
    <s v="Bogota"/>
    <s v="Despachado"/>
    <s v="Coordinadora"/>
    <s v="3009173 -84151100737"/>
    <d v="2025-01-09T00:00:00"/>
    <d v="2025-01-10T00:00:00"/>
    <s v="Entregado"/>
    <n v="1"/>
    <n v="2"/>
    <s v="Cumple"/>
    <n v="24093"/>
    <m/>
    <m/>
  </r>
  <r>
    <d v="2025-01-08T00:00:00"/>
    <x v="0"/>
    <n v="2386"/>
    <x v="0"/>
    <s v="Samuel Vélez Sanín"/>
    <s v="TECU2FNG"/>
    <x v="5"/>
    <n v="1"/>
    <x v="1"/>
    <s v="Antioquia"/>
    <s v="Envigado"/>
    <s v="Despachado"/>
    <s v="Coordinadora"/>
    <s v="3008732 -84151100542"/>
    <d v="2025-01-09T00:00:00"/>
    <d v="2025-01-10T00:00:00"/>
    <s v="Entregado"/>
    <n v="1"/>
    <n v="2"/>
    <s v="Cumple"/>
    <n v="41593"/>
    <m/>
    <m/>
  </r>
  <r>
    <d v="2025-01-08T00:00:00"/>
    <x v="0"/>
    <n v="2386"/>
    <x v="0"/>
    <s v="Samuel Vélez Sanín"/>
    <s v="TECUTFE2C"/>
    <x v="3"/>
    <n v="1"/>
    <x v="2"/>
    <s v="Antioquia"/>
    <s v="Envigado"/>
    <s v="Despachado"/>
    <s v="Coordinadora"/>
    <s v="3008734 -84151100543"/>
    <d v="2025-01-09T00:00:00"/>
    <d v="2025-01-11T00:00:00"/>
    <s v="Entregado"/>
    <n v="1"/>
    <n v="3"/>
    <s v="Cumple"/>
    <n v="24093"/>
    <m/>
    <m/>
  </r>
  <r>
    <d v="2025-01-08T00:00:00"/>
    <x v="0"/>
    <n v="2387"/>
    <x v="0"/>
    <s v="Miguel Saavedra"/>
    <s v="TECUACO"/>
    <x v="15"/>
    <n v="1"/>
    <x v="5"/>
    <s v="Bogotá y alrededores"/>
    <s v="Bogota"/>
    <s v="Despachado"/>
    <s v="Envia"/>
    <s v="3006909 -954101121278"/>
    <d v="2025-01-08T00:00:00"/>
    <d v="2025-01-09T00:00:00"/>
    <s v="Entregado"/>
    <n v="0"/>
    <n v="1"/>
    <s v="Cumple"/>
    <n v="70717"/>
    <m/>
    <m/>
  </r>
  <r>
    <d v="2025-01-09T00:00:00"/>
    <x v="0"/>
    <n v="2388"/>
    <x v="0"/>
    <s v="CAROLINA RAMIREZ RESTREPO"/>
    <s v="TECU2FNG"/>
    <x v="5"/>
    <n v="1"/>
    <x v="1"/>
    <s v="Antioquia"/>
    <s v="Carmen de Viboral"/>
    <s v="Despachado"/>
    <s v="Coordinadora"/>
    <s v="3008988 -84151100690"/>
    <d v="2025-01-09T00:00:00"/>
    <d v="2025-01-24T00:00:00"/>
    <s v="Entregado"/>
    <n v="0"/>
    <n v="13"/>
    <s v="No cumple"/>
    <n v="112444"/>
    <m/>
    <s v="Novedad - Se envia a oto pueblo por error en Shopify generar guias // se solicita devolucion a la bodega"/>
  </r>
  <r>
    <d v="2025-01-09T00:00:00"/>
    <x v="0"/>
    <n v="2388"/>
    <x v="0"/>
    <s v="CAROLINA RAMIREZ RESTREPO"/>
    <s v="TECUTCO6C"/>
    <x v="16"/>
    <n v="1"/>
    <x v="2"/>
    <s v="Antioquia"/>
    <s v="Carmen de Viboral"/>
    <s v="Despachado"/>
    <s v="Coordinadora"/>
    <s v="3008990 -84151100691"/>
    <d v="2025-01-09T00:00:00"/>
    <d v="2025-01-24T00:00:00"/>
    <s v="Entregado"/>
    <n v="0"/>
    <n v="13"/>
    <s v="No cumple"/>
    <n v="98264"/>
    <m/>
    <s v="Novedad - Se envia a oto pueblo por error en Shopify generar guias // se solicita devolucion a la bodega"/>
  </r>
  <r>
    <d v="2025-01-09T00:00:00"/>
    <x v="0"/>
    <n v="2389"/>
    <x v="0"/>
    <s v="Alexander Gomez Chaparro"/>
    <s v="TECULFN2"/>
    <x v="7"/>
    <n v="1"/>
    <x v="1"/>
    <s v="Boyaca"/>
    <s v="Tunja"/>
    <s v="Despachado"/>
    <s v="Coordinadora"/>
    <s v="3011856 -84151101651"/>
    <d v="2025-01-10T00:00:00"/>
    <d v="2025-01-13T00:00:00"/>
    <s v="Entregado"/>
    <n v="1"/>
    <n v="3"/>
    <s v="Cumple"/>
    <n v="96409"/>
    <m/>
    <m/>
  </r>
  <r>
    <d v="2025-01-09T00:00:00"/>
    <x v="0"/>
    <n v="2389"/>
    <x v="0"/>
    <s v="Alexander Gomez Chaparro"/>
    <s v="TECUTLNS"/>
    <x v="17"/>
    <n v="1"/>
    <x v="2"/>
    <s v="Boyaca"/>
    <s v="Tunja"/>
    <s v="Despachado"/>
    <s v="Coordinadora"/>
    <s v="3011858 -84151101652"/>
    <d v="2025-01-10T00:00:00"/>
    <d v="2025-01-13T00:00:00"/>
    <s v="Entregado"/>
    <n v="1"/>
    <n v="3"/>
    <s v="Cumple"/>
    <n v="44340"/>
    <m/>
    <m/>
  </r>
  <r>
    <d v="2025-01-09T00:00:00"/>
    <x v="0"/>
    <n v="2390"/>
    <x v="0"/>
    <s v="Alexander Gomez Chaparro"/>
    <s v="TECUCT"/>
    <x v="4"/>
    <n v="1"/>
    <x v="0"/>
    <s v="Boyaca"/>
    <s v="Tunja"/>
    <s v="Despachado"/>
    <s v="Coordinadora"/>
    <s v="3011897 -84151101678"/>
    <d v="2025-01-10T00:00:00"/>
    <d v="2025-01-13T00:00:00"/>
    <s v="Entregado"/>
    <n v="1"/>
    <n v="3"/>
    <s v="Cumple"/>
    <m/>
    <m/>
    <m/>
  </r>
  <r>
    <d v="2025-01-09T00:00:00"/>
    <x v="0"/>
    <n v="2390"/>
    <x v="0"/>
    <s v="Alexander Gomez Chaparro"/>
    <s v="TECUBDPA"/>
    <x v="1"/>
    <n v="1"/>
    <x v="0"/>
    <s v="Boyaca"/>
    <s v="Tunja"/>
    <s v="Despachado"/>
    <s v="Coordinadora"/>
    <s v="3011889 -84151101671"/>
    <d v="2025-01-10T00:00:00"/>
    <d v="2025-01-13T00:00:00"/>
    <s v="Entregado"/>
    <n v="1"/>
    <n v="3"/>
    <s v="Cumple"/>
    <n v="16617"/>
    <m/>
    <m/>
  </r>
  <r>
    <d v="2025-01-09T00:00:00"/>
    <x v="0"/>
    <n v="2390"/>
    <x v="0"/>
    <s v="Alexander Gomez Chaparro"/>
    <s v="TECUDSN"/>
    <x v="13"/>
    <n v="1"/>
    <x v="4"/>
    <s v="Boyaca"/>
    <s v="Tunja"/>
    <s v="Despachado"/>
    <s v="Coordinadora"/>
    <s v="3011879 -84151101661"/>
    <d v="2025-01-10T00:00:00"/>
    <d v="2025-01-13T00:00:00"/>
    <s v="Entregado"/>
    <n v="1"/>
    <n v="3"/>
    <s v="Cumple"/>
    <n v="40942"/>
    <m/>
    <m/>
  </r>
  <r>
    <d v="2025-01-09T00:00:00"/>
    <x v="0"/>
    <n v="2390"/>
    <x v="0"/>
    <s v="Alexander Gomez Chaparro"/>
    <s v="TECURN"/>
    <x v="18"/>
    <n v="1"/>
    <x v="6"/>
    <s v="Boyaca"/>
    <s v="Tunja"/>
    <s v="Despachado"/>
    <s v="Coordinadora"/>
    <s v="NA"/>
    <d v="2025-01-10T00:00:00"/>
    <d v="2025-01-13T00:00:00"/>
    <s v="Entregado"/>
    <n v="1"/>
    <n v="3"/>
    <s v="Cumple"/>
    <m/>
    <m/>
    <m/>
  </r>
  <r>
    <d v="2025-01-09T00:00:00"/>
    <x v="0"/>
    <n v="2391"/>
    <x v="0"/>
    <s v="Alexander Gomez Chaparro"/>
    <s v="TECUCT"/>
    <x v="4"/>
    <n v="1"/>
    <x v="0"/>
    <s v="Boyaca"/>
    <s v="Tunja"/>
    <s v="Despachado"/>
    <s v="Coordinadora"/>
    <s v="3011897 -84151101678"/>
    <d v="2025-01-10T00:00:00"/>
    <d v="2025-01-13T00:00:00"/>
    <s v="Entregado"/>
    <n v="1"/>
    <n v="3"/>
    <s v="Cumple"/>
    <n v="24885"/>
    <m/>
    <m/>
  </r>
  <r>
    <d v="2025-01-10T00:00:00"/>
    <x v="0"/>
    <n v="2392"/>
    <x v="0"/>
    <s v="David Cadavid"/>
    <s v="TECU3FNPRO"/>
    <x v="12"/>
    <n v="1"/>
    <x v="1"/>
    <s v="Antioquia"/>
    <s v="Envigado"/>
    <s v="Despachado"/>
    <s v="Coordinadora"/>
    <s v="3015845 -84151103419"/>
    <d v="2025-01-13T16:47:27"/>
    <d v="2025-01-14T15:27:49"/>
    <s v="Entregado"/>
    <n v="2"/>
    <n v="3"/>
    <s v="Cumple"/>
    <n v="42921"/>
    <m/>
    <m/>
  </r>
  <r>
    <d v="2025-01-10T00:00:00"/>
    <x v="0"/>
    <n v="2392"/>
    <x v="0"/>
    <s v="David Cadavid"/>
    <s v="TECUTCO8C"/>
    <x v="19"/>
    <n v="1"/>
    <x v="2"/>
    <s v="Antioquia"/>
    <s v="Envigado"/>
    <s v="Despachado"/>
    <s v="Coordinadora"/>
    <s v="3015847 -84151103420"/>
    <d v="2025-01-13T16:48:27"/>
    <d v="2025-01-14T15:27:49"/>
    <s v="Entregado"/>
    <n v="2"/>
    <n v="3"/>
    <s v="Cumple"/>
    <n v="26749"/>
    <m/>
    <m/>
  </r>
  <r>
    <d v="2025-01-10T00:00:00"/>
    <x v="0"/>
    <n v="2392"/>
    <x v="0"/>
    <s v="David Cadavid"/>
    <s v="TECUCT"/>
    <x v="4"/>
    <n v="1"/>
    <x v="0"/>
    <s v="Antioquia"/>
    <s v="Envigado"/>
    <s v="Despachado"/>
    <s v="Coordinadora"/>
    <s v="3015858 -84151103425"/>
    <d v="2025-01-13T16:47:27"/>
    <d v="2025-01-14T15:27:49"/>
    <s v="Entregado"/>
    <n v="2"/>
    <n v="3"/>
    <s v="Cumple"/>
    <n v="24885"/>
    <m/>
    <m/>
  </r>
  <r>
    <d v="2025-01-11T00:00:00"/>
    <x v="0"/>
    <n v="2393"/>
    <x v="0"/>
    <s v="Santiago Garzon Diaz"/>
    <s v="TECU2FNG"/>
    <x v="5"/>
    <n v="1"/>
    <x v="1"/>
    <s v="Antioquia"/>
    <s v="Medellin"/>
    <s v="Despachado"/>
    <s v="Coordinadora"/>
    <s v="3015877 -84151103435"/>
    <d v="2025-01-13T16:47:27"/>
    <d v="2025-01-14T09:51:51"/>
    <s v="Entregado"/>
    <n v="1"/>
    <n v="2"/>
    <s v="Cumple"/>
    <n v="41593"/>
    <m/>
    <m/>
  </r>
  <r>
    <d v="2025-01-11T00:00:00"/>
    <x v="0"/>
    <n v="2393"/>
    <x v="0"/>
    <s v="Santiago Garzon Diaz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1-12T00:00:00"/>
    <x v="0"/>
    <n v="2394"/>
    <x v="0"/>
    <s v="Julian Cajiao"/>
    <s v="TECU3FNPRO"/>
    <x v="12"/>
    <n v="1"/>
    <x v="1"/>
    <s v="Antioquia"/>
    <s v="Medellin"/>
    <s v="Despachado"/>
    <s v="Coordinadora"/>
    <s v="3015893 -84151103439"/>
    <d v="2025-01-13T16:47:27"/>
    <d v="2025-01-14T11:27:21"/>
    <s v="Entregado"/>
    <n v="0"/>
    <n v="1"/>
    <s v="Cumple"/>
    <n v="42921"/>
    <m/>
    <m/>
  </r>
  <r>
    <d v="2025-01-12T00:00:00"/>
    <x v="0"/>
    <n v="2394"/>
    <x v="0"/>
    <s v="Julian Cajiao"/>
    <s v="TECUTRN6C"/>
    <x v="20"/>
    <n v="1"/>
    <x v="2"/>
    <s v="Antioquia"/>
    <s v="Medellin"/>
    <s v="Despachado"/>
    <s v="Coordinadora"/>
    <s v="3015895 -84151103441"/>
    <d v="2025-01-13T16:48:27"/>
    <d v="2025-01-14T11:27:21"/>
    <s v="Entregado"/>
    <n v="0"/>
    <n v="1"/>
    <s v="Cumple"/>
    <n v="24093"/>
    <m/>
    <m/>
  </r>
  <r>
    <d v="2025-01-12T00:00:00"/>
    <x v="0"/>
    <n v="2394"/>
    <x v="0"/>
    <s v="Julian Cajiao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1-13T00:00:00"/>
    <x v="0"/>
    <n v="2395"/>
    <x v="0"/>
    <s v="Lucas Latorre"/>
    <s v="TECU3FNPRO"/>
    <x v="12"/>
    <n v="1"/>
    <x v="1"/>
    <s v="Santander"/>
    <s v="Bucaramanga"/>
    <s v="Despachado"/>
    <s v="Coordinadora"/>
    <s v="3017031 -84151104118"/>
    <d v="2025-01-13T16:47:27"/>
    <d v="2025-01-15T17:17:03"/>
    <s v="Entregado"/>
    <n v="0"/>
    <n v="2"/>
    <s v="Cumple"/>
    <n v="56077"/>
    <m/>
    <m/>
  </r>
  <r>
    <d v="2025-01-13T00:00:00"/>
    <x v="0"/>
    <n v="2395"/>
    <x v="0"/>
    <s v="Lucas Latorre"/>
    <s v="TECUTFE8C"/>
    <x v="21"/>
    <n v="1"/>
    <x v="2"/>
    <s v="Santander"/>
    <s v="Bucaramanga"/>
    <s v="Despachado"/>
    <s v="Coordinadora"/>
    <s v="3017033 -84151104119"/>
    <d v="2025-01-13T16:48:27"/>
    <d v="2025-01-15T17:17:03"/>
    <s v="Entregado"/>
    <n v="0"/>
    <n v="2"/>
    <s v="Cumple"/>
    <n v="38589"/>
    <m/>
    <m/>
  </r>
  <r>
    <d v="2025-01-13T00:00:00"/>
    <x v="0"/>
    <n v="2396"/>
    <x v="0"/>
    <s v="FELIPE CASTAÑO"/>
    <s v="TECU3FNPRO"/>
    <x v="12"/>
    <n v="1"/>
    <x v="1"/>
    <s v="Antioquia"/>
    <s v="Envigado"/>
    <s v="Despachado"/>
    <s v="Coordinadora"/>
    <s v="3018831 -84151104925"/>
    <d v="2025-01-14T15:58:05"/>
    <d v="2025-01-15T10:33:56"/>
    <s v="Entregado"/>
    <n v="1"/>
    <n v="2"/>
    <s v="Cumple"/>
    <n v="42921"/>
    <m/>
    <m/>
  </r>
  <r>
    <d v="2025-01-13T00:00:00"/>
    <x v="0"/>
    <n v="2396"/>
    <x v="0"/>
    <s v="FELIPE CASTAÑO"/>
    <s v="TECUTCO6C"/>
    <x v="16"/>
    <n v="1"/>
    <x v="2"/>
    <s v="Antioquia"/>
    <s v="Envigado"/>
    <s v="Despachado"/>
    <s v="Coordinadora"/>
    <s v="3018833 -84151104926"/>
    <d v="2025-01-14T15:58:05"/>
    <d v="2025-01-15T10:33:56"/>
    <s v="Entregado"/>
    <n v="1"/>
    <n v="2"/>
    <s v="Cumple"/>
    <n v="24093"/>
    <m/>
    <m/>
  </r>
  <r>
    <d v="2025-01-13T00:00:00"/>
    <x v="0"/>
    <n v="2396"/>
    <x v="0"/>
    <s v="FELIPE CASTAÑO"/>
    <s v="TECUDSN"/>
    <x v="13"/>
    <n v="1"/>
    <x v="4"/>
    <s v="Antioquia"/>
    <s v="Envigado"/>
    <s v="Despachado"/>
    <s v="Coordinadora"/>
    <s v="3018855 -84151104940"/>
    <d v="2025-01-14T15:58:05"/>
    <d v="2025-01-15T10:33:56"/>
    <s v="Entregado"/>
    <n v="1"/>
    <n v="2"/>
    <s v="Cumple"/>
    <n v="26609"/>
    <m/>
    <m/>
  </r>
  <r>
    <d v="2025-01-13T00:00:00"/>
    <x v="0"/>
    <n v="2396"/>
    <x v="0"/>
    <s v="FELIPE CASTAÑO"/>
    <m/>
    <x v="10"/>
    <n v="1"/>
    <x v="3"/>
    <s v="Antioquia"/>
    <s v="Envigado"/>
    <s v="Instalacion"/>
    <s v="NA"/>
    <s v="NA"/>
    <s v="NA"/>
    <s v="NA"/>
    <s v="Entregado"/>
    <s v="PTE"/>
    <e v="#VALUE!"/>
    <e v="#VALUE!"/>
    <n v="0"/>
    <m/>
    <m/>
  </r>
  <r>
    <d v="2025-01-14T00:00:00"/>
    <x v="0"/>
    <n v="2397"/>
    <x v="0"/>
    <s v="Andres Felipe Parra Rojas"/>
    <s v="TECU2FNG"/>
    <x v="5"/>
    <n v="1"/>
    <x v="1"/>
    <s v="Bogotá y alrededores"/>
    <s v="Bogota"/>
    <s v="Despachado"/>
    <s v="Coordinadora"/>
    <s v="3023657 -84151107102"/>
    <d v="2025-01-16T16:40:11"/>
    <d v="2025-01-17T16:21:03"/>
    <s v="Entregado"/>
    <n v="2"/>
    <n v="3"/>
    <s v="Cumple"/>
    <n v="41593"/>
    <m/>
    <m/>
  </r>
  <r>
    <d v="2025-01-14T00:00:00"/>
    <x v="0"/>
    <n v="2397"/>
    <x v="0"/>
    <s v="Andres Felipe Parra Rojas"/>
    <s v="TECUTRN5C"/>
    <x v="22"/>
    <n v="1"/>
    <x v="2"/>
    <s v="Bogotá y alrededores"/>
    <s v="Bogota"/>
    <s v="Despachado"/>
    <s v="Coordinadora"/>
    <s v="3023658 -84151107103"/>
    <d v="2025-01-16T16:41:19"/>
    <d v="2025-01-18T14:05:19"/>
    <s v="Entregado"/>
    <n v="2"/>
    <n v="4"/>
    <s v="No cumple"/>
    <n v="24093"/>
    <m/>
    <m/>
  </r>
  <r>
    <d v="2025-01-16T00:00:00"/>
    <x v="0"/>
    <n v="2398"/>
    <x v="0"/>
    <s v="Juan David Martínez Gordillo"/>
    <s v="TECU2FNG"/>
    <x v="5"/>
    <n v="1"/>
    <x v="1"/>
    <s v="Bogotá y alrededores"/>
    <s v="Bogota"/>
    <s v="Despachado"/>
    <s v="Coordinadora"/>
    <s v="3023776 -84151107161"/>
    <d v="2025-01-16T16:40:11"/>
    <d v="2025-01-18T13:27:15"/>
    <s v="Entregado"/>
    <n v="0"/>
    <n v="2"/>
    <s v="Cumple"/>
    <n v="41593"/>
    <m/>
    <m/>
  </r>
  <r>
    <d v="2025-01-16T00:00:00"/>
    <x v="0"/>
    <n v="2398"/>
    <x v="0"/>
    <s v="Juan David Martínez Gordillo"/>
    <s v="TECUTCO3C"/>
    <x v="23"/>
    <n v="1"/>
    <x v="2"/>
    <s v="Bogotá y alrededores"/>
    <s v="Bogota"/>
    <s v="Despachado"/>
    <s v="Coordinadora"/>
    <s v="3023777 -84151107162"/>
    <d v="2025-01-16T16:41:19"/>
    <d v="2025-01-20T14:33:10"/>
    <s v="Entregado"/>
    <n v="0"/>
    <n v="3"/>
    <s v="Cumple"/>
    <n v="24093"/>
    <m/>
    <m/>
  </r>
  <r>
    <d v="2025-01-16T00:00:00"/>
    <x v="0"/>
    <n v="2399"/>
    <x v="0"/>
    <s v="Stefan de Brandt"/>
    <s v="TECU3FNPRO"/>
    <x v="12"/>
    <n v="1"/>
    <x v="1"/>
    <s v="Antioquia"/>
    <s v="Envigado"/>
    <s v="Despachado"/>
    <s v="Coordinadora"/>
    <s v="3023834 -84151107192"/>
    <d v="2025-01-16T16:40:11"/>
    <d v="2025-01-17T17:50:22"/>
    <s v="Entregado"/>
    <n v="0"/>
    <n v="1"/>
    <s v="Cumple"/>
    <n v="42921"/>
    <m/>
    <m/>
  </r>
  <r>
    <d v="2025-01-16T00:00:00"/>
    <x v="0"/>
    <n v="2399"/>
    <x v="0"/>
    <s v="Stefan de Brandt"/>
    <s v="TECUTCO6M"/>
    <x v="24"/>
    <n v="1"/>
    <x v="2"/>
    <s v="Antioquia"/>
    <s v="Envigado"/>
    <s v="Despachado"/>
    <s v="Coordinadora"/>
    <s v="3023835 -84151107193"/>
    <d v="2025-01-16T16:41:19"/>
    <d v="2025-01-17T17:50:22"/>
    <s v="Entregado"/>
    <n v="0"/>
    <n v="1"/>
    <s v="Cumple"/>
    <n v="24093"/>
    <m/>
    <m/>
  </r>
  <r>
    <d v="2025-01-16T00:00:00"/>
    <x v="0"/>
    <n v="2399"/>
    <x v="0"/>
    <s v="Stefan de Brandt"/>
    <m/>
    <x v="10"/>
    <n v="1"/>
    <x v="3"/>
    <s v="Antioquia"/>
    <s v="Envigado"/>
    <s v="Instalacion"/>
    <s v="NA"/>
    <s v="NA"/>
    <s v="NA"/>
    <s v="NA"/>
    <s v="Entregado"/>
    <s v="PTE"/>
    <e v="#VALUE!"/>
    <e v="#VALUE!"/>
    <n v="0"/>
    <m/>
    <m/>
  </r>
  <r>
    <d v="2025-01-16T00:00:00"/>
    <x v="0"/>
    <n v="2400"/>
    <x v="0"/>
    <s v="Julian Cujabante Villamil"/>
    <s v="TECUROD6"/>
    <x v="25"/>
    <n v="1"/>
    <x v="7"/>
    <s v="Bogotá y alrededores"/>
    <s v="Bogota"/>
    <s v="Despachado"/>
    <s v="Coordinadora"/>
    <s v="3026040 -84151108154"/>
    <d v="2025-01-17T15:07:22"/>
    <d v="2025-01-20T12:41:03"/>
    <s v="Entregado"/>
    <n v="1"/>
    <n v="3"/>
    <s v="Cumple"/>
    <n v="23875"/>
    <m/>
    <m/>
  </r>
  <r>
    <d v="2025-01-16T00:00:00"/>
    <x v="0"/>
    <n v="2400"/>
    <x v="0"/>
    <s v="Julian Cujabante Villamil"/>
    <s v="TECUBDPA"/>
    <x v="1"/>
    <n v="1"/>
    <x v="0"/>
    <s v="Bogotá y alrededores"/>
    <s v="Bogota"/>
    <s v="Despachado"/>
    <s v="Coordinadora"/>
    <s v="3026035 -84151108151"/>
    <d v="2025-01-17T15:07:22"/>
    <d v="2025-01-20T12:41:03"/>
    <s v="Entregado"/>
    <n v="1"/>
    <n v="3"/>
    <s v="Cumple"/>
    <n v="16617"/>
    <m/>
    <m/>
  </r>
  <r>
    <d v="2025-01-16T00:00:00"/>
    <x v="0"/>
    <n v="2400"/>
    <x v="0"/>
    <s v="Julian Cujabante Villamil"/>
    <s v="TECURN"/>
    <x v="18"/>
    <n v="1"/>
    <x v="6"/>
    <s v="Bogotá y alrededores"/>
    <s v="Bogota"/>
    <s v="Despachado"/>
    <s v="Coordinadora"/>
    <s v="3026126 -84151108195"/>
    <d v="2025-01-17T15:07:22"/>
    <d v="2025-01-20T12:41:03"/>
    <s v="Entregado"/>
    <n v="1"/>
    <n v="3"/>
    <s v="Cumple"/>
    <n v="23429"/>
    <m/>
    <m/>
  </r>
  <r>
    <d v="2025-01-16T00:00:00"/>
    <x v="0"/>
    <n v="2400"/>
    <x v="0"/>
    <s v="Julian Cujabante Villamil"/>
    <m/>
    <x v="10"/>
    <n v="1"/>
    <x v="3"/>
    <s v="Bogotá y alrededores"/>
    <s v="Bogota"/>
    <s v="Instalacion"/>
    <s v="NA"/>
    <s v="NA"/>
    <d v="2025-01-21T00:00:00"/>
    <d v="2025-01-21T00:00:00"/>
    <s v="Entregado"/>
    <s v="PTE"/>
    <n v="4"/>
    <s v="No cumple"/>
    <n v="0"/>
    <m/>
    <m/>
  </r>
  <r>
    <d v="2025-01-16T00:00:00"/>
    <x v="0"/>
    <n v="2401"/>
    <x v="0"/>
    <s v="Julian Cujabante Villamil"/>
    <s v="TECUAN"/>
    <x v="26"/>
    <n v="1"/>
    <x v="5"/>
    <s v="Bogotá y alrededores"/>
    <s v="Bogota"/>
    <s v="Despachado"/>
    <s v="Envia"/>
    <s v="3026752 -954101129148"/>
    <d v="2025-01-17T15:51:00"/>
    <d v="2025-01-18T11:58:00"/>
    <s v="Entregado"/>
    <n v="1"/>
    <n v="2"/>
    <s v="Cumple"/>
    <n v="70717"/>
    <m/>
    <m/>
  </r>
  <r>
    <d v="2025-01-17T00:00:00"/>
    <x v="0"/>
    <n v="2402"/>
    <x v="0"/>
    <s v="Catalina Alvarado"/>
    <s v="TECU2FNG"/>
    <x v="5"/>
    <n v="1"/>
    <x v="1"/>
    <s v="Bogotá y alrededores"/>
    <s v="Bogota"/>
    <s v="Despachado"/>
    <s v="Coordinadora"/>
    <s v="3026634 -84151108514"/>
    <d v="2025-01-17T15:07:22"/>
    <d v="2025-01-20T11:09:20"/>
    <s v="Entregado"/>
    <n v="0"/>
    <n v="2"/>
    <s v="Cumple"/>
    <n v="41593"/>
    <m/>
    <m/>
  </r>
  <r>
    <d v="2025-01-17T00:00:00"/>
    <x v="0"/>
    <n v="2402"/>
    <x v="0"/>
    <s v="Catalina Alvarado"/>
    <s v="TECUTFE2C"/>
    <x v="3"/>
    <n v="1"/>
    <x v="2"/>
    <s v="Bogotá y alrededores"/>
    <s v="Bogota"/>
    <s v="Despachado"/>
    <s v="Coordinadora"/>
    <s v="3026635 -84151108515"/>
    <d v="2025-01-17T15:07:22"/>
    <d v="2025-01-20T11:07:59"/>
    <s v="Entregado"/>
    <n v="0"/>
    <n v="2"/>
    <s v="Cumple"/>
    <n v="24093"/>
    <m/>
    <m/>
  </r>
  <r>
    <d v="2025-01-17T00:00:00"/>
    <x v="0"/>
    <n v="2403"/>
    <x v="0"/>
    <s v="Alexandra Martínez Ruiz"/>
    <s v="TECU3FNPRO"/>
    <x v="12"/>
    <n v="1"/>
    <x v="1"/>
    <s v="Bogotá y alrededores"/>
    <s v="Bogota"/>
    <s v="Despachado"/>
    <s v="Coordinadora"/>
    <s v="3030945 -84151109872"/>
    <d v="2025-01-20T16:52:51"/>
    <d v="2025-01-22T00:00:00"/>
    <s v="Entregado"/>
    <n v="2"/>
    <n v="4"/>
    <s v="No cumple"/>
    <n v="42921"/>
    <m/>
    <m/>
  </r>
  <r>
    <d v="2025-01-17T00:00:00"/>
    <x v="0"/>
    <n v="2403"/>
    <x v="0"/>
    <s v="Alexandra Martínez Ruiz"/>
    <s v="TECUTFE2C"/>
    <x v="3"/>
    <n v="1"/>
    <x v="2"/>
    <s v="Bogotá y alrededores"/>
    <s v="Bogota"/>
    <s v="Despachado"/>
    <s v="Coordinadora"/>
    <s v="3030946 -84151109873"/>
    <d v="2025-01-20T16:52:51"/>
    <d v="2025-01-21T15:36:08"/>
    <s v="Entregado"/>
    <n v="2"/>
    <n v="3"/>
    <s v="Cumple"/>
    <n v="28741"/>
    <m/>
    <m/>
  </r>
  <r>
    <d v="2025-01-17T00:00:00"/>
    <x v="0"/>
    <n v="2403"/>
    <x v="0"/>
    <s v="Alexandra Martínez Ruiz"/>
    <m/>
    <x v="10"/>
    <n v="1"/>
    <x v="3"/>
    <s v="Bogotá y alrededores"/>
    <s v="Bogota"/>
    <s v="Instalacion"/>
    <s v="NA"/>
    <s v="NA"/>
    <d v="2025-01-23T00:00:00"/>
    <s v="NA"/>
    <s v="Entregado"/>
    <s v="PTE"/>
    <e v="#VALUE!"/>
    <e v="#VALUE!"/>
    <n v="0"/>
    <m/>
    <m/>
  </r>
  <r>
    <d v="2025-01-18T00:00:00"/>
    <x v="0"/>
    <n v="2404"/>
    <x v="0"/>
    <s v="Juan Camilo Acosta Escobar"/>
    <s v="TECU3FNPRO"/>
    <x v="12"/>
    <n v="1"/>
    <x v="1"/>
    <s v="Antioquia"/>
    <s v="El Retiro"/>
    <s v="Despachado"/>
    <s v="Coordinadora"/>
    <s v="3030968 -84151109880"/>
    <d v="2025-01-20T16:52:51"/>
    <d v="2025-01-22T14:11:06"/>
    <s v="Entregado"/>
    <n v="1"/>
    <n v="3"/>
    <s v="Cumple"/>
    <n v="42921"/>
    <m/>
    <m/>
  </r>
  <r>
    <d v="2025-01-18T00:00:00"/>
    <x v="0"/>
    <n v="2404"/>
    <x v="0"/>
    <s v="Juan Camilo Acosta Escobar"/>
    <s v="TECUTRM5C"/>
    <x v="27"/>
    <n v="1"/>
    <x v="2"/>
    <s v="Antioquia"/>
    <s v="El Retiro"/>
    <s v="Despachado"/>
    <s v="Coordinadora"/>
    <s v="3030970 -84151109882"/>
    <d v="2025-01-20T16:52:51"/>
    <d v="2025-01-22T14:11:06"/>
    <s v="Entregado"/>
    <n v="1"/>
    <n v="3"/>
    <s v="Cumple"/>
    <n v="24593"/>
    <m/>
    <m/>
  </r>
  <r>
    <d v="2025-01-18T00:00:00"/>
    <x v="0"/>
    <n v="2404"/>
    <x v="0"/>
    <s v="Juan Camilo Acosta Escobar"/>
    <s v="TECUCT"/>
    <x v="4"/>
    <n v="1"/>
    <x v="0"/>
    <s v="Antioquia"/>
    <s v="El Retiro"/>
    <s v="Despachado"/>
    <s v="Coordinadora"/>
    <s v="3031428 -84151110138"/>
    <d v="2025-01-20T16:52:51"/>
    <d v="2025-01-22T14:11:06"/>
    <s v="Entregado"/>
    <n v="1"/>
    <n v="3"/>
    <s v="Cumple"/>
    <n v="24885"/>
    <m/>
    <m/>
  </r>
  <r>
    <d v="2025-01-18T00:00:00"/>
    <x v="0"/>
    <n v="2405"/>
    <x v="0"/>
    <s v="Stefan de Brandt"/>
    <s v="TECUCT"/>
    <x v="4"/>
    <n v="1"/>
    <x v="0"/>
    <s v="Antioquia"/>
    <s v="Envigado"/>
    <s v="Despachado"/>
    <s v="Coordinadora"/>
    <s v="3031190 -84151110013"/>
    <d v="2025-01-20T16:52:51"/>
    <d v="2025-01-21T13:04:29"/>
    <s v="Entregado"/>
    <n v="1"/>
    <n v="2"/>
    <s v="Cumple"/>
    <n v="24885"/>
    <m/>
    <m/>
  </r>
  <r>
    <d v="2025-01-20T00:00:00"/>
    <x v="0"/>
    <n v="2406"/>
    <x v="0"/>
    <s v="MARIA RODRIGUEZ"/>
    <s v="TECU2FBGO"/>
    <x v="2"/>
    <n v="1"/>
    <x v="1"/>
    <s v="Valle del Cauca"/>
    <s v="Jamundi"/>
    <s v="Despachado"/>
    <s v="Coordinadora"/>
    <s v="3034128 -84151111334"/>
    <d v="2025-01-21T17:11:07"/>
    <d v="2025-01-22T00:00:00"/>
    <s v="Entregado"/>
    <n v="1"/>
    <n v="2"/>
    <e v="#N/A"/>
    <n v="41593"/>
    <m/>
    <m/>
  </r>
  <r>
    <d v="2025-01-20T00:00:00"/>
    <x v="0"/>
    <n v="2406"/>
    <x v="0"/>
    <s v="MARIA RODRIGUEZ"/>
    <s v="TECUTFE6C"/>
    <x v="28"/>
    <n v="1"/>
    <x v="2"/>
    <s v="Valle del Cauca"/>
    <s v="Jamundi"/>
    <s v="Despachado"/>
    <s v="Coordinadora"/>
    <s v="3034129 -84151111335"/>
    <d v="2025-01-21T17:11:07"/>
    <d v="2025-01-22T00:00:00"/>
    <s v="Entregado"/>
    <n v="1"/>
    <n v="2"/>
    <e v="#N/A"/>
    <n v="24093"/>
    <m/>
    <m/>
  </r>
  <r>
    <d v="2025-01-21T00:00:00"/>
    <x v="0"/>
    <n v="2407"/>
    <x v="0"/>
    <s v="Juan Camilo Restrepo"/>
    <s v="TECU2FNG"/>
    <x v="5"/>
    <n v="1"/>
    <x v="1"/>
    <s v="Bogotá y alrededores"/>
    <s v="Bogota"/>
    <s v="Despachado"/>
    <s v="Coordinadora"/>
    <s v="3034103 -84151111318"/>
    <d v="2025-01-21T17:11:07"/>
    <d v="2025-01-22T00:00:00"/>
    <s v="Entregado"/>
    <n v="0"/>
    <n v="1"/>
    <s v="Cumple"/>
    <n v="41593"/>
    <m/>
    <m/>
  </r>
  <r>
    <d v="2025-01-21T00:00:00"/>
    <x v="0"/>
    <n v="2407"/>
    <x v="0"/>
    <s v="Juan Camilo Restrepo"/>
    <s v="TECUTFE5C"/>
    <x v="29"/>
    <n v="1"/>
    <x v="2"/>
    <s v="Bogotá y alrededores"/>
    <s v="Bogota"/>
    <s v="Despachado"/>
    <s v="Coordinadora"/>
    <s v="3034104 -84151111319"/>
    <d v="2025-01-21T17:11:07"/>
    <d v="2025-01-23T00:00:00"/>
    <s v="Entregado"/>
    <n v="0"/>
    <n v="2"/>
    <s v="Cumple"/>
    <n v="24093"/>
    <m/>
    <m/>
  </r>
  <r>
    <d v="2025-01-21T00:00:00"/>
    <x v="0"/>
    <n v="2407"/>
    <x v="0"/>
    <s v="Juan Camilo Restrepo"/>
    <s v="TECUCT"/>
    <x v="4"/>
    <n v="1"/>
    <x v="0"/>
    <s v="Bogotá y alrededores"/>
    <s v="Bogota"/>
    <s v="Despachado"/>
    <s v="Coordinadora"/>
    <s v="3034115 -84151111325"/>
    <d v="2025-01-21T17:11:07"/>
    <d v="2025-01-22T00:00:00"/>
    <s v="Entregado"/>
    <n v="0"/>
    <n v="1"/>
    <s v="Cumple"/>
    <n v="24885"/>
    <m/>
    <m/>
  </r>
  <r>
    <d v="2025-01-21T00:00:00"/>
    <x v="0"/>
    <n v="2408"/>
    <x v="0"/>
    <s v="Andres Mape"/>
    <s v="TECU3FNPRO"/>
    <x v="12"/>
    <n v="1"/>
    <x v="1"/>
    <s v="Bogotá y alrededores"/>
    <s v="Bogota"/>
    <s v="Despachado"/>
    <s v="Coordinadora"/>
    <s v="3034145 -84151111349"/>
    <d v="2025-01-21T17:11:07"/>
    <d v="2025-01-22T00:00:00"/>
    <s v="Entregado"/>
    <n v="0"/>
    <n v="1"/>
    <s v="Cumple"/>
    <n v="42921"/>
    <m/>
    <m/>
  </r>
  <r>
    <d v="2025-01-21T00:00:00"/>
    <x v="0"/>
    <n v="2408"/>
    <x v="0"/>
    <s v="Andres Mape"/>
    <s v="TECUTCO8C"/>
    <x v="19"/>
    <n v="1"/>
    <x v="2"/>
    <s v="Bogotá y alrededores"/>
    <s v="Bogota"/>
    <s v="Despachado"/>
    <s v="Coordinadora"/>
    <s v="3034147 -84151111351"/>
    <d v="2025-01-21T17:11:07"/>
    <d v="2025-01-22T00:00:00"/>
    <s v="Entregado"/>
    <n v="0"/>
    <n v="1"/>
    <s v="Cumple"/>
    <n v="26749"/>
    <m/>
    <m/>
  </r>
  <r>
    <d v="2025-01-21T00:00:00"/>
    <x v="0"/>
    <n v="2408"/>
    <x v="0"/>
    <s v="Andres Mape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1-21T00:00:00"/>
    <x v="0"/>
    <n v="2409"/>
    <x v="0"/>
    <s v="Rainer Villarreal"/>
    <s v="TECURCO"/>
    <x v="30"/>
    <n v="1"/>
    <x v="6"/>
    <s v="Monteria"/>
    <s v="Cordoba"/>
    <s v="Despachado"/>
    <s v="Coordinadora"/>
    <s v="3034185 -84151111369"/>
    <d v="2025-01-21T17:11:07"/>
    <d v="2025-01-22T00:00:00"/>
    <s v="Entregado"/>
    <n v="0"/>
    <n v="1"/>
    <e v="#N/A"/>
    <n v="47133"/>
    <m/>
    <m/>
  </r>
  <r>
    <d v="2025-01-21T00:00:00"/>
    <x v="0"/>
    <n v="2410"/>
    <x v="0"/>
    <s v="German Uchamocha Euscategui"/>
    <s v="TECU2FNG"/>
    <x v="5"/>
    <n v="1"/>
    <x v="1"/>
    <s v="Boyaca"/>
    <s v="Duitama"/>
    <s v="Despachado"/>
    <s v="Coordinadora"/>
    <s v="3034194 -84151111375"/>
    <d v="2025-01-21T17:11:07"/>
    <d v="2025-01-23T00:00:00"/>
    <s v="Entregado"/>
    <n v="0"/>
    <n v="2"/>
    <e v="#N/A"/>
    <n v="59835"/>
    <m/>
    <m/>
  </r>
  <r>
    <d v="2025-01-21T00:00:00"/>
    <x v="0"/>
    <n v="2410"/>
    <x v="0"/>
    <s v="German Uchamocha Euscategui"/>
    <s v="TECUTFE5C"/>
    <x v="29"/>
    <n v="1"/>
    <x v="2"/>
    <s v="Boyaca"/>
    <s v="Duitama"/>
    <s v="Despachado"/>
    <s v="Coordinadora"/>
    <s v="3034195 -84151111376"/>
    <d v="2025-01-21T17:11:07"/>
    <d v="2025-01-23T00:00:00"/>
    <s v="Entregado"/>
    <n v="0"/>
    <n v="2"/>
    <e v="#N/A"/>
    <n v="39078"/>
    <m/>
    <m/>
  </r>
  <r>
    <d v="2025-01-21T00:00:00"/>
    <x v="0"/>
    <n v="2411"/>
    <x v="0"/>
    <s v="Juan David Lagos Rodriguez"/>
    <s v="TECU3FNPRO"/>
    <x v="12"/>
    <n v="1"/>
    <x v="1"/>
    <s v="Bogotá y alrededores"/>
    <s v="Bogota"/>
    <s v="Despachado"/>
    <s v="Coordinadora"/>
    <s v="3034920 -84151111800"/>
    <d v="2025-01-21T17:11:07"/>
    <d v="2025-01-22T00:00:00"/>
    <s v="Entregado"/>
    <n v="0"/>
    <n v="1"/>
    <s v="Cumple"/>
    <n v="42921"/>
    <m/>
    <m/>
  </r>
  <r>
    <d v="2025-01-21T00:00:00"/>
    <x v="0"/>
    <n v="2411"/>
    <x v="0"/>
    <s v="Juan David Lagos Rodriguez"/>
    <s v="TECUROD"/>
    <x v="31"/>
    <n v="1"/>
    <x v="7"/>
    <s v="Bogotá y alrededores"/>
    <s v="Bogota"/>
    <s v="Despachado"/>
    <s v="Coordinadora"/>
    <s v="3034923 -84151111801"/>
    <d v="2025-01-21T17:11:07"/>
    <d v="2025-01-22T00:00:00"/>
    <s v="Entregado"/>
    <n v="0"/>
    <n v="1"/>
    <s v="Cumple"/>
    <n v="23875"/>
    <m/>
    <m/>
  </r>
  <r>
    <d v="2025-01-21T00:00:00"/>
    <x v="0"/>
    <n v="2411"/>
    <x v="0"/>
    <s v="Juan David Lagos Rodriguez"/>
    <m/>
    <x v="10"/>
    <n v="1"/>
    <x v="3"/>
    <s v="Bogotá y alrededores"/>
    <s v="Bogota"/>
    <s v="Instalacion"/>
    <s v="NA"/>
    <s v="NA"/>
    <d v="2025-01-23T00:00:00"/>
    <s v="NA"/>
    <s v="Entregado"/>
    <s v="PTE"/>
    <e v="#VALUE!"/>
    <e v="#VALUE!"/>
    <n v="0"/>
    <m/>
    <m/>
  </r>
  <r>
    <d v="2025-01-14T00:00:00"/>
    <x v="0"/>
    <n v="2388"/>
    <x v="1"/>
    <s v="CAROLINA RAMIREZ RESTREPO"/>
    <s v="TECU2FNG"/>
    <x v="5"/>
    <n v="1"/>
    <x v="1"/>
    <s v="Antioquia"/>
    <s v="Carmen de Viboral"/>
    <s v="Despachado"/>
    <s v="Coordinadora"/>
    <s v="3019490 - 84151105323"/>
    <d v="2025-01-14T00:00:00"/>
    <d v="2025-01-16T00:00:00"/>
    <s v="Entregado"/>
    <n v="0"/>
    <n v="2"/>
    <s v="Cumple"/>
    <n v="112444"/>
    <n v="47258"/>
    <m/>
  </r>
  <r>
    <d v="2025-01-14T00:00:00"/>
    <x v="0"/>
    <n v="2388"/>
    <x v="1"/>
    <s v="CAROLINA RAMIREZ RESTREPO"/>
    <s v="TECUTCO6C"/>
    <x v="16"/>
    <n v="1"/>
    <x v="2"/>
    <s v="Antioquia"/>
    <s v="Carmen de Viboral"/>
    <s v="Despachado"/>
    <s v="Coordinadora"/>
    <s v="3019497 - 84151105325"/>
    <d v="2025-01-14T00:00:00"/>
    <d v="2025-01-16T00:00:00"/>
    <s v="Entregado"/>
    <n v="0"/>
    <n v="2"/>
    <s v="Cumple"/>
    <n v="98264"/>
    <n v="29257"/>
    <m/>
  </r>
  <r>
    <d v="2025-01-13T00:00:00"/>
    <x v="0"/>
    <n v="2366"/>
    <x v="1"/>
    <s v="Steven Hoyos"/>
    <s v="TECUBLS"/>
    <x v="32"/>
    <n v="1"/>
    <x v="0"/>
    <s v="Cauca"/>
    <s v="Popayan"/>
    <s v="Despachado"/>
    <s v="Coordinadora"/>
    <s v="3015860 - 84151103434"/>
    <d v="2025-01-13T00:00:00"/>
    <d v="2025-01-14T00:00:00"/>
    <s v="Entregado"/>
    <n v="0"/>
    <n v="1"/>
    <s v="Cumple"/>
    <n v="25385"/>
    <m/>
    <m/>
  </r>
  <r>
    <d v="2025-01-15T00:00:00"/>
    <x v="0"/>
    <n v="2366"/>
    <x v="2"/>
    <s v="Steven Hoyos"/>
    <s v="TECUBDPA"/>
    <x v="1"/>
    <n v="1"/>
    <x v="0"/>
    <s v="Cauca"/>
    <s v="Popayan"/>
    <s v="Despachado"/>
    <s v="Coordinadora"/>
    <s v="3023584 - 84151107068"/>
    <d v="2025-01-16T00:00:00"/>
    <d v="2025-01-18T00:00:00"/>
    <s v="Entregado"/>
    <n v="1"/>
    <n v="3"/>
    <s v="Cumple"/>
    <n v="24855"/>
    <m/>
    <m/>
  </r>
  <r>
    <d v="2025-01-20T00:00:00"/>
    <x v="0"/>
    <n v="2398"/>
    <x v="1"/>
    <s v="Juan David Martínez Gordillo"/>
    <s v="TECUTCO3C"/>
    <x v="23"/>
    <n v="1"/>
    <x v="2"/>
    <s v="Bogotá y alrededores"/>
    <s v="Bogota"/>
    <s v="Despachado"/>
    <s v="Coordinadora"/>
    <s v="3035292 - 84151112021"/>
    <d v="2025-01-21T00:00:00"/>
    <d v="2025-01-23T00:00:00"/>
    <s v="Entregado"/>
    <n v="1"/>
    <n v="3"/>
    <s v="Cumple"/>
    <n v="27929"/>
    <m/>
    <m/>
  </r>
  <r>
    <d v="2025-01-23T00:00:00"/>
    <x v="0"/>
    <n v="2412"/>
    <x v="0"/>
    <s v="Juan David Lagos Rodriguez"/>
    <s v="TECUCT"/>
    <x v="4"/>
    <n v="1"/>
    <x v="0"/>
    <s v="Bogotá y alrededores"/>
    <s v="Bogota"/>
    <s v="Despachado"/>
    <s v="Coordinadora"/>
    <s v="3038877 -84151113422"/>
    <d v="2025-01-23T00:00:00"/>
    <d v="2025-01-24T00:00:00"/>
    <s v="Entregado"/>
    <n v="0"/>
    <n v="1"/>
    <s v="Cumple"/>
    <n v="24885"/>
    <m/>
    <m/>
  </r>
  <r>
    <d v="2025-01-24T00:00:00"/>
    <x v="0"/>
    <n v="2413"/>
    <x v="0"/>
    <s v="Jorge Luis Monroy Herrera"/>
    <s v="TECU3FNPRO"/>
    <x v="12"/>
    <n v="1"/>
    <x v="1"/>
    <s v="Atlantico"/>
    <s v="Barranquilla"/>
    <s v="Despachado"/>
    <s v="Coordinadora"/>
    <s v="3041057 -84151114405"/>
    <d v="2025-01-24T00:00:00"/>
    <d v="2025-01-27T00:00:00"/>
    <s v="Entregado"/>
    <n v="0"/>
    <n v="2"/>
    <s v="Cumple"/>
    <n v="62467"/>
    <m/>
    <m/>
  </r>
  <r>
    <d v="2025-01-24T00:00:00"/>
    <x v="0"/>
    <n v="2413"/>
    <x v="0"/>
    <s v="Jorge Luis Monroy Herrera"/>
    <s v="TECUTFE8M"/>
    <x v="33"/>
    <n v="1"/>
    <x v="2"/>
    <s v="Atlantico"/>
    <s v="Barranquilla"/>
    <s v="Despachado"/>
    <s v="Coordinadora"/>
    <s v="3041058 -84151114407"/>
    <d v="2025-01-24T00:00:00"/>
    <d v="2025-01-27T00:00:00"/>
    <s v="Entregado"/>
    <n v="0"/>
    <n v="2"/>
    <s v="Cumple"/>
    <n v="44340"/>
    <m/>
    <m/>
  </r>
  <r>
    <d v="2025-01-24T00:00:00"/>
    <x v="0"/>
    <n v="2414"/>
    <x v="0"/>
    <s v="Julio Castellanos"/>
    <s v="TECU3FBRO"/>
    <x v="34"/>
    <n v="1"/>
    <x v="1"/>
    <s v="Bogotá y alrededores"/>
    <s v="Bogota"/>
    <s v="Despachado"/>
    <s v="Coordinadora"/>
    <s v="3041064 -84151114410"/>
    <d v="2025-01-24T00:00:00"/>
    <d v="2025-01-25T00:00:00"/>
    <s v="Entregado"/>
    <n v="0"/>
    <n v="1"/>
    <s v="Cumple"/>
    <n v="42921"/>
    <m/>
    <m/>
  </r>
  <r>
    <d v="2025-01-24T00:00:00"/>
    <x v="0"/>
    <n v="2414"/>
    <x v="0"/>
    <s v="Julio Castellanos"/>
    <s v="TECUTFE7M"/>
    <x v="35"/>
    <n v="1"/>
    <x v="2"/>
    <s v="Bogotá y alrededores"/>
    <s v="Bogota"/>
    <s v="Despachado"/>
    <s v="Coordinadora"/>
    <s v="3041066 -84151114411"/>
    <d v="2025-01-24T00:00:00"/>
    <d v="2025-01-27T00:00:00"/>
    <s v="Entregado"/>
    <n v="0"/>
    <n v="2"/>
    <s v="Cumple"/>
    <n v="24093"/>
    <m/>
    <m/>
  </r>
  <r>
    <d v="2025-01-24T00:00:00"/>
    <x v="0"/>
    <n v="2414"/>
    <x v="0"/>
    <s v="Julio Castellanos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1-24T00:00:00"/>
    <x v="0"/>
    <n v="2415"/>
    <x v="0"/>
    <s v="Julio Castellanos"/>
    <s v="TECUBDPA"/>
    <x v="1"/>
    <n v="1"/>
    <x v="0"/>
    <s v="Bogotá y alrededores"/>
    <s v="Bogota"/>
    <s v="Despachado"/>
    <s v="Coordinadora"/>
    <s v="3041074 -84151114418"/>
    <d v="2025-01-24T00:00:00"/>
    <d v="2025-01-25T00:00:00"/>
    <s v="Entregado"/>
    <n v="0"/>
    <n v="1"/>
    <s v="Cumple"/>
    <n v="16617"/>
    <m/>
    <m/>
  </r>
  <r>
    <d v="2025-01-24T00:00:00"/>
    <x v="0"/>
    <n v="2416"/>
    <x v="0"/>
    <s v="Juan Pablo Romero Bernal"/>
    <s v="TECU2FNG"/>
    <x v="5"/>
    <n v="1"/>
    <x v="1"/>
    <s v="Bogotá y alrededores"/>
    <s v="Bogota"/>
    <s v="Despachado"/>
    <s v="Coordinadora"/>
    <s v="3041082 -84151114424"/>
    <d v="2025-01-24T00:00:00"/>
    <d v="2025-01-28T00:00:00"/>
    <s v="Entregado"/>
    <n v="0"/>
    <n v="3"/>
    <s v="Cumple"/>
    <n v="41593"/>
    <m/>
    <m/>
  </r>
  <r>
    <d v="2025-01-24T00:00:00"/>
    <x v="0"/>
    <n v="2416"/>
    <x v="0"/>
    <s v="Juan Pablo Romero Bernal"/>
    <s v="TECUTFE5C"/>
    <x v="29"/>
    <n v="1"/>
    <x v="2"/>
    <s v="Bogotá y alrededores"/>
    <s v="Bogota"/>
    <s v="Despachado"/>
    <s v="Coordinadora"/>
    <s v="3041083 -84151114425"/>
    <d v="2025-01-24T00:00:00"/>
    <d v="2025-01-28T00:00:00"/>
    <s v="Entregado"/>
    <n v="0"/>
    <n v="3"/>
    <s v="Cumple"/>
    <n v="24093"/>
    <m/>
    <m/>
  </r>
  <r>
    <d v="2025-01-24T00:00:00"/>
    <x v="0"/>
    <n v="2417"/>
    <x v="0"/>
    <s v="Rosemery Carrillo"/>
    <s v="TECU3FNPRO"/>
    <x v="12"/>
    <n v="1"/>
    <x v="1"/>
    <s v="Bogotá y alrededores"/>
    <s v="Bogota"/>
    <s v="Despachado"/>
    <s v="Coordinadora"/>
    <s v="3041165 -84151114467"/>
    <d v="2025-01-24T00:00:00"/>
    <d v="2025-01-27T00:00:00"/>
    <s v="Entregado"/>
    <n v="0"/>
    <n v="2"/>
    <s v="Cumple"/>
    <n v="42921"/>
    <m/>
    <m/>
  </r>
  <r>
    <d v="2025-01-24T00:00:00"/>
    <x v="0"/>
    <n v="2418"/>
    <x v="0"/>
    <s v="Angela Patricia Duque Gutierrez"/>
    <s v="TECU3FNPRO"/>
    <x v="12"/>
    <n v="1"/>
    <x v="1"/>
    <s v="Quindio"/>
    <s v="La tebaida"/>
    <s v="Despachado"/>
    <s v="Entrega directa"/>
    <s v="Entrega en la bodega a la cliente"/>
    <d v="2025-01-24T00:00:00"/>
    <d v="2025-01-24T00:00:00"/>
    <s v="Entregado"/>
    <n v="0"/>
    <n v="0"/>
    <e v="#N/A"/>
    <n v="0"/>
    <m/>
    <m/>
  </r>
  <r>
    <d v="2025-01-24T00:00:00"/>
    <x v="0"/>
    <n v="2419"/>
    <x v="0"/>
    <s v="Ricardo Mesa Gallego"/>
    <s v="TECUCT"/>
    <x v="4"/>
    <n v="1"/>
    <x v="0"/>
    <s v="Antioquia"/>
    <s v="Medellin"/>
    <s v="Despachado"/>
    <s v="Coordinadora"/>
    <s v="3041884 - 84151114874"/>
    <d v="2025-01-24T00:00:00"/>
    <d v="2025-01-25T00:00:00"/>
    <s v="Entregado"/>
    <n v="0"/>
    <n v="1"/>
    <s v="Cumple"/>
    <n v="24885"/>
    <m/>
    <m/>
  </r>
  <r>
    <d v="2025-01-27T00:00:00"/>
    <x v="0"/>
    <n v="2420"/>
    <x v="0"/>
    <s v="Cristian Laguado"/>
    <s v="TECU3FNPRO"/>
    <x v="12"/>
    <n v="1"/>
    <x v="1"/>
    <s v="Bogotá y alrededores"/>
    <s v="Bogota"/>
    <s v="Despachado"/>
    <s v="Coordinadora"/>
    <s v="3053751 - 84151119935"/>
    <d v="2025-01-30T00:00:00"/>
    <d v="2025-02-01T00:00:00"/>
    <s v="Entregado"/>
    <n v="3"/>
    <n v="5"/>
    <s v="No cumple"/>
    <n v="42921"/>
    <m/>
    <m/>
  </r>
  <r>
    <d v="2025-01-27T00:00:00"/>
    <x v="0"/>
    <n v="2420"/>
    <x v="0"/>
    <s v="Cristian Laguado"/>
    <s v="TECUTRM5C"/>
    <x v="27"/>
    <n v="1"/>
    <x v="2"/>
    <s v="Bogotá y alrededores"/>
    <s v="Bogota"/>
    <s v="Despachado"/>
    <s v="Coordinadora"/>
    <s v="3053752 - 84151119936"/>
    <d v="2025-01-30T00:00:00"/>
    <d v="2025-02-04T00:00:00"/>
    <s v="Entregado"/>
    <n v="3"/>
    <n v="7"/>
    <s v="No cumple"/>
    <n v="24593"/>
    <m/>
    <m/>
  </r>
  <r>
    <d v="2025-01-27T00:00:00"/>
    <x v="0"/>
    <n v="2421"/>
    <x v="0"/>
    <s v="Carlos Salazar"/>
    <s v="TECUROD"/>
    <x v="31"/>
    <n v="1"/>
    <x v="7"/>
    <s v="Tolima"/>
    <s v="Ibague"/>
    <s v="Despachado"/>
    <s v="Coordinadora"/>
    <s v="3048222 - 84151117369"/>
    <d v="2025-01-28T00:00:00"/>
    <d v="2025-01-29T00:00:00"/>
    <s v="Entregado"/>
    <n v="1"/>
    <n v="2"/>
    <s v="Cumple"/>
    <n v="23875"/>
    <m/>
    <m/>
  </r>
  <r>
    <d v="2025-01-27T00:00:00"/>
    <x v="0"/>
    <n v="2422"/>
    <x v="0"/>
    <s v="Juan Angulo"/>
    <s v="TECUCT"/>
    <x v="4"/>
    <n v="1"/>
    <x v="0"/>
    <s v="Atlantico"/>
    <s v="Barranquilla"/>
    <s v="Despachado"/>
    <s v="Coordinadora"/>
    <s v="3048263 - 84151117376"/>
    <d v="2025-01-28T00:00:00"/>
    <d v="2025-01-30T00:00:00"/>
    <s v="Entregado"/>
    <n v="1"/>
    <n v="3"/>
    <s v="Cumple"/>
    <n v="24885"/>
    <m/>
    <m/>
  </r>
  <r>
    <d v="2025-01-28T00:00:00"/>
    <x v="0"/>
    <n v="2423"/>
    <x v="0"/>
    <s v="Octavio De La Hoz Franco"/>
    <s v="TECU3FBRO"/>
    <x v="34"/>
    <n v="1"/>
    <x v="1"/>
    <s v="Atlantico"/>
    <s v="Barranquilla"/>
    <s v="Despachado"/>
    <s v="Coordinadora"/>
    <s v="3049137 - 84151117798"/>
    <d v="2025-01-28T00:00:00"/>
    <d v="2025-02-01T00:00:00"/>
    <s v="Entregado"/>
    <n v="0"/>
    <n v="4"/>
    <s v="Cumple"/>
    <n v="62647"/>
    <m/>
    <m/>
  </r>
  <r>
    <d v="2025-01-28T00:00:00"/>
    <x v="0"/>
    <n v="2423"/>
    <x v="0"/>
    <s v="Octavio De La Hoz Franco"/>
    <s v="TECUTB20C"/>
    <x v="36"/>
    <n v="1"/>
    <x v="2"/>
    <s v="Atlantico"/>
    <s v="Barranquilla"/>
    <s v="Despachado"/>
    <s v="Coordinadora"/>
    <s v="3049139 - 84151117799"/>
    <d v="2025-01-28T00:00:00"/>
    <d v="2025-02-01T00:00:00"/>
    <s v="Entregado"/>
    <n v="0"/>
    <n v="4"/>
    <s v="Cumple"/>
    <n v="44340"/>
    <m/>
    <m/>
  </r>
  <r>
    <d v="2025-01-28T00:00:00"/>
    <x v="0"/>
    <n v="2424"/>
    <x v="0"/>
    <s v="CARLOS ARTURO REYES ESCOBAR"/>
    <s v="TECU3FNPRO"/>
    <x v="12"/>
    <n v="1"/>
    <x v="1"/>
    <s v="Valle del Cauca"/>
    <s v="Cali"/>
    <s v="Despachado"/>
    <s v="Coordinadora"/>
    <s v="3050418 - 84151118335"/>
    <d v="2025-01-29T00:00:00"/>
    <d v="2025-01-31T00:00:00"/>
    <s v="Entregado"/>
    <n v="1"/>
    <n v="3"/>
    <s v="Cumple"/>
    <n v="42921"/>
    <m/>
    <m/>
  </r>
  <r>
    <d v="2025-01-28T00:00:00"/>
    <x v="0"/>
    <n v="2424"/>
    <x v="0"/>
    <s v="CARLOS ARTURO REYES ESCOBAR"/>
    <s v="TECUTCO2C"/>
    <x v="37"/>
    <n v="1"/>
    <x v="2"/>
    <s v="Valle del Cauca"/>
    <s v="Cali"/>
    <s v="Despachado"/>
    <s v="Coordinadora"/>
    <s v="3050419 - 84151118336"/>
    <d v="2025-01-29T00:00:00"/>
    <d v="2025-01-31T00:00:00"/>
    <s v="Entregado"/>
    <n v="1"/>
    <n v="3"/>
    <s v="Cumple"/>
    <n v="28741"/>
    <m/>
    <m/>
  </r>
  <r>
    <d v="2025-01-29T00:00:00"/>
    <x v="0"/>
    <n v="2425"/>
    <x v="0"/>
    <s v="Manuel eduardo Valdez mantero"/>
    <s v="TECU3FBRO"/>
    <x v="34"/>
    <n v="1"/>
    <x v="1"/>
    <s v="Bogotá y alrededores"/>
    <s v="Bogota"/>
    <s v="Despachado"/>
    <s v="Coordinadora"/>
    <s v="3050613 - 84151118456"/>
    <d v="2025-01-29T00:00:00"/>
    <d v="2025-01-31T00:00:00"/>
    <s v="Entregado"/>
    <n v="0"/>
    <n v="2"/>
    <s v="Cumple"/>
    <n v="42921"/>
    <m/>
    <m/>
  </r>
  <r>
    <d v="2025-01-29T00:00:00"/>
    <x v="0"/>
    <n v="2425"/>
    <x v="0"/>
    <s v="Manuel eduardo Valdez mantero"/>
    <s v="TECUTB7C"/>
    <x v="38"/>
    <n v="1"/>
    <x v="2"/>
    <s v="Bogotá y alrededores"/>
    <s v="Bogota"/>
    <s v="Despachado"/>
    <s v="Coordinadora"/>
    <s v="3050615 - 84151118457"/>
    <d v="2025-01-29T00:00:00"/>
    <d v="2025-01-31T00:00:00"/>
    <s v="Entregado"/>
    <n v="0"/>
    <n v="2"/>
    <s v="Cumple"/>
    <n v="24093"/>
    <m/>
    <m/>
  </r>
  <r>
    <d v="2025-01-30T00:00:00"/>
    <x v="0"/>
    <n v="2426"/>
    <x v="0"/>
    <s v="Rodrigo Rivera"/>
    <s v="TECU3FNPRO"/>
    <x v="12"/>
    <n v="1"/>
    <x v="1"/>
    <s v="Valle del Cauca"/>
    <s v="Cali"/>
    <s v="Despachado"/>
    <s v="Coordinadora"/>
    <s v="3052581 - 84151119369"/>
    <d v="2025-01-30T00:00:00"/>
    <d v="2025-02-01T00:00:00"/>
    <s v="Entregado"/>
    <n v="0"/>
    <n v="2"/>
    <s v="Cumple"/>
    <n v="42921"/>
    <m/>
    <m/>
  </r>
  <r>
    <d v="2025-01-30T00:00:00"/>
    <x v="0"/>
    <n v="2426"/>
    <x v="0"/>
    <s v="Rodrigo Rivera"/>
    <s v="TECUTCO8C"/>
    <x v="19"/>
    <n v="1"/>
    <x v="2"/>
    <s v="Valle del Cauca"/>
    <s v="Cali"/>
    <s v="Despachado"/>
    <s v="Coordinadora"/>
    <s v="3052583 - 84151119370"/>
    <d v="2025-01-30T00:00:00"/>
    <d v="2025-02-01T00:00:00"/>
    <s v="Entregado"/>
    <n v="0"/>
    <n v="2"/>
    <s v="Cumple"/>
    <n v="26749"/>
    <m/>
    <m/>
  </r>
  <r>
    <d v="2025-01-30T00:00:00"/>
    <x v="0"/>
    <n v="2427"/>
    <x v="0"/>
    <s v="María Manuela Bueno Tavera"/>
    <s v="TECU3FBRO"/>
    <x v="34"/>
    <n v="1"/>
    <x v="1"/>
    <s v="Bogotá y alrededores"/>
    <s v="Bogota"/>
    <s v="Despachado"/>
    <s v="Coordinadora"/>
    <s v="3053317 - 84151119704"/>
    <d v="2025-01-30T00:00:00"/>
    <d v="2025-01-31T00:00:00"/>
    <s v="Entregado"/>
    <n v="0"/>
    <n v="1"/>
    <s v="Cumple"/>
    <n v="42921"/>
    <m/>
    <m/>
  </r>
  <r>
    <d v="2025-01-30T00:00:00"/>
    <x v="0"/>
    <n v="2427"/>
    <x v="0"/>
    <s v="María Manuela Bueno Tavera"/>
    <s v="TECUTFE3C"/>
    <x v="39"/>
    <n v="1"/>
    <x v="2"/>
    <s v="Bogotá y alrededores"/>
    <s v="Bogota"/>
    <s v="Despachado"/>
    <s v="Coordinadora"/>
    <s v="3053318 - 84151119705"/>
    <d v="2025-01-30T00:00:00"/>
    <d v="2025-01-31T00:00:00"/>
    <s v="Entregado"/>
    <n v="0"/>
    <n v="1"/>
    <s v="Cumple"/>
    <n v="28741"/>
    <m/>
    <m/>
  </r>
  <r>
    <d v="2025-01-30T00:00:00"/>
    <x v="0"/>
    <n v="2428"/>
    <x v="0"/>
    <s v="Nicolas Enciso Calle"/>
    <s v="TECU2FNG"/>
    <x v="5"/>
    <n v="1"/>
    <x v="1"/>
    <s v="Antioquia"/>
    <s v="Medellin"/>
    <s v="Despachado"/>
    <s v="Coordinadora"/>
    <s v="3053377 - 84151119723"/>
    <d v="2025-01-30T00:00:00"/>
    <d v="2025-01-31T00:00:00"/>
    <s v="Entregado"/>
    <n v="0"/>
    <n v="1"/>
    <s v="Cumple"/>
    <n v="41593"/>
    <m/>
    <m/>
  </r>
  <r>
    <d v="2025-01-30T00:00:00"/>
    <x v="0"/>
    <n v="2428"/>
    <x v="0"/>
    <s v="Nicolas Enciso Calle"/>
    <s v="TECUTRN6C"/>
    <x v="20"/>
    <n v="1"/>
    <x v="2"/>
    <s v="Antioquia"/>
    <s v="Medellin"/>
    <s v="Despachado"/>
    <s v="Coordinadora"/>
    <s v="3053379 - 84151119725"/>
    <d v="2025-01-30T00:00:00"/>
    <d v="2025-01-31T00:00:00"/>
    <s v="Entregado"/>
    <n v="0"/>
    <n v="1"/>
    <s v="Cumple"/>
    <n v="24093"/>
    <m/>
    <m/>
  </r>
  <r>
    <d v="2025-01-31T00:00:00"/>
    <x v="0"/>
    <n v="2429"/>
    <x v="0"/>
    <s v="Geovanny Mendoza Gonzalez"/>
    <s v="TECU3FNPRO"/>
    <x v="12"/>
    <n v="1"/>
    <x v="1"/>
    <s v="Atlantico"/>
    <s v="Barranquilla"/>
    <s v="Despachado"/>
    <s v="Coordinadora"/>
    <s v="3059087 - 84151121970"/>
    <d v="2025-02-03T00:00:00"/>
    <d v="2025-02-05T00:00:00"/>
    <s v="Entregado"/>
    <n v="2"/>
    <n v="4"/>
    <s v="Cumple"/>
    <n v="62467"/>
    <m/>
    <m/>
  </r>
  <r>
    <d v="2025-01-31T00:00:00"/>
    <x v="0"/>
    <n v="2429"/>
    <x v="0"/>
    <s v="Geovanny Mendoza Gonzalez"/>
    <s v="TECUTCO5M"/>
    <x v="40"/>
    <n v="1"/>
    <x v="2"/>
    <s v="Atlantico"/>
    <s v="Barranquilla"/>
    <s v="Despachado"/>
    <s v="Coordinadora"/>
    <s v="3059089 - 84151121971"/>
    <d v="2025-02-03T00:00:00"/>
    <d v="2025-02-05T00:00:00"/>
    <s v="Entregado"/>
    <n v="2"/>
    <n v="4"/>
    <s v="Cumple"/>
    <n v="39078"/>
    <m/>
    <m/>
  </r>
  <r>
    <d v="2025-01-31T00:00:00"/>
    <x v="0"/>
    <n v="2430"/>
    <x v="0"/>
    <s v="john ibanez"/>
    <s v="TECU3FNPRO"/>
    <x v="12"/>
    <n v="1"/>
    <x v="1"/>
    <s v="Bogotá y alrededores"/>
    <s v="Bogota"/>
    <s v="Despachado"/>
    <s v="Coordinadora"/>
    <s v="3059099 - 84151121978"/>
    <d v="2025-02-03T00:00:00"/>
    <d v="2025-02-05T00:00:00"/>
    <s v="Entregado"/>
    <n v="2"/>
    <n v="4"/>
    <s v="No cumple"/>
    <n v="42921"/>
    <m/>
    <m/>
  </r>
  <r>
    <d v="2025-01-31T00:00:00"/>
    <x v="0"/>
    <n v="2430"/>
    <x v="0"/>
    <s v="john ibanez"/>
    <s v="TECUTCO8C"/>
    <x v="19"/>
    <n v="1"/>
    <x v="2"/>
    <s v="Bogotá y alrededores"/>
    <s v="Bogota"/>
    <s v="Despachado"/>
    <s v="Coordinadora"/>
    <s v="3059100 - 84151121979"/>
    <d v="2025-02-03T00:00:00"/>
    <d v="2025-02-05T00:00:00"/>
    <s v="Entregado"/>
    <n v="2"/>
    <n v="4"/>
    <s v="No cumple"/>
    <n v="26749"/>
    <m/>
    <m/>
  </r>
  <r>
    <d v="2025-01-31T00:00:00"/>
    <x v="0"/>
    <n v="2430"/>
    <x v="0"/>
    <s v="john ibanez"/>
    <s v="TECUROD"/>
    <x v="31"/>
    <n v="1"/>
    <x v="7"/>
    <s v="Bogotá y alrededores"/>
    <s v="Bogota"/>
    <s v="Despachado"/>
    <s v="Coordinadora"/>
    <s v="3059107 - 84151121983"/>
    <d v="2025-02-03T00:00:00"/>
    <d v="2025-02-05T00:00:00"/>
    <s v="Entregado"/>
    <n v="2"/>
    <n v="4"/>
    <s v="No cumple"/>
    <n v="23875"/>
    <m/>
    <m/>
  </r>
  <r>
    <d v="2025-02-02T00:00:00"/>
    <x v="1"/>
    <n v="2431"/>
    <x v="0"/>
    <s v="Patricia Luna Pamplona"/>
    <s v="TECU3FBRO"/>
    <x v="34"/>
    <n v="1"/>
    <x v="1"/>
    <s v="Bogotá y alrededores"/>
    <s v="Bogota"/>
    <s v="Despachado"/>
    <s v="Coordinadora"/>
    <s v="3059121 - 84151121990"/>
    <d v="2025-02-03T00:00:00"/>
    <d v="2025-02-07T00:00:00"/>
    <s v="Entregado"/>
    <n v="0"/>
    <n v="4"/>
    <s v="No cumple"/>
    <n v="42921"/>
    <m/>
    <m/>
  </r>
  <r>
    <d v="2025-02-02T00:00:00"/>
    <x v="1"/>
    <n v="2431"/>
    <x v="0"/>
    <s v="Patricia Luna Pamplona"/>
    <s v="TECUTB5M"/>
    <x v="41"/>
    <n v="1"/>
    <x v="2"/>
    <s v="Bogotá y alrededores"/>
    <s v="Bogota"/>
    <s v="Despachado"/>
    <s v="Coordinadora"/>
    <s v="3059122 - 84151121991"/>
    <d v="2025-02-03T00:00:00"/>
    <d v="2025-02-05T00:00:00"/>
    <s v="Entregado"/>
    <n v="0"/>
    <n v="2"/>
    <s v="Cumple"/>
    <n v="24093"/>
    <m/>
    <m/>
  </r>
  <r>
    <d v="2025-02-02T00:00:00"/>
    <x v="1"/>
    <n v="2431"/>
    <x v="0"/>
    <s v="Patricia Luna Pamplona"/>
    <s v="TECUBDPM"/>
    <x v="0"/>
    <n v="1"/>
    <x v="0"/>
    <s v="Bogotá y alrededores"/>
    <s v="Bogota"/>
    <s v="Despachado"/>
    <s v="Coordinadora"/>
    <s v="3059143 - 84151122002"/>
    <d v="2025-02-03T00:00:00"/>
    <d v="2025-02-05T00:00:00"/>
    <s v="Entregado"/>
    <n v="0"/>
    <n v="2"/>
    <s v="Cumple"/>
    <n v="16617"/>
    <m/>
    <m/>
  </r>
  <r>
    <d v="2025-02-02T00:00:00"/>
    <x v="1"/>
    <n v="2432"/>
    <x v="0"/>
    <s v="Edgar Federico Rodríguez Aranda"/>
    <s v="TECURCC"/>
    <x v="42"/>
    <n v="1"/>
    <x v="6"/>
    <s v="Bogotá y alrededores"/>
    <s v="Bogota"/>
    <s v="Despachado"/>
    <s v="Coordinadora"/>
    <s v="3059168 - 84151122021"/>
    <d v="2025-02-03T00:00:00"/>
    <d v="2025-02-06T00:00:00"/>
    <s v="Entregado"/>
    <n v="0"/>
    <n v="3"/>
    <s v="Cumple"/>
    <n v="23429"/>
    <m/>
    <m/>
  </r>
  <r>
    <d v="2025-02-02T00:00:00"/>
    <x v="1"/>
    <n v="2433"/>
    <x v="0"/>
    <s v="Laura Yepes Aranda"/>
    <s v="TECU3FNPRO"/>
    <x v="12"/>
    <n v="1"/>
    <x v="1"/>
    <s v="Antioquia"/>
    <s v="Medellin"/>
    <s v="Despachado"/>
    <s v="Coordinadora"/>
    <s v="3064792 - 84151123684"/>
    <d v="2025-02-04T00:00:00"/>
    <d v="2025-02-05T00:00:00"/>
    <s v="Entregado"/>
    <n v="1"/>
    <n v="2"/>
    <s v="Cumple"/>
    <n v="42921"/>
    <m/>
    <m/>
  </r>
  <r>
    <d v="2025-02-02T00:00:00"/>
    <x v="1"/>
    <n v="2433"/>
    <x v="0"/>
    <s v="Laura Yepes Aranda"/>
    <s v="TECUTFE7M"/>
    <x v="35"/>
    <n v="1"/>
    <x v="2"/>
    <s v="Antioquia"/>
    <s v="Medellin"/>
    <s v="Despachado"/>
    <s v="Coordinadora"/>
    <s v="3064793 - 84151123685"/>
    <d v="2025-02-04T00:00:00"/>
    <d v="2025-02-05T00:00:00"/>
    <s v="Entregado"/>
    <n v="1"/>
    <n v="2"/>
    <s v="Cumple"/>
    <n v="24093"/>
    <m/>
    <m/>
  </r>
  <r>
    <d v="2025-02-02T00:00:00"/>
    <x v="1"/>
    <n v="2433"/>
    <x v="0"/>
    <s v="Laura Yepes Aranda"/>
    <s v="TECUAFE"/>
    <x v="43"/>
    <n v="1"/>
    <x v="5"/>
    <s v="Antioquia"/>
    <s v="Medellin"/>
    <s v="Despachado"/>
    <s v="Envia"/>
    <s v="3067195 - 954101143183"/>
    <d v="2025-02-04T00:00:00"/>
    <d v="2025-02-06T00:00:00"/>
    <s v="Entregado"/>
    <n v="1"/>
    <n v="3"/>
    <s v="Cumple"/>
    <n v="65682"/>
    <m/>
    <m/>
  </r>
  <r>
    <d v="2025-02-02T00:00:00"/>
    <x v="1"/>
    <n v="2433"/>
    <x v="0"/>
    <s v="Laura Yepes Aranda"/>
    <s v="TECUBLS"/>
    <x v="32"/>
    <n v="1"/>
    <x v="0"/>
    <s v="Antioquia"/>
    <s v="Medellin"/>
    <s v="Despachado"/>
    <s v="Coordinadora"/>
    <s v="3064802 -84151123689"/>
    <d v="2025-02-04T00:00:00"/>
    <d v="2025-02-05T00:00:00"/>
    <s v="Entregado"/>
    <n v="1"/>
    <n v="2"/>
    <s v="Cumple"/>
    <n v="24885"/>
    <m/>
    <m/>
  </r>
  <r>
    <d v="2025-02-03T00:00:00"/>
    <x v="1"/>
    <n v="2434"/>
    <x v="0"/>
    <s v="Darwin Saenz"/>
    <s v="TECUACO"/>
    <x v="15"/>
    <n v="1"/>
    <x v="5"/>
    <s v="Bogotá y alrededores"/>
    <s v="Bogota"/>
    <s v="Despachado"/>
    <s v="Envia"/>
    <s v="3067483 - 954101143262"/>
    <d v="2025-02-04T00:00:00"/>
    <d v="2025-02-06T00:00:00"/>
    <s v="Entregado"/>
    <n v="1"/>
    <n v="3"/>
    <s v="Cumple"/>
    <n v="54929"/>
    <m/>
    <m/>
  </r>
  <r>
    <d v="2025-02-03T00:00:00"/>
    <x v="1"/>
    <n v="2435"/>
    <x v="0"/>
    <s v="Andres Adolfo Hernandez Celis"/>
    <s v="TECU3FNPRO"/>
    <x v="12"/>
    <n v="1"/>
    <x v="1"/>
    <s v="Bogotá y alrededores"/>
    <s v="Bogota"/>
    <s v="Despachado"/>
    <s v="Coordinadora"/>
    <s v="3064808 - 84151123691"/>
    <d v="2025-02-04T00:00:00"/>
    <d v="2025-02-06T00:00:00"/>
    <s v="Entregado"/>
    <n v="1"/>
    <n v="3"/>
    <s v="Cumple"/>
    <n v="42921"/>
    <m/>
    <m/>
  </r>
  <r>
    <d v="2025-02-03T00:00:00"/>
    <x v="1"/>
    <n v="2435"/>
    <x v="0"/>
    <s v="Andres Adolfo Hernandez Celis"/>
    <s v="TECUTCO8C"/>
    <x v="19"/>
    <n v="1"/>
    <x v="2"/>
    <s v="Bogotá y alrededores"/>
    <s v="Bogota"/>
    <s v="Despachado"/>
    <s v="Coordinadora"/>
    <s v="3064809 - 84151123692"/>
    <d v="2025-02-04T00:00:00"/>
    <d v="2025-02-06T00:00:00"/>
    <s v="Entregado"/>
    <n v="1"/>
    <n v="3"/>
    <s v="Cumple"/>
    <n v="26749"/>
    <m/>
    <m/>
  </r>
  <r>
    <d v="2025-02-03T00:00:00"/>
    <x v="1"/>
    <n v="2435"/>
    <x v="0"/>
    <s v="Andres Adolfo Hernandez Celis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2-04T00:00:00"/>
    <x v="1"/>
    <n v="2436"/>
    <x v="0"/>
    <s v="Jorge Andrés Martin González"/>
    <s v="TECU3FNPRO"/>
    <x v="12"/>
    <n v="1"/>
    <x v="1"/>
    <s v="Bogotá y alrededores"/>
    <s v="Bogota"/>
    <s v="Despachado"/>
    <s v="Coordinadora"/>
    <s v="3064827 - 84151123703"/>
    <d v="2025-02-04T00:00:00"/>
    <d v="2025-02-06T00:00:00"/>
    <s v="Entregado"/>
    <n v="0"/>
    <n v="2"/>
    <s v="Cumple"/>
    <n v="42921"/>
    <m/>
    <m/>
  </r>
  <r>
    <d v="2025-02-10T00:00:00"/>
    <x v="1"/>
    <n v="2437"/>
    <x v="0"/>
    <s v="Luis Angel Hernandez Barreto"/>
    <s v="TECU3FNPRO"/>
    <x v="12"/>
    <n v="1"/>
    <x v="1"/>
    <s v="Bogotá y alrededores"/>
    <s v="Madrid"/>
    <s v="Despachado"/>
    <s v="Coordinadora"/>
    <s v="3076529 - 84151128765"/>
    <d v="2025-02-10T00:00:00"/>
    <d v="2025-02-12T00:00:00"/>
    <s v="Entregado"/>
    <n v="0"/>
    <n v="2"/>
    <e v="#N/A"/>
    <n v="42921"/>
    <m/>
    <m/>
  </r>
  <r>
    <d v="2025-02-10T00:00:00"/>
    <x v="1"/>
    <n v="2437"/>
    <x v="0"/>
    <s v="Luis Angel Hernandez Barreto"/>
    <s v="TECUTFE4C"/>
    <x v="14"/>
    <n v="1"/>
    <x v="2"/>
    <s v="Bogotá y alrededores"/>
    <s v="Madrid"/>
    <s v="Despachado"/>
    <s v="Coordinadora"/>
    <s v="3076530 - 84151128766"/>
    <d v="2025-02-10T00:00:00"/>
    <d v="2025-02-12T00:00:00"/>
    <s v="Entregado"/>
    <n v="0"/>
    <n v="2"/>
    <e v="#N/A"/>
    <n v="24093"/>
    <m/>
    <m/>
  </r>
  <r>
    <d v="2025-02-10T00:00:00"/>
    <x v="1"/>
    <n v="2438"/>
    <x v="0"/>
    <s v="Alejandro León Marín"/>
    <s v="TECU3FNPRO"/>
    <x v="12"/>
    <n v="1"/>
    <x v="1"/>
    <s v="Bogotá y alrededores"/>
    <s v="Bogota"/>
    <s v="Despachado"/>
    <s v="Coordinadora"/>
    <s v="3076861 - 84151128959"/>
    <d v="2025-02-10T00:00:00"/>
    <d v="2025-02-12T00:00:00"/>
    <s v="Entregado"/>
    <n v="0"/>
    <n v="2"/>
    <s v="Cumple"/>
    <n v="42921"/>
    <m/>
    <m/>
  </r>
  <r>
    <d v="2025-02-10T00:00:00"/>
    <x v="1"/>
    <n v="2438"/>
    <x v="0"/>
    <s v="Alejandro León Marín"/>
    <s v="TECUTCO6C"/>
    <x v="16"/>
    <n v="1"/>
    <x v="2"/>
    <s v="Bogotá y alrededores"/>
    <s v="Bogota"/>
    <s v="Despachado"/>
    <s v="Coordinadora"/>
    <s v="3076862 - 84151128960"/>
    <d v="2025-02-10T00:00:00"/>
    <d v="2025-02-12T00:00:00"/>
    <s v="Entregado"/>
    <n v="0"/>
    <n v="2"/>
    <s v="Cumple"/>
    <n v="24093"/>
    <m/>
    <m/>
  </r>
  <r>
    <d v="2025-02-10T00:00:00"/>
    <x v="1"/>
    <n v="2438"/>
    <x v="0"/>
    <s v="Alejandro León Marín"/>
    <s v="TECUBDPM"/>
    <x v="0"/>
    <n v="1"/>
    <x v="0"/>
    <s v="Bogotá y alrededores"/>
    <s v="Bogota"/>
    <s v="Despachado"/>
    <s v="Coordinadora"/>
    <s v="3076871 - 84151128965"/>
    <d v="2025-02-10T00:00:00"/>
    <d v="2025-02-12T00:00:00"/>
    <s v="Entregado"/>
    <n v="0"/>
    <n v="2"/>
    <s v="Cumple"/>
    <n v="16617"/>
    <m/>
    <m/>
  </r>
  <r>
    <d v="2025-02-10T00:00:00"/>
    <x v="1"/>
    <n v="2438"/>
    <x v="0"/>
    <s v="Alejandro León Marín"/>
    <s v="TECUCT"/>
    <x v="4"/>
    <n v="1"/>
    <x v="0"/>
    <s v="Bogotá y alrededores"/>
    <s v="Bogota"/>
    <s v="Despachado"/>
    <s v="Coordinadora"/>
    <s v="3076866 - 84151128963"/>
    <d v="2025-02-10T00:00:00"/>
    <d v="2025-02-12T00:00:00"/>
    <s v="Entregado"/>
    <n v="0"/>
    <n v="2"/>
    <s v="Cumple"/>
    <n v="24885"/>
    <m/>
    <m/>
  </r>
  <r>
    <d v="2025-02-10T00:00:00"/>
    <x v="1"/>
    <n v="2438"/>
    <x v="0"/>
    <s v="Alejandro León Marín"/>
    <m/>
    <x v="10"/>
    <n v="1"/>
    <x v="3"/>
    <s v="Bogotá y alrededores"/>
    <s v="Bogota"/>
    <s v="Instalacion"/>
    <s v="NA"/>
    <s v="NA"/>
    <s v="NA"/>
    <s v="NA"/>
    <s v="Entregado"/>
    <m/>
    <m/>
    <m/>
    <n v="0"/>
    <m/>
    <m/>
  </r>
  <r>
    <d v="2025-02-11T00:00:00"/>
    <x v="1"/>
    <n v="2439"/>
    <x v="0"/>
    <s v="SARA GALLON"/>
    <s v="TECU3FNPRO"/>
    <x v="12"/>
    <n v="1"/>
    <x v="1"/>
    <s v="Antioquia"/>
    <s v="Medellin"/>
    <s v="Despachado"/>
    <s v="Coordinadora"/>
    <s v="3079084 - 84151129998"/>
    <d v="2025-02-11T00:00:00"/>
    <d v="2025-02-12T00:00:00"/>
    <s v="Entregado"/>
    <n v="0"/>
    <n v="1"/>
    <s v="Cumple"/>
    <n v="42921"/>
    <m/>
    <m/>
  </r>
  <r>
    <d v="2025-02-11T00:00:00"/>
    <x v="1"/>
    <n v="2440"/>
    <x v="0"/>
    <s v="Johanna Rodero"/>
    <s v="TECUAB"/>
    <x v="44"/>
    <n v="1"/>
    <x v="5"/>
    <s v="Bogotá y alrededores"/>
    <s v="Bogota"/>
    <s v="Despachado"/>
    <s v="Coordinadora"/>
    <s v="3079174 - 954101147482"/>
    <d v="2025-02-11T00:00:00"/>
    <d v="2025-02-12T00:00:00"/>
    <s v="Entregado"/>
    <n v="0"/>
    <n v="1"/>
    <s v="Cumple"/>
    <n v="54929"/>
    <m/>
    <m/>
  </r>
  <r>
    <d v="2025-02-11T00:00:00"/>
    <x v="1"/>
    <n v="2441"/>
    <x v="0"/>
    <s v="Sebastian Casas"/>
    <s v="TECULFN2"/>
    <x v="7"/>
    <n v="1"/>
    <x v="1"/>
    <s v="Bogotá y alrededores"/>
    <s v="Bogota"/>
    <s v="Despachado"/>
    <s v="Coordinadora"/>
    <s v="3079240 - 84151130081"/>
    <d v="2025-02-11T00:00:00"/>
    <d v="2025-02-12T00:00:00"/>
    <s v="Entregado"/>
    <n v="0"/>
    <n v="1"/>
    <s v="Cumple"/>
    <n v="62530"/>
    <m/>
    <m/>
  </r>
  <r>
    <d v="2025-02-11T00:00:00"/>
    <x v="1"/>
    <n v="2441"/>
    <x v="0"/>
    <s v="Sebastian Casas"/>
    <s v="TECUTLCCS"/>
    <x v="45"/>
    <n v="1"/>
    <x v="2"/>
    <s v="Bogotá y alrededores"/>
    <s v="Bogota"/>
    <s v="Despachado"/>
    <s v="Coordinadora"/>
    <s v="3079242 - 84151130082"/>
    <d v="2025-02-11T00:00:00"/>
    <d v="2025-02-12T00:00:00"/>
    <s v="Entregado"/>
    <n v="0"/>
    <n v="1"/>
    <s v="Cumple"/>
    <n v="26749"/>
    <m/>
    <m/>
  </r>
  <r>
    <d v="2025-02-13T00:00:00"/>
    <x v="1"/>
    <n v="2442"/>
    <x v="0"/>
    <s v="Camilo Pimentel Gomez"/>
    <s v="TECU2FNG"/>
    <x v="5"/>
    <n v="1"/>
    <x v="1"/>
    <s v="Bogotá y alrededores"/>
    <s v="Bogota"/>
    <s v="Despachado"/>
    <s v="Coordinadora"/>
    <s v="3084198 - 84151132452"/>
    <d v="2025-02-13T00:00:00"/>
    <d v="2025-02-15T00:00:00"/>
    <s v="Entregado"/>
    <n v="0"/>
    <n v="2"/>
    <s v="Cumple"/>
    <n v="41593"/>
    <m/>
    <m/>
  </r>
  <r>
    <d v="2025-02-13T00:00:00"/>
    <x v="1"/>
    <n v="2442"/>
    <x v="0"/>
    <s v="Camilo Pimentel Gomez"/>
    <s v="TECUTCO2C"/>
    <x v="37"/>
    <n v="1"/>
    <x v="2"/>
    <s v="Bogotá y alrededores"/>
    <s v="Bogota"/>
    <s v="Despachado"/>
    <s v="Coordinadora"/>
    <s v="3084199 - 84151132453"/>
    <d v="2025-02-13T00:00:00"/>
    <d v="2025-02-17T00:00:00"/>
    <s v="Entregado"/>
    <n v="0"/>
    <n v="3"/>
    <s v="Cumple"/>
    <n v="24093"/>
    <m/>
    <m/>
  </r>
  <r>
    <d v="2025-02-14T00:00:00"/>
    <x v="1"/>
    <n v="2443"/>
    <x v="0"/>
    <s v="rodrigo rivera alarcon"/>
    <s v="TECU3FNPRO"/>
    <x v="12"/>
    <n v="1"/>
    <x v="1"/>
    <s v="Valle del Cauca"/>
    <s v="Cali"/>
    <s v="Despachado"/>
    <s v="Coordinadora"/>
    <s v="3085936 - 84151133206"/>
    <d v="2025-02-14T00:00:00"/>
    <d v="2025-02-15T00:00:00"/>
    <s v="Entregado"/>
    <n v="0"/>
    <n v="1"/>
    <s v="Cumple"/>
    <n v="42921"/>
    <m/>
    <m/>
  </r>
  <r>
    <d v="2025-02-14T00:00:00"/>
    <x v="1"/>
    <n v="2443"/>
    <x v="0"/>
    <s v="rodrigo rivera alarcon"/>
    <s v="TECUTCO6C"/>
    <x v="16"/>
    <n v="1"/>
    <x v="2"/>
    <s v="Valle del Cauca"/>
    <s v="Cali"/>
    <s v="Despachado"/>
    <s v="Coordinadora"/>
    <s v="3085937 - 84151133207"/>
    <d v="2025-02-14T00:00:00"/>
    <d v="2025-02-15T00:00:00"/>
    <s v="Entregado"/>
    <n v="0"/>
    <n v="1"/>
    <s v="Cumple"/>
    <n v="24093"/>
    <m/>
    <m/>
  </r>
  <r>
    <d v="2025-02-14T00:00:00"/>
    <x v="1"/>
    <n v="2444"/>
    <x v="0"/>
    <s v="Antonella Ramirez"/>
    <s v="TECU2FBGO"/>
    <x v="2"/>
    <n v="1"/>
    <x v="1"/>
    <s v="Risaralda"/>
    <s v="Pereira"/>
    <s v="Despachado"/>
    <s v="Coordinadora"/>
    <s v="3090347 - 84151134931"/>
    <d v="2025-02-17T00:00:00"/>
    <d v="2025-02-18T00:00:00"/>
    <s v="Entregado"/>
    <n v="2"/>
    <n v="3"/>
    <s v="Cumple"/>
    <n v="34156"/>
    <m/>
    <m/>
  </r>
  <r>
    <d v="2025-02-14T00:00:00"/>
    <x v="1"/>
    <n v="2444"/>
    <x v="0"/>
    <s v="Antonella Ramirez"/>
    <s v="TECUTB3C"/>
    <x v="46"/>
    <n v="1"/>
    <x v="2"/>
    <s v="Risaralda"/>
    <s v="Pereira"/>
    <s v="Despachado"/>
    <s v="Coordinadora"/>
    <s v="3090348 - 84151134932"/>
    <d v="2025-02-17T00:00:00"/>
    <d v="2025-02-18T00:00:00"/>
    <s v="Entregado"/>
    <n v="2"/>
    <n v="3"/>
    <s v="Cumple"/>
    <n v="15194"/>
    <m/>
    <m/>
  </r>
  <r>
    <d v="2025-02-17T00:00:00"/>
    <x v="1"/>
    <n v="2445"/>
    <x v="0"/>
    <s v="Andres Torres"/>
    <s v="TECUROD"/>
    <x v="31"/>
    <n v="2"/>
    <x v="7"/>
    <s v="Bogotá y alrededores"/>
    <s v="Bogota"/>
    <s v="Despachado"/>
    <s v="Coordinadora"/>
    <s v="3090669 - 84151135081"/>
    <d v="2025-02-17T00:00:00"/>
    <d v="2025-02-18T00:00:00"/>
    <s v="Entregado"/>
    <n v="0"/>
    <n v="1"/>
    <s v="Cumple"/>
    <n v="23875"/>
    <m/>
    <m/>
  </r>
  <r>
    <d v="2025-02-17T00:00:00"/>
    <x v="1"/>
    <n v="2446"/>
    <x v="0"/>
    <s v="Shorelight Education Colombia SAS"/>
    <s v="TECU2FNG"/>
    <x v="5"/>
    <n v="1"/>
    <x v="1"/>
    <s v="Bogotá y alrededores"/>
    <s v="Bogota"/>
    <s v="Despachado"/>
    <s v="Coordinadora"/>
    <s v="3091001 - 84151135253"/>
    <d v="2025-02-17T00:00:00"/>
    <d v="2025-02-18T00:00:00"/>
    <s v="Entregado"/>
    <n v="0"/>
    <n v="1"/>
    <s v="Cumple"/>
    <n v="41593"/>
    <m/>
    <m/>
  </r>
  <r>
    <d v="2025-02-17T00:00:00"/>
    <x v="1"/>
    <n v="2446"/>
    <x v="0"/>
    <s v="Shorelight Education Colombia SAS"/>
    <s v="TECUTCO3C"/>
    <x v="23"/>
    <n v="1"/>
    <x v="2"/>
    <s v="Bogotá y alrededores"/>
    <s v="Bogota"/>
    <s v="Despachado"/>
    <s v="Coordinadora"/>
    <s v="3091002 - 84151135254"/>
    <d v="2025-02-17T00:00:00"/>
    <d v="2025-02-18T00:00:00"/>
    <s v="Entregado"/>
    <n v="0"/>
    <n v="1"/>
    <s v="Cumple"/>
    <n v="24093"/>
    <m/>
    <m/>
  </r>
  <r>
    <d v="2025-02-17T00:00:00"/>
    <x v="1"/>
    <n v="2447"/>
    <x v="0"/>
    <s v="INMOTICA LTDA"/>
    <s v="TECU3FNPRO"/>
    <x v="12"/>
    <n v="1"/>
    <x v="1"/>
    <s v="Bogotá y alrededores"/>
    <s v="Bogota"/>
    <s v="Despachado"/>
    <s v="Coordinadora"/>
    <s v="3093202 - 84151136273"/>
    <d v="2025-02-18T00:00:00"/>
    <d v="2025-02-19T00:00:00"/>
    <s v="Entregado"/>
    <n v="1"/>
    <n v="2"/>
    <s v="Cumple"/>
    <n v="42921"/>
    <m/>
    <m/>
  </r>
  <r>
    <d v="2025-02-17T00:00:00"/>
    <x v="1"/>
    <n v="2447"/>
    <x v="0"/>
    <s v="INMOTICA LTDA"/>
    <s v="TECUTFE6M"/>
    <x v="47"/>
    <n v="1"/>
    <x v="2"/>
    <s v="Bogotá y alrededores"/>
    <s v="Bogota"/>
    <s v="Despachado"/>
    <s v="Coordinadora"/>
    <s v="3093203 - 84151136274"/>
    <d v="2025-02-18T00:00:00"/>
    <d v="2025-02-20T00:00:00"/>
    <s v="Entregado"/>
    <n v="1"/>
    <n v="3"/>
    <s v="Cumple"/>
    <n v="24093"/>
    <m/>
    <m/>
  </r>
  <r>
    <d v="2025-02-18T00:00:00"/>
    <x v="1"/>
    <n v="2448"/>
    <x v="0"/>
    <s v="Maria Bueno"/>
    <s v="TECU2FBGO"/>
    <x v="2"/>
    <n v="1"/>
    <x v="1"/>
    <s v="Bogotá y alrededores"/>
    <s v="Bogota"/>
    <s v="Despachado"/>
    <s v="Coordinadora"/>
    <s v="3093212 - 84151136283"/>
    <d v="2025-02-18T00:00:00"/>
    <d v="2025-02-19T00:00:00"/>
    <s v="Entregado"/>
    <n v="0"/>
    <n v="1"/>
    <s v="Cumple"/>
    <n v="41593"/>
    <m/>
    <m/>
  </r>
  <r>
    <d v="2025-02-18T00:00:00"/>
    <x v="1"/>
    <n v="2448"/>
    <x v="0"/>
    <s v="Maria Bueno"/>
    <s v="TECUTFE4C"/>
    <x v="14"/>
    <n v="1"/>
    <x v="2"/>
    <s v="Bogotá y alrededores"/>
    <s v="Bogota"/>
    <s v="Despachado"/>
    <s v="Coordinadora"/>
    <s v="3093214 - 84151136284"/>
    <d v="2025-02-18T00:00:00"/>
    <d v="2025-02-20T00:00:00"/>
    <s v="Entregado"/>
    <n v="0"/>
    <n v="2"/>
    <s v="Cumple"/>
    <n v="24093"/>
    <m/>
    <m/>
  </r>
  <r>
    <d v="2025-02-18T00:00:00"/>
    <x v="1"/>
    <n v="2448"/>
    <x v="0"/>
    <s v="Maria Bueno"/>
    <s v="TECUAFE"/>
    <x v="43"/>
    <n v="1"/>
    <x v="5"/>
    <s v="Bogotá y alrededores"/>
    <s v="Bogota"/>
    <s v="Despachado"/>
    <s v="Envia"/>
    <s v="3093235 - 954101152921"/>
    <d v="2025-02-18T00:00:00"/>
    <d v="2025-02-19T00:00:00"/>
    <s v="Entregado"/>
    <n v="0"/>
    <n v="1"/>
    <s v="Cumple"/>
    <n v="54929"/>
    <m/>
    <m/>
  </r>
  <r>
    <d v="2025-02-18T00:00:00"/>
    <x v="1"/>
    <n v="2448"/>
    <x v="0"/>
    <s v="Maria Bueno"/>
    <s v="TECUBDPM"/>
    <x v="0"/>
    <n v="1"/>
    <x v="0"/>
    <s v="Bogotá y alrededores"/>
    <s v="Bogota"/>
    <s v="Despachado"/>
    <s v="Coordinadora"/>
    <s v="3093225 - 84151136289"/>
    <d v="2025-02-18T00:00:00"/>
    <d v="2025-02-19T00:00:00"/>
    <s v="Entregado"/>
    <n v="0"/>
    <n v="1"/>
    <s v="Cumple"/>
    <n v="16617"/>
    <m/>
    <m/>
  </r>
  <r>
    <d v="2025-02-19T00:00:00"/>
    <x v="1"/>
    <n v="2449"/>
    <x v="0"/>
    <s v="Esteban de Bedout"/>
    <s v="TECUACO"/>
    <x v="15"/>
    <n v="1"/>
    <x v="5"/>
    <s v="Bogotá y alrededores"/>
    <s v="Bogota"/>
    <s v="Despachado"/>
    <s v="Envia"/>
    <s v="3094269 - 954101153161"/>
    <d v="2025-02-18T00:00:00"/>
    <d v="2025-02-19T00:00:00"/>
    <s v="Entregado"/>
    <n v="-3"/>
    <n v="0"/>
    <s v="Cumple"/>
    <n v="65682"/>
    <m/>
    <m/>
  </r>
  <r>
    <d v="2025-02-19T00:00:00"/>
    <x v="1"/>
    <n v="2450"/>
    <x v="0"/>
    <s v="Antonia Estrada"/>
    <s v="TECU2FNG"/>
    <x v="5"/>
    <n v="1"/>
    <x v="1"/>
    <s v="Antioquia"/>
    <s v="Envigado"/>
    <s v="Despachado"/>
    <s v="Coordinadora"/>
    <s v="3096424 - 84151137576"/>
    <d v="2025-02-18T00:00:00"/>
    <d v="2025-02-20T00:00:00"/>
    <s v="Entregado"/>
    <n v="-3"/>
    <n v="1"/>
    <s v="Cumple"/>
    <n v="41593"/>
    <m/>
    <m/>
  </r>
  <r>
    <d v="2025-02-19T00:00:00"/>
    <x v="1"/>
    <n v="2450"/>
    <x v="0"/>
    <s v="Antonia Estrada"/>
    <s v="TECUTRN6C"/>
    <x v="20"/>
    <n v="1"/>
    <x v="2"/>
    <s v="Antioquia"/>
    <s v="Envigado"/>
    <s v="Despachado"/>
    <s v="Coordinadora"/>
    <s v="3096425 - 84151137577"/>
    <d v="2025-02-18T00:00:00"/>
    <d v="2025-02-20T00:00:00"/>
    <s v="Entregado"/>
    <n v="-3"/>
    <n v="1"/>
    <s v="Cumple"/>
    <n v="24093"/>
    <m/>
    <m/>
  </r>
  <r>
    <d v="2025-02-19T00:00:00"/>
    <x v="1"/>
    <n v="2451"/>
    <x v="0"/>
    <s v="ZAFERI SAS"/>
    <s v="TECUACC"/>
    <x v="48"/>
    <n v="1"/>
    <x v="5"/>
    <s v="Antioquia"/>
    <s v="Envigado"/>
    <s v="Despachado"/>
    <s v="Envia"/>
    <s v="3097652 - 954101154334"/>
    <d v="2025-02-19T00:00:00"/>
    <d v="2025-02-20T00:00:00"/>
    <s v="Entregado"/>
    <n v="0"/>
    <n v="1"/>
    <s v="Cumple"/>
    <n v="65682"/>
    <m/>
    <m/>
  </r>
  <r>
    <d v="2025-02-19T00:00:00"/>
    <x v="1"/>
    <n v="2451"/>
    <x v="0"/>
    <s v="ZAFERI SAS"/>
    <s v="TECUCT"/>
    <x v="4"/>
    <n v="1"/>
    <x v="0"/>
    <s v="Antioquia"/>
    <s v="Envigado"/>
    <s v="Despachado"/>
    <s v="Envia"/>
    <s v="3097666 - 954101154347"/>
    <d v="2025-02-19T00:00:00"/>
    <d v="2025-02-20T00:00:00"/>
    <s v="Entregado"/>
    <n v="0"/>
    <n v="1"/>
    <s v="Cumple"/>
    <n v="20376"/>
    <m/>
    <m/>
  </r>
  <r>
    <d v="2025-02-23T00:00:00"/>
    <x v="1"/>
    <n v="2452"/>
    <x v="0"/>
    <s v="Daniel Corrales"/>
    <s v="TECULFN2"/>
    <x v="7"/>
    <n v="1"/>
    <x v="1"/>
    <s v="Bogotá y alrededores"/>
    <s v="Bogota"/>
    <s v="Despachado"/>
    <s v="Coordinadora"/>
    <s v="3105541 - 84151141166"/>
    <d v="2025-02-24T00:00:00"/>
    <d v="2025-02-26T00:00:00"/>
    <s v="Entregado"/>
    <n v="0"/>
    <n v="2"/>
    <s v="Cumple"/>
    <n v="62530"/>
    <m/>
    <m/>
  </r>
  <r>
    <d v="2025-02-23T00:00:00"/>
    <x v="1"/>
    <n v="2452"/>
    <x v="0"/>
    <s v="Daniel Corrales"/>
    <s v="TECUTLCCS"/>
    <x v="45"/>
    <n v="1"/>
    <x v="2"/>
    <s v="Bogotá y alrededores"/>
    <s v="Bogota"/>
    <s v="Despachado"/>
    <s v="Coordinadora"/>
    <s v="3105542 - 84151141167"/>
    <d v="2025-02-24T00:00:00"/>
    <d v="2025-02-26T00:00:00"/>
    <s v="Entregado"/>
    <n v="0"/>
    <n v="2"/>
    <s v="Cumple"/>
    <n v="25749"/>
    <m/>
    <m/>
  </r>
  <r>
    <d v="2025-02-05T00:00:00"/>
    <x v="1"/>
    <n v="2430"/>
    <x v="1"/>
    <s v="john ibanez"/>
    <s v="TECUTCO8C"/>
    <x v="19"/>
    <n v="1"/>
    <x v="2"/>
    <s v="Bogotá y alrededores"/>
    <s v="Bogota"/>
    <s v="Despachado"/>
    <s v="Coordinadora"/>
    <s v="3069906 - 954101144256"/>
    <d v="2025-02-06T00:00:00"/>
    <d v="2025-02-07T00:00:00"/>
    <s v="Entregado"/>
    <n v="1"/>
    <n v="2"/>
    <s v="Cumple"/>
    <n v="30834"/>
    <m/>
    <m/>
  </r>
  <r>
    <d v="2025-02-24T00:00:00"/>
    <x v="1"/>
    <n v="2454"/>
    <x v="0"/>
    <s v="Kevin Lopez"/>
    <s v="TECU2FNG"/>
    <x v="5"/>
    <n v="1"/>
    <x v="1"/>
    <s v="Bogotá y alrededores"/>
    <s v="Mosquera"/>
    <s v="Despachado"/>
    <s v="Coordinadora"/>
    <s v="3109084 -84151142667"/>
    <d v="2025-02-25T00:00:00"/>
    <d v="2025-02-27T15:00:19"/>
    <s v="Entregado"/>
    <n v="1"/>
    <n v="3"/>
    <s v="Cumple"/>
    <n v="41593"/>
    <m/>
    <m/>
  </r>
  <r>
    <d v="2025-02-24T00:00:00"/>
    <x v="1"/>
    <n v="2454"/>
    <x v="0"/>
    <s v="Kevin Lopez"/>
    <s v="TECUTFE4C"/>
    <x v="14"/>
    <n v="1"/>
    <x v="2"/>
    <s v="Bogotá y alrededores"/>
    <s v="Mosquera"/>
    <s v="Despachado"/>
    <s v="Coordinadora"/>
    <s v="3109085 -84151142668"/>
    <d v="2025-02-25T00:00:00"/>
    <d v="2025-02-27T15:05:28"/>
    <s v="Entregado"/>
    <n v="1"/>
    <n v="3"/>
    <s v="Cumple"/>
    <n v="24093"/>
    <m/>
    <m/>
  </r>
  <r>
    <d v="2025-02-25T00:00:00"/>
    <x v="1"/>
    <n v="2455"/>
    <x v="0"/>
    <s v="Kevin Lopez"/>
    <s v="TECU2FBGO"/>
    <x v="2"/>
    <n v="1"/>
    <x v="1"/>
    <s v="Bogotá y alrededores"/>
    <s v="Mosquera"/>
    <s v="Despachado"/>
    <s v="Coordinadora"/>
    <s v="3109094 -84151142672"/>
    <d v="2025-02-25T00:00:00"/>
    <d v="2025-02-27T15:05:28"/>
    <s v="Entregado"/>
    <n v="0"/>
    <n v="2"/>
    <s v="Cumple"/>
    <n v="41593"/>
    <m/>
    <m/>
  </r>
  <r>
    <d v="2025-02-25T00:00:00"/>
    <x v="1"/>
    <n v="2455"/>
    <x v="0"/>
    <s v="Kevin Lopez"/>
    <s v="TECUTFE4C"/>
    <x v="14"/>
    <n v="1"/>
    <x v="2"/>
    <s v="Bogotá y alrededores"/>
    <s v="Mosquera"/>
    <s v="Despachado"/>
    <s v="Coordinadora"/>
    <s v="3109095 -84151142673"/>
    <d v="2025-02-25T00:00:00"/>
    <d v="2025-02-27T15:00:19"/>
    <s v="Entregado"/>
    <n v="0"/>
    <n v="2"/>
    <s v="Cumple"/>
    <n v="24093"/>
    <m/>
    <m/>
  </r>
  <r>
    <d v="2025-02-25T00:00:00"/>
    <x v="1"/>
    <n v="2456"/>
    <x v="0"/>
    <s v="Juan Daniel Tobar Parada / SERVICIOS ESTRATEGICOS CMH, SAPI DE CV"/>
    <s v="TECU3FNPRO"/>
    <x v="12"/>
    <n v="1"/>
    <x v="1"/>
    <s v="Bogotá y alrededores"/>
    <s v="Bogota"/>
    <s v="Despachado"/>
    <s v="Coordinadora"/>
    <s v="3109970 -84151143085"/>
    <d v="2025-02-26T00:00:00"/>
    <d v="2025-02-27T12:17:44"/>
    <s v="Entregado"/>
    <n v="1"/>
    <n v="2"/>
    <s v="Cumple"/>
    <n v="42921"/>
    <m/>
    <m/>
  </r>
  <r>
    <d v="2025-02-25T00:00:00"/>
    <x v="1"/>
    <n v="2456"/>
    <x v="0"/>
    <s v="Juan Daniel Tobar Parada / SERVICIOS ESTRATEGICOS CMH, SAPI DE CV"/>
    <s v="TECUTRN2C"/>
    <x v="11"/>
    <n v="1"/>
    <x v="2"/>
    <s v="Bogotá y alrededores"/>
    <s v="Bogota"/>
    <s v="Despachado"/>
    <s v="Coordinadora"/>
    <s v="3109971 -84151143086"/>
    <d v="2025-02-26T00:00:00"/>
    <d v="2025-02-27T12:17:44"/>
    <s v="Entregado"/>
    <n v="1"/>
    <n v="2"/>
    <s v="Cumple"/>
    <n v="28741"/>
    <m/>
    <m/>
  </r>
  <r>
    <d v="2025-02-26T00:00:00"/>
    <x v="1"/>
    <n v="2457"/>
    <x v="0"/>
    <s v="Santiago Patiño"/>
    <s v="TECU3FNPRO"/>
    <x v="12"/>
    <n v="1"/>
    <x v="1"/>
    <s v="Antioquia"/>
    <s v="Medellin"/>
    <s v="Despachado"/>
    <s v="Coordinadora"/>
    <s v="3112625 -84151144131"/>
    <d v="2025-02-27T00:00:00"/>
    <d v="2025-02-28T00:00:00"/>
    <s v="Entregado"/>
    <n v="1"/>
    <n v="2"/>
    <s v="Cumple"/>
    <n v="42921"/>
    <m/>
    <m/>
  </r>
  <r>
    <d v="2025-02-26T00:00:00"/>
    <x v="1"/>
    <n v="2457"/>
    <x v="0"/>
    <s v="Santiago Patiño"/>
    <s v="TECUTCO4C"/>
    <x v="6"/>
    <n v="1"/>
    <x v="2"/>
    <s v="Antioquia"/>
    <s v="Medellin"/>
    <s v="Despachado"/>
    <s v="Coordinadora"/>
    <s v="3112627 -84151144132"/>
    <d v="2025-02-27T00:00:00"/>
    <d v="2025-02-27T09:53:23"/>
    <s v="Entregado"/>
    <n v="1"/>
    <n v="1"/>
    <s v="Cumple"/>
    <n v="24093"/>
    <m/>
    <m/>
  </r>
  <r>
    <d v="2025-02-26T00:00:00"/>
    <x v="1"/>
    <n v="2457"/>
    <x v="0"/>
    <s v="Santiago Patiño"/>
    <s v="TECUROD"/>
    <x v="31"/>
    <n v="1"/>
    <x v="7"/>
    <s v="Antioquia"/>
    <s v="Medellin"/>
    <s v="Despachado"/>
    <s v="Coordinadora"/>
    <s v="3112637 -84151144139"/>
    <d v="2025-02-27T00:00:00"/>
    <d v="2025-02-27T09:53:23"/>
    <s v="Entregado"/>
    <n v="1"/>
    <n v="1"/>
    <s v="Cumple"/>
    <n v="23875"/>
    <m/>
    <m/>
  </r>
  <r>
    <d v="2025-02-27T00:00:00"/>
    <x v="1"/>
    <n v="2458"/>
    <x v="0"/>
    <s v="Laura Romero"/>
    <s v="TECU2FBGO"/>
    <x v="2"/>
    <n v="1"/>
    <x v="1"/>
    <s v="Bogotá y alrededores"/>
    <s v="Cajica"/>
    <s v="Despachado"/>
    <s v="Coordinadora"/>
    <s v="3117134 -84151145965"/>
    <d v="2025-02-28T00:00:00"/>
    <d v="2025-03-03T14:06:50"/>
    <s v="Entregado"/>
    <n v="1"/>
    <n v="3"/>
    <s v="Cumple"/>
    <n v="41593"/>
    <m/>
    <m/>
  </r>
  <r>
    <d v="2025-02-27T00:00:00"/>
    <x v="1"/>
    <n v="2458"/>
    <x v="0"/>
    <s v="Laura Romero"/>
    <s v="TECUTFE4C"/>
    <x v="14"/>
    <n v="1"/>
    <x v="2"/>
    <s v="Bogotá y alrededores"/>
    <s v="Cajica"/>
    <s v="Despachado"/>
    <s v="Coordinadora"/>
    <s v="3117136 -84151145966"/>
    <d v="2025-02-28T00:00:00"/>
    <d v="2025-03-03T14:06:50"/>
    <s v="Entregado"/>
    <n v="1"/>
    <n v="3"/>
    <s v="Cumple"/>
    <n v="24093"/>
    <m/>
    <m/>
  </r>
  <r>
    <d v="2025-02-27T00:00:00"/>
    <x v="1"/>
    <n v="2458"/>
    <x v="0"/>
    <s v="Laura Romero"/>
    <s v="TECUROD"/>
    <x v="31"/>
    <n v="1"/>
    <x v="7"/>
    <s v="Bogotá y alrededores"/>
    <s v="Cajica"/>
    <s v="Despachado"/>
    <s v="Coordinadora"/>
    <s v="3117170 -84151145983"/>
    <d v="2025-02-28T00:00:00"/>
    <d v="2025-03-03T14:06:50"/>
    <s v="Entregado"/>
    <n v="1"/>
    <n v="3"/>
    <s v="Cumple"/>
    <n v="23875"/>
    <m/>
    <m/>
  </r>
  <r>
    <d v="2025-02-28T00:00:00"/>
    <x v="1"/>
    <n v="2459"/>
    <x v="0"/>
    <s v="Oscar Mauricio Pacheco Saavedra"/>
    <s v="TECUBDPA"/>
    <x v="1"/>
    <n v="1"/>
    <x v="0"/>
    <s v="Antioquia"/>
    <s v="Envigado"/>
    <s v="Despachado"/>
    <s v="Coordinadora"/>
    <s v="3117207 -84151145988"/>
    <d v="2025-02-28T00:00:00"/>
    <d v="2025-03-01T13:52:27"/>
    <s v="Entregado"/>
    <n v="0"/>
    <n v="1"/>
    <s v="Cumple"/>
    <n v="16617"/>
    <m/>
    <m/>
  </r>
  <r>
    <d v="2025-02-28T00:00:00"/>
    <x v="1"/>
    <n v="2460"/>
    <x v="0"/>
    <s v="Juan Daniel Tobar Parada / SERVICIOS ESTRATEGICOS CMH, SAPI DE CV"/>
    <s v="TECUCT"/>
    <x v="4"/>
    <n v="1"/>
    <x v="0"/>
    <s v="Bogotá y alrededores"/>
    <s v="Bogota"/>
    <s v="Despachado"/>
    <s v="Coordinadora"/>
    <s v="3117224 -84151145997"/>
    <d v="2025-02-28T00:00:00"/>
    <d v="2025-03-01T17:16:43"/>
    <s v="Entregado"/>
    <n v="0"/>
    <n v="1"/>
    <s v="Cumple"/>
    <n v="24885"/>
    <m/>
    <m/>
  </r>
  <r>
    <d v="2025-02-28T00:00:00"/>
    <x v="1"/>
    <n v="2461"/>
    <x v="0"/>
    <s v="Afranio Cardona Gomez"/>
    <s v="TECU3FNPRO"/>
    <x v="12"/>
    <n v="1"/>
    <x v="1"/>
    <s v="Santander"/>
    <s v="Bucaramanga"/>
    <s v="Despachado"/>
    <s v="Coordinadora"/>
    <s v="3144602 - 84151157538"/>
    <d v="2025-03-10T00:00:00"/>
    <d v="2025-03-11T00:00:00"/>
    <s v="Entregado"/>
    <n v="8"/>
    <n v="9"/>
    <s v="No cumple"/>
    <n v="56077"/>
    <m/>
    <m/>
  </r>
  <r>
    <d v="2025-02-28T00:00:00"/>
    <x v="1"/>
    <n v="2461"/>
    <x v="0"/>
    <s v="Afranio Cardona Gomez"/>
    <s v="TECUTRM8C"/>
    <x v="49"/>
    <n v="1"/>
    <x v="2"/>
    <s v="Santander"/>
    <s v="Bucaramanga"/>
    <s v="Despachado"/>
    <s v="Coordinadora"/>
    <s v="3144603 - 84151157539"/>
    <d v="2025-03-10T00:00:00"/>
    <d v="2025-03-11T00:00:00"/>
    <s v="Entregado"/>
    <n v="8"/>
    <n v="9"/>
    <s v="No cumple"/>
    <n v="39089"/>
    <m/>
    <m/>
  </r>
  <r>
    <d v="2025-02-28T00:00:00"/>
    <x v="1"/>
    <n v="2461"/>
    <x v="0"/>
    <s v="Afranio Cardona Gomez"/>
    <s v="TECUACO"/>
    <x v="15"/>
    <n v="1"/>
    <x v="5"/>
    <s v="Santander"/>
    <s v="Bucaramanga"/>
    <s v="Despachado"/>
    <s v="Envia"/>
    <s v="3138978 - 954101168244"/>
    <d v="2025-03-07T00:00:00"/>
    <d v="2025-03-10T00:00:00"/>
    <s v="Entregado"/>
    <n v="6"/>
    <n v="8"/>
    <s v="No cumple"/>
    <n v="112490"/>
    <m/>
    <m/>
  </r>
  <r>
    <d v="2025-02-28T00:00:00"/>
    <x v="1"/>
    <n v="2461"/>
    <x v="0"/>
    <s v="Afranio Cardona Gomez"/>
    <s v="TECUBDPA"/>
    <x v="1"/>
    <n v="1"/>
    <x v="0"/>
    <s v="Santander"/>
    <s v="Bucaramanga"/>
    <s v="Despachado"/>
    <s v="Coordinadora"/>
    <s v="3144699 - 84151157571"/>
    <d v="2025-03-10T00:00:00"/>
    <d v="2025-03-11T00:00:00"/>
    <s v="Entregado"/>
    <n v="8"/>
    <n v="9"/>
    <s v="No cumple"/>
    <n v="16617"/>
    <m/>
    <m/>
  </r>
  <r>
    <d v="2025-02-28T00:00:00"/>
    <x v="1"/>
    <n v="2461"/>
    <x v="0"/>
    <s v="Afranio Cardona Gomez"/>
    <s v="TECUCT"/>
    <x v="4"/>
    <n v="1"/>
    <x v="0"/>
    <s v="Santander"/>
    <s v="Bucaramanga"/>
    <s v="Despachado"/>
    <s v="Coordinadora"/>
    <s v="3144610 - 84151157543"/>
    <d v="2025-03-10T00:00:00"/>
    <d v="2025-03-11T00:00:00"/>
    <s v="Entregado"/>
    <n v="8"/>
    <n v="9"/>
    <s v="No cumple"/>
    <n v="24885"/>
    <m/>
    <m/>
  </r>
  <r>
    <d v="2025-03-01T00:00:00"/>
    <x v="2"/>
    <n v="2462"/>
    <x v="0"/>
    <s v="Jhon Anderson Monroy Cardenas"/>
    <s v="TECU3FNPRO"/>
    <x v="12"/>
    <n v="1"/>
    <x v="1"/>
    <s v="Antioquia"/>
    <s v="Medellin"/>
    <s v="Despachado"/>
    <s v="Coordinadora"/>
    <s v="3121638 -84151148036"/>
    <d v="2025-03-03T15:51:33"/>
    <d v="2025-03-04T10:03:23"/>
    <s v="Entregado"/>
    <n v="1"/>
    <n v="2"/>
    <s v="Cumple"/>
    <n v="42921"/>
    <m/>
    <m/>
  </r>
  <r>
    <d v="2025-03-01T00:00:00"/>
    <x v="2"/>
    <n v="2462"/>
    <x v="0"/>
    <s v="Jhon Anderson Monroy Cardenas"/>
    <s v="TECUTB8M"/>
    <x v="50"/>
    <n v="1"/>
    <x v="2"/>
    <s v="Antioquia"/>
    <s v="Medellin"/>
    <s v="Despachado"/>
    <s v="Coordinadora"/>
    <s v="3121640 -84151148037"/>
    <d v="2025-03-03T15:51:33"/>
    <d v="2025-03-04T10:20:02"/>
    <s v="Entregado"/>
    <n v="1"/>
    <n v="2"/>
    <s v="Cumple"/>
    <n v="26749"/>
    <m/>
    <m/>
  </r>
  <r>
    <d v="2025-03-02T00:00:00"/>
    <x v="2"/>
    <n v="2463"/>
    <x v="0"/>
    <s v="Jorge Delgado"/>
    <s v="TECU2FBGO"/>
    <x v="2"/>
    <n v="1"/>
    <x v="1"/>
    <s v="Valle del Cauca"/>
    <s v="Cali"/>
    <s v="Despachado"/>
    <s v="Coordinadora"/>
    <s v="3121907 -84151148156"/>
    <d v="2025-03-03T15:51:33"/>
    <d v="2025-03-04T11:34:12"/>
    <s v="Entregado"/>
    <n v="0"/>
    <n v="1"/>
    <s v="Cumple"/>
    <n v="41593"/>
    <m/>
    <m/>
  </r>
  <r>
    <d v="2025-03-02T00:00:00"/>
    <x v="2"/>
    <n v="2463"/>
    <x v="0"/>
    <s v="Jorge Delgado"/>
    <s v="TECUTFE3C"/>
    <x v="39"/>
    <n v="1"/>
    <x v="2"/>
    <s v="Valle del Cauca"/>
    <s v="Cali"/>
    <s v="Despachado"/>
    <s v="Coordinadora"/>
    <s v="3121913 -84151148159"/>
    <d v="2025-03-03T15:51:33"/>
    <d v="2025-03-04T11:34:12"/>
    <s v="Entregado"/>
    <n v="0"/>
    <n v="1"/>
    <s v="Cumple"/>
    <n v="24093"/>
    <m/>
    <m/>
  </r>
  <r>
    <d v="2025-03-03T00:00:00"/>
    <x v="2"/>
    <n v="2464"/>
    <x v="0"/>
    <s v="Juan David Herrera Martinez"/>
    <s v="TECU3FBRO"/>
    <x v="34"/>
    <n v="1"/>
    <x v="1"/>
    <s v="Antioquia"/>
    <s v="Medellin"/>
    <s v="Despachado"/>
    <s v="Coordinadora"/>
    <s v="3121937 -84151148173"/>
    <d v="2025-03-03T15:51:33"/>
    <d v="2025-03-04T10:07:44"/>
    <s v="Entregado"/>
    <n v="0"/>
    <n v="1"/>
    <s v="Cumple"/>
    <n v="42921"/>
    <m/>
    <m/>
  </r>
  <r>
    <d v="2025-03-03T00:00:00"/>
    <x v="2"/>
    <n v="2464"/>
    <x v="0"/>
    <s v="Juan David Herrera Martinez"/>
    <s v="TECUTFE5C"/>
    <x v="29"/>
    <n v="1"/>
    <x v="2"/>
    <s v="Antioquia"/>
    <s v="Medellin"/>
    <s v="Despachado"/>
    <s v="Coordinadora"/>
    <s v="3121938 -84151148174"/>
    <d v="2025-03-03T15:51:33"/>
    <d v="2025-03-04T10:07:44"/>
    <s v="Entregado"/>
    <n v="0"/>
    <n v="1"/>
    <s v="Cumple"/>
    <n v="24093"/>
    <m/>
    <m/>
  </r>
  <r>
    <d v="2025-03-03T00:00:00"/>
    <x v="2"/>
    <n v="2465"/>
    <x v="0"/>
    <s v="Luis Gabriel García Ramírez"/>
    <s v="TECU3FBRO"/>
    <x v="34"/>
    <n v="1"/>
    <x v="1"/>
    <s v="Antioquia"/>
    <s v="Marinilla"/>
    <s v="Despachado"/>
    <s v="Coordinadora"/>
    <s v="3127560 -84151149937"/>
    <d v="2025-03-04T15:47:29"/>
    <d v="2025-03-05T18:20:04"/>
    <s v="Entregado"/>
    <n v="1"/>
    <n v="2"/>
    <s v="Cumple"/>
    <n v="42921"/>
    <m/>
    <m/>
  </r>
  <r>
    <d v="2025-03-03T00:00:00"/>
    <x v="2"/>
    <n v="2465"/>
    <x v="0"/>
    <s v="Luis Gabriel García Ramírez"/>
    <s v="TECUTFE5C"/>
    <x v="29"/>
    <n v="1"/>
    <x v="2"/>
    <s v="Antioquia"/>
    <s v="Marinilla"/>
    <s v="Despachado"/>
    <s v="Coordinadora"/>
    <s v="3127562 -84151149938"/>
    <d v="2025-03-04T15:47:29"/>
    <d v="2025-03-05T18:20:04"/>
    <s v="Entregado"/>
    <n v="1"/>
    <n v="2"/>
    <s v="Cumple"/>
    <n v="24093"/>
    <m/>
    <m/>
  </r>
  <r>
    <d v="2025-03-03T00:00:00"/>
    <x v="2"/>
    <n v="2466"/>
    <x v="0"/>
    <s v="Jorge Alberto Eslava Cogollos"/>
    <s v="TECURCO"/>
    <x v="30"/>
    <n v="1"/>
    <x v="6"/>
    <s v="Bogotá y alrededores"/>
    <s v="Bogota"/>
    <s v="Despachado"/>
    <s v="Coordinadora"/>
    <s v="3127712 -84151150031"/>
    <d v="2025-03-04T15:47:29"/>
    <d v="2025-03-06T09:33:29"/>
    <s v="Entregado"/>
    <n v="1"/>
    <n v="3"/>
    <s v="Cumple"/>
    <n v="23429"/>
    <m/>
    <m/>
  </r>
  <r>
    <d v="2025-03-04T00:00:00"/>
    <x v="2"/>
    <n v="2467"/>
    <x v="0"/>
    <s v="Camilo Luna"/>
    <s v="TECU3FNPRO"/>
    <x v="12"/>
    <n v="1"/>
    <x v="1"/>
    <s v="Bogotá y alrededores"/>
    <s v="Bogota"/>
    <s v="Despachado"/>
    <s v="Coordinadora"/>
    <s v="3127532 - 84151149926"/>
    <d v="2025-03-04T00:00:00"/>
    <d v="2025-03-05T00:00:00"/>
    <s v="Entregado"/>
    <n v="0"/>
    <n v="1"/>
    <s v="Cumple"/>
    <n v="42921"/>
    <m/>
    <m/>
  </r>
  <r>
    <d v="2025-03-04T00:00:00"/>
    <x v="2"/>
    <n v="2467"/>
    <x v="0"/>
    <s v="Camilo Luna"/>
    <s v="TECUTCO8C"/>
    <x v="19"/>
    <n v="1"/>
    <x v="2"/>
    <s v="Bogotá y alrededores"/>
    <s v="Bogota"/>
    <s v="Despachado"/>
    <s v="Coordinadora"/>
    <s v="3127533 - 84151149927"/>
    <d v="2025-03-04T00:00:00"/>
    <d v="2025-03-06T00:00:00"/>
    <s v="Entregado"/>
    <n v="0"/>
    <n v="2"/>
    <s v="Cumple"/>
    <n v="26749"/>
    <m/>
    <m/>
  </r>
  <r>
    <d v="2025-03-04T00:00:00"/>
    <x v="2"/>
    <n v="2467"/>
    <x v="0"/>
    <s v="Camilo Luna"/>
    <s v="TECUACO"/>
    <x v="15"/>
    <n v="1"/>
    <x v="5"/>
    <s v="Bogotá y alrededores"/>
    <s v="Bogota"/>
    <s v="Despachado"/>
    <s v="Envia"/>
    <s v="3135236 - 954101167164"/>
    <d v="2025-03-04T00:00:00"/>
    <d v="2025-03-07T00:00:00"/>
    <s v="Entregado"/>
    <n v="0"/>
    <n v="3"/>
    <s v="Cumple"/>
    <n v="54929"/>
    <m/>
    <m/>
  </r>
  <r>
    <d v="2025-03-04T00:00:00"/>
    <x v="2"/>
    <n v="2468"/>
    <x v="0"/>
    <s v="Katherin Hernández"/>
    <s v="TECU3FNPRO"/>
    <x v="12"/>
    <n v="1"/>
    <x v="1"/>
    <s v="Antioquia"/>
    <s v="Medellin"/>
    <s v="Despachado"/>
    <s v="Coordinadora"/>
    <s v="3127792 - 84151150086"/>
    <d v="2025-03-04T00:00:00"/>
    <d v="2025-03-07T00:00:00"/>
    <s v="Entregado"/>
    <n v="0"/>
    <n v="3"/>
    <s v="Cumple"/>
    <n v="42921"/>
    <m/>
    <m/>
  </r>
  <r>
    <d v="2025-03-04T00:00:00"/>
    <x v="2"/>
    <n v="2468"/>
    <x v="0"/>
    <s v="Katherin Hernández"/>
    <s v="TECUTCO5C"/>
    <x v="51"/>
    <n v="1"/>
    <x v="2"/>
    <s v="Antioquia"/>
    <s v="Medellin"/>
    <s v="Despachado"/>
    <s v="Coordinadora"/>
    <s v="3127888 - 84151150087"/>
    <d v="2025-03-04T00:00:00"/>
    <d v="2025-03-07T00:00:00"/>
    <s v="Entregado"/>
    <n v="0"/>
    <n v="3"/>
    <s v="Cumple"/>
    <n v="24093"/>
    <m/>
    <m/>
  </r>
  <r>
    <d v="2025-03-04T00:00:00"/>
    <x v="2"/>
    <n v="2468"/>
    <x v="0"/>
    <s v="Katherin Hernández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3-04T00:00:00"/>
    <x v="2"/>
    <n v="2469"/>
    <x v="0"/>
    <s v="Mauro Aguilar Bustamante"/>
    <s v="TECU3FNPRO"/>
    <x v="12"/>
    <n v="1"/>
    <x v="1"/>
    <s v="Antioquia"/>
    <s v="Bello"/>
    <s v="Despachado"/>
    <s v="Coordinadora"/>
    <s v="3131151 - 84151151422"/>
    <d v="2025-03-04T00:00:00"/>
    <d v="2025-03-06T00:00:00"/>
    <s v="Entregado"/>
    <n v="0"/>
    <n v="2"/>
    <s v="Cumple"/>
    <n v="42921"/>
    <m/>
    <m/>
  </r>
  <r>
    <d v="2025-03-04T00:00:00"/>
    <x v="2"/>
    <n v="2469"/>
    <x v="0"/>
    <s v="Mauro Aguilar Bustamante"/>
    <s v="TECUTRN5M"/>
    <x v="52"/>
    <n v="1"/>
    <x v="2"/>
    <s v="Antioquia"/>
    <s v="Bello"/>
    <s v="Despachado"/>
    <s v="Coordinadora"/>
    <s v="3131152 - 84151151424"/>
    <d v="2025-03-04T00:00:00"/>
    <d v="2025-03-06T00:00:00"/>
    <s v="Entregado"/>
    <n v="0"/>
    <n v="2"/>
    <s v="Cumple"/>
    <n v="24093"/>
    <m/>
    <m/>
  </r>
  <r>
    <d v="2025-03-06T00:00:00"/>
    <x v="2"/>
    <n v="2470"/>
    <x v="0"/>
    <s v="Eric Mitchell"/>
    <s v="TECULFN2"/>
    <x v="7"/>
    <n v="1"/>
    <x v="1"/>
    <s v="Antioquia"/>
    <s v="Envigado"/>
    <s v="Despachado"/>
    <s v="Coordinadora"/>
    <s v="3134270 - 84151152886"/>
    <d v="2025-03-06T00:00:00"/>
    <d v="2025-03-07T00:00:00"/>
    <s v="Entregado"/>
    <n v="0"/>
    <n v="1"/>
    <s v="Cumple"/>
    <n v="62530"/>
    <m/>
    <m/>
  </r>
  <r>
    <d v="2025-03-06T00:00:00"/>
    <x v="2"/>
    <n v="2470"/>
    <x v="0"/>
    <s v="Eric Mitchell"/>
    <s v="TECUTLNS"/>
    <x v="17"/>
    <n v="1"/>
    <x v="2"/>
    <s v="Antioquia"/>
    <s v="Envigado"/>
    <s v="Despachado"/>
    <s v="Coordinadora"/>
    <s v="3134273 - 84151152887"/>
    <d v="2025-03-06T00:00:00"/>
    <d v="2025-03-07T00:00:00"/>
    <s v="Entregado"/>
    <n v="0"/>
    <n v="1"/>
    <s v="Cumple"/>
    <n v="26749"/>
    <m/>
    <m/>
  </r>
  <r>
    <d v="2025-03-06T00:00:00"/>
    <x v="2"/>
    <n v="2470"/>
    <x v="0"/>
    <s v="Eric Mitchell"/>
    <m/>
    <x v="10"/>
    <n v="1"/>
    <x v="3"/>
    <s v="Antioquia"/>
    <s v="Envigado"/>
    <s v="Instalacion"/>
    <s v="NA"/>
    <s v="NA"/>
    <s v="NA"/>
    <s v="NA"/>
    <s v="Entregado"/>
    <s v="PTE"/>
    <e v="#VALUE!"/>
    <e v="#VALUE!"/>
    <n v="0"/>
    <m/>
    <m/>
  </r>
  <r>
    <d v="2025-03-06T00:00:00"/>
    <x v="2"/>
    <n v="2471"/>
    <x v="0"/>
    <s v="Daniel Turriago"/>
    <s v="TECU3FNPRO"/>
    <x v="12"/>
    <n v="1"/>
    <x v="1"/>
    <s v="Bogotá y alrededores"/>
    <s v="Bogota"/>
    <s v="Despachado"/>
    <s v="Coordinadora"/>
    <s v="3134290 - 84151152892"/>
    <d v="2025-03-06T00:00:00"/>
    <d v="2025-03-07T00:00:00"/>
    <s v="Entregado"/>
    <n v="0"/>
    <n v="1"/>
    <s v="Cumple"/>
    <n v="42921"/>
    <m/>
    <m/>
  </r>
  <r>
    <d v="2025-03-06T00:00:00"/>
    <x v="2"/>
    <n v="2471"/>
    <x v="0"/>
    <s v="Daniel Turriago"/>
    <s v="TECUTCO6C"/>
    <x v="16"/>
    <n v="1"/>
    <x v="2"/>
    <s v="Bogotá y alrededores"/>
    <s v="Bogota"/>
    <s v="Despachado"/>
    <s v="Coordinadora"/>
    <s v="3134293 - 84151152894"/>
    <d v="2025-03-06T00:00:00"/>
    <d v="2025-03-07T00:00:00"/>
    <s v="Entregado"/>
    <n v="0"/>
    <n v="1"/>
    <s v="Cumple"/>
    <n v="24093"/>
    <m/>
    <m/>
  </r>
  <r>
    <d v="2025-03-06T00:00:00"/>
    <x v="2"/>
    <n v="2472"/>
    <x v="0"/>
    <s v="Julian Vanegas Medina"/>
    <s v="TECURN"/>
    <x v="18"/>
    <n v="1"/>
    <x v="6"/>
    <s v="Bogotá y alrededores"/>
    <s v="Bogota"/>
    <s v="Despachado"/>
    <s v="Coordinadora"/>
    <s v="3135222 - 84151153334"/>
    <d v="2025-03-06T00:00:00"/>
    <d v="2025-03-07T00:00:00"/>
    <s v="Entregado"/>
    <n v="0"/>
    <n v="1"/>
    <s v="Cumple"/>
    <n v="23429"/>
    <m/>
    <m/>
  </r>
  <r>
    <d v="2025-03-07T00:00:00"/>
    <x v="2"/>
    <n v="2473"/>
    <x v="0"/>
    <s v="Nubia Sabogal"/>
    <s v="TECU3FNPRO"/>
    <x v="12"/>
    <n v="1"/>
    <x v="1"/>
    <s v="Bogotá y alrededores"/>
    <s v="Bogota"/>
    <s v="Despachado"/>
    <s v="Coordinadora"/>
    <s v="3137243 - 84151154226"/>
    <d v="2025-03-07T00:00:00"/>
    <d v="2025-03-08T00:00:00"/>
    <s v="Entregado"/>
    <n v="0"/>
    <n v="1"/>
    <s v="Cumple"/>
    <n v="42921"/>
    <m/>
    <m/>
  </r>
  <r>
    <d v="2025-03-07T00:00:00"/>
    <x v="2"/>
    <n v="2473"/>
    <x v="0"/>
    <s v="Nubia Sabogal"/>
    <s v="TECUTFE7C"/>
    <x v="53"/>
    <n v="1"/>
    <x v="2"/>
    <s v="Bogotá y alrededores"/>
    <s v="Bogota"/>
    <s v="Despachado"/>
    <s v="Coordinadora"/>
    <s v="3137245 - 84151154228"/>
    <d v="2025-03-07T00:00:00"/>
    <d v="2025-03-08T00:00:00"/>
    <s v="Entregado"/>
    <n v="0"/>
    <n v="1"/>
    <s v="Cumple"/>
    <n v="24093"/>
    <m/>
    <m/>
  </r>
  <r>
    <d v="2025-03-07T00:00:00"/>
    <x v="2"/>
    <n v="2474"/>
    <x v="0"/>
    <s v="Juan Pablo Castaño Tabares"/>
    <s v="TECU3FNPRO"/>
    <x v="12"/>
    <n v="1"/>
    <x v="1"/>
    <s v="Bogotá y alrededores"/>
    <s v="Bogota"/>
    <s v="Despachado"/>
    <s v="Coordinadora"/>
    <s v="3137375 - 84151154253"/>
    <d v="2025-03-07T00:00:00"/>
    <d v="2025-03-10T00:00:00"/>
    <s v="Entregado"/>
    <n v="0"/>
    <n v="2"/>
    <s v="Cumple"/>
    <n v="42921"/>
    <m/>
    <m/>
  </r>
  <r>
    <d v="2025-03-07T00:00:00"/>
    <x v="2"/>
    <n v="2474"/>
    <x v="0"/>
    <s v="Juan Pablo Castaño Tabares"/>
    <s v="TECUTCO8C"/>
    <x v="19"/>
    <n v="1"/>
    <x v="2"/>
    <s v="Bogotá y alrededores"/>
    <s v="Bogota"/>
    <s v="Despachado"/>
    <s v="Coordinadora"/>
    <s v="3137376 - 84151154254"/>
    <d v="2025-03-07T00:00:00"/>
    <d v="2025-03-10T00:00:00"/>
    <s v="Entregado"/>
    <n v="0"/>
    <n v="2"/>
    <s v="Cumple"/>
    <n v="26749"/>
    <m/>
    <m/>
  </r>
  <r>
    <d v="2025-03-10T00:00:00"/>
    <x v="2"/>
    <n v="2475"/>
    <x v="0"/>
    <s v="Johan Javier Morales Parrado"/>
    <s v="TECUACC"/>
    <x v="48"/>
    <n v="1"/>
    <x v="5"/>
    <s v="Bogotá y alrededores"/>
    <s v="Bogota"/>
    <s v="Despachado"/>
    <s v="Envia"/>
    <s v="3143030 - 954101169505"/>
    <d v="2025-03-10T00:00:00"/>
    <d v="2025-03-11T00:00:00"/>
    <s v="Entregado"/>
    <n v="0"/>
    <n v="1"/>
    <s v="Cumple"/>
    <n v="54929"/>
    <m/>
    <m/>
  </r>
  <r>
    <d v="2025-03-10T00:00:00"/>
    <x v="2"/>
    <n v="2476"/>
    <x v="0"/>
    <s v="Hernando Alvernia Navarro"/>
    <s v="TECU2FNG"/>
    <x v="5"/>
    <n v="1"/>
    <x v="1"/>
    <s v="Norte de Santander"/>
    <s v="Los patios"/>
    <s v="Despachado"/>
    <s v="Coordinadora"/>
    <s v="3144424  - 84151157437"/>
    <d v="2025-03-10T00:00:00"/>
    <d v="2025-03-13T00:00:00"/>
    <s v="Entregado"/>
    <n v="0"/>
    <n v="3"/>
    <e v="#N/A"/>
    <n v="59835"/>
    <m/>
    <m/>
  </r>
  <r>
    <d v="2025-03-10T00:00:00"/>
    <x v="2"/>
    <n v="2476"/>
    <x v="0"/>
    <s v="Hernando Alvernia Navarro"/>
    <s v="TECUTCO6C"/>
    <x v="16"/>
    <n v="1"/>
    <x v="2"/>
    <s v="Norte de Santander"/>
    <s v="Los patios"/>
    <s v="Despachado"/>
    <s v="Coordinadora"/>
    <s v="3144479 - 84151157466"/>
    <d v="2025-03-10T00:00:00"/>
    <d v="2025-03-13T00:00:00"/>
    <s v="Entregado"/>
    <n v="0"/>
    <n v="3"/>
    <e v="#N/A"/>
    <n v="39078"/>
    <m/>
    <m/>
  </r>
  <r>
    <d v="2025-03-10T00:00:00"/>
    <x v="2"/>
    <n v="2477"/>
    <x v="0"/>
    <s v="Hernando Alvernia Navarro"/>
    <s v="TECUBDPA"/>
    <x v="1"/>
    <n v="1"/>
    <x v="0"/>
    <s v="Norte de Santander"/>
    <s v="Los patios"/>
    <s v="Despachado"/>
    <s v="Coordinadora"/>
    <s v="3144499 - 84151157484"/>
    <d v="2025-03-10T00:00:00"/>
    <d v="2025-03-13T00:00:00"/>
    <s v="Entregado"/>
    <n v="0"/>
    <n v="3"/>
    <e v="#N/A"/>
    <n v="16617"/>
    <m/>
    <m/>
  </r>
  <r>
    <d v="2025-03-10T00:00:00"/>
    <x v="2"/>
    <n v="2478"/>
    <x v="0"/>
    <s v="Juan Sebastian Sanchez Samudio"/>
    <s v="TECUROD"/>
    <x v="31"/>
    <n v="1"/>
    <x v="7"/>
    <s v="Bogotá y alrededores"/>
    <s v="Bogota"/>
    <s v="Despachado"/>
    <s v="Coordinadora"/>
    <s v="3143050 - 84151156582"/>
    <d v="2025-03-10T00:00:00"/>
    <d v="2025-03-11T00:00:00"/>
    <s v="Entregado"/>
    <n v="0"/>
    <n v="1"/>
    <s v="Cumple"/>
    <n v="23875"/>
    <m/>
    <m/>
  </r>
  <r>
    <d v="2025-03-10T00:00:00"/>
    <x v="2"/>
    <n v="2479"/>
    <x v="0"/>
    <s v="Miguel Montañez"/>
    <s v="TECU3FNPRO"/>
    <x v="12"/>
    <n v="1"/>
    <x v="1"/>
    <s v="Bogotá y alrededores"/>
    <s v="Bogota"/>
    <s v="Despachado"/>
    <s v="Coordinadora"/>
    <s v="3143067 - 84151156591"/>
    <d v="2025-03-10T00:00:00"/>
    <d v="2025-03-12T00:00:00"/>
    <s v="Entregado"/>
    <n v="0"/>
    <n v="2"/>
    <s v="Cumple"/>
    <n v="42921"/>
    <m/>
    <m/>
  </r>
  <r>
    <d v="2025-03-10T00:00:00"/>
    <x v="2"/>
    <n v="2479"/>
    <x v="0"/>
    <s v="Miguel Montañez"/>
    <s v="TECUTFE4C"/>
    <x v="14"/>
    <n v="1"/>
    <x v="2"/>
    <s v="Bogotá y alrededores"/>
    <s v="Bogota"/>
    <s v="Despachado"/>
    <s v="Coordinadora"/>
    <s v="3143069 - 84151156592"/>
    <d v="2025-03-10T00:00:00"/>
    <d v="2025-03-12T00:00:00"/>
    <s v="Entregado"/>
    <n v="0"/>
    <n v="2"/>
    <s v="Cumple"/>
    <n v="24093"/>
    <m/>
    <m/>
  </r>
  <r>
    <d v="2025-03-10T00:00:00"/>
    <x v="2"/>
    <n v="2480"/>
    <x v="0"/>
    <s v="Henry Stivent Montaño Ramirez"/>
    <s v="TECU2FNG"/>
    <x v="5"/>
    <n v="1"/>
    <x v="1"/>
    <s v="Antioquia"/>
    <s v="Medellin"/>
    <s v="Despachado"/>
    <s v="Coordinadora"/>
    <s v="3147501 - 84151158507"/>
    <d v="2025-03-11T00:00:00"/>
    <d v="2025-03-12T00:00:00"/>
    <s v="Entregado"/>
    <n v="1"/>
    <n v="2"/>
    <s v="Cumple"/>
    <n v="24093"/>
    <m/>
    <m/>
  </r>
  <r>
    <d v="2025-03-10T00:00:00"/>
    <x v="2"/>
    <n v="2480"/>
    <x v="0"/>
    <s v="Henry Stivent Montaño Ramirez"/>
    <s v="TECUTCO5C"/>
    <x v="51"/>
    <n v="1"/>
    <x v="2"/>
    <s v="Antioquia"/>
    <s v="Medellin"/>
    <s v="Despachado"/>
    <s v="Coordinadora"/>
    <s v="3147502 - 84151158511"/>
    <d v="2025-03-11T00:00:00"/>
    <d v="2025-03-12T00:00:00"/>
    <s v="Entregado"/>
    <n v="1"/>
    <n v="2"/>
    <s v="Cumple"/>
    <n v="41593"/>
    <m/>
    <m/>
  </r>
  <r>
    <d v="2025-03-10T00:00:00"/>
    <x v="2"/>
    <n v="2481"/>
    <x v="0"/>
    <s v="edwar camilo ortiz quintero"/>
    <s v="TECU3FNPRO"/>
    <x v="12"/>
    <n v="1"/>
    <x v="1"/>
    <s v="Norte de Santander"/>
    <s v="Villa del rosario"/>
    <s v="Despachado"/>
    <s v="Coordinadora"/>
    <s v="3148825 - 84151159185"/>
    <d v="2025-03-11T00:00:00"/>
    <d v="2025-03-13T00:00:00"/>
    <s v="Entregado"/>
    <n v="1"/>
    <n v="3"/>
    <e v="#N/A"/>
    <n v="67467"/>
    <m/>
    <m/>
  </r>
  <r>
    <d v="2025-03-10T00:00:00"/>
    <x v="2"/>
    <n v="2481"/>
    <x v="0"/>
    <s v="edwar camilo ortiz quintero"/>
    <s v="TECUTFE8C"/>
    <x v="21"/>
    <n v="1"/>
    <x v="2"/>
    <s v="Norte de Santander"/>
    <s v="Villa del rosario"/>
    <s v="Despachado"/>
    <s v="Coordinadora"/>
    <s v="3148806 - 84151159175"/>
    <d v="2025-03-11T00:00:00"/>
    <d v="2025-03-13T00:00:00"/>
    <s v="Entregado"/>
    <n v="1"/>
    <n v="3"/>
    <e v="#N/A"/>
    <n v="48840"/>
    <m/>
    <m/>
  </r>
  <r>
    <d v="2025-03-10T00:00:00"/>
    <x v="2"/>
    <n v="2481"/>
    <x v="0"/>
    <s v="edwar camilo ortiz quintero"/>
    <s v="TECUCT"/>
    <x v="4"/>
    <n v="1"/>
    <x v="0"/>
    <s v="Norte de Santander"/>
    <s v="Villa del rosario"/>
    <s v="Despachado"/>
    <s v="Coordinadora"/>
    <s v="3148859 - 84151159199"/>
    <d v="2025-03-11T00:00:00"/>
    <d v="2025-03-13T00:00:00"/>
    <s v="Entregado"/>
    <n v="1"/>
    <n v="3"/>
    <e v="#N/A"/>
    <n v="39762"/>
    <m/>
    <m/>
  </r>
  <r>
    <d v="2025-03-12T00:00:00"/>
    <x v="2"/>
    <n v="2482"/>
    <x v="0"/>
    <s v="HECTOR JAVIER LOPEZ DIAZ  - INMOTICA LTDA"/>
    <s v="TECUACC"/>
    <x v="48"/>
    <n v="1"/>
    <x v="5"/>
    <s v="Bogotá y alrededores"/>
    <s v="Bogota"/>
    <s v="Despachado"/>
    <s v="Envia"/>
    <s v="3148896 - 954101171161"/>
    <d v="2025-03-11T00:00:00"/>
    <d v="2025-03-12T00:00:00"/>
    <s v="Entregado"/>
    <n v="-3"/>
    <n v="0"/>
    <s v="Cumple"/>
    <n v="54929"/>
    <m/>
    <m/>
  </r>
  <r>
    <d v="2025-03-12T00:00:00"/>
    <x v="2"/>
    <n v="2483"/>
    <x v="0"/>
    <s v="Santiago Zapata"/>
    <s v="TECU2FNG"/>
    <x v="5"/>
    <n v="1"/>
    <x v="1"/>
    <s v="Antioquia"/>
    <s v="Medellin"/>
    <s v="Despachado"/>
    <s v="Coordinadora"/>
    <s v="3151177 - 84151159943"/>
    <d v="2025-03-12T00:00:00"/>
    <d v="2025-03-13T00:00:00"/>
    <s v="Entregado"/>
    <n v="0"/>
    <n v="1"/>
    <s v="Cumple"/>
    <n v="41593"/>
    <m/>
    <m/>
  </r>
  <r>
    <d v="2025-03-12T00:00:00"/>
    <x v="2"/>
    <n v="2483"/>
    <x v="0"/>
    <s v="Santiago Zapata"/>
    <s v="TECUTRN6C"/>
    <x v="20"/>
    <n v="1"/>
    <x v="2"/>
    <s v="Antioquia"/>
    <s v="Medellin"/>
    <s v="Despachado"/>
    <s v="Coordinadora"/>
    <s v="3151178 - 84151159946"/>
    <d v="2025-03-12T00:00:00"/>
    <d v="2025-03-13T00:00:00"/>
    <s v="Entregado"/>
    <n v="0"/>
    <n v="1"/>
    <s v="Cumple"/>
    <n v="24093"/>
    <m/>
    <m/>
  </r>
  <r>
    <d v="2025-03-12T00:00:00"/>
    <x v="2"/>
    <n v="2484"/>
    <x v="0"/>
    <s v="David Cadavid"/>
    <s v="TECUROD"/>
    <x v="31"/>
    <n v="1"/>
    <x v="7"/>
    <s v="Antioquia"/>
    <s v="Envigado"/>
    <s v="Despachado"/>
    <s v="Coordinadora"/>
    <s v="3152104 - 84151160248"/>
    <d v="2025-03-12T00:00:00"/>
    <d v="2025-03-13T00:00:00"/>
    <s v="Entregado"/>
    <n v="0"/>
    <n v="1"/>
    <s v="Cumple"/>
    <n v="23875"/>
    <m/>
    <m/>
  </r>
  <r>
    <d v="2025-03-12T00:00:00"/>
    <x v="2"/>
    <n v="2484"/>
    <x v="0"/>
    <s v="David Cadavid"/>
    <s v="TECUTBANTE"/>
    <x v="54"/>
    <n v="1"/>
    <x v="0"/>
    <s v="Antioquia"/>
    <s v="Envigado"/>
    <s v="Despachado"/>
    <s v="Coordinadora"/>
    <s v="3152087 - 84151160236"/>
    <d v="2025-03-12T00:00:00"/>
    <d v="2025-03-14T00:00:00"/>
    <s v="Entregado"/>
    <n v="0"/>
    <n v="2"/>
    <s v="Cumple"/>
    <n v="39225"/>
    <m/>
    <m/>
  </r>
  <r>
    <d v="2025-03-17T00:00:00"/>
    <x v="2"/>
    <n v="2485"/>
    <x v="0"/>
    <s v="Andres Dario Sanchez Lugo"/>
    <s v="TECU3FNPRO"/>
    <x v="12"/>
    <n v="1"/>
    <x v="1"/>
    <s v="Bogotá y alrededores"/>
    <s v="Bogota"/>
    <s v="Despachado"/>
    <s v="Coordinadora"/>
    <s v="3178028 - 84151171291"/>
    <d v="2025-03-21T00:00:00"/>
    <d v="2025-03-26T00:00:00"/>
    <s v="Entregado"/>
    <n v="4"/>
    <n v="7"/>
    <s v="No cumple"/>
    <n v="42921"/>
    <m/>
    <m/>
  </r>
  <r>
    <d v="2025-03-17T00:00:00"/>
    <x v="2"/>
    <n v="2485"/>
    <x v="0"/>
    <s v="Andres Dario Sanchez Lugo"/>
    <s v="TECUTRM5C"/>
    <x v="27"/>
    <n v="1"/>
    <x v="2"/>
    <s v="Bogotá y alrededores"/>
    <s v="Bogota"/>
    <s v="Despachado"/>
    <s v="Coordinadora"/>
    <s v="3178029 - 84151171292"/>
    <d v="2025-03-21T00:00:00"/>
    <d v="2025-03-26T00:00:00"/>
    <s v="Entregado"/>
    <n v="4"/>
    <n v="7"/>
    <s v="No cumple"/>
    <n v="24593"/>
    <m/>
    <m/>
  </r>
  <r>
    <d v="2025-03-17T00:00:00"/>
    <x v="2"/>
    <n v="2485"/>
    <x v="0"/>
    <s v="Andres Dario Sanchez Lugo"/>
    <s v="TECUCT"/>
    <x v="4"/>
    <n v="1"/>
    <x v="0"/>
    <s v="Bogotá y alrededores"/>
    <s v="Bogota"/>
    <s v="Despachado"/>
    <s v="Coordinadora"/>
    <s v="3178034 - 84151171299"/>
    <d v="2025-03-21T00:00:00"/>
    <d v="2025-03-26T00:00:00"/>
    <s v="Entregado"/>
    <n v="4"/>
    <n v="7"/>
    <s v="No cumple"/>
    <n v="24885"/>
    <m/>
    <m/>
  </r>
  <r>
    <d v="2025-03-17T00:00:00"/>
    <x v="2"/>
    <n v="2485"/>
    <x v="0"/>
    <s v="Andres Dario Sanchez Lugo"/>
    <s v="TECU3FNPRO"/>
    <x v="12"/>
    <n v="1"/>
    <x v="1"/>
    <s v="Bogotá y alrededores"/>
    <s v="Bogota"/>
    <s v="Despachado"/>
    <s v="Coordinadora"/>
    <s v="3178037 - 84151171301"/>
    <d v="2025-03-21T00:00:00"/>
    <d v="2025-03-26T00:00:00"/>
    <s v="Entregado"/>
    <n v="4"/>
    <n v="7"/>
    <s v="No cumple"/>
    <n v="42921"/>
    <m/>
    <m/>
  </r>
  <r>
    <d v="2025-03-17T00:00:00"/>
    <x v="2"/>
    <n v="2485"/>
    <x v="0"/>
    <s v="Andres Dario Sanchez Lugo"/>
    <s v="TECUTRM5C"/>
    <x v="27"/>
    <n v="1"/>
    <x v="2"/>
    <s v="Bogotá y alrededores"/>
    <s v="Bogota"/>
    <s v="Despachado"/>
    <s v="Coordinadora"/>
    <s v="3178038 - 84151171302"/>
    <d v="2025-03-21T00:00:00"/>
    <d v="2025-03-26T00:00:00"/>
    <s v="Entregado"/>
    <n v="4"/>
    <n v="7"/>
    <s v="No cumple"/>
    <n v="24593"/>
    <m/>
    <m/>
  </r>
  <r>
    <d v="2025-03-17T00:00:00"/>
    <x v="2"/>
    <n v="2485"/>
    <x v="0"/>
    <s v="Andres Dario Sanchez Lugo"/>
    <s v="TECUCT"/>
    <x v="4"/>
    <n v="1"/>
    <x v="0"/>
    <s v="Bogotá y alrededores"/>
    <s v="Bogota"/>
    <s v="Despachado"/>
    <s v="Coordinadora"/>
    <s v="3178043 - 84151171304"/>
    <d v="2025-03-21T00:00:00"/>
    <d v="2025-03-26T00:00:00"/>
    <s v="Entregado"/>
    <n v="4"/>
    <n v="7"/>
    <s v="No cumple"/>
    <n v="24885"/>
    <m/>
    <m/>
  </r>
  <r>
    <d v="2025-03-17T00:00:00"/>
    <x v="2"/>
    <n v="2485"/>
    <x v="0"/>
    <s v="Andres Dario Sanchez Lugo"/>
    <m/>
    <x v="10"/>
    <n v="2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3-17T00:00:00"/>
    <x v="2"/>
    <n v="2486"/>
    <x v="0"/>
    <s v="Alejandro Marín Buriticá"/>
    <s v="TECU3FNCRO"/>
    <x v="55"/>
    <n v="1"/>
    <x v="1"/>
    <s v="Antioquia"/>
    <s v="Medellin"/>
    <s v="Despachado"/>
    <s v="Coordinadora"/>
    <s v="3163676 - 84151165337"/>
    <d v="2025-03-17T00:00:00"/>
    <d v="2025-03-18T00:00:00"/>
    <s v="Entregado"/>
    <n v="0"/>
    <n v="1"/>
    <s v="Cumple"/>
    <n v="42921"/>
    <m/>
    <m/>
  </r>
  <r>
    <d v="2025-03-17T00:00:00"/>
    <x v="2"/>
    <n v="2486"/>
    <x v="0"/>
    <s v="Alejandro Marín Buriticá"/>
    <s v="TECUTB5C"/>
    <x v="56"/>
    <n v="1"/>
    <x v="2"/>
    <s v="Antioquia"/>
    <s v="Medellin"/>
    <s v="Despachado"/>
    <s v="Coordinadora"/>
    <s v="3163678 - 84151165339"/>
    <d v="2025-03-17T00:00:00"/>
    <d v="2025-03-18T00:00:00"/>
    <s v="Entregado"/>
    <n v="0"/>
    <n v="1"/>
    <s v="Cumple"/>
    <n v="24093"/>
    <m/>
    <m/>
  </r>
  <r>
    <d v="2025-03-19T00:00:00"/>
    <x v="2"/>
    <n v="2487"/>
    <x v="0"/>
    <s v="Pablo Velasquez Caro"/>
    <s v="TECU3FNPRO"/>
    <x v="12"/>
    <n v="1"/>
    <x v="1"/>
    <s v="Antioquia"/>
    <s v="Medellin"/>
    <s v="Despachado"/>
    <s v="Coordinadora"/>
    <s v="3174414 - 84151169570"/>
    <d v="2025-03-20T00:00:00"/>
    <d v="2025-03-21T00:00:00"/>
    <s v="Entregado"/>
    <n v="1"/>
    <n v="2"/>
    <s v="Cumple"/>
    <n v="42921"/>
    <m/>
    <m/>
  </r>
  <r>
    <d v="2025-03-19T00:00:00"/>
    <x v="2"/>
    <n v="2487"/>
    <x v="0"/>
    <s v="Pablo Velasquez Caro"/>
    <s v="TECUTRN2C"/>
    <x v="11"/>
    <n v="1"/>
    <x v="2"/>
    <s v="Antioquia"/>
    <s v="Medellin"/>
    <s v="Despachado"/>
    <s v="Coordinadora"/>
    <s v="3174422 - 84151169571"/>
    <d v="2025-03-20T00:00:00"/>
    <d v="2025-03-21T00:00:00"/>
    <s v="Entregado"/>
    <n v="1"/>
    <n v="2"/>
    <s v="Cumple"/>
    <n v="28741"/>
    <m/>
    <m/>
  </r>
  <r>
    <d v="2025-03-20T00:00:00"/>
    <x v="2"/>
    <n v="2488"/>
    <x v="0"/>
    <s v="David Molano"/>
    <s v="TECU3FNPRO"/>
    <x v="12"/>
    <n v="1"/>
    <x v="1"/>
    <s v="Risaralda"/>
    <s v="Santa Rosa de Cabal"/>
    <s v="Despachado"/>
    <s v="Coordinadora"/>
    <s v="3191386 - 84151178126"/>
    <d v="2025-03-28T00:00:00"/>
    <d v="2025-03-29T00:00:00"/>
    <s v="Entregado"/>
    <n v="6"/>
    <n v="7"/>
    <e v="#N/A"/>
    <n v="34953"/>
    <m/>
    <m/>
  </r>
  <r>
    <d v="2025-03-20T00:00:00"/>
    <x v="2"/>
    <n v="2488"/>
    <x v="0"/>
    <s v="David Molano"/>
    <s v="TECUTRM8C"/>
    <x v="49"/>
    <n v="1"/>
    <x v="2"/>
    <s v="Risaralda"/>
    <s v="Santa Rosa de Cabal"/>
    <s v="Despachado"/>
    <s v="Coordinadora"/>
    <s v="3191387 - 84151178127"/>
    <d v="2025-03-28T00:00:00"/>
    <d v="2025-03-29T00:00:00"/>
    <s v="Entregado"/>
    <n v="6"/>
    <n v="7"/>
    <e v="#N/A"/>
    <n v="17288"/>
    <m/>
    <m/>
  </r>
  <r>
    <d v="2025-03-20T00:00:00"/>
    <x v="2"/>
    <n v="2488"/>
    <x v="0"/>
    <s v="David Molano"/>
    <s v="TECUCT"/>
    <x v="4"/>
    <n v="1"/>
    <x v="0"/>
    <s v="Risaralda"/>
    <s v="Santa Rosa de Cabal"/>
    <s v="Despachado"/>
    <s v="Coordinadora"/>
    <s v="3191393 - 84151178133"/>
    <d v="2025-03-28T00:00:00"/>
    <d v="2025-03-29T00:00:00"/>
    <s v="Entregado"/>
    <n v="6"/>
    <n v="7"/>
    <e v="#N/A"/>
    <n v="15447"/>
    <m/>
    <m/>
  </r>
  <r>
    <d v="2025-03-21T00:00:00"/>
    <x v="2"/>
    <n v="2489"/>
    <x v="0"/>
    <s v="Benhur Hernández"/>
    <s v="TECU3FNPRO"/>
    <x v="12"/>
    <n v="1"/>
    <x v="1"/>
    <s v="Bogotá y alrededores"/>
    <s v="Bogota"/>
    <s v="Despachado"/>
    <s v="Coordinadora"/>
    <s v="3195778 - 84151180056"/>
    <d v="2025-03-31T00:00:00"/>
    <d v="2025-04-01T00:00:00"/>
    <s v="Entregado"/>
    <n v="7"/>
    <n v="8"/>
    <s v="No cumple"/>
    <n v="42921"/>
    <m/>
    <m/>
  </r>
  <r>
    <d v="2025-03-21T00:00:00"/>
    <x v="2"/>
    <n v="2489"/>
    <x v="0"/>
    <s v="Benhur Hernández"/>
    <s v="TECUTCO5M"/>
    <x v="40"/>
    <n v="1"/>
    <x v="2"/>
    <s v="Bogotá y alrededores"/>
    <s v="Bogota"/>
    <s v="Despachado"/>
    <s v="Coordinadora"/>
    <s v="3195780 - 84151180057"/>
    <d v="2025-03-31T00:00:00"/>
    <d v="2025-04-01T00:00:00"/>
    <s v="Entregado"/>
    <n v="7"/>
    <n v="8"/>
    <s v="No cumple"/>
    <n v="24093"/>
    <m/>
    <m/>
  </r>
  <r>
    <d v="2025-03-22T00:00:00"/>
    <x v="2"/>
    <n v="2490"/>
    <x v="0"/>
    <s v="Johan Sebastián Hernández Carvajal"/>
    <s v="TECU3FNPRO"/>
    <x v="12"/>
    <n v="1"/>
    <x v="1"/>
    <s v="Antioquia"/>
    <s v="Copcabana"/>
    <s v="Despachado"/>
    <s v="Coordinadora"/>
    <s v="3182578 - 84151173203"/>
    <d v="2025-03-25T00:00:00"/>
    <d v="2025-03-26T00:00:00"/>
    <s v="Entregado"/>
    <n v="1"/>
    <n v="2"/>
    <e v="#N/A"/>
    <n v="42921"/>
    <m/>
    <m/>
  </r>
  <r>
    <d v="2025-03-22T00:00:00"/>
    <x v="2"/>
    <n v="2490"/>
    <x v="0"/>
    <s v="Johan Sebastián Hernández Carvajal"/>
    <s v="TECUTRN4C"/>
    <x v="57"/>
    <n v="1"/>
    <x v="2"/>
    <s v="Antioquia"/>
    <s v="Copcabana"/>
    <s v="Despachado"/>
    <s v="Coordinadora"/>
    <s v="3182579 - 84151173204"/>
    <d v="2025-03-25T00:00:00"/>
    <d v="2025-03-26T00:00:00"/>
    <s v="Entregado"/>
    <n v="1"/>
    <n v="2"/>
    <e v="#N/A"/>
    <n v="24093"/>
    <m/>
    <m/>
  </r>
  <r>
    <d v="2025-03-23T00:00:00"/>
    <x v="2"/>
    <n v="2491"/>
    <x v="0"/>
    <s v="Luis Modesto Pacheco Pérez"/>
    <s v="TECU3FNPRO"/>
    <x v="12"/>
    <n v="1"/>
    <x v="1"/>
    <s v="Bogotá y alrededores"/>
    <s v="Bogota"/>
    <s v="Despachado"/>
    <s v="Coordinadora"/>
    <s v="3185566 - 84151174823"/>
    <d v="2025-03-26T00:00:00"/>
    <d v="2025-03-28T00:00:00"/>
    <s v="Entregado"/>
    <n v="1"/>
    <n v="3"/>
    <s v="Cumple"/>
    <n v="42921"/>
    <m/>
    <m/>
  </r>
  <r>
    <d v="2025-03-23T00:00:00"/>
    <x v="2"/>
    <n v="2491"/>
    <x v="0"/>
    <s v="Luis Modesto Pacheco Pérez"/>
    <s v="TECUTRN8C"/>
    <x v="58"/>
    <n v="1"/>
    <x v="2"/>
    <s v="Bogotá y alrededores"/>
    <s v="Bogota"/>
    <s v="Despachado"/>
    <s v="Coordinadora"/>
    <s v="3185568 - 84151174824"/>
    <d v="2025-03-26T00:00:00"/>
    <d v="2025-03-28T00:00:00"/>
    <s v="Entregado"/>
    <n v="1"/>
    <n v="3"/>
    <s v="Cumple"/>
    <n v="26749"/>
    <m/>
    <m/>
  </r>
  <r>
    <d v="2025-03-23T00:00:00"/>
    <x v="2"/>
    <n v="2492"/>
    <x v="0"/>
    <s v="Carlos Andres Urrea Lopez - Yumey A Orozco C"/>
    <s v="TECU3FNPRO"/>
    <x v="12"/>
    <n v="1"/>
    <x v="1"/>
    <s v="Antioquia"/>
    <s v="Envigado"/>
    <s v="Despachado"/>
    <s v="Coordinadora"/>
    <s v="3182510 - 84151173153"/>
    <d v="2025-03-25T00:00:00"/>
    <d v="2025-03-26T00:00:00"/>
    <s v="Entregado"/>
    <n v="0"/>
    <n v="1"/>
    <s v="Cumple"/>
    <n v="42921"/>
    <m/>
    <m/>
  </r>
  <r>
    <d v="2025-03-23T00:00:00"/>
    <x v="2"/>
    <n v="2492"/>
    <x v="0"/>
    <s v="Carlos Andres Urrea Lopez - Yumey A Orozco C"/>
    <s v="TECUTFE2C"/>
    <x v="3"/>
    <n v="1"/>
    <x v="2"/>
    <s v="Antioquia"/>
    <s v="Envigado"/>
    <s v="Despachado"/>
    <s v="Coordinadora"/>
    <s v="3182512 - 84151173155"/>
    <d v="2025-03-25T00:00:00"/>
    <d v="2025-03-26T00:00:00"/>
    <s v="Entregado"/>
    <n v="0"/>
    <n v="1"/>
    <s v="Cumple"/>
    <n v="28741"/>
    <m/>
    <m/>
  </r>
  <r>
    <d v="2025-03-23T00:00:00"/>
    <x v="2"/>
    <n v="2492"/>
    <x v="0"/>
    <s v="Carlos Andres Urrea Lopez - Yumey A Orozco C"/>
    <m/>
    <x v="10"/>
    <n v="1"/>
    <x v="3"/>
    <s v="Antioquia"/>
    <s v="Envigado"/>
    <s v="Instalacion"/>
    <s v="NA"/>
    <s v="NA"/>
    <s v="NA"/>
    <s v="NA"/>
    <s v="Entregado"/>
    <s v="PTE"/>
    <e v="#VALUE!"/>
    <e v="#VALUE!"/>
    <n v="0"/>
    <m/>
    <m/>
  </r>
  <r>
    <d v="2025-03-24T00:00:00"/>
    <x v="2"/>
    <n v="2493"/>
    <x v="0"/>
    <s v="Maria Garzon"/>
    <s v="TECU2FNG"/>
    <x v="5"/>
    <n v="1"/>
    <x v="1"/>
    <s v="Bogotá y alrededores"/>
    <s v="Bogota"/>
    <s v="Despachado"/>
    <s v="Coordinadora"/>
    <s v="3185493 - 84151174778"/>
    <d v="2025-03-26T00:00:00"/>
    <d v="2025-03-28T00:00:00"/>
    <s v="Entregado"/>
    <n v="1"/>
    <n v="3"/>
    <s v="Cumple"/>
    <n v="41593"/>
    <m/>
    <m/>
  </r>
  <r>
    <d v="2025-03-24T00:00:00"/>
    <x v="2"/>
    <n v="2493"/>
    <x v="0"/>
    <s v="Maria Garzon"/>
    <s v="TECUTFE3C"/>
    <x v="39"/>
    <n v="1"/>
    <x v="2"/>
    <s v="Bogotá y alrededores"/>
    <s v="Bogota"/>
    <s v="Despachado"/>
    <s v="Coordinadora"/>
    <s v="3185494 - 84151174779"/>
    <d v="2025-03-26T00:00:00"/>
    <d v="2025-03-28T00:00:00"/>
    <s v="Entregado"/>
    <n v="1"/>
    <n v="3"/>
    <s v="Cumple"/>
    <n v="24093"/>
    <m/>
    <m/>
  </r>
  <r>
    <d v="2025-03-25T00:00:00"/>
    <x v="2"/>
    <n v="2494"/>
    <x v="0"/>
    <s v="jhonnatan gonzalez"/>
    <s v="TECU2FNG"/>
    <x v="5"/>
    <n v="1"/>
    <x v="1"/>
    <s v="Bogotá y alrededores"/>
    <s v="Bogota"/>
    <s v="Despachado"/>
    <s v="Coordinadora"/>
    <s v="3183196 - 84151173593"/>
    <d v="2025-03-25T00:00:00"/>
    <d v="2025-03-27T00:00:00"/>
    <s v="Entregado"/>
    <n v="0"/>
    <n v="2"/>
    <s v="Cumple"/>
    <n v="41593"/>
    <m/>
    <m/>
  </r>
  <r>
    <d v="2025-03-25T00:00:00"/>
    <x v="2"/>
    <n v="2494"/>
    <x v="0"/>
    <s v="jhonnatan gonzalez"/>
    <s v="TECUTFE4C"/>
    <x v="14"/>
    <n v="1"/>
    <x v="2"/>
    <s v="Bogotá y alrededores"/>
    <s v="Bogota"/>
    <s v="Despachado"/>
    <s v="Coordinadora"/>
    <s v="3183197 - 84151173594"/>
    <d v="2025-03-25T00:00:00"/>
    <d v="2025-03-27T00:00:00"/>
    <s v="Entregado"/>
    <n v="0"/>
    <n v="2"/>
    <s v="Cumple"/>
    <n v="24093"/>
    <m/>
    <m/>
  </r>
  <r>
    <d v="2025-03-25T00:00:00"/>
    <x v="2"/>
    <n v="2494"/>
    <x v="0"/>
    <s v="jhonnatan gonzalez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3-26T00:00:00"/>
    <x v="2"/>
    <n v="2495"/>
    <x v="0"/>
    <s v="Jorge Madrid"/>
    <s v="TECU3FNCRO"/>
    <x v="55"/>
    <n v="1"/>
    <x v="1"/>
    <s v="Antioquia"/>
    <s v="Envigado"/>
    <s v="Despachado"/>
    <s v="Coordinadora"/>
    <s v="3188537 - 84151176378"/>
    <d v="2025-03-27T00:00:00"/>
    <d v="2025-03-28T00:00:00"/>
    <s v="Entregado"/>
    <n v="1"/>
    <n v="2"/>
    <s v="Cumple"/>
    <n v="42921"/>
    <m/>
    <m/>
  </r>
  <r>
    <d v="2025-03-26T00:00:00"/>
    <x v="2"/>
    <n v="2495"/>
    <x v="0"/>
    <s v="Jorge Madrid"/>
    <s v="TECU-BMUSC"/>
    <x v="59"/>
    <n v="1"/>
    <x v="2"/>
    <s v="Antioquia"/>
    <s v="Envigado"/>
    <s v="Despachado"/>
    <s v="Coordinadora"/>
    <s v="3188538 - 84151176379"/>
    <d v="2025-03-27T00:00:00"/>
    <d v="2025-03-28T00:00:00"/>
    <s v="Entregado"/>
    <n v="1"/>
    <n v="2"/>
    <s v="Cumple"/>
    <n v="24093"/>
    <m/>
    <m/>
  </r>
  <r>
    <d v="2025-03-26T00:00:00"/>
    <x v="2"/>
    <n v="2496"/>
    <x v="0"/>
    <s v="Victor Mesa"/>
    <s v="TECU2FNG"/>
    <x v="5"/>
    <n v="1"/>
    <x v="1"/>
    <s v="Antioquia"/>
    <s v="Bello"/>
    <s v="Despachado"/>
    <s v="Coordinadora"/>
    <s v="3195822 - 84151180092"/>
    <d v="2025-03-31T00:00:00"/>
    <d v="2025-04-01T00:00:00"/>
    <s v="Entregado"/>
    <n v="4"/>
    <n v="5"/>
    <s v="No cumple"/>
    <n v="41593"/>
    <m/>
    <m/>
  </r>
  <r>
    <d v="2025-03-26T00:00:00"/>
    <x v="2"/>
    <n v="2496"/>
    <x v="0"/>
    <s v="Victor Mesa"/>
    <s v="TECUTFE4C"/>
    <x v="14"/>
    <n v="1"/>
    <x v="2"/>
    <s v="Antioquia"/>
    <s v="Bello"/>
    <s v="Despachado"/>
    <s v="Coordinadora"/>
    <s v="3195823 - 84151180093"/>
    <d v="2025-03-31T00:00:00"/>
    <d v="2025-04-01T00:00:00"/>
    <s v="Entregado"/>
    <n v="4"/>
    <n v="5"/>
    <s v="No cumple"/>
    <n v="24093"/>
    <m/>
    <m/>
  </r>
  <r>
    <d v="2025-03-26T00:00:00"/>
    <x v="2"/>
    <n v="2496"/>
    <x v="0"/>
    <s v="Victor Mesa"/>
    <s v="TECUROD"/>
    <x v="31"/>
    <n v="1"/>
    <x v="7"/>
    <s v="Antioquia"/>
    <s v="Bello"/>
    <s v="Despachado"/>
    <s v="Coordinadora"/>
    <s v="3195838 - 84151180106"/>
    <d v="2025-03-31T00:00:00"/>
    <d v="2025-04-01T00:00:00"/>
    <s v="Entregado"/>
    <n v="4"/>
    <n v="5"/>
    <s v="No cumple"/>
    <n v="23875"/>
    <m/>
    <m/>
  </r>
  <r>
    <d v="2025-03-26T00:00:00"/>
    <x v="2"/>
    <n v="2496"/>
    <x v="0"/>
    <s v="Victor Mesa"/>
    <m/>
    <x v="10"/>
    <n v="1"/>
    <x v="3"/>
    <s v="Antioquia"/>
    <s v="Bello"/>
    <s v="Instalacion"/>
    <s v="NA"/>
    <s v="NA"/>
    <s v="NA"/>
    <s v="NA"/>
    <m/>
    <m/>
    <m/>
    <m/>
    <n v="0"/>
    <m/>
    <m/>
  </r>
  <r>
    <d v="2025-03-27T00:00:00"/>
    <x v="2"/>
    <n v="2497"/>
    <x v="0"/>
    <s v="Jorge Madrid"/>
    <s v="TECUCT"/>
    <x v="4"/>
    <n v="1"/>
    <x v="0"/>
    <s v="Antioquia"/>
    <s v="Envigado"/>
    <s v="Despachado"/>
    <s v="Coordinadora"/>
    <s v="3188548 - 84151176389"/>
    <d v="2025-03-27T00:00:00"/>
    <d v="2025-03-28T00:00:00"/>
    <s v="Entregado"/>
    <n v="0"/>
    <n v="1"/>
    <s v="Cumple"/>
    <n v="24885"/>
    <m/>
    <m/>
  </r>
  <r>
    <d v="2025-03-27T00:00:00"/>
    <x v="2"/>
    <n v="2498"/>
    <x v="0"/>
    <s v="Gabriel Hernández Torres"/>
    <s v="TECU3FNPRO"/>
    <x v="12"/>
    <n v="1"/>
    <x v="1"/>
    <s v="Caldas"/>
    <s v="Manizales"/>
    <s v="Despachado"/>
    <s v="Coordinadora"/>
    <s v="3190334 - 84151177324"/>
    <d v="2025-03-28T00:00:00"/>
    <d v="2025-03-29T00:00:00"/>
    <s v="Entregado"/>
    <n v="1"/>
    <n v="2"/>
    <s v="Cumple"/>
    <n v="34953"/>
    <m/>
    <m/>
  </r>
  <r>
    <d v="2025-03-27T00:00:00"/>
    <x v="2"/>
    <n v="2498"/>
    <x v="0"/>
    <s v="Gabriel Hernández Torres"/>
    <s v="TECUTCO6C"/>
    <x v="16"/>
    <n v="1"/>
    <x v="2"/>
    <s v="Caldas"/>
    <s v="Manizales"/>
    <s v="Despachado"/>
    <s v="Coordinadora"/>
    <s v="3190335 - 84151177325"/>
    <d v="2025-03-28T00:00:00"/>
    <d v="2025-03-29T00:00:00"/>
    <s v="Entregado"/>
    <n v="1"/>
    <n v="2"/>
    <s v="Cumple"/>
    <n v="15194"/>
    <m/>
    <m/>
  </r>
  <r>
    <d v="2025-03-27T00:00:00"/>
    <x v="2"/>
    <n v="2498"/>
    <x v="0"/>
    <s v="Gabriel Hernández Torres"/>
    <s v="TECU3FBRO"/>
    <x v="34"/>
    <n v="1"/>
    <x v="1"/>
    <s v="Caldas"/>
    <s v="Manizales"/>
    <s v="Despachado"/>
    <s v="Coordinadora"/>
    <s v="3190344 - 84151177331"/>
    <d v="2025-03-28T00:00:00"/>
    <d v="2025-03-29T00:00:00"/>
    <s v="Entregado"/>
    <n v="1"/>
    <n v="2"/>
    <s v="Cumple"/>
    <n v="34953"/>
    <m/>
    <m/>
  </r>
  <r>
    <d v="2025-03-27T00:00:00"/>
    <x v="2"/>
    <n v="2498"/>
    <x v="0"/>
    <s v="Gabriel Hernández Torres"/>
    <s v="TECUTRN7C"/>
    <x v="60"/>
    <n v="1"/>
    <x v="2"/>
    <s v="Caldas"/>
    <s v="Manizales"/>
    <s v="Despachado"/>
    <s v="Coordinadora"/>
    <s v="3190345 - 84151177333"/>
    <d v="2025-03-28T00:00:00"/>
    <d v="2025-03-29T00:00:00"/>
    <s v="Entregado"/>
    <n v="1"/>
    <n v="2"/>
    <s v="Cumple"/>
    <n v="15194"/>
    <m/>
    <m/>
  </r>
  <r>
    <d v="2025-03-27T00:00:00"/>
    <x v="2"/>
    <n v="2499"/>
    <x v="0"/>
    <s v="Enrique Sabalza"/>
    <s v="TECUTB7C"/>
    <x v="38"/>
    <n v="1"/>
    <x v="2"/>
    <s v="Atlantico"/>
    <s v="Barranquilla"/>
    <s v="Despachado"/>
    <s v="Coordinadora"/>
    <s v="3190460 - 84151177408"/>
    <d v="2025-03-28T00:00:00"/>
    <d v="2025-03-31T00:00:00"/>
    <s v="Entregado"/>
    <n v="1"/>
    <n v="3"/>
    <s v="Cumple"/>
    <n v="39078"/>
    <m/>
    <m/>
  </r>
  <r>
    <d v="2025-03-28T00:00:00"/>
    <x v="2"/>
    <n v="2500"/>
    <x v="3"/>
    <s v="Laura Camila Barrera Hernandéz"/>
    <s v="TECULFN2"/>
    <x v="7"/>
    <n v="1"/>
    <x v="1"/>
    <s v="Bogotá y alrededores"/>
    <s v="Siberia"/>
    <s v="Despachado"/>
    <s v="Coordinadora"/>
    <s v="3190605 - 84151177475"/>
    <d v="2025-03-29T00:00:00"/>
    <d v="2025-04-08T00:00:00"/>
    <s v="Entregado"/>
    <n v="1"/>
    <n v="9"/>
    <e v="#N/A"/>
    <m/>
    <s v="Se crean las guias por error a otr destino"/>
    <s v="Novedad error destino"/>
  </r>
  <r>
    <d v="2025-03-28T00:00:00"/>
    <x v="2"/>
    <n v="2500"/>
    <x v="3"/>
    <s v="Laura Camila Barrera Hernandéz"/>
    <s v="TECUTLBS"/>
    <x v="61"/>
    <n v="1"/>
    <x v="2"/>
    <s v="Bogotá y alrededores"/>
    <s v="Siberia"/>
    <s v="Despachado"/>
    <s v="Coordinadora"/>
    <s v="3190606 - 84151177480"/>
    <d v="2025-03-29T00:00:00"/>
    <d v="2025-04-08T00:00:00"/>
    <s v="Entregado"/>
    <n v="1"/>
    <n v="9"/>
    <e v="#N/A"/>
    <m/>
    <s v="Se crean las guias por error a otr destino"/>
    <s v="Novedad error destino"/>
  </r>
  <r>
    <d v="2025-03-28T00:00:00"/>
    <x v="2"/>
    <n v="2500"/>
    <x v="0"/>
    <s v="Laura Camila Barrera Hernandéz"/>
    <s v="TECULFN2"/>
    <x v="7"/>
    <n v="1"/>
    <x v="1"/>
    <s v="Bogotá y alrededores"/>
    <s v="Siberia"/>
    <s v="Despachado"/>
    <s v="Coordinadora"/>
    <s v="3204501 - 84151183822"/>
    <d v="2025-04-02T00:00:00"/>
    <d v="2025-04-03T00:00:00"/>
    <s v="Entregado"/>
    <n v="4"/>
    <n v="5"/>
    <e v="#N/A"/>
    <n v="54562"/>
    <m/>
    <m/>
  </r>
  <r>
    <d v="2025-03-28T00:00:00"/>
    <x v="2"/>
    <n v="2500"/>
    <x v="0"/>
    <s v="Laura Camila Barrera Hernandéz"/>
    <s v="TECUTLBS"/>
    <x v="61"/>
    <n v="1"/>
    <x v="2"/>
    <s v="Bogotá y alrededores"/>
    <s v="Siberia"/>
    <s v="Despachado"/>
    <s v="Coordinadora"/>
    <s v="3204514 - 84151183826"/>
    <d v="2025-04-02T00:00:00"/>
    <d v="2025-04-03T00:00:00"/>
    <s v="Entregado"/>
    <n v="4"/>
    <n v="5"/>
    <e v="#N/A"/>
    <n v="33241"/>
    <m/>
    <m/>
  </r>
  <r>
    <d v="2025-03-28T00:00:00"/>
    <x v="2"/>
    <n v="2501"/>
    <x v="0"/>
    <s v="Luis Hernando Puerto Rojas"/>
    <s v="TECU3FNPRO"/>
    <x v="12"/>
    <n v="1"/>
    <x v="1"/>
    <s v="Antioquia"/>
    <s v="Medellin"/>
    <s v="Despachado"/>
    <s v="Coordinadora"/>
    <s v="3195887 - 84151180134"/>
    <d v="2025-03-31T00:00:00"/>
    <d v="2025-04-01T00:00:00"/>
    <s v="Entregado"/>
    <n v="2"/>
    <n v="3"/>
    <s v="Cumple"/>
    <n v="42921"/>
    <m/>
    <m/>
  </r>
  <r>
    <d v="2025-03-28T00:00:00"/>
    <x v="2"/>
    <n v="2501"/>
    <x v="0"/>
    <s v="Luis Hernando Puerto Rojas"/>
    <s v="TECUTCO20C"/>
    <x v="62"/>
    <n v="1"/>
    <x v="2"/>
    <s v="Antioquia"/>
    <s v="Medellin"/>
    <s v="Despachado"/>
    <s v="Coordinadora"/>
    <s v="3195888 - 84151180135"/>
    <d v="2025-03-31T00:00:00"/>
    <d v="2025-04-01T00:00:00"/>
    <s v="Entregado"/>
    <n v="2"/>
    <n v="3"/>
    <s v="Cumple"/>
    <n v="26749"/>
    <m/>
    <m/>
  </r>
  <r>
    <d v="2025-03-28T00:00:00"/>
    <x v="2"/>
    <n v="2502"/>
    <x v="0"/>
    <s v="Fredy Marin"/>
    <s v="TECULFN2"/>
    <x v="7"/>
    <n v="1"/>
    <x v="1"/>
    <s v="Bogotá y alrededores"/>
    <s v="Bogota"/>
    <s v="Despachado"/>
    <s v="Coordinadora"/>
    <s v="3195857 - 84151180115"/>
    <d v="2025-03-31T00:00:00"/>
    <d v="2025-04-03T00:00:00"/>
    <s v="Entregado"/>
    <n v="2"/>
    <n v="5"/>
    <s v="No cumple"/>
    <n v="62530"/>
    <m/>
    <m/>
  </r>
  <r>
    <d v="2025-03-28T00:00:00"/>
    <x v="2"/>
    <n v="2502"/>
    <x v="0"/>
    <s v="Fredy Marin"/>
    <s v="TECUTLFES"/>
    <x v="63"/>
    <n v="1"/>
    <x v="2"/>
    <s v="Bogotá y alrededores"/>
    <s v="Bogota"/>
    <s v="Despachado"/>
    <s v="Coordinadora"/>
    <s v="3195858 - 84151180118"/>
    <d v="2025-03-31T00:00:00"/>
    <d v="2025-04-02T00:00:00"/>
    <s v="Entregado"/>
    <n v="2"/>
    <n v="4"/>
    <s v="No cumple"/>
    <n v="26749"/>
    <m/>
    <m/>
  </r>
  <r>
    <d v="2025-03-28T00:00:00"/>
    <x v="2"/>
    <n v="2503"/>
    <x v="0"/>
    <s v="Victor Arias"/>
    <s v="TECURCO"/>
    <x v="30"/>
    <n v="1"/>
    <x v="6"/>
    <s v="Antioquia"/>
    <s v="Itagui"/>
    <s v="Despachado"/>
    <s v="Coordinadora"/>
    <s v="3196090  - 84151180280"/>
    <d v="2025-03-31T00:00:00"/>
    <d v="2025-04-01T00:00:00"/>
    <s v="Entregado"/>
    <n v="2"/>
    <n v="3"/>
    <s v="Cumple"/>
    <n v="23429"/>
    <m/>
    <m/>
  </r>
  <r>
    <d v="2025-03-30T00:00:00"/>
    <x v="2"/>
    <n v="2504"/>
    <x v="0"/>
    <s v="Camilo Andres Talero Neita"/>
    <s v="TECURCC"/>
    <x v="42"/>
    <n v="1"/>
    <x v="6"/>
    <s v="Boyaca"/>
    <s v="Sogamoso"/>
    <s v="Despachado"/>
    <s v="Coordinadora"/>
    <s v="3196095 - 84151180284"/>
    <d v="2025-03-31T00:00:00"/>
    <d v="2025-04-02T00:00:00"/>
    <s v="Entregado"/>
    <n v="0"/>
    <n v="2"/>
    <s v="Cumple"/>
    <n v="37762"/>
    <m/>
    <m/>
  </r>
  <r>
    <d v="2025-03-31T00:00:00"/>
    <x v="2"/>
    <n v="2505"/>
    <x v="0"/>
    <s v="Estefania Granados"/>
    <s v="TECU2FBGO"/>
    <x v="2"/>
    <n v="1"/>
    <x v="1"/>
    <s v="Bogotá y alrededores"/>
    <s v="Bogota"/>
    <s v="Despachado"/>
    <s v="Coordinadora"/>
    <s v="3199745 - 84151181524"/>
    <d v="2025-04-01T00:00:00"/>
    <d v="2025-04-02T00:00:00"/>
    <s v="Entregado"/>
    <n v="1"/>
    <n v="2"/>
    <s v="Cumple"/>
    <n v="41593"/>
    <m/>
    <m/>
  </r>
  <r>
    <d v="2025-03-31T00:00:00"/>
    <x v="2"/>
    <n v="2505"/>
    <x v="0"/>
    <s v="Estefania Granados"/>
    <s v="TECUTFE6C"/>
    <x v="28"/>
    <n v="1"/>
    <x v="2"/>
    <s v="Bogotá y alrededores"/>
    <s v="Bogota"/>
    <s v="Despachado"/>
    <s v="Coordinadora"/>
    <s v="3199746 - 84151181525"/>
    <d v="2025-04-01T00:00:00"/>
    <d v="2025-04-02T00:00:00"/>
    <s v="Entregado"/>
    <n v="1"/>
    <n v="2"/>
    <s v="Cumple"/>
    <n v="24093"/>
    <m/>
    <m/>
  </r>
  <r>
    <d v="2025-03-13T00:00:00"/>
    <x v="2"/>
    <n v="2461"/>
    <x v="1"/>
    <s v="Afranio Cardona Gomez"/>
    <s v="TECUTRM8C"/>
    <x v="49"/>
    <n v="1"/>
    <x v="2"/>
    <s v="Santander"/>
    <s v="Bucaramanga"/>
    <s v="Despachado"/>
    <s v="Coordinadora"/>
    <s v="3179505 - 84151171915"/>
    <d v="2025-03-22T00:00:00"/>
    <d v="2025-03-25T00:00:00"/>
    <s v="Entregado"/>
    <n v="8"/>
    <n v="9"/>
    <s v="No cumple"/>
    <n v="43089"/>
    <m/>
    <m/>
  </r>
  <r>
    <d v="2025-04-01T00:00:00"/>
    <x v="3"/>
    <n v="2506"/>
    <x v="0"/>
    <s v="Angie Marcela Vargas Pardo"/>
    <s v="TECU2FNG"/>
    <x v="5"/>
    <n v="1"/>
    <x v="1"/>
    <s v="Antioquia"/>
    <s v="Medellin"/>
    <s v="Despachado"/>
    <s v="Coordinadora"/>
    <s v="3199774 - 84151181537"/>
    <d v="2025-04-01T00:00:00"/>
    <d v="2025-04-02T00:00:00"/>
    <s v="Entregado"/>
    <n v="0"/>
    <n v="1"/>
    <s v="Cumple"/>
    <n v="41593"/>
    <m/>
    <m/>
  </r>
  <r>
    <d v="2025-04-01T00:00:00"/>
    <x v="3"/>
    <n v="2506"/>
    <x v="0"/>
    <s v="Angie Marcela Vargas Pardo"/>
    <s v="TECUTCO6C"/>
    <x v="16"/>
    <n v="1"/>
    <x v="2"/>
    <s v="Antioquia"/>
    <s v="Medellin"/>
    <s v="Despachado"/>
    <s v="Coordinadora"/>
    <s v="3199776 - 84151181538"/>
    <d v="2025-04-01T00:00:00"/>
    <d v="2025-04-02T00:00:00"/>
    <s v="Entregado"/>
    <n v="0"/>
    <n v="1"/>
    <s v="Cumple"/>
    <n v="24093"/>
    <m/>
    <m/>
  </r>
  <r>
    <d v="2025-04-01T00:00:00"/>
    <x v="3"/>
    <n v="2506"/>
    <x v="0"/>
    <s v="Angie Marcela Vargas Pardo"/>
    <s v="TECUACO"/>
    <x v="15"/>
    <n v="1"/>
    <x v="5"/>
    <s v="Antioquia"/>
    <s v="Medellin"/>
    <s v="Despachado"/>
    <s v="Envia"/>
    <s v="3205716 - 954101187697"/>
    <d v="2025-04-01T00:00:00"/>
    <d v="2025-04-04T00:00:00"/>
    <s v="Entregado"/>
    <n v="0"/>
    <n v="3"/>
    <s v="Cumple"/>
    <n v="65582"/>
    <m/>
    <m/>
  </r>
  <r>
    <d v="2025-04-01T00:00:00"/>
    <x v="3"/>
    <n v="2506"/>
    <x v="0"/>
    <s v="Angie Marcela Vargas Pardo"/>
    <s v="TECUCT"/>
    <x v="4"/>
    <n v="1"/>
    <x v="0"/>
    <s v="Antioquia"/>
    <s v="Medellin"/>
    <s v="Despachado"/>
    <s v="Coordinadora"/>
    <s v="3199793 - 84151181545"/>
    <d v="2025-04-01T00:00:00"/>
    <d v="2025-04-02T00:00:00"/>
    <s v="Entregado"/>
    <n v="0"/>
    <n v="1"/>
    <s v="Cumple"/>
    <n v="24885"/>
    <m/>
    <m/>
  </r>
  <r>
    <d v="2025-04-02T00:00:00"/>
    <x v="3"/>
    <n v="2507"/>
    <x v="0"/>
    <s v="Juan Diego Cruz"/>
    <s v="TECUDSG"/>
    <x v="64"/>
    <n v="1"/>
    <x v="4"/>
    <s v="Bogotá y alrededores"/>
    <s v="Bogota"/>
    <s v="Despachado"/>
    <s v="Coordinadora"/>
    <s v="3202877 - 84151183025"/>
    <d v="2025-04-02T00:00:00"/>
    <d v="2025-04-03T00:00:00"/>
    <s v="Entregado"/>
    <n v="0"/>
    <n v="1"/>
    <s v="Cumple"/>
    <n v="26609"/>
    <m/>
    <m/>
  </r>
  <r>
    <d v="2025-04-04T00:00:00"/>
    <x v="3"/>
    <n v="2508"/>
    <x v="0"/>
    <s v="Esteban Salazar Zapata"/>
    <s v="TECU3FNPRO"/>
    <x v="12"/>
    <n v="1"/>
    <x v="1"/>
    <s v="Antioquia"/>
    <s v="Marinilla"/>
    <s v="Despachado"/>
    <s v="Coordinadora"/>
    <s v="3213937 - 84151185713"/>
    <d v="2025-04-04T00:00:00"/>
    <d v="2025-04-07T00:00:00"/>
    <s v="Entregado"/>
    <n v="0"/>
    <n v="2"/>
    <s v="Cumple"/>
    <n v="42921"/>
    <m/>
    <m/>
  </r>
  <r>
    <d v="2025-04-04T00:00:00"/>
    <x v="3"/>
    <n v="2508"/>
    <x v="0"/>
    <s v="Esteban Salazar Zapata"/>
    <s v="TECUTFE8C"/>
    <x v="21"/>
    <n v="1"/>
    <x v="2"/>
    <s v="Antioquia"/>
    <s v="Marinilla"/>
    <s v="Despachado"/>
    <s v="Coordinadora"/>
    <s v="3213938 - 84151185714"/>
    <d v="2025-04-04T00:00:00"/>
    <d v="2025-04-06T00:00:00"/>
    <s v="Entregado"/>
    <n v="0"/>
    <n v="1"/>
    <s v="Cumple"/>
    <n v="26749"/>
    <m/>
    <m/>
  </r>
  <r>
    <d v="2025-04-04T00:00:00"/>
    <x v="3"/>
    <n v="2509"/>
    <x v="0"/>
    <s v="Mario Alejandro Martinez Perdomo"/>
    <s v="TECU2FNG"/>
    <x v="5"/>
    <n v="1"/>
    <x v="1"/>
    <s v="Bogotá y alrededores"/>
    <s v="Bogota"/>
    <s v="Despachado"/>
    <s v="Coordinadora"/>
    <s v="3213994 - 84151185740"/>
    <d v="2025-04-04T00:00:00"/>
    <d v="2025-04-07T00:00:00"/>
    <s v="Entregado"/>
    <n v="0"/>
    <n v="2"/>
    <s v="Cumple"/>
    <n v="41593"/>
    <m/>
    <m/>
  </r>
  <r>
    <d v="2025-04-04T00:00:00"/>
    <x v="3"/>
    <n v="2509"/>
    <x v="0"/>
    <s v="Mario Alejandro Martinez Perdomo"/>
    <s v="TECUTFE5C"/>
    <x v="29"/>
    <n v="1"/>
    <x v="2"/>
    <s v="Bogotá y alrededores"/>
    <s v="Bogota"/>
    <s v="Despachado"/>
    <s v="Coordinadora"/>
    <s v="3213995 - 84151185741"/>
    <d v="2025-04-04T00:00:00"/>
    <d v="2025-04-07T00:00:00"/>
    <s v="Entregado"/>
    <n v="0"/>
    <n v="2"/>
    <s v="Cumple"/>
    <n v="24093"/>
    <m/>
    <m/>
  </r>
  <r>
    <d v="2025-04-04T00:00:00"/>
    <x v="3"/>
    <n v="2510"/>
    <x v="0"/>
    <s v="Rafael del castillo &amp; cia sa"/>
    <s v="TECU3FNPRO"/>
    <x v="12"/>
    <n v="1"/>
    <x v="1"/>
    <s v="Cartagena"/>
    <s v="Cartagena"/>
    <s v="Despachado"/>
    <s v="Coordinadora"/>
    <s v="3230437-84151191223"/>
    <d v="2025-04-09T15:17:17"/>
    <d v="2025-04-11T14:36:39"/>
    <s v="Entregado"/>
    <n v="4"/>
    <n v="6"/>
    <s v="No cumple"/>
    <n v="47787"/>
    <m/>
    <m/>
  </r>
  <r>
    <d v="2025-04-04T00:00:00"/>
    <x v="3"/>
    <n v="2510"/>
    <x v="0"/>
    <s v="Rafael del castillo &amp; cia sa"/>
    <s v="TECUTRM5C"/>
    <x v="27"/>
    <n v="1"/>
    <x v="2"/>
    <s v="Cartagena"/>
    <s v="Cartagena"/>
    <s v="Despachado"/>
    <s v="Coordinadora"/>
    <s v="3230439-84151191225"/>
    <d v="2025-04-09T15:17:17"/>
    <d v="2025-04-11T14:36:39"/>
    <s v="Entregado"/>
    <n v="4"/>
    <n v="6"/>
    <s v="No cumple"/>
    <n v="38578"/>
    <m/>
    <m/>
  </r>
  <r>
    <d v="2025-04-04T00:00:00"/>
    <x v="3"/>
    <n v="2510"/>
    <x v="0"/>
    <s v="Rafael del castillo &amp; cia sa"/>
    <s v="TECUCT"/>
    <x v="4"/>
    <n v="1"/>
    <x v="0"/>
    <s v="Cartagena"/>
    <s v="Cartagena"/>
    <s v="Despachado"/>
    <s v="Coordinadora"/>
    <s v="3230442-84151191228"/>
    <d v="2025-04-09T15:17:17"/>
    <d v="2025-04-11T14:36:39"/>
    <s v="Entregado"/>
    <n v="4"/>
    <n v="6"/>
    <s v="No cumple"/>
    <n v="22920"/>
    <m/>
    <m/>
  </r>
  <r>
    <d v="2025-04-05T00:00:00"/>
    <x v="3"/>
    <n v="2511"/>
    <x v="0"/>
    <s v="Julian David Montero Gonzalez"/>
    <s v="TECU3FNPRO"/>
    <x v="12"/>
    <n v="1"/>
    <x v="1"/>
    <s v="Huila"/>
    <s v="Neiva"/>
    <s v="Despachado"/>
    <s v="Coordinadora"/>
    <s v="3223029-84151187944"/>
    <d v="2025-04-07T16:17:07"/>
    <d v="2025-04-09T17:25:22"/>
    <s v="Entregado"/>
    <n v="1"/>
    <n v="3"/>
    <s v="Cumple"/>
    <n v="47787"/>
    <m/>
    <m/>
  </r>
  <r>
    <d v="2025-04-05T00:00:00"/>
    <x v="3"/>
    <n v="2511"/>
    <x v="0"/>
    <s v="Julian David Montero Gonzalez"/>
    <s v="TECUTFE6M"/>
    <x v="47"/>
    <n v="1"/>
    <x v="2"/>
    <s v="Huila"/>
    <s v="Neiva"/>
    <s v="Despachado"/>
    <s v="Coordinadora"/>
    <s v="3223030-84151187946"/>
    <d v="2025-04-07T16:15:15"/>
    <d v="2025-04-09T17:57:23"/>
    <s v="Entregado"/>
    <n v="1"/>
    <n v="3"/>
    <s v="Cumple"/>
    <n v="38578"/>
    <m/>
    <m/>
  </r>
  <r>
    <d v="2025-04-05T00:00:00"/>
    <x v="3"/>
    <n v="2512"/>
    <x v="0"/>
    <s v="Juan David ballesteros"/>
    <s v="TECU3FBRO"/>
    <x v="34"/>
    <n v="1"/>
    <x v="1"/>
    <s v="Bogotá y alrededores"/>
    <s v="Bogota"/>
    <s v="Despachado"/>
    <s v="Coordinadora"/>
    <s v="3222672-84151187728"/>
    <d v="2025-04-07T16:17:07"/>
    <d v="2025-04-09T15:36:23"/>
    <s v="Entregado"/>
    <n v="1"/>
    <n v="3"/>
    <s v="Cumple"/>
    <n v="28241"/>
    <m/>
    <m/>
  </r>
  <r>
    <d v="2025-04-05T00:00:00"/>
    <x v="3"/>
    <n v="2512"/>
    <x v="0"/>
    <s v="Juan David ballesteros"/>
    <s v="TECUTRN6C"/>
    <x v="20"/>
    <n v="1"/>
    <x v="2"/>
    <s v="Bogotá y alrededores"/>
    <s v="Bogota"/>
    <s v="Despachado"/>
    <s v="Coordinadora"/>
    <s v="3222674-84151187730"/>
    <d v="2025-04-07T16:15:15"/>
    <d v="2025-04-09T15:36:23"/>
    <s v="Entregado"/>
    <n v="1"/>
    <n v="3"/>
    <s v="Cumple"/>
    <n v="23593"/>
    <m/>
    <m/>
  </r>
  <r>
    <d v="2025-04-07T00:00:00"/>
    <x v="3"/>
    <n v="2513"/>
    <x v="0"/>
    <s v="Andrea Beltran Salazar"/>
    <s v="TECU2FBGO"/>
    <x v="2"/>
    <n v="1"/>
    <x v="1"/>
    <s v="Bogotá y alrededores"/>
    <s v="Zipaquira"/>
    <s v="Despachado"/>
    <s v="Coordinadora"/>
    <s v="3222689-84151187740"/>
    <d v="2025-04-07T16:17:07"/>
    <d v="2025-04-09T19:17:03"/>
    <s v="Entregado"/>
    <n v="0"/>
    <n v="2"/>
    <s v="Cumple"/>
    <n v="39191"/>
    <m/>
    <m/>
  </r>
  <r>
    <d v="2025-04-07T00:00:00"/>
    <x v="3"/>
    <n v="2513"/>
    <x v="0"/>
    <s v="Andrea Beltran Salazar"/>
    <s v="TECUTFE2C"/>
    <x v="3"/>
    <n v="1"/>
    <x v="2"/>
    <s v="Bogotá y alrededores"/>
    <s v="Zipaquira"/>
    <s v="Despachado"/>
    <s v="Coordinadora"/>
    <s v="3222691-84151187741"/>
    <d v="2025-04-07T16:15:15"/>
    <d v="2025-04-09T19:17:03"/>
    <s v="Entregado"/>
    <n v="0"/>
    <n v="2"/>
    <s v="Cumple"/>
    <n v="33679"/>
    <m/>
    <m/>
  </r>
  <r>
    <d v="2025-04-07T00:00:00"/>
    <x v="3"/>
    <n v="2514"/>
    <x v="0"/>
    <s v="José Miguel Dueñas Torres"/>
    <s v="TECU2FNG"/>
    <x v="5"/>
    <n v="1"/>
    <x v="1"/>
    <s v="Bogotá y alrededores"/>
    <s v="Bogota"/>
    <s v="Despachado"/>
    <s v="Coordinadora"/>
    <s v="3223053-84151187965"/>
    <d v="2025-04-07T16:17:07"/>
    <d v="2025-04-10T11:20:58"/>
    <s v="Entregado"/>
    <n v="0"/>
    <n v="3"/>
    <s v="Cumple"/>
    <n v="26913"/>
    <m/>
    <m/>
  </r>
  <r>
    <d v="2025-04-07T00:00:00"/>
    <x v="3"/>
    <n v="2514"/>
    <x v="0"/>
    <s v="José Miguel Dueñas Torres"/>
    <s v="TECUTCO2C"/>
    <x v="37"/>
    <n v="1"/>
    <x v="2"/>
    <s v="Bogotá y alrededores"/>
    <s v="Bogota"/>
    <s v="Despachado"/>
    <s v="Coordinadora"/>
    <s v="3223055-84151187967"/>
    <d v="2025-04-07T16:15:15"/>
    <d v="2025-04-10T11:20:57"/>
    <s v="Entregado"/>
    <n v="0"/>
    <n v="3"/>
    <s v="Cumple"/>
    <n v="23593"/>
    <m/>
    <m/>
  </r>
  <r>
    <d v="2025-04-07T00:00:00"/>
    <x v="3"/>
    <n v="2514"/>
    <x v="0"/>
    <s v="José Miguel Dueñas Torres"/>
    <s v="TECUACO"/>
    <x v="15"/>
    <n v="1"/>
    <x v="5"/>
    <s v="Bogotá y alrededores"/>
    <s v="Bogota"/>
    <s v="Despachado"/>
    <s v="Envia"/>
    <s v="3226991-954101191266"/>
    <d v="2025-04-08T17:18:00"/>
    <d v="2025-04-09T16:32:00"/>
    <s v="Entregado"/>
    <n v="1"/>
    <n v="2"/>
    <s v="Cumple"/>
    <n v="54929"/>
    <m/>
    <m/>
  </r>
  <r>
    <d v="2025-04-07T00:00:00"/>
    <x v="3"/>
    <n v="2514"/>
    <x v="0"/>
    <s v="José Miguel Dueñas Torres"/>
    <s v="TECURCO"/>
    <x v="30"/>
    <n v="1"/>
    <x v="6"/>
    <s v="Bogotá y alrededores"/>
    <s v="Bogota"/>
    <s v="Despachado"/>
    <s v="Coordinadora"/>
    <s v="3222769-84151187791"/>
    <d v="2025-04-07T16:17:07"/>
    <d v="2025-04-09T10:54:43"/>
    <s v="Entregado"/>
    <n v="0"/>
    <n v="2"/>
    <s v="Cumple"/>
    <n v="22929"/>
    <m/>
    <m/>
  </r>
  <r>
    <d v="2025-04-07T00:00:00"/>
    <x v="3"/>
    <n v="2514"/>
    <x v="0"/>
    <s v="José Miguel Dueñas Torres"/>
    <s v="TECUCT"/>
    <x v="4"/>
    <n v="1"/>
    <x v="0"/>
    <s v="Bogotá y alrededores"/>
    <s v="Bogota"/>
    <s v="Despachado"/>
    <s v="Coordinadora"/>
    <s v="3222754-84151187780"/>
    <d v="2025-04-07T16:17:07"/>
    <d v="2025-04-09T10:54:43"/>
    <s v="Entregado"/>
    <n v="0"/>
    <n v="2"/>
    <s v="Cumple"/>
    <n v="22920"/>
    <m/>
    <m/>
  </r>
  <r>
    <d v="2025-04-08T00:00:00"/>
    <x v="3"/>
    <n v="2515"/>
    <x v="0"/>
    <s v="Luis Landkoer"/>
    <s v="TECU3FNCRO"/>
    <x v="55"/>
    <n v="1"/>
    <x v="1"/>
    <s v="Bogotá y alrededores"/>
    <s v="Bogota"/>
    <s v="Despachado"/>
    <s v="Coordinadora"/>
    <s v="3227044-84151189694"/>
    <d v="2025-04-08T17:14:08"/>
    <d v="2025-04-10T10:56:50"/>
    <s v="Entregado"/>
    <n v="0"/>
    <n v="2"/>
    <s v="Cumple"/>
    <n v="28241"/>
    <m/>
    <m/>
  </r>
  <r>
    <d v="2025-04-08T00:00:00"/>
    <x v="3"/>
    <n v="2515"/>
    <x v="0"/>
    <s v="Luis Landkoer"/>
    <s v="TECUTFE6C"/>
    <x v="28"/>
    <n v="1"/>
    <x v="2"/>
    <s v="Bogotá y alrededores"/>
    <s v="Bogota"/>
    <s v="Despachado"/>
    <s v="Coordinadora"/>
    <s v="3227045-84151189695"/>
    <d v="2025-04-08T17:14:08"/>
    <d v="2025-04-11T10:40:20"/>
    <s v="Entregado"/>
    <n v="0"/>
    <n v="3"/>
    <s v="Cumple"/>
    <n v="23593"/>
    <m/>
    <m/>
  </r>
  <r>
    <d v="2025-04-08T00:00:00"/>
    <x v="3"/>
    <n v="2515"/>
    <x v="0"/>
    <s v="Luis Landkoer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4-08T00:00:00"/>
    <x v="3"/>
    <n v="2516"/>
    <x v="0"/>
    <s v="Rigoberto Castelblanco / HUSKY IMS COLOMBIA LTD"/>
    <s v="TECU3FNPRO"/>
    <x v="12"/>
    <n v="1"/>
    <x v="1"/>
    <s v="Bogotá y alrededores"/>
    <s v="Bogota"/>
    <s v="Despachado"/>
    <s v="Coordinadora"/>
    <s v="3278750- 84151210701"/>
    <d v="2025-05-02T00:00:00"/>
    <d v="2025-05-05T00:00:00"/>
    <s v="Entregado"/>
    <n v="18"/>
    <n v="20"/>
    <s v="No cumple"/>
    <n v="42921"/>
    <n v="42921"/>
    <m/>
  </r>
  <r>
    <d v="2025-04-08T00:00:00"/>
    <x v="3"/>
    <n v="2516"/>
    <x v="0"/>
    <s v="Rigoberto Castelblanco / HUSKY IMS COLOMBIA LTD"/>
    <s v="TECU3FNPRO"/>
    <x v="12"/>
    <n v="1"/>
    <x v="1"/>
    <s v="Bogotá y alrededores"/>
    <s v="Bogota"/>
    <s v="Despachado"/>
    <s v="Coordinadora"/>
    <s v="3278759 - 84151210707"/>
    <d v="2025-05-02T00:00:00"/>
    <d v="2025-05-05T00:00:00"/>
    <s v="Entregado"/>
    <n v="18"/>
    <n v="20"/>
    <s v="No cumple"/>
    <n v="42921"/>
    <n v="42921"/>
    <m/>
  </r>
  <r>
    <d v="2025-04-08T00:00:00"/>
    <x v="3"/>
    <n v="2516"/>
    <x v="0"/>
    <s v="Rigoberto Castelblanco / HUSKY IMS COLOMBIA LTD"/>
    <s v="TECUTCO5C"/>
    <x v="51"/>
    <n v="1"/>
    <x v="2"/>
    <s v="Bogotá y alrededores"/>
    <s v="Bogota"/>
    <s v="Despachado"/>
    <s v="Coordinadora"/>
    <s v="3278751- 84151210702"/>
    <d v="2025-05-02T00:00:00"/>
    <d v="2025-05-05T00:00:00"/>
    <s v="Entregado"/>
    <n v="18"/>
    <n v="20"/>
    <s v="No cumple"/>
    <n v="24093"/>
    <n v="24093"/>
    <m/>
  </r>
  <r>
    <d v="2025-04-08T00:00:00"/>
    <x v="3"/>
    <n v="2516"/>
    <x v="0"/>
    <s v="Rigoberto Castelblanco / HUSKY IMS COLOMBIA LTD"/>
    <s v="TECUTCO2C"/>
    <x v="37"/>
    <n v="1"/>
    <x v="2"/>
    <s v="Bogotá y alrededores"/>
    <s v="Bogota"/>
    <s v="Despachado"/>
    <s v="Coordinadora"/>
    <s v="3278760- 84151210708"/>
    <d v="2025-05-02T00:00:00"/>
    <d v="2025-05-05T00:00:00"/>
    <s v="Entregado"/>
    <n v="18"/>
    <n v="20"/>
    <s v="No cumple"/>
    <n v="54929"/>
    <n v="54929"/>
    <m/>
  </r>
  <r>
    <d v="2025-04-08T00:00:00"/>
    <x v="3"/>
    <n v="2516"/>
    <x v="0"/>
    <s v="Rigoberto Castelblanco / HUSKY IMS COLOMBIA LTD"/>
    <s v="TECUACO"/>
    <x v="15"/>
    <n v="1"/>
    <x v="5"/>
    <s v="Bogotá y alrededores"/>
    <s v="Bogota"/>
    <s v="Despachado"/>
    <s v="Envia"/>
    <s v="3269598 - 954101203551"/>
    <d v="2025-04-28T00:00:00"/>
    <d v="2025-04-29T00:00:00"/>
    <s v="Entregado"/>
    <n v="15"/>
    <n v="16"/>
    <s v="No cumple"/>
    <n v="54929"/>
    <n v="54929"/>
    <m/>
  </r>
  <r>
    <d v="2025-04-11T00:00:00"/>
    <x v="3"/>
    <n v="2517"/>
    <x v="0"/>
    <s v="Willington Soto Vivescas"/>
    <s v="TECU3FNCRO"/>
    <x v="55"/>
    <n v="1"/>
    <x v="1"/>
    <s v="Santander"/>
    <s v="Bucaramanga"/>
    <s v="Despachado"/>
    <s v="Coordinadora"/>
    <s v="3242140-84151195687"/>
    <d v="2025-04-14T15:58:27"/>
    <d v="2025-04-19T15:05:54"/>
    <s v="Entregado"/>
    <n v="2"/>
    <n v="5"/>
    <s v="No cumple"/>
    <n v="41397"/>
    <m/>
    <m/>
  </r>
  <r>
    <d v="2025-04-11T00:00:00"/>
    <x v="3"/>
    <n v="2517"/>
    <x v="0"/>
    <s v="Willington Soto Vivescas"/>
    <s v="TECUTCO8C"/>
    <x v="19"/>
    <n v="1"/>
    <x v="2"/>
    <s v="Santander"/>
    <s v="Bucaramanga"/>
    <s v="Despachado"/>
    <s v="Coordinadora"/>
    <s v="3242141-84151195688"/>
    <d v="2025-04-14T15:58:27"/>
    <d v="2025-04-19T15:05:53"/>
    <s v="Entregado"/>
    <n v="2"/>
    <n v="5"/>
    <s v="No cumple"/>
    <n v="38089"/>
    <m/>
    <m/>
  </r>
  <r>
    <d v="2025-04-11T00:00:00"/>
    <x v="3"/>
    <n v="2517"/>
    <x v="0"/>
    <s v="Willington Soto Vivescas"/>
    <s v="TECUBDPM"/>
    <x v="0"/>
    <n v="1"/>
    <x v="0"/>
    <s v="Santander"/>
    <s v="Bucaramanga"/>
    <s v="Despachado"/>
    <s v="Coordinadora"/>
    <s v="3242151-84151195696"/>
    <d v="2025-04-14T15:58:27"/>
    <d v="2025-04-19T15:05:53"/>
    <s v="Entregado"/>
    <n v="2"/>
    <n v="5"/>
    <s v="No cumple"/>
    <n v="15152"/>
    <m/>
    <m/>
  </r>
  <r>
    <d v="2025-04-11T00:00:00"/>
    <x v="3"/>
    <n v="2517"/>
    <x v="0"/>
    <s v="Willington Soto Vivescas"/>
    <s v="TECUCT"/>
    <x v="4"/>
    <n v="1"/>
    <x v="0"/>
    <s v="Santander"/>
    <s v="Bucaramanga"/>
    <s v="Despachado"/>
    <s v="Coordinadora"/>
    <s v="3242162-84151195701"/>
    <d v="2025-04-14T15:58:27"/>
    <d v="2025-04-19T15:05:54"/>
    <s v="Entregado"/>
    <n v="2"/>
    <n v="5"/>
    <s v="No cumple"/>
    <n v="22920"/>
    <m/>
    <m/>
  </r>
  <r>
    <d v="2025-04-12T00:00:00"/>
    <x v="3"/>
    <n v="2518"/>
    <x v="0"/>
    <s v="Ronald Rengifo"/>
    <s v="TECU3FNPRO"/>
    <x v="12"/>
    <n v="1"/>
    <x v="1"/>
    <s v="Antioquia"/>
    <s v="Medellin"/>
    <s v="Despachado"/>
    <s v="Coordinadora"/>
    <s v="3243367-84151196160"/>
    <d v="2025-04-15T16:02:10"/>
    <d v="2025-04-19T09:31:47"/>
    <s v="Entregado"/>
    <n v="2"/>
    <n v="4"/>
    <s v="No cumple"/>
    <n v="28241"/>
    <m/>
    <m/>
  </r>
  <r>
    <d v="2025-04-12T00:00:00"/>
    <x v="3"/>
    <n v="2518"/>
    <x v="0"/>
    <s v="Ronald Rengifo"/>
    <s v="TECUTRN20C"/>
    <x v="65"/>
    <n v="1"/>
    <x v="2"/>
    <s v="Antioquia"/>
    <s v="Medellin"/>
    <s v="Despachado"/>
    <s v="Coordinadora"/>
    <s v="3243368-84151196161"/>
    <d v="2025-04-15T16:02:10"/>
    <d v="2025-04-19T09:31:47"/>
    <s v="Entregado"/>
    <n v="2"/>
    <n v="4"/>
    <s v="No cumple"/>
    <n v="26249"/>
    <m/>
    <m/>
  </r>
  <r>
    <d v="2025-04-12T00:00:00"/>
    <x v="3"/>
    <n v="2519"/>
    <x v="0"/>
    <s v="Adrian Moya"/>
    <s v="TECU2FBGO"/>
    <x v="2"/>
    <n v="1"/>
    <x v="1"/>
    <s v="Antioquia"/>
    <s v="Medellin"/>
    <s v="Despachado"/>
    <s v="Coordinadora"/>
    <s v="3240492-84151194821"/>
    <d v="2025-04-14T15:58:27"/>
    <d v="2025-04-15T07:36:03"/>
    <s v="Entregado"/>
    <n v="1"/>
    <n v="2"/>
    <s v="Cumple"/>
    <n v="26913"/>
    <m/>
    <m/>
  </r>
  <r>
    <d v="2025-04-12T00:00:00"/>
    <x v="3"/>
    <n v="2519"/>
    <x v="0"/>
    <s v="Adrian Moya"/>
    <s v="TECUTFE5C"/>
    <x v="29"/>
    <n v="1"/>
    <x v="2"/>
    <s v="Antioquia"/>
    <s v="Medellin"/>
    <s v="Despachado"/>
    <s v="Coordinadora"/>
    <s v="3240493-84151194822"/>
    <d v="2025-04-14T15:58:27"/>
    <d v="2025-04-15T07:36:03"/>
    <s v="Entregado"/>
    <n v="1"/>
    <n v="2"/>
    <s v="Cumple"/>
    <n v="23593"/>
    <m/>
    <m/>
  </r>
  <r>
    <d v="2025-04-12T00:00:00"/>
    <x v="3"/>
    <n v="2519"/>
    <x v="0"/>
    <s v="Adrian Moya"/>
    <s v="TECUROD"/>
    <x v="31"/>
    <n v="1"/>
    <x v="7"/>
    <s v="Antioquia"/>
    <s v="Medellin"/>
    <s v="Despachado"/>
    <s v="Coordinadora"/>
    <s v="3240532-84151194845"/>
    <d v="2025-04-14T15:58:27"/>
    <d v="2025-04-15T07:36:03"/>
    <s v="Entregado"/>
    <n v="1"/>
    <n v="2"/>
    <s v="Cumple"/>
    <n v="22920"/>
    <m/>
    <m/>
  </r>
  <r>
    <d v="2025-04-12T00:00:00"/>
    <x v="3"/>
    <n v="2519"/>
    <x v="0"/>
    <s v="Adrian Moya"/>
    <s v="TECUCT"/>
    <x v="4"/>
    <n v="1"/>
    <x v="0"/>
    <s v="Antioquia"/>
    <s v="Medellin"/>
    <s v="Despachado"/>
    <s v="Coordinadora"/>
    <s v="3241373-84151195322"/>
    <d v="2025-04-14T15:58:27"/>
    <d v="2025-04-15T07:36:03"/>
    <s v="Entregado"/>
    <n v="1"/>
    <n v="2"/>
    <s v="Cumple"/>
    <n v="22920"/>
    <m/>
    <m/>
  </r>
  <r>
    <d v="2025-04-12T00:00:00"/>
    <x v="3"/>
    <n v="2519"/>
    <x v="0"/>
    <s v="Adrian Moya"/>
    <s v="TECUDSG"/>
    <x v="64"/>
    <n v="1"/>
    <x v="4"/>
    <s v="Antioquia"/>
    <s v="Medellin"/>
    <s v="Despachado"/>
    <s v="Coordinadora"/>
    <s v="3240547-84151194859"/>
    <d v="2025-04-14T15:58:27"/>
    <d v="2025-04-15T07:36:03"/>
    <s v="Entregado"/>
    <n v="1"/>
    <n v="2"/>
    <s v="Cumple"/>
    <n v="22929"/>
    <m/>
    <m/>
  </r>
  <r>
    <d v="2025-04-12T00:00:00"/>
    <x v="3"/>
    <n v="2519"/>
    <x v="0"/>
    <s v="Adrian Moya"/>
    <s v="TECURCC"/>
    <x v="42"/>
    <n v="1"/>
    <x v="6"/>
    <s v="Antioquia"/>
    <s v="Medellin"/>
    <s v="Despachado"/>
    <s v="Coordinadora"/>
    <s v="NA"/>
    <d v="2025-04-14T15:58:27"/>
    <d v="2025-04-15T07:36:03"/>
    <s v="Entregado"/>
    <n v="1"/>
    <n v="2"/>
    <s v="Cumple"/>
    <n v="0"/>
    <m/>
    <m/>
  </r>
  <r>
    <d v="2025-04-12T00:00:00"/>
    <x v="3"/>
    <n v="2519"/>
    <x v="0"/>
    <s v="Adrian Moya"/>
    <s v="TECUBDPM"/>
    <x v="0"/>
    <n v="1"/>
    <x v="0"/>
    <s v="Antioquia"/>
    <s v="Medellin"/>
    <s v="Despachado"/>
    <s v="Coordinadora"/>
    <s v="3240516-84151194831"/>
    <d v="2025-04-14T15:58:27"/>
    <d v="2025-04-15T07:36:03"/>
    <s v="Entregado"/>
    <n v="1"/>
    <n v="2"/>
    <s v="Cumple"/>
    <n v="15152"/>
    <m/>
    <m/>
  </r>
  <r>
    <d v="2025-04-12T00:00:00"/>
    <x v="3"/>
    <n v="2520"/>
    <x v="0"/>
    <s v="Jose David Ludian Cohen"/>
    <s v="TECU3FNPRO"/>
    <x v="12"/>
    <n v="1"/>
    <x v="1"/>
    <s v="Antioquia"/>
    <s v="Rionegro"/>
    <s v="Despachado"/>
    <s v="Coordinadora"/>
    <s v="3240730-84151194968"/>
    <d v="2025-04-14T15:58:27"/>
    <d v="2025-04-15T16:26:35"/>
    <s v="Entregado"/>
    <n v="1"/>
    <n v="2"/>
    <s v="Cumple"/>
    <n v="28241"/>
    <m/>
    <m/>
  </r>
  <r>
    <d v="2025-04-12T00:00:00"/>
    <x v="3"/>
    <n v="2520"/>
    <x v="0"/>
    <s v="Jose David Ludian Cohen"/>
    <s v="TECUTCO8C"/>
    <x v="19"/>
    <n v="1"/>
    <x v="2"/>
    <s v="Antioquia"/>
    <s v="Rionegro"/>
    <s v="Despachado"/>
    <s v="Coordinadora"/>
    <s v="3240731-84151194969"/>
    <d v="2025-04-14T15:58:27"/>
    <d v="2025-04-15T16:26:35"/>
    <s v="Entregado"/>
    <n v="1"/>
    <n v="2"/>
    <s v="Cumple"/>
    <n v="26249"/>
    <m/>
    <m/>
  </r>
  <r>
    <d v="2025-04-12T00:00:00"/>
    <x v="3"/>
    <n v="2520"/>
    <x v="0"/>
    <s v="Jose David Ludian Cohen"/>
    <m/>
    <x v="10"/>
    <n v="1"/>
    <x v="3"/>
    <s v="Antioquia"/>
    <s v="Rionegro"/>
    <s v="Instalacion"/>
    <s v="NA"/>
    <s v="NA"/>
    <s v="NA"/>
    <s v="NA"/>
    <s v="Entregado"/>
    <s v="PTE"/>
    <e v="#VALUE!"/>
    <e v="#VALUE!"/>
    <n v="0"/>
    <m/>
    <m/>
  </r>
  <r>
    <d v="2025-04-14T00:00:00"/>
    <x v="3"/>
    <n v="2521"/>
    <x v="0"/>
    <s v="Jose David Ludian Cohen"/>
    <s v="TECURCO"/>
    <x v="30"/>
    <n v="1"/>
    <x v="6"/>
    <s v="Antioquia"/>
    <s v="Rionegro"/>
    <s v="Despachado"/>
    <s v="Coordinadora"/>
    <s v="NA"/>
    <d v="2025-04-14T15:58:27"/>
    <d v="2025-04-15T16:26:35"/>
    <s v="Entregado"/>
    <n v="0"/>
    <n v="1"/>
    <s v="Cumple"/>
    <n v="0"/>
    <m/>
    <m/>
  </r>
  <r>
    <d v="2025-04-14T00:00:00"/>
    <x v="3"/>
    <n v="2522"/>
    <x v="0"/>
    <s v="Carlos Contreras"/>
    <s v="TECU3FNPRO"/>
    <x v="12"/>
    <n v="1"/>
    <x v="1"/>
    <s v="Bogotá y alrededores"/>
    <s v="Bogota"/>
    <s v="Despachado"/>
    <s v="Coordinadora"/>
    <s v="3243391-84151196175"/>
    <d v="2025-04-15T16:02:10"/>
    <d v="2025-04-19T11:04:27"/>
    <s v="Entregado"/>
    <n v="1"/>
    <n v="3"/>
    <s v="Cumple"/>
    <n v="28241"/>
    <m/>
    <m/>
  </r>
  <r>
    <d v="2025-04-14T00:00:00"/>
    <x v="3"/>
    <n v="2522"/>
    <x v="0"/>
    <s v="Carlos Contreras"/>
    <s v="TECUTFE8M"/>
    <x v="33"/>
    <n v="1"/>
    <x v="2"/>
    <s v="Bogotá y alrededores"/>
    <s v="Bogota"/>
    <s v="Despachado"/>
    <s v="Coordinadora"/>
    <s v="3243392-84151196176"/>
    <d v="2025-04-15T16:02:10"/>
    <d v="2025-04-19T11:04:27"/>
    <s v="Entregado"/>
    <n v="1"/>
    <n v="3"/>
    <s v="Cumple"/>
    <n v="26249"/>
    <m/>
    <m/>
  </r>
  <r>
    <d v="2025-04-14T00:00:00"/>
    <x v="3"/>
    <n v="2522"/>
    <x v="0"/>
    <s v="Carlos Contreras"/>
    <s v="TECUCT"/>
    <x v="4"/>
    <n v="1"/>
    <x v="0"/>
    <s v="Bogotá y alrededores"/>
    <s v="Bogota"/>
    <s v="Despachado"/>
    <s v="Coordinadora"/>
    <s v="3243396-84151196178"/>
    <d v="2025-04-15T16:02:10"/>
    <d v="2025-04-19T11:04:27"/>
    <s v="Entregado"/>
    <n v="1"/>
    <n v="3"/>
    <s v="Cumple"/>
    <n v="22920"/>
    <m/>
    <m/>
  </r>
  <r>
    <d v="2025-04-14T00:00:00"/>
    <x v="3"/>
    <n v="2522"/>
    <x v="0"/>
    <s v="Carlos Contreras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4-14T00:00:00"/>
    <x v="3"/>
    <n v="2522"/>
    <x v="1"/>
    <s v="Carlos Contreras"/>
    <s v="TECUTFE8M"/>
    <x v="33"/>
    <n v="1"/>
    <x v="2"/>
    <s v="Bogotá y alrededores"/>
    <s v="Bogota"/>
    <s v="Despachado"/>
    <s v="Coordinadora"/>
    <s v="3253757-84151200430"/>
    <d v="2025-04-21T15:57:44"/>
    <d v="2025-04-22T16:40:34"/>
    <s v="Entregado"/>
    <n v="4"/>
    <n v="5"/>
    <s v="No cumple"/>
    <n v="26249"/>
    <m/>
    <m/>
  </r>
  <r>
    <d v="2025-04-14T00:00:00"/>
    <x v="3"/>
    <n v="2522"/>
    <x v="1"/>
    <s v="Carlos Contreras"/>
    <s v="TECU3FNPRO"/>
    <x v="12"/>
    <n v="1"/>
    <x v="1"/>
    <s v="Bogotá y alrededores"/>
    <s v="Bogota"/>
    <s v="Despachado"/>
    <s v="Coordinadora"/>
    <s v="3270225-84151207153"/>
    <d v="2025-04-28T15:17:25"/>
    <d v="2025-04-29T00:00:00"/>
    <s v="Entregado"/>
    <n v="10"/>
    <n v="11"/>
    <s v="No cumple"/>
    <n v="28241"/>
    <m/>
    <m/>
  </r>
  <r>
    <d v="2025-04-15T00:00:00"/>
    <x v="3"/>
    <n v="2523"/>
    <x v="0"/>
    <s v="Jonathan Acero"/>
    <s v="TECUROD"/>
    <x v="31"/>
    <n v="1"/>
    <x v="7"/>
    <s v="Bogotá y alrededores"/>
    <s v="Chía"/>
    <s v="Despachado"/>
    <s v="Coordinadora"/>
    <s v="3243414-84151196181"/>
    <d v="2025-04-15T16:02:10"/>
    <d v="2025-04-19T11:28:43"/>
    <s v="Entregado"/>
    <n v="0"/>
    <n v="2"/>
    <e v="#N/A"/>
    <n v="22920"/>
    <m/>
    <m/>
  </r>
  <r>
    <d v="2025-04-15T00:00:00"/>
    <x v="3"/>
    <n v="2524"/>
    <x v="0"/>
    <s v="Adrian Cardona"/>
    <s v="TECU2FNG"/>
    <x v="5"/>
    <n v="1"/>
    <x v="1"/>
    <s v="Antioquia"/>
    <s v="Medellin"/>
    <s v="Despachado"/>
    <s v="Coordinadora"/>
    <s v="3243462-84151196208"/>
    <d v="2025-04-15T16:02:10"/>
    <d v="2025-04-16T08:12:14"/>
    <s v="Entregado"/>
    <n v="0"/>
    <n v="1"/>
    <s v="Cumple"/>
    <n v="26913"/>
    <m/>
    <m/>
  </r>
  <r>
    <d v="2025-04-15T00:00:00"/>
    <x v="3"/>
    <n v="2524"/>
    <x v="0"/>
    <s v="Adrian Cardona"/>
    <s v="TECUTCO6C"/>
    <x v="16"/>
    <n v="1"/>
    <x v="2"/>
    <s v="Antioquia"/>
    <s v="Medellin"/>
    <s v="Despachado"/>
    <s v="Coordinadora"/>
    <s v="3243463-84151196210"/>
    <d v="2025-04-15T16:02:10"/>
    <d v="2025-04-16T08:12:14"/>
    <s v="Entregado"/>
    <n v="0"/>
    <n v="1"/>
    <s v="Cumple"/>
    <n v="23593"/>
    <m/>
    <m/>
  </r>
  <r>
    <d v="2025-04-15T00:00:00"/>
    <x v="3"/>
    <n v="2525"/>
    <x v="0"/>
    <s v="Doris Rodríguez"/>
    <s v="TECU2FBGO"/>
    <x v="2"/>
    <n v="1"/>
    <x v="1"/>
    <s v="Bogotá y alrededores"/>
    <s v="Bogota"/>
    <s v="Despachado"/>
    <s v="Coordinadora"/>
    <s v="3243753-84151196341"/>
    <d v="2025-04-15T16:02:10"/>
    <d v="2025-04-22T15:21:02"/>
    <s v="Entregado"/>
    <n v="0"/>
    <n v="4"/>
    <s v="No cumple"/>
    <n v="26913"/>
    <m/>
    <m/>
  </r>
  <r>
    <d v="2025-04-15T00:00:00"/>
    <x v="3"/>
    <n v="2525"/>
    <x v="0"/>
    <s v="Doris Rodríguez"/>
    <s v="TECUTFE2C"/>
    <x v="3"/>
    <n v="1"/>
    <x v="2"/>
    <s v="Bogotá y alrededores"/>
    <s v="Bogota"/>
    <s v="Despachado"/>
    <s v="Coordinadora"/>
    <s v="3243756-84151196342"/>
    <d v="2025-04-15T16:02:10"/>
    <d v="2025-04-22T15:21:02"/>
    <s v="Entregado"/>
    <n v="0"/>
    <n v="4"/>
    <s v="No cumple"/>
    <n v="23593"/>
    <m/>
    <m/>
  </r>
  <r>
    <d v="2025-04-15T00:00:00"/>
    <x v="3"/>
    <n v="2526"/>
    <x v="0"/>
    <s v="Arturo Diuza Cuero"/>
    <s v="TECU3FNPRO"/>
    <x v="12"/>
    <n v="1"/>
    <x v="1"/>
    <s v="Valle del Cauca"/>
    <s v="Cali"/>
    <s v="Despachado"/>
    <s v="Coordinadora"/>
    <s v="3243788-84151196357"/>
    <d v="2025-04-15T16:02:10"/>
    <d v="2025-04-21T15:29:41"/>
    <s v="Entregado"/>
    <n v="0"/>
    <n v="3"/>
    <s v="Cumple"/>
    <n v="28241"/>
    <m/>
    <m/>
  </r>
  <r>
    <d v="2025-04-15T00:00:00"/>
    <x v="3"/>
    <n v="2527"/>
    <x v="0"/>
    <s v="Christiana Bowen"/>
    <s v="TECU2FNG"/>
    <x v="5"/>
    <n v="1"/>
    <x v="1"/>
    <s v="Antioquia"/>
    <s v="Medellin"/>
    <s v="Despachado"/>
    <s v="Coordinadora"/>
    <s v="3256028-84151201365"/>
    <d v="2025-04-22T15:50:56"/>
    <d v="2025-04-24T13:04:25"/>
    <s v="Entregado"/>
    <n v="4"/>
    <n v="6"/>
    <s v="No cumple"/>
    <n v="26913"/>
    <m/>
    <m/>
  </r>
  <r>
    <d v="2025-04-15T00:00:00"/>
    <x v="3"/>
    <n v="2527"/>
    <x v="0"/>
    <s v="Christiana Bowen"/>
    <s v="TECUTRN6C"/>
    <x v="20"/>
    <n v="1"/>
    <x v="2"/>
    <s v="Antioquia"/>
    <s v="Medellin"/>
    <s v="Despachado"/>
    <s v="Coordinadora"/>
    <s v="3256029-84151201366"/>
    <d v="2025-04-22T15:50:56"/>
    <d v="2025-04-23T12:56:59"/>
    <s v="Entregado"/>
    <n v="4"/>
    <n v="5"/>
    <s v="No cumple"/>
    <n v="23593"/>
    <m/>
    <m/>
  </r>
  <r>
    <d v="2025-04-15T00:00:00"/>
    <x v="3"/>
    <n v="2527"/>
    <x v="0"/>
    <s v="Christiana Bowen"/>
    <s v="TECUDSN"/>
    <x v="13"/>
    <n v="1"/>
    <x v="4"/>
    <s v="Antioquia"/>
    <s v="Medellin"/>
    <s v="Despachado"/>
    <s v="Coordinadora"/>
    <s v="3256066-84151201384"/>
    <d v="2025-04-22T15:50:56"/>
    <d v="2025-04-23T12:51:05"/>
    <s v="Entregado"/>
    <n v="4"/>
    <n v="5"/>
    <s v="No cumple"/>
    <n v="22929"/>
    <m/>
    <m/>
  </r>
  <r>
    <d v="2025-04-15T00:00:00"/>
    <x v="3"/>
    <n v="2527"/>
    <x v="0"/>
    <s v="Christiana Bowen"/>
    <s v="TECU2FNG"/>
    <x v="5"/>
    <n v="1"/>
    <x v="1"/>
    <s v="Antioquia"/>
    <s v="Medellin"/>
    <s v="Despachado"/>
    <s v="Coordinadora"/>
    <s v="3256053-84151201375"/>
    <d v="2025-04-22T15:50:56"/>
    <d v="2025-04-23T12:51:05"/>
    <s v="Entregado"/>
    <n v="4"/>
    <n v="5"/>
    <s v="No cumple"/>
    <n v="26913"/>
    <m/>
    <m/>
  </r>
  <r>
    <d v="2025-04-15T00:00:00"/>
    <x v="3"/>
    <n v="2527"/>
    <x v="0"/>
    <s v="Christiana Bowen"/>
    <s v="TECUTRN6C"/>
    <x v="20"/>
    <n v="1"/>
    <x v="2"/>
    <s v="Antioquia"/>
    <s v="Medellin"/>
    <s v="Despachado"/>
    <s v="Coordinadora"/>
    <s v="3256054-84151201376"/>
    <d v="2025-04-22T15:50:56"/>
    <d v="2025-04-23T12:56:59"/>
    <s v="Entregado"/>
    <n v="4"/>
    <n v="5"/>
    <s v="No cumple"/>
    <n v="23593"/>
    <m/>
    <m/>
  </r>
  <r>
    <d v="2025-04-15T00:00:00"/>
    <x v="3"/>
    <n v="2527"/>
    <x v="0"/>
    <s v="Christiana Bowen"/>
    <s v="TECUDSN"/>
    <x v="13"/>
    <n v="1"/>
    <x v="4"/>
    <s v="Antioquia"/>
    <s v="Medellin"/>
    <s v="Despachado"/>
    <s v="Coordinadora"/>
    <s v="3256077-84151201389"/>
    <d v="2025-04-22T15:50:56"/>
    <d v="2025-04-23T12:51:05"/>
    <s v="Entregado"/>
    <n v="4"/>
    <n v="5"/>
    <s v="No cumple"/>
    <n v="22929"/>
    <m/>
    <m/>
  </r>
  <r>
    <d v="2025-04-15T00:00:00"/>
    <x v="3"/>
    <n v="2527"/>
    <x v="0"/>
    <s v="Christiana Bowen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4-16T00:00:00"/>
    <x v="3"/>
    <n v="2528"/>
    <x v="0"/>
    <s v="Natalia Villegas"/>
    <s v="TECU3FNPRO"/>
    <x v="12"/>
    <n v="1"/>
    <x v="1"/>
    <s v="Bogotá y alrededores"/>
    <s v="Bogota"/>
    <s v="Despachado"/>
    <s v="Coordinadora"/>
    <s v="3264476-84151205271"/>
    <d v="2025-04-25T14:59:11"/>
    <d v="2025-04-26T15:44:54"/>
    <s v="Entregado"/>
    <n v="6"/>
    <n v="7"/>
    <s v="No cumple"/>
    <n v="28241"/>
    <m/>
    <m/>
  </r>
  <r>
    <d v="2025-04-16T00:00:00"/>
    <x v="3"/>
    <n v="2528"/>
    <x v="0"/>
    <s v="Natalia Villegas"/>
    <s v="TECUTRM5C"/>
    <x v="27"/>
    <n v="1"/>
    <x v="2"/>
    <s v="Bogotá y alrededores"/>
    <s v="Bogota"/>
    <s v="Despachado"/>
    <s v="Coordinadora"/>
    <s v="3264477-84151205272"/>
    <d v="2025-04-25T14:59:11"/>
    <d v="2025-04-26T15:44:54"/>
    <s v="Entregado"/>
    <n v="6"/>
    <n v="7"/>
    <s v="No cumple"/>
    <n v="23593"/>
    <m/>
    <m/>
  </r>
  <r>
    <d v="2025-04-16T00:00:00"/>
    <x v="3"/>
    <n v="2528"/>
    <x v="0"/>
    <s v="Natalia Villegas"/>
    <s v="TECUCT"/>
    <x v="4"/>
    <n v="1"/>
    <x v="0"/>
    <s v="Bogotá y alrededores"/>
    <s v="Bogota"/>
    <s v="Despachado"/>
    <s v="Coordinadora"/>
    <s v="3264481-84151205274"/>
    <d v="2025-04-25T14:59:11"/>
    <d v="2025-04-26T15:44:54"/>
    <s v="Entregado"/>
    <n v="6"/>
    <n v="7"/>
    <s v="No cumple"/>
    <n v="22920"/>
    <m/>
    <m/>
  </r>
  <r>
    <d v="2025-04-16T00:00:00"/>
    <x v="3"/>
    <n v="2528"/>
    <x v="0"/>
    <s v="Natalia Villegas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4-19T00:00:00"/>
    <x v="3"/>
    <n v="2529"/>
    <x v="0"/>
    <s v="Angie Barbosa Maldonado"/>
    <s v="TECU3FBCRO"/>
    <x v="66"/>
    <n v="1"/>
    <x v="1"/>
    <s v="Bogotá y alrededores"/>
    <s v="Bogota"/>
    <s v="Despachado"/>
    <s v="Coordinadora"/>
    <s v="3251862-84151199277"/>
    <d v="2025-04-21T15:57:44"/>
    <d v="2025-04-22T16:12:01"/>
    <s v="Entregado"/>
    <n v="1"/>
    <n v="2"/>
    <s v="Cumple"/>
    <n v="28241"/>
    <m/>
    <m/>
  </r>
  <r>
    <d v="2025-04-19T00:00:00"/>
    <x v="3"/>
    <n v="2529"/>
    <x v="0"/>
    <s v="Angie Barbosa Maldonado"/>
    <s v="TECUTFE5C"/>
    <x v="29"/>
    <n v="1"/>
    <x v="2"/>
    <s v="Bogotá y alrededores"/>
    <s v="Bogota"/>
    <s v="Despachado"/>
    <s v="Coordinadora"/>
    <s v="3251865-84151199278"/>
    <d v="2025-04-21T15:57:44"/>
    <d v="2025-04-22T16:12:01"/>
    <s v="Entregado"/>
    <n v="1"/>
    <n v="2"/>
    <s v="Cumple"/>
    <n v="23593"/>
    <m/>
    <m/>
  </r>
  <r>
    <d v="2025-04-19T00:00:00"/>
    <x v="3"/>
    <n v="2529"/>
    <x v="0"/>
    <s v="Angie Barbosa Maldonado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4-21T00:00:00"/>
    <x v="3"/>
    <n v="2530"/>
    <x v="0"/>
    <s v="Carlos Angel"/>
    <s v="TECUDSN"/>
    <x v="13"/>
    <n v="1"/>
    <x v="4"/>
    <s v="Antioquia"/>
    <s v="Rionegro"/>
    <s v="Despachado"/>
    <s v="Coordinadora"/>
    <s v="3252191-84151199490"/>
    <d v="2025-04-21T15:57:44"/>
    <d v="2025-04-22T11:29:05"/>
    <s v="Entregado"/>
    <n v="0"/>
    <n v="1"/>
    <s v="Cumple"/>
    <n v="22929"/>
    <m/>
    <m/>
  </r>
  <r>
    <d v="2025-04-21T00:00:00"/>
    <x v="3"/>
    <n v="2531"/>
    <x v="0"/>
    <s v="Luis Pimiento"/>
    <s v="TECU2FNG"/>
    <x v="5"/>
    <n v="1"/>
    <x v="1"/>
    <s v="Santander"/>
    <s v="Floridablanca"/>
    <s v="Despachado"/>
    <s v="Coordinadora"/>
    <s v="3252409-84151199626"/>
    <d v="2025-04-21T15:57:44"/>
    <d v="2025-04-22T18:10:01"/>
    <s v="Entregado"/>
    <n v="0"/>
    <n v="1"/>
    <s v="Cumple"/>
    <n v="39191"/>
    <m/>
    <m/>
  </r>
  <r>
    <d v="2025-04-21T00:00:00"/>
    <x v="3"/>
    <n v="2531"/>
    <x v="0"/>
    <s v="Luis Pimiento"/>
    <s v="TECUTRN3C"/>
    <x v="67"/>
    <n v="1"/>
    <x v="2"/>
    <s v="Santander"/>
    <s v="Floridablanca"/>
    <s v="Despachado"/>
    <s v="Coordinadora"/>
    <s v="3252412-84151199628"/>
    <d v="2025-04-21T15:57:44"/>
    <d v="2025-04-22T18:10:01"/>
    <s v="Entregado"/>
    <n v="0"/>
    <n v="1"/>
    <s v="Cumple"/>
    <n v="33679"/>
    <m/>
    <m/>
  </r>
  <r>
    <d v="2025-04-22T00:00:00"/>
    <x v="3"/>
    <n v="2532"/>
    <x v="0"/>
    <s v="David Felipe Bayona Heredia"/>
    <s v="TECU3FNPRO"/>
    <x v="12"/>
    <n v="1"/>
    <x v="1"/>
    <s v="Bogotá y alrededores"/>
    <s v="Bogota"/>
    <s v="Despachado"/>
    <s v="Coordinadora"/>
    <s v="3256310-84151201489"/>
    <d v="2025-04-22T15:50:56"/>
    <d v="2025-04-23T15:50:21"/>
    <s v="Entregado"/>
    <n v="0"/>
    <n v="1"/>
    <s v="Cumple"/>
    <n v="28241"/>
    <m/>
    <m/>
  </r>
  <r>
    <d v="2025-04-22T00:00:00"/>
    <x v="3"/>
    <n v="2532"/>
    <x v="0"/>
    <s v="David Felipe Bayona Heredia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4-23T00:00:00"/>
    <x v="3"/>
    <n v="2533"/>
    <x v="0"/>
    <s v="Diego Alejandro Forero Walteros"/>
    <s v="TECU3FBCRO"/>
    <x v="66"/>
    <n v="1"/>
    <x v="1"/>
    <s v="Bogotá y alrededores"/>
    <s v="Bogota"/>
    <s v="Despachado"/>
    <s v="Coordinadora"/>
    <s v="3259082-84151202778"/>
    <d v="2025-04-23T15:29:13"/>
    <d v="2025-04-25T15:27:54"/>
    <s v="Entregado"/>
    <n v="0"/>
    <n v="2"/>
    <s v="Cumple"/>
    <n v="28241"/>
    <m/>
    <m/>
  </r>
  <r>
    <d v="2025-04-23T00:00:00"/>
    <x v="3"/>
    <n v="2533"/>
    <x v="0"/>
    <s v="Diego Alejandro Forero Walteros"/>
    <s v="TECUTFE2C"/>
    <x v="3"/>
    <n v="1"/>
    <x v="2"/>
    <s v="Bogotá y alrededores"/>
    <s v="Bogota"/>
    <s v="Despachado"/>
    <s v="Coordinadora"/>
    <s v="3259084-84151202780"/>
    <d v="2025-04-23T15:29:13"/>
    <d v="2025-04-25T15:27:54"/>
    <s v="Entregado"/>
    <n v="0"/>
    <n v="2"/>
    <s v="Cumple"/>
    <n v="28241"/>
    <m/>
    <m/>
  </r>
  <r>
    <d v="2025-04-24T00:00:00"/>
    <x v="3"/>
    <n v="2534"/>
    <x v="0"/>
    <s v="Fabian Andres Mojica / COLIBRI IT SAS"/>
    <s v="TECU3FBCRO"/>
    <x v="66"/>
    <n v="1"/>
    <x v="1"/>
    <s v="Bogotá y alrededores"/>
    <s v="Bogota"/>
    <s v="Despachado"/>
    <s v="Coordinadora"/>
    <s v="3261909-84151204046"/>
    <d v="2025-04-24T16:50:53"/>
    <d v="2025-04-26T11:08:31"/>
    <s v="Entregado"/>
    <n v="0"/>
    <n v="2"/>
    <s v="Cumple"/>
    <n v="28241"/>
    <m/>
    <m/>
  </r>
  <r>
    <d v="2025-04-24T00:00:00"/>
    <x v="3"/>
    <n v="2534"/>
    <x v="0"/>
    <s v="Fabian Andres Mojica / COLIBRI IT SAS"/>
    <s v="TECUTB2C"/>
    <x v="68"/>
    <n v="1"/>
    <x v="2"/>
    <s v="Bogotá y alrededores"/>
    <s v="Bogota"/>
    <s v="Despachado"/>
    <s v="Coordinadora"/>
    <s v="3261911-84151204048"/>
    <d v="2025-04-24T16:49:55"/>
    <d v="2025-04-26T11:29:14"/>
    <s v="Entregado"/>
    <n v="0"/>
    <n v="2"/>
    <s v="Cumple"/>
    <n v="28241"/>
    <m/>
    <m/>
  </r>
  <r>
    <d v="2025-04-24T00:00:00"/>
    <x v="3"/>
    <n v="2534"/>
    <x v="0"/>
    <s v="Fabian Andres Mojica / COLIBRI IT SAS"/>
    <s v="TECUCT"/>
    <x v="4"/>
    <n v="1"/>
    <x v="0"/>
    <s v="Bogotá y alrededores"/>
    <s v="Bogota"/>
    <s v="Despachado"/>
    <s v="Coordinadora"/>
    <s v="3261976-84151204073"/>
    <d v="2025-04-24T16:50:53"/>
    <d v="2025-04-25T18:00:49"/>
    <s v="Entregado"/>
    <n v="0"/>
    <n v="1"/>
    <s v="Cumple"/>
    <n v="22920"/>
    <m/>
    <m/>
  </r>
  <r>
    <d v="2025-04-24T00:00:00"/>
    <x v="3"/>
    <n v="2534"/>
    <x v="0"/>
    <s v="Fabian Andres Mojica / COLIBRI IT SAS"/>
    <s v="TECU3FBCRO"/>
    <x v="66"/>
    <n v="1"/>
    <x v="1"/>
    <s v="Bogotá y alrededores"/>
    <s v="Bogota"/>
    <s v="Despachado"/>
    <s v="Coordinadora"/>
    <s v="3261957-84151204068"/>
    <d v="2025-04-24T16:50:53"/>
    <d v="2025-04-26T11:31:07"/>
    <s v="Entregado"/>
    <n v="0"/>
    <n v="2"/>
    <s v="Cumple"/>
    <n v="28241"/>
    <m/>
    <m/>
  </r>
  <r>
    <d v="2025-04-24T00:00:00"/>
    <x v="3"/>
    <n v="2534"/>
    <x v="0"/>
    <s v="Fabian Andres Mojica / COLIBRI IT SAS"/>
    <s v="TECUTB2C"/>
    <x v="68"/>
    <n v="1"/>
    <x v="2"/>
    <s v="Bogotá y alrededores"/>
    <s v="Bogota"/>
    <s v="Despachado"/>
    <s v="Coordinadora"/>
    <s v="3261958-84151204069"/>
    <d v="2025-04-24T16:49:55"/>
    <d v="2025-04-26T11:08:31"/>
    <s v="Entregado"/>
    <n v="0"/>
    <n v="2"/>
    <s v="Cumple"/>
    <n v="28241"/>
    <m/>
    <m/>
  </r>
  <r>
    <d v="2025-04-24T00:00:00"/>
    <x v="3"/>
    <n v="2534"/>
    <x v="0"/>
    <s v="Fabian Andres Mojica / COLIBRI IT SAS"/>
    <s v="TECUCT"/>
    <x v="4"/>
    <n v="1"/>
    <x v="0"/>
    <s v="Bogotá y alrededores"/>
    <s v="Bogota"/>
    <s v="Despachado"/>
    <s v="Coordinadora"/>
    <s v="3261985-84151204075"/>
    <d v="2025-04-24T16:50:53"/>
    <d v="2025-04-25T17:58:36"/>
    <s v="Entregado"/>
    <n v="0"/>
    <n v="1"/>
    <s v="Cumple"/>
    <n v="22920"/>
    <m/>
    <m/>
  </r>
  <r>
    <d v="2025-04-24T00:00:00"/>
    <x v="3"/>
    <n v="2535"/>
    <x v="0"/>
    <s v="Carlos Eduardo Ramírez F  / COLIBRI IT SAS"/>
    <s v="TECU3FBCRO"/>
    <x v="66"/>
    <n v="1"/>
    <x v="1"/>
    <s v="Bogotá y alrededores"/>
    <s v="Bogota"/>
    <s v="Despachado"/>
    <s v="Coordinadora"/>
    <s v="3262209-84151204206"/>
    <d v="2025-04-24T16:50:53"/>
    <d v="2025-04-26T12:14:09"/>
    <s v="Entregado"/>
    <n v="0"/>
    <n v="2"/>
    <s v="Cumple"/>
    <n v="28241"/>
    <m/>
    <m/>
  </r>
  <r>
    <d v="2025-04-24T00:00:00"/>
    <x v="3"/>
    <n v="2535"/>
    <x v="0"/>
    <s v="Carlos Eduardo Ramírez F  / COLIBRI IT SAS"/>
    <s v="TECUTB2C"/>
    <x v="68"/>
    <n v="1"/>
    <x v="2"/>
    <s v="Bogotá y alrededores"/>
    <s v="Bogota"/>
    <s v="Despachado"/>
    <s v="Coordinadora"/>
    <s v="3262210-84151204211"/>
    <d v="2025-04-24T16:49:55"/>
    <d v="2025-04-26T13:02:36"/>
    <s v="Entregado"/>
    <n v="0"/>
    <n v="2"/>
    <s v="Cumple"/>
    <n v="23593"/>
    <m/>
    <m/>
  </r>
  <r>
    <d v="2025-04-24T00:00:00"/>
    <x v="3"/>
    <n v="2535"/>
    <x v="0"/>
    <s v="Carlos Eduardo Ramírez F  / COLIBRI IT SAS"/>
    <s v="TECUCT"/>
    <x v="4"/>
    <n v="1"/>
    <x v="0"/>
    <s v="Bogotá y alrededores"/>
    <s v="Bogota"/>
    <s v="Despachado"/>
    <s v="Coordinadora"/>
    <s v="3262218-84151204217"/>
    <d v="2025-04-24T16:50:53"/>
    <d v="2025-04-25T13:33:07"/>
    <s v="Entregado"/>
    <n v="0"/>
    <n v="1"/>
    <s v="Cumple"/>
    <n v="22920"/>
    <m/>
    <m/>
  </r>
  <r>
    <d v="2025-04-26T00:00:00"/>
    <x v="3"/>
    <n v="2536"/>
    <x v="0"/>
    <s v="Juan David Cubillos Calvachi"/>
    <s v="TECU3FBRO"/>
    <x v="34"/>
    <n v="1"/>
    <x v="1"/>
    <s v="Bogotá y alrededores"/>
    <s v="Bogota"/>
    <s v="Despachado"/>
    <s v="Coordinadora"/>
    <s v="3268967-84151206707"/>
    <d v="2025-04-28T15:17:25"/>
    <d v="2025-04-29T00:00:00"/>
    <s v="Entregado"/>
    <n v="1"/>
    <n v="2"/>
    <s v="Cumple"/>
    <n v="28241"/>
    <m/>
    <m/>
  </r>
  <r>
    <d v="2025-04-26T00:00:00"/>
    <x v="3"/>
    <n v="2536"/>
    <x v="0"/>
    <s v="Juan David Cubillos Calvachi"/>
    <s v="TECUTFE7C"/>
    <x v="53"/>
    <n v="1"/>
    <x v="2"/>
    <s v="Bogotá y alrededores"/>
    <s v="Bogota"/>
    <s v="Despachado"/>
    <s v="Coordinadora"/>
    <s v="3268968-84151206708"/>
    <d v="2025-04-28T15:17:25"/>
    <d v="2025-04-30T00:00:00"/>
    <s v="Entregado"/>
    <n v="1"/>
    <n v="3"/>
    <s v="Cumple"/>
    <n v="23593"/>
    <m/>
    <m/>
  </r>
  <r>
    <d v="2025-04-26T00:00:00"/>
    <x v="3"/>
    <n v="2537"/>
    <x v="0"/>
    <s v="Sergio Prada"/>
    <s v="TECU2FNG"/>
    <x v="5"/>
    <n v="1"/>
    <x v="1"/>
    <s v="Bogotá y alrededores"/>
    <s v="Bogota"/>
    <s v="Despachado"/>
    <s v="Coordinadora"/>
    <s v="3269004-84151206724"/>
    <d v="2025-04-28T15:17:25"/>
    <d v="2025-04-29T00:00:00"/>
    <s v="Entregado"/>
    <n v="1"/>
    <n v="2"/>
    <s v="Cumple"/>
    <n v="26913"/>
    <m/>
    <m/>
  </r>
  <r>
    <d v="2025-04-26T00:00:00"/>
    <x v="3"/>
    <n v="2537"/>
    <x v="0"/>
    <s v="Sergio Prada"/>
    <s v="TECUTCO5C"/>
    <x v="51"/>
    <n v="1"/>
    <x v="2"/>
    <s v="Bogotá y alrededores"/>
    <s v="Bogota"/>
    <s v="Despachado"/>
    <s v="Coordinadora"/>
    <s v="3269006-84151206725"/>
    <d v="2025-04-28T15:17:25"/>
    <d v="2025-04-29T00:00:00"/>
    <s v="Entregado"/>
    <n v="1"/>
    <n v="2"/>
    <s v="Cumple"/>
    <n v="23593"/>
    <m/>
    <m/>
  </r>
  <r>
    <d v="2025-04-28T00:00:00"/>
    <x v="3"/>
    <n v="2538"/>
    <x v="0"/>
    <s v="Lizeth Manchego"/>
    <s v="TECU2FNG"/>
    <x v="5"/>
    <n v="1"/>
    <x v="1"/>
    <s v="Santander"/>
    <s v="Piedacuesta"/>
    <s v="Despachado"/>
    <s v="Coordinadora"/>
    <s v="3270269-84151207172"/>
    <d v="2025-04-28T15:17:25"/>
    <d v="2025-04-30T00:00:00"/>
    <s v="Entregado"/>
    <n v="0"/>
    <n v="2"/>
    <s v="Cumple"/>
    <n v="39191"/>
    <m/>
    <m/>
  </r>
  <r>
    <d v="2025-04-28T00:00:00"/>
    <x v="3"/>
    <n v="2538"/>
    <x v="0"/>
    <s v="Lizeth Manchego"/>
    <s v="TECUTFE4C"/>
    <x v="14"/>
    <n v="1"/>
    <x v="2"/>
    <s v="Santander"/>
    <s v="Piedacuesta"/>
    <s v="Despachado"/>
    <s v="Coordinadora"/>
    <s v="3270271-84151207173"/>
    <d v="2025-04-28T15:17:25"/>
    <d v="2025-04-30T00:00:00"/>
    <s v="Entregado"/>
    <n v="0"/>
    <n v="2"/>
    <s v="Cumple"/>
    <n v="33679"/>
    <m/>
    <m/>
  </r>
  <r>
    <d v="2025-04-28T00:00:00"/>
    <x v="3"/>
    <n v="2538"/>
    <x v="0"/>
    <s v="Lizeth Manchego"/>
    <s v="TECUCT"/>
    <x v="4"/>
    <n v="1"/>
    <x v="0"/>
    <s v="Santander"/>
    <s v="Piedacuesta"/>
    <s v="Despachado"/>
    <s v="Coordinadora"/>
    <s v="3270272-84151207175"/>
    <d v="2025-04-28T15:17:25"/>
    <d v="2025-04-30T00:00:00"/>
    <s v="Entregado"/>
    <n v="0"/>
    <n v="2"/>
    <s v="Cumple"/>
    <n v="22920"/>
    <m/>
    <m/>
  </r>
  <r>
    <d v="2025-04-29T00:00:00"/>
    <x v="3"/>
    <n v="2539"/>
    <x v="0"/>
    <s v="SEAQ HOLDINGS SAS / Andres Mujica"/>
    <s v="TECULFN2"/>
    <x v="7"/>
    <n v="1"/>
    <x v="1"/>
    <s v="Bogotá y alrededores"/>
    <s v="Bogota"/>
    <s v="Despachado"/>
    <s v="Coordinadora"/>
    <s v="3272935 - 84151208399"/>
    <d v="2025-04-29T00:00:00"/>
    <d v="2025-04-30T00:00:00"/>
    <s v="Entregado"/>
    <n v="0"/>
    <n v="1"/>
    <s v="Cumple"/>
    <n v="62530"/>
    <m/>
    <m/>
  </r>
  <r>
    <d v="2025-04-29T00:00:00"/>
    <x v="3"/>
    <n v="2539"/>
    <x v="0"/>
    <s v="SEAQ HOLDINGS SAS / Andres Mujica"/>
    <s v="TECUTLBS"/>
    <x v="61"/>
    <n v="1"/>
    <x v="2"/>
    <s v="Bogotá y alrededores"/>
    <s v="Bogota"/>
    <s v="Despachado"/>
    <s v="Coordinadora"/>
    <s v="3272936 - 84151208400"/>
    <d v="2025-04-29T00:00:00"/>
    <d v="2025-04-30T00:00:00"/>
    <s v="Entregado"/>
    <n v="0"/>
    <n v="1"/>
    <s v="Cumple"/>
    <n v="26749"/>
    <m/>
    <m/>
  </r>
  <r>
    <d v="2025-04-29T00:00:00"/>
    <x v="3"/>
    <n v="2539"/>
    <x v="0"/>
    <s v="SEAQ HOLDINGS SAS / Andres Mujica"/>
    <s v="TECUCT"/>
    <x v="4"/>
    <n v="1"/>
    <x v="0"/>
    <s v="Bogotá y alrededores"/>
    <s v="Bogota"/>
    <s v="Despachado"/>
    <s v="Coordinadora"/>
    <s v="3272944 - 84151208407"/>
    <d v="2025-04-29T00:00:00"/>
    <d v="2025-04-30T00:00:00"/>
    <s v="Entregado"/>
    <n v="0"/>
    <n v="1"/>
    <s v="Cumple"/>
    <n v="24885"/>
    <m/>
    <m/>
  </r>
  <r>
    <d v="2025-04-29T00:00:00"/>
    <x v="3"/>
    <n v="2539"/>
    <x v="0"/>
    <s v="SEAQ HOLDINGS SAS / Andres Mujica"/>
    <s v="TECUROD6"/>
    <x v="25"/>
    <n v="1"/>
    <x v="7"/>
    <s v="Bogotá y alrededores"/>
    <s v="Bogota"/>
    <s v="Despachado"/>
    <s v="Coordinadora"/>
    <s v="3272954 - 84151208412"/>
    <d v="2025-04-29T00:00:00"/>
    <d v="2025-04-30T00:00:00"/>
    <s v="Entregado"/>
    <n v="0"/>
    <n v="1"/>
    <s v="Cumple"/>
    <n v="23875"/>
    <m/>
    <m/>
  </r>
  <r>
    <d v="2025-04-29T00:00:00"/>
    <x v="3"/>
    <n v="2539"/>
    <x v="0"/>
    <s v="SEAQ HOLDINGS SAS / Andres Mujica"/>
    <s v="TECUTBANTE"/>
    <x v="54"/>
    <n v="1"/>
    <x v="0"/>
    <s v="Bogotá y alrededores"/>
    <s v="Bogota"/>
    <s v="Despachado"/>
    <s v="Coordinadora"/>
    <s v="3273378 - 84151208645"/>
    <d v="2025-04-29T00:00:00"/>
    <d v="2025-04-30T00:00:00"/>
    <s v="Entregado"/>
    <n v="0"/>
    <n v="1"/>
    <s v="Cumple"/>
    <n v="27929"/>
    <m/>
    <m/>
  </r>
  <r>
    <d v="2025-04-30T00:00:00"/>
    <x v="3"/>
    <n v="2540"/>
    <x v="0"/>
    <s v="Maria Paula Bonilla Gonzalez"/>
    <s v="TECU2FNG"/>
    <x v="5"/>
    <n v="1"/>
    <x v="1"/>
    <s v="Bogotá y alrededores"/>
    <s v="Bogota"/>
    <s v="Despachado"/>
    <s v="Coordinadora"/>
    <s v="3275213 - 84151209472"/>
    <d v="2025-04-30T00:00:00"/>
    <d v="2025-05-02T00:00:00"/>
    <s v="Entregado"/>
    <n v="0"/>
    <n v="1"/>
    <s v="Cumple"/>
    <n v="41593"/>
    <m/>
    <m/>
  </r>
  <r>
    <d v="2025-04-30T00:00:00"/>
    <x v="3"/>
    <n v="2540"/>
    <x v="0"/>
    <s v="Maria Paula Bonilla Gonzalez"/>
    <s v="TECUTCO2C"/>
    <x v="37"/>
    <n v="1"/>
    <x v="2"/>
    <s v="Bogotá y alrededores"/>
    <s v="Bogota"/>
    <s v="Despachado"/>
    <s v="Coordinadora"/>
    <s v="3275215 - 84151209473"/>
    <d v="2025-04-30T00:00:00"/>
    <d v="2025-05-02T00:00:00"/>
    <s v="Entregado"/>
    <n v="0"/>
    <n v="1"/>
    <s v="Cumple"/>
    <n v="24093"/>
    <m/>
    <m/>
  </r>
  <r>
    <d v="2025-04-30T00:00:00"/>
    <x v="3"/>
    <n v="2540"/>
    <x v="0"/>
    <s v="Maria Paula Bonilla Gonzalez"/>
    <s v="TECU2FNG"/>
    <x v="5"/>
    <n v="1"/>
    <x v="1"/>
    <s v="Bogotá y alrededores"/>
    <s v="Bogota"/>
    <s v="Despachado"/>
    <s v="Coordinadora"/>
    <s v="3275222 - 84151209476"/>
    <d v="2025-04-30T00:00:00"/>
    <d v="2025-05-02T00:00:00"/>
    <s v="Entregado"/>
    <n v="0"/>
    <n v="1"/>
    <s v="Cumple"/>
    <n v="41593"/>
    <m/>
    <m/>
  </r>
  <r>
    <d v="2025-04-30T00:00:00"/>
    <x v="3"/>
    <n v="2540"/>
    <x v="0"/>
    <s v="Maria Paula Bonilla Gonzalez"/>
    <s v="TECUTCO5C"/>
    <x v="51"/>
    <n v="1"/>
    <x v="2"/>
    <s v="Bogotá y alrededores"/>
    <s v="Bogota"/>
    <s v="Despachado"/>
    <s v="Coordinadora"/>
    <s v="3275224 - 84151209477"/>
    <d v="2025-04-30T00:00:00"/>
    <d v="2025-05-02T00:00:00"/>
    <s v="Entregado"/>
    <n v="0"/>
    <n v="1"/>
    <s v="Cumple"/>
    <n v="24093"/>
    <m/>
    <m/>
  </r>
  <r>
    <d v="2025-04-30T00:00:00"/>
    <x v="3"/>
    <n v="2540"/>
    <x v="0"/>
    <s v="Maria Paula Bonilla Gonzalez"/>
    <s v="TECUCT"/>
    <x v="4"/>
    <n v="1"/>
    <x v="0"/>
    <s v="Bogotá y alrededores"/>
    <s v="Bogota"/>
    <s v="Despachado"/>
    <s v="Coordinadora"/>
    <s v="3275233 - 84151209479"/>
    <d v="2025-04-30T00:00:00"/>
    <d v="2025-05-02T00:00:00"/>
    <s v="Entregado"/>
    <n v="0"/>
    <n v="1"/>
    <s v="Cumple"/>
    <n v="24885"/>
    <m/>
    <m/>
  </r>
  <r>
    <d v="2025-05-02T00:00:00"/>
    <x v="4"/>
    <n v="2541"/>
    <x v="0"/>
    <s v="Fernando Andres Cifuentes Calderon"/>
    <s v="TECU3FNCRO"/>
    <x v="55"/>
    <n v="1"/>
    <x v="1"/>
    <s v="Valle del Cauca"/>
    <s v="Cali"/>
    <s v="Despachado"/>
    <s v="Coordinadora"/>
    <s v="3280100 - 84151211327"/>
    <d v="2025-05-02T00:00:00"/>
    <d v="2025-05-03T00:00:00"/>
    <s v="Entregado"/>
    <n v="0"/>
    <n v="1"/>
    <s v="Cumple"/>
    <n v="42921"/>
    <m/>
    <m/>
  </r>
  <r>
    <d v="2025-05-02T00:00:00"/>
    <x v="4"/>
    <n v="2541"/>
    <x v="0"/>
    <s v="Fernando Andres Cifuentes Calderon"/>
    <s v="TECUTCO4C"/>
    <x v="6"/>
    <n v="1"/>
    <x v="2"/>
    <s v="Valle del Cauca"/>
    <s v="Cali"/>
    <s v="Despachado"/>
    <s v="Coordinadora"/>
    <s v="3280101 - 84151211328"/>
    <d v="2025-05-02T00:00:00"/>
    <d v="2025-05-03T00:00:00"/>
    <s v="Entregado"/>
    <n v="0"/>
    <n v="1"/>
    <s v="Cumple"/>
    <n v="24093"/>
    <m/>
    <m/>
  </r>
  <r>
    <d v="2025-04-30T00:00:00"/>
    <x v="3"/>
    <n v="2522"/>
    <x v="4"/>
    <s v="Carlos Contreras"/>
    <s v="TECUBDPA"/>
    <x v="1"/>
    <n v="1"/>
    <x v="0"/>
    <s v="Bogotá y alrededores"/>
    <s v="Bogota"/>
    <s v="Despachado"/>
    <s v="Velotax"/>
    <s v="Envio terminal a terminal"/>
    <d v="2025-04-30T00:00:00"/>
    <d v="2025-05-01T00:00:00"/>
    <s v="Entregado"/>
    <n v="0"/>
    <n v="0"/>
    <s v="Cumple"/>
    <n v="28241"/>
    <m/>
    <m/>
  </r>
  <r>
    <d v="2025-05-03T00:00:00"/>
    <x v="4"/>
    <n v="2542"/>
    <x v="0"/>
    <s v="Andrés Palma Meriño / Abbott Laboratories de Colombia S.A.S"/>
    <s v="TECU3FNPRO"/>
    <x v="12"/>
    <n v="1"/>
    <x v="1"/>
    <s v="Bogotá y alrededores"/>
    <s v="Bogota"/>
    <s v="Despachado"/>
    <s v="Coordinadora"/>
    <s v="3285771- 84151213469"/>
    <d v="2025-05-05T00:00:00"/>
    <d v="2025-05-06T00:00:00"/>
    <s v="Entregado"/>
    <n v="1"/>
    <n v="2"/>
    <s v="Cumple"/>
    <n v="42921"/>
    <m/>
    <m/>
  </r>
  <r>
    <d v="2025-05-05T00:00:00"/>
    <x v="4"/>
    <n v="2543"/>
    <x v="0"/>
    <s v="Maria Laura Rojas"/>
    <s v="TECU3FNPRO"/>
    <x v="12"/>
    <n v="1"/>
    <x v="1"/>
    <s v="Bogotá y alrededores"/>
    <s v="Bogota"/>
    <s v="Despachado"/>
    <s v="Coordinadora"/>
    <s v="3289518- 84151215417"/>
    <d v="2025-05-06T00:00:00"/>
    <d v="2025-05-07T00:00:00"/>
    <s v="Entregado"/>
    <n v="1"/>
    <n v="2"/>
    <s v="Cumple"/>
    <n v="42921"/>
    <m/>
    <m/>
  </r>
  <r>
    <d v="2025-05-05T00:00:00"/>
    <x v="4"/>
    <n v="2543"/>
    <x v="0"/>
    <s v="Maria Laura Rojas"/>
    <s v="TECUTFE4C"/>
    <x v="14"/>
    <n v="1"/>
    <x v="2"/>
    <s v="Bogotá y alrededores"/>
    <s v="Bogota"/>
    <s v="Despachado"/>
    <s v="Coordinadora"/>
    <s v="3289520- 84151215419"/>
    <d v="2025-05-06T00:00:00"/>
    <d v="2025-05-08T00:00:00"/>
    <s v="Entregado"/>
    <n v="1"/>
    <n v="3"/>
    <s v="Cumple"/>
    <n v="24093"/>
    <m/>
    <m/>
  </r>
  <r>
    <d v="2025-05-05T00:00:00"/>
    <x v="4"/>
    <n v="2543"/>
    <x v="0"/>
    <s v="Maria Laura Rojas"/>
    <s v="TECUBDPM"/>
    <x v="0"/>
    <n v="1"/>
    <x v="0"/>
    <s v="Bogotá y alrededores"/>
    <s v="Bogota"/>
    <s v="Despachado"/>
    <s v="Coordinadora"/>
    <s v="3289506- 84151215414"/>
    <d v="2025-05-06T00:00:00"/>
    <d v="2025-05-07T00:00:00"/>
    <s v="Entregado"/>
    <n v="1"/>
    <n v="2"/>
    <s v="Cumple"/>
    <n v="16617"/>
    <m/>
    <m/>
  </r>
  <r>
    <d v="2025-05-05T00:00:00"/>
    <x v="4"/>
    <n v="2543"/>
    <x v="0"/>
    <s v="Maria Laura Rojas"/>
    <s v="TECUAFE"/>
    <x v="43"/>
    <n v="1"/>
    <x v="5"/>
    <s v="Bogotá y alrededores"/>
    <s v="Bogota"/>
    <s v="Despachado"/>
    <s v="Envia"/>
    <s v="3289257- 954101209673"/>
    <d v="2025-05-06T00:00:00"/>
    <d v="2025-05-08T00:00:00"/>
    <s v="Entregado"/>
    <n v="1"/>
    <n v="3"/>
    <s v="Cumple"/>
    <n v="54929"/>
    <m/>
    <m/>
  </r>
  <r>
    <d v="2025-05-05T00:00:00"/>
    <x v="4"/>
    <n v="2543"/>
    <x v="0"/>
    <s v="Maria Laura Rojas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5-06T00:00:00"/>
    <x v="4"/>
    <n v="2544"/>
    <x v="0"/>
    <s v="EDDY BENEDICTA PEÑA MORENO"/>
    <s v="TECU3FBRO"/>
    <x v="34"/>
    <n v="1"/>
    <x v="1"/>
    <s v="Antioquia"/>
    <s v="Medellin"/>
    <s v="Despachado"/>
    <s v="Coordinadora"/>
    <s v="3289550- 84151215430"/>
    <d v="2025-05-06T00:00:00"/>
    <d v="2025-05-07T00:00:00"/>
    <s v="Entregado"/>
    <n v="0"/>
    <n v="1"/>
    <s v="Cumple"/>
    <n v="42921"/>
    <m/>
    <m/>
  </r>
  <r>
    <d v="2025-05-06T00:00:00"/>
    <x v="4"/>
    <n v="2544"/>
    <x v="0"/>
    <s v="EDDY BENEDICTA PEÑA MORENO"/>
    <s v="TECUTFE8C"/>
    <x v="21"/>
    <n v="1"/>
    <x v="2"/>
    <s v="Antioquia"/>
    <s v="Medellin"/>
    <s v="Despachado"/>
    <s v="Coordinadora"/>
    <s v="3289551- 84151215431"/>
    <d v="2025-05-06T00:00:00"/>
    <d v="2025-05-07T00:00:00"/>
    <s v="Entregado"/>
    <n v="0"/>
    <n v="1"/>
    <s v="Cumple"/>
    <n v="26749"/>
    <m/>
    <m/>
  </r>
  <r>
    <d v="2025-05-06T00:00:00"/>
    <x v="4"/>
    <n v="2544"/>
    <x v="0"/>
    <s v="EDDY BENEDICTA PEÑA MORENO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5-06T00:00:00"/>
    <x v="4"/>
    <n v="2545"/>
    <x v="0"/>
    <s v="Santiago Espitia Giron"/>
    <s v="TECU3FNPRO"/>
    <x v="12"/>
    <n v="1"/>
    <x v="1"/>
    <s v="Bogotá y alrededores"/>
    <s v="Bogota"/>
    <s v="Despachado"/>
    <s v="Coordinadora"/>
    <s v="3289628- 84151215449"/>
    <d v="2025-05-06T00:00:00"/>
    <d v="2025-05-07T00:00:00"/>
    <s v="Entregado"/>
    <n v="0"/>
    <n v="1"/>
    <s v="Cumple"/>
    <n v="42921"/>
    <m/>
    <m/>
  </r>
  <r>
    <d v="2025-05-06T00:00:00"/>
    <x v="4"/>
    <n v="2545"/>
    <x v="0"/>
    <s v="Santiago Espitia Giron"/>
    <s v="TECUTCO4C"/>
    <x v="6"/>
    <n v="1"/>
    <x v="2"/>
    <s v="Bogotá y alrededores"/>
    <s v="Bogota"/>
    <s v="Despachado"/>
    <s v="Coordinadora"/>
    <s v="3289629- 84151215450"/>
    <d v="2025-05-06T00:00:00"/>
    <d v="2025-05-07T00:00:00"/>
    <s v="Entregado"/>
    <n v="0"/>
    <n v="1"/>
    <s v="Cumple"/>
    <n v="26749"/>
    <m/>
    <m/>
  </r>
  <r>
    <d v="2025-05-06T00:00:00"/>
    <x v="4"/>
    <n v="2545"/>
    <x v="0"/>
    <s v="Santiago Espitia Giron"/>
    <s v="TECUROD"/>
    <x v="31"/>
    <n v="1"/>
    <x v="7"/>
    <s v="Bogotá y alrededores"/>
    <s v="Bogota"/>
    <s v="Despachado"/>
    <s v="Coordinadora"/>
    <s v="3289643- 84151215458"/>
    <d v="2025-05-06T00:00:00"/>
    <d v="2025-05-07T00:00:00"/>
    <s v="Entregado"/>
    <n v="0"/>
    <n v="1"/>
    <s v="Cumple"/>
    <n v="23875"/>
    <m/>
    <m/>
  </r>
  <r>
    <d v="2025-05-06T00:00:00"/>
    <x v="4"/>
    <n v="2546"/>
    <x v="0"/>
    <s v="Jesús David Traslaviña Fuentes"/>
    <s v="TECU3FBRO"/>
    <x v="34"/>
    <n v="1"/>
    <x v="1"/>
    <s v="Bogotá y alrededores"/>
    <s v="Bogota"/>
    <s v="Despachado"/>
    <s v="Coordinadora"/>
    <s v="3289726 -84151215497"/>
    <d v="2025-05-06T00:00:00"/>
    <d v="2025-05-07T00:00:00"/>
    <s v="Entregado"/>
    <n v="0"/>
    <n v="1"/>
    <s v="Cumple"/>
    <n v="42921"/>
    <m/>
    <m/>
  </r>
  <r>
    <d v="2025-05-06T00:00:00"/>
    <x v="4"/>
    <n v="2546"/>
    <x v="0"/>
    <s v="Jesús David Traslaviña Fuentes"/>
    <s v="TECUTB2C"/>
    <x v="68"/>
    <n v="1"/>
    <x v="2"/>
    <s v="Bogotá y alrededores"/>
    <s v="Bogota"/>
    <s v="Despachado"/>
    <s v="Coordinadora"/>
    <s v="3289727 -84151215498"/>
    <d v="2025-05-06T00:00:00"/>
    <d v="2025-05-07T00:00:00"/>
    <s v="Entregado"/>
    <n v="0"/>
    <n v="1"/>
    <s v="Cumple"/>
    <n v="28741"/>
    <m/>
    <m/>
  </r>
  <r>
    <d v="2025-05-06T00:00:00"/>
    <x v="4"/>
    <n v="2547"/>
    <x v="0"/>
    <s v="Cristhian Camilo Castro Melo"/>
    <s v="TECULFN2"/>
    <x v="7"/>
    <n v="1"/>
    <x v="1"/>
    <s v="Bogotá y alrededores"/>
    <s v="Soacha"/>
    <s v="Despachado"/>
    <s v="Coordinadora"/>
    <s v="3293085 -84151216809"/>
    <d v="2025-05-07T00:00:00"/>
    <d v="2025-05-10T00:00:00"/>
    <s v="Entregado"/>
    <n v="1"/>
    <n v="4"/>
    <s v="Cumple"/>
    <n v="62530"/>
    <m/>
    <m/>
  </r>
  <r>
    <d v="2025-05-06T00:00:00"/>
    <x v="4"/>
    <n v="2547"/>
    <x v="0"/>
    <s v="Cristhian Camilo Castro Melo"/>
    <s v="TECUTLCCS"/>
    <x v="45"/>
    <n v="1"/>
    <x v="2"/>
    <s v="Bogotá y alrededores"/>
    <s v="Soacha"/>
    <s v="Despachado"/>
    <s v="Coordinadora"/>
    <s v="3293087 -84151216810"/>
    <d v="2025-05-07T00:00:00"/>
    <d v="2025-05-09T00:00:00"/>
    <s v="Entregado"/>
    <n v="1"/>
    <n v="3"/>
    <s v="Cumple"/>
    <n v="26749"/>
    <m/>
    <m/>
  </r>
  <r>
    <d v="2025-05-07T00:00:00"/>
    <x v="4"/>
    <n v="2548"/>
    <x v="0"/>
    <s v="Pedro Vallejo Seade"/>
    <s v="TECU2FNG"/>
    <x v="5"/>
    <n v="1"/>
    <x v="1"/>
    <s v="Bogotá y alrededores"/>
    <s v="Bogota"/>
    <s v="Despachado"/>
    <s v="Coordinadora"/>
    <s v="3293346 -84151216936"/>
    <d v="2025-05-07T00:00:00"/>
    <d v="2025-05-08T00:00:00"/>
    <s v="Entregado"/>
    <n v="0"/>
    <n v="1"/>
    <s v="Cumple"/>
    <n v="41593"/>
    <m/>
    <m/>
  </r>
  <r>
    <d v="2025-05-07T00:00:00"/>
    <x v="4"/>
    <n v="2548"/>
    <x v="0"/>
    <s v="Pedro Vallejo Seade"/>
    <s v="TECUTCO2C"/>
    <x v="37"/>
    <n v="1"/>
    <x v="2"/>
    <s v="Bogotá y alrededores"/>
    <s v="Bogota"/>
    <s v="Despachado"/>
    <s v="Coordinadora"/>
    <s v="3293348 -84151216938"/>
    <d v="2025-05-07T00:00:00"/>
    <d v="2025-05-10T00:00:00"/>
    <s v="Entregado"/>
    <n v="0"/>
    <n v="3"/>
    <s v="Cumple"/>
    <n v="24093"/>
    <m/>
    <m/>
  </r>
  <r>
    <d v="2025-05-07T00:00:00"/>
    <x v="4"/>
    <n v="2548"/>
    <x v="0"/>
    <s v="Pedro Vallejo Seade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5-07T00:00:00"/>
    <x v="4"/>
    <n v="2549"/>
    <x v="0"/>
    <s v="Juan Angulo"/>
    <s v="TECUDSN"/>
    <x v="13"/>
    <n v="1"/>
    <x v="4"/>
    <s v="Atlantico"/>
    <s v="Barranquilla"/>
    <s v="Despachado"/>
    <s v="Coordinadora"/>
    <s v="3293276 -84151216896"/>
    <d v="2025-05-07T00:00:00"/>
    <d v="2025-05-09T00:00:00"/>
    <s v="Entregado"/>
    <n v="0"/>
    <n v="2"/>
    <s v="Cumple"/>
    <n v="40942"/>
    <m/>
    <m/>
  </r>
  <r>
    <d v="2025-05-07T00:00:00"/>
    <x v="4"/>
    <n v="2549"/>
    <x v="0"/>
    <s v="Juan Angulo"/>
    <s v="TECUDSG"/>
    <x v="64"/>
    <n v="1"/>
    <x v="4"/>
    <s v="Atlantico"/>
    <s v="Barranquilla"/>
    <s v="Despachado"/>
    <s v="Coordinadora"/>
    <s v="3293285 -84151216902"/>
    <d v="2025-05-07T00:00:00"/>
    <d v="2025-05-09T00:00:00"/>
    <s v="Entregado"/>
    <n v="0"/>
    <n v="2"/>
    <s v="Cumple"/>
    <n v="40942"/>
    <m/>
    <m/>
  </r>
  <r>
    <d v="2025-05-07T00:00:00"/>
    <x v="4"/>
    <n v="2549"/>
    <x v="0"/>
    <s v="Juan Angulo"/>
    <s v="TECUCT"/>
    <x v="4"/>
    <n v="1"/>
    <x v="0"/>
    <s v="Atlantico"/>
    <s v="Barranquilla"/>
    <s v="Despachado"/>
    <s v="Coordinadora"/>
    <s v="3293294 -84151216907"/>
    <d v="2025-05-07T00:00:00"/>
    <d v="2025-05-09T00:00:00"/>
    <s v="Entregado"/>
    <n v="0"/>
    <n v="2"/>
    <s v="Cumple"/>
    <n v="24885"/>
    <m/>
    <m/>
  </r>
  <r>
    <d v="2025-05-07T00:00:00"/>
    <x v="4"/>
    <n v="2550"/>
    <x v="0"/>
    <s v="Benjamin Norman Baron"/>
    <s v="TECU3FNPRO"/>
    <x v="12"/>
    <n v="1"/>
    <x v="1"/>
    <s v="Antioquia"/>
    <s v="Retiro"/>
    <s v="Despachado"/>
    <s v="Coordinadora"/>
    <s v="3299173 -84151219490"/>
    <d v="2025-05-09T00:00:00"/>
    <d v="2025-05-10T00:00:00"/>
    <s v="Entregado"/>
    <n v="2"/>
    <n v="3"/>
    <s v="Cumple"/>
    <n v="42921"/>
    <m/>
    <m/>
  </r>
  <r>
    <d v="2025-05-07T00:00:00"/>
    <x v="4"/>
    <n v="2550"/>
    <x v="0"/>
    <s v="Benjamin Norman Baron"/>
    <s v="TECU-BMUSRN"/>
    <x v="69"/>
    <n v="1"/>
    <x v="2"/>
    <s v="Antioquia"/>
    <s v="Retiro"/>
    <s v="Despachado"/>
    <s v="Coordinadora"/>
    <s v="3299174 -84151219491"/>
    <d v="2025-05-09T00:00:00"/>
    <d v="2025-05-10T00:00:00"/>
    <s v="Entregado"/>
    <n v="2"/>
    <n v="3"/>
    <s v="Cumple"/>
    <n v="26749"/>
    <m/>
    <m/>
  </r>
  <r>
    <d v="2025-05-08T00:00:00"/>
    <x v="4"/>
    <n v="2551"/>
    <x v="0"/>
    <s v="EDDY BENEDICTA PEÑA MORENO"/>
    <s v="TECUCT"/>
    <x v="4"/>
    <n v="1"/>
    <x v="0"/>
    <s v="Antioquia"/>
    <s v="Medellin"/>
    <s v="Despachado"/>
    <s v="Coordinadora"/>
    <s v="3299184 -84151219494"/>
    <d v="2025-05-09T00:00:00"/>
    <d v="2025-05-10T00:00:00"/>
    <s v="Entregado"/>
    <n v="1"/>
    <n v="2"/>
    <s v="Cumple"/>
    <n v="27929"/>
    <m/>
    <m/>
  </r>
  <r>
    <d v="2025-05-09T00:00:00"/>
    <x v="4"/>
    <n v="2552"/>
    <x v="0"/>
    <s v="Christian Rodríguez Caicedo"/>
    <s v="TECU3FNPRO"/>
    <x v="12"/>
    <n v="1"/>
    <x v="1"/>
    <s v="Bogotá y alrededores"/>
    <s v="Bogota"/>
    <s v="Despachado"/>
    <s v="Coordinadora"/>
    <s v="3299911 -84151219835"/>
    <d v="2025-05-09T00:00:00"/>
    <d v="2025-05-10T00:00:00"/>
    <s v="Entregado"/>
    <n v="0"/>
    <n v="1"/>
    <s v="Cumple"/>
    <n v="42921"/>
    <m/>
    <m/>
  </r>
  <r>
    <d v="2025-05-09T00:00:00"/>
    <x v="4"/>
    <n v="2552"/>
    <x v="0"/>
    <s v="Christian Rodríguez Caicedo"/>
    <s v="TECUTFE6C"/>
    <x v="28"/>
    <n v="1"/>
    <x v="2"/>
    <s v="Bogotá y alrededores"/>
    <s v="Bogota"/>
    <s v="Despachado"/>
    <s v="Coordinadora"/>
    <s v="3299912 -84151219837"/>
    <d v="2025-05-09T00:00:00"/>
    <d v="2025-05-12T00:00:00"/>
    <s v="Entregado"/>
    <n v="0"/>
    <n v="2"/>
    <s v="Cumple"/>
    <n v="24093"/>
    <m/>
    <m/>
  </r>
  <r>
    <d v="2025-05-09T00:00:00"/>
    <x v="4"/>
    <n v="2552"/>
    <x v="0"/>
    <s v="Christian Rodríguez Caicedo"/>
    <s v="TECUAFE"/>
    <x v="43"/>
    <n v="1"/>
    <x v="5"/>
    <s v="Bogotá y alrededores"/>
    <s v="Bogota"/>
    <s v="Despachado"/>
    <s v="Envia"/>
    <s v="3312736 -954101215391"/>
    <d v="2025-05-14T00:00:00"/>
    <d v="2025-05-15T00:00:00"/>
    <s v="Entregado"/>
    <n v="4"/>
    <n v="5"/>
    <s v="No cumple"/>
    <n v="54929"/>
    <m/>
    <m/>
  </r>
  <r>
    <d v="2025-05-09T00:00:00"/>
    <x v="4"/>
    <n v="2552"/>
    <x v="0"/>
    <s v="Christian Rodríguez Caicedo"/>
    <s v="TECUCT"/>
    <x v="4"/>
    <n v="1"/>
    <x v="0"/>
    <s v="Bogotá y alrededores"/>
    <s v="Bogota"/>
    <s v="Despachado"/>
    <s v="Coordinadora"/>
    <s v="3299916 -84151219838"/>
    <d v="2025-05-09T00:00:00"/>
    <d v="2025-05-10T00:00:00"/>
    <s v="Entregado"/>
    <n v="0"/>
    <n v="1"/>
    <s v="Cumple"/>
    <n v="24885"/>
    <m/>
    <m/>
  </r>
  <r>
    <d v="2025-05-10T00:00:00"/>
    <x v="4"/>
    <n v="2553"/>
    <x v="0"/>
    <s v="Sergio Vladimir Garcia Galvis"/>
    <s v="TECU3FNPRO"/>
    <x v="12"/>
    <n v="1"/>
    <x v="1"/>
    <s v="Bogotá y alrededores"/>
    <s v="Bogota"/>
    <s v="Despachado"/>
    <s v="Coordinadora"/>
    <s v="3304708 -84151222141"/>
    <d v="2025-05-12T00:00:00"/>
    <d v="2025-05-13T00:00:00"/>
    <s v="Entregado"/>
    <n v="1"/>
    <n v="2"/>
    <s v="Cumple"/>
    <n v="42921"/>
    <m/>
    <m/>
  </r>
  <r>
    <d v="2025-05-10T00:00:00"/>
    <x v="4"/>
    <n v="2553"/>
    <x v="0"/>
    <s v="Sergio Vladimir Garcia Galvis"/>
    <s v="TECUTCO7C"/>
    <x v="70"/>
    <n v="1"/>
    <x v="2"/>
    <s v="Bogotá y alrededores"/>
    <s v="Bogota"/>
    <s v="Despachado"/>
    <s v="Coordinadora"/>
    <s v="3304710 -84151222143"/>
    <d v="2025-05-12T00:00:00"/>
    <d v="2025-05-13T00:00:00"/>
    <s v="Entregado"/>
    <n v="1"/>
    <n v="2"/>
    <s v="Cumple"/>
    <n v="24093"/>
    <m/>
    <m/>
  </r>
  <r>
    <d v="2025-05-10T00:00:00"/>
    <x v="4"/>
    <n v="2554"/>
    <x v="0"/>
    <s v="Jessica Riano"/>
    <s v="TECU2FNG"/>
    <x v="5"/>
    <n v="1"/>
    <x v="1"/>
    <s v="Bogotá y alrededores"/>
    <s v="Bogota"/>
    <s v="Despachado"/>
    <s v="Coordinadora"/>
    <s v="3304674 -84151222130"/>
    <d v="2025-05-12T00:00:00"/>
    <d v="2025-05-13T00:00:00"/>
    <s v="Entregado"/>
    <n v="1"/>
    <n v="2"/>
    <s v="Cumple"/>
    <n v="41593"/>
    <m/>
    <m/>
  </r>
  <r>
    <d v="2025-05-10T00:00:00"/>
    <x v="4"/>
    <n v="2554"/>
    <x v="0"/>
    <s v="Jessica Riano"/>
    <s v="TECUTCO2C"/>
    <x v="37"/>
    <n v="1"/>
    <x v="2"/>
    <s v="Bogotá y alrededores"/>
    <s v="Bogota"/>
    <s v="Despachado"/>
    <s v="Coordinadora"/>
    <s v="3304677 -84151222133"/>
    <d v="2025-05-12T00:00:00"/>
    <d v="2025-05-14T00:00:00"/>
    <s v="Entregado"/>
    <n v="1"/>
    <n v="3"/>
    <s v="Cumple"/>
    <n v="24093"/>
    <m/>
    <m/>
  </r>
  <r>
    <d v="2025-05-11T00:00:00"/>
    <x v="4"/>
    <n v="2555"/>
    <x v="0"/>
    <s v="Anwar Chehade"/>
    <s v="TECU2FBGO"/>
    <x v="2"/>
    <n v="1"/>
    <x v="1"/>
    <s v="Bogotá y alrededores"/>
    <s v="Bogota"/>
    <s v="Despachado"/>
    <s v="Coordinadora"/>
    <s v="3305441 -84151222584"/>
    <d v="2025-05-12T00:00:00"/>
    <d v="2025-05-13T00:00:00"/>
    <s v="Entregado"/>
    <n v="0"/>
    <n v="1"/>
    <s v="Cumple"/>
    <n v="41593"/>
    <m/>
    <m/>
  </r>
  <r>
    <d v="2025-05-11T00:00:00"/>
    <x v="4"/>
    <n v="2555"/>
    <x v="0"/>
    <s v="Anwar Chehade"/>
    <s v="TECUTB2C"/>
    <x v="68"/>
    <n v="1"/>
    <x v="2"/>
    <s v="Bogotá y alrededores"/>
    <s v="Bogota"/>
    <s v="Despachado"/>
    <s v="Coordinadora"/>
    <s v="3305443 -84151222586"/>
    <d v="2025-05-12T00:00:00"/>
    <d v="2025-05-14T00:00:00"/>
    <s v="Entregado"/>
    <n v="0"/>
    <n v="2"/>
    <s v="Cumple"/>
    <n v="24093"/>
    <m/>
    <m/>
  </r>
  <r>
    <d v="2025-05-11T00:00:00"/>
    <x v="4"/>
    <n v="2555"/>
    <x v="0"/>
    <s v="Anwar Chehade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5-12T00:00:00"/>
    <x v="4"/>
    <n v="2556"/>
    <x v="0"/>
    <s v="Felipe Gomez Castano"/>
    <s v="TECU3FBRO"/>
    <x v="34"/>
    <n v="1"/>
    <x v="1"/>
    <s v="Antioquia"/>
    <s v="Carmen de Viboral"/>
    <s v="Despachado"/>
    <s v="Coordinadora"/>
    <s v="3306649 -84151223326"/>
    <d v="2025-05-12T00:00:00"/>
    <d v="2025-05-13T00:00:00"/>
    <s v="Entregado"/>
    <n v="0"/>
    <n v="1"/>
    <s v="Cumple"/>
    <n v="47921"/>
    <m/>
    <m/>
  </r>
  <r>
    <d v="2025-05-12T00:00:00"/>
    <x v="4"/>
    <n v="2556"/>
    <x v="0"/>
    <s v="Felipe Gomez Castano"/>
    <s v="TECUTFE3C"/>
    <x v="39"/>
    <n v="1"/>
    <x v="2"/>
    <s v="Antioquia"/>
    <s v="Carmen de Viboral"/>
    <s v="Despachado"/>
    <s v="Coordinadora"/>
    <s v="3306728 -84151223369"/>
    <d v="2025-05-12T00:00:00"/>
    <d v="2025-05-13T00:00:00"/>
    <s v="Entregado"/>
    <n v="0"/>
    <n v="1"/>
    <s v="Cumple"/>
    <n v="27929"/>
    <m/>
    <m/>
  </r>
  <r>
    <d v="2025-05-12T00:00:00"/>
    <x v="4"/>
    <n v="2557"/>
    <x v="0"/>
    <s v="Jerson Mendoza"/>
    <s v="TECU3FBRO"/>
    <x v="34"/>
    <n v="1"/>
    <x v="1"/>
    <s v="Antioquia"/>
    <s v="Medellin"/>
    <s v="Despachado"/>
    <s v="Coordinadora"/>
    <s v="3305206 -84151222430"/>
    <d v="2025-05-12T00:00:00"/>
    <d v="2025-05-13T00:00:00"/>
    <s v="Entregado"/>
    <n v="0"/>
    <n v="1"/>
    <s v="Cumple"/>
    <n v="42921"/>
    <m/>
    <m/>
  </r>
  <r>
    <d v="2025-05-12T00:00:00"/>
    <x v="4"/>
    <n v="2557"/>
    <x v="0"/>
    <s v="Jerson Mendoza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5-12T00:00:00"/>
    <x v="4"/>
    <n v="2558"/>
    <x v="0"/>
    <s v="Carlos Eduardo Cortes Gomez"/>
    <s v="TECU3FNCRO"/>
    <x v="55"/>
    <n v="1"/>
    <x v="1"/>
    <s v="Bogotá y alrededores"/>
    <s v="Bogota"/>
    <s v="Despachado"/>
    <s v="Coordinadora"/>
    <s v="3312804 -84151226481"/>
    <d v="2025-05-14T00:00:00"/>
    <d v="2025-05-16T00:00:00"/>
    <s v="Entregado"/>
    <n v="2"/>
    <n v="4"/>
    <s v="No cumple"/>
    <n v="42921"/>
    <m/>
    <m/>
  </r>
  <r>
    <d v="2025-05-12T00:00:00"/>
    <x v="4"/>
    <n v="2558"/>
    <x v="0"/>
    <s v="Carlos Eduardo Cortes Gomez"/>
    <s v="TECUTCO5C"/>
    <x v="51"/>
    <n v="1"/>
    <x v="2"/>
    <s v="Bogotá y alrededores"/>
    <s v="Bogota"/>
    <s v="Despachado"/>
    <s v="Coordinadora"/>
    <s v="3312805 -84151226482"/>
    <d v="2025-05-14T00:00:00"/>
    <d v="2025-05-16T00:00:00"/>
    <s v="Entregado"/>
    <n v="2"/>
    <n v="4"/>
    <s v="No cumple"/>
    <n v="24093"/>
    <m/>
    <m/>
  </r>
  <r>
    <d v="2025-05-12T00:00:00"/>
    <x v="4"/>
    <n v="2558"/>
    <x v="0"/>
    <s v="Carlos Eduardo Cortes Gomez"/>
    <s v="TECUBLS"/>
    <x v="32"/>
    <n v="1"/>
    <x v="0"/>
    <s v="Bogotá y alrededores"/>
    <s v="Bogota"/>
    <s v="Despachado"/>
    <s v="Coordinadora"/>
    <s v="3312815 -84151226486"/>
    <d v="2025-05-14T00:00:00"/>
    <d v="2025-05-15T00:00:00"/>
    <s v="Entregado"/>
    <n v="2"/>
    <n v="3"/>
    <s v="Cumple"/>
    <n v="24885"/>
    <m/>
    <m/>
  </r>
  <r>
    <d v="2025-05-12T00:00:00"/>
    <x v="4"/>
    <n v="2558"/>
    <x v="0"/>
    <s v="Carlos Eduardo Cortes Gomez"/>
    <m/>
    <x v="10"/>
    <n v="1"/>
    <x v="3"/>
    <s v="Bogotá y alrededores"/>
    <s v="Bogota"/>
    <s v="Instalacion"/>
    <s v="NA"/>
    <s v="NA"/>
    <s v="NA"/>
    <s v="NA"/>
    <s v="Entregado"/>
    <s v="PTE"/>
    <e v="#VALUE!"/>
    <e v="#VALUE!"/>
    <n v="0"/>
    <m/>
    <m/>
  </r>
  <r>
    <d v="2025-05-13T00:00:00"/>
    <x v="4"/>
    <n v="2559"/>
    <x v="0"/>
    <s v="LIONTECH S.A.S"/>
    <s v="TECU3FNCRO"/>
    <x v="55"/>
    <n v="1"/>
    <x v="1"/>
    <s v="Bogotá y alrededores"/>
    <s v="Bogota"/>
    <s v="Despachado"/>
    <s v="Coordinadora"/>
    <s v="3314209 -84151227311"/>
    <d v="2025-05-14T00:00:00"/>
    <d v="2025-05-15T00:00:00"/>
    <s v="Entregado"/>
    <n v="1"/>
    <n v="2"/>
    <s v="Cumple"/>
    <n v="42921"/>
    <m/>
    <m/>
  </r>
  <r>
    <d v="2025-05-13T00:00:00"/>
    <x v="4"/>
    <n v="2559"/>
    <x v="0"/>
    <s v="LIONTECH S.A.S"/>
    <s v="TECUTCO8C"/>
    <x v="19"/>
    <n v="1"/>
    <x v="2"/>
    <s v="Bogotá y alrededores"/>
    <s v="Bogota"/>
    <s v="Despachado"/>
    <s v="Coordinadora"/>
    <s v="3314210 -84151227312"/>
    <d v="2025-05-14T00:00:00"/>
    <d v="2025-05-16T00:00:00"/>
    <s v="Entregado"/>
    <n v="1"/>
    <n v="3"/>
    <s v="Cumple"/>
    <n v="26749"/>
    <m/>
    <m/>
  </r>
  <r>
    <d v="2025-05-13T00:00:00"/>
    <x v="4"/>
    <n v="2559"/>
    <x v="0"/>
    <s v="LIONTECH S.A.S"/>
    <s v="TECUCT"/>
    <x v="4"/>
    <n v="1"/>
    <x v="0"/>
    <s v="Bogotá y alrededores"/>
    <s v="Bogota"/>
    <s v="Despachado"/>
    <s v="Coordinadora"/>
    <s v="3314227 -84151227322"/>
    <d v="2025-05-14T00:00:00"/>
    <d v="2025-05-15T00:00:00"/>
    <s v="Entregado"/>
    <n v="1"/>
    <n v="2"/>
    <s v="Cumple"/>
    <n v="24885"/>
    <m/>
    <m/>
  </r>
  <r>
    <d v="2025-05-13T00:00:00"/>
    <x v="4"/>
    <n v="2560"/>
    <x v="0"/>
    <s v="Margarita Reyes &amp; HUSKY IMS COLOMBIA LTD."/>
    <s v="TECU3FNPRO"/>
    <x v="12"/>
    <n v="1"/>
    <x v="1"/>
    <s v="Bogotá y alrededores"/>
    <s v="Bogota"/>
    <s v="En alistamiento"/>
    <s v="Coordinadora"/>
    <m/>
    <m/>
    <m/>
    <s v="En transito"/>
    <s v="PTE"/>
    <m/>
    <s v="PTE"/>
    <m/>
    <m/>
    <m/>
  </r>
  <r>
    <d v="2025-05-13T00:00:00"/>
    <x v="4"/>
    <n v="2560"/>
    <x v="0"/>
    <s v="Margarita Reyes &amp; HUSKY IMS COLOMBIA LTD."/>
    <s v="TECUTRM8C"/>
    <x v="49"/>
    <n v="1"/>
    <x v="2"/>
    <s v="Bogotá y alrededores"/>
    <s v="Bogota"/>
    <s v="En alistamiento"/>
    <s v="Coordinadora"/>
    <m/>
    <m/>
    <m/>
    <s v="En transito"/>
    <s v="PTE"/>
    <m/>
    <s v="PTE"/>
    <m/>
    <m/>
    <m/>
  </r>
  <r>
    <d v="2025-05-13T00:00:00"/>
    <x v="4"/>
    <n v="2560"/>
    <x v="0"/>
    <s v="Margarita Reyes &amp; HUSKY IMS COLOMBIA LTD."/>
    <s v="TECUCT"/>
    <x v="4"/>
    <n v="1"/>
    <x v="0"/>
    <s v="Bogotá y alrededores"/>
    <s v="Bogota"/>
    <s v="En alistamiento"/>
    <s v="Coordinadora"/>
    <m/>
    <m/>
    <m/>
    <s v="En transito"/>
    <s v="PTE"/>
    <m/>
    <s v="PTE"/>
    <m/>
    <m/>
    <m/>
  </r>
  <r>
    <d v="2025-05-13T00:00:00"/>
    <x v="4"/>
    <n v="2560"/>
    <x v="0"/>
    <s v="Margarita Reyes &amp; HUSKY IMS COLOMBIA LTD."/>
    <s v="TECUROD"/>
    <x v="31"/>
    <n v="1"/>
    <x v="7"/>
    <s v="Bogotá y alrededores"/>
    <s v="Bogota"/>
    <s v="En alistamiento"/>
    <s v="Coordinadora"/>
    <m/>
    <m/>
    <m/>
    <s v="En transito"/>
    <s v="PTE"/>
    <m/>
    <s v="PTE"/>
    <m/>
    <m/>
    <m/>
  </r>
  <r>
    <d v="2025-05-13T00:00:00"/>
    <x v="4"/>
    <n v="2560"/>
    <x v="0"/>
    <s v="Margarita Reyes &amp; HUSKY IMS COLOMBIA LTD."/>
    <s v="TECUBDPA"/>
    <x v="1"/>
    <n v="1"/>
    <x v="0"/>
    <s v="Bogotá y alrededores"/>
    <s v="Bogota"/>
    <s v="En alistamiento"/>
    <s v="Coordinadora"/>
    <m/>
    <m/>
    <m/>
    <s v="En transito"/>
    <s v="PTE"/>
    <m/>
    <s v="PTE"/>
    <m/>
    <m/>
    <m/>
  </r>
  <r>
    <d v="2025-05-13T00:00:00"/>
    <x v="4"/>
    <n v="2560"/>
    <x v="0"/>
    <s v="Margarita Reyes &amp; HUSKY IMS COLOMBIA LTD."/>
    <s v="TECUBLS"/>
    <x v="32"/>
    <n v="1"/>
    <x v="0"/>
    <s v="Bogotá y alrededores"/>
    <s v="Bogota"/>
    <s v="En alistamiento"/>
    <s v="Coordinadora"/>
    <m/>
    <m/>
    <m/>
    <s v="En transito"/>
    <s v="PTE"/>
    <m/>
    <s v="PTE"/>
    <m/>
    <m/>
    <m/>
  </r>
  <r>
    <d v="2025-05-13T00:00:00"/>
    <x v="4"/>
    <n v="2560"/>
    <x v="0"/>
    <s v="Margarita Reyes &amp; HUSKY IMS COLOMBIA LTD."/>
    <s v="TECUAN"/>
    <x v="26"/>
    <n v="1"/>
    <x v="5"/>
    <s v="Bogotá y alrededores"/>
    <s v="Bogota"/>
    <s v="En alistamiento"/>
    <s v="Envia"/>
    <m/>
    <m/>
    <m/>
    <s v="En transito"/>
    <s v="PTE"/>
    <m/>
    <s v="PTE"/>
    <m/>
    <m/>
    <m/>
  </r>
  <r>
    <d v="2025-05-14T00:00:00"/>
    <x v="4"/>
    <n v="2561"/>
    <x v="0"/>
    <s v="Sergio Vladimir Garcia Galvis"/>
    <s v="TECUDSN"/>
    <x v="13"/>
    <n v="1"/>
    <x v="4"/>
    <s v="Bogotá y alrededores"/>
    <s v="Bogota"/>
    <s v="Despachado"/>
    <s v="Coordinadora"/>
    <s v="3314531 -84151227501"/>
    <d v="2025-05-14T00:00:00"/>
    <d v="2025-05-15T00:00:00"/>
    <s v="Entregado"/>
    <n v="0"/>
    <n v="1"/>
    <s v="Cumple"/>
    <n v="26609"/>
    <m/>
    <m/>
  </r>
  <r>
    <d v="2025-05-14T00:00:00"/>
    <x v="4"/>
    <n v="2562"/>
    <x v="0"/>
    <s v="Luis Michel Trujillo"/>
    <s v="TECU3FNPRO"/>
    <x v="12"/>
    <n v="1"/>
    <x v="1"/>
    <s v="Caldas"/>
    <s v="Manizales"/>
    <s v="Despachado"/>
    <s v="Coordinadora"/>
    <s v="3316912 -84151228610"/>
    <d v="2025-05-15T00:00:00"/>
    <d v="2025-05-26T00:00:00"/>
    <s v="Entregado"/>
    <n v="1"/>
    <n v="10"/>
    <s v="No cumple"/>
    <n v="34953"/>
    <m/>
    <m/>
  </r>
  <r>
    <d v="2025-05-14T00:00:00"/>
    <x v="4"/>
    <n v="2562"/>
    <x v="0"/>
    <s v="Luis Michel Trujillo"/>
    <s v="TECUTFE5C"/>
    <x v="29"/>
    <n v="1"/>
    <x v="2"/>
    <s v="Caldas"/>
    <s v="Manizales"/>
    <s v="Despachado"/>
    <s v="Coordinadora"/>
    <s v="3316913 -84151228611"/>
    <d v="2025-05-15T00:00:00"/>
    <d v="2025-05-27T00:00:00"/>
    <s v="Entregado"/>
    <n v="1"/>
    <n v="11"/>
    <s v="No cumple"/>
    <n v="15194"/>
    <m/>
    <m/>
  </r>
  <r>
    <d v="2025-05-15T00:00:00"/>
    <x v="4"/>
    <n v="2563"/>
    <x v="0"/>
    <s v="Diego Bellon"/>
    <s v="TECUBDPA"/>
    <x v="1"/>
    <n v="1"/>
    <x v="0"/>
    <s v="Bogotá y alrededores"/>
    <s v="Cajica"/>
    <s v="Despachado"/>
    <s v="Coordinadora"/>
    <s v="3318734 -84151229697"/>
    <d v="2025-05-15T00:00:00"/>
    <d v="2025-05-17T00:00:00"/>
    <s v="Entregado"/>
    <n v="0"/>
    <n v="2"/>
    <s v="Cumple"/>
    <n v="16617"/>
    <m/>
    <m/>
  </r>
  <r>
    <d v="2025-05-15T00:00:00"/>
    <x v="4"/>
    <n v="2563"/>
    <x v="0"/>
    <s v="Diego Bellon"/>
    <s v="TECURFE"/>
    <x v="71"/>
    <n v="1"/>
    <x v="6"/>
    <s v="Bogotá y alrededores"/>
    <s v="Cajica"/>
    <s v="Despachado"/>
    <s v="Coordinadora"/>
    <s v="3318738 -84151229700"/>
    <d v="2025-05-15T00:00:00"/>
    <d v="2025-05-17T00:00:00"/>
    <s v="Entregado"/>
    <n v="0"/>
    <n v="2"/>
    <s v="Cumple"/>
    <n v="23429"/>
    <m/>
    <m/>
  </r>
  <r>
    <d v="2025-05-18T00:00:00"/>
    <x v="4"/>
    <n v="2564"/>
    <x v="0"/>
    <s v="Angelica Obregon"/>
    <s v="TECU3FBRO"/>
    <x v="34"/>
    <n v="1"/>
    <x v="1"/>
    <s v="Valle del Cauca"/>
    <s v="Cali"/>
    <s v="Despachado"/>
    <s v="Coordinadora"/>
    <s v="3329190 -84151234549"/>
    <d v="2025-05-19T00:00:00"/>
    <d v="2025-05-20T00:00:00"/>
    <s v="Entregado"/>
    <n v="0"/>
    <n v="1"/>
    <s v="Cumple"/>
    <n v="42921"/>
    <m/>
    <m/>
  </r>
  <r>
    <d v="2025-05-18T00:00:00"/>
    <x v="4"/>
    <n v="2564"/>
    <x v="0"/>
    <s v="Angelica Obregon"/>
    <s v="TECUTB6C"/>
    <x v="72"/>
    <n v="1"/>
    <x v="2"/>
    <s v="Valle del Cauca"/>
    <s v="Cali"/>
    <s v="Despachado"/>
    <s v="Coordinadora"/>
    <s v="3329191 -84151234550"/>
    <d v="2025-05-19T00:00:00"/>
    <d v="2025-05-20T00:00:00"/>
    <s v="Entregado"/>
    <n v="0"/>
    <n v="1"/>
    <s v="Cumple"/>
    <n v="24093"/>
    <m/>
    <m/>
  </r>
  <r>
    <d v="2025-05-19T00:00:00"/>
    <x v="4"/>
    <n v="2565"/>
    <x v="0"/>
    <s v="Jason Cubides"/>
    <s v="TECU3FNCRO"/>
    <x v="55"/>
    <n v="1"/>
    <x v="1"/>
    <s v="Bogotá y alrededores"/>
    <s v="Bogota"/>
    <s v="Despachado"/>
    <s v="Coordinadora"/>
    <s v="3329210 -84151234561"/>
    <d v="2025-05-19T00:00:00"/>
    <d v="2025-05-20T00:00:00"/>
    <s v="Entregado"/>
    <n v="0"/>
    <n v="1"/>
    <s v="Cumple"/>
    <n v="42921"/>
    <m/>
    <m/>
  </r>
  <r>
    <d v="2025-05-19T00:00:00"/>
    <x v="4"/>
    <n v="2565"/>
    <x v="0"/>
    <s v="Jason Cubides"/>
    <s v="TECUTRN6C"/>
    <x v="20"/>
    <n v="1"/>
    <x v="2"/>
    <s v="Bogotá y alrededores"/>
    <s v="Bogota"/>
    <s v="Despachado"/>
    <s v="Coordinadora"/>
    <s v="3329211 -84151234562"/>
    <d v="2025-05-19T00:00:00"/>
    <d v="2025-05-21T00:00:00"/>
    <s v="Entregado"/>
    <n v="0"/>
    <n v="2"/>
    <s v="Cumple"/>
    <n v="24093"/>
    <m/>
    <m/>
  </r>
  <r>
    <d v="2025-05-21T00:00:00"/>
    <x v="4"/>
    <n v="2566"/>
    <x v="0"/>
    <s v="Juan Sebastian Quijano Rodriguez"/>
    <s v="TECU3FNCRO"/>
    <x v="55"/>
    <n v="1"/>
    <x v="1"/>
    <s v="Bogotá y alrededores"/>
    <s v="Bogota"/>
    <s v="Despachado"/>
    <s v="Coordinadora"/>
    <s v="3336854 -84151238405"/>
    <d v="2025-05-21T00:00:00"/>
    <d v="2025-05-22T00:00:00"/>
    <s v="Entregado"/>
    <n v="0"/>
    <n v="1"/>
    <s v="Cumple"/>
    <n v="42921"/>
    <m/>
    <m/>
  </r>
  <r>
    <d v="2025-05-21T00:00:00"/>
    <x v="4"/>
    <n v="2566"/>
    <x v="0"/>
    <s v="Juan Sebastian Quijano Rodriguez"/>
    <s v="TECUTCO3C"/>
    <x v="23"/>
    <n v="1"/>
    <x v="2"/>
    <s v="Bogotá y alrededores"/>
    <s v="Bogota"/>
    <s v="Despachado"/>
    <s v="Coordinadora"/>
    <s v="3336855 -84151238406"/>
    <d v="2025-05-21T00:00:00"/>
    <d v="2025-05-22T00:00:00"/>
    <s v="Entregado"/>
    <n v="0"/>
    <n v="1"/>
    <s v="Cumple"/>
    <n v="28741"/>
    <m/>
    <m/>
  </r>
  <r>
    <d v="2025-05-21T00:00:00"/>
    <x v="4"/>
    <n v="2566"/>
    <x v="0"/>
    <s v="Juan Sebastian Quijano Rodriguez"/>
    <s v="TECUDSN"/>
    <x v="13"/>
    <n v="1"/>
    <x v="4"/>
    <s v="Bogotá y alrededores"/>
    <s v="Bogota"/>
    <s v="Despachado"/>
    <s v="Coordinadora"/>
    <s v="3336868 -84151238412"/>
    <d v="2025-05-21T00:00:00"/>
    <d v="2025-05-22T00:00:00"/>
    <s v="Entregado"/>
    <n v="0"/>
    <n v="1"/>
    <s v="Cumple"/>
    <n v="26609"/>
    <m/>
    <m/>
  </r>
  <r>
    <d v="2025-05-21T00:00:00"/>
    <x v="4"/>
    <n v="2567"/>
    <x v="0"/>
    <s v="Jason Cubides"/>
    <s v="TECUCT"/>
    <x v="4"/>
    <n v="1"/>
    <x v="0"/>
    <s v="Bogotá y alrededores"/>
    <s v="Bogota"/>
    <s v="Despachado"/>
    <s v="Coordinadora"/>
    <s v="3339519 -84151239641"/>
    <d v="2025-05-22T00:00:00"/>
    <d v="2025-05-24T00:00:00"/>
    <s v="Entregado"/>
    <n v="1"/>
    <n v="3"/>
    <s v="Cumple"/>
    <n v="24885"/>
    <m/>
    <m/>
  </r>
  <r>
    <d v="2025-03-05T00:00:00"/>
    <x v="2"/>
    <n v="2120"/>
    <x v="1"/>
    <s v="Ivo Leonardo Ochoa Galeano"/>
    <s v="TECUROD"/>
    <x v="31"/>
    <n v="1"/>
    <x v="7"/>
    <s v="Bogotá y alrededores"/>
    <s v="Bogota"/>
    <s v="Despachado"/>
    <s v="Envia"/>
    <s v="3132159 - 954101166134"/>
    <d v="2025-03-05T00:00:00"/>
    <d v="2025-03-06T00:00:00"/>
    <s v="Entregado"/>
    <n v="0"/>
    <m/>
    <s v="Cumple"/>
    <n v="18981"/>
    <m/>
    <m/>
  </r>
  <r>
    <d v="2025-05-23T00:00:00"/>
    <x v="4"/>
    <n v="2568"/>
    <x v="0"/>
    <s v="Alain Bismark"/>
    <s v="TECUROD6"/>
    <x v="25"/>
    <n v="2"/>
    <x v="7"/>
    <s v="Antioquia"/>
    <s v="Envigado"/>
    <s v="Despachado"/>
    <s v="Coordinadora"/>
    <s v="3342080 -84151240722"/>
    <d v="2025-05-23T00:00:00"/>
    <d v="2025-05-24T00:00:00"/>
    <s v="Entregado"/>
    <n v="0"/>
    <n v="1"/>
    <s v="Cumple"/>
    <n v="23875"/>
    <m/>
    <m/>
  </r>
  <r>
    <d v="2025-05-23T00:00:00"/>
    <x v="4"/>
    <n v="2569"/>
    <x v="0"/>
    <s v="Maria José Pineda Murillo"/>
    <s v="TECU2FNG"/>
    <x v="5"/>
    <n v="1"/>
    <x v="1"/>
    <s v="Santander"/>
    <s v="Bucaramanga"/>
    <s v="Despachado"/>
    <s v="Coordinadora"/>
    <s v="3342141 -84151240759"/>
    <d v="2025-05-23T00:00:00"/>
    <d v="2025-05-26T00:00:00"/>
    <s v="Entregado"/>
    <n v="0"/>
    <n v="2"/>
    <s v="Cumple"/>
    <n v="56077"/>
    <m/>
    <m/>
  </r>
  <r>
    <d v="2025-05-23T00:00:00"/>
    <x v="4"/>
    <n v="2569"/>
    <x v="0"/>
    <s v="Maria José Pineda Murillo"/>
    <s v="TECUTRN2C"/>
    <x v="11"/>
    <n v="1"/>
    <x v="2"/>
    <s v="Santander"/>
    <s v="Bucaramanga"/>
    <s v="Despachado"/>
    <s v="Coordinadora"/>
    <s v="3342142 -84151240760"/>
    <d v="2025-05-23T00:00:00"/>
    <d v="2025-05-26T00:00:00"/>
    <s v="Entregado"/>
    <n v="0"/>
    <n v="2"/>
    <s v="Cumple"/>
    <n v="41897"/>
    <m/>
    <m/>
  </r>
  <r>
    <d v="2025-05-23T00:00:00"/>
    <x v="4"/>
    <n v="2570"/>
    <x v="0"/>
    <s v="HENRY STIVENS ADARME MUÑOZ"/>
    <s v="TECU3FBCRO"/>
    <x v="66"/>
    <n v="1"/>
    <x v="1"/>
    <s v="Valle del Cauca"/>
    <s v="Palmira"/>
    <s v="Despachado"/>
    <s v="Coordinadora"/>
    <s v="3342475 -84151240946"/>
    <d v="2025-05-23T00:00:00"/>
    <d v="2025-05-24T00:00:00"/>
    <s v="Entregado"/>
    <n v="0"/>
    <n v="1"/>
    <s v="Cumple"/>
    <n v="42921"/>
    <m/>
    <m/>
  </r>
  <r>
    <d v="2025-05-23T00:00:00"/>
    <x v="4"/>
    <n v="2570"/>
    <x v="0"/>
    <s v="HENRY STIVENS ADARME MUÑOZ"/>
    <s v="TECUTFE2C"/>
    <x v="3"/>
    <n v="1"/>
    <x v="2"/>
    <s v="Valle del Cauca"/>
    <s v="Palmira"/>
    <s v="Despachado"/>
    <s v="Coordinadora"/>
    <s v="3342476 -84151240947"/>
    <d v="2025-05-23T00:00:00"/>
    <d v="2025-05-24T00:00:00"/>
    <s v="Entregado"/>
    <n v="0"/>
    <n v="1"/>
    <s v="Cumple"/>
    <n v="28741"/>
    <m/>
    <m/>
  </r>
  <r>
    <d v="2025-05-26T00:00:00"/>
    <x v="4"/>
    <n v="2571"/>
    <x v="0"/>
    <s v="Damian Duarte"/>
    <s v="TECULFN2"/>
    <x v="7"/>
    <n v="1"/>
    <x v="1"/>
    <s v="Bogotá y alrededores"/>
    <s v="Funza"/>
    <s v="Despachado"/>
    <s v="Coordinadora"/>
    <s v="3347321 -84151243010"/>
    <d v="2025-05-26T00:00:00"/>
    <d v="2025-05-29T00:00:00"/>
    <s v="Entregado"/>
    <n v="0"/>
    <n v="3"/>
    <s v="Cumple"/>
    <n v="62530"/>
    <m/>
    <m/>
  </r>
  <r>
    <d v="2025-05-26T00:00:00"/>
    <x v="4"/>
    <n v="2571"/>
    <x v="0"/>
    <s v="Damian Duarte"/>
    <s v="TECUTLFES"/>
    <x v="63"/>
    <n v="1"/>
    <x v="2"/>
    <s v="Bogotá y alrededores"/>
    <s v="Funza"/>
    <s v="Despachado"/>
    <s v="Coordinadora"/>
    <s v="3347323 -84151243012"/>
    <d v="2025-05-26T00:00:00"/>
    <d v="2025-05-29T00:00:00"/>
    <s v="Entregado"/>
    <n v="0"/>
    <n v="3"/>
    <s v="Cumple"/>
    <n v="26749"/>
    <m/>
    <m/>
  </r>
  <r>
    <d v="2025-05-30T00:00:00"/>
    <x v="4"/>
    <n v="2572"/>
    <x v="0"/>
    <s v="Katherine Rivera"/>
    <s v="TECULFN2"/>
    <x v="7"/>
    <n v="1"/>
    <x v="1"/>
    <s v="Bogotá y alrededores"/>
    <s v="Chia"/>
    <s v="Despachado"/>
    <s v="Coordinadora"/>
    <s v="3364457 -84151250134"/>
    <d v="2025-06-03T00:00:00"/>
    <d v="2025-06-05T00:00:00"/>
    <s v="Entregado"/>
    <n v="2"/>
    <n v="4"/>
    <s v="Cumple"/>
    <n v="62530"/>
    <m/>
    <m/>
  </r>
  <r>
    <d v="2025-05-30T00:00:00"/>
    <x v="4"/>
    <n v="2572"/>
    <x v="0"/>
    <s v="Katherine Rivera"/>
    <s v="TECUTLBS"/>
    <x v="61"/>
    <n v="1"/>
    <x v="2"/>
    <s v="Bogotá y alrededores"/>
    <s v="Chia"/>
    <s v="Despachado"/>
    <s v="Coordinadora"/>
    <s v="3364460 -84151250136"/>
    <d v="2025-06-03T00:00:00"/>
    <d v="2025-06-06T00:00:00"/>
    <s v="Entregado"/>
    <n v="2"/>
    <n v="5"/>
    <s v="Cumple"/>
    <n v="26749"/>
    <m/>
    <m/>
  </r>
  <r>
    <d v="2025-05-30T00:00:00"/>
    <x v="4"/>
    <n v="2572"/>
    <x v="0"/>
    <s v="Katherine Rivera"/>
    <s v="TECUAB"/>
    <x v="44"/>
    <n v="1"/>
    <x v="5"/>
    <s v="Bogotá y alrededores"/>
    <s v="Chia"/>
    <s v="Despachado"/>
    <s v="Envia"/>
    <s v="3369690 -954101229262"/>
    <d v="2025-06-04T00:00:00"/>
    <d v="2025-06-05T00:00:00"/>
    <s v="Entregado"/>
    <n v="3"/>
    <n v="4"/>
    <s v="Cumple"/>
    <n v="65682"/>
    <m/>
    <m/>
  </r>
  <r>
    <d v="2025-05-30T00:00:00"/>
    <x v="4"/>
    <n v="2572"/>
    <x v="0"/>
    <s v="Katherine Rivera"/>
    <s v="TECUCT"/>
    <x v="4"/>
    <n v="1"/>
    <x v="0"/>
    <s v="Bogotá y alrededores"/>
    <s v="Chia"/>
    <s v="Despachado"/>
    <s v="Coordinadora"/>
    <s v="3364484 -84151250150"/>
    <d v="2025-06-03T00:00:00"/>
    <d v="2025-06-05T00:00:00"/>
    <s v="Entregado"/>
    <n v="2"/>
    <n v="4"/>
    <s v="Cumple"/>
    <n v="24885"/>
    <m/>
    <m/>
  </r>
  <r>
    <d v="2025-06-01T00:00:00"/>
    <x v="5"/>
    <n v="2573"/>
    <x v="0"/>
    <s v="ANDRES MAURICIO MANTILLA"/>
    <s v="TECURCO"/>
    <x v="30"/>
    <n v="1"/>
    <x v="6"/>
    <s v="Santander"/>
    <s v="Bucaramanga"/>
    <s v="Despachado"/>
    <s v="Coordinadora"/>
    <s v="3365198 -84151250496"/>
    <d v="2025-06-03T00:00:00"/>
    <d v="2025-06-05T00:00:00"/>
    <s v="Entregado"/>
    <n v="0"/>
    <n v="2"/>
    <s v="Cumple"/>
    <n v="16617"/>
    <m/>
    <m/>
  </r>
  <r>
    <d v="2025-06-01T00:00:00"/>
    <x v="5"/>
    <n v="2573"/>
    <x v="0"/>
    <s v="ANDRES MAURICIO MANTILLA"/>
    <s v="TECUBDPA"/>
    <x v="1"/>
    <n v="1"/>
    <x v="0"/>
    <s v="Santander"/>
    <s v="Bucaramanga"/>
    <s v="Despachado"/>
    <s v="Coordinadora"/>
    <s v="3365213 -84151250509"/>
    <d v="2025-06-03T00:00:00"/>
    <d v="2025-06-05T00:00:00"/>
    <s v="Entregado"/>
    <n v="0"/>
    <n v="2"/>
    <s v="Cumple"/>
    <n v="33077"/>
    <m/>
    <m/>
  </r>
  <r>
    <d v="2025-06-02T00:00:00"/>
    <x v="5"/>
    <n v="2574"/>
    <x v="0"/>
    <s v="Maria del Mar Cuadros Collazos"/>
    <s v="TECU2FNG"/>
    <x v="5"/>
    <n v="1"/>
    <x v="1"/>
    <s v="Valle del Cauca"/>
    <s v="Jamundi"/>
    <s v="Despachado"/>
    <s v="Coordinadora"/>
    <s v="3364626 -84151250223"/>
    <d v="2025-06-03T00:00:00"/>
    <d v="2025-06-04T00:00:00"/>
    <s v="Entregado"/>
    <n v="0"/>
    <n v="1"/>
    <e v="#N/A"/>
    <n v="41593"/>
    <m/>
    <m/>
  </r>
  <r>
    <d v="2025-06-02T00:00:00"/>
    <x v="5"/>
    <n v="2574"/>
    <x v="0"/>
    <s v="Maria del Mar Cuadros Collazos"/>
    <s v="TECUTFE3C"/>
    <x v="39"/>
    <n v="1"/>
    <x v="2"/>
    <s v="Valle del Cauca"/>
    <s v="Jamundi"/>
    <s v="Despachado"/>
    <s v="Coordinadora"/>
    <s v="3364629 -84151250225"/>
    <d v="2025-06-03T00:00:00"/>
    <d v="2025-06-04T00:00:00"/>
    <s v="Entregado"/>
    <n v="0"/>
    <n v="1"/>
    <e v="#N/A"/>
    <n v="24093"/>
    <m/>
    <m/>
  </r>
  <r>
    <d v="2025-06-02T00:00:00"/>
    <x v="5"/>
    <n v="2574"/>
    <x v="0"/>
    <s v="Maria del Mar Cuadros Collazos"/>
    <s v="TECURFE"/>
    <x v="71"/>
    <n v="1"/>
    <x v="6"/>
    <s v="Valle del Cauca"/>
    <s v="Jamundi"/>
    <s v="Despachado"/>
    <s v="Coordinadora"/>
    <s v="NA"/>
    <s v="NA"/>
    <s v="NA"/>
    <s v="Entregado"/>
    <e v="#VALUE!"/>
    <e v="#VALUE!"/>
    <e v="#VALUE!"/>
    <m/>
    <m/>
    <m/>
  </r>
  <r>
    <d v="2025-06-03T00:00:00"/>
    <x v="5"/>
    <n v="2575"/>
    <x v="0"/>
    <s v="Katherine Rivera"/>
    <s v="TECUCT"/>
    <x v="4"/>
    <n v="1"/>
    <x v="0"/>
    <s v="Bogotá y alrededores"/>
    <s v="Chia"/>
    <s v="Despachado"/>
    <s v="Coordinadora"/>
    <s v="3366052 -84151250990"/>
    <d v="2025-06-03T00:00:00"/>
    <d v="2025-06-05T00:00:00"/>
    <s v="Entregado"/>
    <n v="0"/>
    <n v="2"/>
    <s v="Cumple"/>
    <n v="24885"/>
    <m/>
    <m/>
  </r>
  <r>
    <d v="2025-06-03T00:00:00"/>
    <x v="5"/>
    <n v="2576"/>
    <x v="0"/>
    <s v="Alejandro HERNANDEZ"/>
    <s v="TECU2FNG"/>
    <x v="5"/>
    <n v="1"/>
    <x v="1"/>
    <s v="Antioquia"/>
    <s v="Medellin"/>
    <s v="Despachado"/>
    <s v="Coordinadora"/>
    <s v="3370951 -84151252868"/>
    <d v="2025-06-04T00:00:00"/>
    <d v="2025-06-05T00:00:00"/>
    <s v="Entregado"/>
    <n v="1"/>
    <n v="2"/>
    <s v="Cumple"/>
    <n v="41593"/>
    <m/>
    <m/>
  </r>
  <r>
    <d v="2025-06-03T00:00:00"/>
    <x v="5"/>
    <n v="2576"/>
    <x v="0"/>
    <s v="Alejandro HERNANDEZ"/>
    <s v="TECUTRN6C"/>
    <x v="20"/>
    <n v="1"/>
    <x v="2"/>
    <s v="Antioquia"/>
    <s v="Medellin"/>
    <s v="Despachado"/>
    <s v="Coordinadora"/>
    <s v="3370952 -84151252869"/>
    <d v="2025-06-04T00:00:00"/>
    <d v="2025-06-05T00:00:00"/>
    <s v="Entregado"/>
    <n v="1"/>
    <n v="2"/>
    <s v="Cumple"/>
    <n v="24093"/>
    <m/>
    <m/>
  </r>
  <r>
    <d v="2025-06-03T00:00:00"/>
    <x v="5"/>
    <n v="2576"/>
    <x v="0"/>
    <s v="Alejandro HERNANDEZ"/>
    <m/>
    <x v="10"/>
    <n v="1"/>
    <x v="3"/>
    <s v="Antioquia"/>
    <s v="Medellin"/>
    <s v="Instalacion"/>
    <s v="NA"/>
    <s v="NA"/>
    <s v="NA"/>
    <s v="NA"/>
    <s v="Entregado"/>
    <s v="PTE"/>
    <e v="#VALUE!"/>
    <e v="#VALUE!"/>
    <n v="0"/>
    <m/>
    <m/>
  </r>
  <r>
    <d v="2025-06-03T00:00:00"/>
    <x v="5"/>
    <n v="2577"/>
    <x v="0"/>
    <s v="Daniel Bernal"/>
    <s v="TECU3FNPRO"/>
    <x v="12"/>
    <n v="1"/>
    <x v="1"/>
    <s v="Bogotá y alrededores"/>
    <s v="Bogota"/>
    <s v="Despachado"/>
    <s v="Coordinadora"/>
    <s v="3370320 -84151252652"/>
    <d v="2025-06-04T00:00:00"/>
    <d v="2025-06-06T00:00:00"/>
    <s v="Entregado"/>
    <n v="1"/>
    <n v="3"/>
    <s v="Cumple"/>
    <n v="42921"/>
    <m/>
    <m/>
  </r>
  <r>
    <d v="2025-06-03T00:00:00"/>
    <x v="5"/>
    <n v="2577"/>
    <x v="0"/>
    <s v="Daniel Bernal"/>
    <s v="TECUTFE5C"/>
    <x v="29"/>
    <n v="1"/>
    <x v="2"/>
    <s v="Bogotá y alrededores"/>
    <s v="Bogota"/>
    <s v="Despachado"/>
    <s v="Coordinadora"/>
    <s v="3370321 -84151252654"/>
    <d v="2025-06-04T00:00:00"/>
    <d v="2025-06-06T00:00:00"/>
    <s v="Entregado"/>
    <n v="1"/>
    <n v="3"/>
    <s v="Cumple"/>
    <n v="24093"/>
    <m/>
    <m/>
  </r>
  <r>
    <d v="2025-06-03T00:00:00"/>
    <x v="5"/>
    <n v="2577"/>
    <x v="0"/>
    <s v="Daniel Bernal"/>
    <s v="TECUCT"/>
    <x v="4"/>
    <n v="1"/>
    <x v="0"/>
    <s v="Bogotá y alrededores"/>
    <s v="Bogota"/>
    <s v="Despachado"/>
    <s v="Coordinadora"/>
    <s v="3370334 -84151252662"/>
    <d v="2025-06-04T00:00:00"/>
    <d v="2025-06-06T00:00:00"/>
    <s v="Entregado"/>
    <n v="1"/>
    <n v="3"/>
    <s v="Cumple"/>
    <n v="24885"/>
    <m/>
    <m/>
  </r>
  <r>
    <d v="2025-06-04T00:00:00"/>
    <x v="5"/>
    <n v="2578"/>
    <x v="0"/>
    <s v="Gabriel Herrera Zarate"/>
    <s v="TECULFN2"/>
    <x v="7"/>
    <n v="1"/>
    <x v="1"/>
    <s v="Santander"/>
    <s v="Barrancabermeja"/>
    <s v="Despachado"/>
    <s v="Coordinadora"/>
    <s v="3373416 -84151253901"/>
    <d v="2025-06-06T00:00:00"/>
    <d v="2025-06-09T00:00:00"/>
    <s v="Entregado"/>
    <n v="2"/>
    <n v="4"/>
    <e v="#N/A"/>
    <n v="153778"/>
    <m/>
    <m/>
  </r>
  <r>
    <d v="2025-06-04T00:00:00"/>
    <x v="5"/>
    <n v="2578"/>
    <x v="0"/>
    <s v="Gabriel Herrera Zarate"/>
    <s v="TECUTLRNS"/>
    <x v="8"/>
    <n v="1"/>
    <x v="2"/>
    <s v="Santander"/>
    <s v="Barrancabermeja"/>
    <s v="Despachado"/>
    <s v="Coordinadora"/>
    <s v="3373418 -84151253903"/>
    <d v="2025-06-06T00:00:00"/>
    <d v="2025-06-09T00:00:00"/>
    <s v="Entregado"/>
    <n v="2"/>
    <n v="4"/>
    <e v="#N/A"/>
    <n v="81384"/>
    <m/>
    <m/>
  </r>
  <r>
    <d v="2025-06-04T00:00:00"/>
    <x v="5"/>
    <n v="2578"/>
    <x v="0"/>
    <s v="Gabriel Herrera Zarate"/>
    <s v="TECUCT"/>
    <x v="4"/>
    <n v="1"/>
    <x v="0"/>
    <s v="Santander"/>
    <s v="Barrancabermeja"/>
    <s v="Despachado"/>
    <s v="Coordinadora"/>
    <s v="3373425 -84151253905"/>
    <d v="2025-06-06T00:00:00"/>
    <d v="2025-06-09T00:00:00"/>
    <s v="Entregado"/>
    <n v="2"/>
    <n v="4"/>
    <e v="#N/A"/>
    <n v="34407"/>
    <m/>
    <m/>
  </r>
  <r>
    <d v="2025-06-04T00:00:00"/>
    <x v="5"/>
    <n v="2579"/>
    <x v="0"/>
    <s v="Christian Hurtado Ospina"/>
    <s v="TECURCO"/>
    <x v="30"/>
    <n v="1"/>
    <x v="6"/>
    <s v="Valle del Cauca"/>
    <s v="Candelaria"/>
    <s v="Despachado"/>
    <s v="Coordinadora"/>
    <s v="3373436 -84151253913"/>
    <d v="2025-06-06T00:00:00"/>
    <d v="2025-06-07T00:00:00"/>
    <s v="Entregado"/>
    <n v="2"/>
    <n v="3"/>
    <e v="#N/A"/>
    <n v="23429"/>
    <m/>
    <m/>
  </r>
  <r>
    <d v="2025-06-06T00:00:00"/>
    <x v="5"/>
    <n v="2580"/>
    <x v="0"/>
    <s v="LEONARDO FONSECA"/>
    <s v="TECU3FNPRO"/>
    <x v="12"/>
    <n v="1"/>
    <x v="1"/>
    <s v="Bogotá y alrededores"/>
    <s v="Bogota"/>
    <s v="Despachado"/>
    <s v="Coordinadora"/>
    <s v="3383394 -84151258353"/>
    <d v="2025-06-09T00:00:00"/>
    <d v="2025-06-11T00:00:00"/>
    <s v="Entregado"/>
    <n v="2"/>
    <n v="4"/>
    <s v="No cumple"/>
    <n v="42921"/>
    <m/>
    <m/>
  </r>
  <r>
    <d v="2025-06-06T00:00:00"/>
    <x v="5"/>
    <n v="2580"/>
    <x v="0"/>
    <s v="LEONARDO FONSECA"/>
    <s v="TECUTRM5C"/>
    <x v="27"/>
    <n v="1"/>
    <x v="2"/>
    <s v="Bogotá y alrededores"/>
    <s v="Bogota"/>
    <s v="Despachado"/>
    <s v="Coordinadora"/>
    <s v="3383395 -84151258354"/>
    <d v="2025-06-09T00:00:00"/>
    <d v="2025-06-10T00:00:00"/>
    <s v="Entregado"/>
    <n v="2"/>
    <n v="3"/>
    <s v="Cumple"/>
    <n v="24593"/>
    <m/>
    <m/>
  </r>
  <r>
    <d v="2025-06-06T00:00:00"/>
    <x v="5"/>
    <n v="2580"/>
    <x v="0"/>
    <s v="LEONARDO FONSECA"/>
    <s v="TECUCT"/>
    <x v="4"/>
    <n v="1"/>
    <x v="0"/>
    <s v="Bogotá y alrededores"/>
    <s v="Bogota"/>
    <s v="Despachado"/>
    <s v="Coordinadora"/>
    <s v="3383786 -84151258597"/>
    <d v="2025-06-09T00:00:00"/>
    <d v="2025-06-10T00:00:00"/>
    <s v="Entregado"/>
    <n v="2"/>
    <n v="3"/>
    <s v="Cumple"/>
    <n v="24885"/>
    <m/>
    <m/>
  </r>
  <r>
    <d v="2025-06-06T00:00:00"/>
    <x v="5"/>
    <n v="2580"/>
    <x v="0"/>
    <s v="LEONARDO FONSECA"/>
    <s v="TECUACO"/>
    <x v="15"/>
    <n v="1"/>
    <x v="5"/>
    <s v="Bogotá y alrededores"/>
    <s v="Bogota"/>
    <s v="Despachado"/>
    <s v="Envia"/>
    <s v="3386668 -954101233039"/>
    <d v="2025-06-10T00:00:00"/>
    <d v="2025-06-11T00:00:00"/>
    <s v="Entregado"/>
    <n v="3"/>
    <n v="4"/>
    <s v="No cumple"/>
    <n v="54929"/>
    <m/>
    <m/>
  </r>
  <r>
    <m/>
    <x v="0"/>
    <n v="2516"/>
    <x v="1"/>
    <s v="Rigoberto Castelblanco / HUSKY IMS COLOMBIA LTD"/>
    <s v="TECUTCO5C"/>
    <x v="51"/>
    <n v="1"/>
    <x v="2"/>
    <s v="Bogotá y alrededores"/>
    <s v="Bogota"/>
    <s v="Despachado"/>
    <s v="Coordinadora"/>
    <s v="3364883 - 84151250377"/>
    <d v="2025-06-03T00:00:00"/>
    <d v="2025-06-05T00:00:00"/>
    <s v="Entregado"/>
    <n v="39259"/>
    <n v="39261"/>
    <s v="No cumple"/>
    <n v="27929"/>
    <n v="24093"/>
    <s v="Cliente pide cambio por novedad en personalizacion"/>
  </r>
  <r>
    <d v="2025-06-07T00:00:00"/>
    <x v="5"/>
    <n v="2581"/>
    <x v="0"/>
    <s v="Andres Ortega"/>
    <s v="TECUACO"/>
    <x v="15"/>
    <n v="1"/>
    <x v="5"/>
    <s v="Bolivar"/>
    <s v="Cartagena"/>
    <s v="Despachado"/>
    <s v="Envia"/>
    <s v="3383969 - 954101232498"/>
    <d v="2025-06-09T00:00:00"/>
    <d v="2025-06-13T00:00:00"/>
    <s v="Entregado"/>
    <n v="1"/>
    <n v="5"/>
    <s v="Cumple"/>
    <n v="113263"/>
    <m/>
    <m/>
  </r>
  <r>
    <d v="2025-06-07T00:00:00"/>
    <x v="5"/>
    <n v="2581"/>
    <x v="0"/>
    <s v="Andres Ortega"/>
    <s v="TECURCO"/>
    <x v="30"/>
    <n v="1"/>
    <x v="6"/>
    <s v="Bolivar"/>
    <s v="Cartagena"/>
    <s v="Despachado"/>
    <s v="Coordinadora"/>
    <s v="3383902 - 84151258654"/>
    <d v="2025-06-09T00:00:00"/>
    <d v="2025-06-11T00:00:00"/>
    <s v="Entregado"/>
    <n v="1"/>
    <n v="3"/>
    <s v="Cumple"/>
    <n v="37762"/>
    <m/>
    <m/>
  </r>
  <r>
    <d v="2025-06-07T00:00:00"/>
    <x v="5"/>
    <n v="2582"/>
    <x v="0"/>
    <s v="Brigitte Carmona"/>
    <s v="TECU3FNCRO"/>
    <x v="55"/>
    <n v="1"/>
    <x v="1"/>
    <s v="Bogotá y alrededores"/>
    <s v="Bogota"/>
    <s v="Despachado"/>
    <s v="Coordinadora"/>
    <s v="3383417 - 84151258370"/>
    <d v="2025-06-09T00:00:00"/>
    <d v="2025-06-10T00:00:00"/>
    <s v="Entregado"/>
    <n v="1"/>
    <n v="2"/>
    <s v="Cumple"/>
    <n v="42921"/>
    <m/>
    <m/>
  </r>
  <r>
    <d v="2025-06-07T00:00:00"/>
    <x v="5"/>
    <n v="2582"/>
    <x v="0"/>
    <s v="Brigitte Carmona"/>
    <s v="TECUTFE7C"/>
    <x v="53"/>
    <n v="1"/>
    <x v="2"/>
    <s v="Bogotá y alrededores"/>
    <s v="Bogota"/>
    <s v="Despachado"/>
    <s v="Coordinadora"/>
    <s v="3383419 - 84151258371"/>
    <d v="2025-06-09T00:00:00"/>
    <d v="2025-06-10T00:00:00"/>
    <s v="Entregado"/>
    <n v="1"/>
    <n v="2"/>
    <s v="Cumple"/>
    <n v="24093"/>
    <m/>
    <m/>
  </r>
  <r>
    <d v="2025-06-07T00:00:00"/>
    <x v="5"/>
    <n v="2582"/>
    <x v="0"/>
    <s v="Brigitte Carmona"/>
    <s v="TECURFE"/>
    <x v="71"/>
    <n v="1"/>
    <x v="6"/>
    <s v="Bogotá y alrededores"/>
    <s v="Bogota"/>
    <s v="Despachado"/>
    <s v="Coordinadora"/>
    <s v="3383447 - 84151258389"/>
    <d v="2025-06-09T00:00:00"/>
    <d v="2025-06-10T00:00:00"/>
    <s v="Entregado"/>
    <n v="1"/>
    <n v="2"/>
    <s v="Cumple"/>
    <n v="23429"/>
    <m/>
    <m/>
  </r>
  <r>
    <d v="2025-06-07T00:00:00"/>
    <x v="5"/>
    <n v="2582"/>
    <x v="0"/>
    <s v="Brigitte Carmona"/>
    <s v="TECUAFE"/>
    <x v="43"/>
    <n v="1"/>
    <x v="5"/>
    <s v="Bogotá y alrededores"/>
    <s v="Bogota"/>
    <s v="Despachado"/>
    <s v="Envia"/>
    <s v="3383461 - 954101232360"/>
    <d v="2025-06-09T00:00:00"/>
    <d v="2025-06-10T00:00:00"/>
    <s v="Entregado"/>
    <n v="1"/>
    <n v="2"/>
    <s v="Cumple"/>
    <n v="54929"/>
    <m/>
    <m/>
  </r>
  <r>
    <d v="2025-06-07T00:00:00"/>
    <x v="5"/>
    <n v="2582"/>
    <x v="0"/>
    <s v="Brigitte Carmona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6-07T00:00:00"/>
    <x v="5"/>
    <n v="2583"/>
    <x v="0"/>
    <s v="Juan Pablo Luquerna Recalde"/>
    <s v="TECU3FNPRO"/>
    <x v="12"/>
    <n v="1"/>
    <x v="1"/>
    <s v="Bogotá y alrededores"/>
    <s v="Bogota"/>
    <s v="Despachado"/>
    <s v="Coordinadora"/>
    <s v="3385049 - 84151259302"/>
    <d v="2025-06-09T00:00:00"/>
    <d v="2025-06-10T00:00:00"/>
    <s v="Entregado"/>
    <n v="1"/>
    <n v="2"/>
    <s v="Cumple"/>
    <n v="42921"/>
    <m/>
    <m/>
  </r>
  <r>
    <d v="2025-06-07T00:00:00"/>
    <x v="5"/>
    <n v="2583"/>
    <x v="0"/>
    <s v="Juan Pablo Luquerna Recalde"/>
    <s v="TECUTCO6M"/>
    <x v="24"/>
    <n v="1"/>
    <x v="2"/>
    <s v="Bogotá y alrededores"/>
    <s v="Bogota"/>
    <s v="Despachado"/>
    <s v="Coordinadora"/>
    <s v="3385051 - 84151259304"/>
    <d v="2025-06-09T00:00:00"/>
    <d v="2025-06-10T00:00:00"/>
    <s v="Entregado"/>
    <n v="1"/>
    <n v="2"/>
    <s v="Cumple"/>
    <n v="24093"/>
    <m/>
    <m/>
  </r>
  <r>
    <d v="2025-06-07T00:00:00"/>
    <x v="5"/>
    <n v="2583"/>
    <x v="0"/>
    <s v="Juan Pablo Luquerna Recalde"/>
    <s v="TECUCT"/>
    <x v="4"/>
    <n v="1"/>
    <x v="0"/>
    <s v="Bogotá y alrededores"/>
    <s v="Bogota"/>
    <s v="Despachado"/>
    <s v="Coordinadora"/>
    <s v="3385138 - 84151259349"/>
    <d v="2025-06-09T00:00:00"/>
    <d v="2025-06-10T00:00:00"/>
    <s v="Entregado"/>
    <n v="1"/>
    <n v="2"/>
    <s v="Cumple"/>
    <n v="24885"/>
    <m/>
    <m/>
  </r>
  <r>
    <d v="2025-06-07T00:00:00"/>
    <x v="5"/>
    <n v="2583"/>
    <x v="0"/>
    <s v="Juan Pablo Luquerna Recalde"/>
    <m/>
    <x v="10"/>
    <n v="2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6-07T00:00:00"/>
    <x v="5"/>
    <n v="2583"/>
    <x v="0"/>
    <s v="Juan Pablo Luquerna Recalde"/>
    <s v="TECU3FNPRO"/>
    <x v="12"/>
    <n v="1"/>
    <x v="1"/>
    <s v="Bogotá y alrededores"/>
    <s v="Bogota"/>
    <s v="Despachado"/>
    <s v="Coordinadora"/>
    <s v="3385060 - 84151259310"/>
    <d v="2025-06-09T00:00:00"/>
    <d v="2025-06-10T00:00:00"/>
    <s v="Entregado"/>
    <n v="1"/>
    <n v="2"/>
    <s v="Cumple"/>
    <n v="42921"/>
    <m/>
    <m/>
  </r>
  <r>
    <d v="2025-06-07T00:00:00"/>
    <x v="5"/>
    <n v="2583"/>
    <x v="0"/>
    <s v="Juan Pablo Luquerna Recalde"/>
    <s v="TECUTCO6M"/>
    <x v="24"/>
    <n v="1"/>
    <x v="2"/>
    <s v="Bogotá y alrededores"/>
    <s v="Bogota"/>
    <s v="Despachado"/>
    <s v="Coordinadora"/>
    <s v="3385062 - 84151259311"/>
    <d v="2025-06-09T00:00:00"/>
    <d v="2025-06-10T00:00:00"/>
    <s v="Entregado"/>
    <n v="1"/>
    <n v="2"/>
    <s v="Cumple"/>
    <n v="24093"/>
    <m/>
    <m/>
  </r>
  <r>
    <d v="2025-06-07T00:00:00"/>
    <x v="5"/>
    <n v="2583"/>
    <x v="0"/>
    <s v="Juan Pablo Luquerna Recalde"/>
    <s v="TECUCT"/>
    <x v="4"/>
    <n v="1"/>
    <x v="0"/>
    <s v="Bogotá y alrededores"/>
    <s v="Bogota"/>
    <s v="Despachado"/>
    <s v="Coordinadora"/>
    <s v="3385154 - 84151259359"/>
    <d v="2025-06-09T00:00:00"/>
    <d v="2025-06-10T00:00:00"/>
    <s v="Entregado"/>
    <n v="1"/>
    <n v="2"/>
    <s v="Cumple"/>
    <n v="24885"/>
    <m/>
    <m/>
  </r>
  <r>
    <d v="2025-06-08T00:00:00"/>
    <x v="5"/>
    <n v="2584"/>
    <x v="0"/>
    <s v="Edwin Naranjo Sierra"/>
    <s v="TECU3FNPRO"/>
    <x v="12"/>
    <n v="1"/>
    <x v="1"/>
    <s v="Manizales"/>
    <s v="Manizales"/>
    <s v="Despachado"/>
    <s v="Coordinadora"/>
    <s v="3383501 - 84151258423"/>
    <d v="2025-06-09T00:00:00"/>
    <d v="2025-06-10T00:00:00"/>
    <s v="Entregado"/>
    <n v="0"/>
    <n v="1"/>
    <s v="Cumple"/>
    <n v="34953"/>
    <m/>
    <m/>
  </r>
  <r>
    <d v="2025-06-08T00:00:00"/>
    <x v="5"/>
    <n v="2585"/>
    <x v="0"/>
    <s v="DAYANA LEON"/>
    <s v="TECU2FBGO"/>
    <x v="2"/>
    <n v="1"/>
    <x v="1"/>
    <s v="Bogotá y alrededores"/>
    <s v="Bogota"/>
    <s v="Despachado"/>
    <s v="Coordinadora"/>
    <s v="3383517 - 84151258435"/>
    <d v="2025-06-09T00:00:00"/>
    <d v="2025-06-10T00:00:00"/>
    <s v="Entregado"/>
    <n v="0"/>
    <n v="1"/>
    <s v="Cumple"/>
    <n v="41593"/>
    <m/>
    <m/>
  </r>
  <r>
    <d v="2025-06-08T00:00:00"/>
    <x v="5"/>
    <n v="2585"/>
    <x v="0"/>
    <s v="DAYANA LEON"/>
    <s v="TECUTFE2C"/>
    <x v="3"/>
    <n v="1"/>
    <x v="2"/>
    <s v="Bogotá y alrededores"/>
    <s v="Bogota"/>
    <s v="Despachado"/>
    <s v="Coordinadora"/>
    <s v="3383518 - 84151258436"/>
    <d v="2025-06-09T00:00:00"/>
    <d v="2025-06-10T00:00:00"/>
    <s v="Entregado"/>
    <n v="0"/>
    <n v="1"/>
    <s v="Cumple"/>
    <n v="24093"/>
    <m/>
    <m/>
  </r>
  <r>
    <d v="2025-06-08T00:00:00"/>
    <x v="5"/>
    <n v="2585"/>
    <x v="0"/>
    <s v="DAYANA LEON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6-10T00:00:00"/>
    <x v="5"/>
    <n v="2586"/>
    <x v="0"/>
    <s v="Carlos Londono"/>
    <s v="TECURCO"/>
    <x v="30"/>
    <n v="1"/>
    <x v="6"/>
    <s v="Antioquia"/>
    <s v="Sabaneta"/>
    <s v="Despachado"/>
    <s v="Coordinadora"/>
    <s v="3386724 - 84151259882"/>
    <d v="2025-06-10T00:00:00"/>
    <d v="2025-06-11T00:00:00"/>
    <s v="Entregado"/>
    <n v="0"/>
    <n v="1"/>
    <s v="Cumple"/>
    <n v="23429"/>
    <m/>
    <m/>
  </r>
  <r>
    <d v="2025-06-10T00:00:00"/>
    <x v="5"/>
    <n v="2587"/>
    <x v="0"/>
    <s v="Sofhía Velásquez"/>
    <s v="TECU3FNPRO"/>
    <x v="12"/>
    <n v="1"/>
    <x v="1"/>
    <s v="Bogotá y alrededores"/>
    <s v="Bogota"/>
    <s v="Despachado"/>
    <s v="Coordinadora"/>
    <s v="3387244 - 84151260111"/>
    <d v="2025-06-10T00:00:00"/>
    <d v="2025-06-11T00:00:00"/>
    <s v="Entregado"/>
    <n v="0"/>
    <n v="1"/>
    <s v="Cumple"/>
    <n v="42921"/>
    <m/>
    <m/>
  </r>
  <r>
    <d v="2025-06-10T00:00:00"/>
    <x v="5"/>
    <n v="2587"/>
    <x v="0"/>
    <s v="Sofhía Velásquez"/>
    <s v="TECUTCO2C"/>
    <x v="37"/>
    <n v="1"/>
    <x v="2"/>
    <s v="Bogotá y alrededores"/>
    <s v="Bogota"/>
    <s v="Despachado"/>
    <s v="Coordinadora"/>
    <s v="3387247 - 84151260113"/>
    <d v="2025-06-10T00:00:00"/>
    <d v="2025-06-11T00:00:00"/>
    <s v="Entregado"/>
    <n v="0"/>
    <n v="1"/>
    <s v="Cumple"/>
    <n v="28741"/>
    <m/>
    <m/>
  </r>
  <r>
    <d v="2025-06-10T00:00:00"/>
    <x v="5"/>
    <n v="2588"/>
    <x v="0"/>
    <s v="Jose Henry Guevara Sánchez"/>
    <s v="TECU3FNCRO"/>
    <x v="55"/>
    <n v="1"/>
    <x v="1"/>
    <s v="Valle del Cauca"/>
    <s v="Yumbo"/>
    <s v="Despachado"/>
    <s v="Coordinadora"/>
    <s v="3388396 - 84151260586"/>
    <d v="2025-06-10T00:00:00"/>
    <d v="2025-06-11T00:00:00"/>
    <s v="Entregado"/>
    <n v="0"/>
    <n v="1"/>
    <s v="Cumple"/>
    <n v="42921"/>
    <m/>
    <m/>
  </r>
  <r>
    <d v="2025-06-10T00:00:00"/>
    <x v="5"/>
    <n v="2588"/>
    <x v="0"/>
    <s v="Jose Henry Guevara Sánchez"/>
    <s v="TECUTRM8M"/>
    <x v="73"/>
    <n v="1"/>
    <x v="2"/>
    <s v="Valle del Cauca"/>
    <s v="Yumbo"/>
    <s v="Despachado"/>
    <s v="Coordinadora"/>
    <s v="3388397 - 84151260587"/>
    <d v="2025-06-10T00:00:00"/>
    <d v="2025-06-12T00:00:00"/>
    <s v="Entregado"/>
    <n v="0"/>
    <n v="2"/>
    <s v="Cumple"/>
    <n v="27249"/>
    <m/>
    <m/>
  </r>
  <r>
    <d v="2025-06-10T00:00:00"/>
    <x v="5"/>
    <n v="2588"/>
    <x v="0"/>
    <s v="Jose Henry Guevara Sánchez"/>
    <s v="TECUACO"/>
    <x v="15"/>
    <n v="1"/>
    <x v="5"/>
    <s v="Valle del Cauca"/>
    <s v="Yumbo"/>
    <s v="Despachado"/>
    <s v="Envia"/>
    <s v="3390514 - 954101233899"/>
    <d v="2025-06-10T00:00:00"/>
    <d v="2025-06-12T00:00:00"/>
    <s v="Entregado"/>
    <n v="0"/>
    <n v="2"/>
    <s v="Cumple"/>
    <n v="65682"/>
    <m/>
    <m/>
  </r>
  <r>
    <d v="2025-06-10T00:00:00"/>
    <x v="5"/>
    <n v="2588"/>
    <x v="0"/>
    <s v="Jose Henry Guevara Sánchez"/>
    <s v="TECUCT"/>
    <x v="4"/>
    <n v="1"/>
    <x v="0"/>
    <s v="Valle del Cauca"/>
    <s v="Yumbo"/>
    <s v="Despachado"/>
    <s v="Coordinadora"/>
    <s v="3388400 - 84151260590"/>
    <d v="2025-06-10T00:00:00"/>
    <d v="2025-06-11T00:00:00"/>
    <s v="Entregado"/>
    <n v="0"/>
    <n v="1"/>
    <s v="Cumple"/>
    <n v="24885"/>
    <m/>
    <m/>
  </r>
  <r>
    <d v="2025-06-10T00:00:00"/>
    <x v="5"/>
    <n v="2588"/>
    <x v="0"/>
    <s v="Jose Henry Guevara Sánchez"/>
    <s v="TECUBDPM"/>
    <x v="0"/>
    <n v="1"/>
    <x v="0"/>
    <s v="Valle del Cauca"/>
    <s v="Yumbo"/>
    <s v="Despachado"/>
    <s v="Coordinadora"/>
    <s v="3388404 - 84151260591"/>
    <d v="2025-06-10T00:00:00"/>
    <d v="2025-06-11T00:00:00"/>
    <s v="Entregado"/>
    <n v="0"/>
    <n v="1"/>
    <s v="Cumple"/>
    <n v="16617"/>
    <m/>
    <m/>
  </r>
  <r>
    <d v="2025-06-11T00:00:00"/>
    <x v="5"/>
    <n v="2589"/>
    <x v="0"/>
    <s v="Alberto Almario"/>
    <s v="TECU3FNPRO"/>
    <x v="12"/>
    <n v="1"/>
    <x v="1"/>
    <s v="Bogotá y alrededores"/>
    <s v="Bogota"/>
    <s v="Despachado"/>
    <s v="Coordinadora"/>
    <s v="3390673 - 84151261659"/>
    <d v="2025-06-11T00:00:00"/>
    <d v="2025-06-12T00:00:00"/>
    <s v="Entregado"/>
    <n v="0"/>
    <n v="1"/>
    <s v="Cumple"/>
    <n v="42921"/>
    <m/>
    <m/>
  </r>
  <r>
    <d v="2025-06-11T00:00:00"/>
    <x v="5"/>
    <n v="2589"/>
    <x v="0"/>
    <s v="Alberto Almario"/>
    <s v="TECUTFE7M"/>
    <x v="35"/>
    <n v="1"/>
    <x v="2"/>
    <s v="Bogotá y alrededores"/>
    <s v="Bogota"/>
    <s v="Despachado"/>
    <s v="Coordinadora"/>
    <s v="3390674 - 84151261660"/>
    <d v="2025-06-11T00:00:00"/>
    <d v="2025-06-13T00:00:00"/>
    <s v="Entregado"/>
    <n v="0"/>
    <n v="2"/>
    <s v="Cumple"/>
    <n v="24093"/>
    <m/>
    <m/>
  </r>
  <r>
    <d v="2025-06-11T00:00:00"/>
    <x v="5"/>
    <n v="2589"/>
    <x v="0"/>
    <s v="Alberto Almario"/>
    <s v="TECUAFE"/>
    <x v="43"/>
    <n v="1"/>
    <x v="5"/>
    <s v="Bogotá y alrededores"/>
    <s v="Bogota"/>
    <s v="Despachado"/>
    <s v="Envia"/>
    <s v="3393621 - 954101234711"/>
    <d v="2025-06-12T00:00:00"/>
    <d v="2025-06-13T00:00:00"/>
    <s v="Entregado"/>
    <n v="1"/>
    <n v="2"/>
    <s v="Cumple"/>
    <n v="54929"/>
    <m/>
    <m/>
  </r>
  <r>
    <d v="2025-06-12T00:00:00"/>
    <x v="5"/>
    <n v="2590"/>
    <x v="0"/>
    <s v="cristhian Sabino ramirez Martinez"/>
    <s v="TECU3FBCRO"/>
    <x v="66"/>
    <n v="1"/>
    <x v="1"/>
    <s v="Antioquia"/>
    <s v="Rionegro"/>
    <s v="Despachado"/>
    <s v="Coordinadora"/>
    <s v="3393629 - 84151262940"/>
    <d v="2025-06-12T00:00:00"/>
    <d v="2025-06-13T00:00:00"/>
    <s v="Entregado"/>
    <n v="0"/>
    <n v="1"/>
    <s v="Cumple"/>
    <n v="42921"/>
    <m/>
    <m/>
  </r>
  <r>
    <d v="2025-06-12T00:00:00"/>
    <x v="5"/>
    <n v="2590"/>
    <x v="0"/>
    <s v="cristhian Sabino ramirez Martinez"/>
    <s v="TECUTFE6C"/>
    <x v="28"/>
    <n v="1"/>
    <x v="2"/>
    <s v="Antioquia"/>
    <s v="Rionegro"/>
    <s v="Despachado"/>
    <s v="Coordinadora"/>
    <s v="3393630 - 84151262941"/>
    <d v="2025-06-12T00:00:00"/>
    <d v="2025-06-13T00:00:00"/>
    <s v="Entregado"/>
    <n v="0"/>
    <n v="1"/>
    <s v="Cumple"/>
    <n v="24093"/>
    <m/>
    <m/>
  </r>
  <r>
    <d v="2025-06-12T00:00:00"/>
    <x v="5"/>
    <n v="2590"/>
    <x v="0"/>
    <s v="cristhian Sabino ramirez Martinez"/>
    <s v="TECUDSG"/>
    <x v="64"/>
    <n v="1"/>
    <x v="4"/>
    <s v="Antioquia"/>
    <s v="Rionegro"/>
    <s v="Despachado"/>
    <s v="Coordinadora"/>
    <s v="3393650 - 84151262943"/>
    <d v="2025-06-12T00:00:00"/>
    <d v="2025-06-13T00:00:00"/>
    <s v="Entregado"/>
    <n v="0"/>
    <n v="1"/>
    <s v="Cumple"/>
    <n v="26609"/>
    <m/>
    <m/>
  </r>
  <r>
    <d v="2025-06-12T00:00:00"/>
    <x v="5"/>
    <n v="2591"/>
    <x v="0"/>
    <s v="Katherine Velilla García"/>
    <s v="TECU3FNPRO"/>
    <x v="12"/>
    <n v="1"/>
    <x v="1"/>
    <s v="Antioquia"/>
    <s v="Copacabana"/>
    <s v="Despachado"/>
    <s v="Coordinadora"/>
    <s v="3397716 - 84151263886 "/>
    <d v="2025-06-13T00:00:00"/>
    <d v="2025-06-14T00:00:00"/>
    <s v="Entregado"/>
    <n v="1"/>
    <n v="2"/>
    <e v="#N/A"/>
    <n v="42921"/>
    <m/>
    <m/>
  </r>
  <r>
    <d v="2025-06-12T00:00:00"/>
    <x v="5"/>
    <n v="2591"/>
    <x v="0"/>
    <s v="Katherine Velilla García"/>
    <s v="TECUTCO2C"/>
    <x v="37"/>
    <n v="1"/>
    <x v="2"/>
    <s v="Antioquia"/>
    <s v="Copacabana"/>
    <s v="Despachado"/>
    <s v="Coordinadora"/>
    <s v="3397719 - 84151263888"/>
    <d v="2025-06-13T00:00:00"/>
    <d v="2025-06-14T00:00:00"/>
    <s v="Entregado"/>
    <n v="1"/>
    <n v="2"/>
    <e v="#N/A"/>
    <n v="28741"/>
    <m/>
    <m/>
  </r>
  <r>
    <d v="2025-06-13T00:00:00"/>
    <x v="5"/>
    <n v="2592"/>
    <x v="0"/>
    <s v="Anna Christina Kindgren Diaz"/>
    <s v="TECU3FNPRO"/>
    <x v="12"/>
    <n v="1"/>
    <x v="1"/>
    <s v="Bogotá y alrededores"/>
    <s v="Bogota"/>
    <s v="Despachado"/>
    <s v="Coordinadora"/>
    <s v="3397880 - 84151263950"/>
    <d v="2025-06-13T00:00:00"/>
    <d v="2025-06-16T00:00:00"/>
    <s v="Entregado"/>
    <n v="0"/>
    <n v="2"/>
    <s v="Cumple"/>
    <n v="42921"/>
    <m/>
    <m/>
  </r>
  <r>
    <d v="2025-06-13T00:00:00"/>
    <x v="5"/>
    <n v="2592"/>
    <x v="0"/>
    <s v="Anna Christina Kindgren Diaz"/>
    <s v="TECUTRN8C"/>
    <x v="58"/>
    <n v="1"/>
    <x v="2"/>
    <s v="Bogotá y alrededores"/>
    <s v="Bogota"/>
    <s v="Despachado"/>
    <s v="Coordinadora"/>
    <s v="3397882 - 84151263952"/>
    <d v="2025-06-13T00:00:00"/>
    <d v="2025-06-16T00:00:00"/>
    <s v="Entregado"/>
    <n v="0"/>
    <n v="2"/>
    <s v="Cumple"/>
    <n v="26749"/>
    <m/>
    <m/>
  </r>
  <r>
    <d v="2025-06-13T00:00:00"/>
    <x v="5"/>
    <n v="2592"/>
    <x v="0"/>
    <s v="Anna Christina Kindgren Diaz"/>
    <s v="TECUCT"/>
    <x v="4"/>
    <n v="1"/>
    <x v="0"/>
    <s v="Bogotá y alrededores"/>
    <s v="Bogota"/>
    <s v="Despachado"/>
    <s v="Coordinadora"/>
    <s v="3397899 - 84151263957"/>
    <d v="2025-06-13T00:00:00"/>
    <d v="2025-06-16T00:00:00"/>
    <s v="Entregado"/>
    <n v="0"/>
    <n v="2"/>
    <s v="Cumple"/>
    <n v="24885"/>
    <m/>
    <m/>
  </r>
  <r>
    <d v="2025-06-13T00:00:00"/>
    <x v="5"/>
    <n v="2593"/>
    <x v="0"/>
    <s v="Oriana Camila Rodriguez Ruiz"/>
    <s v="TECU2FNG"/>
    <x v="5"/>
    <n v="1"/>
    <x v="1"/>
    <s v="Quindio"/>
    <s v="Armenia"/>
    <s v="En alistamiento"/>
    <s v="Entrega directa"/>
    <s v="NA"/>
    <m/>
    <m/>
    <s v="En transito"/>
    <s v="PTE"/>
    <s v="PTE"/>
    <s v="PTE"/>
    <n v="20000"/>
    <m/>
    <m/>
  </r>
  <r>
    <d v="2025-06-13T00:00:00"/>
    <x v="5"/>
    <n v="2593"/>
    <x v="0"/>
    <s v="Oriana Camila Rodriguez Ruiz"/>
    <s v="TECUTRN6C"/>
    <x v="20"/>
    <n v="1"/>
    <x v="2"/>
    <s v="Quindio"/>
    <s v="Armenia"/>
    <s v="En alistamiento"/>
    <s v="Entrega directa"/>
    <s v="NA"/>
    <m/>
    <m/>
    <s v="En transito"/>
    <s v="PTE"/>
    <s v="PTE"/>
    <s v="PTE"/>
    <n v="20000"/>
    <m/>
    <m/>
  </r>
  <r>
    <d v="2025-06-16T00:00:00"/>
    <x v="5"/>
    <n v="2594"/>
    <x v="0"/>
    <s v="Leonardo Malavera Gomez"/>
    <s v="TECU2FNG"/>
    <x v="5"/>
    <n v="1"/>
    <x v="1"/>
    <s v="Santander"/>
    <s v="Bucaramanga"/>
    <s v="Despachado"/>
    <s v="Coordinadora"/>
    <s v="3404316 - 84151266205"/>
    <d v="2025-06-16T00:00:00"/>
    <d v="2025-06-18T00:00:00"/>
    <s v="Entregado"/>
    <n v="0"/>
    <n v="2"/>
    <s v="Cumple"/>
    <n v="53871"/>
    <m/>
    <m/>
  </r>
  <r>
    <d v="2025-06-16T00:00:00"/>
    <x v="5"/>
    <n v="2594"/>
    <x v="0"/>
    <s v="Leonardo Malavera Gomez"/>
    <s v="TECUTCO4C"/>
    <x v="6"/>
    <n v="1"/>
    <x v="2"/>
    <s v="Santander"/>
    <s v="Bucaramanga"/>
    <s v="Despachado"/>
    <s v="Coordinadora"/>
    <s v="3404317 - 84151266206"/>
    <d v="2025-06-16T00:00:00"/>
    <d v="2025-06-18T00:00:00"/>
    <s v="Entregado"/>
    <n v="0"/>
    <n v="2"/>
    <s v="Cumple"/>
    <n v="34179"/>
    <m/>
    <m/>
  </r>
  <r>
    <d v="2025-06-16T00:00:00"/>
    <x v="5"/>
    <n v="2594"/>
    <x v="0"/>
    <s v="Leonardo Malavera Gomez"/>
    <s v="TECUBDPA"/>
    <x v="1"/>
    <n v="1"/>
    <x v="0"/>
    <s v="Santander"/>
    <s v="Bucaramanga"/>
    <s v="Despachado"/>
    <s v="Coordinadora"/>
    <s v="3404336 - 84151266214"/>
    <d v="2025-06-16T00:00:00"/>
    <d v="2025-06-18T00:00:00"/>
    <s v="Entregado"/>
    <n v="0"/>
    <n v="2"/>
    <s v="Cumple"/>
    <n v="16617"/>
    <m/>
    <m/>
  </r>
  <r>
    <d v="2025-06-16T00:00:00"/>
    <x v="5"/>
    <n v="2594"/>
    <x v="0"/>
    <s v="Leonardo Malavera Gomez"/>
    <s v="TECUROD"/>
    <x v="31"/>
    <n v="1"/>
    <x v="7"/>
    <s v="Santander"/>
    <s v="Bucaramanga"/>
    <s v="Despachado"/>
    <s v="Coordinadora"/>
    <s v="3404344 - 84151266220"/>
    <d v="2025-06-16T00:00:00"/>
    <d v="2025-06-18T00:00:00"/>
    <s v="Entregado"/>
    <n v="0"/>
    <n v="2"/>
    <s v="Cumple"/>
    <n v="23875"/>
    <m/>
    <m/>
  </r>
  <r>
    <d v="2025-06-16T00:00:00"/>
    <x v="5"/>
    <n v="2595"/>
    <x v="0"/>
    <s v="Alexandre Montoya"/>
    <s v="TECU2FNG"/>
    <x v="5"/>
    <n v="1"/>
    <x v="1"/>
    <s v="Valle del Cauca"/>
    <s v="Cartago"/>
    <s v="Despachado"/>
    <s v="Coordinadora"/>
    <s v="3404516 - 84151266312"/>
    <d v="2025-06-16T00:00:00"/>
    <d v="2025-06-17T00:00:00"/>
    <s v="Entregado"/>
    <n v="0"/>
    <n v="1"/>
    <e v="#N/A"/>
    <n v="34156"/>
    <m/>
    <m/>
  </r>
  <r>
    <d v="2025-06-16T00:00:00"/>
    <x v="5"/>
    <n v="2595"/>
    <x v="0"/>
    <s v="Alexandre Montoya"/>
    <s v="TECUTCO2C"/>
    <x v="37"/>
    <n v="1"/>
    <x v="2"/>
    <s v="Valle del Cauca"/>
    <s v="Cartago"/>
    <s v="Despachado"/>
    <s v="Coordinadora"/>
    <s v="3404518 - 84151266314"/>
    <d v="2025-06-16T00:00:00"/>
    <d v="2025-06-17T00:00:00"/>
    <s v="Entregado"/>
    <n v="0"/>
    <n v="1"/>
    <e v="#N/A"/>
    <n v="15194"/>
    <m/>
    <m/>
  </r>
  <r>
    <d v="2025-06-16T00:00:00"/>
    <x v="5"/>
    <n v="2595"/>
    <x v="0"/>
    <s v="Alexandre Montoya"/>
    <s v="TECUDSN"/>
    <x v="13"/>
    <n v="2"/>
    <x v="4"/>
    <s v="Valle del Cauca"/>
    <s v="Cartago"/>
    <s v="Despachado"/>
    <s v="Coordinadora"/>
    <s v="3404537 - 84151266320"/>
    <d v="2025-06-16T00:00:00"/>
    <d v="2025-06-17T00:00:00"/>
    <s v="Entregado"/>
    <n v="0"/>
    <n v="1"/>
    <e v="#N/A"/>
    <m/>
    <m/>
    <m/>
  </r>
  <r>
    <d v="2025-06-16T00:00:00"/>
    <x v="5"/>
    <n v="2596"/>
    <x v="0"/>
    <s v="Frank Carlos Rubiano"/>
    <s v="TECU2FBGO"/>
    <x v="2"/>
    <n v="1"/>
    <x v="1"/>
    <s v="Antioquia"/>
    <s v="Medellin"/>
    <s v="Despachado"/>
    <s v="Coordinadora"/>
    <s v="3404017 - 84151266051"/>
    <d v="2025-06-16T00:00:00"/>
    <d v="2025-06-18T00:00:00"/>
    <s v="Entregado"/>
    <n v="0"/>
    <n v="2"/>
    <s v="Cumple"/>
    <n v="41593"/>
    <m/>
    <m/>
  </r>
  <r>
    <d v="2025-06-16T00:00:00"/>
    <x v="5"/>
    <n v="2596"/>
    <x v="0"/>
    <s v="Frank Carlos Rubiano"/>
    <s v="TECUTFE2C"/>
    <x v="3"/>
    <n v="1"/>
    <x v="2"/>
    <s v="Antioquia"/>
    <s v="Medellin"/>
    <s v="Despachado"/>
    <s v="Coordinadora"/>
    <s v="3404019 - 84151266052"/>
    <d v="2025-06-16T00:00:00"/>
    <d v="2025-06-18T00:00:00"/>
    <s v="Entregado"/>
    <n v="0"/>
    <n v="2"/>
    <s v="Cumple"/>
    <n v="24093"/>
    <m/>
    <m/>
  </r>
  <r>
    <d v="2025-06-16T00:00:00"/>
    <x v="5"/>
    <n v="2597"/>
    <x v="0"/>
    <s v="Alejandro Franco"/>
    <s v="TECU3FNPRO"/>
    <x v="12"/>
    <n v="1"/>
    <x v="1"/>
    <s v="Antioquia"/>
    <s v="Medellin"/>
    <s v="Despachado"/>
    <s v="Coordinadora"/>
    <s v="3404807 - 84151266476"/>
    <d v="2025-06-16T00:00:00"/>
    <d v="2025-06-17T00:00:00"/>
    <s v="Entregado"/>
    <n v="0"/>
    <n v="1"/>
    <s v="Cumple"/>
    <n v="42921"/>
    <m/>
    <m/>
  </r>
  <r>
    <d v="2025-06-16T00:00:00"/>
    <x v="5"/>
    <n v="2597"/>
    <x v="0"/>
    <s v="Alejandro Franco"/>
    <s v="TECUTFE6C"/>
    <x v="28"/>
    <n v="1"/>
    <x v="2"/>
    <s v="Antioquia"/>
    <s v="Medellin"/>
    <s v="Despachado"/>
    <s v="Coordinadora"/>
    <s v="3404808 - 84151266477"/>
    <d v="2025-06-16T00:00:00"/>
    <d v="2025-06-17T00:00:00"/>
    <s v="Entregado"/>
    <n v="0"/>
    <n v="1"/>
    <s v="Cumple"/>
    <n v="24093"/>
    <m/>
    <m/>
  </r>
  <r>
    <d v="2025-06-16T00:00:00"/>
    <x v="5"/>
    <n v="2597"/>
    <x v="0"/>
    <s v="Alejandro Franco"/>
    <s v="TECUAFE"/>
    <x v="43"/>
    <n v="1"/>
    <x v="5"/>
    <s v="Antioquia"/>
    <s v="Medellin"/>
    <s v="Despachado"/>
    <s v="Envia"/>
    <s v="3407567 - 954101237883"/>
    <d v="2025-06-16T00:00:00"/>
    <d v="2025-06-19T00:00:00"/>
    <s v="Entregado"/>
    <n v="0"/>
    <n v="3"/>
    <s v="Cumple"/>
    <n v="65682"/>
    <m/>
    <m/>
  </r>
  <r>
    <d v="2025-06-16T00:00:00"/>
    <x v="5"/>
    <n v="2597"/>
    <x v="0"/>
    <s v="Alejandro Franco"/>
    <m/>
    <x v="10"/>
    <n v="1"/>
    <x v="3"/>
    <s v="Antioquia"/>
    <s v="Medellin"/>
    <s v="Despachado"/>
    <s v="Coordinadora"/>
    <s v="NA"/>
    <s v="NA"/>
    <s v="NA"/>
    <s v="Entregado"/>
    <e v="#VALUE!"/>
    <e v="#VALUE!"/>
    <e v="#VALUE!"/>
    <n v="0"/>
    <m/>
    <m/>
  </r>
  <r>
    <d v="2025-06-17T00:00:00"/>
    <x v="5"/>
    <n v="2598"/>
    <x v="0"/>
    <s v="Fredy Gonzalez"/>
    <s v="TECULFN2"/>
    <x v="7"/>
    <n v="1"/>
    <x v="1"/>
    <s v="Atlantico"/>
    <s v="Sabanalarga"/>
    <s v="Despachado"/>
    <s v="Coordinadora"/>
    <s v="3411404 - 84151269328"/>
    <d v="2025-06-18T00:00:00"/>
    <d v="2025-06-21T00:00:00"/>
    <s v="Entregado"/>
    <n v="1"/>
    <n v="4"/>
    <e v="#N/A"/>
    <n v="183036"/>
    <m/>
    <m/>
  </r>
  <r>
    <d v="2025-06-17T00:00:00"/>
    <x v="5"/>
    <n v="2598"/>
    <x v="0"/>
    <s v="Fredy Gonzalez"/>
    <s v="TECUTLFES"/>
    <x v="63"/>
    <n v="1"/>
    <x v="2"/>
    <s v="Atlantico"/>
    <s v="Sabanalarga"/>
    <s v="Despachado"/>
    <s v="Coordinadora"/>
    <s v="3411405 - 84151269329"/>
    <d v="2025-06-18T00:00:00"/>
    <d v="2025-06-21T00:00:00"/>
    <s v="Entregado"/>
    <n v="1"/>
    <n v="4"/>
    <e v="#N/A"/>
    <n v="98264"/>
    <m/>
    <m/>
  </r>
  <r>
    <d v="2025-06-18T00:00:00"/>
    <x v="5"/>
    <n v="2599"/>
    <x v="0"/>
    <s v="Edward Ferraro Reyes"/>
    <s v="TECU3FNPRO"/>
    <x v="12"/>
    <n v="1"/>
    <x v="1"/>
    <s v="Antioquia"/>
    <s v="Medellin"/>
    <s v="Despachado"/>
    <s v="Coordinadora"/>
    <s v="3414277 - 84151270498"/>
    <d v="2025-06-19T00:00:00"/>
    <d v="2025-06-21T00:00:00"/>
    <s v="Entregado"/>
    <n v="1"/>
    <n v="3"/>
    <s v="Cumple"/>
    <n v="42921"/>
    <m/>
    <m/>
  </r>
  <r>
    <d v="2025-06-18T00:00:00"/>
    <x v="5"/>
    <n v="2599"/>
    <x v="0"/>
    <s v="Edward Ferraro Reyes"/>
    <s v="TECUTCO5C"/>
    <x v="51"/>
    <n v="1"/>
    <x v="2"/>
    <s v="Antioquia"/>
    <s v="Medellin"/>
    <s v="Despachado"/>
    <s v="Coordinadora"/>
    <s v="3414278 - 84151270499"/>
    <d v="2025-06-19T00:00:00"/>
    <d v="2025-06-21T00:00:00"/>
    <s v="Entregado"/>
    <n v="1"/>
    <n v="3"/>
    <s v="Cumple"/>
    <n v="24093"/>
    <m/>
    <m/>
  </r>
  <r>
    <d v="2025-06-18T00:00:00"/>
    <x v="5"/>
    <n v="2600"/>
    <x v="0"/>
    <s v="Alberto Almario"/>
    <s v="TECUCT"/>
    <x v="4"/>
    <n v="1"/>
    <x v="0"/>
    <s v="Bogotá y alrededores"/>
    <s v="Bogota"/>
    <s v="Despachado"/>
    <s v="Coordinadora"/>
    <s v="3411475 - 84151269372"/>
    <d v="2025-06-18T00:00:00"/>
    <d v="2025-06-19T00:00:00"/>
    <s v="Entregado"/>
    <n v="0"/>
    <n v="1"/>
    <s v="Cumple"/>
    <n v="24885"/>
    <m/>
    <m/>
  </r>
  <r>
    <d v="2025-06-18T00:00:00"/>
    <x v="5"/>
    <n v="2601"/>
    <x v="0"/>
    <s v="Luis Valencia"/>
    <s v="TECUAFE"/>
    <x v="43"/>
    <n v="1"/>
    <x v="5"/>
    <s v="Antioquia"/>
    <s v="Medellin"/>
    <s v="Despachado"/>
    <s v="Envia"/>
    <s v="3414291 - 954101239801"/>
    <d v="2025-06-19T00:00:00"/>
    <d v="2025-06-20T00:00:00"/>
    <s v="Entregado"/>
    <n v="1"/>
    <n v="2"/>
    <s v="Cumple"/>
    <n v="65682"/>
    <m/>
    <m/>
  </r>
  <r>
    <d v="2025-06-19T00:00:00"/>
    <x v="5"/>
    <n v="2602"/>
    <x v="0"/>
    <s v="Diego Bellon"/>
    <s v="TECURCO"/>
    <x v="30"/>
    <n v="1"/>
    <x v="6"/>
    <s v="Bogotá y alrededores"/>
    <s v="Cajica"/>
    <s v="Despachado"/>
    <s v="Coordinadora"/>
    <s v="3414325 - 84151270524"/>
    <d v="2025-06-19T00:00:00"/>
    <d v="2025-06-22T00:00:00"/>
    <s v="Entregado"/>
    <n v="0"/>
    <n v="2"/>
    <s v="Cumple"/>
    <n v="23429"/>
    <m/>
    <m/>
  </r>
  <r>
    <d v="2025-06-20T00:00:00"/>
    <x v="5"/>
    <n v="2603"/>
    <x v="0"/>
    <s v="Nicholas Austin"/>
    <s v="TECU3FNCRO"/>
    <x v="55"/>
    <n v="1"/>
    <x v="1"/>
    <s v="Antioquia"/>
    <s v="Medellin"/>
    <s v="Despachado"/>
    <s v="Coordinadora"/>
    <s v="3417032 - 84151271833"/>
    <d v="2025-06-20T00:00:00"/>
    <d v="2025-06-24T00:00:00"/>
    <s v="Entregado"/>
    <n v="0"/>
    <n v="2"/>
    <s v="Cumple"/>
    <n v="42921"/>
    <m/>
    <m/>
  </r>
  <r>
    <d v="2025-06-20T00:00:00"/>
    <x v="5"/>
    <n v="2603"/>
    <x v="0"/>
    <s v="Nicholas Austin"/>
    <s v="TECUTCO6M"/>
    <x v="24"/>
    <n v="1"/>
    <x v="2"/>
    <s v="Antioquia"/>
    <s v="Medellin"/>
    <s v="Despachado"/>
    <s v="Coordinadora"/>
    <s v="3417033 - 84151271834"/>
    <d v="2025-06-20T00:00:00"/>
    <d v="2025-06-24T00:00:00"/>
    <s v="Entregado"/>
    <n v="0"/>
    <n v="2"/>
    <s v="Cumple"/>
    <n v="24093"/>
    <m/>
    <m/>
  </r>
  <r>
    <d v="2025-06-20T00:00:00"/>
    <x v="5"/>
    <n v="2603"/>
    <x v="0"/>
    <s v="Nicholas Austin"/>
    <s v="TECUBDPM"/>
    <x v="0"/>
    <n v="1"/>
    <x v="0"/>
    <s v="Antioquia"/>
    <s v="Medellin"/>
    <s v="Despachado"/>
    <s v="Coordinadora"/>
    <s v="3417040 - 84151271838"/>
    <d v="2025-06-20T00:00:00"/>
    <d v="2025-06-24T00:00:00"/>
    <s v="Entregado"/>
    <n v="0"/>
    <n v="2"/>
    <s v="Cumple"/>
    <n v="16617"/>
    <m/>
    <m/>
  </r>
  <r>
    <d v="2025-06-20T00:00:00"/>
    <x v="5"/>
    <n v="2603"/>
    <x v="0"/>
    <s v="Nicholas Austin"/>
    <s v="TECUCT"/>
    <x v="4"/>
    <n v="1"/>
    <x v="0"/>
    <s v="Antioquia"/>
    <s v="Medellin"/>
    <s v="Despachado"/>
    <s v="Coordinadora"/>
    <s v="3417051 - 84151271841"/>
    <d v="2025-06-20T00:00:00"/>
    <d v="2025-06-24T00:00:00"/>
    <s v="Entregado"/>
    <n v="0"/>
    <n v="2"/>
    <s v="Cumple"/>
    <n v="24885"/>
    <m/>
    <m/>
  </r>
  <r>
    <d v="2025-06-21T00:00:00"/>
    <x v="5"/>
    <n v="2604"/>
    <x v="0"/>
    <s v="RODRIGO BELLO"/>
    <s v="TECU3FBRO"/>
    <x v="34"/>
    <n v="1"/>
    <x v="1"/>
    <s v="Bogotá y alrededores"/>
    <s v="Bogota"/>
    <s v="Despachado"/>
    <s v="Coordinadora"/>
    <s v="3423093 - 84151274331"/>
    <d v="2025-06-24T00:00:00"/>
    <d v="2025-06-26T00:00:00"/>
    <s v="Entregado"/>
    <n v="1"/>
    <n v="3"/>
    <s v="Cumple"/>
    <n v="42921"/>
    <m/>
    <m/>
  </r>
  <r>
    <d v="2025-06-21T00:00:00"/>
    <x v="5"/>
    <n v="2604"/>
    <x v="0"/>
    <s v="RODRIGO BELLO"/>
    <s v="TECUTCO8C"/>
    <x v="19"/>
    <n v="1"/>
    <x v="2"/>
    <s v="Bogotá y alrededores"/>
    <s v="Bogota"/>
    <s v="Despachado"/>
    <s v="Coordinadora"/>
    <s v="3423097 - 84151274334"/>
    <d v="2025-06-24T00:00:00"/>
    <d v="2025-06-27T00:00:00"/>
    <s v="Entregado"/>
    <n v="1"/>
    <n v="4"/>
    <s v="No cumple"/>
    <n v="26749"/>
    <m/>
    <m/>
  </r>
  <r>
    <d v="2025-06-21T00:00:00"/>
    <x v="5"/>
    <n v="2604"/>
    <x v="0"/>
    <s v="RODRIGO BELLO"/>
    <s v="TECUACO"/>
    <x v="15"/>
    <n v="1"/>
    <x v="5"/>
    <s v="Bogotá y alrededores"/>
    <s v="Bogota"/>
    <s v="Despachado"/>
    <s v="Envia"/>
    <s v="3423312 - 954101242427"/>
    <d v="2025-06-24T00:00:00"/>
    <d v="2025-06-26T00:00:00"/>
    <s v="Entregado"/>
    <n v="1"/>
    <n v="3"/>
    <s v="Cumple"/>
    <n v="54929"/>
    <m/>
    <m/>
  </r>
  <r>
    <d v="2025-06-21T00:00:00"/>
    <x v="5"/>
    <n v="2604"/>
    <x v="0"/>
    <s v="RODRIGO BELLO"/>
    <s v="TECUDSG"/>
    <x v="64"/>
    <n v="1"/>
    <x v="4"/>
    <s v="Bogotá y alrededores"/>
    <s v="Bogota"/>
    <s v="Despachado"/>
    <s v="Coordinadora"/>
    <s v="3423132 - 84151274353"/>
    <d v="2025-06-24T00:00:00"/>
    <d v="2025-06-26T00:00:00"/>
    <s v="Entregado"/>
    <n v="1"/>
    <n v="3"/>
    <s v="Cumple"/>
    <n v="26609"/>
    <m/>
    <m/>
  </r>
  <r>
    <d v="2025-06-21T00:00:00"/>
    <x v="5"/>
    <n v="2604"/>
    <x v="0"/>
    <s v="RODRIGO BELLO"/>
    <s v="TECUBDPA"/>
    <x v="1"/>
    <n v="1"/>
    <x v="0"/>
    <s v="Bogotá y alrededores"/>
    <s v="Bogota"/>
    <s v="Despachado"/>
    <s v="Coordinadora"/>
    <s v="3423114 - 84151274344"/>
    <d v="2025-06-24T00:00:00"/>
    <d v="2025-06-26T00:00:00"/>
    <s v="Entregado"/>
    <n v="1"/>
    <n v="3"/>
    <s v="Cumple"/>
    <n v="16617"/>
    <m/>
    <m/>
  </r>
  <r>
    <d v="2025-06-21T00:00:00"/>
    <x v="5"/>
    <n v="2604"/>
    <x v="0"/>
    <s v="RODRIGO BELLO"/>
    <s v="TECUCT"/>
    <x v="4"/>
    <n v="1"/>
    <x v="0"/>
    <s v="Bogotá y alrededores"/>
    <s v="Bogota"/>
    <s v="Despachado"/>
    <s v="Coordinadora"/>
    <s v="3423184 - 84151274377"/>
    <d v="2025-06-24T00:00:00"/>
    <d v="2025-06-26T00:00:00"/>
    <s v="Entregado"/>
    <n v="1"/>
    <n v="3"/>
    <s v="Cumple"/>
    <n v="24885"/>
    <m/>
    <m/>
  </r>
  <r>
    <d v="2025-06-21T00:00:00"/>
    <x v="5"/>
    <n v="2604"/>
    <x v="0"/>
    <s v="RODRIGO BELLO"/>
    <s v="TECUROD"/>
    <x v="31"/>
    <n v="1"/>
    <x v="7"/>
    <s v="Bogotá y alrededores"/>
    <s v="Bogota"/>
    <s v="Despachado"/>
    <s v="Coordinadora"/>
    <s v="3423161 - 84151274363"/>
    <d v="2025-06-24T00:00:00"/>
    <d v="2025-06-26T00:00:00"/>
    <s v="Entregado"/>
    <n v="1"/>
    <n v="3"/>
    <s v="Cumple"/>
    <n v="23875"/>
    <m/>
    <m/>
  </r>
  <r>
    <d v="2025-06-24T00:00:00"/>
    <x v="5"/>
    <n v="2605"/>
    <x v="0"/>
    <s v="Julian David Montero Gonzalez"/>
    <s v="TECUCT"/>
    <x v="4"/>
    <n v="1"/>
    <x v="0"/>
    <s v="Huila"/>
    <s v="Neiva"/>
    <s v="Despachado"/>
    <s v="Coordinadora"/>
    <s v="3426486 - 84151275801"/>
    <d v="2025-06-25T00:00:00"/>
    <d v="2025-06-27T00:00:00"/>
    <s v="Entregado"/>
    <n v="1"/>
    <n v="3"/>
    <s v="Cumple"/>
    <n v="24885"/>
    <m/>
    <m/>
  </r>
  <r>
    <d v="2025-06-26T00:00:00"/>
    <x v="5"/>
    <n v="100006"/>
    <x v="0"/>
    <s v="Richard Ardila Hernandez"/>
    <s v="TECU3FNPRO"/>
    <x v="12"/>
    <n v="1"/>
    <x v="1"/>
    <s v="Valle del Cauca"/>
    <s v="Cali"/>
    <s v="Despachado"/>
    <s v="Coordinadora"/>
    <s v="3429229 - 84151277047"/>
    <d v="2025-06-25T00:00:00"/>
    <d v="2025-06-27T00:00:00"/>
    <s v="Entregado"/>
    <n v="-3"/>
    <n v="1"/>
    <s v="Cumple"/>
    <n v="47921"/>
    <m/>
    <m/>
  </r>
  <r>
    <d v="2025-06-26T00:00:00"/>
    <x v="5"/>
    <n v="100006"/>
    <x v="0"/>
    <s v="Richard Ardila Hernandez"/>
    <s v="TECUTRN8C"/>
    <x v="58"/>
    <n v="1"/>
    <x v="2"/>
    <s v="Valle del Cauca"/>
    <s v="Cali"/>
    <s v="Despachado"/>
    <s v="Coordinadora"/>
    <s v="3429352 - 84151277060"/>
    <d v="2025-06-25T00:00:00"/>
    <d v="2025-06-27T00:00:00"/>
    <s v="Entregado"/>
    <n v="-3"/>
    <n v="1"/>
    <s v="Cumple"/>
    <n v="29249"/>
    <m/>
    <m/>
  </r>
  <r>
    <d v="2025-06-26T00:00:00"/>
    <x v="5"/>
    <n v="100006"/>
    <x v="0"/>
    <s v="Richard Ardila Hernandez"/>
    <s v="TECUCT"/>
    <x v="4"/>
    <n v="1"/>
    <x v="0"/>
    <s v="Valle del Cauca"/>
    <s v="Cali"/>
    <s v="Despachado"/>
    <s v="Coordinadora"/>
    <s v="3429388 - 84151277073"/>
    <d v="2025-06-25T00:00:00"/>
    <d v="2025-06-27T00:00:00"/>
    <s v="Entregado"/>
    <n v="-3"/>
    <n v="1"/>
    <s v="Cumple"/>
    <n v="25429"/>
    <m/>
    <m/>
  </r>
  <r>
    <d v="2025-06-26T00:00:00"/>
    <x v="5"/>
    <n v="100006"/>
    <x v="0"/>
    <s v="Richard Ardila Hernandez"/>
    <s v="TECUROD"/>
    <x v="31"/>
    <n v="1"/>
    <x v="7"/>
    <s v="Valle del Cauca"/>
    <s v="Cali"/>
    <s v="Despachado"/>
    <s v="Coordinadora"/>
    <s v="3429407 - 84151277085"/>
    <d v="2025-06-25T00:00:00"/>
    <d v="2025-06-27T00:00:00"/>
    <s v="Entregado"/>
    <n v="-3"/>
    <n v="1"/>
    <s v="Cumple"/>
    <n v="23885"/>
    <m/>
    <m/>
  </r>
  <r>
    <d v="2025-06-26T00:00:00"/>
    <x v="5"/>
    <n v="100007"/>
    <x v="0"/>
    <s v="Andrea Prieto"/>
    <s v="TECU2FBGO"/>
    <x v="2"/>
    <n v="1"/>
    <x v="1"/>
    <s v="Caldas"/>
    <s v="Manizales"/>
    <s v="Despachado"/>
    <s v="Coordinadora"/>
    <s v="3432184 - 84151278502"/>
    <d v="2025-06-27T00:00:00"/>
    <d v="2025-06-28T00:00:00"/>
    <s v="Entregado"/>
    <n v="1"/>
    <n v="2"/>
    <s v="Cumple"/>
    <n v="39156"/>
    <m/>
    <m/>
  </r>
  <r>
    <d v="2025-06-26T00:00:00"/>
    <x v="5"/>
    <n v="100007"/>
    <x v="0"/>
    <s v="Andrea Prieto"/>
    <s v="TECUTFE3C"/>
    <x v="39"/>
    <n v="1"/>
    <x v="2"/>
    <s v="Caldas"/>
    <s v="Manizales"/>
    <s v="Despachado"/>
    <s v="Coordinadora"/>
    <s v="3432197 - 84151278515"/>
    <d v="2025-06-27T00:00:00"/>
    <d v="2025-06-28T00:00:00"/>
    <s v="Entregado"/>
    <n v="1"/>
    <n v="2"/>
    <s v="Cumple"/>
    <n v="19694"/>
    <m/>
    <m/>
  </r>
  <r>
    <d v="2025-06-26T00:00:00"/>
    <x v="5"/>
    <n v="100008"/>
    <x v="0"/>
    <s v="Miguel Berrío Vélez"/>
    <s v="TECURCO"/>
    <x v="30"/>
    <n v="1"/>
    <x v="6"/>
    <s v="Antioquia"/>
    <s v="Carmen de Viboral"/>
    <s v="Despachado"/>
    <s v="Coordinadora"/>
    <s v="3439945 - 84151281832"/>
    <d v="2025-07-01T00:00:00"/>
    <d v="2025-07-09T00:00:00"/>
    <s v="Entregado"/>
    <n v="3"/>
    <n v="10"/>
    <s v="No cumple"/>
    <n v="24619"/>
    <m/>
    <m/>
  </r>
  <r>
    <d v="2025-06-26T00:00:00"/>
    <x v="5"/>
    <n v="100008"/>
    <x v="0"/>
    <s v="Miguel Berrío Vélez"/>
    <s v="TECUACO"/>
    <x v="15"/>
    <n v="2"/>
    <x v="5"/>
    <s v="Antioquia"/>
    <s v="Carmen de Viboral"/>
    <s v="Despachado"/>
    <s v="Coordinadora"/>
    <s v="3439918 - 84151281819 // 3438430 - 84151281038"/>
    <d v="2025-07-01T00:00:00"/>
    <d v="2025-07-09T00:00:00"/>
    <s v="Entregado"/>
    <n v="3"/>
    <n v="10"/>
    <s v="No cumple"/>
    <n v="113638"/>
    <m/>
    <m/>
  </r>
  <r>
    <d v="2025-06-26T00:00:00"/>
    <x v="5"/>
    <n v="100008"/>
    <x v="0"/>
    <s v="Miguel Berrío Vélez"/>
    <s v="TECUCT"/>
    <x v="4"/>
    <n v="2"/>
    <x v="0"/>
    <s v="Antioquia"/>
    <s v="Carmen de Viboral"/>
    <s v="Despachado"/>
    <s v="Coordinadora"/>
    <s v="3439976 - 84151281842"/>
    <d v="2025-07-01T00:00:00"/>
    <d v="2025-07-09T00:00:00"/>
    <s v="Entregado"/>
    <n v="3"/>
    <n v="10"/>
    <s v="No cumple"/>
    <n v="25429"/>
    <m/>
    <m/>
  </r>
  <r>
    <d v="2025-06-26T00:00:00"/>
    <x v="5"/>
    <n v="100009"/>
    <x v="0"/>
    <s v="Luccas Rojas"/>
    <s v="TECU3FNPRO"/>
    <x v="12"/>
    <n v="1"/>
    <x v="1"/>
    <s v="Bogotá y alrededores"/>
    <s v="Bogota"/>
    <s v="Despachado"/>
    <s v="Coordinadora"/>
    <s v="3432963 - 84151278934"/>
    <d v="2025-06-27T00:00:00"/>
    <d v="2025-07-02T00:00:00"/>
    <s v="Entregado"/>
    <n v="1"/>
    <n v="4"/>
    <s v="No cumple"/>
    <n v="47921"/>
    <m/>
    <m/>
  </r>
  <r>
    <d v="2025-06-26T00:00:00"/>
    <x v="5"/>
    <n v="100009"/>
    <x v="0"/>
    <s v="Luccas Rojas"/>
    <s v="TECUTRN20C"/>
    <x v="65"/>
    <n v="1"/>
    <x v="2"/>
    <s v="Bogotá y alrededores"/>
    <s v="Bogota"/>
    <s v="Despachado"/>
    <s v="Coordinadora"/>
    <s v="3432973 - 84151278941"/>
    <d v="2025-06-27T00:00:00"/>
    <d v="2025-07-01T00:00:00"/>
    <s v="Entregado"/>
    <n v="1"/>
    <n v="3"/>
    <s v="Cumple"/>
    <n v="33241"/>
    <m/>
    <m/>
  </r>
  <r>
    <d v="2025-06-26T00:00:00"/>
    <x v="5"/>
    <n v="100009"/>
    <x v="0"/>
    <s v="Luccas Rojas"/>
    <s v="TECUCT"/>
    <x v="4"/>
    <n v="1"/>
    <x v="0"/>
    <s v="Bogotá y alrededores"/>
    <s v="Bogota"/>
    <s v="Despachado"/>
    <s v="Coordinadora"/>
    <s v="3432983 - 84151278947"/>
    <d v="2025-06-27T00:00:00"/>
    <d v="2025-07-02T00:00:00"/>
    <s v="Entregado"/>
    <n v="1"/>
    <n v="4"/>
    <s v="No cumple"/>
    <n v="25429"/>
    <m/>
    <m/>
  </r>
  <r>
    <d v="2025-06-27T00:00:00"/>
    <x v="5"/>
    <n v="100010"/>
    <x v="0"/>
    <s v="Harlin Acero"/>
    <s v="TECURCO"/>
    <x v="30"/>
    <n v="1"/>
    <x v="6"/>
    <s v="Bogotá y alrededores"/>
    <s v="Bogota"/>
    <s v="Despachado"/>
    <s v="Coordinadora"/>
    <s v="3432352 - 84151278593"/>
    <d v="2025-06-27T00:00:00"/>
    <d v="2025-07-01T00:00:00"/>
    <s v="Entregado"/>
    <n v="0"/>
    <n v="2"/>
    <s v="Cumple"/>
    <n v="24619"/>
    <m/>
    <m/>
  </r>
  <r>
    <d v="2025-06-27T00:00:00"/>
    <x v="5"/>
    <n v="100013"/>
    <x v="0"/>
    <s v="Thomas Masmela"/>
    <s v="TECU2FNG"/>
    <x v="5"/>
    <n v="1"/>
    <x v="1"/>
    <s v="Antioquia"/>
    <s v="Envigado"/>
    <s v="Despachado"/>
    <s v="Coordinadora"/>
    <s v="3433016 - 84151278966"/>
    <d v="2025-06-27T00:00:00"/>
    <d v="2025-06-28T00:00:00"/>
    <s v="Entregado"/>
    <n v="0"/>
    <n v="1"/>
    <s v="Cumple"/>
    <n v="47258"/>
    <m/>
    <m/>
  </r>
  <r>
    <d v="2025-06-27T00:00:00"/>
    <x v="5"/>
    <n v="100013"/>
    <x v="0"/>
    <s v="Thomas Masmela"/>
    <s v="TECUTCO4C"/>
    <x v="6"/>
    <n v="1"/>
    <x v="2"/>
    <s v="Antioquia"/>
    <s v="Envigado"/>
    <s v="Despachado"/>
    <s v="Coordinadora"/>
    <s v="3433028- 84151278970"/>
    <d v="2025-06-27T00:00:00"/>
    <d v="2025-06-28T00:00:00"/>
    <s v="Entregado"/>
    <n v="0"/>
    <n v="1"/>
    <s v="Cumple"/>
    <n v="27929"/>
    <m/>
    <m/>
  </r>
  <r>
    <d v="2025-06-28T00:00:00"/>
    <x v="5"/>
    <n v="100014"/>
    <x v="0"/>
    <s v="Hugo Alban"/>
    <s v="TECULFN2"/>
    <x v="7"/>
    <n v="1"/>
    <x v="1"/>
    <s v="Bogotá y alrededores"/>
    <s v="Bogota"/>
    <s v="Despachado"/>
    <s v="Coordinadora"/>
    <s v="3440083 - 84151281888"/>
    <d v="2025-07-01T00:00:00"/>
    <d v="2025-07-02T00:00:00"/>
    <s v="Entregado"/>
    <n v="1"/>
    <n v="2"/>
    <s v="Cumple"/>
    <n v="54562"/>
    <m/>
    <m/>
  </r>
  <r>
    <d v="2025-06-28T00:00:00"/>
    <x v="5"/>
    <n v="100014"/>
    <x v="0"/>
    <s v="Hugo Alban"/>
    <s v="TECUTLRNS"/>
    <x v="8"/>
    <n v="1"/>
    <x v="2"/>
    <s v="Bogotá y alrededores"/>
    <s v="Bogota"/>
    <s v="Despachado"/>
    <s v="Coordinadora"/>
    <s v="3440105 - 84151281901"/>
    <d v="2025-07-01T00:00:00"/>
    <d v="2025-07-03T00:00:00"/>
    <s v="Entregado"/>
    <n v="1"/>
    <n v="3"/>
    <s v="Cumple"/>
    <n v="31249"/>
    <m/>
    <m/>
  </r>
  <r>
    <d v="2025-06-29T00:00:00"/>
    <x v="5"/>
    <n v="100015"/>
    <x v="0"/>
    <s v="Nicolas Arocha"/>
    <s v="TECUCT"/>
    <x v="4"/>
    <n v="1"/>
    <x v="0"/>
    <s v="Bogotá y alrededores"/>
    <s v="Bogota"/>
    <s v="Despachado"/>
    <s v="Coordinadora"/>
    <s v="3440457 - 84151282118"/>
    <d v="2025-07-01T00:00:00"/>
    <d v="2025-07-02T00:00:00"/>
    <s v="Entregado"/>
    <n v="0"/>
    <n v="1"/>
    <s v="Cumple"/>
    <n v="25429"/>
    <m/>
    <m/>
  </r>
  <r>
    <d v="2025-06-30T00:00:00"/>
    <x v="5"/>
    <n v="100016"/>
    <x v="0"/>
    <s v="David Alejandro Villa Agudelo"/>
    <s v="TECU3FNPRO"/>
    <x v="12"/>
    <n v="1"/>
    <x v="1"/>
    <s v="Caldas"/>
    <s v="Manizales"/>
    <s v="Despachado"/>
    <s v="Coordinadora"/>
    <s v="3443015 - 84151283088"/>
    <d v="2025-07-02T00:00:00"/>
    <d v="2025-07-03T00:00:00"/>
    <s v="Entregado"/>
    <n v="1"/>
    <n v="2"/>
    <s v="Cumple"/>
    <n v="39953"/>
    <m/>
    <m/>
  </r>
  <r>
    <d v="2025-06-30T00:00:00"/>
    <x v="5"/>
    <n v="100016"/>
    <x v="0"/>
    <s v="David Alejandro Villa Agudelo"/>
    <s v="TECUTFE3C"/>
    <x v="39"/>
    <n v="1"/>
    <x v="2"/>
    <s v="Caldas"/>
    <s v="Manizales"/>
    <s v="Despachado"/>
    <s v="Coordinadora"/>
    <s v="3443031 - 84151283096"/>
    <d v="2025-07-02T00:00:00"/>
    <d v="2025-07-03T00:00:00"/>
    <s v="Entregado"/>
    <n v="1"/>
    <n v="2"/>
    <s v="Cumple"/>
    <n v="19296"/>
    <m/>
    <m/>
  </r>
  <r>
    <d v="2025-07-01T00:00:00"/>
    <x v="6"/>
    <n v="100017"/>
    <x v="0"/>
    <s v="MODULARIS COLOMBIA SAS"/>
    <s v="TECU2FNG"/>
    <x v="5"/>
    <n v="1"/>
    <x v="1"/>
    <s v="Valle del Cauca"/>
    <s v="Cali"/>
    <s v="Despachado"/>
    <s v="Coordinadora"/>
    <s v="3502488-84151306580"/>
    <d v="2025-07-22T00:00:00"/>
    <d v="2025-07-25T00:00:00"/>
    <s v="Entregado"/>
    <n v="18"/>
    <n v="21"/>
    <s v="No cumple"/>
    <n v="41593"/>
    <m/>
    <m/>
  </r>
  <r>
    <d v="2025-07-01T00:00:00"/>
    <x v="6"/>
    <n v="100017"/>
    <x v="0"/>
    <s v="MODULARIS COLOMBIA SAS"/>
    <s v="TECUTFE6C"/>
    <x v="28"/>
    <n v="1"/>
    <x v="2"/>
    <s v="Valle del Cauca"/>
    <s v="Cali"/>
    <s v="Despachado"/>
    <s v="Coordinadora"/>
    <s v="3502490-84151306581"/>
    <d v="2025-07-22T00:00:00"/>
    <d v="2025-07-25T00:00:00"/>
    <s v="Entregado"/>
    <n v="18"/>
    <n v="21"/>
    <s v="No cumple"/>
    <n v="24093"/>
    <m/>
    <m/>
  </r>
  <r>
    <d v="2025-07-01T00:00:00"/>
    <x v="6"/>
    <n v="100017"/>
    <x v="0"/>
    <s v="MODULARIS COLOMBIA SAS"/>
    <s v="TECU2FNG"/>
    <x v="5"/>
    <n v="1"/>
    <x v="1"/>
    <s v="Valle del Cauca"/>
    <s v="Cali"/>
    <s v="Despachado"/>
    <s v="Coordinadora"/>
    <s v="3502491-84151306582"/>
    <d v="2025-07-22T00:00:00"/>
    <d v="2025-07-25T00:00:00"/>
    <s v="Entregado"/>
    <n v="18"/>
    <n v="21"/>
    <s v="No cumple"/>
    <n v="41593"/>
    <m/>
    <m/>
  </r>
  <r>
    <d v="2025-07-01T00:00:00"/>
    <x v="6"/>
    <n v="100017"/>
    <x v="0"/>
    <s v="MODULARIS COLOMBIA SAS"/>
    <s v="TECUTFE6C"/>
    <x v="28"/>
    <n v="1"/>
    <x v="2"/>
    <s v="Valle del Cauca"/>
    <s v="Cali"/>
    <s v="Despachado"/>
    <s v="Coordinadora"/>
    <s v="3502494-84151306584"/>
    <d v="2025-07-22T00:00:00"/>
    <d v="2025-07-25T00:00:00"/>
    <s v="Entregado"/>
    <n v="18"/>
    <n v="21"/>
    <s v="No cumple"/>
    <n v="24093"/>
    <m/>
    <m/>
  </r>
  <r>
    <d v="2025-07-01T00:00:00"/>
    <x v="6"/>
    <n v="100018"/>
    <x v="0"/>
    <s v="MODULARIS COLOMBIA SAS"/>
    <s v="TECU2FNG"/>
    <x v="5"/>
    <n v="1"/>
    <x v="1"/>
    <s v="Bogotá y alrededores"/>
    <s v="Zipaquira"/>
    <s v="Despachado"/>
    <s v="Coordinadora"/>
    <s v="3502518-84151306592"/>
    <d v="2025-07-22T00:00:00"/>
    <d v="2025-07-24T00:00:00"/>
    <s v="Entregado"/>
    <n v="18"/>
    <n v="20"/>
    <s v="No cumple"/>
    <n v="53871"/>
    <m/>
    <m/>
  </r>
  <r>
    <d v="2025-07-01T00:00:00"/>
    <x v="6"/>
    <n v="100018"/>
    <x v="0"/>
    <s v="MODULARIS COLOMBIA SAS"/>
    <s v="TECUTFE6C"/>
    <x v="28"/>
    <n v="1"/>
    <x v="2"/>
    <s v="Bogotá y alrededores"/>
    <s v="Zipaquira"/>
    <s v="Despachado"/>
    <s v="Coordinadora"/>
    <s v="3502519-84151306593"/>
    <d v="2025-07-22T00:00:00"/>
    <d v="2025-07-25T00:00:00"/>
    <s v="Entregado"/>
    <n v="18"/>
    <n v="21"/>
    <s v="No cumple"/>
    <n v="34179"/>
    <m/>
    <m/>
  </r>
  <r>
    <d v="2025-07-01T00:00:00"/>
    <x v="6"/>
    <n v="100019"/>
    <x v="0"/>
    <s v="MODULARIS COLOMBIA SAS"/>
    <s v="TECU3FNCRO"/>
    <x v="55"/>
    <n v="1"/>
    <x v="1"/>
    <s v="Valle del Cauca"/>
    <s v="Cali"/>
    <s v="Despachado"/>
    <s v="Coordinadora"/>
    <s v="3461574-84151290812"/>
    <d v="2025-07-08T00:00:00"/>
    <d v="2025-07-11T00:00:00"/>
    <s v="Entregado"/>
    <n v="6"/>
    <n v="9"/>
    <s v="No cumple"/>
    <n v="41593"/>
    <m/>
    <m/>
  </r>
  <r>
    <d v="2025-07-01T00:00:00"/>
    <x v="6"/>
    <n v="100019"/>
    <x v="0"/>
    <s v="MODULARIS COLOMBIA SAS"/>
    <s v="TECUTB7C"/>
    <x v="38"/>
    <n v="1"/>
    <x v="2"/>
    <s v="Valle del Cauca"/>
    <s v="Cali"/>
    <s v="Despachado"/>
    <s v="Coordinadora"/>
    <s v="3461575-84151290813"/>
    <d v="2025-07-08T00:00:00"/>
    <d v="2025-07-11T00:00:00"/>
    <s v="Entregado"/>
    <n v="6"/>
    <n v="9"/>
    <s v="No cumple"/>
    <n v="26749"/>
    <m/>
    <m/>
  </r>
  <r>
    <d v="2025-07-01T00:00:00"/>
    <x v="6"/>
    <n v="100020"/>
    <x v="0"/>
    <s v="NAYIBE ORJUELA"/>
    <s v="TECUBDPM"/>
    <x v="0"/>
    <n v="2"/>
    <x v="0"/>
    <s v="Atlantico"/>
    <s v="Barranquilla"/>
    <s v="Despachado"/>
    <s v="Coordinadora"/>
    <s v="3440751-84151282262"/>
    <d v="2025-07-01T00:00:00"/>
    <d v="2025-07-04T00:00:00"/>
    <s v="Entregado"/>
    <n v="0"/>
    <n v="3"/>
    <s v="Cumple"/>
    <n v="25585"/>
    <m/>
    <m/>
  </r>
  <r>
    <d v="2025-07-01T00:00:00"/>
    <x v="6"/>
    <n v="100021"/>
    <x v="0"/>
    <s v="Sergio Lopez"/>
    <s v="TECU3FNPRO"/>
    <x v="12"/>
    <n v="1"/>
    <x v="1"/>
    <s v="Bogotá y alrededores"/>
    <s v="Bogota"/>
    <s v="Despachado"/>
    <s v="Coordinadora"/>
    <s v="3444656-84151283663"/>
    <d v="2025-07-03T00:00:00"/>
    <d v="2025-07-07T00:00:00"/>
    <s v="Entregado"/>
    <n v="2"/>
    <n v="5"/>
    <s v="No cumple"/>
    <n v="47921"/>
    <m/>
    <m/>
  </r>
  <r>
    <d v="2025-07-01T00:00:00"/>
    <x v="6"/>
    <n v="100021"/>
    <x v="0"/>
    <s v="Sergio Lopez"/>
    <s v="TECUTCO20C"/>
    <x v="62"/>
    <n v="1"/>
    <x v="2"/>
    <s v="Bogotá y alrededores"/>
    <s v="Bogota"/>
    <s v="Despachado"/>
    <s v="Coordinadora"/>
    <s v="3444683-84151283672"/>
    <d v="2025-07-03T00:00:00"/>
    <d v="2025-07-04T00:00:00"/>
    <s v="Entregado"/>
    <n v="2"/>
    <n v="3"/>
    <s v="Cumple"/>
    <n v="33241"/>
    <m/>
    <m/>
  </r>
  <r>
    <d v="2025-07-01T00:00:00"/>
    <x v="6"/>
    <n v="100021"/>
    <x v="0"/>
    <s v="Sergio Lopez"/>
    <s v="TECUCT"/>
    <x v="4"/>
    <n v="1"/>
    <x v="0"/>
    <s v="Bogotá y alrededores"/>
    <s v="Bogota"/>
    <s v="Despachado"/>
    <s v="Coordinadora"/>
    <s v="3444629-84151283647"/>
    <d v="2025-07-03T00:00:00"/>
    <d v="2025-07-07T00:00:00"/>
    <s v="Entregado"/>
    <n v="2"/>
    <n v="5"/>
    <s v="No cumple"/>
    <n v="25429"/>
    <m/>
    <m/>
  </r>
  <r>
    <d v="2025-07-01T00:00:00"/>
    <x v="6"/>
    <n v="100021"/>
    <x v="0"/>
    <s v="Sergio Lopez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7-02T00:00:00"/>
    <x v="6"/>
    <n v="100022"/>
    <x v="0"/>
    <s v="Cristian Navarro"/>
    <s v="TECU3FNCRO"/>
    <x v="55"/>
    <n v="1"/>
    <x v="1"/>
    <s v="Bogotá y alrededores"/>
    <s v="Bogota"/>
    <s v="Despachado"/>
    <s v="Coordinadora"/>
    <s v="3448094-84151285130"/>
    <d v="2025-07-03T00:00:00"/>
    <d v="2025-07-08T00:00:00"/>
    <s v="Entregado"/>
    <n v="1"/>
    <n v="5"/>
    <s v="No cumple"/>
    <n v="47921"/>
    <m/>
    <m/>
  </r>
  <r>
    <d v="2025-07-02T00:00:00"/>
    <x v="6"/>
    <n v="100022"/>
    <x v="0"/>
    <s v="Cristian Navarro"/>
    <s v="TECUTFE5M"/>
    <x v="74"/>
    <n v="1"/>
    <x v="2"/>
    <s v="Bogotá y alrededores"/>
    <s v="Bogota"/>
    <s v="Despachado"/>
    <s v="Coordinadora"/>
    <s v="3448161-84151285156"/>
    <d v="2025-07-03T00:00:00"/>
    <d v="2025-07-07T00:00:00"/>
    <s v="Entregado"/>
    <n v="1"/>
    <n v="4"/>
    <s v="No cumple"/>
    <n v="28593"/>
    <m/>
    <m/>
  </r>
  <r>
    <d v="2025-07-02T00:00:00"/>
    <x v="6"/>
    <n v="100022"/>
    <x v="0"/>
    <s v="Cristian Navarro"/>
    <s v="TECUCT"/>
    <x v="4"/>
    <n v="1"/>
    <x v="0"/>
    <s v="Bogotá y alrededores"/>
    <s v="Bogota"/>
    <s v="Despachado"/>
    <s v="Coordinadora"/>
    <s v="3448170-84151285159"/>
    <d v="2025-07-03T00:00:00"/>
    <d v="2025-07-08T00:00:00"/>
    <s v="Entregado"/>
    <n v="1"/>
    <n v="5"/>
    <s v="No cumple"/>
    <n v="25429"/>
    <m/>
    <m/>
  </r>
  <r>
    <d v="2025-07-02T00:00:00"/>
    <x v="6"/>
    <n v="100022"/>
    <x v="0"/>
    <s v="Cristian Navarro"/>
    <s v="TECUROD"/>
    <x v="31"/>
    <n v="1"/>
    <x v="7"/>
    <s v="Bogotá y alrededores"/>
    <s v="Bogota"/>
    <s v="Despachado"/>
    <s v="Coordinadora"/>
    <s v="3448184-84151285163"/>
    <d v="2025-07-03T00:00:00"/>
    <d v="2025-07-08T00:00:00"/>
    <s v="Entregado"/>
    <n v="1"/>
    <n v="5"/>
    <s v="No cumple"/>
    <n v="23885"/>
    <m/>
    <m/>
  </r>
  <r>
    <d v="2025-07-04T00:00:00"/>
    <x v="6"/>
    <n v="100023"/>
    <x v="0"/>
    <s v="Oscar Castro"/>
    <s v="TECU2FBGO"/>
    <x v="2"/>
    <n v="1"/>
    <x v="1"/>
    <s v="Valle del Cauca"/>
    <s v="Palmira"/>
    <s v="Despachado"/>
    <s v="Coordinadora"/>
    <s v="3450640-84151286233"/>
    <d v="2025-07-04T00:00:00"/>
    <d v="2025-07-09T00:00:00"/>
    <s v="Entregado"/>
    <n v="0"/>
    <n v="4"/>
    <s v="No cumple"/>
    <n v="46593"/>
    <m/>
    <m/>
  </r>
  <r>
    <d v="2025-07-04T00:00:00"/>
    <x v="6"/>
    <n v="100023"/>
    <x v="0"/>
    <s v="Oscar Castro"/>
    <s v="TECUTFE2C"/>
    <x v="3"/>
    <n v="1"/>
    <x v="2"/>
    <s v="Valle del Cauca"/>
    <s v="Palmira"/>
    <s v="Despachado"/>
    <s v="Coordinadora"/>
    <s v="3450778-84151286248"/>
    <d v="2025-07-04T00:00:00"/>
    <d v="2025-07-09T00:00:00"/>
    <s v="Entregado"/>
    <n v="0"/>
    <n v="4"/>
    <s v="No cumple"/>
    <n v="28929"/>
    <m/>
    <m/>
  </r>
  <r>
    <d v="2025-07-05T00:00:00"/>
    <x v="6"/>
    <n v="100024"/>
    <x v="0"/>
    <s v="Hernando Uribe"/>
    <s v="TECU3FBCRO"/>
    <x v="66"/>
    <n v="1"/>
    <x v="1"/>
    <s v="Bogotá y alrededores"/>
    <s v="Bogota"/>
    <s v="Despachado"/>
    <s v="Coordinadora"/>
    <s v="3461465-84151290787"/>
    <d v="2025-07-09T00:00:00"/>
    <d v="2025-07-11T00:00:00"/>
    <s v="Entregado"/>
    <n v="3"/>
    <n v="5"/>
    <s v="No cumple"/>
    <n v="41593"/>
    <m/>
    <m/>
  </r>
  <r>
    <d v="2025-07-05T00:00:00"/>
    <x v="6"/>
    <n v="100024"/>
    <x v="0"/>
    <s v="Hernando Uribe"/>
    <s v="TECUTB2C"/>
    <x v="68"/>
    <n v="1"/>
    <x v="2"/>
    <s v="Bogotá y alrededores"/>
    <s v="Bogota"/>
    <s v="Despachado"/>
    <s v="Coordinadora"/>
    <s v="3461468-84151290789"/>
    <d v="2025-07-09T00:00:00"/>
    <d v="2025-07-11T00:00:00"/>
    <s v="Entregado"/>
    <n v="3"/>
    <n v="5"/>
    <s v="No cumple"/>
    <n v="24093"/>
    <m/>
    <m/>
  </r>
  <r>
    <d v="2025-07-05T00:00:00"/>
    <x v="6"/>
    <n v="100024"/>
    <x v="0"/>
    <s v="Hernando Uribe"/>
    <s v="TECUCT"/>
    <x v="4"/>
    <n v="1"/>
    <x v="0"/>
    <s v="Bogotá y alrededores"/>
    <s v="Bogota"/>
    <s v="Despachado"/>
    <s v="Coordinadora"/>
    <s v="3461582-84151290821"/>
    <d v="2025-07-09T00:00:00"/>
    <d v="2025-07-11T00:00:00"/>
    <s v="Entregado"/>
    <n v="3"/>
    <n v="5"/>
    <s v="No cumple"/>
    <n v="25429"/>
    <m/>
    <m/>
  </r>
  <r>
    <d v="2025-07-05T00:00:00"/>
    <x v="6"/>
    <n v="100025"/>
    <x v="0"/>
    <s v="Miguel Angel Diaz Rodríguez"/>
    <s v="TECULFN2"/>
    <x v="7"/>
    <n v="1"/>
    <x v="1"/>
    <s v="Bogotá y alrededores"/>
    <s v="Bogota"/>
    <s v="Despachado"/>
    <s v="Coordinadora"/>
    <s v="3456415-84151288616"/>
    <d v="2025-07-07T00:00:00"/>
    <d v="2025-07-10T00:00:00"/>
    <s v="Entregado"/>
    <n v="1"/>
    <n v="4"/>
    <s v="No cumple"/>
    <n v="62530"/>
    <m/>
    <m/>
  </r>
  <r>
    <d v="2025-07-05T00:00:00"/>
    <x v="6"/>
    <n v="100025"/>
    <x v="0"/>
    <s v="Miguel Angel Diaz Rodríguez"/>
    <s v="TECUTLCCS"/>
    <x v="45"/>
    <n v="1"/>
    <x v="2"/>
    <s v="Bogotá y alrededores"/>
    <s v="Bogota"/>
    <s v="Despachado"/>
    <s v="Coordinadora"/>
    <s v="3456252-84151288525"/>
    <d v="2025-07-07T00:00:00"/>
    <d v="2025-07-09T00:00:00"/>
    <s v="Entregado"/>
    <n v="1"/>
    <n v="3"/>
    <s v="Cumple"/>
    <n v="26749"/>
    <m/>
    <m/>
  </r>
  <r>
    <d v="2025-07-07T00:00:00"/>
    <x v="6"/>
    <n v="100029"/>
    <x v="0"/>
    <s v="Jhon Fredy Rincon Santamaria"/>
    <s v="TECU3FNPRO"/>
    <x v="12"/>
    <n v="1"/>
    <x v="1"/>
    <s v="Bogotá y alrededores"/>
    <s v="Bogota"/>
    <s v="Despachado"/>
    <s v="Coordinadora"/>
    <s v="3461970-84151290869"/>
    <d v="2025-07-09T00:00:00"/>
    <d v="2025-07-10T00:00:00"/>
    <s v="Entregado"/>
    <n v="2"/>
    <n v="3"/>
    <s v="Cumple"/>
    <n v="41593"/>
    <m/>
    <m/>
  </r>
  <r>
    <d v="2025-07-07T00:00:00"/>
    <x v="6"/>
    <n v="100029"/>
    <x v="0"/>
    <s v="Jhon Fredy Rincon Santamaria"/>
    <s v="TECUTRM8C"/>
    <x v="49"/>
    <n v="1"/>
    <x v="2"/>
    <s v="Bogotá y alrededores"/>
    <s v="Bogota"/>
    <s v="Despachado"/>
    <s v="Coordinadora"/>
    <s v="3461971-84151290870"/>
    <d v="2025-07-09T00:00:00"/>
    <d v="2025-07-10T00:00:00"/>
    <s v="Entregado"/>
    <n v="2"/>
    <n v="3"/>
    <s v="Cumple"/>
    <n v="26749"/>
    <m/>
    <m/>
  </r>
  <r>
    <d v="2025-07-07T00:00:00"/>
    <x v="6"/>
    <n v="100029"/>
    <x v="0"/>
    <s v="Jhon Fredy Rincon Santamaria"/>
    <s v="TECUCT"/>
    <x v="4"/>
    <n v="1"/>
    <x v="0"/>
    <s v="Bogotá y alrededores"/>
    <s v="Bogota"/>
    <s v="Despachado"/>
    <s v="Coordinadora"/>
    <s v="3462523-84151291069"/>
    <d v="2025-07-08T00:00:00"/>
    <d v="2025-07-10T00:00:00"/>
    <s v="Entregado"/>
    <n v="1"/>
    <n v="3"/>
    <s v="Cumple"/>
    <n v="25429"/>
    <m/>
    <m/>
  </r>
  <r>
    <d v="2025-07-07T00:00:00"/>
    <x v="6"/>
    <n v="100029"/>
    <x v="0"/>
    <s v="Jhon Fredy Rincon Santamaria"/>
    <s v="TECUROD"/>
    <x v="31"/>
    <n v="1"/>
    <x v="7"/>
    <s v="Bogotá y alrededores"/>
    <s v="Bogota"/>
    <s v="Despachado"/>
    <s v="Coordinadora"/>
    <s v="3462380-84151291048"/>
    <d v="2025-07-08T00:00:00"/>
    <d v="2025-07-10T00:00:00"/>
    <s v="Entregado"/>
    <n v="1"/>
    <n v="3"/>
    <s v="Cumple"/>
    <n v="19031"/>
    <m/>
    <m/>
  </r>
  <r>
    <d v="2025-07-07T00:00:00"/>
    <x v="6"/>
    <n v="100029"/>
    <x v="3"/>
    <s v="Jhon Fredy Rincon Santamaria"/>
    <s v="TECU3FNPRO"/>
    <x v="12"/>
    <n v="1"/>
    <x v="1"/>
    <s v="Bogotá y alrededores"/>
    <s v="Bogota"/>
    <s v="Despachado"/>
    <s v="Coordinadora"/>
    <s v="3472571-84151295219"/>
    <d v="2025-07-11T00:00:00"/>
    <d v="2025-07-14T00:00:00"/>
    <s v="Entregado"/>
    <n v="4"/>
    <n v="6"/>
    <s v="No cumple"/>
    <n v="47921"/>
    <s v="Se despachan por error circulares sin serlo inicilamente"/>
    <m/>
  </r>
  <r>
    <d v="2025-07-07T00:00:00"/>
    <x v="6"/>
    <n v="100030"/>
    <x v="0"/>
    <s v="LEONARDO FONSECA"/>
    <s v="TECUBDPA"/>
    <x v="1"/>
    <n v="1"/>
    <x v="0"/>
    <s v="Bogotá y alrededores"/>
    <s v="Bogota"/>
    <s v="Despachado"/>
    <s v="Coordinadora"/>
    <s v="3457094-84151288948"/>
    <d v="2025-07-07T00:00:00"/>
    <d v="2025-07-09T00:00:00"/>
    <s v="Entregado"/>
    <n v="0"/>
    <n v="2"/>
    <s v="Cumple"/>
    <n v="23975"/>
    <m/>
    <m/>
  </r>
  <r>
    <d v="2025-07-07T00:00:00"/>
    <x v="6"/>
    <n v="100031"/>
    <x v="0"/>
    <s v="Mauricio Andres Ortega Marin"/>
    <s v="TECU2FNG"/>
    <x v="5"/>
    <n v="1"/>
    <x v="1"/>
    <s v="Antioquia"/>
    <s v="Rionegro"/>
    <s v="Despachado"/>
    <s v="Coordinadora"/>
    <s v="3461731-84151290825"/>
    <d v="2025-07-08T00:00:00"/>
    <d v="2025-07-09T00:00:00"/>
    <s v="Entregado"/>
    <n v="1"/>
    <n v="2"/>
    <s v="Cumple"/>
    <n v="41593"/>
    <m/>
    <m/>
  </r>
  <r>
    <d v="2025-07-07T00:00:00"/>
    <x v="6"/>
    <n v="100031"/>
    <x v="0"/>
    <s v="Mauricio Andres Ortega Marin"/>
    <s v="TECUTCO6C"/>
    <x v="16"/>
    <n v="1"/>
    <x v="2"/>
    <s v="Antioquia"/>
    <s v="Rionegro"/>
    <s v="Despachado"/>
    <s v="Coordinadora"/>
    <s v="3461733-84151290827"/>
    <d v="2025-07-08T00:00:00"/>
    <d v="2025-07-09T00:00:00"/>
    <s v="Entregado"/>
    <n v="1"/>
    <n v="2"/>
    <s v="Cumple"/>
    <n v="24093"/>
    <m/>
    <m/>
  </r>
  <r>
    <d v="2025-07-07T00:00:00"/>
    <x v="6"/>
    <n v="100031"/>
    <x v="0"/>
    <s v="Mauricio Andres Ortega Marin"/>
    <s v="TECUBDPA"/>
    <x v="1"/>
    <n v="1"/>
    <x v="0"/>
    <s v="Antioquia"/>
    <s v="Rionegro"/>
    <s v="Despachado"/>
    <s v="Coordinadora"/>
    <s v="3461848-84151290849"/>
    <d v="2025-07-08T00:00:00"/>
    <d v="2025-07-09T00:00:00"/>
    <s v="Entregado"/>
    <n v="1"/>
    <n v="2"/>
    <s v="Cumple"/>
    <n v="23975"/>
    <m/>
    <m/>
  </r>
  <r>
    <d v="2025-07-07T00:00:00"/>
    <x v="6"/>
    <n v="100031"/>
    <x v="0"/>
    <s v="Mauricio Andres Ortega Marin"/>
    <s v="TECUCT"/>
    <x v="4"/>
    <n v="1"/>
    <x v="0"/>
    <s v="Antioquia"/>
    <s v="Rionegro"/>
    <s v="Despachado"/>
    <s v="Coordinadora"/>
    <s v="3461864-84151290858"/>
    <d v="2025-07-08T00:00:00"/>
    <d v="2025-07-09T00:00:00"/>
    <s v="Entregado"/>
    <n v="1"/>
    <n v="2"/>
    <s v="Cumple"/>
    <n v="25429"/>
    <m/>
    <m/>
  </r>
  <r>
    <d v="2025-07-07T00:00:00"/>
    <x v="6"/>
    <n v="100031"/>
    <x v="0"/>
    <s v="Mauricio Andres Ortega Marin"/>
    <m/>
    <x v="10"/>
    <n v="1"/>
    <x v="3"/>
    <s v="Antioquia"/>
    <s v="Rionegro"/>
    <s v="Despachado"/>
    <s v="Coordinadora"/>
    <s v="NA"/>
    <s v="NA"/>
    <s v="NA"/>
    <s v="Entregado"/>
    <e v="#VALUE!"/>
    <e v="#VALUE!"/>
    <e v="#VALUE!"/>
    <m/>
    <m/>
    <m/>
  </r>
  <r>
    <d v="2025-07-09T00:00:00"/>
    <x v="6"/>
    <n v="100032"/>
    <x v="0"/>
    <s v="Claudia Martinez"/>
    <s v="TECU3FNPRO"/>
    <x v="12"/>
    <n v="1"/>
    <x v="1"/>
    <s v="Bogotá y alrededores"/>
    <s v="Bogota"/>
    <s v="Despachado"/>
    <s v="Coordinadora"/>
    <s v="3465164-84151292097"/>
    <d v="2025-07-09T00:00:00"/>
    <d v="2025-07-11T00:00:00"/>
    <s v="Entregado"/>
    <n v="0"/>
    <n v="2"/>
    <s v="Cumple"/>
    <n v="42921"/>
    <m/>
    <m/>
  </r>
  <r>
    <d v="2025-07-09T00:00:00"/>
    <x v="6"/>
    <n v="100033"/>
    <x v="0"/>
    <s v="Juan Pablo Garrido"/>
    <s v="TECU3FBRO"/>
    <x v="34"/>
    <n v="1"/>
    <x v="1"/>
    <s v="Bogotá y alrededores"/>
    <s v="Bogota"/>
    <s v="Despachado"/>
    <s v="Coordinadora"/>
    <s v="3465267-84151292166"/>
    <d v="2025-07-09T00:00:00"/>
    <d v="2025-07-10T00:00:00"/>
    <s v="Entregado"/>
    <n v="0"/>
    <n v="1"/>
    <s v="Cumple"/>
    <n v="41593"/>
    <m/>
    <m/>
  </r>
  <r>
    <d v="2025-07-09T00:00:00"/>
    <x v="6"/>
    <n v="100033"/>
    <x v="0"/>
    <s v="Juan Pablo Garrido"/>
    <s v="TECUTFE5C"/>
    <x v="29"/>
    <n v="1"/>
    <x v="2"/>
    <s v="Bogotá y alrededores"/>
    <s v="Bogota"/>
    <s v="Despachado"/>
    <s v="Coordinadora"/>
    <s v="3465269-84151292168"/>
    <d v="2025-07-09T00:00:00"/>
    <d v="2025-07-10T00:00:00"/>
    <s v="Entregado"/>
    <n v="0"/>
    <n v="1"/>
    <s v="Cumple"/>
    <n v="24093"/>
    <m/>
    <m/>
  </r>
  <r>
    <d v="2025-07-09T00:00:00"/>
    <x v="6"/>
    <n v="100033"/>
    <x v="0"/>
    <s v="Juan Pablo Garrido"/>
    <s v="TECUCT"/>
    <x v="4"/>
    <n v="1"/>
    <x v="0"/>
    <s v="Bogotá y alrededores"/>
    <s v="Bogota"/>
    <s v="Despachado"/>
    <s v="Coordinadora"/>
    <s v="3465340-84151292209"/>
    <d v="2025-07-09T00:00:00"/>
    <d v="2025-07-10T00:00:00"/>
    <s v="Entregado"/>
    <n v="0"/>
    <n v="1"/>
    <s v="Cumple"/>
    <n v="25429"/>
    <m/>
    <m/>
  </r>
  <r>
    <d v="2025-07-09T00:00:00"/>
    <x v="6"/>
    <n v="100033"/>
    <x v="0"/>
    <s v="Juan Pablo Garrido"/>
    <s v="TECUBDPA"/>
    <x v="1"/>
    <n v="1"/>
    <x v="0"/>
    <s v="Bogotá y alrededores"/>
    <s v="Bogota"/>
    <s v="Despachado"/>
    <s v="Coordinadora"/>
    <s v="3465309-84151292197"/>
    <d v="2025-07-09T00:00:00"/>
    <d v="2025-07-10T00:00:00"/>
    <s v="Entregado"/>
    <n v="0"/>
    <n v="1"/>
    <s v="Cumple"/>
    <n v="19131"/>
    <m/>
    <m/>
  </r>
  <r>
    <d v="2025-07-09T00:00:00"/>
    <x v="6"/>
    <n v="100033"/>
    <x v="0"/>
    <s v="Juan Pablo Garrido"/>
    <s v="TECUAFE"/>
    <x v="43"/>
    <n v="1"/>
    <x v="5"/>
    <s v="Bogotá y alrededores"/>
    <s v="Bogota"/>
    <s v="Despachado"/>
    <s v="Envia"/>
    <s v="3465205-954101253251"/>
    <d v="2025-07-09T00:00:00"/>
    <d v="2025-07-10T00:00:00"/>
    <s v="Entregado"/>
    <n v="0"/>
    <n v="1"/>
    <s v="Cumple"/>
    <n v="54929"/>
    <m/>
    <m/>
  </r>
  <r>
    <d v="2025-07-09T00:00:00"/>
    <x v="6"/>
    <n v="100033"/>
    <x v="0"/>
    <s v="Juan Pablo Garrido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n v="0"/>
    <m/>
    <m/>
  </r>
  <r>
    <d v="2025-07-09T00:00:00"/>
    <x v="6"/>
    <n v="100033"/>
    <x v="3"/>
    <s v="Juan Pablo Garrido"/>
    <s v="TECU3FBRO"/>
    <x v="34"/>
    <n v="1"/>
    <x v="1"/>
    <s v="Bogotá y alrededores"/>
    <s v="Bogota"/>
    <s v="Despachado"/>
    <s v="Coordinadora"/>
    <s v="3469342-84151293871"/>
    <d v="2025-07-10T00:00:00"/>
    <d v="2025-07-11T00:00:00"/>
    <s v="Entregado"/>
    <n v="1"/>
    <n v="2"/>
    <s v="Cumple"/>
    <n v="47921"/>
    <s v="Se despachan por error circulares sin serlo inicilamente"/>
    <m/>
  </r>
  <r>
    <d v="2025-07-09T00:00:00"/>
    <x v="6"/>
    <n v="100034"/>
    <x v="0"/>
    <s v="LUIS FERNANDO AMEZQUITA VASQUEZ"/>
    <s v="TECUAFE"/>
    <x v="43"/>
    <n v="1"/>
    <x v="5"/>
    <s v="Bogotá y alrededores"/>
    <s v="Bogota"/>
    <s v="Despachado"/>
    <s v="Envia"/>
    <s v="3477954-954101256343"/>
    <d v="2025-07-14T00:00:00"/>
    <d v="2025-07-15T00:00:00"/>
    <s v="Entregado"/>
    <n v="4"/>
    <n v="5"/>
    <s v="No cumple"/>
    <n v="54929"/>
    <m/>
    <m/>
  </r>
  <r>
    <d v="2025-07-09T00:00:00"/>
    <x v="6"/>
    <n v="100036"/>
    <x v="0"/>
    <s v="felipe lopera"/>
    <s v="TECU3FNPRO"/>
    <x v="12"/>
    <n v="1"/>
    <x v="1"/>
    <s v="Bogotá y alrededores"/>
    <s v="Bogota"/>
    <s v="Despachado"/>
    <s v="Coordinadora"/>
    <s v="3466116-84151292584"/>
    <d v="2025-07-09T00:00:00"/>
    <d v="2025-07-10T00:00:00"/>
    <s v="Entregado"/>
    <n v="0"/>
    <n v="1"/>
    <s v="Cumple"/>
    <n v="41593"/>
    <m/>
    <m/>
  </r>
  <r>
    <d v="2025-07-09T00:00:00"/>
    <x v="6"/>
    <n v="100036"/>
    <x v="0"/>
    <s v="felipe lopera"/>
    <s v="TECUTFE7C"/>
    <x v="53"/>
    <n v="1"/>
    <x v="2"/>
    <s v="Bogotá y alrededores"/>
    <s v="Bogota"/>
    <s v="Despachado"/>
    <s v="Coordinadora"/>
    <s v="3466118-84151292586"/>
    <d v="2025-07-09T00:00:00"/>
    <d v="2025-07-11T00:00:00"/>
    <s v="Entregado"/>
    <n v="0"/>
    <n v="2"/>
    <s v="Cumple"/>
    <n v="26749"/>
    <m/>
    <m/>
  </r>
  <r>
    <d v="2025-07-09T00:00:00"/>
    <x v="6"/>
    <n v="100036"/>
    <x v="3"/>
    <s v="felipe lopera"/>
    <s v="TECU3FNPRO"/>
    <x v="12"/>
    <n v="1"/>
    <x v="1"/>
    <s v="Bogotá y alrededores"/>
    <s v="Bogota"/>
    <s v="Despachado"/>
    <s v="Coordinadora"/>
    <s v="3469382-84151293880"/>
    <d v="2025-07-10T00:00:00"/>
    <d v="2025-07-11T00:00:00"/>
    <s v="Entregado"/>
    <n v="1"/>
    <n v="2"/>
    <s v="Cumple"/>
    <n v="47921"/>
    <s v="Se despachan por error circulares sin serlo inicilamente"/>
    <m/>
  </r>
  <r>
    <d v="2025-07-09T00:00:00"/>
    <x v="6"/>
    <n v="100037"/>
    <x v="0"/>
    <s v="Juan Camilo Cardenas"/>
    <s v="TECU2FNG"/>
    <x v="5"/>
    <n v="1"/>
    <x v="1"/>
    <s v="Risaralda"/>
    <s v="Pereira"/>
    <s v="Despachado"/>
    <s v="Coordinadora"/>
    <s v="3465432-84151292246"/>
    <d v="2025-07-09T00:00:00"/>
    <d v="2025-07-10T00:00:00"/>
    <s v="Entregado"/>
    <n v="0"/>
    <n v="1"/>
    <s v="Cumple"/>
    <n v="34156"/>
    <m/>
    <m/>
  </r>
  <r>
    <d v="2025-07-09T00:00:00"/>
    <x v="6"/>
    <n v="100037"/>
    <x v="0"/>
    <s v="Juan Camilo Cardenas"/>
    <s v="TECUTCO6C"/>
    <x v="16"/>
    <n v="1"/>
    <x v="2"/>
    <s v="Risaralda"/>
    <s v="Pereira"/>
    <s v="Despachado"/>
    <s v="Coordinadora"/>
    <s v="3465433-84151292247"/>
    <d v="2025-07-09T00:00:00"/>
    <d v="2025-07-10T00:00:00"/>
    <s v="Entregado"/>
    <n v="0"/>
    <n v="1"/>
    <s v="Cumple"/>
    <n v="15194"/>
    <m/>
    <m/>
  </r>
  <r>
    <d v="2025-07-09T00:00:00"/>
    <x v="6"/>
    <n v="100038"/>
    <x v="0"/>
    <s v="RAG TECH SAS"/>
    <s v="TECU3FNPRO"/>
    <x v="12"/>
    <n v="1"/>
    <x v="1"/>
    <s v="Bogotá y alrededores"/>
    <s v="Bogota"/>
    <s v="Despachado"/>
    <s v="Coordinadora"/>
    <s v="3468988-84151293735"/>
    <d v="2025-07-10T00:00:00"/>
    <d v="2025-07-12T00:00:00"/>
    <s v="Entregado"/>
    <n v="1"/>
    <n v="3"/>
    <s v="Cumple"/>
    <n v="47921"/>
    <m/>
    <m/>
  </r>
  <r>
    <d v="2025-07-09T00:00:00"/>
    <x v="6"/>
    <n v="100038"/>
    <x v="0"/>
    <s v="RAG TECH SAS"/>
    <s v="TECUTFE6M"/>
    <x v="47"/>
    <n v="1"/>
    <x v="2"/>
    <s v="Bogotá y alrededores"/>
    <s v="Bogota"/>
    <s v="Despachado"/>
    <s v="Coordinadora"/>
    <s v="3468420-84151293439"/>
    <d v="2025-07-10T00:00:00"/>
    <d v="2025-07-12T00:00:00"/>
    <s v="Entregado"/>
    <n v="1"/>
    <n v="3"/>
    <s v="Cumple"/>
    <n v="24093"/>
    <m/>
    <m/>
  </r>
  <r>
    <d v="2025-07-10T00:00:00"/>
    <x v="6"/>
    <n v="100039"/>
    <x v="0"/>
    <s v="Santiago Chica"/>
    <s v="TECU3FNPRO"/>
    <x v="12"/>
    <n v="1"/>
    <x v="1"/>
    <s v="Bogotá y alrededores"/>
    <s v="Bogota"/>
    <s v="Despachado"/>
    <s v="Coordinadora"/>
    <s v="3490689-84151301558"/>
    <d v="2025-07-17T00:00:00"/>
    <d v="2025-07-18T00:00:00"/>
    <s v="Entregado"/>
    <n v="6"/>
    <n v="7"/>
    <s v="No cumple"/>
    <n v="41593"/>
    <m/>
    <m/>
  </r>
  <r>
    <d v="2025-07-10T00:00:00"/>
    <x v="6"/>
    <n v="100039"/>
    <x v="0"/>
    <s v="Santiago Chica"/>
    <s v="TECUTCO2C"/>
    <x v="37"/>
    <n v="1"/>
    <x v="2"/>
    <s v="Bogotá y alrededores"/>
    <s v="Bogota"/>
    <s v="Despachado"/>
    <s v="Coordinadora"/>
    <s v="3490690-84151301559"/>
    <d v="2025-07-17T00:00:00"/>
    <d v="2025-07-18T00:00:00"/>
    <s v="Entregado"/>
    <n v="6"/>
    <n v="7"/>
    <s v="No cumple"/>
    <n v="24093"/>
    <m/>
    <m/>
  </r>
  <r>
    <d v="2025-07-11T00:00:00"/>
    <x v="6"/>
    <n v="100040"/>
    <x v="0"/>
    <s v="jhon roa"/>
    <s v="TECU3FNPRO"/>
    <x v="12"/>
    <n v="1"/>
    <x v="1"/>
    <s v="Bogotá y alrededores"/>
    <s v="Bogota"/>
    <s v="Despachado"/>
    <s v="Coordinadora"/>
    <s v="3477995-84151296827"/>
    <d v="2025-07-14T00:00:00"/>
    <d v="2025-07-15T00:00:00"/>
    <s v="Entregado"/>
    <n v="2"/>
    <n v="3"/>
    <s v="Cumple"/>
    <n v="41593"/>
    <m/>
    <m/>
  </r>
  <r>
    <d v="2025-07-11T00:00:00"/>
    <x v="6"/>
    <n v="100040"/>
    <x v="0"/>
    <s v="jhon roa"/>
    <s v="TECUTRN6C"/>
    <x v="20"/>
    <n v="1"/>
    <x v="2"/>
    <s v="Bogotá y alrededores"/>
    <s v="Bogota"/>
    <s v="Despachado"/>
    <s v="Coordinadora"/>
    <s v="3477996-84151296828"/>
    <d v="2025-07-14T00:00:00"/>
    <d v="2025-07-16T00:00:00"/>
    <s v="Entregado"/>
    <n v="2"/>
    <n v="4"/>
    <s v="No cumple"/>
    <n v="24093"/>
    <m/>
    <m/>
  </r>
  <r>
    <d v="2025-07-11T00:00:00"/>
    <x v="6"/>
    <n v="100040"/>
    <x v="0"/>
    <s v="jhon roa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7-14T00:00:00"/>
    <x v="6"/>
    <n v="100041"/>
    <x v="0"/>
    <s v="Andrea Guerra"/>
    <s v="TECU2FBGO"/>
    <x v="2"/>
    <n v="1"/>
    <x v="1"/>
    <s v="Antioquia"/>
    <s v="Sabaneta"/>
    <s v="Despachado"/>
    <s v="Coordinadora"/>
    <s v="3479281-84151297305"/>
    <d v="2025-07-14T00:00:00"/>
    <d v="2025-07-15T00:00:00"/>
    <s v="Entregado"/>
    <n v="0"/>
    <n v="1"/>
    <s v="Cumple"/>
    <n v="41593"/>
    <m/>
    <m/>
  </r>
  <r>
    <d v="2025-07-14T00:00:00"/>
    <x v="6"/>
    <n v="100041"/>
    <x v="0"/>
    <s v="Andrea Guerra"/>
    <s v="TECUTFE2C"/>
    <x v="3"/>
    <n v="1"/>
    <x v="2"/>
    <s v="Antioquia"/>
    <s v="Sabaneta"/>
    <s v="Despachado"/>
    <s v="Coordinadora"/>
    <s v="3479284-84151297307"/>
    <d v="2025-07-14T00:00:00"/>
    <d v="2025-07-15T00:00:00"/>
    <s v="Entregado"/>
    <n v="0"/>
    <n v="1"/>
    <s v="Cumple"/>
    <n v="24093"/>
    <m/>
    <m/>
  </r>
  <r>
    <d v="2025-07-15T00:00:00"/>
    <x v="6"/>
    <n v="100042"/>
    <x v="0"/>
    <s v="Santiago Muñoz Ortega"/>
    <s v="TECU3FNPRO"/>
    <x v="12"/>
    <n v="1"/>
    <x v="1"/>
    <s v="Antioquia"/>
    <s v="Medellin"/>
    <s v="Despachado"/>
    <s v="Coordinadora"/>
    <s v="3482378-84151298529"/>
    <d v="2025-07-15T00:00:00"/>
    <d v="2025-07-16T00:00:00"/>
    <s v="Entregado"/>
    <n v="0"/>
    <n v="1"/>
    <s v="Cumple"/>
    <n v="41593"/>
    <m/>
    <m/>
  </r>
  <r>
    <d v="2025-07-15T00:00:00"/>
    <x v="6"/>
    <n v="100042"/>
    <x v="0"/>
    <s v="Santiago Muñoz Ortega"/>
    <s v="TECUTCO6M"/>
    <x v="24"/>
    <n v="1"/>
    <x v="2"/>
    <s v="Antioquia"/>
    <s v="Medellin"/>
    <s v="Despachado"/>
    <s v="Coordinadora"/>
    <s v="3482380-84151298530"/>
    <d v="2025-07-15T00:00:00"/>
    <d v="2025-07-16T00:00:00"/>
    <s v="Entregado"/>
    <n v="0"/>
    <n v="1"/>
    <s v="Cumple"/>
    <n v="24093"/>
    <m/>
    <m/>
  </r>
  <r>
    <d v="2025-07-15T00:00:00"/>
    <x v="6"/>
    <n v="100043"/>
    <x v="0"/>
    <s v="Cesar Augusto Mancipe Sanabria"/>
    <s v="TECU3FNPRO"/>
    <x v="12"/>
    <n v="1"/>
    <x v="1"/>
    <s v="Bogotá y alrededores"/>
    <s v="Bogota"/>
    <s v="Despachado"/>
    <s v="Coordinadora"/>
    <s v="3487504-84151300216"/>
    <d v="2025-07-16T00:00:00"/>
    <d v="2025-07-17T00:00:00"/>
    <s v="Entregado"/>
    <n v="1"/>
    <n v="2"/>
    <s v="Cumple"/>
    <n v="41593"/>
    <m/>
    <m/>
  </r>
  <r>
    <d v="2025-07-15T00:00:00"/>
    <x v="6"/>
    <n v="100043"/>
    <x v="0"/>
    <s v="Cesar Augusto Mancipe Sanabria"/>
    <s v="TECUTB2C"/>
    <x v="68"/>
    <n v="1"/>
    <x v="2"/>
    <s v="Bogotá y alrededores"/>
    <s v="Bogota"/>
    <s v="Despachado"/>
    <s v="Coordinadora"/>
    <s v="3487505-84151300217"/>
    <d v="2025-07-16T00:00:00"/>
    <d v="2025-07-18T00:00:00"/>
    <s v="Entregado"/>
    <n v="1"/>
    <n v="3"/>
    <s v="Cumple"/>
    <n v="24093"/>
    <m/>
    <m/>
  </r>
  <r>
    <d v="2025-07-16T00:00:00"/>
    <x v="6"/>
    <n v="100044"/>
    <x v="0"/>
    <s v="Juan Gomez"/>
    <s v="TECUCT"/>
    <x v="4"/>
    <n v="1"/>
    <x v="0"/>
    <s v="Bogotá y alrededores"/>
    <s v="Bogota"/>
    <s v="Despachado"/>
    <s v="Coordinadora"/>
    <s v="3488737-84151300710"/>
    <d v="2025-07-16T00:00:00"/>
    <d v="2025-07-17T00:00:00"/>
    <s v="Entregado"/>
    <n v="0"/>
    <n v="1"/>
    <s v="Cumple"/>
    <n v="25429"/>
    <m/>
    <m/>
  </r>
  <r>
    <d v="2025-07-16T00:00:00"/>
    <x v="6"/>
    <n v="100045"/>
    <x v="0"/>
    <s v="Laura Beltran"/>
    <s v="TECU2FNG"/>
    <x v="5"/>
    <n v="1"/>
    <x v="1"/>
    <s v="Bogotá y alrededores"/>
    <s v="Bogota"/>
    <s v="Despachado"/>
    <s v="Coordinadora"/>
    <s v="3490713-84151301572"/>
    <d v="2025-07-17T00:00:00"/>
    <d v="2025-07-18T00:00:00"/>
    <s v="Entregado"/>
    <n v="1"/>
    <n v="2"/>
    <s v="Cumple"/>
    <n v="41593"/>
    <m/>
    <m/>
  </r>
  <r>
    <d v="2025-07-16T00:00:00"/>
    <x v="6"/>
    <n v="100045"/>
    <x v="0"/>
    <s v="Laura Beltran"/>
    <s v="TECUTFE4C"/>
    <x v="14"/>
    <n v="1"/>
    <x v="2"/>
    <s v="Bogotá y alrededores"/>
    <s v="Bogota"/>
    <s v="Despachado"/>
    <s v="Coordinadora"/>
    <s v="3490717-84151301574"/>
    <d v="2025-07-17T00:00:00"/>
    <d v="2025-07-18T00:00:00"/>
    <s v="Entregado"/>
    <n v="1"/>
    <n v="2"/>
    <s v="Cumple"/>
    <n v="24093"/>
    <m/>
    <m/>
  </r>
  <r>
    <d v="2025-07-16T00:00:00"/>
    <x v="6"/>
    <n v="100045"/>
    <x v="0"/>
    <s v="Laura Beltran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7-16T00:00:00"/>
    <x v="6"/>
    <n v="100046"/>
    <x v="0"/>
    <s v="Lenna Maria Vides Sanchez"/>
    <s v="TECU2FNG"/>
    <x v="5"/>
    <n v="1"/>
    <x v="1"/>
    <s v="Antioquia"/>
    <s v="Medellin"/>
    <s v="Despachado"/>
    <s v="Coordinadora"/>
    <s v="3487537-84151300233"/>
    <d v="2025-07-16T00:00:00"/>
    <d v="2025-07-17T00:00:00"/>
    <s v="Entregado"/>
    <n v="0"/>
    <n v="1"/>
    <s v="Cumple"/>
    <n v="41593"/>
    <m/>
    <m/>
  </r>
  <r>
    <d v="2025-07-16T00:00:00"/>
    <x v="6"/>
    <n v="100046"/>
    <x v="0"/>
    <s v="Lenna Maria Vides Sanchez"/>
    <s v="TECUTCO6C"/>
    <x v="16"/>
    <n v="1"/>
    <x v="2"/>
    <s v="Antioquia"/>
    <s v="Medellin"/>
    <s v="Despachado"/>
    <s v="Coordinadora"/>
    <s v="3487538-84151300234"/>
    <d v="2025-07-16T00:00:00"/>
    <d v="2025-07-17T00:00:00"/>
    <s v="Entregado"/>
    <n v="0"/>
    <n v="1"/>
    <s v="Cumple"/>
    <n v="24093"/>
    <m/>
    <m/>
  </r>
  <r>
    <d v="2025-07-16T00:00:00"/>
    <x v="6"/>
    <n v="100046"/>
    <x v="0"/>
    <s v="Lenna Maria Vides Sanchez"/>
    <s v="TECUCT"/>
    <x v="4"/>
    <n v="1"/>
    <x v="0"/>
    <s v="Antioquia"/>
    <s v="Medellin"/>
    <s v="Despachado"/>
    <s v="Coordinadora"/>
    <s v="3488580-84151300694"/>
    <d v="2025-07-16T00:00:00"/>
    <d v="2025-07-17T00:00:00"/>
    <s v="Entregado"/>
    <n v="0"/>
    <n v="1"/>
    <s v="Cumple"/>
    <n v="25429"/>
    <m/>
    <m/>
  </r>
  <r>
    <d v="2025-07-16T00:00:00"/>
    <x v="6"/>
    <n v="100046"/>
    <x v="0"/>
    <s v="Lenna Maria Vides Sanchez"/>
    <m/>
    <x v="10"/>
    <n v="1"/>
    <x v="3"/>
    <s v="Antioquia"/>
    <s v="Medellin"/>
    <s v="Despachado"/>
    <s v="Coordinadora"/>
    <s v="NA"/>
    <s v="NA"/>
    <s v="NA"/>
    <s v="Entregado"/>
    <e v="#VALUE!"/>
    <e v="#VALUE!"/>
    <e v="#VALUE!"/>
    <m/>
    <m/>
    <m/>
  </r>
  <r>
    <d v="2025-07-16T00:00:00"/>
    <x v="6"/>
    <n v="100047"/>
    <x v="0"/>
    <s v="Mario Martinez"/>
    <s v="TECUCT"/>
    <x v="4"/>
    <n v="1"/>
    <x v="0"/>
    <s v="Bogotá y alrededores"/>
    <s v="Bogota"/>
    <s v="Despachado"/>
    <s v="Coordinadora"/>
    <s v="3491793-84151302100"/>
    <d v="2025-07-17T00:00:00"/>
    <d v="2025-07-18T00:00:00"/>
    <s v="Entregado"/>
    <n v="1"/>
    <n v="2"/>
    <s v="Cumple"/>
    <n v="25429"/>
    <m/>
    <m/>
  </r>
  <r>
    <d v="2025-07-16T00:00:00"/>
    <x v="6"/>
    <n v="100047"/>
    <x v="0"/>
    <s v="Mario Martinez"/>
    <s v="TECUBDPA"/>
    <x v="1"/>
    <n v="1"/>
    <x v="0"/>
    <s v="Bogotá y alrededores"/>
    <s v="Bogota"/>
    <s v="Despachado"/>
    <s v="Coordinadora"/>
    <s v="3491773-84151302096"/>
    <d v="2025-07-17T00:00:00"/>
    <d v="2025-07-18T00:00:00"/>
    <s v="Entregado"/>
    <n v="1"/>
    <n v="2"/>
    <s v="Cumple"/>
    <n v="23975"/>
    <m/>
    <m/>
  </r>
  <r>
    <d v="2025-07-19T00:00:00"/>
    <x v="6"/>
    <n v="100048"/>
    <x v="0"/>
    <s v="Andrés Godoy"/>
    <s v="TECURCO"/>
    <x v="30"/>
    <n v="1"/>
    <x v="6"/>
    <s v="Bogotá y alrededores"/>
    <s v="Cajica"/>
    <s v="Despachado"/>
    <s v="Coordinadora"/>
    <s v="3499232-84151305173"/>
    <d v="2025-07-21T00:00:00"/>
    <d v="2025-07-23T00:00:00"/>
    <s v="Entregado"/>
    <n v="1"/>
    <n v="3"/>
    <s v="Cumple"/>
    <n v="23429"/>
    <m/>
    <m/>
  </r>
  <r>
    <d v="2025-07-22T00:00:00"/>
    <x v="6"/>
    <n v="100049"/>
    <x v="0"/>
    <s v="Cristian Gabriel Contreras Garcia"/>
    <s v="TECU3FNPRO"/>
    <x v="12"/>
    <n v="1"/>
    <x v="1"/>
    <s v="Norte de Santander"/>
    <s v="Cucuta"/>
    <s v="Despachado"/>
    <s v="Coordinadora"/>
    <s v="3503307-84151306936"/>
    <d v="2025-07-22T00:00:00"/>
    <d v="2025-07-25T00:00:00"/>
    <s v="Entregado"/>
    <n v="0"/>
    <n v="3"/>
    <e v="#N/A"/>
    <n v="59835"/>
    <m/>
    <m/>
  </r>
  <r>
    <d v="2025-07-22T00:00:00"/>
    <x v="6"/>
    <n v="100049"/>
    <x v="0"/>
    <s v="Cristian Gabriel Contreras Garcia"/>
    <s v="TECUTCO7C"/>
    <x v="70"/>
    <n v="1"/>
    <x v="2"/>
    <s v="Norte de Santander"/>
    <s v="Cucuta"/>
    <s v="Despachado"/>
    <s v="Coordinadora"/>
    <s v="3503308-84151306937"/>
    <d v="2025-07-22T00:00:00"/>
    <d v="2025-07-26T00:00:00"/>
    <s v="Entregado"/>
    <n v="0"/>
    <n v="4"/>
    <e v="#N/A"/>
    <n v="44340"/>
    <m/>
    <m/>
  </r>
  <r>
    <d v="2025-07-22T00:00:00"/>
    <x v="6"/>
    <n v="100049"/>
    <x v="0"/>
    <s v="Cristian Gabriel Contreras Garcia"/>
    <s v="TECUCT"/>
    <x v="4"/>
    <n v="1"/>
    <x v="0"/>
    <s v="Norte de Santander"/>
    <s v="Cucuta"/>
    <s v="Despachado"/>
    <s v="Coordinadora"/>
    <s v="3503344-84151306944"/>
    <d v="2025-07-22T00:00:00"/>
    <d v="2025-07-26T00:00:00"/>
    <s v="Entregado"/>
    <n v="0"/>
    <n v="4"/>
    <e v="#N/A"/>
    <n v="24885"/>
    <m/>
    <m/>
  </r>
  <r>
    <d v="2025-07-22T00:00:00"/>
    <x v="6"/>
    <n v="100050"/>
    <x v="0"/>
    <s v="César Forero"/>
    <s v="TECUCT"/>
    <x v="4"/>
    <n v="1"/>
    <x v="0"/>
    <s v="Bogotá y alrededores"/>
    <s v="Bogota"/>
    <s v="Despachado"/>
    <s v="Coordinadora"/>
    <s v="3503249-84151306899"/>
    <d v="2025-07-22T00:00:00"/>
    <d v="2025-07-23T00:00:00"/>
    <s v="Entregado"/>
    <n v="0"/>
    <n v="1"/>
    <s v="Cumple"/>
    <n v="24885"/>
    <m/>
    <m/>
  </r>
  <r>
    <d v="2025-07-22T00:00:00"/>
    <x v="6"/>
    <n v="100050"/>
    <x v="0"/>
    <s v="César Forero"/>
    <s v="TECURFE"/>
    <x v="71"/>
    <n v="1"/>
    <x v="6"/>
    <s v="Bogotá y alrededores"/>
    <s v="Bogota"/>
    <s v="Despachado"/>
    <s v="Coordinadora"/>
    <s v="3503254-84151306903"/>
    <d v="2025-07-22T00:00:00"/>
    <d v="2025-07-23T00:00:00"/>
    <s v="Entregado"/>
    <n v="0"/>
    <n v="1"/>
    <s v="Cumple"/>
    <n v="23429"/>
    <m/>
    <m/>
  </r>
  <r>
    <d v="2025-07-22T00:00:00"/>
    <x v="6"/>
    <n v="100051"/>
    <x v="0"/>
    <s v="GitLab Foundation"/>
    <s v="TECU2FBGO"/>
    <x v="2"/>
    <n v="1"/>
    <x v="1"/>
    <s v="Bogotá y alrededores"/>
    <s v="Bogota"/>
    <s v="Despachado"/>
    <s v="Coordinadora"/>
    <s v="3508776-84151309296"/>
    <d v="2025-07-24T00:00:00"/>
    <d v="2025-07-25T00:00:00"/>
    <s v="Entregado"/>
    <n v="2"/>
    <n v="3"/>
    <s v="Cumple"/>
    <n v="41593"/>
    <m/>
    <m/>
  </r>
  <r>
    <d v="2025-07-22T00:00:00"/>
    <x v="6"/>
    <n v="100051"/>
    <x v="0"/>
    <s v="GitLab Foundation"/>
    <s v="TECUTFE2C"/>
    <x v="3"/>
    <n v="1"/>
    <x v="2"/>
    <s v="Bogotá y alrededores"/>
    <s v="Bogota"/>
    <s v="Despachado"/>
    <s v="Coordinadora"/>
    <s v="3508778-84151309298"/>
    <d v="2025-07-24T00:00:00"/>
    <d v="2025-07-26T00:00:00"/>
    <s v="Entregado"/>
    <n v="2"/>
    <n v="4"/>
    <s v="No cumple"/>
    <n v="24093"/>
    <m/>
    <m/>
  </r>
  <r>
    <d v="2025-07-22T00:00:00"/>
    <x v="6"/>
    <n v="100052"/>
    <x v="0"/>
    <s v="Jorge Andres Diaz Naranjo"/>
    <s v="TECULFN2"/>
    <x v="7"/>
    <n v="1"/>
    <x v="1"/>
    <s v="Bogotá y alrededores"/>
    <s v="Bogota"/>
    <s v="Despachado"/>
    <s v="Coordinadora"/>
    <s v="3506037-84151308167"/>
    <d v="2025-07-23T00:00:00"/>
    <d v="2025-07-25T00:00:00"/>
    <s v="Entregado"/>
    <n v="1"/>
    <n v="3"/>
    <s v="Cumple"/>
    <n v="62530"/>
    <m/>
    <m/>
  </r>
  <r>
    <d v="2025-07-22T00:00:00"/>
    <x v="6"/>
    <n v="100052"/>
    <x v="0"/>
    <s v="Jorge Andres Diaz Naranjo"/>
    <s v="TECUTLCCS"/>
    <x v="45"/>
    <n v="1"/>
    <x v="2"/>
    <s v="Bogotá y alrededores"/>
    <s v="Bogota"/>
    <s v="Despachado"/>
    <s v="Coordinadora"/>
    <s v="3506038-84151308168"/>
    <d v="2025-07-23T00:00:00"/>
    <d v="2025-07-24T00:00:00"/>
    <s v="Entregado"/>
    <n v="1"/>
    <n v="2"/>
    <s v="Cumple"/>
    <n v="26749"/>
    <m/>
    <m/>
  </r>
  <r>
    <d v="2025-07-22T00:00:00"/>
    <x v="6"/>
    <n v="100052"/>
    <x v="0"/>
    <s v="Jorge Andres Diaz Naranjo"/>
    <s v="TECUBDPA"/>
    <x v="1"/>
    <n v="1"/>
    <x v="0"/>
    <s v="Bogotá y alrededores"/>
    <s v="Bogota"/>
    <s v="Despachado"/>
    <s v="Coordinadora"/>
    <s v="3506051-84151308176"/>
    <d v="2025-07-23T00:00:00"/>
    <d v="2025-07-24T00:00:00"/>
    <s v="Entregado"/>
    <n v="1"/>
    <n v="2"/>
    <s v="Cumple"/>
    <n v="16617"/>
    <m/>
    <m/>
  </r>
  <r>
    <d v="2025-07-24T00:00:00"/>
    <x v="6"/>
    <n v="100053"/>
    <x v="0"/>
    <s v="John Alejandro Nuñez Giraldo"/>
    <s v="TECU2FBGO"/>
    <x v="2"/>
    <n v="1"/>
    <x v="1"/>
    <s v="Antioquia"/>
    <s v="Marinilla"/>
    <s v="Despachado"/>
    <s v="Coordinadora"/>
    <s v="3508852-84151309317"/>
    <d v="2025-07-24T00:00:00"/>
    <d v="2025-07-25T00:00:00"/>
    <s v="Entregado"/>
    <n v="0"/>
    <n v="1"/>
    <s v="Cumple"/>
    <n v="41593"/>
    <m/>
    <m/>
  </r>
  <r>
    <d v="2025-07-24T00:00:00"/>
    <x v="6"/>
    <n v="100053"/>
    <x v="0"/>
    <s v="John Alejandro Nuñez Giraldo"/>
    <s v="TECUTB3C"/>
    <x v="46"/>
    <n v="1"/>
    <x v="2"/>
    <s v="Antioquia"/>
    <s v="Marinilla"/>
    <s v="Despachado"/>
    <s v="Coordinadora"/>
    <s v="3508854-84151309318"/>
    <d v="2025-07-24T00:00:00"/>
    <d v="2025-07-25T00:00:00"/>
    <s v="Entregado"/>
    <n v="0"/>
    <n v="1"/>
    <s v="Cumple"/>
    <n v="24093"/>
    <m/>
    <m/>
  </r>
  <r>
    <d v="2025-07-24T00:00:00"/>
    <x v="6"/>
    <n v="100053"/>
    <x v="0"/>
    <s v="John Alejandro Nuñez Giraldo"/>
    <s v="TECURB"/>
    <x v="75"/>
    <n v="1"/>
    <x v="6"/>
    <s v="Antioquia"/>
    <s v="Marinilla"/>
    <s v="Despachado"/>
    <s v="Coordinadora"/>
    <s v="NA"/>
    <s v="NA"/>
    <s v="NA"/>
    <s v="Entregado"/>
    <e v="#VALUE!"/>
    <e v="#VALUE!"/>
    <e v="#VALUE!"/>
    <n v="0"/>
    <m/>
    <m/>
  </r>
  <r>
    <d v="2025-07-25T00:00:00"/>
    <x v="6"/>
    <n v="100054"/>
    <x v="0"/>
    <s v="Andrés Sneider García Quintero"/>
    <s v="TECU3FNPRO"/>
    <x v="12"/>
    <n v="1"/>
    <x v="1"/>
    <s v="Bogotá y alrededores"/>
    <s v="Bogota"/>
    <s v="Despachado"/>
    <s v="Coordinadora"/>
    <s v="3512271-84151310773"/>
    <d v="2025-07-25T00:00:00"/>
    <d v="2025-07-28T00:00:00"/>
    <s v="Entregado"/>
    <n v="0"/>
    <n v="2"/>
    <s v="Cumple"/>
    <n v="41593"/>
    <m/>
    <m/>
  </r>
  <r>
    <d v="2025-07-25T00:00:00"/>
    <x v="6"/>
    <n v="100054"/>
    <x v="0"/>
    <s v="Andrés Sneider García Quintero"/>
    <s v="TECUTFE4C"/>
    <x v="14"/>
    <n v="1"/>
    <x v="2"/>
    <s v="Bogotá y alrededores"/>
    <s v="Bogota"/>
    <s v="Despachado"/>
    <s v="Coordinadora"/>
    <s v="3512274-84151310774"/>
    <d v="2025-07-25T00:00:00"/>
    <d v="2025-07-28T00:00:00"/>
    <s v="Entregado"/>
    <n v="0"/>
    <n v="2"/>
    <s v="Cumple"/>
    <n v="24093"/>
    <m/>
    <m/>
  </r>
  <r>
    <d v="2025-07-25T00:00:00"/>
    <x v="6"/>
    <n v="100054"/>
    <x v="0"/>
    <s v="Andrés Sneider García Quintero"/>
    <s v="TECUAFE"/>
    <x v="43"/>
    <n v="1"/>
    <x v="5"/>
    <s v="Bogotá y alrededores"/>
    <s v="Bogota"/>
    <s v="Despachado"/>
    <s v="Coordinadora"/>
    <s v="3520404-954101266645"/>
    <d v="2025-07-29T00:00:00"/>
    <d v="2025-07-30T00:00:00"/>
    <s v="Entregado"/>
    <n v="3"/>
    <n v="4"/>
    <s v="No cumple"/>
    <n v="54929"/>
    <m/>
    <m/>
  </r>
  <r>
    <d v="2025-07-25T00:00:00"/>
    <x v="6"/>
    <n v="100055"/>
    <x v="0"/>
    <s v="Ivan Alberto Macea Hernandez"/>
    <s v="TECU2FBGO"/>
    <x v="2"/>
    <n v="1"/>
    <x v="1"/>
    <s v="Cordoba"/>
    <s v="Monteria"/>
    <s v="Despachado"/>
    <s v="Coordinadora"/>
    <s v="3512355-84151310814"/>
    <d v="2025-07-25T00:00:00"/>
    <d v="2025-07-28T00:00:00"/>
    <s v="Entregado"/>
    <n v="0"/>
    <n v="2"/>
    <s v="Cumple"/>
    <n v="71764"/>
    <m/>
    <m/>
  </r>
  <r>
    <d v="2025-07-25T00:00:00"/>
    <x v="6"/>
    <n v="100055"/>
    <x v="0"/>
    <s v="Ivan Alberto Macea Hernandez"/>
    <s v="TECUTFE2C"/>
    <x v="3"/>
    <n v="1"/>
    <x v="2"/>
    <s v="Cordoba"/>
    <s v="Monteria"/>
    <s v="Despachado"/>
    <s v="Coordinadora"/>
    <s v="3512356-84151310815"/>
    <d v="2025-07-25T00:00:00"/>
    <d v="2025-07-28T00:00:00"/>
    <s v="Entregado"/>
    <n v="0"/>
    <n v="2"/>
    <s v="Cumple"/>
    <n v="48876"/>
    <m/>
    <m/>
  </r>
  <r>
    <d v="2025-07-28T00:00:00"/>
    <x v="6"/>
    <n v="100056"/>
    <x v="0"/>
    <s v="Jaider Martinez"/>
    <s v="TECULFN2"/>
    <x v="7"/>
    <n v="1"/>
    <x v="1"/>
    <s v="Bogotá y alrededores"/>
    <s v="Bogota"/>
    <s v="Despachado"/>
    <s v="Coordinadora"/>
    <s v="3512361-84151310817"/>
    <d v="2025-07-25T00:00:00"/>
    <d v="2025-07-28T00:00:00"/>
    <s v="Entregado"/>
    <n v="-4"/>
    <n v="0"/>
    <s v="Cumple"/>
    <n v="62530"/>
    <m/>
    <m/>
  </r>
  <r>
    <d v="2025-07-28T00:00:00"/>
    <x v="6"/>
    <n v="100056"/>
    <x v="0"/>
    <s v="Jaider Martinez"/>
    <s v="TECUTLFES"/>
    <x v="63"/>
    <n v="1"/>
    <x v="2"/>
    <s v="Bogotá y alrededores"/>
    <s v="Bogota"/>
    <s v="Despachado"/>
    <s v="Coordinadora"/>
    <s v="3512362-84151310818"/>
    <d v="2025-07-25T00:00:00"/>
    <d v="2025-07-28T00:00:00"/>
    <s v="Entregado"/>
    <n v="-4"/>
    <n v="0"/>
    <s v="Cumple"/>
    <n v="26749"/>
    <m/>
    <m/>
  </r>
  <r>
    <d v="2025-07-28T00:00:00"/>
    <x v="6"/>
    <n v="100057"/>
    <x v="0"/>
    <s v="Cristian Gabriel Contreras Garcia"/>
    <s v="TECUBDPA"/>
    <x v="1"/>
    <n v="1"/>
    <x v="0"/>
    <s v="Norte de Santander"/>
    <s v="Cucuta"/>
    <s v="Despachado"/>
    <s v="Coordinadora"/>
    <s v="3516572-84151312542"/>
    <d v="2025-07-28T00:00:00"/>
    <d v="2025-07-31T00:00:00"/>
    <s v="Entregado"/>
    <n v="0"/>
    <n v="3"/>
    <e v="#N/A"/>
    <n v="16617"/>
    <m/>
    <m/>
  </r>
  <r>
    <d v="2025-07-28T00:00:00"/>
    <x v="6"/>
    <n v="100058"/>
    <x v="0"/>
    <s v="Andres Felipe Parra Rojas"/>
    <s v="TECULFN2"/>
    <x v="7"/>
    <n v="1"/>
    <x v="1"/>
    <s v="Bogotá y alrededores"/>
    <s v="Bogota"/>
    <s v="Despachado"/>
    <s v="Coordinadora"/>
    <s v="3516587-84151312553"/>
    <d v="2025-07-30T00:00:00"/>
    <d v="2025-07-31T00:00:00"/>
    <s v="Entregado"/>
    <n v="2"/>
    <n v="3"/>
    <s v="Cumple"/>
    <n v="62530"/>
    <m/>
    <m/>
  </r>
  <r>
    <d v="2025-07-28T00:00:00"/>
    <x v="6"/>
    <n v="100058"/>
    <x v="0"/>
    <s v="Andres Felipe Parra Rojas"/>
    <s v="TECUTLRNS"/>
    <x v="8"/>
    <n v="1"/>
    <x v="2"/>
    <s v="Bogotá y alrededores"/>
    <s v="Bogota"/>
    <s v="Despachado"/>
    <s v="Coordinadora"/>
    <s v="3516590-84151312555"/>
    <d v="2025-07-30T00:00:00"/>
    <d v="2025-07-31T00:00:00"/>
    <s v="Entregado"/>
    <n v="2"/>
    <n v="3"/>
    <s v="Cumple"/>
    <n v="26749"/>
    <m/>
    <m/>
  </r>
  <r>
    <d v="2025-07-28T00:00:00"/>
    <x v="6"/>
    <n v="100059"/>
    <x v="0"/>
    <s v="Maria Fernanda Almonacid Ibarra"/>
    <s v="TECU3FBRO"/>
    <x v="34"/>
    <n v="1"/>
    <x v="1"/>
    <s v="Bogotá y alrededores"/>
    <s v="Bogota"/>
    <s v="Despachado"/>
    <s v="Coordinadora"/>
    <s v="3516629-84151312576"/>
    <d v="2025-07-28T00:00:00"/>
    <d v="2025-07-30T00:00:00"/>
    <s v="Entregado"/>
    <n v="0"/>
    <n v="2"/>
    <s v="Cumple"/>
    <n v="41593"/>
    <m/>
    <m/>
  </r>
  <r>
    <d v="2025-07-28T00:00:00"/>
    <x v="6"/>
    <n v="100059"/>
    <x v="0"/>
    <s v="Maria Fernanda Almonacid Ibarra"/>
    <s v="TECUTFE2C"/>
    <x v="3"/>
    <n v="1"/>
    <x v="2"/>
    <s v="Bogotá y alrededores"/>
    <s v="Bogota"/>
    <s v="Despachado"/>
    <s v="Coordinadora"/>
    <s v="3516631-84151312577"/>
    <d v="2025-07-28T00:00:00"/>
    <d v="2025-07-30T00:00:00"/>
    <s v="Entregado"/>
    <n v="0"/>
    <n v="2"/>
    <s v="Cumple"/>
    <n v="24093"/>
    <m/>
    <m/>
  </r>
  <r>
    <d v="2025-07-28T00:00:00"/>
    <x v="6"/>
    <n v="100060"/>
    <x v="0"/>
    <s v="Jhonatan Steven Yepes"/>
    <s v="TECU3FNCRO"/>
    <x v="55"/>
    <n v="1"/>
    <x v="1"/>
    <s v="Antioquia"/>
    <s v="Bello"/>
    <s v="Despachado"/>
    <s v="Coordinadora"/>
    <s v="3516669-84151312589"/>
    <d v="2025-07-28T00:00:00"/>
    <d v="2025-07-30T00:00:00"/>
    <s v="Entregado"/>
    <n v="0"/>
    <n v="2"/>
    <s v="Cumple"/>
    <n v="41593"/>
    <m/>
    <m/>
  </r>
  <r>
    <d v="2025-07-28T00:00:00"/>
    <x v="6"/>
    <n v="100060"/>
    <x v="0"/>
    <s v="Jhonatan Steven Yepes"/>
    <s v="TECUTCO7C"/>
    <x v="70"/>
    <n v="1"/>
    <x v="2"/>
    <s v="Antioquia"/>
    <s v="Bello"/>
    <s v="Despachado"/>
    <s v="Coordinadora"/>
    <s v="3516672-84151312590"/>
    <d v="2025-07-28T00:00:00"/>
    <d v="2025-07-30T00:00:00"/>
    <s v="Entregado"/>
    <n v="0"/>
    <n v="2"/>
    <s v="Cumple"/>
    <n v="24093"/>
    <m/>
    <m/>
  </r>
  <r>
    <d v="2025-07-28T00:00:00"/>
    <x v="6"/>
    <n v="100061"/>
    <x v="0"/>
    <s v="Adán Osorio"/>
    <s v="TECU3FNCRO"/>
    <x v="55"/>
    <n v="1"/>
    <x v="1"/>
    <s v="Bogotá y alrededores"/>
    <s v="Bogota"/>
    <s v="Despachado"/>
    <s v="Coordinadora"/>
    <s v="3523422-84151315863"/>
    <d v="2025-07-30T00:00:00"/>
    <d v="2025-07-31T00:00:00"/>
    <s v="Entregado"/>
    <n v="2"/>
    <n v="3"/>
    <s v="Cumple"/>
    <n v="26749"/>
    <m/>
    <m/>
  </r>
  <r>
    <d v="2025-07-28T00:00:00"/>
    <x v="6"/>
    <n v="100061"/>
    <x v="0"/>
    <s v="Adán Osorio"/>
    <s v="TECUTCO7C"/>
    <x v="70"/>
    <n v="1"/>
    <x v="2"/>
    <s v="Bogotá y alrededores"/>
    <s v="Bogota"/>
    <s v="Despachado"/>
    <s v="Coordinadora"/>
    <s v="3523261-84151315791"/>
    <d v="2025-07-30T00:00:00"/>
    <d v="2025-08-02T00:00:00"/>
    <s v="Entregado"/>
    <n v="2"/>
    <n v="5"/>
    <s v="No cumple"/>
    <n v="48585"/>
    <m/>
    <m/>
  </r>
  <r>
    <d v="2025-07-28T00:00:00"/>
    <x v="6"/>
    <n v="100061"/>
    <x v="1"/>
    <s v="Adán Osorio"/>
    <s v="TECUTCO7C"/>
    <x v="70"/>
    <n v="1"/>
    <x v="2"/>
    <s v="Bogotá y alrededores"/>
    <s v="Bogota"/>
    <s v="Despachado"/>
    <s v="Coordinadora"/>
    <s v="3539304-84151322827"/>
    <d v="2025-08-05T00:00:00"/>
    <d v="2025-08-08T00:00:00"/>
    <s v="Entregado"/>
    <n v="7"/>
    <n v="9"/>
    <s v="No cumple"/>
    <n v="29921"/>
    <m/>
    <m/>
  </r>
  <r>
    <d v="2025-08-01T00:00:00"/>
    <x v="7"/>
    <n v="100062"/>
    <x v="0"/>
    <s v="Jesus Garcia"/>
    <s v="TECU2FNG"/>
    <x v="5"/>
    <n v="1"/>
    <x v="1"/>
    <s v="Antioquia"/>
    <s v="Sabaneta"/>
    <s v="Despachado"/>
    <s v="Coordinadora"/>
    <s v="3529308-84151318310"/>
    <d v="2025-08-01T00:00:00"/>
    <d v="2025-08-02T00:00:00"/>
    <s v="Entregado"/>
    <n v="0"/>
    <n v="1"/>
    <s v="Cumple"/>
    <n v="41593"/>
    <m/>
    <m/>
  </r>
  <r>
    <d v="2025-08-01T00:00:00"/>
    <x v="7"/>
    <n v="100062"/>
    <x v="0"/>
    <s v="Jesus Garcia"/>
    <s v="TECUTFE6C"/>
    <x v="28"/>
    <n v="1"/>
    <x v="2"/>
    <s v="Antioquia"/>
    <s v="Sabaneta"/>
    <s v="Despachado"/>
    <s v="Coordinadora"/>
    <s v="3529309-84151318311"/>
    <d v="2025-08-01T00:00:00"/>
    <d v="2025-08-02T00:00:00"/>
    <s v="Entregado"/>
    <n v="0"/>
    <n v="1"/>
    <s v="Cumple"/>
    <n v="24093"/>
    <m/>
    <m/>
  </r>
  <r>
    <d v="2025-08-02T00:00:00"/>
    <x v="7"/>
    <n v="100063"/>
    <x v="0"/>
    <s v="Martin Schuchardt"/>
    <s v="TECU3FNPRO"/>
    <x v="12"/>
    <n v="1"/>
    <x v="1"/>
    <s v="Antioquia"/>
    <s v="Envigado"/>
    <s v="Despachado"/>
    <s v="Coordinadora"/>
    <s v="3534501-84151320634"/>
    <d v="2025-08-04T00:00:00"/>
    <d v="2025-08-05T00:00:00"/>
    <s v="Entregado"/>
    <n v="1"/>
    <n v="2"/>
    <s v="Cumple"/>
    <n v="41593"/>
    <m/>
    <m/>
  </r>
  <r>
    <d v="2025-08-02T00:00:00"/>
    <x v="7"/>
    <n v="100063"/>
    <x v="0"/>
    <s v="Martin Schuchardt"/>
    <s v="TECUTFE7M"/>
    <x v="35"/>
    <n v="1"/>
    <x v="2"/>
    <s v="Antioquia"/>
    <s v="Envigado"/>
    <s v="Despachado"/>
    <s v="Coordinadora"/>
    <s v="3534503-84151320636"/>
    <d v="2025-08-04T00:00:00"/>
    <d v="2025-08-05T00:00:00"/>
    <s v="Entregado"/>
    <n v="1"/>
    <n v="2"/>
    <s v="Cumple"/>
    <n v="24093"/>
    <m/>
    <m/>
  </r>
  <r>
    <d v="2025-08-02T00:00:00"/>
    <x v="7"/>
    <n v="100063"/>
    <x v="0"/>
    <s v="Martin Schuchardt"/>
    <m/>
    <x v="10"/>
    <n v="1"/>
    <x v="3"/>
    <s v="Antioquia"/>
    <s v="Envigado"/>
    <s v="Despachado"/>
    <s v="Coordinadora"/>
    <s v="NA"/>
    <s v="NA"/>
    <s v="NA"/>
    <s v="Entregado"/>
    <e v="#VALUE!"/>
    <e v="#VALUE!"/>
    <e v="#VALUE!"/>
    <n v="0"/>
    <m/>
    <m/>
  </r>
  <r>
    <d v="2025-08-03T00:00:00"/>
    <x v="7"/>
    <n v="100064"/>
    <x v="0"/>
    <s v="Jorge Delgado"/>
    <s v="TECU2FNG"/>
    <x v="5"/>
    <n v="1"/>
    <x v="1"/>
    <s v="Antioquia"/>
    <s v="Medellin"/>
    <s v="Despachado"/>
    <s v="Coordinadora"/>
    <s v="3534543-84151320660"/>
    <d v="2025-08-04T00:00:00"/>
    <d v="2025-08-05T00:00:00"/>
    <s v="Entregado"/>
    <n v="0"/>
    <n v="1"/>
    <s v="Cumple"/>
    <n v="41593"/>
    <m/>
    <m/>
  </r>
  <r>
    <d v="2025-08-03T00:00:00"/>
    <x v="7"/>
    <n v="100064"/>
    <x v="0"/>
    <s v="Jorge Delgado"/>
    <s v="TECUTFE5C"/>
    <x v="29"/>
    <n v="1"/>
    <x v="2"/>
    <s v="Antioquia"/>
    <s v="Medellin"/>
    <s v="Despachado"/>
    <s v="Coordinadora"/>
    <s v="3534545-84151320661"/>
    <d v="2025-08-04T00:00:00"/>
    <d v="2025-08-05T00:00:00"/>
    <s v="Entregado"/>
    <n v="0"/>
    <n v="1"/>
    <s v="Cumple"/>
    <n v="24093"/>
    <m/>
    <m/>
  </r>
  <r>
    <d v="2025-08-04T00:00:00"/>
    <x v="7"/>
    <n v="100065"/>
    <x v="0"/>
    <s v="Alejandra Brausin"/>
    <s v="TECU3FBRO"/>
    <x v="34"/>
    <n v="1"/>
    <x v="1"/>
    <s v="Bogotá y alrededores"/>
    <s v="Bogota"/>
    <s v="Despachado"/>
    <s v="Coordinadora"/>
    <s v="3539229-84151322804"/>
    <d v="2025-08-05T00:00:00"/>
    <d v="2025-08-08T00:00:00"/>
    <s v="Entregado"/>
    <n v="1"/>
    <n v="3"/>
    <s v="Cumple"/>
    <n v="41593"/>
    <m/>
    <m/>
  </r>
  <r>
    <d v="2025-08-04T00:00:00"/>
    <x v="7"/>
    <n v="100065"/>
    <x v="0"/>
    <s v="Alejandra Brausin"/>
    <s v="TECUTB2C"/>
    <x v="68"/>
    <n v="1"/>
    <x v="2"/>
    <s v="Bogotá y alrededores"/>
    <s v="Bogota"/>
    <s v="Despachado"/>
    <s v="Coordinadora"/>
    <s v="3539231-84151322805"/>
    <d v="2025-08-05T00:00:00"/>
    <d v="2025-08-06T00:00:00"/>
    <s v="Entregado"/>
    <n v="1"/>
    <n v="2"/>
    <s v="Cumple"/>
    <n v="24093"/>
    <m/>
    <m/>
  </r>
  <r>
    <d v="2025-08-04T00:00:00"/>
    <x v="7"/>
    <n v="100065"/>
    <x v="0"/>
    <s v="Alejandra Brausin"/>
    <s v="TECUTBANTE"/>
    <x v="54"/>
    <n v="1"/>
    <x v="0"/>
    <s v="Bogotá y alrededores"/>
    <s v="Bogota"/>
    <s v="Despachado"/>
    <s v="Coordinadora"/>
    <s v="3539239-84151322810"/>
    <d v="2025-08-05T00:00:00"/>
    <d v="2025-08-06T00:00:00"/>
    <s v="Entregado"/>
    <n v="1"/>
    <n v="2"/>
    <s v="Cumple"/>
    <n v="23429"/>
    <m/>
    <m/>
  </r>
  <r>
    <d v="2025-08-04T00:00:00"/>
    <x v="7"/>
    <n v="100066"/>
    <x v="0"/>
    <s v="Jeison Gabriel Hurtado Cabrera // I.A.S. Ingeniería, Aplicaciones y Software S.A.S."/>
    <s v="TECU2FNG"/>
    <x v="5"/>
    <n v="1"/>
    <x v="1"/>
    <s v="Antioquia"/>
    <s v="Medellin"/>
    <s v="Despachado"/>
    <s v="Coordinadora"/>
    <s v="3541457-84151323738"/>
    <d v="2025-08-06T00:00:00"/>
    <d v="2025-08-07T00:00:00"/>
    <s v="Entregado"/>
    <n v="2"/>
    <n v="2"/>
    <s v="Cumple"/>
    <n v="41593"/>
    <m/>
    <m/>
  </r>
  <r>
    <d v="2025-08-04T00:00:00"/>
    <x v="7"/>
    <n v="100066"/>
    <x v="0"/>
    <s v="Jeison Gabriel Hurtado Cabrera // I.A.S. Ingeniería, Aplicaciones y Software S.A.S."/>
    <s v="TECUTCO4C"/>
    <x v="6"/>
    <n v="1"/>
    <x v="2"/>
    <s v="Antioquia"/>
    <s v="Medellin"/>
    <s v="Despachado"/>
    <s v="Coordinadora"/>
    <s v="3541460-84151323739"/>
    <d v="2025-08-06T00:00:00"/>
    <d v="2025-08-07T00:00:00"/>
    <s v="Entregado"/>
    <n v="2"/>
    <n v="2"/>
    <s v="Cumple"/>
    <n v="24093"/>
    <m/>
    <m/>
  </r>
  <r>
    <d v="2025-08-05T00:00:00"/>
    <x v="7"/>
    <n v="100068"/>
    <x v="0"/>
    <s v="David Valero"/>
    <s v="TECU3FNPRO"/>
    <x v="12"/>
    <n v="1"/>
    <x v="1"/>
    <s v="Bogotá y alrededores"/>
    <s v="Bogota"/>
    <s v="Despachado"/>
    <s v="Coordinadora"/>
    <s v="3541468-84151323745"/>
    <d v="2025-08-06T00:00:00"/>
    <d v="2025-08-08T00:00:00"/>
    <s v="Entregado"/>
    <n v="1"/>
    <n v="2"/>
    <s v="Cumple"/>
    <n v="41593"/>
    <m/>
    <m/>
  </r>
  <r>
    <d v="2025-08-05T00:00:00"/>
    <x v="7"/>
    <n v="100068"/>
    <x v="0"/>
    <s v="David Valero"/>
    <s v="TECUTRN7C"/>
    <x v="60"/>
    <n v="1"/>
    <x v="2"/>
    <s v="Bogotá y alrededores"/>
    <s v="Bogota"/>
    <s v="Despachado"/>
    <s v="Coordinadora"/>
    <s v="3541472-84151323746"/>
    <d v="2025-08-06T00:00:00"/>
    <d v="2025-08-08T00:00:00"/>
    <s v="Entregado"/>
    <n v="1"/>
    <n v="2"/>
    <s v="Cumple"/>
    <n v="24093"/>
    <m/>
    <m/>
  </r>
  <r>
    <d v="2025-08-06T00:00:00"/>
    <x v="7"/>
    <n v="100069"/>
    <x v="0"/>
    <s v="Sergio David Garcia Morales"/>
    <s v="TECU2FNG"/>
    <x v="5"/>
    <n v="1"/>
    <x v="1"/>
    <s v="Bogotá y alrededores"/>
    <s v="Bogota"/>
    <s v="Despachado"/>
    <s v="Coordinadora"/>
    <s v="3544855-84151325297"/>
    <d v="2025-08-08T00:00:00"/>
    <d v="2025-08-11T00:00:00"/>
    <s v="Entregado"/>
    <n v="1"/>
    <n v="3"/>
    <s v="Cumple"/>
    <n v="41593"/>
    <m/>
    <m/>
  </r>
  <r>
    <d v="2025-08-06T00:00:00"/>
    <x v="7"/>
    <n v="100069"/>
    <x v="0"/>
    <s v="Sergio David Garcia Morales"/>
    <s v="TECUTRN3C"/>
    <x v="67"/>
    <n v="1"/>
    <x v="2"/>
    <s v="Bogotá y alrededores"/>
    <s v="Bogota"/>
    <s v="Despachado"/>
    <s v="Coordinadora"/>
    <s v="3544856-84151325298"/>
    <d v="2025-08-08T00:00:00"/>
    <d v="2025-08-11T00:00:00"/>
    <s v="Entregado"/>
    <n v="1"/>
    <n v="3"/>
    <s v="Cumple"/>
    <n v="24093"/>
    <m/>
    <m/>
  </r>
  <r>
    <d v="2025-08-07T00:00:00"/>
    <x v="7"/>
    <n v="100070"/>
    <x v="0"/>
    <s v="Anderson Gutierrez"/>
    <s v="TECU3FNCRO"/>
    <x v="55"/>
    <n v="1"/>
    <x v="1"/>
    <s v="Caldas"/>
    <s v="Manizales"/>
    <s v="Despachado"/>
    <s v="Coordinadora"/>
    <s v="3544990-84151325376"/>
    <d v="2025-08-08T00:00:00"/>
    <d v="2025-08-09T00:00:00"/>
    <s v="Entregado"/>
    <n v="0"/>
    <n v="1"/>
    <s v="Cumple"/>
    <n v="34156"/>
    <m/>
    <m/>
  </r>
  <r>
    <d v="2025-08-07T00:00:00"/>
    <x v="7"/>
    <n v="100070"/>
    <x v="0"/>
    <s v="Anderson Gutierrez"/>
    <s v="TECUTCO6M"/>
    <x v="24"/>
    <n v="1"/>
    <x v="2"/>
    <s v="Caldas"/>
    <s v="Manizales"/>
    <s v="Despachado"/>
    <s v="Coordinadora"/>
    <s v="3544991-84151325377"/>
    <d v="2025-08-08T00:00:00"/>
    <d v="2025-08-11T00:00:00"/>
    <s v="Entregado"/>
    <n v="0"/>
    <n v="2"/>
    <s v="Cumple"/>
    <n v="15194"/>
    <m/>
    <m/>
  </r>
  <r>
    <d v="2025-08-07T00:00:00"/>
    <x v="7"/>
    <n v="100070"/>
    <x v="0"/>
    <s v="Anderson Gutierrez"/>
    <s v="TECUACO"/>
    <x v="15"/>
    <n v="1"/>
    <x v="5"/>
    <s v="Caldas"/>
    <s v="Manizales"/>
    <s v="Despachado"/>
    <s v="Envia"/>
    <s v="3550220-954101274421"/>
    <d v="2025-08-11T00:00:00"/>
    <d v="2025-08-12T00:00:00"/>
    <s v="Entregado"/>
    <n v="2"/>
    <n v="3"/>
    <s v="Cumple"/>
    <n v="47267"/>
    <m/>
    <m/>
  </r>
  <r>
    <d v="2025-08-07T00:00:00"/>
    <x v="7"/>
    <n v="100071"/>
    <x v="0"/>
    <s v="Camila Santana"/>
    <s v="TECU2FNG"/>
    <x v="5"/>
    <n v="1"/>
    <x v="1"/>
    <s v="Bogotá y alrededores"/>
    <s v="Bogota"/>
    <s v="Despachado"/>
    <s v="Coordinadora"/>
    <s v="3544929-84151325346"/>
    <d v="2025-08-08T00:00:00"/>
    <d v="2025-08-12T00:00:00"/>
    <s v="Entregado"/>
    <n v="0"/>
    <n v="3"/>
    <s v="Cumple"/>
    <n v="41593"/>
    <m/>
    <m/>
  </r>
  <r>
    <d v="2025-08-07T00:00:00"/>
    <x v="7"/>
    <n v="100071"/>
    <x v="0"/>
    <s v="Camila Santana"/>
    <s v="TECUTCO5C"/>
    <x v="51"/>
    <n v="1"/>
    <x v="2"/>
    <s v="Bogotá y alrededores"/>
    <s v="Bogota"/>
    <s v="Despachado"/>
    <s v="Coordinadora"/>
    <s v="3544930-84151325347"/>
    <d v="2025-08-08T00:00:00"/>
    <d v="2025-08-12T00:00:00"/>
    <s v="Entregado"/>
    <n v="0"/>
    <n v="3"/>
    <s v="Cumple"/>
    <n v="24093"/>
    <m/>
    <m/>
  </r>
  <r>
    <d v="2025-08-07T00:00:00"/>
    <x v="7"/>
    <n v="100071"/>
    <x v="0"/>
    <s v="Camila Santana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n v="0"/>
    <m/>
    <m/>
  </r>
  <r>
    <d v="2025-08-12T00:00:00"/>
    <x v="7"/>
    <n v="100072"/>
    <x v="0"/>
    <s v="Juan Pablo Reyes"/>
    <s v="TECU3FNPRO"/>
    <x v="12"/>
    <n v="1"/>
    <x v="1"/>
    <s v="Bogotá y alrededores"/>
    <s v="Bogota"/>
    <s v="Despachado"/>
    <s v="Coordinadora"/>
    <s v="3554342-84151329239"/>
    <d v="2025-08-12T00:00:00"/>
    <d v="2025-08-16T00:00:00"/>
    <s v="Entregado"/>
    <n v="0"/>
    <n v="4"/>
    <s v="No cumple"/>
    <n v="41593"/>
    <m/>
    <m/>
  </r>
  <r>
    <d v="2025-08-12T00:00:00"/>
    <x v="7"/>
    <n v="100072"/>
    <x v="0"/>
    <s v="Juan Pablo Reyes"/>
    <s v="TECUTCO6C"/>
    <x v="16"/>
    <n v="1"/>
    <x v="2"/>
    <s v="Bogotá y alrededores"/>
    <s v="Bogota"/>
    <s v="Despachado"/>
    <s v="Coordinadora"/>
    <s v="3554345-84151329240"/>
    <d v="2025-08-12T00:00:00"/>
    <d v="2025-08-14T00:00:00"/>
    <s v="Entregado"/>
    <n v="0"/>
    <n v="2"/>
    <s v="Cumple"/>
    <n v="24093"/>
    <m/>
    <m/>
  </r>
  <r>
    <d v="2025-08-12T00:00:00"/>
    <x v="7"/>
    <n v="100073"/>
    <x v="0"/>
    <s v="JUAN SEBASTIAN QUIJANO RODRIGUEZ / HL ABOGADOS Y AUDITORES SAS"/>
    <s v="TECU3FNPRO"/>
    <x v="12"/>
    <n v="1"/>
    <x v="1"/>
    <s v="Bogotá y alrededores"/>
    <s v="Bogota"/>
    <s v="Despachado"/>
    <s v="Coordinadora"/>
    <s v="3555315-84151329621"/>
    <d v="2025-08-12T00:00:00"/>
    <d v="2025-08-15T00:00:00"/>
    <s v="Entregado"/>
    <n v="0"/>
    <n v="3"/>
    <s v="Cumple"/>
    <n v="41593"/>
    <m/>
    <m/>
  </r>
  <r>
    <d v="2025-08-12T00:00:00"/>
    <x v="7"/>
    <n v="100073"/>
    <x v="0"/>
    <s v="JUAN SEBASTIAN QUIJANO RODRIGUEZ / HL ABOGADOS Y AUDITORES SAS"/>
    <s v="TECUTCO2C"/>
    <x v="37"/>
    <n v="1"/>
    <x v="2"/>
    <s v="Bogotá y alrededores"/>
    <s v="Bogota"/>
    <s v="Despachado"/>
    <s v="Coordinadora"/>
    <s v="3555317-84151329622"/>
    <d v="2025-08-12T00:00:00"/>
    <d v="2025-08-14T00:00:00"/>
    <s v="Entregado"/>
    <n v="0"/>
    <n v="2"/>
    <s v="Cumple"/>
    <n v="24093"/>
    <m/>
    <m/>
  </r>
  <r>
    <d v="2025-08-12T00:00:00"/>
    <x v="7"/>
    <n v="100073"/>
    <x v="0"/>
    <s v="JUAN SEBASTIAN QUIJANO RODRIGUEZ / HL ABOGADOS Y AUDITORES SAS"/>
    <s v="TECUTCO2C"/>
    <x v="37"/>
    <n v="1"/>
    <x v="2"/>
    <s v="Bogotá y alrededores"/>
    <s v="Bogota"/>
    <s v="Despachado"/>
    <s v="Coordinadora"/>
    <s v="3555324-84151329623"/>
    <d v="2025-08-12T00:00:00"/>
    <d v="2025-08-14T00:00:00"/>
    <s v="Entregado"/>
    <n v="0"/>
    <n v="2"/>
    <s v="Cumple"/>
    <n v="24093"/>
    <m/>
    <m/>
  </r>
  <r>
    <d v="2025-08-14T00:00:00"/>
    <x v="7"/>
    <n v="100075"/>
    <x v="0"/>
    <s v="Cristhian Sabino Ramirez Martinez"/>
    <s v="TECUTBANPI"/>
    <x v="9"/>
    <n v="1"/>
    <x v="0"/>
    <s v="Antioquia"/>
    <s v="Rionegro"/>
    <s v="Despachado"/>
    <s v="Coordinadora"/>
    <s v="3561538-84151332165"/>
    <d v="2025-08-14T00:00:00"/>
    <d v="2025-08-15T00:00:00"/>
    <s v="Entregado"/>
    <n v="0"/>
    <n v="1"/>
    <s v="Cumple"/>
    <n v="39225"/>
    <m/>
    <m/>
  </r>
  <r>
    <d v="2025-08-14T00:00:00"/>
    <x v="7"/>
    <n v="100076"/>
    <x v="0"/>
    <s v="Tomas Ortiz Perez / Carrocerias Antioquia SA "/>
    <s v="TECU3FNPRO"/>
    <x v="12"/>
    <n v="1"/>
    <x v="1"/>
    <s v="Antioquia"/>
    <s v="Medellin"/>
    <s v="Despachado"/>
    <s v="Coordinadora"/>
    <s v="3561546-84151332169"/>
    <d v="2025-08-14T00:00:00"/>
    <d v="2025-08-15T00:00:00"/>
    <s v="Entregado"/>
    <n v="0"/>
    <n v="1"/>
    <s v="Cumple"/>
    <n v="41593"/>
    <m/>
    <m/>
  </r>
  <r>
    <d v="2025-08-14T00:00:00"/>
    <x v="7"/>
    <n v="100076"/>
    <x v="0"/>
    <s v="Tomas Ortiz Perez / Carrocerias Antioquia SA "/>
    <s v="TECUTCO2C"/>
    <x v="37"/>
    <n v="1"/>
    <x v="2"/>
    <s v="Antioquia"/>
    <s v="Medellin"/>
    <s v="Despachado"/>
    <s v="Coordinadora"/>
    <s v="3561549-84151332170"/>
    <d v="2025-08-14T00:00:00"/>
    <d v="2025-08-15T00:00:00"/>
    <s v="Entregado"/>
    <n v="0"/>
    <n v="1"/>
    <s v="Cumple"/>
    <n v="24093"/>
    <m/>
    <m/>
  </r>
  <r>
    <d v="2025-08-15T00:00:00"/>
    <x v="7"/>
    <n v="100078"/>
    <x v="0"/>
    <s v="Juan Lizcano"/>
    <s v="TECU2FNG"/>
    <x v="5"/>
    <n v="1"/>
    <x v="1"/>
    <s v="Bogotá y alrededores"/>
    <s v="Bogota"/>
    <s v="Despachado"/>
    <s v="Coordinadora"/>
    <s v="3564886-84151333337"/>
    <d v="2025-08-15T00:00:00"/>
    <d v="2025-08-19T00:00:00"/>
    <s v="Entregado"/>
    <n v="0"/>
    <n v="2"/>
    <s v="Cumple"/>
    <n v="41593"/>
    <m/>
    <m/>
  </r>
  <r>
    <d v="2025-08-15T00:00:00"/>
    <x v="7"/>
    <n v="100078"/>
    <x v="0"/>
    <s v="Juan Lizcano"/>
    <s v="TECUTFE6C"/>
    <x v="28"/>
    <n v="1"/>
    <x v="2"/>
    <s v="Bogotá y alrededores"/>
    <s v="Bogota"/>
    <s v="Despachado"/>
    <s v="Coordinadora"/>
    <s v="3564887-84151333338"/>
    <d v="2025-08-15T00:00:00"/>
    <d v="2025-08-19T00:00:00"/>
    <s v="Entregado"/>
    <n v="0"/>
    <n v="2"/>
    <s v="Cumple"/>
    <n v="24093"/>
    <m/>
    <m/>
  </r>
  <r>
    <d v="2025-08-16T00:00:00"/>
    <x v="7"/>
    <n v="100080"/>
    <x v="0"/>
    <s v="Viviana Maldonado"/>
    <s v="TECULFN2"/>
    <x v="7"/>
    <n v="1"/>
    <x v="1"/>
    <s v="Antioquia"/>
    <s v="Medellin"/>
    <s v="Despachado"/>
    <s v="Coordinadora"/>
    <s v="3570815-84151335460"/>
    <d v="2025-08-19T00:00:00"/>
    <d v="2025-08-21T00:00:00"/>
    <s v="Entregado"/>
    <n v="1"/>
    <n v="3"/>
    <s v="Cumple"/>
    <n v="62530"/>
    <m/>
    <m/>
  </r>
  <r>
    <d v="2025-08-16T00:00:00"/>
    <x v="7"/>
    <n v="100080"/>
    <x v="0"/>
    <s v="Viviana Maldonado"/>
    <s v="TECUTLBS"/>
    <x v="61"/>
    <n v="1"/>
    <x v="2"/>
    <s v="Antioquia"/>
    <s v="Medellin"/>
    <s v="Despachado"/>
    <s v="Coordinadora"/>
    <s v="3570816-84151335461"/>
    <d v="2025-08-19T00:00:00"/>
    <d v="2025-08-21T00:00:00"/>
    <s v="Entregado"/>
    <n v="1"/>
    <n v="3"/>
    <s v="Cumple"/>
    <n v="26749"/>
    <m/>
    <m/>
  </r>
  <r>
    <d v="2025-08-16T00:00:00"/>
    <x v="7"/>
    <n v="100080"/>
    <x v="0"/>
    <s v="Viviana Maldonado"/>
    <s v="TECURB"/>
    <x v="75"/>
    <n v="1"/>
    <x v="6"/>
    <s v="Antioquia"/>
    <s v="Medellin"/>
    <s v="Despachado"/>
    <s v="Coordinadora"/>
    <s v="3570839-84151335471"/>
    <d v="2025-08-19T00:00:00"/>
    <d v="2025-08-21T00:00:00"/>
    <s v="Entregado"/>
    <n v="1"/>
    <n v="3"/>
    <s v="Cumple"/>
    <n v="23429"/>
    <m/>
    <m/>
  </r>
  <r>
    <d v="2025-08-17T00:00:00"/>
    <x v="7"/>
    <n v="100081"/>
    <x v="0"/>
    <s v="Elias Rodelo"/>
    <s v="TECUCT"/>
    <x v="4"/>
    <n v="1"/>
    <x v="0"/>
    <s v="Caldas"/>
    <s v="Villamaria"/>
    <s v="Despachado"/>
    <s v="Coordinadora"/>
    <s v="3570878-84151335490"/>
    <d v="2025-08-19T00:00:00"/>
    <d v="2025-08-21T00:00:00"/>
    <s v="Entregado"/>
    <n v="0"/>
    <n v="2"/>
    <s v="Cumple"/>
    <n v="15447"/>
    <m/>
    <m/>
  </r>
  <r>
    <d v="2025-08-18T00:00:00"/>
    <x v="7"/>
    <n v="100082"/>
    <x v="0"/>
    <s v="Giovanny Gomez"/>
    <s v="TECU3FNPRO"/>
    <x v="12"/>
    <n v="1"/>
    <x v="1"/>
    <s v="Antioquia"/>
    <s v="Santuario"/>
    <s v="Despachado"/>
    <s v="Coordinadora"/>
    <s v="3574929-84151337178"/>
    <d v="2025-08-20T00:00:00"/>
    <d v="2025-08-21T00:00:00"/>
    <s v="Entregado"/>
    <n v="1"/>
    <n v="2"/>
    <e v="#N/A"/>
    <n v="41593"/>
    <m/>
    <m/>
  </r>
  <r>
    <d v="2025-08-18T00:00:00"/>
    <x v="7"/>
    <n v="100082"/>
    <x v="0"/>
    <s v="Giovanny Gomez"/>
    <s v="TECUTCO6C"/>
    <x v="16"/>
    <n v="1"/>
    <x v="2"/>
    <s v="Antioquia"/>
    <s v="Santuario"/>
    <s v="Despachado"/>
    <s v="Coordinadora"/>
    <s v="3574930-84151337179"/>
    <d v="2025-08-20T00:00:00"/>
    <d v="2025-08-21T00:00:00"/>
    <s v="Entregado"/>
    <n v="1"/>
    <n v="2"/>
    <e v="#N/A"/>
    <n v="24093"/>
    <m/>
    <m/>
  </r>
  <r>
    <d v="2025-08-18T00:00:00"/>
    <x v="7"/>
    <n v="100083"/>
    <x v="0"/>
    <s v="jose david carrillo lozano"/>
    <s v="TECU3FNPRO"/>
    <x v="12"/>
    <n v="1"/>
    <x v="1"/>
    <s v="Bogotá y alrededores"/>
    <s v="Cajica"/>
    <s v="Despachado"/>
    <s v="Coordinadora"/>
    <s v="3574972-84151337198"/>
    <d v="2025-08-20T00:00:00"/>
    <d v="2025-08-21T00:00:00"/>
    <s v="Entregado"/>
    <n v="1"/>
    <n v="2"/>
    <s v="Cumple"/>
    <n v="41593"/>
    <m/>
    <m/>
  </r>
  <r>
    <d v="2025-08-18T00:00:00"/>
    <x v="7"/>
    <n v="100083"/>
    <x v="0"/>
    <s v="jose david carrillo lozano"/>
    <s v="TECUTFE8C"/>
    <x v="21"/>
    <n v="1"/>
    <x v="2"/>
    <s v="Bogotá y alrededores"/>
    <s v="Cajica"/>
    <s v="Despachado"/>
    <s v="Coordinadora"/>
    <s v="3574973-84151337199"/>
    <d v="2025-08-20T00:00:00"/>
    <d v="2025-08-21T00:00:00"/>
    <s v="Entregado"/>
    <n v="1"/>
    <n v="2"/>
    <s v="Cumple"/>
    <n v="26749"/>
    <m/>
    <m/>
  </r>
  <r>
    <d v="2025-08-18T00:00:00"/>
    <x v="7"/>
    <n v="100084"/>
    <x v="0"/>
    <s v="Andres Naranjo"/>
    <s v="TECU3FNCRO"/>
    <x v="55"/>
    <n v="1"/>
    <x v="1"/>
    <s v="Bogotá y alrededores"/>
    <s v="Mosquera"/>
    <s v="Despachado"/>
    <s v="Coordinadora"/>
    <s v="3575124-84151337269"/>
    <d v="2025-08-20T00:00:00"/>
    <d v="2025-08-21T00:00:00"/>
    <s v="Entregado"/>
    <n v="1"/>
    <n v="2"/>
    <s v="Cumple"/>
    <n v="41593"/>
    <m/>
    <m/>
  </r>
  <r>
    <d v="2025-08-18T00:00:00"/>
    <x v="7"/>
    <n v="100084"/>
    <x v="0"/>
    <s v="Andres Naranjo"/>
    <s v="TECUTB8C"/>
    <x v="76"/>
    <n v="1"/>
    <x v="2"/>
    <s v="Bogotá y alrededores"/>
    <s v="Mosquera"/>
    <s v="Despachado"/>
    <s v="Coordinadora"/>
    <s v="3575125-84151337270"/>
    <d v="2025-08-20T00:00:00"/>
    <d v="2025-08-21T00:00:00"/>
    <s v="Entregado"/>
    <n v="1"/>
    <n v="2"/>
    <s v="Cumple"/>
    <n v="26749"/>
    <m/>
    <m/>
  </r>
  <r>
    <d v="2025-08-18T00:00:00"/>
    <x v="7"/>
    <n v="100084"/>
    <x v="0"/>
    <s v="Andres Naranjo"/>
    <s v="TECUAB"/>
    <x v="44"/>
    <n v="1"/>
    <x v="5"/>
    <s v="Bogotá y alrededores"/>
    <s v="Mosquera"/>
    <s v="Despachado"/>
    <s v="Envia"/>
    <s v="3595004-954101284712"/>
    <d v="2025-08-28T00:00:00"/>
    <d v="2025-08-29T00:00:00"/>
    <s v="Entregado"/>
    <n v="8"/>
    <n v="9"/>
    <s v="No cumple"/>
    <n v="65682"/>
    <m/>
    <m/>
  </r>
  <r>
    <d v="2025-08-19T00:00:00"/>
    <x v="7"/>
    <n v="100085"/>
    <x v="0"/>
    <s v="Santiago Quevedo"/>
    <s v="TECU3FNPRO"/>
    <x v="12"/>
    <n v="1"/>
    <x v="1"/>
    <s v="Antioquia"/>
    <s v="Medellin"/>
    <s v="Despachado"/>
    <s v="Coordinadora"/>
    <s v="3577663-84151338324"/>
    <d v="2025-08-21T00:00:00"/>
    <d v="2025-08-22T00:00:00"/>
    <s v="Entregado"/>
    <n v="2"/>
    <n v="3"/>
    <s v="Cumple"/>
    <n v="41593"/>
    <m/>
    <m/>
  </r>
  <r>
    <d v="2025-08-19T00:00:00"/>
    <x v="7"/>
    <n v="100085"/>
    <x v="0"/>
    <s v="Santiago Quevedo"/>
    <s v="TECUTRN7C"/>
    <x v="60"/>
    <n v="1"/>
    <x v="2"/>
    <s v="Antioquia"/>
    <s v="Medellin"/>
    <s v="Despachado"/>
    <s v="Coordinadora"/>
    <s v="3577664-84151338325"/>
    <d v="2025-08-21T00:00:00"/>
    <d v="2025-08-22T00:00:00"/>
    <s v="Entregado"/>
    <n v="2"/>
    <n v="3"/>
    <s v="Cumple"/>
    <n v="24093"/>
    <m/>
    <m/>
  </r>
  <r>
    <d v="2025-08-19T00:00:00"/>
    <x v="7"/>
    <n v="100085"/>
    <x v="0"/>
    <s v="Santiago Quevedo"/>
    <s v="TECUCT"/>
    <x v="4"/>
    <n v="1"/>
    <x v="0"/>
    <s v="Antioquia"/>
    <s v="Medellin"/>
    <s v="Despachado"/>
    <s v="Coordinadora"/>
    <s v="3577680-84151338329"/>
    <d v="2025-08-21T00:00:00"/>
    <d v="2025-08-22T00:00:00"/>
    <s v="Entregado"/>
    <n v="2"/>
    <n v="3"/>
    <s v="Cumple"/>
    <n v="24885"/>
    <m/>
    <m/>
  </r>
  <r>
    <d v="2025-08-19T00:00:00"/>
    <x v="7"/>
    <n v="100086"/>
    <x v="0"/>
    <s v="Alejandro Velez Grajales"/>
    <s v="TECU3FNPRO"/>
    <x v="12"/>
    <n v="1"/>
    <x v="1"/>
    <s v="Antioquia"/>
    <s v="Itagui"/>
    <s v="Despachado"/>
    <s v="Coordinadora"/>
    <s v="3577738-84151338351"/>
    <d v="2025-08-21T00:00:00"/>
    <d v="2025-08-23T00:00:00"/>
    <s v="Entregado"/>
    <n v="2"/>
    <n v="4"/>
    <s v="No cumple"/>
    <n v="41593"/>
    <m/>
    <m/>
  </r>
  <r>
    <d v="2025-08-19T00:00:00"/>
    <x v="7"/>
    <n v="100086"/>
    <x v="0"/>
    <s v="Alejandro Velez Grajales"/>
    <s v="TECUTCO4C"/>
    <x v="6"/>
    <n v="1"/>
    <x v="2"/>
    <s v="Antioquia"/>
    <s v="Itagui"/>
    <s v="Despachado"/>
    <s v="Coordinadora"/>
    <s v="3577739-84151338352"/>
    <d v="2025-08-21T00:00:00"/>
    <d v="2025-08-23T00:00:00"/>
    <s v="Entregado"/>
    <n v="2"/>
    <n v="4"/>
    <s v="No cumple"/>
    <n v="24093"/>
    <m/>
    <m/>
  </r>
  <r>
    <d v="2025-08-19T00:00:00"/>
    <x v="7"/>
    <n v="100086"/>
    <x v="0"/>
    <s v="Alejandro Velez Grajales"/>
    <s v="TECUCT"/>
    <x v="4"/>
    <n v="1"/>
    <x v="0"/>
    <s v="Antioquia"/>
    <s v="Itagui"/>
    <s v="Despachado"/>
    <s v="Coordinadora"/>
    <s v="3577757-84151338354"/>
    <d v="2025-08-21T00:00:00"/>
    <d v="2025-08-22T00:00:00"/>
    <s v="Entregado"/>
    <n v="2"/>
    <n v="3"/>
    <s v="Cumple"/>
    <n v="24885"/>
    <m/>
    <m/>
  </r>
  <r>
    <d v="2025-08-20T00:00:00"/>
    <x v="7"/>
    <n v="100087"/>
    <x v="0"/>
    <s v="Sebastian Guerrero / Productos Disanfer SAS"/>
    <s v="TECU3FNCRO"/>
    <x v="55"/>
    <n v="1"/>
    <x v="1"/>
    <s v="Bogotá y alrededores"/>
    <s v="Bogota"/>
    <s v="Despachado"/>
    <s v="Coordinadora"/>
    <s v="3577771-84151338374"/>
    <d v="2025-08-21T00:00:00"/>
    <d v="2025-08-23T00:00:00"/>
    <s v="Entregado"/>
    <n v="1"/>
    <n v="3"/>
    <s v="Cumple"/>
    <n v="41593"/>
    <m/>
    <m/>
  </r>
  <r>
    <d v="2025-08-20T00:00:00"/>
    <x v="7"/>
    <n v="100087"/>
    <x v="0"/>
    <s v="Sebastian Guerrero / Productos Disanfer SAS"/>
    <s v="TECUTFE2C"/>
    <x v="3"/>
    <n v="1"/>
    <x v="2"/>
    <s v="Bogotá y alrededores"/>
    <s v="Bogota"/>
    <s v="Despachado"/>
    <s v="Coordinadora"/>
    <s v="3577772-84151338376"/>
    <d v="2025-08-21T00:00:00"/>
    <d v="2025-08-23T00:00:00"/>
    <s v="Entregado"/>
    <n v="1"/>
    <n v="3"/>
    <s v="Cumple"/>
    <n v="24093"/>
    <m/>
    <m/>
  </r>
  <r>
    <d v="2025-08-20T00:00:00"/>
    <x v="7"/>
    <n v="100087"/>
    <x v="0"/>
    <s v="Sebastian Guerrero / Productos Disanfer SAS"/>
    <s v="TECUCT"/>
    <x v="4"/>
    <n v="1"/>
    <x v="0"/>
    <s v="Bogotá y alrededores"/>
    <s v="Bogota"/>
    <s v="Despachado"/>
    <s v="Coordinadora"/>
    <s v="3577781-84151338377"/>
    <d v="2025-08-21T00:00:00"/>
    <d v="2025-08-23T00:00:00"/>
    <s v="Entregado"/>
    <n v="1"/>
    <n v="3"/>
    <s v="Cumple"/>
    <n v="24885"/>
    <m/>
    <m/>
  </r>
  <r>
    <d v="2025-08-22T00:00:00"/>
    <x v="7"/>
    <n v="100088"/>
    <x v="0"/>
    <s v="Nancy Ballesteros / Sense Design SAS"/>
    <s v="TECU2FBGO"/>
    <x v="2"/>
    <n v="1"/>
    <x v="1"/>
    <s v="Bogotá y alrededores"/>
    <s v="Bogota"/>
    <s v="Despachado"/>
    <s v="Coordinadora"/>
    <s v="3595018-84151345133"/>
    <d v="2025-08-28T00:00:00"/>
    <d v="2025-09-01T00:00:00"/>
    <s v="Entregado"/>
    <n v="5"/>
    <n v="8"/>
    <s v="No cumple"/>
    <n v="41593"/>
    <m/>
    <m/>
  </r>
  <r>
    <d v="2025-08-22T00:00:00"/>
    <x v="7"/>
    <n v="100088"/>
    <x v="0"/>
    <s v="Nancy Ballesteros / Sense Design SAS"/>
    <s v="TECUTFE2C"/>
    <x v="3"/>
    <n v="1"/>
    <x v="2"/>
    <s v="Bogotá y alrededores"/>
    <s v="Bogota"/>
    <s v="Despachado"/>
    <s v="Coordinadora"/>
    <s v="3595019-84151345134"/>
    <d v="2025-08-28T00:00:00"/>
    <d v="2025-09-01T00:00:00"/>
    <s v="Entregado"/>
    <n v="5"/>
    <n v="8"/>
    <s v="No cumple"/>
    <n v="24093"/>
    <m/>
    <m/>
  </r>
  <r>
    <d v="2025-08-22T00:00:00"/>
    <x v="7"/>
    <n v="100088"/>
    <x v="0"/>
    <s v="Nancy Ballesteros / Sense Design SAS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n v="0"/>
    <m/>
    <m/>
  </r>
  <r>
    <d v="2025-08-24T00:00:00"/>
    <x v="7"/>
    <n v="100089"/>
    <x v="0"/>
    <s v="Alejandro Dueñas Garcia"/>
    <s v="TECU3FNPRO"/>
    <x v="12"/>
    <n v="1"/>
    <x v="1"/>
    <s v="Bogotá y alrededores"/>
    <s v="Bogota"/>
    <s v="Despachado"/>
    <s v="Coordinadora"/>
    <s v="3595031-84151345138"/>
    <d v="2025-08-28T00:00:00"/>
    <d v="2025-09-01T00:00:00"/>
    <s v="Entregado"/>
    <n v="3"/>
    <n v="6"/>
    <s v="No cumple"/>
    <n v="41593"/>
    <m/>
    <m/>
  </r>
  <r>
    <d v="2025-08-24T00:00:00"/>
    <x v="7"/>
    <n v="100089"/>
    <x v="0"/>
    <s v="Alejandro Dueñas Garcia"/>
    <s v="TECUTRN8C"/>
    <x v="58"/>
    <n v="1"/>
    <x v="2"/>
    <s v="Bogotá y alrededores"/>
    <s v="Bogota"/>
    <s v="Despachado"/>
    <s v="Coordinadora"/>
    <s v="3595032-84151345139"/>
    <d v="2025-08-28T00:00:00"/>
    <d v="2025-09-01T00:00:00"/>
    <s v="Entregado"/>
    <n v="3"/>
    <n v="6"/>
    <s v="No cumple"/>
    <n v="26749"/>
    <m/>
    <m/>
  </r>
  <r>
    <d v="2025-08-24T00:00:00"/>
    <x v="7"/>
    <n v="100089"/>
    <x v="0"/>
    <s v="Alejandro Dueñas Garcia"/>
    <s v="TECUCT"/>
    <x v="4"/>
    <n v="1"/>
    <x v="0"/>
    <s v="Bogotá y alrededores"/>
    <s v="Bogota"/>
    <s v="Despachado"/>
    <s v="Coordinadora"/>
    <s v="3595040-84151345144"/>
    <d v="2025-08-28T00:00:00"/>
    <d v="2025-09-01T00:00:00"/>
    <s v="Entregado"/>
    <n v="3"/>
    <n v="6"/>
    <s v="No cumple"/>
    <n v="24885"/>
    <m/>
    <m/>
  </r>
  <r>
    <d v="2025-08-24T00:00:00"/>
    <x v="7"/>
    <n v="100089"/>
    <x v="0"/>
    <s v="Alejandro Dueñas Garcia"/>
    <m/>
    <x v="10"/>
    <n v="1"/>
    <x v="3"/>
    <s v="Bogotá y alrededores"/>
    <s v="Bogota"/>
    <s v="Despachado"/>
    <s v="Coordinadora"/>
    <s v="NA"/>
    <s v="NA"/>
    <s v="NA"/>
    <s v="Entregado"/>
    <e v="#VALUE!"/>
    <e v="#VALUE!"/>
    <e v="#VALUE!"/>
    <m/>
    <m/>
    <m/>
  </r>
  <r>
    <d v="2025-08-25T00:00:00"/>
    <x v="7"/>
    <n v="100090"/>
    <x v="0"/>
    <s v="alejandro herreño"/>
    <s v="TECURCO"/>
    <x v="30"/>
    <n v="1"/>
    <x v="6"/>
    <s v="Atlantico"/>
    <s v="Barranquilla"/>
    <s v="Despachado"/>
    <s v="Coordinadora"/>
    <s v="3593945-84151344669"/>
    <d v="2025-08-27T00:00:00"/>
    <d v="2025-08-29T00:00:00"/>
    <s v="Entregado"/>
    <n v="2"/>
    <n v="4"/>
    <s v="Cumple"/>
    <n v="37762"/>
    <m/>
    <m/>
  </r>
  <r>
    <d v="2025-08-25T00:00:00"/>
    <x v="7"/>
    <n v="100091"/>
    <x v="0"/>
    <s v="Sebastian Guerrero / Productos Disanfer SAS"/>
    <s v="TECUAFE"/>
    <x v="43"/>
    <n v="1"/>
    <x v="5"/>
    <s v="Bogotá y alrededores"/>
    <s v="Bogota"/>
    <s v="Despachado"/>
    <s v="Coordinadora"/>
    <s v="3594583-954101284510"/>
    <d v="2025-08-27T00:00:00"/>
    <d v="2025-08-29T00:00:00"/>
    <s v="Entregado"/>
    <n v="2"/>
    <n v="4"/>
    <s v="No cumple"/>
    <n v="59843"/>
    <m/>
    <m/>
  </r>
  <r>
    <d v="2025-08-26T00:00:00"/>
    <x v="7"/>
    <n v="100092"/>
    <x v="0"/>
    <s v="David Fernando Ordoñez Vargas"/>
    <s v="TECU2FNG"/>
    <x v="5"/>
    <n v="1"/>
    <x v="1"/>
    <s v="Meta"/>
    <s v="Villavicencio"/>
    <s v="En alistamiento"/>
    <s v="Coordinadora"/>
    <m/>
    <m/>
    <m/>
    <s v="En transito"/>
    <s v="PTE"/>
    <s v="PTE"/>
    <s v="PTE"/>
    <m/>
    <m/>
    <m/>
  </r>
  <r>
    <d v="2025-08-26T00:00:00"/>
    <x v="7"/>
    <n v="100092"/>
    <x v="0"/>
    <s v="David Fernando Ordoñez Vargas"/>
    <s v="TECUTFE2C"/>
    <x v="3"/>
    <n v="1"/>
    <x v="2"/>
    <s v="Meta"/>
    <s v="Villavicencio"/>
    <s v="En alistamiento"/>
    <s v="Coordinadora"/>
    <m/>
    <m/>
    <m/>
    <s v="En transito"/>
    <s v="PTE"/>
    <s v="PTE"/>
    <s v="PTE"/>
    <m/>
    <m/>
    <m/>
  </r>
  <r>
    <d v="2025-08-27T00:00:00"/>
    <x v="7"/>
    <n v="100093"/>
    <x v="0"/>
    <s v="Jorge Enrique Galindez"/>
    <s v="TECU3FNPRO"/>
    <x v="12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8-27T00:00:00"/>
    <x v="7"/>
    <n v="100093"/>
    <x v="0"/>
    <s v="Jorge Enrique Galindez"/>
    <s v="TECUTRM5C"/>
    <x v="27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8-27T00:00:00"/>
    <x v="7"/>
    <n v="100093"/>
    <x v="0"/>
    <s v="Jorge Enrique Galindez"/>
    <s v="TECUCT"/>
    <x v="4"/>
    <n v="1"/>
    <x v="0"/>
    <s v="Bogotá y alrededores"/>
    <s v="Bogota"/>
    <s v="En alistamiento"/>
    <s v="Coordinadora"/>
    <m/>
    <m/>
    <m/>
    <s v="En transito"/>
    <s v="PTE"/>
    <s v="PTE"/>
    <s v="PTE"/>
    <m/>
    <m/>
    <m/>
  </r>
  <r>
    <d v="2025-08-27T00:00:00"/>
    <x v="7"/>
    <n v="100093"/>
    <x v="0"/>
    <s v="Jorge Enrique Galindez"/>
    <m/>
    <x v="10"/>
    <n v="1"/>
    <x v="3"/>
    <s v="Bogotá y alrededores"/>
    <s v="Bogota"/>
    <s v="En alistamiento"/>
    <s v="Coordinadora"/>
    <m/>
    <m/>
    <m/>
    <s v="En transito"/>
    <s v="PTE"/>
    <s v="PTE"/>
    <s v="PTE"/>
    <m/>
    <m/>
    <m/>
  </r>
  <r>
    <d v="2025-08-28T00:00:00"/>
    <x v="7"/>
    <n v="100094"/>
    <x v="0"/>
    <s v="Alfredo Chuscano"/>
    <s v="TECURCO"/>
    <x v="30"/>
    <n v="1"/>
    <x v="6"/>
    <s v="Bogotá y alrededores"/>
    <s v="Bogota"/>
    <s v="En alistamiento"/>
    <s v="Coordinadora"/>
    <m/>
    <m/>
    <m/>
    <s v="En transito"/>
    <s v="PTE"/>
    <s v="PTE"/>
    <s v="PTE"/>
    <m/>
    <m/>
    <m/>
  </r>
  <r>
    <d v="2025-08-28T00:00:00"/>
    <x v="7"/>
    <n v="100095"/>
    <x v="0"/>
    <s v="JUAN SEBASTIAN ZULUAGA"/>
    <s v="TECU3FNPRO"/>
    <x v="12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8-28T00:00:00"/>
    <x v="7"/>
    <n v="100095"/>
    <x v="0"/>
    <s v="JUAN SEBASTIAN ZULUAGA"/>
    <s v="TECUTRN3C"/>
    <x v="67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8-28T00:00:00"/>
    <x v="7"/>
    <n v="100096"/>
    <x v="0"/>
    <s v="ELEV8 MEDIA SAS LUISA SANCHEZ"/>
    <s v="TECU3FNPRO"/>
    <x v="12"/>
    <n v="1"/>
    <x v="1"/>
    <s v="Antioquia"/>
    <s v="Medellin"/>
    <s v="En alistamiento"/>
    <s v="Coordinadora"/>
    <m/>
    <m/>
    <m/>
    <s v="En transito"/>
    <s v="PTE"/>
    <s v="PTE"/>
    <s v="PTE"/>
    <m/>
    <m/>
    <m/>
  </r>
  <r>
    <d v="2025-08-28T00:00:00"/>
    <x v="7"/>
    <n v="100096"/>
    <x v="0"/>
    <s v="ELEV8 MEDIA SAS LUISA SANCHEZ"/>
    <s v="TECUTRN8M"/>
    <x v="77"/>
    <n v="1"/>
    <x v="2"/>
    <s v="Antioquia"/>
    <s v="Medellin"/>
    <s v="En alistamiento"/>
    <s v="Coordinadora"/>
    <m/>
    <m/>
    <m/>
    <s v="En transito"/>
    <s v="PTE"/>
    <s v="PTE"/>
    <s v="PTE"/>
    <m/>
    <m/>
    <m/>
  </r>
  <r>
    <d v="2025-08-28T00:00:00"/>
    <x v="7"/>
    <n v="100096"/>
    <x v="0"/>
    <s v="ELEV8 MEDIA SAS LUISA SANCHEZ"/>
    <m/>
    <x v="10"/>
    <m/>
    <x v="3"/>
    <s v="Antioquia"/>
    <s v="Medellin"/>
    <s v="En alistamiento"/>
    <s v="Coordinadora"/>
    <m/>
    <m/>
    <m/>
    <s v="En transito"/>
    <s v="PTE"/>
    <s v="PTE"/>
    <s v="PTE"/>
    <m/>
    <m/>
    <m/>
  </r>
  <r>
    <d v="2025-08-28T00:00:00"/>
    <x v="7"/>
    <n v="100097"/>
    <x v="0"/>
    <s v="Diego Fernando Franco Gonzalez"/>
    <s v="TECU3FBRO"/>
    <x v="34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8-28T00:00:00"/>
    <x v="7"/>
    <n v="100097"/>
    <x v="0"/>
    <s v="Diego Fernando Franco Gonzalez"/>
    <s v="TECUTCO2C"/>
    <x v="37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8-28T00:00:00"/>
    <x v="7"/>
    <n v="100097"/>
    <x v="0"/>
    <s v="Diego Fernando Franco Gonzalez"/>
    <m/>
    <x v="10"/>
    <n v="1"/>
    <x v="3"/>
    <s v="Bogotá y alrededores"/>
    <s v="Bogota"/>
    <s v="En alistamiento"/>
    <s v="Coordinadora"/>
    <m/>
    <m/>
    <m/>
    <s v="En transito"/>
    <s v="PTE"/>
    <s v="PTE"/>
    <s v="PTE"/>
    <m/>
    <m/>
    <m/>
  </r>
  <r>
    <d v="2025-08-30T00:00:00"/>
    <x v="7"/>
    <n v="100098"/>
    <x v="0"/>
    <s v="Diego Fernando Franco Gonzalez"/>
    <s v="TECUROD"/>
    <x v="31"/>
    <n v="1"/>
    <x v="7"/>
    <s v="Bogotá y alrededores"/>
    <s v="Bogota"/>
    <s v="En alistamiento"/>
    <s v="Coordinadora"/>
    <m/>
    <m/>
    <m/>
    <s v="En transito"/>
    <s v="PTE"/>
    <s v="PTE"/>
    <s v="PTE"/>
    <m/>
    <m/>
    <m/>
  </r>
  <r>
    <d v="2025-08-30T00:00:00"/>
    <x v="7"/>
    <n v="100099"/>
    <x v="0"/>
    <s v="Dolf Bouwe Joseph August Andringa"/>
    <s v="TECU3FNPRO"/>
    <x v="12"/>
    <n v="1"/>
    <x v="1"/>
    <s v="Antioquia"/>
    <s v="Medellin"/>
    <s v="En alistamiento"/>
    <s v="Coordinadora"/>
    <m/>
    <m/>
    <m/>
    <s v="En transito"/>
    <s v="PTE"/>
    <s v="PTE"/>
    <s v="PTE"/>
    <m/>
    <m/>
    <m/>
  </r>
  <r>
    <d v="2025-08-30T00:00:00"/>
    <x v="7"/>
    <n v="100099"/>
    <x v="0"/>
    <s v="Dolf Bouwe Joseph August Andringa"/>
    <s v="TECUTCO6M"/>
    <x v="24"/>
    <n v="1"/>
    <x v="2"/>
    <s v="Antioquia"/>
    <s v="Medellin"/>
    <s v="En alistamiento"/>
    <s v="Coordinadora"/>
    <m/>
    <m/>
    <m/>
    <s v="En transito"/>
    <s v="PTE"/>
    <s v="PTE"/>
    <s v="PTE"/>
    <m/>
    <m/>
    <m/>
  </r>
  <r>
    <d v="2025-08-30T00:00:00"/>
    <x v="7"/>
    <n v="100099"/>
    <x v="0"/>
    <s v="Dolf Bouwe Joseph August Andringa"/>
    <s v="TECU3FNPRO"/>
    <x v="12"/>
    <n v="1"/>
    <x v="1"/>
    <s v="Antioquia"/>
    <s v="Medellin"/>
    <s v="En alistamiento"/>
    <s v="Coordinadora"/>
    <m/>
    <m/>
    <m/>
    <s v="En transito"/>
    <s v="PTE"/>
    <s v="PTE"/>
    <s v="PTE"/>
    <m/>
    <m/>
    <m/>
  </r>
  <r>
    <d v="2025-08-30T00:00:00"/>
    <x v="7"/>
    <n v="100099"/>
    <x v="0"/>
    <s v="Dolf Bouwe Joseph August Andringa"/>
    <s v="TECUTCO5M"/>
    <x v="40"/>
    <n v="1"/>
    <x v="2"/>
    <s v="Antioquia"/>
    <s v="Medellin"/>
    <s v="En alistamiento"/>
    <s v="Coordinadora"/>
    <m/>
    <m/>
    <m/>
    <s v="En transito"/>
    <s v="PTE"/>
    <s v="PTE"/>
    <s v="PTE"/>
    <m/>
    <m/>
    <m/>
  </r>
  <r>
    <d v="2025-08-30T00:00:00"/>
    <x v="7"/>
    <n v="100099"/>
    <x v="0"/>
    <s v="Dolf Bouwe Joseph August Andringa"/>
    <s v="TECUCT"/>
    <x v="4"/>
    <n v="2"/>
    <x v="0"/>
    <s v="Antioquia"/>
    <s v="Medellin"/>
    <s v="En alistamiento"/>
    <s v="Coordinadora"/>
    <m/>
    <m/>
    <m/>
    <s v="En transito"/>
    <s v="PTE"/>
    <s v="PTE"/>
    <s v="PTE"/>
    <m/>
    <m/>
    <m/>
  </r>
  <r>
    <d v="2025-08-30T00:00:00"/>
    <x v="7"/>
    <n v="100099"/>
    <x v="0"/>
    <s v="Dolf Bouwe Joseph August Andringa"/>
    <s v="TECUBDPA"/>
    <x v="1"/>
    <n v="2"/>
    <x v="0"/>
    <s v="Antioquia"/>
    <s v="Medellin"/>
    <s v="En alistamiento"/>
    <s v="Coordinadora"/>
    <m/>
    <m/>
    <m/>
    <s v="En transito"/>
    <s v="PTE"/>
    <s v="PTE"/>
    <s v="PTE"/>
    <m/>
    <m/>
    <m/>
  </r>
  <r>
    <d v="2025-09-01T00:00:00"/>
    <x v="8"/>
    <n v="100102"/>
    <x v="0"/>
    <s v="Miguel Angel Romero Olaya"/>
    <s v="TECU3FNPRO"/>
    <x v="12"/>
    <n v="1"/>
    <x v="1"/>
    <s v="Bogotá y alrededores"/>
    <s v="Fusagasuga"/>
    <s v="En alistamiento"/>
    <s v="Coordinadora"/>
    <m/>
    <m/>
    <m/>
    <s v="En transito"/>
    <s v="PTE"/>
    <s v="PTE"/>
    <s v="PTE"/>
    <m/>
    <m/>
    <m/>
  </r>
  <r>
    <d v="2025-09-01T00:00:00"/>
    <x v="8"/>
    <n v="100102"/>
    <x v="0"/>
    <s v="Miguel Angel Romero Olaya"/>
    <s v="TECUTRN7C"/>
    <x v="60"/>
    <n v="1"/>
    <x v="2"/>
    <s v="Bogotá y alrededores"/>
    <s v="Fusagasuga"/>
    <s v="En alistamiento"/>
    <s v="Coordinadora"/>
    <m/>
    <m/>
    <m/>
    <s v="En transito"/>
    <s v="PTE"/>
    <s v="PTE"/>
    <s v="PTE"/>
    <m/>
    <m/>
    <m/>
  </r>
  <r>
    <d v="2025-09-02T00:00:00"/>
    <x v="8"/>
    <n v="100103"/>
    <x v="0"/>
    <s v="alex castro"/>
    <s v="TECU3FBRO"/>
    <x v="34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9-02T00:00:00"/>
    <x v="8"/>
    <n v="100103"/>
    <x v="0"/>
    <s v="alex castro"/>
    <s v="TECUTB2C"/>
    <x v="68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9-03T00:00:00"/>
    <x v="8"/>
    <n v="100104"/>
    <x v="0"/>
    <s v="Laura Ximena Urueña Camacho"/>
    <s v="TECU3FBCRO"/>
    <x v="66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9-03T00:00:00"/>
    <x v="8"/>
    <n v="100104"/>
    <x v="0"/>
    <s v="Laura Ximena Urueña Camacho"/>
    <s v="TECUTFE7C"/>
    <x v="53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9-03T00:00:00"/>
    <x v="8"/>
    <n v="100105"/>
    <x v="0"/>
    <s v="Matias Velez"/>
    <s v="TECU3FNPRO"/>
    <x v="12"/>
    <n v="1"/>
    <x v="1"/>
    <s v="Caldas"/>
    <s v="Manizales"/>
    <s v="En alistamiento"/>
    <s v="Coordinadora"/>
    <m/>
    <m/>
    <m/>
    <s v="En transito"/>
    <s v="PTE"/>
    <s v="PTE"/>
    <s v="PTE"/>
    <m/>
    <m/>
    <m/>
  </r>
  <r>
    <d v="2025-09-03T00:00:00"/>
    <x v="8"/>
    <n v="100105"/>
    <x v="0"/>
    <s v="Matias Velez"/>
    <s v="TECUTCO2C"/>
    <x v="37"/>
    <n v="1"/>
    <x v="2"/>
    <s v="Caldas"/>
    <s v="Manizales"/>
    <s v="En alistamiento"/>
    <s v="Coordinadora"/>
    <m/>
    <m/>
    <m/>
    <s v="En transito"/>
    <s v="PTE"/>
    <s v="PTE"/>
    <s v="PTE"/>
    <m/>
    <m/>
    <m/>
  </r>
  <r>
    <d v="2025-09-03T00:00:00"/>
    <x v="8"/>
    <n v="100106"/>
    <x v="0"/>
    <s v="Manuel Agudelo"/>
    <s v="TECU3FNPRO"/>
    <x v="12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9-03T00:00:00"/>
    <x v="8"/>
    <n v="100106"/>
    <x v="0"/>
    <s v="Manuel Agudelo"/>
    <s v="TECUTRN20C"/>
    <x v="65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9-05T00:00:00"/>
    <x v="8"/>
    <n v="100108"/>
    <x v="0"/>
    <s v="Julio Álvarez"/>
    <s v="TECU2FNG"/>
    <x v="5"/>
    <n v="1"/>
    <x v="1"/>
    <s v="Valle del Cauca"/>
    <s v="Buga"/>
    <s v="En alistamiento"/>
    <s v="Coordinadora"/>
    <m/>
    <m/>
    <m/>
    <s v="En transito"/>
    <s v="PTE"/>
    <s v="PTE"/>
    <s v="PTE"/>
    <m/>
    <m/>
    <m/>
  </r>
  <r>
    <d v="2025-09-05T00:00:00"/>
    <x v="8"/>
    <n v="100108"/>
    <x v="0"/>
    <s v="Julio Álvarez"/>
    <s v="TECUTFE6C"/>
    <x v="28"/>
    <n v="1"/>
    <x v="2"/>
    <s v="Valle del Cauca"/>
    <s v="Buga"/>
    <s v="En alistamiento"/>
    <s v="Coordinadora"/>
    <m/>
    <m/>
    <m/>
    <s v="En transito"/>
    <s v="PTE"/>
    <s v="PTE"/>
    <s v="PTE"/>
    <m/>
    <m/>
    <m/>
  </r>
  <r>
    <d v="2025-09-05T00:00:00"/>
    <x v="8"/>
    <n v="100108"/>
    <x v="0"/>
    <s v="Julio Álvarez"/>
    <s v="TECUAFE"/>
    <x v="43"/>
    <n v="1"/>
    <x v="5"/>
    <s v="Valle del Cauca"/>
    <s v="Buga"/>
    <s v="En alistamiento"/>
    <s v="Coordinadora"/>
    <m/>
    <m/>
    <m/>
    <s v="En transito"/>
    <s v="PTE"/>
    <s v="PTE"/>
    <s v="PTE"/>
    <m/>
    <m/>
    <m/>
  </r>
  <r>
    <d v="2025-09-05T00:00:00"/>
    <x v="8"/>
    <n v="100108"/>
    <x v="0"/>
    <s v="Julio Álvarez"/>
    <s v="TECUROD"/>
    <x v="31"/>
    <n v="1"/>
    <x v="7"/>
    <s v="Valle del Cauca"/>
    <s v="Buga"/>
    <s v="En alistamiento"/>
    <s v="Coordinadora"/>
    <m/>
    <m/>
    <m/>
    <s v="En transito"/>
    <s v="PTE"/>
    <s v="PTE"/>
    <s v="PTE"/>
    <m/>
    <m/>
    <m/>
  </r>
  <r>
    <d v="2025-09-09T00:00:00"/>
    <x v="8"/>
    <n v="100109"/>
    <x v="0"/>
    <s v="Frank Leao Serrato"/>
    <s v="TECULFN2"/>
    <x v="7"/>
    <n v="1"/>
    <x v="1"/>
    <s v="Bogotá y alrededores"/>
    <s v="Tocancipa"/>
    <s v="En alistamiento"/>
    <s v="Coordinadora"/>
    <m/>
    <m/>
    <m/>
    <s v="En transito"/>
    <s v="PTE"/>
    <s v="PTE"/>
    <s v="PTE"/>
    <m/>
    <m/>
    <m/>
  </r>
  <r>
    <d v="2025-09-09T00:00:00"/>
    <x v="8"/>
    <n v="100109"/>
    <x v="0"/>
    <s v="Frank Leao Serrato"/>
    <s v="TECUTLFES"/>
    <x v="63"/>
    <n v="1"/>
    <x v="2"/>
    <s v="Bogotá y alrededores"/>
    <s v="Tocancipa"/>
    <s v="En alistamiento"/>
    <s v="Coordinadora"/>
    <m/>
    <m/>
    <m/>
    <s v="En transito"/>
    <s v="PTE"/>
    <s v="PTE"/>
    <s v="PTE"/>
    <m/>
    <m/>
    <m/>
  </r>
  <r>
    <d v="2025-09-10T00:00:00"/>
    <x v="8"/>
    <n v="100110"/>
    <x v="0"/>
    <s v="Juan Jose Castaño"/>
    <s v="TECUCT"/>
    <x v="4"/>
    <n v="1"/>
    <x v="0"/>
    <s v="Bogotá y alrededores"/>
    <s v="Bogota"/>
    <s v="En alistamiento"/>
    <s v="Coordinadora"/>
    <m/>
    <m/>
    <m/>
    <s v="En transito"/>
    <s v="PTE"/>
    <s v="PTE"/>
    <s v="PTE"/>
    <m/>
    <m/>
    <m/>
  </r>
  <r>
    <d v="2025-09-11T00:00:00"/>
    <x v="8"/>
    <n v="100111"/>
    <x v="0"/>
    <s v="Diego Beltrán"/>
    <s v="TECU3FNPRO"/>
    <x v="12"/>
    <n v="1"/>
    <x v="1"/>
    <s v="Bogotá y alrededores"/>
    <s v="Bogota"/>
    <s v="En alistamiento"/>
    <s v="Coordinadora"/>
    <m/>
    <m/>
    <m/>
    <s v="En transito"/>
    <s v="PTE"/>
    <s v="PTE"/>
    <s v="PTE"/>
    <m/>
    <m/>
    <m/>
  </r>
  <r>
    <d v="2025-09-11T00:00:00"/>
    <x v="8"/>
    <n v="100111"/>
    <x v="0"/>
    <s v="Diego Beltrán"/>
    <s v="TECUTRC8C"/>
    <x v="78"/>
    <n v="1"/>
    <x v="2"/>
    <s v="Bogotá y alrededores"/>
    <s v="Bogota"/>
    <s v="En alistamiento"/>
    <s v="Coordinadora"/>
    <m/>
    <m/>
    <m/>
    <s v="En transito"/>
    <s v="PTE"/>
    <s v="PTE"/>
    <s v="PTE"/>
    <m/>
    <m/>
    <m/>
  </r>
  <r>
    <d v="2025-09-11T00:00:00"/>
    <x v="8"/>
    <n v="100111"/>
    <x v="0"/>
    <s v="Diego Beltrán"/>
    <s v="TECUCT"/>
    <x v="4"/>
    <n v="1"/>
    <x v="0"/>
    <s v="Bogotá y alrededores"/>
    <s v="Bogota"/>
    <s v="En alistamiento"/>
    <s v="Coordinadora"/>
    <m/>
    <m/>
    <m/>
    <s v="En transito"/>
    <s v="PTE"/>
    <s v="PTE"/>
    <s v="PTE"/>
    <m/>
    <m/>
    <m/>
  </r>
  <r>
    <d v="2025-09-11T00:00:00"/>
    <x v="8"/>
    <n v="100112"/>
    <x v="0"/>
    <s v="Lucas Salazar"/>
    <s v="TECU3FNPRO"/>
    <x v="12"/>
    <n v="1"/>
    <x v="1"/>
    <s v="Antioquia"/>
    <s v="Medellin"/>
    <s v="En alistamiento"/>
    <s v="Coordinadora"/>
    <m/>
    <m/>
    <m/>
    <s v="En transito"/>
    <s v="PTE"/>
    <s v="PTE"/>
    <s v="PTE"/>
    <m/>
    <m/>
    <m/>
  </r>
  <r>
    <d v="2025-09-11T00:00:00"/>
    <x v="8"/>
    <n v="100112"/>
    <x v="0"/>
    <s v="Lucas Salazar"/>
    <s v="TECUTRN6C"/>
    <x v="20"/>
    <n v="1"/>
    <x v="2"/>
    <s v="Antioquia"/>
    <s v="Medellin"/>
    <s v="En alistamiento"/>
    <s v="Coordinadora"/>
    <m/>
    <m/>
    <m/>
    <s v="En transito"/>
    <s v="PTE"/>
    <s v="PTE"/>
    <s v="PTE"/>
    <m/>
    <m/>
    <m/>
  </r>
  <r>
    <d v="2025-09-11T00:00:00"/>
    <x v="8"/>
    <n v="100112"/>
    <x v="0"/>
    <s v="Lucas Salazar"/>
    <s v="TECUCT"/>
    <x v="4"/>
    <n v="1"/>
    <x v="0"/>
    <s v="Antioquia"/>
    <s v="Medellin"/>
    <s v="En alistamiento"/>
    <s v="Coordinadora"/>
    <m/>
    <m/>
    <m/>
    <s v="En transito"/>
    <s v="PTE"/>
    <s v="PTE"/>
    <s v="PTE"/>
    <m/>
    <m/>
    <m/>
  </r>
  <r>
    <d v="2025-09-11T00:00:00"/>
    <x v="8"/>
    <n v="100112"/>
    <x v="0"/>
    <s v="Lucas Salazar"/>
    <m/>
    <x v="10"/>
    <n v="1"/>
    <x v="3"/>
    <s v="Antioquia"/>
    <s v="Medellin"/>
    <s v="En alistamiento"/>
    <s v="Coordinadora"/>
    <m/>
    <m/>
    <m/>
    <s v="En transito"/>
    <s v="PTE"/>
    <s v="PTE"/>
    <s v="PTE"/>
    <m/>
    <m/>
    <m/>
  </r>
  <r>
    <d v="2025-09-12T00:00:00"/>
    <x v="8"/>
    <n v="100113"/>
    <x v="0"/>
    <s v="Green Motion SAS"/>
    <s v="TECU3FBRO"/>
    <x v="34"/>
    <n v="1"/>
    <x v="1"/>
    <s v="Bogotá y alrededores"/>
    <s v="Chía"/>
    <s v="En alistamiento"/>
    <s v="Coordinadora"/>
    <m/>
    <m/>
    <m/>
    <s v="En transito"/>
    <s v="PTE"/>
    <s v="PTE"/>
    <s v="PTE"/>
    <m/>
    <m/>
    <m/>
  </r>
  <r>
    <d v="2025-09-12T00:00:00"/>
    <x v="8"/>
    <n v="100113"/>
    <x v="0"/>
    <s v="Green Motion SAS"/>
    <s v="TECUTFE6M"/>
    <x v="47"/>
    <n v="1"/>
    <x v="2"/>
    <s v="Bogotá y alrededores"/>
    <s v="Chía"/>
    <s v="En alistamiento"/>
    <s v="Coordinadora"/>
    <m/>
    <m/>
    <m/>
    <s v="En transito"/>
    <s v="PTE"/>
    <s v="PTE"/>
    <s v="PTE"/>
    <m/>
    <m/>
    <m/>
  </r>
  <r>
    <d v="2025-09-12T00:00:00"/>
    <x v="8"/>
    <n v="100113"/>
    <x v="0"/>
    <s v="Green Motion SAS"/>
    <m/>
    <x v="10"/>
    <n v="1"/>
    <x v="3"/>
    <s v="Bogotá y alrededores"/>
    <s v="Chía"/>
    <s v="En alistamiento"/>
    <s v="Coordinadora"/>
    <m/>
    <m/>
    <m/>
    <s v="En transito"/>
    <s v="PTE"/>
    <s v="PTE"/>
    <s v="PTE"/>
    <m/>
    <m/>
    <m/>
  </r>
  <r>
    <d v="2025-07-10T00:00:00"/>
    <x v="6"/>
    <s v="Luis"/>
    <x v="0"/>
    <s v="Luis - Marketing"/>
    <s v="TECU3FNPRO"/>
    <x v="12"/>
    <n v="1"/>
    <x v="1"/>
    <s v="Bogotá y alrededores"/>
    <s v="Bogota"/>
    <s v="Despachado"/>
    <s v="Coordinadora"/>
    <s v="3469534 - 84151293954"/>
    <d v="2025-07-10T00:00:00"/>
    <d v="2025-07-11T00:00:00"/>
    <s v="Entregado"/>
    <n v="0"/>
    <n v="1"/>
    <s v="Cumple"/>
    <n v="47921"/>
    <m/>
    <m/>
  </r>
  <r>
    <d v="2025-07-10T00:00:00"/>
    <x v="6"/>
    <s v="Luis"/>
    <x v="0"/>
    <s v="Luis - Marketing"/>
    <s v="TECUTCO5M"/>
    <x v="40"/>
    <n v="1"/>
    <x v="2"/>
    <s v="Bogotá y alrededores"/>
    <s v="Bogota"/>
    <s v="Despachado"/>
    <s v="Coordinadora"/>
    <s v="3469565 - 84151293964"/>
    <d v="2025-07-10T00:00:00"/>
    <d v="2025-07-11T00:00:00"/>
    <s v="Entregado"/>
    <n v="0"/>
    <n v="1"/>
    <s v="Cumple"/>
    <n v="28593"/>
    <m/>
    <m/>
  </r>
  <r>
    <d v="2025-07-10T00:00:00"/>
    <x v="6"/>
    <s v="James"/>
    <x v="0"/>
    <s v="James - Marketing"/>
    <s v="TECU2FBGO"/>
    <x v="2"/>
    <n v="1"/>
    <x v="1"/>
    <s v="Atlantico"/>
    <s v="Barranquilla"/>
    <s v="Despachado"/>
    <s v="Coordinadora"/>
    <s v="3469617 - 84151293980"/>
    <d v="2025-07-10T00:00:00"/>
    <d v="2025-07-12T00:00:00"/>
    <s v="Entregado"/>
    <n v="0"/>
    <n v="2"/>
    <s v="Cumple"/>
    <n v="66151"/>
    <m/>
    <m/>
  </r>
  <r>
    <d v="2025-07-10T00:00:00"/>
    <x v="6"/>
    <s v="James"/>
    <x v="0"/>
    <s v="James - Marketing"/>
    <s v="TECUTB2C"/>
    <x v="68"/>
    <n v="1"/>
    <x v="2"/>
    <s v="Atlantico"/>
    <s v="Barranquilla"/>
    <s v="Despachado"/>
    <s v="Coordinadora"/>
    <s v="3469599 - 84151293976"/>
    <d v="2025-07-10T00:00:00"/>
    <d v="2025-07-12T00:00:00"/>
    <s v="Entregado"/>
    <n v="0"/>
    <n v="2"/>
    <s v="Cumple"/>
    <n v="42262"/>
    <m/>
    <m/>
  </r>
  <r>
    <d v="2025-07-10T00:00:00"/>
    <x v="6"/>
    <s v="James"/>
    <x v="0"/>
    <s v="James - Marketing"/>
    <s v="TECUTB8M"/>
    <x v="50"/>
    <n v="1"/>
    <x v="2"/>
    <s v="Atlantico"/>
    <s v="Barranquilla"/>
    <s v="Despachado"/>
    <s v="Coordinadora"/>
    <s v="3491818 - 84151302131"/>
    <d v="2025-07-17T00:00:00"/>
    <d v="2025-07-21T00:00:00"/>
    <s v="Entregado"/>
    <n v="6"/>
    <n v="9"/>
    <s v="No cumple"/>
    <n v="47524"/>
    <m/>
    <m/>
  </r>
  <r>
    <d v="2025-09-16T00:00:00"/>
    <x v="8"/>
    <n v="100114"/>
    <x v="0"/>
    <s v="OSCAR FORERO - SENSE DESIGN SAS"/>
    <s v="TECULFN2"/>
    <x v="7"/>
    <n v="1"/>
    <x v="1"/>
    <s v="Bogotá y alrededores"/>
    <s v="Bogota"/>
    <s v="En alistamiento"/>
    <s v="Coordinadora"/>
    <m/>
    <m/>
    <m/>
    <m/>
    <m/>
    <m/>
    <m/>
    <m/>
    <m/>
    <m/>
  </r>
  <r>
    <d v="2025-09-16T00:00:00"/>
    <x v="8"/>
    <n v="100114"/>
    <x v="0"/>
    <s v="OSCAR FORERO - SENSE DESIGN SAS"/>
    <s v="TECUTLFES"/>
    <x v="63"/>
    <n v="1"/>
    <x v="2"/>
    <s v="Bogotá y alrededores"/>
    <s v="Bogota"/>
    <s v="En alistamiento"/>
    <s v="Coordinadora"/>
    <m/>
    <m/>
    <m/>
    <m/>
    <m/>
    <m/>
    <m/>
    <m/>
    <m/>
    <m/>
  </r>
  <r>
    <d v="2025-09-16T00:00:00"/>
    <x v="8"/>
    <n v="100114"/>
    <x v="0"/>
    <s v="OSCAR FORERO - SENSE DESIGN SAS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09-16T00:00:00"/>
    <x v="8"/>
    <n v="100115"/>
    <x v="0"/>
    <s v="Alejandro Barragan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09-16T00:00:00"/>
    <x v="8"/>
    <n v="100116"/>
    <x v="0"/>
    <s v="2D ARQUITECTOS SAS SAS"/>
    <s v="TECU2FNG"/>
    <x v="5"/>
    <n v="1"/>
    <x v="1"/>
    <s v="Bogotá y alrededores"/>
    <s v="Bogota"/>
    <s v="En alistamiento"/>
    <s v="Coordinadora"/>
    <m/>
    <m/>
    <m/>
    <m/>
    <m/>
    <m/>
    <m/>
    <m/>
    <m/>
    <m/>
  </r>
  <r>
    <d v="2025-09-17T00:00:00"/>
    <x v="8"/>
    <n v="100117"/>
    <x v="0"/>
    <s v="WILSON CARO"/>
    <s v="TECU3FNPRO"/>
    <x v="12"/>
    <n v="1"/>
    <x v="1"/>
    <s v="Atlantico"/>
    <s v="Barranquilla"/>
    <s v="En alistamiento"/>
    <s v="Coordinadora"/>
    <m/>
    <m/>
    <m/>
    <m/>
    <m/>
    <m/>
    <m/>
    <m/>
    <m/>
    <m/>
  </r>
  <r>
    <d v="2025-09-17T00:00:00"/>
    <x v="8"/>
    <n v="100117"/>
    <x v="0"/>
    <s v="WILSON CARO"/>
    <s v="TECUTFE2C"/>
    <x v="3"/>
    <n v="1"/>
    <x v="2"/>
    <s v="Atlantico"/>
    <s v="Barranquilla"/>
    <s v="En alistamiento"/>
    <s v="Coordinadora"/>
    <m/>
    <m/>
    <m/>
    <m/>
    <m/>
    <m/>
    <m/>
    <m/>
    <m/>
    <m/>
  </r>
  <r>
    <d v="2025-09-17T00:00:00"/>
    <x v="8"/>
    <n v="100117"/>
    <x v="0"/>
    <s v="WILSON CARO"/>
    <s v="TECUCT"/>
    <x v="4"/>
    <n v="1"/>
    <x v="0"/>
    <s v="Atlantico"/>
    <s v="Barranquilla"/>
    <s v="En alistamiento"/>
    <s v="Coordinadora"/>
    <m/>
    <m/>
    <m/>
    <m/>
    <m/>
    <m/>
    <m/>
    <m/>
    <m/>
    <m/>
  </r>
  <r>
    <d v="2025-09-17T00:00:00"/>
    <x v="8"/>
    <n v="100118"/>
    <x v="0"/>
    <s v="Juan Camilo Díaz Hernández"/>
    <s v="TECU3FNPRO"/>
    <x v="12"/>
    <n v="1"/>
    <x v="1"/>
    <s v="Antioquia"/>
    <s v="Copacabana"/>
    <s v="En alistamiento"/>
    <s v="Coordinadora"/>
    <m/>
    <m/>
    <m/>
    <m/>
    <m/>
    <m/>
    <m/>
    <m/>
    <m/>
    <m/>
  </r>
  <r>
    <d v="2025-09-17T00:00:00"/>
    <x v="8"/>
    <n v="100118"/>
    <x v="0"/>
    <s v="Juan Camilo Díaz Hernández"/>
    <s v="TECUTRN5C"/>
    <x v="22"/>
    <n v="1"/>
    <x v="2"/>
    <s v="Antioquia"/>
    <s v="Copacabana"/>
    <s v="En alistamiento"/>
    <s v="Coordinadora"/>
    <m/>
    <m/>
    <m/>
    <m/>
    <m/>
    <m/>
    <m/>
    <m/>
    <m/>
    <m/>
  </r>
  <r>
    <d v="2025-09-17T00:00:00"/>
    <x v="8"/>
    <n v="100118"/>
    <x v="0"/>
    <s v="Juan Camilo Díaz Hernández"/>
    <s v="TECUAN"/>
    <x v="26"/>
    <n v="1"/>
    <x v="5"/>
    <s v="Antioquia"/>
    <s v="Copacabana"/>
    <s v="En alistamiento"/>
    <s v="Coordinadora"/>
    <m/>
    <m/>
    <m/>
    <m/>
    <m/>
    <m/>
    <m/>
    <m/>
    <m/>
    <m/>
  </r>
  <r>
    <d v="2025-09-18T00:00:00"/>
    <x v="8"/>
    <n v="100119"/>
    <x v="0"/>
    <s v="Luis Miguel Arroyave Trujillo"/>
    <s v="TECU3FNPRO"/>
    <x v="12"/>
    <n v="1"/>
    <x v="1"/>
    <s v="Antioquia"/>
    <s v="Medellin"/>
    <s v="En alistamiento"/>
    <s v="Coordinadora"/>
    <m/>
    <m/>
    <m/>
    <m/>
    <m/>
    <m/>
    <m/>
    <m/>
    <m/>
    <m/>
  </r>
  <r>
    <d v="2025-09-18T00:00:00"/>
    <x v="8"/>
    <n v="100119"/>
    <x v="0"/>
    <s v="Luis Miguel Arroyave Trujillo"/>
    <s v="TECUTCO2C"/>
    <x v="37"/>
    <n v="1"/>
    <x v="2"/>
    <s v="Antioquia"/>
    <s v="Medellin"/>
    <s v="En alistamiento"/>
    <s v="Coordinadora"/>
    <m/>
    <m/>
    <m/>
    <m/>
    <m/>
    <m/>
    <m/>
    <m/>
    <m/>
    <m/>
  </r>
  <r>
    <d v="2025-09-18T00:00:00"/>
    <x v="8"/>
    <n v="100119"/>
    <x v="0"/>
    <s v="Luis Miguel Arroyave Trujillo"/>
    <m/>
    <x v="10"/>
    <n v="1"/>
    <x v="3"/>
    <s v="Antioquia"/>
    <s v="Medellin"/>
    <s v="En alistamiento"/>
    <s v="Coordinadora"/>
    <m/>
    <m/>
    <m/>
    <m/>
    <m/>
    <m/>
    <m/>
    <m/>
    <m/>
    <m/>
  </r>
  <r>
    <d v="2025-09-19T00:00:00"/>
    <x v="8"/>
    <n v="100120"/>
    <x v="0"/>
    <s v="Jose Mateo Vidal Barrera"/>
    <s v="TECU3FNPRO"/>
    <x v="12"/>
    <n v="1"/>
    <x v="1"/>
    <s v="Antioquia"/>
    <s v="Envigado"/>
    <s v="En alistamiento"/>
    <s v="Coordinadora"/>
    <m/>
    <m/>
    <m/>
    <m/>
    <m/>
    <m/>
    <m/>
    <m/>
    <m/>
    <m/>
  </r>
  <r>
    <d v="2025-09-19T00:00:00"/>
    <x v="8"/>
    <n v="100120"/>
    <x v="0"/>
    <s v="Jose Mateo Vidal Barrera"/>
    <s v="TECUTCO8C"/>
    <x v="19"/>
    <n v="1"/>
    <x v="2"/>
    <s v="Antioquia"/>
    <s v="Envigado"/>
    <s v="En alistamiento"/>
    <s v="Coordinadora"/>
    <m/>
    <m/>
    <m/>
    <m/>
    <m/>
    <m/>
    <m/>
    <m/>
    <m/>
    <m/>
  </r>
  <r>
    <d v="2025-09-22T00:00:00"/>
    <x v="8"/>
    <n v="100121"/>
    <x v="0"/>
    <s v="FRANCO GROUP SA"/>
    <s v="TECU3FBRO"/>
    <x v="34"/>
    <n v="1"/>
    <x v="1"/>
    <s v="Bogotá y alrededores"/>
    <s v="Bogota"/>
    <s v="En alistamiento"/>
    <s v="Coordinadora"/>
    <m/>
    <m/>
    <m/>
    <m/>
    <m/>
    <m/>
    <m/>
    <m/>
    <m/>
    <m/>
  </r>
  <r>
    <d v="2025-09-22T00:00:00"/>
    <x v="8"/>
    <n v="100121"/>
    <x v="0"/>
    <s v="FRANCO GROUP SA"/>
    <s v="TECUTCO20C"/>
    <x v="62"/>
    <n v="1"/>
    <x v="2"/>
    <s v="Bogotá y alrededores"/>
    <s v="Bogota"/>
    <s v="En alistamiento"/>
    <s v="Coordinadora"/>
    <m/>
    <m/>
    <m/>
    <m/>
    <m/>
    <m/>
    <m/>
    <m/>
    <m/>
    <m/>
  </r>
  <r>
    <d v="2025-09-22T00:00:00"/>
    <x v="8"/>
    <n v="100121"/>
    <x v="0"/>
    <s v="FRANCO GROUP SA"/>
    <s v="TECU3FBRO"/>
    <x v="34"/>
    <n v="1"/>
    <x v="1"/>
    <s v="Bogotá y alrededores"/>
    <s v="Bogota"/>
    <s v="En alistamiento"/>
    <s v="Coordinadora"/>
    <m/>
    <m/>
    <m/>
    <m/>
    <m/>
    <m/>
    <m/>
    <m/>
    <m/>
    <m/>
  </r>
  <r>
    <d v="2025-09-22T00:00:00"/>
    <x v="8"/>
    <n v="100121"/>
    <x v="0"/>
    <s v="FRANCO GROUP SA"/>
    <s v="TECUTCO8C"/>
    <x v="19"/>
    <n v="1"/>
    <x v="2"/>
    <s v="Bogotá y alrededores"/>
    <s v="Bogota"/>
    <s v="En alistamiento"/>
    <s v="Coordinadora"/>
    <m/>
    <m/>
    <m/>
    <m/>
    <m/>
    <m/>
    <m/>
    <m/>
    <m/>
    <m/>
  </r>
  <r>
    <d v="2025-09-22T00:00:00"/>
    <x v="8"/>
    <n v="100121"/>
    <x v="0"/>
    <s v="FRANCO GROUP SA"/>
    <s v="TECUTBANPI"/>
    <x v="9"/>
    <n v="1"/>
    <x v="0"/>
    <s v="Bogotá y alrededores"/>
    <s v="Bogota"/>
    <s v="En alistamiento"/>
    <s v="Coordinadora"/>
    <m/>
    <m/>
    <m/>
    <m/>
    <m/>
    <m/>
    <m/>
    <m/>
    <m/>
    <m/>
  </r>
  <r>
    <d v="2025-09-22T00:00:00"/>
    <x v="8"/>
    <n v="100122"/>
    <x v="0"/>
    <s v="Diego Rodriguez Baquero"/>
    <s v="TECUAB"/>
    <x v="44"/>
    <n v="1"/>
    <x v="5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3"/>
    <x v="0"/>
    <s v="Hugo Prieto"/>
    <s v="TECU3FNPRO"/>
    <x v="12"/>
    <n v="1"/>
    <x v="1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3"/>
    <x v="0"/>
    <s v="Hugo Prieto"/>
    <s v="TECUTRN8C"/>
    <x v="58"/>
    <n v="1"/>
    <x v="2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3"/>
    <x v="0"/>
    <s v="Hugo Prieto"/>
    <s v="TECUBDPA"/>
    <x v="1"/>
    <n v="1"/>
    <x v="0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3"/>
    <x v="0"/>
    <s v="Hugo Prieto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3"/>
    <x v="0"/>
    <s v="Hugo Prieto"/>
    <s v="TECUDSG"/>
    <x v="64"/>
    <n v="1"/>
    <x v="4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3"/>
    <x v="0"/>
    <s v="Hugo Prieto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09-24T00:00:00"/>
    <x v="8"/>
    <n v="100124"/>
    <x v="0"/>
    <s v="Lorena Rincón"/>
    <s v="TECU3FBRO"/>
    <x v="34"/>
    <n v="1"/>
    <x v="1"/>
    <s v="Bogotá y alrededores"/>
    <s v="Bogota"/>
    <s v="En alistamiento"/>
    <s v="Coordinadora"/>
    <m/>
    <m/>
    <m/>
    <m/>
    <m/>
    <m/>
    <m/>
    <m/>
    <m/>
    <m/>
  </r>
  <r>
    <d v="2025-09-25T00:00:00"/>
    <x v="8"/>
    <n v="100125"/>
    <x v="0"/>
    <s v="Jose Luis Diaz"/>
    <s v="TECU3FBRO"/>
    <x v="34"/>
    <n v="1"/>
    <x v="1"/>
    <s v="Bogotá y alrededores"/>
    <s v="Bogota"/>
    <s v="En alistamiento"/>
    <s v="Coordinadora"/>
    <m/>
    <m/>
    <m/>
    <m/>
    <m/>
    <m/>
    <m/>
    <m/>
    <m/>
    <m/>
  </r>
  <r>
    <d v="2025-09-25T00:00:00"/>
    <x v="8"/>
    <n v="100125"/>
    <x v="0"/>
    <s v="Jose Luis Diaz"/>
    <s v="TECUTCO6C"/>
    <x v="16"/>
    <n v="1"/>
    <x v="2"/>
    <s v="Bogotá y alrededores"/>
    <s v="Bogota"/>
    <s v="En alistamiento"/>
    <s v="Coordinadora"/>
    <m/>
    <m/>
    <m/>
    <m/>
    <m/>
    <m/>
    <m/>
    <m/>
    <m/>
    <m/>
  </r>
  <r>
    <d v="2025-09-26T00:00:00"/>
    <x v="8"/>
    <n v="100126"/>
    <x v="0"/>
    <s v="Carlos Agudelo"/>
    <s v="TECU2FNG"/>
    <x v="5"/>
    <n v="1"/>
    <x v="1"/>
    <s v="Antioquia"/>
    <s v="Medellin"/>
    <s v="En alistamiento"/>
    <s v="Coordinadora"/>
    <m/>
    <m/>
    <m/>
    <m/>
    <m/>
    <m/>
    <m/>
    <m/>
    <m/>
    <m/>
  </r>
  <r>
    <d v="2025-09-26T00:00:00"/>
    <x v="8"/>
    <n v="100126"/>
    <x v="0"/>
    <s v="Carlos Agudelo"/>
    <s v="TECUTFE2C"/>
    <x v="3"/>
    <n v="1"/>
    <x v="2"/>
    <s v="Antioquia"/>
    <s v="Medellin"/>
    <s v="En alistamiento"/>
    <s v="Coordinadora"/>
    <m/>
    <m/>
    <m/>
    <m/>
    <m/>
    <m/>
    <m/>
    <m/>
    <m/>
    <m/>
  </r>
  <r>
    <d v="2025-09-27T00:00:00"/>
    <x v="8"/>
    <n v="100127"/>
    <x v="0"/>
    <s v="YENIREE LEAL"/>
    <s v="TECUTFE4C"/>
    <x v="14"/>
    <n v="1"/>
    <x v="2"/>
    <s v="Bogotá y alrededores"/>
    <s v="Bogota"/>
    <s v="En alistamiento"/>
    <s v="Coordinadora"/>
    <m/>
    <m/>
    <m/>
    <m/>
    <m/>
    <m/>
    <m/>
    <m/>
    <m/>
    <m/>
  </r>
  <r>
    <d v="2025-09-27T00:00:00"/>
    <x v="8"/>
    <n v="100129"/>
    <x v="0"/>
    <s v="Abstrabyte SAS"/>
    <s v="TECU3FNPRO"/>
    <x v="12"/>
    <n v="1"/>
    <x v="1"/>
    <s v="Tolima"/>
    <s v="Ibague"/>
    <s v="En alistamiento"/>
    <s v="Coordinadora"/>
    <m/>
    <m/>
    <m/>
    <m/>
    <m/>
    <m/>
    <m/>
    <m/>
    <m/>
    <m/>
  </r>
  <r>
    <d v="2025-09-27T00:00:00"/>
    <x v="8"/>
    <n v="100129"/>
    <x v="0"/>
    <s v="Abstrabyte SAS"/>
    <s v="TECUTRM5C"/>
    <x v="27"/>
    <n v="1"/>
    <x v="2"/>
    <s v="Tolima"/>
    <s v="Ibague"/>
    <s v="En alistamiento"/>
    <s v="Coordinadora"/>
    <m/>
    <m/>
    <m/>
    <m/>
    <m/>
    <m/>
    <m/>
    <m/>
    <m/>
    <m/>
  </r>
  <r>
    <d v="2025-09-27T00:00:00"/>
    <x v="8"/>
    <n v="100129"/>
    <x v="0"/>
    <s v="Abstrabyte SAS"/>
    <s v="TECUCT"/>
    <x v="4"/>
    <n v="1"/>
    <x v="0"/>
    <s v="Tolima"/>
    <s v="Ibague"/>
    <s v="En alistamiento"/>
    <s v="Coordinadora"/>
    <m/>
    <m/>
    <m/>
    <m/>
    <m/>
    <m/>
    <m/>
    <m/>
    <m/>
    <m/>
  </r>
  <r>
    <d v="2025-09-28T00:00:00"/>
    <x v="8"/>
    <n v="100130"/>
    <x v="0"/>
    <s v="Hugo Prieto"/>
    <s v="TECUAN"/>
    <x v="26"/>
    <n v="1"/>
    <x v="5"/>
    <s v="Bogotá y alrededores"/>
    <s v="Bogota"/>
    <s v="En alistamiento"/>
    <s v="Coordinadora"/>
    <m/>
    <m/>
    <m/>
    <m/>
    <m/>
    <m/>
    <m/>
    <m/>
    <m/>
    <m/>
  </r>
  <r>
    <d v="2025-09-29T00:00:00"/>
    <x v="8"/>
    <n v="100131"/>
    <x v="0"/>
    <s v="Santiago Carmona Rincon"/>
    <s v="TECUACC"/>
    <x v="48"/>
    <n v="1"/>
    <x v="5"/>
    <s v="Antioquia"/>
    <s v="Rionegro"/>
    <s v="En alistamiento"/>
    <s v="Coordinadora"/>
    <m/>
    <m/>
    <m/>
    <m/>
    <m/>
    <m/>
    <m/>
    <m/>
    <m/>
    <m/>
  </r>
  <r>
    <d v="2025-09-29T00:00:00"/>
    <x v="8"/>
    <n v="100134"/>
    <x v="0"/>
    <s v="Oscar Solano"/>
    <s v="TECU2FNG"/>
    <x v="5"/>
    <n v="1"/>
    <x v="1"/>
    <s v="Bogotá y alrededores"/>
    <s v="Bogota"/>
    <s v="En alistamiento"/>
    <s v="Coordinadora"/>
    <m/>
    <m/>
    <m/>
    <m/>
    <m/>
    <m/>
    <m/>
    <m/>
    <m/>
    <m/>
  </r>
  <r>
    <d v="2025-09-29T00:00:00"/>
    <x v="8"/>
    <n v="100134"/>
    <x v="0"/>
    <s v="Oscar Solano"/>
    <s v="TECUTCO7C"/>
    <x v="70"/>
    <n v="1"/>
    <x v="2"/>
    <s v="Bogotá y alrededores"/>
    <s v="Bogota"/>
    <s v="En alistamiento"/>
    <s v="Coordinadora"/>
    <m/>
    <m/>
    <m/>
    <m/>
    <m/>
    <m/>
    <m/>
    <m/>
    <m/>
    <m/>
  </r>
  <r>
    <d v="2025-10-01T00:00:00"/>
    <x v="9"/>
    <n v="100135"/>
    <x v="0"/>
    <s v="Hugo Prieto"/>
    <s v="TECUTRN8C"/>
    <x v="58"/>
    <n v="1"/>
    <x v="2"/>
    <s v="Bogotá y alrededores"/>
    <s v="Bogota"/>
    <s v="En alistamiento"/>
    <s v="Coordinadora"/>
    <m/>
    <m/>
    <m/>
    <m/>
    <m/>
    <m/>
    <m/>
    <m/>
    <m/>
    <m/>
  </r>
  <r>
    <d v="2025-10-01T00:00:00"/>
    <x v="9"/>
    <n v="100136"/>
    <x v="0"/>
    <s v="wpd Colombia SAS -"/>
    <s v="TECU2FNG"/>
    <x v="5"/>
    <n v="1"/>
    <x v="1"/>
    <s v="Bogotá y alrededores"/>
    <s v="Bogota"/>
    <s v="En alistamiento"/>
    <s v="Coordinadora"/>
    <m/>
    <m/>
    <m/>
    <m/>
    <m/>
    <m/>
    <m/>
    <m/>
    <m/>
    <m/>
  </r>
  <r>
    <d v="2025-10-01T00:00:00"/>
    <x v="9"/>
    <n v="100136"/>
    <x v="0"/>
    <s v="wpd Colombia SAS -"/>
    <s v="TECUTFE4C"/>
    <x v="14"/>
    <n v="1"/>
    <x v="2"/>
    <s v="Bogotá y alrededores"/>
    <s v="Bogota"/>
    <s v="En alistamiento"/>
    <s v="Coordinadora"/>
    <m/>
    <m/>
    <m/>
    <m/>
    <m/>
    <m/>
    <m/>
    <m/>
    <m/>
    <m/>
  </r>
  <r>
    <d v="2025-10-02T00:00:00"/>
    <x v="9"/>
    <n v="100137"/>
    <x v="0"/>
    <s v="Gabriel Mejia"/>
    <s v="TECU2FNG"/>
    <x v="5"/>
    <n v="1"/>
    <x v="1"/>
    <s v="Bogotá y alrededores"/>
    <s v="Bogota"/>
    <s v="En alistamiento"/>
    <s v="Coordinadora"/>
    <m/>
    <m/>
    <m/>
    <m/>
    <m/>
    <m/>
    <m/>
    <m/>
    <m/>
    <m/>
  </r>
  <r>
    <d v="2025-10-02T00:00:00"/>
    <x v="9"/>
    <n v="100137"/>
    <x v="0"/>
    <s v="Gabriel Mejia"/>
    <s v="TECUTCO6C-60"/>
    <x v="79"/>
    <n v="1"/>
    <x v="2"/>
    <s v="Bogotá y alrededores"/>
    <s v="Bogota"/>
    <s v="En alistamiento"/>
    <s v="Coordinadora"/>
    <m/>
    <m/>
    <m/>
    <m/>
    <m/>
    <m/>
    <m/>
    <m/>
    <m/>
    <m/>
  </r>
  <r>
    <d v="2025-10-02T00:00:00"/>
    <x v="9"/>
    <n v="100137"/>
    <x v="0"/>
    <s v="Gabriel Mejia"/>
    <s v="TECURFCO-80"/>
    <x v="80"/>
    <n v="1"/>
    <x v="6"/>
    <s v="Bogotá y alrededores"/>
    <s v="Bogota"/>
    <s v="En alistamiento"/>
    <s v="Coordinadora"/>
    <m/>
    <m/>
    <m/>
    <m/>
    <m/>
    <m/>
    <m/>
    <m/>
    <m/>
    <m/>
  </r>
  <r>
    <d v="2025-10-02T00:00:00"/>
    <x v="9"/>
    <n v="100137"/>
    <x v="0"/>
    <s v="Gabriel Mejia"/>
    <s v="TECUACO"/>
    <x v="15"/>
    <n v="1"/>
    <x v="5"/>
    <s v="Bogotá y alrededores"/>
    <s v="Bogota"/>
    <s v="En alistamiento"/>
    <s v="Coordinadora"/>
    <m/>
    <m/>
    <m/>
    <m/>
    <m/>
    <m/>
    <m/>
    <m/>
    <m/>
    <m/>
  </r>
  <r>
    <d v="2025-10-02T00:00:00"/>
    <x v="9"/>
    <n v="100137"/>
    <x v="0"/>
    <s v="Gabriel Mejia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10-02T00:00:00"/>
    <x v="9"/>
    <n v="100138"/>
    <x v="0"/>
    <s v="Sergio Vladimir Garcia Galvis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10-04T00:00:00"/>
    <x v="9"/>
    <n v="100139"/>
    <x v="0"/>
    <s v="Carlos Londoño"/>
    <s v="TECU2CBC-77"/>
    <x v="81"/>
    <n v="1"/>
    <x v="5"/>
    <s v="Antioquia"/>
    <s v="Sabaneta"/>
    <s v="En alistamiento"/>
    <s v="Coordinadora"/>
    <m/>
    <m/>
    <m/>
    <m/>
    <m/>
    <m/>
    <m/>
    <m/>
    <m/>
    <m/>
  </r>
  <r>
    <d v="2025-10-04T00:00:00"/>
    <x v="9"/>
    <n v="100139"/>
    <x v="2"/>
    <s v="Carlos Londoño"/>
    <s v="TECURFCO-80"/>
    <x v="80"/>
    <n v="1"/>
    <x v="6"/>
    <s v="Antioquia"/>
    <s v="Sabaneta"/>
    <s v="En alistamiento"/>
    <s v="Coordinadora"/>
    <m/>
    <m/>
    <m/>
    <m/>
    <m/>
    <m/>
    <m/>
    <m/>
    <m/>
    <m/>
  </r>
  <r>
    <d v="2025-10-06T00:00:00"/>
    <x v="9"/>
    <n v="100140"/>
    <x v="0"/>
    <s v="Yeison Montes Valencia"/>
    <s v="TECU2FNG"/>
    <x v="5"/>
    <n v="1"/>
    <x v="1"/>
    <s v="Antioquia"/>
    <s v="Rionegro"/>
    <s v="En alistamiento"/>
    <s v="Coordinadora"/>
    <m/>
    <m/>
    <m/>
    <m/>
    <m/>
    <m/>
    <m/>
    <m/>
    <m/>
    <m/>
  </r>
  <r>
    <d v="2025-10-06T00:00:00"/>
    <x v="9"/>
    <n v="100140"/>
    <x v="0"/>
    <s v="Yeison Montes Valencia"/>
    <s v="TECUTCO5C"/>
    <x v="51"/>
    <n v="1"/>
    <x v="2"/>
    <s v="Antioquia"/>
    <s v="Rionegro"/>
    <s v="En alistamiento"/>
    <s v="Coordinadora"/>
    <m/>
    <m/>
    <m/>
    <m/>
    <m/>
    <m/>
    <m/>
    <m/>
    <m/>
    <m/>
  </r>
  <r>
    <d v="2025-10-07T00:00:00"/>
    <x v="9"/>
    <n v="100143"/>
    <x v="0"/>
    <s v="andres gutierrez"/>
    <s v="TECU3FNPRO"/>
    <x v="12"/>
    <n v="1"/>
    <x v="1"/>
    <s v="Bogotá y alrededores"/>
    <s v="Bogota"/>
    <s v="En alistamiento"/>
    <s v="Coordinadora"/>
    <m/>
    <m/>
    <m/>
    <m/>
    <m/>
    <m/>
    <m/>
    <m/>
    <m/>
    <m/>
  </r>
  <r>
    <d v="2025-10-07T00:00:00"/>
    <x v="9"/>
    <n v="100143"/>
    <x v="0"/>
    <s v="andres gutierrez"/>
    <s v="TECUTCO3C-60"/>
    <x v="82"/>
    <n v="1"/>
    <x v="2"/>
    <s v="Bogotá y alrededores"/>
    <s v="Bogota"/>
    <s v="En alistamiento"/>
    <s v="Coordinadora"/>
    <m/>
    <m/>
    <m/>
    <m/>
    <m/>
    <m/>
    <m/>
    <m/>
    <m/>
    <m/>
  </r>
  <r>
    <d v="2025-10-07T00:00:00"/>
    <x v="9"/>
    <n v="100143"/>
    <x v="0"/>
    <s v="andres gutierrez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10-07T00:00:00"/>
    <x v="9"/>
    <n v="100143"/>
    <x v="0"/>
    <s v="andres gutierrez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10-07T00:00:00"/>
    <x v="9"/>
    <n v="100144"/>
    <x v="0"/>
    <s v="JUAN CAMILO BURBANO ALVAREZ"/>
    <s v="TECU3FNPRO"/>
    <x v="12"/>
    <n v="1"/>
    <x v="1"/>
    <s v="Valle del Cauca"/>
    <s v="Cali"/>
    <s v="En alistamiento"/>
    <s v="Coordinadora"/>
    <m/>
    <m/>
    <m/>
    <m/>
    <m/>
    <m/>
    <m/>
    <m/>
    <m/>
    <m/>
  </r>
  <r>
    <d v="2025-10-07T00:00:00"/>
    <x v="9"/>
    <n v="100144"/>
    <x v="0"/>
    <s v="JUAN CAMILO BURBANO ALVAREZ"/>
    <s v="TECUTFE6C"/>
    <x v="28"/>
    <n v="1"/>
    <x v="2"/>
    <s v="Valle del Cauca"/>
    <s v="Cali"/>
    <s v="En alistamiento"/>
    <s v="Coordinadora"/>
    <m/>
    <m/>
    <m/>
    <m/>
    <m/>
    <m/>
    <m/>
    <m/>
    <m/>
    <m/>
  </r>
  <r>
    <d v="2025-10-07T00:00:00"/>
    <x v="9"/>
    <n v="100145"/>
    <x v="0"/>
    <s v="Cristiam Diaz"/>
    <s v="TECUREFE -110"/>
    <x v="83"/>
    <n v="1"/>
    <x v="6"/>
    <s v="Caqueta"/>
    <s v="Florencia"/>
    <s v="En alistamiento"/>
    <s v="Coordinadora"/>
    <m/>
    <m/>
    <m/>
    <m/>
    <m/>
    <m/>
    <m/>
    <m/>
    <m/>
    <m/>
  </r>
  <r>
    <d v="2025-10-07T00:00:00"/>
    <x v="9"/>
    <n v="100146"/>
    <x v="0"/>
    <s v="DIEGO FRANCO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10-09T00:00:00"/>
    <x v="9"/>
    <n v="100148"/>
    <x v="0"/>
    <s v="Giovanny Villa"/>
    <s v="TECU3FNPRO"/>
    <x v="12"/>
    <n v="1"/>
    <x v="1"/>
    <s v="Antioquia"/>
    <s v="Bello"/>
    <s v="En alistamiento"/>
    <s v="Coordinadora"/>
    <m/>
    <m/>
    <m/>
    <m/>
    <m/>
    <m/>
    <m/>
    <m/>
    <m/>
    <m/>
  </r>
  <r>
    <d v="2025-10-09T00:00:00"/>
    <x v="9"/>
    <n v="100148"/>
    <x v="0"/>
    <s v="Giovanny Villa"/>
    <s v="TECUTRM8C"/>
    <x v="49"/>
    <n v="1"/>
    <x v="2"/>
    <s v="Antioquia"/>
    <s v="Bello"/>
    <s v="En alistamiento"/>
    <s v="Coordinadora"/>
    <m/>
    <m/>
    <m/>
    <m/>
    <m/>
    <m/>
    <m/>
    <m/>
    <m/>
    <m/>
  </r>
  <r>
    <d v="2025-10-09T00:00:00"/>
    <x v="9"/>
    <n v="100148"/>
    <x v="0"/>
    <s v="Giovanny Villa"/>
    <s v="TECUCT"/>
    <x v="4"/>
    <n v="1"/>
    <x v="0"/>
    <s v="Antioquia"/>
    <s v="Bello"/>
    <s v="En alistamiento"/>
    <s v="Coordinadora"/>
    <m/>
    <m/>
    <m/>
    <m/>
    <m/>
    <m/>
    <m/>
    <m/>
    <m/>
    <m/>
  </r>
  <r>
    <d v="2025-10-09T00:00:00"/>
    <x v="9"/>
    <n v="100149"/>
    <x v="0"/>
    <s v="FRANCO GROUP SA"/>
    <s v="TECU3FNPRO"/>
    <x v="12"/>
    <n v="1"/>
    <x v="1"/>
    <s v="Bogotá y alrededores"/>
    <s v="Bogota"/>
    <s v="En alistamiento"/>
    <s v="Coordinadora"/>
    <m/>
    <m/>
    <m/>
    <m/>
    <m/>
    <m/>
    <m/>
    <m/>
    <m/>
    <m/>
  </r>
  <r>
    <d v="2025-10-09T00:00:00"/>
    <x v="9"/>
    <n v="100149"/>
    <x v="0"/>
    <s v="FRANCO GROUP SA"/>
    <s v="TECUTCO20C"/>
    <x v="62"/>
    <n v="1"/>
    <x v="2"/>
    <s v="Bogotá y alrededores"/>
    <s v="Bogota"/>
    <s v="En alistamiento"/>
    <s v="Coordinadora"/>
    <m/>
    <m/>
    <m/>
    <m/>
    <m/>
    <m/>
    <m/>
    <m/>
    <m/>
    <m/>
  </r>
  <r>
    <d v="2025-10-09T00:00:00"/>
    <x v="9"/>
    <n v="100149"/>
    <x v="0"/>
    <s v="FRANCO GROUP SA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10-09T00:00:00"/>
    <x v="9"/>
    <n v="100149"/>
    <x v="0"/>
    <s v="FRANCO GROUP SA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10-10T00:00:00"/>
    <x v="9"/>
    <n v="100150"/>
    <x v="0"/>
    <s v="Jasbeidy Yurany Perez Correa"/>
    <s v="TECUREN-80"/>
    <x v="84"/>
    <n v="1"/>
    <x v="6"/>
    <s v="Antioquia"/>
    <s v="Bello"/>
    <s v="En alistamiento"/>
    <s v="Coordinadora"/>
    <m/>
    <m/>
    <m/>
    <m/>
    <m/>
    <m/>
    <m/>
    <m/>
    <m/>
    <m/>
  </r>
  <r>
    <d v="2025-10-11T00:00:00"/>
    <x v="9"/>
    <n v="100151"/>
    <x v="0"/>
    <s v="Maria Olga Saenz Guerrero"/>
    <s v="TECU2FNG"/>
    <x v="5"/>
    <n v="1"/>
    <x v="1"/>
    <s v="Bogotá y alrededores"/>
    <s v="Soacha"/>
    <s v="En alistamiento"/>
    <s v="Coordinadora"/>
    <m/>
    <m/>
    <m/>
    <m/>
    <m/>
    <m/>
    <m/>
    <m/>
    <m/>
    <m/>
  </r>
  <r>
    <d v="2025-10-11T00:00:00"/>
    <x v="9"/>
    <n v="100151"/>
    <x v="0"/>
    <s v="Maria Olga Saenz Guerrero"/>
    <s v="TECUTFE5C"/>
    <x v="29"/>
    <n v="1"/>
    <x v="2"/>
    <s v="Bogotá y alrededores"/>
    <s v="Soacha"/>
    <s v="En alistamiento"/>
    <s v="Coordinadora"/>
    <m/>
    <m/>
    <m/>
    <m/>
    <m/>
    <m/>
    <m/>
    <m/>
    <m/>
    <m/>
  </r>
  <r>
    <d v="2025-10-13T00:00:00"/>
    <x v="9"/>
    <n v="100152"/>
    <x v="0"/>
    <s v="Manuel Ricardo CHAVARRO VARGAS"/>
    <s v="TECULFN2"/>
    <x v="7"/>
    <n v="1"/>
    <x v="1"/>
    <s v="Meta"/>
    <s v="Villavicencio"/>
    <s v="En alistamiento"/>
    <s v="Coordinadora"/>
    <m/>
    <m/>
    <m/>
    <m/>
    <m/>
    <m/>
    <m/>
    <m/>
    <m/>
    <m/>
  </r>
  <r>
    <d v="2025-10-14T00:00:00"/>
    <x v="9"/>
    <n v="100153"/>
    <x v="0"/>
    <s v="Johan Alexander Rojas Zapata"/>
    <s v="TECU3FNPRO"/>
    <x v="12"/>
    <n v="1"/>
    <x v="1"/>
    <s v="Risaralda"/>
    <s v="Dosquebradas"/>
    <s v="En alistamiento"/>
    <s v="Coordinadora"/>
    <m/>
    <m/>
    <m/>
    <m/>
    <m/>
    <m/>
    <m/>
    <m/>
    <m/>
    <m/>
  </r>
  <r>
    <d v="2025-10-14T00:00:00"/>
    <x v="9"/>
    <n v="100153"/>
    <x v="0"/>
    <s v="Johan Alexander Rojas Zapata"/>
    <s v="TECUTFE2C-60"/>
    <x v="85"/>
    <n v="1"/>
    <x v="2"/>
    <s v="Risaralda"/>
    <s v="Dosquebradas"/>
    <s v="En alistamiento"/>
    <s v="Coordinadora"/>
    <m/>
    <m/>
    <m/>
    <m/>
    <m/>
    <m/>
    <m/>
    <m/>
    <m/>
    <m/>
  </r>
  <r>
    <d v="2025-10-14T00:00:00"/>
    <x v="9"/>
    <n v="100154"/>
    <x v="0"/>
    <s v="Evelyn Castaño Bohórquez"/>
    <s v="TECUFX-T72"/>
    <x v="86"/>
    <n v="1"/>
    <x v="8"/>
    <s v="Caqueta"/>
    <s v="Florencia"/>
    <s v="En alistamiento"/>
    <s v="Coordinadora"/>
    <m/>
    <m/>
    <m/>
    <m/>
    <m/>
    <m/>
    <m/>
    <m/>
    <m/>
    <m/>
  </r>
  <r>
    <d v="2025-10-14T00:00:00"/>
    <x v="9"/>
    <n v="100154"/>
    <x v="0"/>
    <s v="Evelyn Castaño Bohórquez"/>
    <s v="TECUTCO5C-60"/>
    <x v="87"/>
    <n v="1"/>
    <x v="2"/>
    <s v="Caqueta"/>
    <s v="Florencia"/>
    <s v="En alistamiento"/>
    <s v="Coordinadora"/>
    <m/>
    <m/>
    <m/>
    <m/>
    <m/>
    <m/>
    <m/>
    <m/>
    <m/>
    <m/>
  </r>
  <r>
    <d v="2025-10-14T00:00:00"/>
    <x v="9"/>
    <n v="100154"/>
    <x v="2"/>
    <s v="Evelyn Castaño Bohórquez"/>
    <s v="TECUBDPM"/>
    <x v="0"/>
    <n v="1"/>
    <x v="0"/>
    <s v="Caqueta"/>
    <s v="Florencia"/>
    <s v="En alistamiento"/>
    <s v="Coordinadora"/>
    <m/>
    <m/>
    <m/>
    <m/>
    <m/>
    <m/>
    <m/>
    <m/>
    <m/>
    <m/>
  </r>
  <r>
    <d v="2025-10-14T00:00:00"/>
    <x v="9"/>
    <n v="100155"/>
    <x v="0"/>
    <s v="FRANCO GROUP SA"/>
    <s v="TECUDSG"/>
    <x v="64"/>
    <n v="1"/>
    <x v="4"/>
    <s v="Bogotá y alrededores"/>
    <s v="Bogota"/>
    <s v="En alistamiento"/>
    <s v="Coordinadora"/>
    <m/>
    <m/>
    <m/>
    <m/>
    <m/>
    <m/>
    <m/>
    <m/>
    <m/>
    <m/>
  </r>
  <r>
    <d v="2025-10-14T00:00:00"/>
    <x v="9"/>
    <n v="100155"/>
    <x v="0"/>
    <s v="FRANCO GROUP SA"/>
    <s v="TECUDSG"/>
    <x v="64"/>
    <n v="1"/>
    <x v="4"/>
    <s v="Bogotá y alrededores"/>
    <s v="Bogota"/>
    <s v="En alistamiento"/>
    <s v="Coordinadora"/>
    <m/>
    <m/>
    <m/>
    <m/>
    <m/>
    <m/>
    <m/>
    <m/>
    <m/>
    <m/>
  </r>
  <r>
    <d v="2025-10-16T00:00:00"/>
    <x v="9"/>
    <n v="100156"/>
    <x v="0"/>
    <s v="Hugo Prieto"/>
    <s v="TECUAN"/>
    <x v="26"/>
    <n v="1"/>
    <x v="5"/>
    <s v="Bogotá y alrededores"/>
    <s v="Bogota"/>
    <s v="En alistamiento"/>
    <s v="Coordinadora"/>
    <m/>
    <m/>
    <m/>
    <m/>
    <m/>
    <m/>
    <m/>
    <m/>
    <m/>
    <m/>
  </r>
  <r>
    <d v="2025-10-18T00:00:00"/>
    <x v="9"/>
    <n v="100158"/>
    <x v="0"/>
    <s v="Felipe Cordoba"/>
    <s v="TECU3FNCRO"/>
    <x v="55"/>
    <n v="1"/>
    <x v="1"/>
    <s v="Bogotá y alrededores"/>
    <s v="Bogota"/>
    <s v="En alistamiento"/>
    <s v="Coordinadora"/>
    <m/>
    <m/>
    <m/>
    <m/>
    <m/>
    <m/>
    <m/>
    <m/>
    <m/>
    <m/>
  </r>
  <r>
    <d v="2025-10-18T00:00:00"/>
    <x v="9"/>
    <n v="100158"/>
    <x v="0"/>
    <s v="Felipe Cordoba"/>
    <s v="TECUTCO4C"/>
    <x v="6"/>
    <n v="1"/>
    <x v="2"/>
    <s v="Bogotá y alrededores"/>
    <s v="Bogota"/>
    <s v="En alistamiento"/>
    <s v="Coordinadora"/>
    <m/>
    <m/>
    <m/>
    <m/>
    <m/>
    <m/>
    <m/>
    <m/>
    <m/>
    <m/>
  </r>
  <r>
    <d v="2025-10-18T00:00:00"/>
    <x v="9"/>
    <n v="100158"/>
    <x v="0"/>
    <s v="Felipe Cordoba"/>
    <s v="TECURECO-110"/>
    <x v="88"/>
    <n v="1"/>
    <x v="6"/>
    <s v="Bogotá y alrededores"/>
    <s v="Bogota"/>
    <s v="En alistamiento"/>
    <s v="Coordinadora"/>
    <m/>
    <m/>
    <m/>
    <m/>
    <m/>
    <m/>
    <m/>
    <m/>
    <m/>
    <m/>
  </r>
  <r>
    <d v="2025-10-18T00:00:00"/>
    <x v="9"/>
    <n v="100158"/>
    <x v="0"/>
    <s v="Felipe Cordoba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10-18T00:00:00"/>
    <x v="9"/>
    <n v="100158"/>
    <x v="0"/>
    <s v="Felipe Cordoba"/>
    <s v="TECU2CBC-73"/>
    <x v="89"/>
    <n v="1"/>
    <x v="5"/>
    <s v="Bogotá y alrededores"/>
    <s v="Bogota"/>
    <s v="En alistamiento"/>
    <s v="Coordinadora"/>
    <m/>
    <m/>
    <m/>
    <m/>
    <m/>
    <m/>
    <m/>
    <m/>
    <m/>
    <m/>
  </r>
  <r>
    <d v="2025-10-18T00:00:00"/>
    <x v="9"/>
    <n v="100158"/>
    <x v="0"/>
    <s v="Felipe Cordoba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10-20T00:00:00"/>
    <x v="9"/>
    <n v="100159"/>
    <x v="0"/>
    <s v="Sergio Lopez"/>
    <s v="TECU3FNPRO"/>
    <x v="12"/>
    <n v="1"/>
    <x v="1"/>
    <s v="Bogotá y alrededores"/>
    <s v="Bogota"/>
    <s v="En alistamiento"/>
    <s v="Coordinadora"/>
    <m/>
    <m/>
    <m/>
    <m/>
    <m/>
    <m/>
    <m/>
    <m/>
    <m/>
    <m/>
  </r>
  <r>
    <d v="2025-10-20T00:00:00"/>
    <x v="9"/>
    <n v="100159"/>
    <x v="0"/>
    <s v="Sergio Lopez"/>
    <s v="TECUTCO3C"/>
    <x v="23"/>
    <n v="1"/>
    <x v="2"/>
    <s v="Bogotá y alrededores"/>
    <s v="Bogota"/>
    <s v="En alistamiento"/>
    <s v="Coordinadora"/>
    <m/>
    <m/>
    <m/>
    <m/>
    <m/>
    <m/>
    <m/>
    <m/>
    <m/>
    <m/>
  </r>
  <r>
    <d v="2025-10-20T00:00:00"/>
    <x v="9"/>
    <n v="100159"/>
    <x v="0"/>
    <s v="Sergio Lopez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10-20T00:00:00"/>
    <x v="9"/>
    <n v="100160"/>
    <x v="0"/>
    <s v="Pedro Fernandez"/>
    <s v="TECU3FBRO"/>
    <x v="34"/>
    <n v="1"/>
    <x v="1"/>
    <s v="Bogotá y alrededores"/>
    <s v="Bogota"/>
    <s v="En alistamiento"/>
    <s v="Coordinadora"/>
    <m/>
    <m/>
    <m/>
    <m/>
    <m/>
    <m/>
    <m/>
    <m/>
    <m/>
    <m/>
  </r>
  <r>
    <d v="2025-10-20T00:00:00"/>
    <x v="9"/>
    <n v="100160"/>
    <x v="0"/>
    <s v="Pedro Fernandez"/>
    <s v="TECUTFE9C"/>
    <x v="90"/>
    <n v="1"/>
    <x v="2"/>
    <s v="Bogotá y alrededores"/>
    <s v="Bogota"/>
    <s v="En alistamiento"/>
    <s v="Coordinadora"/>
    <m/>
    <m/>
    <m/>
    <m/>
    <m/>
    <m/>
    <m/>
    <m/>
    <m/>
    <m/>
  </r>
  <r>
    <d v="2025-10-20T00:00:00"/>
    <x v="9"/>
    <n v="100161"/>
    <x v="0"/>
    <s v="Diana Silva"/>
    <s v="TECU2FBGO"/>
    <x v="2"/>
    <n v="1"/>
    <x v="1"/>
    <s v="Bogotá y alrededores"/>
    <s v="Bogota"/>
    <s v="En alistamiento"/>
    <s v="Coordinadora"/>
    <m/>
    <m/>
    <m/>
    <m/>
    <m/>
    <m/>
    <m/>
    <m/>
    <m/>
    <m/>
  </r>
  <r>
    <d v="2025-10-20T00:00:00"/>
    <x v="9"/>
    <n v="100161"/>
    <x v="0"/>
    <s v="Diana Silva"/>
    <s v="TECUTB3C-60"/>
    <x v="91"/>
    <n v="1"/>
    <x v="2"/>
    <s v="Bogotá y alrededores"/>
    <s v="Bogota"/>
    <s v="En alistamiento"/>
    <s v="Coordinadora"/>
    <m/>
    <m/>
    <m/>
    <m/>
    <m/>
    <m/>
    <m/>
    <m/>
    <m/>
    <m/>
  </r>
  <r>
    <d v="2025-10-21T00:00:00"/>
    <x v="9"/>
    <n v="100162"/>
    <x v="0"/>
    <s v="Carlos Salazar"/>
    <s v="TECUDSG"/>
    <x v="64"/>
    <n v="1"/>
    <x v="4"/>
    <s v="Tolima"/>
    <s v="Ibague"/>
    <s v="En alistamiento"/>
    <s v="Coordinadora"/>
    <m/>
    <m/>
    <m/>
    <m/>
    <m/>
    <m/>
    <m/>
    <m/>
    <m/>
    <m/>
  </r>
  <r>
    <d v="2025-10-22T00:00:00"/>
    <x v="9"/>
    <n v="100163"/>
    <x v="0"/>
    <s v="Julian Rodriguez"/>
    <s v="TECU3FBRO"/>
    <x v="34"/>
    <n v="1"/>
    <x v="1"/>
    <s v="Bogotá y alrededores"/>
    <s v="Bogota"/>
    <s v="En alistamiento"/>
    <s v="Coordinadora"/>
    <m/>
    <m/>
    <m/>
    <m/>
    <m/>
    <m/>
    <m/>
    <m/>
    <m/>
    <m/>
  </r>
  <r>
    <d v="2025-10-22T00:00:00"/>
    <x v="9"/>
    <n v="100163"/>
    <x v="0"/>
    <s v="Julian Rodriguez"/>
    <s v="TECUTFE8C-80"/>
    <x v="92"/>
    <n v="1"/>
    <x v="2"/>
    <s v="Bogotá y alrededores"/>
    <s v="Bogota"/>
    <s v="En alistamiento"/>
    <s v="Coordinadora"/>
    <m/>
    <m/>
    <m/>
    <m/>
    <m/>
    <m/>
    <m/>
    <m/>
    <m/>
    <m/>
  </r>
  <r>
    <d v="2025-10-24T00:00:00"/>
    <x v="9"/>
    <n v="100164"/>
    <x v="0"/>
    <s v="Daniel Sadovnik"/>
    <s v="TECU3FNPRO"/>
    <x v="12"/>
    <n v="1"/>
    <x v="1"/>
    <s v="Bogotá y alrededores"/>
    <s v="Bogota"/>
    <s v="En alistamiento"/>
    <s v="Coordinadora"/>
    <m/>
    <m/>
    <m/>
    <m/>
    <m/>
    <m/>
    <m/>
    <m/>
    <m/>
    <m/>
  </r>
  <r>
    <d v="2025-10-24T00:00:00"/>
    <x v="9"/>
    <n v="100164"/>
    <x v="0"/>
    <s v="Daniel Sadovnik"/>
    <s v="TECUTFE8M-80"/>
    <x v="93"/>
    <n v="1"/>
    <x v="2"/>
    <s v="Bogotá y alrededores"/>
    <s v="Bogota"/>
    <s v="En alistamiento"/>
    <s v="Coordinadora"/>
    <m/>
    <m/>
    <m/>
    <m/>
    <m/>
    <m/>
    <m/>
    <m/>
    <m/>
    <m/>
  </r>
  <r>
    <d v="2025-10-24T00:00:00"/>
    <x v="9"/>
    <n v="100164"/>
    <x v="0"/>
    <s v="Daniel Sadovnik"/>
    <m/>
    <x v="10"/>
    <n v="1"/>
    <x v="3"/>
    <s v="Bogotá y alrededores"/>
    <s v="Bogota"/>
    <s v="En alistamiento"/>
    <s v="Coordinadora"/>
    <m/>
    <m/>
    <m/>
    <m/>
    <m/>
    <m/>
    <m/>
    <m/>
    <m/>
    <m/>
  </r>
  <r>
    <d v="2025-10-24T00:00:00"/>
    <x v="9"/>
    <n v="100165"/>
    <x v="0"/>
    <s v="Julian Rodriguez"/>
    <s v="TECULFN2"/>
    <x v="7"/>
    <n v="1"/>
    <x v="1"/>
    <s v="Bogotá y alrededores"/>
    <s v="Bogota"/>
    <s v="En alistamiento"/>
    <s v="Coordinadora"/>
    <m/>
    <m/>
    <m/>
    <m/>
    <m/>
    <m/>
    <m/>
    <m/>
    <m/>
    <m/>
  </r>
  <r>
    <d v="2025-10-24T00:00:00"/>
    <x v="9"/>
    <n v="100165"/>
    <x v="0"/>
    <s v="Julian Rodriguez"/>
    <s v="TECUTLRN5x5-60"/>
    <x v="94"/>
    <n v="1"/>
    <x v="2"/>
    <s v="Bogotá y alrededores"/>
    <s v="Bogota"/>
    <s v="En alistamiento"/>
    <s v="Coordinadora"/>
    <m/>
    <m/>
    <m/>
    <m/>
    <m/>
    <m/>
    <m/>
    <m/>
    <m/>
    <m/>
  </r>
  <r>
    <d v="2025-10-24T00:00:00"/>
    <x v="9"/>
    <n v="100166"/>
    <x v="0"/>
    <s v="Alberto Amaris"/>
    <s v="TECU3FNCRO"/>
    <x v="55"/>
    <n v="1"/>
    <x v="1"/>
    <s v="Bolivar"/>
    <s v="Cartagena"/>
    <s v="En alistamiento"/>
    <s v="Coordinadora"/>
    <m/>
    <m/>
    <m/>
    <m/>
    <m/>
    <m/>
    <m/>
    <m/>
    <m/>
    <m/>
  </r>
  <r>
    <d v="2025-10-24T00:00:00"/>
    <x v="9"/>
    <n v="100166"/>
    <x v="0"/>
    <s v="Alberto Amaris"/>
    <s v="TECUTB2C-60"/>
    <x v="95"/>
    <n v="1"/>
    <x v="2"/>
    <s v="Bolivar"/>
    <s v="Cartagena"/>
    <s v="En alistamiento"/>
    <s v="Coordinadora"/>
    <m/>
    <m/>
    <m/>
    <m/>
    <m/>
    <m/>
    <m/>
    <m/>
    <m/>
    <m/>
  </r>
  <r>
    <d v="2025-10-24T00:00:00"/>
    <x v="9"/>
    <n v="100166"/>
    <x v="0"/>
    <s v="Alberto Amaris"/>
    <m/>
    <x v="96"/>
    <n v="1"/>
    <x v="9"/>
    <s v="Bolivar"/>
    <s v="Cartagena"/>
    <s v="En alistamiento"/>
    <s v="Coordinadora"/>
    <m/>
    <m/>
    <m/>
    <m/>
    <m/>
    <m/>
    <m/>
    <m/>
    <m/>
    <m/>
  </r>
  <r>
    <d v="2025-10-25T00:00:00"/>
    <x v="9"/>
    <n v="100167"/>
    <x v="0"/>
    <s v="Nicholas Gooding"/>
    <s v="TECULFN2"/>
    <x v="7"/>
    <n v="1"/>
    <x v="1"/>
    <s v="Bogotá y alrededores"/>
    <s v="Bogota"/>
    <s v="En alistamiento"/>
    <s v="Coordinadora"/>
    <m/>
    <m/>
    <m/>
    <m/>
    <m/>
    <m/>
    <m/>
    <m/>
    <m/>
    <m/>
  </r>
  <r>
    <d v="2025-10-25T00:00:00"/>
    <x v="9"/>
    <n v="100167"/>
    <x v="0"/>
    <s v="Nicholas Gooding"/>
    <s v="TECUTLCCS"/>
    <x v="45"/>
    <n v="1"/>
    <x v="2"/>
    <s v="Bogotá y alrededores"/>
    <s v="Bogota"/>
    <s v="En alistamiento"/>
    <s v="Coordinadora"/>
    <m/>
    <m/>
    <m/>
    <m/>
    <m/>
    <m/>
    <m/>
    <m/>
    <m/>
    <m/>
  </r>
  <r>
    <d v="2025-10-25T00:00:00"/>
    <x v="9"/>
    <n v="100167"/>
    <x v="0"/>
    <s v="Nicholas Gooding"/>
    <s v="TECUCT"/>
    <x v="4"/>
    <n v="1"/>
    <x v="0"/>
    <s v="Bogotá y alrededores"/>
    <s v="Bogota"/>
    <s v="En alistamiento"/>
    <s v="Coordinadora"/>
    <m/>
    <m/>
    <m/>
    <m/>
    <m/>
    <m/>
    <m/>
    <m/>
    <m/>
    <m/>
  </r>
  <r>
    <d v="2025-10-25T00:00:00"/>
    <x v="9"/>
    <n v="100167"/>
    <x v="0"/>
    <s v="Nicholas Gooding"/>
    <s v="TECURECO-110"/>
    <x v="88"/>
    <n v="1"/>
    <x v="6"/>
    <s v="Bogotá y alrededores"/>
    <s v="Bogota"/>
    <s v="En alistamiento"/>
    <s v="Coordinadora"/>
    <m/>
    <m/>
    <m/>
    <m/>
    <m/>
    <m/>
    <m/>
    <m/>
    <m/>
    <m/>
  </r>
  <r>
    <d v="2025-10-27T00:00:00"/>
    <x v="9"/>
    <n v="100168"/>
    <x v="0"/>
    <s v="Diego Alejandro Jaramillo Rendon"/>
    <s v="TECUTCO20C"/>
    <x v="62"/>
    <n v="1"/>
    <x v="2"/>
    <s v="Bogotá y alrededores"/>
    <s v="Bogota"/>
    <s v="En alistamiento"/>
    <s v="Coordinadora"/>
    <m/>
    <m/>
    <m/>
    <m/>
    <m/>
    <m/>
    <m/>
    <m/>
    <m/>
    <m/>
  </r>
  <r>
    <d v="2025-10-27T00:00:00"/>
    <x v="9"/>
    <n v="100169"/>
    <x v="0"/>
    <s v="Carlos Beltrán"/>
    <s v="TECU3FNPRO"/>
    <x v="12"/>
    <n v="1"/>
    <x v="1"/>
    <s v="Quindio"/>
    <s v="Armenia"/>
    <s v="En alistamiento"/>
    <s v="Entrega directa"/>
    <m/>
    <m/>
    <m/>
    <m/>
    <m/>
    <m/>
    <m/>
    <m/>
    <m/>
    <m/>
  </r>
  <r>
    <d v="2025-10-27T00:00:00"/>
    <x v="9"/>
    <n v="100169"/>
    <x v="0"/>
    <s v="Carlos Beltrán"/>
    <s v="TECUTFE8C"/>
    <x v="21"/>
    <n v="1"/>
    <x v="2"/>
    <s v="Quindio"/>
    <s v="Armenia"/>
    <s v="En alistamiento"/>
    <s v="Entrega directa"/>
    <m/>
    <m/>
    <m/>
    <m/>
    <m/>
    <m/>
    <m/>
    <m/>
    <m/>
    <m/>
  </r>
  <r>
    <d v="2025-10-31T00:00:00"/>
    <x v="9"/>
    <n v="100170"/>
    <x v="0"/>
    <s v="Andrea Rosales"/>
    <s v="TECUTFE2C"/>
    <x v="3"/>
    <n v="1"/>
    <x v="2"/>
    <s v="Antioquia"/>
    <s v="Envigado"/>
    <s v="En alistamiento"/>
    <s v="Coordinadora"/>
    <m/>
    <m/>
    <m/>
    <m/>
    <m/>
    <m/>
    <m/>
    <m/>
    <m/>
    <m/>
  </r>
  <r>
    <d v="2025-10-31T00:00:00"/>
    <x v="9"/>
    <n v="100170"/>
    <x v="0"/>
    <s v="Andrea Rosales"/>
    <s v="TECURFE"/>
    <x v="71"/>
    <n v="1"/>
    <x v="6"/>
    <s v="Antioquia"/>
    <s v="Envigado"/>
    <s v="En alistamiento"/>
    <s v="Coordinadora"/>
    <m/>
    <m/>
    <m/>
    <m/>
    <m/>
    <m/>
    <m/>
    <m/>
    <m/>
    <m/>
  </r>
  <r>
    <d v="2025-10-31T00:00:00"/>
    <x v="9"/>
    <n v="100172"/>
    <x v="0"/>
    <s v="JUAN DAVID RUIZ VALENCIA / LEAN INSTITUTE COLOMBIA"/>
    <s v="TECU3FNPRO"/>
    <x v="12"/>
    <n v="1"/>
    <x v="1"/>
    <s v="Valle del Cauca"/>
    <s v="Cali"/>
    <s v="En alistamiento"/>
    <s v="Coordinadora"/>
    <m/>
    <m/>
    <m/>
    <m/>
    <m/>
    <m/>
    <m/>
    <m/>
    <m/>
    <m/>
  </r>
  <r>
    <d v="2025-10-31T00:00:00"/>
    <x v="9"/>
    <n v="100172"/>
    <x v="0"/>
    <s v="JUAN DAVID RUIZ VALENCIA / LEAN INSTITUTE COLOMBIA"/>
    <s v="TECUTCO8C"/>
    <x v="19"/>
    <n v="1"/>
    <x v="2"/>
    <s v="Valle del Cauca"/>
    <s v="Cali"/>
    <s v="En alistamiento"/>
    <s v="Coordinadora"/>
    <m/>
    <m/>
    <m/>
    <m/>
    <m/>
    <m/>
    <m/>
    <m/>
    <m/>
    <m/>
  </r>
  <r>
    <d v="2025-10-31T00:00:00"/>
    <x v="9"/>
    <n v="100173"/>
    <x v="0"/>
    <s v="Maria Fernanda Almonacid"/>
    <s v="TECU2CUF-65"/>
    <x v="97"/>
    <n v="1"/>
    <x v="5"/>
    <s v="Bogotá y alrededores"/>
    <s v="Bogota"/>
    <s v="En alistamiento"/>
    <s v="Envia"/>
    <m/>
    <m/>
    <m/>
    <m/>
    <m/>
    <m/>
    <m/>
    <m/>
    <m/>
    <m/>
  </r>
  <r>
    <d v="2025-11-02T00:00:00"/>
    <x v="10"/>
    <n v="100174"/>
    <x v="0"/>
    <s v="Ivan Paez"/>
    <s v="TECU2FNG"/>
    <x v="5"/>
    <n v="1"/>
    <x v="1"/>
    <s v="Antioquia"/>
    <s v="Envigado"/>
    <s v="En alistamiento"/>
    <s v="Coordinadora"/>
    <m/>
    <m/>
    <m/>
    <m/>
    <m/>
    <m/>
    <m/>
    <m/>
    <m/>
    <m/>
  </r>
  <r>
    <d v="2025-11-02T00:00:00"/>
    <x v="10"/>
    <n v="100174"/>
    <x v="0"/>
    <s v="Ivan Paez"/>
    <s v="TECUTCO7C"/>
    <x v="70"/>
    <n v="1"/>
    <x v="2"/>
    <s v="Antioquia"/>
    <s v="Envigado"/>
    <s v="En alistamiento"/>
    <s v="Coordinadora"/>
    <m/>
    <m/>
    <m/>
    <m/>
    <m/>
    <m/>
    <m/>
    <m/>
    <m/>
    <m/>
  </r>
  <r>
    <d v="2025-11-02T00:00:00"/>
    <x v="10"/>
    <n v="100174"/>
    <x v="0"/>
    <s v="Ivan Paez"/>
    <s v="TECURECO-110"/>
    <x v="88"/>
    <n v="1"/>
    <x v="6"/>
    <s v="Antioquia"/>
    <s v="Envigado"/>
    <s v="En alistamiento"/>
    <s v="Coordinadora"/>
    <m/>
    <m/>
    <m/>
    <m/>
    <m/>
    <m/>
    <m/>
    <m/>
    <m/>
    <m/>
  </r>
  <r>
    <d v="2025-11-02T00:00:00"/>
    <x v="10"/>
    <n v="100174"/>
    <x v="0"/>
    <s v="Ivan Paez"/>
    <s v="TECUCT"/>
    <x v="4"/>
    <n v="1"/>
    <x v="0"/>
    <s v="Antioquia"/>
    <s v="Envigado"/>
    <s v="En alistamiento"/>
    <s v="Coordinadora"/>
    <m/>
    <m/>
    <m/>
    <m/>
    <m/>
    <m/>
    <m/>
    <m/>
    <m/>
    <m/>
  </r>
  <r>
    <d v="2025-11-02T00:00:00"/>
    <x v="10"/>
    <n v="100174"/>
    <x v="0"/>
    <s v="Ivan Paez"/>
    <m/>
    <x v="10"/>
    <n v="1"/>
    <x v="3"/>
    <s v="Antioquia"/>
    <s v="Envigado"/>
    <s v="En alistamiento"/>
    <s v="Coordinadora"/>
    <m/>
    <m/>
    <m/>
    <m/>
    <m/>
    <m/>
    <m/>
    <m/>
    <m/>
    <m/>
  </r>
  <r>
    <d v="2025-11-06T00:00:00"/>
    <x v="10"/>
    <n v="100175"/>
    <x v="0"/>
    <s v="FRANCO GROUP SA"/>
    <s v="TECUDSG"/>
    <x v="64"/>
    <n v="1"/>
    <x v="4"/>
    <s v="Bogotá y alrededores"/>
    <s v="Bogota"/>
    <s v="En alistamiento"/>
    <m/>
    <m/>
    <m/>
    <m/>
    <m/>
    <m/>
    <m/>
    <m/>
    <m/>
    <m/>
    <m/>
  </r>
  <r>
    <d v="2025-11-06T00:00:00"/>
    <x v="10"/>
    <n v="100176"/>
    <x v="0"/>
    <s v="FRANCO GROUP SA"/>
    <s v="TECUDSG"/>
    <x v="64"/>
    <n v="2"/>
    <x v="4"/>
    <s v="Meta"/>
    <s v="Villavicencio"/>
    <s v="En alistamiento"/>
    <m/>
    <m/>
    <m/>
    <m/>
    <m/>
    <m/>
    <m/>
    <m/>
    <m/>
    <m/>
    <m/>
  </r>
  <r>
    <d v="2025-11-07T00:00:00"/>
    <x v="10"/>
    <n v="100177"/>
    <x v="0"/>
    <s v="Laura Tatiana Florian Hernandez"/>
    <s v="TECURECO-80"/>
    <x v="98"/>
    <n v="1"/>
    <x v="6"/>
    <s v="Bogotá y alrededores"/>
    <s v="Bogota"/>
    <s v="En alistamiento"/>
    <m/>
    <m/>
    <m/>
    <m/>
    <m/>
    <m/>
    <m/>
    <m/>
    <m/>
    <m/>
    <m/>
  </r>
  <r>
    <d v="2025-11-07T00:00:00"/>
    <x v="10"/>
    <n v="100178"/>
    <x v="0"/>
    <s v="Sebastian Garcia Ospina"/>
    <s v="TECUREFE -110"/>
    <x v="83"/>
    <n v="1"/>
    <x v="6"/>
    <s v="Bogotá y alrededores"/>
    <s v="Chía"/>
    <s v="En alistamiento"/>
    <m/>
    <m/>
    <m/>
    <m/>
    <m/>
    <m/>
    <m/>
    <m/>
    <m/>
    <m/>
    <m/>
  </r>
  <r>
    <d v="2025-11-08T00:00:00"/>
    <x v="10"/>
    <n v="100179"/>
    <x v="0"/>
    <s v="DATA AND AI CONSULTING"/>
    <s v="TECU3FNPRO"/>
    <x v="12"/>
    <n v="1"/>
    <x v="1"/>
    <s v="Bogotá y alrededores"/>
    <s v="Bogota"/>
    <s v="En alistamiento"/>
    <m/>
    <m/>
    <m/>
    <m/>
    <m/>
    <m/>
    <m/>
    <m/>
    <m/>
    <m/>
    <m/>
  </r>
  <r>
    <d v="2025-11-08T00:00:00"/>
    <x v="10"/>
    <n v="100179"/>
    <x v="0"/>
    <s v="DATA AND AI CONSULTING"/>
    <s v="TECUTFE6C-80"/>
    <x v="99"/>
    <n v="1"/>
    <x v="2"/>
    <s v="Bogotá y alrededores"/>
    <s v="Bogota"/>
    <s v="En alistamiento"/>
    <m/>
    <m/>
    <m/>
    <m/>
    <m/>
    <m/>
    <m/>
    <m/>
    <m/>
    <m/>
    <m/>
  </r>
  <r>
    <d v="2025-11-08T00:00:00"/>
    <x v="10"/>
    <n v="100180"/>
    <x v="0"/>
    <s v="Diego Rodriguez"/>
    <s v="TECU3FNPRO"/>
    <x v="12"/>
    <n v="1"/>
    <x v="1"/>
    <s v="Bogotá y alrededores"/>
    <s v="Mosquera"/>
    <s v="En alistamiento"/>
    <m/>
    <m/>
    <m/>
    <m/>
    <m/>
    <m/>
    <m/>
    <m/>
    <m/>
    <m/>
    <m/>
  </r>
  <r>
    <d v="2025-11-09T00:00:00"/>
    <x v="10"/>
    <n v="100181"/>
    <x v="0"/>
    <s v="JORGE CAMILO"/>
    <s v="TECU3FNPRO"/>
    <x v="12"/>
    <n v="1"/>
    <x v="1"/>
    <s v="Guajira"/>
    <s v="Maicao"/>
    <s v="En alistamiento"/>
    <m/>
    <m/>
    <m/>
    <m/>
    <m/>
    <m/>
    <m/>
    <m/>
    <m/>
    <m/>
    <m/>
  </r>
  <r>
    <d v="2025-11-09T00:00:00"/>
    <x v="10"/>
    <n v="100181"/>
    <x v="0"/>
    <s v="JORGE CAMILO"/>
    <s v="TECUTRN20C-80"/>
    <x v="100"/>
    <n v="1"/>
    <x v="2"/>
    <s v="Guajira"/>
    <s v="Maicao"/>
    <s v="En alistamiento"/>
    <m/>
    <m/>
    <m/>
    <m/>
    <m/>
    <m/>
    <m/>
    <m/>
    <m/>
    <m/>
    <m/>
  </r>
  <r>
    <d v="2025-11-09T00:00:00"/>
    <x v="10"/>
    <n v="100182"/>
    <x v="0"/>
    <s v="JAM TRADING PRO SAS"/>
    <s v="TECULFN2"/>
    <x v="7"/>
    <n v="1"/>
    <x v="1"/>
    <s v="Bogotá y alrededores"/>
    <s v="Bogota"/>
    <s v="En alistamiento"/>
    <m/>
    <m/>
    <m/>
    <m/>
    <m/>
    <m/>
    <m/>
    <m/>
    <m/>
    <m/>
    <m/>
  </r>
  <r>
    <d v="2025-11-09T00:00:00"/>
    <x v="10"/>
    <n v="100182"/>
    <x v="0"/>
    <s v="JAM TRADING PRO SAS"/>
    <s v="TECUTLFE8x5-60"/>
    <x v="101"/>
    <n v="1"/>
    <x v="2"/>
    <s v="Bogotá y alrededores"/>
    <s v="Bogota"/>
    <s v="En alistamiento"/>
    <m/>
    <m/>
    <m/>
    <m/>
    <m/>
    <m/>
    <m/>
    <m/>
    <m/>
    <m/>
    <m/>
  </r>
  <r>
    <d v="2025-11-09T00:00:00"/>
    <x v="10"/>
    <n v="100182"/>
    <x v="0"/>
    <s v="JAM TRADING PRO SAS"/>
    <s v="TECURFFE -80"/>
    <x v="102"/>
    <n v="1"/>
    <x v="6"/>
    <s v="Bogotá y alrededores"/>
    <s v="Bogota"/>
    <s v="En alistamiento"/>
    <m/>
    <m/>
    <m/>
    <m/>
    <m/>
    <m/>
    <m/>
    <m/>
    <m/>
    <m/>
    <m/>
  </r>
  <r>
    <d v="2025-11-09T00:00:00"/>
    <x v="10"/>
    <n v="100182"/>
    <x v="0"/>
    <s v="JAM TRADING PRO SAS"/>
    <s v="TECU2CBF-73"/>
    <x v="103"/>
    <n v="1"/>
    <x v="5"/>
    <s v="Bogotá y alrededores"/>
    <s v="Bogota"/>
    <s v="En alistamiento"/>
    <m/>
    <m/>
    <m/>
    <m/>
    <m/>
    <m/>
    <m/>
    <m/>
    <m/>
    <m/>
    <m/>
  </r>
  <r>
    <d v="2025-11-09T00:00:00"/>
    <x v="10"/>
    <n v="100182"/>
    <x v="0"/>
    <s v="JAM TRADING PRO SAS"/>
    <s v="TECUBDPA"/>
    <x v="1"/>
    <n v="1"/>
    <x v="0"/>
    <s v="Bogotá y alrededores"/>
    <s v="Bogota"/>
    <s v="En alistamiento"/>
    <m/>
    <m/>
    <m/>
    <m/>
    <m/>
    <m/>
    <m/>
    <m/>
    <m/>
    <m/>
    <m/>
  </r>
  <r>
    <d v="2025-11-09T00:00:00"/>
    <x v="10"/>
    <n v="100182"/>
    <x v="0"/>
    <s v="JAM TRADING PRO SAS"/>
    <m/>
    <x v="10"/>
    <n v="1"/>
    <x v="3"/>
    <s v="Bogotá y alrededores"/>
    <s v="Bogota"/>
    <s v="En alistamiento"/>
    <m/>
    <m/>
    <m/>
    <m/>
    <m/>
    <m/>
    <m/>
    <m/>
    <m/>
    <m/>
    <m/>
  </r>
  <r>
    <d v="2025-11-14T00:00:00"/>
    <x v="10"/>
    <n v="100183"/>
    <x v="0"/>
    <s v="DCM SYSTEM SAS"/>
    <s v="TECU3FNCRO"/>
    <x v="55"/>
    <n v="1"/>
    <x v="1"/>
    <s v="Atlantico"/>
    <s v="Barranquilla"/>
    <s v="En alistamiento"/>
    <m/>
    <m/>
    <m/>
    <m/>
    <m/>
    <m/>
    <m/>
    <m/>
    <m/>
    <m/>
    <m/>
  </r>
  <r>
    <d v="2025-11-14T00:00:00"/>
    <x v="10"/>
    <n v="100183"/>
    <x v="0"/>
    <s v="DCM SYSTEM SAS"/>
    <s v="TECUTB7C"/>
    <x v="38"/>
    <n v="1"/>
    <x v="2"/>
    <s v="Atlantico"/>
    <s v="Barranquilla"/>
    <s v="En alistamiento"/>
    <m/>
    <m/>
    <m/>
    <m/>
    <m/>
    <m/>
    <m/>
    <m/>
    <m/>
    <m/>
    <m/>
  </r>
  <r>
    <d v="2025-11-14T00:00:00"/>
    <x v="10"/>
    <n v="100184"/>
    <x v="0"/>
    <s v="Jorge Esteban Ariza Hernández"/>
    <s v="TECU3FBRO"/>
    <x v="34"/>
    <n v="1"/>
    <x v="1"/>
    <s v="Bogotá y alrededores"/>
    <s v="Bogota"/>
    <s v="En alistamiento"/>
    <m/>
    <m/>
    <m/>
    <m/>
    <m/>
    <m/>
    <m/>
    <m/>
    <m/>
    <m/>
    <m/>
  </r>
  <r>
    <d v="2025-11-14T00:00:00"/>
    <x v="10"/>
    <n v="100184"/>
    <x v="0"/>
    <s v="Jorge Esteban Ariza Hernández"/>
    <s v="TECUTCO8C"/>
    <x v="19"/>
    <n v="1"/>
    <x v="2"/>
    <s v="Bogotá y alrededores"/>
    <s v="Bogota"/>
    <s v="En alistamiento"/>
    <m/>
    <m/>
    <m/>
    <m/>
    <m/>
    <m/>
    <m/>
    <m/>
    <m/>
    <m/>
    <m/>
  </r>
  <r>
    <d v="2025-11-15T00:00:00"/>
    <x v="10"/>
    <n v="100185"/>
    <x v="0"/>
    <s v="Guillermo Castano"/>
    <s v="TECU2FBGO"/>
    <x v="2"/>
    <n v="1"/>
    <x v="1"/>
    <s v="Risaralda"/>
    <s v="Pereira"/>
    <s v="En alistamiento"/>
    <m/>
    <m/>
    <m/>
    <m/>
    <m/>
    <m/>
    <m/>
    <m/>
    <m/>
    <m/>
    <m/>
  </r>
  <r>
    <d v="2025-11-15T00:00:00"/>
    <x v="10"/>
    <n v="100185"/>
    <x v="0"/>
    <s v="Guillermo Castano"/>
    <s v="TECUTRN2C-60"/>
    <x v="104"/>
    <n v="1"/>
    <x v="2"/>
    <s v="Risaralda"/>
    <s v="Pereira"/>
    <s v="En alistamiento"/>
    <m/>
    <m/>
    <m/>
    <m/>
    <m/>
    <m/>
    <m/>
    <m/>
    <m/>
    <m/>
    <m/>
  </r>
  <r>
    <d v="2025-11-18T00:00:00"/>
    <x v="10"/>
    <n v="100187"/>
    <x v="0"/>
    <s v="Luisa Fernanda Acosta Castillo"/>
    <s v="TECU3FBRO"/>
    <x v="34"/>
    <n v="1"/>
    <x v="1"/>
    <s v="Bogotá y alrededores"/>
    <s v="Bogota"/>
    <s v="En alistamiento"/>
    <m/>
    <m/>
    <m/>
    <m/>
    <m/>
    <m/>
    <m/>
    <m/>
    <m/>
    <m/>
    <m/>
  </r>
  <r>
    <d v="2025-11-18T00:00:00"/>
    <x v="10"/>
    <n v="100187"/>
    <x v="0"/>
    <s v="Luisa Fernanda Acosta Castillo"/>
    <s v="TECUTFE6C"/>
    <x v="28"/>
    <n v="1"/>
    <x v="2"/>
    <s v="Bogotá y alrededores"/>
    <s v="Bogota"/>
    <s v="En alistamiento"/>
    <m/>
    <m/>
    <m/>
    <m/>
    <m/>
    <m/>
    <m/>
    <m/>
    <m/>
    <m/>
    <m/>
  </r>
  <r>
    <d v="2025-11-18T00:00:00"/>
    <x v="10"/>
    <n v="100188"/>
    <x v="0"/>
    <s v="Fabian Marquez"/>
    <s v="TECU3FBRO"/>
    <x v="34"/>
    <n v="1"/>
    <x v="1"/>
    <s v="Bogotá y alrededores"/>
    <s v="Bogota"/>
    <s v="En alistamiento"/>
    <m/>
    <m/>
    <m/>
    <m/>
    <m/>
    <m/>
    <m/>
    <m/>
    <m/>
    <m/>
    <m/>
  </r>
  <r>
    <d v="2025-11-18T00:00:00"/>
    <x v="10"/>
    <n v="100188"/>
    <x v="0"/>
    <s v="Fabian Marquez"/>
    <s v="TECUTFE5M"/>
    <x v="74"/>
    <n v="1"/>
    <x v="2"/>
    <s v="Bogotá y alrededores"/>
    <s v="Bogota"/>
    <s v="En alistamiento"/>
    <m/>
    <m/>
    <m/>
    <m/>
    <m/>
    <m/>
    <m/>
    <m/>
    <m/>
    <m/>
    <m/>
  </r>
  <r>
    <d v="2025-11-18T00:00:00"/>
    <x v="10"/>
    <n v="100188"/>
    <x v="0"/>
    <s v="Fabian Marquez"/>
    <s v="TECUDSG"/>
    <x v="64"/>
    <n v="1"/>
    <x v="4"/>
    <s v="Bogotá y alrededores"/>
    <s v="Bogota"/>
    <s v="En alistamiento"/>
    <m/>
    <m/>
    <m/>
    <m/>
    <m/>
    <m/>
    <m/>
    <m/>
    <m/>
    <m/>
    <m/>
  </r>
  <r>
    <d v="2025-11-19T00:00:00"/>
    <x v="10"/>
    <n v="100189"/>
    <x v="0"/>
    <s v="Marcela González"/>
    <s v="TECU3FBRO"/>
    <x v="34"/>
    <n v="1"/>
    <x v="1"/>
    <s v="Valle del Cauca"/>
    <s v="Cali"/>
    <s v="En alistamiento"/>
    <m/>
    <m/>
    <m/>
    <m/>
    <m/>
    <m/>
    <m/>
    <m/>
    <m/>
    <m/>
    <m/>
  </r>
  <r>
    <d v="2025-11-19T00:00:00"/>
    <x v="10"/>
    <n v="100189"/>
    <x v="0"/>
    <s v="Marcela González"/>
    <s v="TECUTFE4C-60"/>
    <x v="105"/>
    <n v="1"/>
    <x v="2"/>
    <s v="Valle del Cauca"/>
    <s v="Cali"/>
    <s v="En alistamiento"/>
    <m/>
    <m/>
    <m/>
    <m/>
    <m/>
    <m/>
    <m/>
    <m/>
    <m/>
    <m/>
    <m/>
  </r>
  <r>
    <d v="2025-11-19T00:00:00"/>
    <x v="10"/>
    <n v="100190"/>
    <x v="0"/>
    <s v="Marcelo Fumagalli"/>
    <s v="TECU3FNPRO"/>
    <x v="12"/>
    <n v="1"/>
    <x v="1"/>
    <s v="Antioquia"/>
    <s v="Medellin"/>
    <s v="En alistamiento"/>
    <m/>
    <m/>
    <m/>
    <m/>
    <m/>
    <m/>
    <m/>
    <m/>
    <m/>
    <m/>
    <m/>
  </r>
  <r>
    <d v="2025-11-19T00:00:00"/>
    <x v="10"/>
    <n v="100190"/>
    <x v="0"/>
    <s v="Marcelo Fumagalli"/>
    <s v="TECUTB6C-80"/>
    <x v="106"/>
    <n v="1"/>
    <x v="2"/>
    <s v="Antioquia"/>
    <s v="Medellin"/>
    <s v="En alistamiento"/>
    <m/>
    <m/>
    <m/>
    <m/>
    <m/>
    <m/>
    <m/>
    <m/>
    <m/>
    <m/>
    <m/>
  </r>
  <r>
    <d v="2025-11-19T00:00:00"/>
    <x v="10"/>
    <n v="100191"/>
    <x v="0"/>
    <s v="Jose Araque"/>
    <s v="TECU3FNPRO"/>
    <x v="12"/>
    <n v="1"/>
    <x v="1"/>
    <s v="Bogotá y alrededores"/>
    <s v="Bogota"/>
    <s v="En alistamiento"/>
    <m/>
    <m/>
    <m/>
    <m/>
    <m/>
    <m/>
    <m/>
    <m/>
    <m/>
    <m/>
    <m/>
  </r>
  <r>
    <d v="2025-11-19T00:00:00"/>
    <x v="10"/>
    <n v="100191"/>
    <x v="0"/>
    <s v="Jose Araque"/>
    <s v="TECUTB6C-80"/>
    <x v="106"/>
    <n v="1"/>
    <x v="2"/>
    <s v="Bogotá y alrededores"/>
    <s v="Bogota"/>
    <s v="En alistamiento"/>
    <m/>
    <m/>
    <m/>
    <m/>
    <m/>
    <m/>
    <m/>
    <m/>
    <m/>
    <m/>
    <m/>
  </r>
  <r>
    <d v="2025-11-19T00:00:00"/>
    <x v="10"/>
    <n v="100191"/>
    <x v="0"/>
    <s v="Jose Araque"/>
    <m/>
    <x v="10"/>
    <n v="1"/>
    <x v="3"/>
    <s v="Bogotá y alrededores"/>
    <s v="Bogota"/>
    <s v="En alistamiento"/>
    <m/>
    <m/>
    <m/>
    <m/>
    <m/>
    <m/>
    <m/>
    <m/>
    <m/>
    <m/>
    <m/>
  </r>
  <r>
    <d v="2025-11-19T00:00:00"/>
    <x v="10"/>
    <n v="100192"/>
    <x v="0"/>
    <s v="Bramdon Murillo"/>
    <s v="TECU2FNG"/>
    <x v="5"/>
    <n v="1"/>
    <x v="1"/>
    <s v="Bogotá y alrededores"/>
    <s v="Bogota"/>
    <s v="En alistamiento"/>
    <m/>
    <m/>
    <m/>
    <m/>
    <m/>
    <m/>
    <m/>
    <m/>
    <m/>
    <m/>
    <m/>
  </r>
  <r>
    <d v="2025-11-19T00:00:00"/>
    <x v="10"/>
    <n v="100192"/>
    <x v="0"/>
    <s v="Bramdon Murillo"/>
    <s v="TECUTCO5C"/>
    <x v="51"/>
    <n v="1"/>
    <x v="2"/>
    <s v="Bogotá y alrededores"/>
    <s v="Bogota"/>
    <s v="En alistamiento"/>
    <m/>
    <m/>
    <m/>
    <m/>
    <m/>
    <m/>
    <m/>
    <m/>
    <m/>
    <m/>
    <m/>
  </r>
  <r>
    <d v="2025-11-20T00:00:00"/>
    <x v="10"/>
    <n v="100193"/>
    <x v="0"/>
    <s v="Edgar Cervantes De Los Rios"/>
    <s v="TECU3FNPRO"/>
    <x v="12"/>
    <n v="1"/>
    <x v="1"/>
    <s v="Bogotá y alrededores"/>
    <s v="Bogota"/>
    <s v="En alistamiento"/>
    <m/>
    <m/>
    <m/>
    <m/>
    <m/>
    <m/>
    <m/>
    <m/>
    <m/>
    <m/>
    <m/>
  </r>
  <r>
    <d v="2025-11-20T00:00:00"/>
    <x v="10"/>
    <n v="100193"/>
    <x v="0"/>
    <s v="Edgar Cervantes De Los Rios"/>
    <s v="TECUTCO2C-60"/>
    <x v="107"/>
    <n v="1"/>
    <x v="2"/>
    <s v="Bogotá y alrededores"/>
    <s v="Bogota"/>
    <s v="En alistamiento"/>
    <m/>
    <m/>
    <m/>
    <m/>
    <m/>
    <m/>
    <m/>
    <m/>
    <m/>
    <m/>
    <m/>
  </r>
  <r>
    <d v="2025-11-21T00:00:00"/>
    <x v="10"/>
    <n v="100194"/>
    <x v="0"/>
    <s v="Cristian Andres Cruz Suazo"/>
    <s v="TECU3FNPRO"/>
    <x v="12"/>
    <n v="1"/>
    <x v="1"/>
    <s v="Quindio"/>
    <s v="Armenia"/>
    <s v="En alistamiento"/>
    <m/>
    <m/>
    <m/>
    <m/>
    <m/>
    <m/>
    <m/>
    <m/>
    <m/>
    <m/>
    <m/>
  </r>
  <r>
    <d v="2025-11-21T00:00:00"/>
    <x v="10"/>
    <n v="100194"/>
    <x v="0"/>
    <s v="Cristian Andres Cruz Suazo"/>
    <s v="TECUTCO9C"/>
    <x v="108"/>
    <n v="1"/>
    <x v="2"/>
    <s v="Quindio"/>
    <s v="Armenia"/>
    <s v="En alistamiento"/>
    <m/>
    <m/>
    <m/>
    <m/>
    <m/>
    <m/>
    <m/>
    <m/>
    <m/>
    <m/>
    <m/>
  </r>
  <r>
    <d v="2025-11-22T00:00:00"/>
    <x v="10"/>
    <n v="100195"/>
    <x v="0"/>
    <s v="Stephany Sánchez Vergel"/>
    <s v="TECU2FNG"/>
    <x v="5"/>
    <n v="1"/>
    <x v="1"/>
    <s v="Bogotá y alrededores"/>
    <s v="Bogota"/>
    <s v="En alistamiento"/>
    <m/>
    <m/>
    <m/>
    <m/>
    <m/>
    <m/>
    <m/>
    <m/>
    <m/>
    <m/>
    <m/>
  </r>
  <r>
    <d v="2025-11-22T00:00:00"/>
    <x v="10"/>
    <n v="100195"/>
    <x v="0"/>
    <s v="Stephany Sánchez Vergel"/>
    <s v="TECUTCO2C-60"/>
    <x v="107"/>
    <n v="1"/>
    <x v="2"/>
    <s v="Bogotá y alrededores"/>
    <s v="Bogota"/>
    <s v="En alistamiento"/>
    <m/>
    <m/>
    <m/>
    <m/>
    <m/>
    <m/>
    <m/>
    <m/>
    <m/>
    <m/>
    <m/>
  </r>
  <r>
    <d v="2025-11-22T00:00:00"/>
    <x v="10"/>
    <n v="100196"/>
    <x v="0"/>
    <s v="Jaime David Burbano Montoya"/>
    <s v="TECU3FNCRO"/>
    <x v="55"/>
    <n v="1"/>
    <x v="1"/>
    <s v="Valle del Cauca"/>
    <s v="Cali"/>
    <s v="En alistamiento"/>
    <m/>
    <m/>
    <m/>
    <m/>
    <m/>
    <m/>
    <m/>
    <m/>
    <m/>
    <m/>
    <m/>
  </r>
  <r>
    <d v="2025-11-22T00:00:00"/>
    <x v="10"/>
    <n v="100196"/>
    <x v="0"/>
    <s v="Jaime David Burbano Montoya"/>
    <s v="TECUTFE5C-80"/>
    <x v="109"/>
    <n v="1"/>
    <x v="2"/>
    <s v="Valle del Cauca"/>
    <s v="Cali"/>
    <s v="En alistamiento"/>
    <m/>
    <m/>
    <m/>
    <m/>
    <m/>
    <m/>
    <m/>
    <m/>
    <m/>
    <m/>
    <m/>
  </r>
  <r>
    <d v="2025-11-22T00:00:00"/>
    <x v="10"/>
    <n v="100196"/>
    <x v="0"/>
    <s v="Jaime David Burbano Montoya"/>
    <s v="TECUCT"/>
    <x v="4"/>
    <n v="1"/>
    <x v="0"/>
    <s v="Valle del Cauca"/>
    <s v="Cali"/>
    <s v="En alistamiento"/>
    <m/>
    <m/>
    <m/>
    <m/>
    <m/>
    <m/>
    <m/>
    <m/>
    <m/>
    <m/>
    <m/>
  </r>
  <r>
    <d v="2025-11-23T00:00:00"/>
    <x v="10"/>
    <n v="100197"/>
    <x v="0"/>
    <s v="Luis Perez"/>
    <s v="TECU3FBRO"/>
    <x v="34"/>
    <n v="1"/>
    <x v="1"/>
    <s v="Bogotá y alrededores"/>
    <s v="Bogota"/>
    <s v="En alistamiento"/>
    <m/>
    <m/>
    <m/>
    <m/>
    <m/>
    <m/>
    <m/>
    <m/>
    <m/>
    <m/>
    <m/>
  </r>
  <r>
    <d v="2025-11-23T00:00:00"/>
    <x v="10"/>
    <n v="100197"/>
    <x v="0"/>
    <s v="Luis Perez"/>
    <s v="TECUTFE4C"/>
    <x v="14"/>
    <n v="1"/>
    <x v="2"/>
    <s v="Bogotá y alrededores"/>
    <s v="Bogota"/>
    <s v="En alistamiento"/>
    <m/>
    <m/>
    <m/>
    <m/>
    <m/>
    <m/>
    <m/>
    <m/>
    <m/>
    <m/>
    <m/>
  </r>
  <r>
    <d v="2025-11-24T00:00:00"/>
    <x v="10"/>
    <n v="100198"/>
    <x v="0"/>
    <s v="Juan Pablo Lalinde"/>
    <s v="TECU3FNPRO"/>
    <x v="12"/>
    <n v="1"/>
    <x v="1"/>
    <s v="Bogotá y alrededores"/>
    <s v="Bogota"/>
    <s v="En alistamiento"/>
    <m/>
    <m/>
    <m/>
    <m/>
    <m/>
    <m/>
    <m/>
    <m/>
    <m/>
    <m/>
    <m/>
  </r>
  <r>
    <d v="2025-11-24T00:00:00"/>
    <x v="10"/>
    <n v="100198"/>
    <x v="0"/>
    <s v="Juan Pablo Lalinde"/>
    <s v="TECUTRM8C"/>
    <x v="49"/>
    <n v="1"/>
    <x v="2"/>
    <s v="Bogotá y alrededores"/>
    <s v="Bogota"/>
    <s v="En alistamiento"/>
    <m/>
    <m/>
    <m/>
    <m/>
    <m/>
    <m/>
    <m/>
    <m/>
    <m/>
    <m/>
    <m/>
  </r>
  <r>
    <d v="2025-11-24T00:00:00"/>
    <x v="10"/>
    <n v="100198"/>
    <x v="0"/>
    <s v="Juan Pablo Lalinde"/>
    <s v="TECUCT"/>
    <x v="4"/>
    <n v="1"/>
    <x v="0"/>
    <s v="Bogotá y alrededores"/>
    <s v="Bogota"/>
    <s v="En alistamiento"/>
    <m/>
    <m/>
    <m/>
    <m/>
    <m/>
    <m/>
    <m/>
    <m/>
    <m/>
    <m/>
    <m/>
  </r>
  <r>
    <d v="2025-11-24T00:00:00"/>
    <x v="10"/>
    <n v="100199"/>
    <x v="0"/>
    <s v="John Alejandro Nunez Giraldo"/>
    <s v="TECURCO"/>
    <x v="30"/>
    <n v="1"/>
    <x v="6"/>
    <s v="Antioquia"/>
    <s v="Marinilla"/>
    <s v="En alistamiento"/>
    <m/>
    <m/>
    <m/>
    <m/>
    <m/>
    <m/>
    <m/>
    <m/>
    <m/>
    <m/>
    <m/>
  </r>
  <r>
    <d v="2025-11-24T00:00:00"/>
    <x v="10"/>
    <n v="100200"/>
    <x v="0"/>
    <s v="Laura Alvarez"/>
    <s v="TECU2FBGO"/>
    <x v="2"/>
    <n v="1"/>
    <x v="1"/>
    <s v="Antioquia"/>
    <s v="Medellin"/>
    <s v="En alistamiento"/>
    <m/>
    <m/>
    <m/>
    <m/>
    <m/>
    <m/>
    <m/>
    <m/>
    <m/>
    <m/>
    <m/>
  </r>
  <r>
    <d v="2025-11-24T00:00:00"/>
    <x v="10"/>
    <n v="100200"/>
    <x v="0"/>
    <s v="Laura Alvarez"/>
    <s v="TECUTRN2C-60"/>
    <x v="104"/>
    <n v="1"/>
    <x v="2"/>
    <s v="Antioquia"/>
    <s v="Medellin"/>
    <s v="En alistamiento"/>
    <m/>
    <m/>
    <m/>
    <m/>
    <m/>
    <m/>
    <m/>
    <m/>
    <m/>
    <m/>
    <m/>
  </r>
  <r>
    <d v="2025-11-24T00:00:00"/>
    <x v="10"/>
    <n v="100201"/>
    <x v="0"/>
    <s v="jose gabriel guzman lopez"/>
    <s v="TECUCT"/>
    <x v="4"/>
    <n v="1"/>
    <x v="0"/>
    <s v="Antioquia"/>
    <s v="Sabaneta"/>
    <s v="En alistamiento"/>
    <m/>
    <m/>
    <m/>
    <m/>
    <m/>
    <m/>
    <m/>
    <m/>
    <m/>
    <m/>
    <m/>
  </r>
  <r>
    <d v="2025-11-24T00:00:00"/>
    <x v="10"/>
    <n v="100202"/>
    <x v="0"/>
    <s v="Cristian Fernando Alvarez Trujillo"/>
    <s v="TECU2CBC-65"/>
    <x v="110"/>
    <n v="1"/>
    <x v="5"/>
    <s v="Huila"/>
    <s v="Neiva"/>
    <s v="En alistamiento"/>
    <m/>
    <m/>
    <m/>
    <m/>
    <m/>
    <m/>
    <m/>
    <m/>
    <m/>
    <m/>
    <m/>
  </r>
  <r>
    <d v="2025-11-24T00:00:00"/>
    <x v="10"/>
    <n v="100203"/>
    <x v="0"/>
    <s v="Daniela Paola Maestre Iglesias"/>
    <s v="TECU2FBGO"/>
    <x v="2"/>
    <n v="1"/>
    <x v="1"/>
    <s v="Antioquia"/>
    <s v="Itagui"/>
    <s v="En alistamiento"/>
    <m/>
    <m/>
    <m/>
    <m/>
    <m/>
    <m/>
    <m/>
    <m/>
    <m/>
    <m/>
    <m/>
  </r>
  <r>
    <d v="2025-11-24T00:00:00"/>
    <x v="10"/>
    <n v="100203"/>
    <x v="0"/>
    <s v="Daniela Paola Maestre Iglesias"/>
    <s v="TECUTFE4C-60"/>
    <x v="105"/>
    <n v="1"/>
    <x v="2"/>
    <s v="Antioquia"/>
    <s v="Itagui"/>
    <s v="En alistamiento"/>
    <m/>
    <m/>
    <m/>
    <m/>
    <m/>
    <m/>
    <m/>
    <m/>
    <m/>
    <m/>
    <m/>
  </r>
  <r>
    <d v="2025-11-24T00:00:00"/>
    <x v="10"/>
    <n v="100204"/>
    <x v="0"/>
    <s v="Karen Prieto"/>
    <s v="TECU3FBRO"/>
    <x v="34"/>
    <n v="1"/>
    <x v="1"/>
    <s v="Bogotá y alrededores"/>
    <s v="Bogota"/>
    <s v="En alistamiento"/>
    <m/>
    <m/>
    <m/>
    <m/>
    <m/>
    <m/>
    <m/>
    <m/>
    <m/>
    <m/>
    <m/>
  </r>
  <r>
    <d v="2025-11-24T00:00:00"/>
    <x v="10"/>
    <n v="100204"/>
    <x v="0"/>
    <s v="Karen Prieto"/>
    <s v="TECUTFE4C"/>
    <x v="14"/>
    <n v="1"/>
    <x v="2"/>
    <s v="Bogotá y alrededores"/>
    <s v="Bogota"/>
    <s v="En alistamiento"/>
    <m/>
    <m/>
    <m/>
    <m/>
    <m/>
    <m/>
    <m/>
    <m/>
    <m/>
    <m/>
    <m/>
  </r>
  <r>
    <d v="2025-11-25T00:00:00"/>
    <x v="10"/>
    <n v="100205"/>
    <x v="0"/>
    <s v="Daniel Marcano"/>
    <s v="TECU2FBGO"/>
    <x v="2"/>
    <n v="1"/>
    <x v="1"/>
    <s v="Manizales"/>
    <s v="Caldas"/>
    <s v="En alistamiento"/>
    <m/>
    <m/>
    <m/>
    <m/>
    <m/>
    <m/>
    <m/>
    <m/>
    <m/>
    <m/>
    <m/>
  </r>
  <r>
    <d v="2025-11-25T00:00:00"/>
    <x v="10"/>
    <n v="100205"/>
    <x v="0"/>
    <s v="Daniel Marcano"/>
    <s v="TECUTCO2C-60"/>
    <x v="107"/>
    <n v="1"/>
    <x v="2"/>
    <s v="Manizales"/>
    <s v="Caldas"/>
    <s v="En alistamiento"/>
    <m/>
    <m/>
    <m/>
    <m/>
    <m/>
    <m/>
    <m/>
    <m/>
    <m/>
    <m/>
    <m/>
  </r>
  <r>
    <d v="2025-11-25T00:00:00"/>
    <x v="10"/>
    <n v="100206"/>
    <x v="0"/>
    <s v="Alexander Vergara"/>
    <s v="TECU3FNPRO"/>
    <x v="12"/>
    <n v="1"/>
    <x v="1"/>
    <s v="Antioquia"/>
    <s v="Bello"/>
    <s v="En alistamiento"/>
    <m/>
    <m/>
    <m/>
    <m/>
    <m/>
    <m/>
    <m/>
    <m/>
    <m/>
    <m/>
    <m/>
  </r>
  <r>
    <d v="2025-11-25T00:00:00"/>
    <x v="10"/>
    <n v="100206"/>
    <x v="0"/>
    <s v="Alexander Vergara"/>
    <s v="TECUTRN5C"/>
    <x v="22"/>
    <n v="1"/>
    <x v="2"/>
    <s v="Antioquia"/>
    <s v="Bello"/>
    <s v="En alistamiento"/>
    <m/>
    <m/>
    <m/>
    <m/>
    <m/>
    <m/>
    <m/>
    <m/>
    <m/>
    <m/>
    <m/>
  </r>
  <r>
    <d v="2025-11-26T00:00:00"/>
    <x v="10"/>
    <n v="100207"/>
    <x v="0"/>
    <s v="Jorge Ferro"/>
    <s v="TECU3FNPRO"/>
    <x v="12"/>
    <n v="1"/>
    <x v="1"/>
    <s v="Bogotá y alrededores"/>
    <s v="Bogota"/>
    <s v="En alistamiento"/>
    <m/>
    <m/>
    <m/>
    <m/>
    <m/>
    <m/>
    <m/>
    <m/>
    <m/>
    <m/>
    <m/>
  </r>
  <r>
    <d v="2025-11-26T00:00:00"/>
    <x v="10"/>
    <n v="100207"/>
    <x v="0"/>
    <s v="Jorge Ferro"/>
    <s v="TECUTFE6C-60"/>
    <x v="111"/>
    <n v="1"/>
    <x v="2"/>
    <s v="Bogotá y alrededores"/>
    <s v="Bogota"/>
    <s v="En alistamiento"/>
    <m/>
    <m/>
    <m/>
    <m/>
    <m/>
    <m/>
    <m/>
    <m/>
    <m/>
    <m/>
    <m/>
  </r>
  <r>
    <d v="2025-11-27T00:00:00"/>
    <x v="10"/>
    <n v="100208"/>
    <x v="0"/>
    <s v="Juan Diego Betancur"/>
    <s v="TECULFN2"/>
    <x v="7"/>
    <n v="1"/>
    <x v="1"/>
    <s v="Antioquia"/>
    <s v="Carmen de Viboral"/>
    <s v="En alistamiento"/>
    <m/>
    <m/>
    <m/>
    <m/>
    <m/>
    <m/>
    <m/>
    <m/>
    <m/>
    <m/>
    <m/>
  </r>
  <r>
    <d v="2025-11-27T00:00:00"/>
    <x v="10"/>
    <n v="100208"/>
    <x v="0"/>
    <s v="Juan Diego Betancur"/>
    <s v="TECUTLCO5x70"/>
    <x v="112"/>
    <n v="1"/>
    <x v="2"/>
    <s v="Antioquia"/>
    <s v="Carmen de Viboral"/>
    <s v="En alistamiento"/>
    <m/>
    <m/>
    <m/>
    <m/>
    <m/>
    <m/>
    <m/>
    <m/>
    <m/>
    <m/>
    <m/>
  </r>
  <r>
    <d v="2025-11-27T00:00:00"/>
    <x v="10"/>
    <n v="100208"/>
    <x v="0"/>
    <s v="Juan Diego Betancur"/>
    <s v="TECUCT"/>
    <x v="4"/>
    <n v="1"/>
    <x v="0"/>
    <s v="Antioquia"/>
    <s v="Carmen de Viboral"/>
    <s v="En alistamiento"/>
    <m/>
    <m/>
    <m/>
    <m/>
    <m/>
    <m/>
    <m/>
    <m/>
    <m/>
    <m/>
    <m/>
  </r>
  <r>
    <d v="2025-11-27T00:00:00"/>
    <x v="10"/>
    <n v="100209"/>
    <x v="0"/>
    <s v="Andres Sanchez"/>
    <s v="TECU3FNPRO"/>
    <x v="12"/>
    <n v="1"/>
    <x v="1"/>
    <s v="Bogotá y alrededores"/>
    <s v="Bogota"/>
    <s v="En alistamiento"/>
    <m/>
    <m/>
    <m/>
    <m/>
    <m/>
    <m/>
    <m/>
    <m/>
    <m/>
    <m/>
    <m/>
  </r>
  <r>
    <d v="2025-11-27T00:00:00"/>
    <x v="10"/>
    <n v="100210"/>
    <x v="0"/>
    <s v="Víctor Julio Cañas Rincón"/>
    <s v="TECU3FNPRO"/>
    <x v="12"/>
    <n v="1"/>
    <x v="1"/>
    <s v="Boyaca"/>
    <s v="Nobsa"/>
    <s v="En alistamiento"/>
    <m/>
    <m/>
    <m/>
    <m/>
    <m/>
    <m/>
    <m/>
    <m/>
    <m/>
    <m/>
    <m/>
  </r>
  <r>
    <d v="2025-11-27T00:00:00"/>
    <x v="10"/>
    <n v="100210"/>
    <x v="0"/>
    <s v="Víctor Julio Cañas Rincón"/>
    <s v="TECUTCO6C"/>
    <x v="16"/>
    <n v="1"/>
    <x v="2"/>
    <s v="Boyaca"/>
    <s v="Nobsa"/>
    <s v="En alistamiento"/>
    <m/>
    <m/>
    <m/>
    <m/>
    <m/>
    <m/>
    <m/>
    <m/>
    <m/>
    <m/>
    <m/>
  </r>
  <r>
    <d v="2025-11-28T00:00:00"/>
    <x v="10"/>
    <n v="100211"/>
    <x v="0"/>
    <s v="Ma.C Gutierrez Arquitectos sas"/>
    <s v="TECULFN2"/>
    <x v="7"/>
    <n v="1"/>
    <x v="1"/>
    <s v="Bogotá y alrededores"/>
    <s v="Bogota"/>
    <s v="En alistamiento"/>
    <m/>
    <m/>
    <m/>
    <m/>
    <m/>
    <m/>
    <m/>
    <m/>
    <m/>
    <m/>
    <m/>
  </r>
  <r>
    <d v="2025-11-28T00:00:00"/>
    <x v="10"/>
    <n v="100212"/>
    <x v="0"/>
    <s v="Sergio Acosta"/>
    <s v="TECUTCO6C-60"/>
    <x v="79"/>
    <n v="1"/>
    <x v="2"/>
    <s v="Boyaca"/>
    <s v="Tunja"/>
    <s v="En alistamiento"/>
    <m/>
    <m/>
    <m/>
    <m/>
    <m/>
    <m/>
    <m/>
    <m/>
    <m/>
    <m/>
    <m/>
  </r>
  <r>
    <d v="2025-11-28T00:00:00"/>
    <x v="10"/>
    <n v="100212"/>
    <x v="0"/>
    <s v="Sergio Acosta"/>
    <s v="TECU2CBC-73"/>
    <x v="89"/>
    <n v="1"/>
    <x v="5"/>
    <s v="Boyaca"/>
    <s v="Tunja"/>
    <s v="En alistamiento"/>
    <m/>
    <m/>
    <m/>
    <m/>
    <m/>
    <m/>
    <m/>
    <m/>
    <m/>
    <m/>
    <m/>
  </r>
  <r>
    <d v="2025-11-28T00:00:00"/>
    <x v="10"/>
    <n v="100212"/>
    <x v="0"/>
    <s v="Sergio Acosta"/>
    <s v="TECUFX-E72"/>
    <x v="113"/>
    <n v="1"/>
    <x v="8"/>
    <s v="Boyaca"/>
    <s v="Tunja"/>
    <s v="En alistamiento"/>
    <m/>
    <m/>
    <m/>
    <m/>
    <m/>
    <m/>
    <m/>
    <m/>
    <m/>
    <m/>
    <m/>
  </r>
  <r>
    <d v="2025-11-28T00:00:00"/>
    <x v="10"/>
    <n v="100213"/>
    <x v="0"/>
    <s v="Santiago Jaramillo"/>
    <s v="TECU3FNPRO"/>
    <x v="12"/>
    <n v="1"/>
    <x v="1"/>
    <s v="Antioquia"/>
    <s v="Envigado"/>
    <s v="En alistamiento"/>
    <m/>
    <m/>
    <m/>
    <m/>
    <m/>
    <m/>
    <m/>
    <m/>
    <m/>
    <m/>
    <m/>
  </r>
  <r>
    <d v="2025-11-28T00:00:00"/>
    <x v="10"/>
    <n v="100213"/>
    <x v="0"/>
    <s v="Santiago Jaramillo"/>
    <s v="TECUTFE2C-80"/>
    <x v="114"/>
    <n v="1"/>
    <x v="2"/>
    <s v="Antioquia"/>
    <s v="Envigado"/>
    <s v="En alistamiento"/>
    <m/>
    <m/>
    <m/>
    <m/>
    <m/>
    <m/>
    <m/>
    <m/>
    <m/>
    <m/>
    <m/>
  </r>
  <r>
    <d v="2025-11-28T00:00:00"/>
    <x v="10"/>
    <n v="100214"/>
    <x v="0"/>
    <s v="Lizeth Lopez"/>
    <s v="TECU3FBRO"/>
    <x v="34"/>
    <n v="1"/>
    <x v="1"/>
    <s v="Antioquia"/>
    <s v="Sabaneta"/>
    <s v="En alistamiento"/>
    <m/>
    <m/>
    <m/>
    <m/>
    <m/>
    <m/>
    <m/>
    <m/>
    <m/>
    <m/>
    <m/>
  </r>
  <r>
    <d v="2025-11-28T00:00:00"/>
    <x v="10"/>
    <n v="100214"/>
    <x v="0"/>
    <s v="Lizeth Lopez"/>
    <s v="TECUTFE7C"/>
    <x v="53"/>
    <n v="1"/>
    <x v="2"/>
    <s v="Antioquia"/>
    <s v="Sabaneta"/>
    <s v="En alistamiento"/>
    <m/>
    <m/>
    <m/>
    <m/>
    <m/>
    <m/>
    <m/>
    <m/>
    <m/>
    <m/>
    <m/>
  </r>
  <r>
    <d v="2025-11-28T00:00:00"/>
    <x v="10"/>
    <n v="100215"/>
    <x v="0"/>
    <s v="Cristian David Naranjo Trejos"/>
    <s v="TECURFE"/>
    <x v="71"/>
    <n v="1"/>
    <x v="6"/>
    <s v="Valle del Cauca"/>
    <s v="Cali"/>
    <s v="En alistamiento"/>
    <m/>
    <m/>
    <m/>
    <m/>
    <m/>
    <m/>
    <m/>
    <m/>
    <m/>
    <m/>
    <m/>
  </r>
  <r>
    <d v="2025-11-28T00:00:00"/>
    <x v="10"/>
    <n v="100216"/>
    <x v="0"/>
    <s v="Cristian Camilo Castro Peña"/>
    <s v="TECU3FNPRO"/>
    <x v="12"/>
    <n v="1"/>
    <x v="1"/>
    <s v="Manizales"/>
    <s v="Caldas"/>
    <s v="En alistamiento"/>
    <m/>
    <m/>
    <m/>
    <m/>
    <m/>
    <m/>
    <m/>
    <m/>
    <m/>
    <m/>
    <m/>
  </r>
  <r>
    <d v="2025-11-28T00:00:00"/>
    <x v="10"/>
    <n v="100216"/>
    <x v="0"/>
    <s v="Cristian Camilo Castro Peña"/>
    <s v="TECUTFE5M"/>
    <x v="74"/>
    <n v="1"/>
    <x v="2"/>
    <s v="Manizales"/>
    <s v="Caldas"/>
    <s v="En alistamiento"/>
    <m/>
    <m/>
    <m/>
    <m/>
    <m/>
    <m/>
    <m/>
    <m/>
    <m/>
    <m/>
    <m/>
  </r>
  <r>
    <d v="2025-11-28T00:00:00"/>
    <x v="10"/>
    <n v="100217"/>
    <x v="0"/>
    <s v="Víctor Claudio Vladimir Cortés Arévalo"/>
    <s v="TECUBDPM"/>
    <x v="0"/>
    <n v="1"/>
    <x v="0"/>
    <s v="Bogotá y alrededores"/>
    <s v="Bogota"/>
    <s v="En alistamiento"/>
    <m/>
    <m/>
    <m/>
    <m/>
    <m/>
    <m/>
    <m/>
    <m/>
    <m/>
    <m/>
    <m/>
  </r>
  <r>
    <d v="2025-11-29T00:00:00"/>
    <x v="10"/>
    <n v="100218"/>
    <x v="0"/>
    <s v="Juliana Barajas"/>
    <s v="TECU2FBGO"/>
    <x v="2"/>
    <n v="1"/>
    <x v="1"/>
    <s v="Bogotá y alrededores"/>
    <s v="Bogota"/>
    <s v="En alistamiento"/>
    <m/>
    <m/>
    <m/>
    <m/>
    <m/>
    <m/>
    <m/>
    <m/>
    <m/>
    <m/>
    <m/>
  </r>
  <r>
    <d v="2025-11-29T00:00:00"/>
    <x v="10"/>
    <n v="100218"/>
    <x v="0"/>
    <s v="Juliana Barajas"/>
    <s v="TECUTFE3C-60"/>
    <x v="115"/>
    <n v="1"/>
    <x v="2"/>
    <s v="Bogotá y alrededores"/>
    <s v="Bogota"/>
    <s v="En alistamiento"/>
    <m/>
    <m/>
    <m/>
    <m/>
    <m/>
    <m/>
    <m/>
    <m/>
    <m/>
    <m/>
    <m/>
  </r>
  <r>
    <d v="2025-11-29T00:00:00"/>
    <x v="10"/>
    <n v="100219"/>
    <x v="0"/>
    <s v="Manuel Zapata"/>
    <s v="TECU2FNG"/>
    <x v="5"/>
    <n v="1"/>
    <x v="1"/>
    <s v="Antioquia"/>
    <s v="Bello"/>
    <s v="En alistamiento"/>
    <m/>
    <m/>
    <m/>
    <m/>
    <m/>
    <m/>
    <m/>
    <m/>
    <m/>
    <m/>
    <m/>
  </r>
  <r>
    <d v="2025-11-29T00:00:00"/>
    <x v="10"/>
    <n v="100219"/>
    <x v="0"/>
    <s v="Manuel Zapata"/>
    <s v="TECUTCO2C-60"/>
    <x v="107"/>
    <n v="1"/>
    <x v="2"/>
    <s v="Antioquia"/>
    <s v="Bello"/>
    <s v="En alistamiento"/>
    <m/>
    <m/>
    <m/>
    <m/>
    <m/>
    <m/>
    <m/>
    <m/>
    <m/>
    <m/>
    <m/>
  </r>
  <r>
    <d v="2025-11-29T00:00:00"/>
    <x v="10"/>
    <n v="100219"/>
    <x v="0"/>
    <s v="Manuel Zapata"/>
    <s v="TECURCO"/>
    <x v="30"/>
    <n v="1"/>
    <x v="6"/>
    <s v="Antioquia"/>
    <s v="Bello"/>
    <s v="En alistamiento"/>
    <m/>
    <m/>
    <m/>
    <m/>
    <m/>
    <m/>
    <m/>
    <m/>
    <m/>
    <m/>
    <m/>
  </r>
  <r>
    <d v="2025-11-29T00:00:00"/>
    <x v="10"/>
    <n v="100219"/>
    <x v="0"/>
    <s v="Manuel Zapata"/>
    <s v="TECUCT"/>
    <x v="4"/>
    <n v="1"/>
    <x v="0"/>
    <s v="Antioquia"/>
    <s v="Bello"/>
    <s v="En alistamiento"/>
    <m/>
    <m/>
    <m/>
    <m/>
    <m/>
    <m/>
    <m/>
    <m/>
    <m/>
    <m/>
    <m/>
  </r>
  <r>
    <d v="2025-11-29T00:00:00"/>
    <x v="10"/>
    <n v="100219"/>
    <x v="0"/>
    <s v="Manuel Zapata"/>
    <s v="TECUDSG"/>
    <x v="64"/>
    <n v="1"/>
    <x v="4"/>
    <s v="Antioquia"/>
    <s v="Bello"/>
    <s v="En alistamiento"/>
    <m/>
    <m/>
    <m/>
    <m/>
    <m/>
    <m/>
    <m/>
    <m/>
    <m/>
    <m/>
    <m/>
  </r>
  <r>
    <d v="2025-11-29T00:00:00"/>
    <x v="10"/>
    <n v="100220"/>
    <x v="0"/>
    <s v="Sebastian Medrano"/>
    <s v="TECU2FNG"/>
    <x v="5"/>
    <n v="1"/>
    <x v="1"/>
    <s v="Antioquia"/>
    <s v="Medellin"/>
    <s v="En alistamiento"/>
    <m/>
    <m/>
    <m/>
    <m/>
    <m/>
    <m/>
    <m/>
    <m/>
    <m/>
    <m/>
    <m/>
  </r>
  <r>
    <d v="2025-11-29T00:00:00"/>
    <x v="10"/>
    <n v="100220"/>
    <x v="0"/>
    <s v="Sebastian Medrano"/>
    <s v="TECUTFE2C"/>
    <x v="3"/>
    <n v="1"/>
    <x v="2"/>
    <s v="Antioquia"/>
    <s v="Medellin"/>
    <s v="En alistamiento"/>
    <m/>
    <m/>
    <m/>
    <m/>
    <m/>
    <m/>
    <m/>
    <m/>
    <m/>
    <m/>
    <m/>
  </r>
  <r>
    <d v="2025-11-29T00:00:00"/>
    <x v="10"/>
    <n v="100220"/>
    <x v="0"/>
    <s v="Sebastian Medrano"/>
    <s v="TECUCT"/>
    <x v="4"/>
    <n v="1"/>
    <x v="0"/>
    <s v="Antioquia"/>
    <s v="Medellin"/>
    <s v="En alistamiento"/>
    <m/>
    <m/>
    <m/>
    <m/>
    <m/>
    <m/>
    <m/>
    <m/>
    <m/>
    <m/>
    <m/>
  </r>
  <r>
    <d v="2025-11-30T00:00:00"/>
    <x v="10"/>
    <n v="100221"/>
    <x v="0"/>
    <s v="Camilo Ortiz"/>
    <s v="TECU3FBRO"/>
    <x v="34"/>
    <n v="1"/>
    <x v="1"/>
    <s v="Bogotá y alrededores"/>
    <s v="Bogota"/>
    <s v="En alistamiento"/>
    <m/>
    <m/>
    <m/>
    <m/>
    <m/>
    <m/>
    <m/>
    <m/>
    <m/>
    <m/>
    <m/>
  </r>
  <r>
    <d v="2025-11-30T00:00:00"/>
    <x v="10"/>
    <n v="100221"/>
    <x v="0"/>
    <s v="Camilo Ortiz"/>
    <s v="TECUTRN2C"/>
    <x v="11"/>
    <n v="1"/>
    <x v="2"/>
    <s v="Bogotá y alrededores"/>
    <s v="Bogota"/>
    <s v="En alistamiento"/>
    <m/>
    <m/>
    <m/>
    <m/>
    <m/>
    <m/>
    <m/>
    <m/>
    <m/>
    <m/>
    <m/>
  </r>
  <r>
    <d v="2025-11-30T00:00:00"/>
    <x v="10"/>
    <n v="100224"/>
    <x v="0"/>
    <s v="Andres David Varela"/>
    <s v="TECU2FBGO"/>
    <x v="2"/>
    <n v="1"/>
    <x v="1"/>
    <s v="Valle del Cauca"/>
    <s v="Palmira"/>
    <s v="En alistamiento"/>
    <m/>
    <m/>
    <m/>
    <m/>
    <m/>
    <m/>
    <m/>
    <m/>
    <m/>
    <m/>
    <m/>
  </r>
  <r>
    <d v="2025-11-30T00:00:00"/>
    <x v="10"/>
    <n v="100224"/>
    <x v="0"/>
    <s v="Andres David Varela"/>
    <s v="TECUTFE8C"/>
    <x v="21"/>
    <n v="1"/>
    <x v="2"/>
    <s v="Valle del Cauca"/>
    <s v="Palmira"/>
    <s v="En alistamiento"/>
    <m/>
    <m/>
    <m/>
    <m/>
    <m/>
    <m/>
    <m/>
    <m/>
    <m/>
    <m/>
    <m/>
  </r>
  <r>
    <d v="2025-11-30T00:00:00"/>
    <x v="10"/>
    <n v="100225"/>
    <x v="0"/>
    <s v="Andres Ortiz"/>
    <s v="TECU3FNPRO"/>
    <x v="12"/>
    <n v="1"/>
    <x v="1"/>
    <s v="Valle del Cauca"/>
    <s v="Cali"/>
    <s v="En alistamiento"/>
    <m/>
    <m/>
    <m/>
    <m/>
    <m/>
    <m/>
    <m/>
    <m/>
    <m/>
    <m/>
    <m/>
  </r>
  <r>
    <d v="2025-11-30T00:00:00"/>
    <x v="10"/>
    <n v="100225"/>
    <x v="0"/>
    <s v="Andres Ortiz"/>
    <s v="TECUTCO8C"/>
    <x v="19"/>
    <n v="1"/>
    <x v="2"/>
    <s v="Valle del Cauca"/>
    <s v="Cali"/>
    <s v="En alistamiento"/>
    <m/>
    <m/>
    <m/>
    <m/>
    <m/>
    <m/>
    <m/>
    <m/>
    <m/>
    <m/>
    <m/>
  </r>
  <r>
    <d v="2025-11-30T00:00:00"/>
    <x v="10"/>
    <n v="100226"/>
    <x v="0"/>
    <s v="Andres Ortiz"/>
    <s v="TECUCT"/>
    <x v="4"/>
    <n v="1"/>
    <x v="0"/>
    <s v="Valle del Cauca"/>
    <s v="Cali"/>
    <s v="En alistamiento"/>
    <m/>
    <m/>
    <m/>
    <m/>
    <m/>
    <m/>
    <m/>
    <m/>
    <m/>
    <m/>
    <m/>
  </r>
  <r>
    <d v="2025-11-30T00:00:00"/>
    <x v="10"/>
    <n v="100226"/>
    <x v="0"/>
    <s v="Andres Ortiz"/>
    <s v="TECU2CBC-65"/>
    <x v="110"/>
    <n v="1"/>
    <x v="5"/>
    <s v="Valle del Cauca"/>
    <s v="Cali"/>
    <s v="En alistamiento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03199-14DA-4EB6-B4A4-6655C939D94B}" name="TablaDinámica6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>
  <location ref="L10:S17" firstHeaderRow="1" firstDataRow="2" firstDataCol="1" rowPageCount="2" colPageCount="1"/>
  <pivotFields count="23">
    <pivotField compact="0" numFmtId="164" outline="0" showAll="0"/>
    <pivotField axis="axisPage" compact="0" outline="0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Col" compact="0" outline="0" showAll="0" defaultSubtotal="0">
      <items count="8">
        <item x="1"/>
        <item x="2"/>
        <item x="0"/>
        <item x="5"/>
        <item x="6"/>
        <item x="4"/>
        <item x="7"/>
        <item h="1" x="3"/>
      </items>
    </pivotField>
    <pivotField axis="axisRow" compact="0" outline="0" showAll="0">
      <items count="16">
        <item x="1"/>
        <item x="0"/>
        <item x="6"/>
        <item x="4"/>
        <item x="2"/>
        <item x="5"/>
        <item x="10"/>
        <item x="9"/>
        <item x="8"/>
        <item x="3"/>
        <item x="7"/>
        <item x="11"/>
        <item x="12"/>
        <item x="13"/>
        <item x="14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axis="axisPage" compact="0" outline="0" multipleItemSelectionAllowed="1" showAll="0">
      <items count="4">
        <item x="0"/>
        <item h="1" x="1"/>
        <item h="1" x="2"/>
        <item t="default"/>
      </items>
    </pivotField>
    <pivotField compact="0" numFmtId="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4"/>
    </i>
    <i>
      <x v="5"/>
    </i>
    <i>
      <x v="13"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1" hier="-1"/>
    <pageField fld="16" hier="-1"/>
  </pageFields>
  <dataFields count="1">
    <dataField name="Promedio de Tiempo de entrega de la orden" fld="18" subtotal="average" baseField="10" baseItem="9"/>
  </dataFields>
  <formats count="33">
    <format dxfId="290">
      <pivotArea type="all" dataOnly="0" outline="0" fieldPosition="0"/>
    </format>
    <format dxfId="289">
      <pivotArea outline="0" collapsedLevelsAreSubtotals="1" fieldPosition="0"/>
    </format>
    <format dxfId="288">
      <pivotArea type="origin" dataOnly="0" labelOnly="1" outline="0" fieldPosition="0"/>
    </format>
    <format dxfId="287">
      <pivotArea field="11" type="button" dataOnly="0" labelOnly="1" outline="0"/>
    </format>
    <format dxfId="286">
      <pivotArea type="topRight" dataOnly="0" labelOnly="1" outline="0" fieldPosition="0"/>
    </format>
    <format dxfId="285">
      <pivotArea field="1" type="button" dataOnly="0" labelOnly="1" outline="0" axis="axisPage" fieldPosition="0"/>
    </format>
    <format dxfId="284">
      <pivotArea field="8" type="button" dataOnly="0" labelOnly="1" outline="0" axis="axisCol" fieldPosition="0"/>
    </format>
    <format dxfId="283">
      <pivotArea dataOnly="0" labelOnly="1" outline="0" fieldPosition="0">
        <references count="1">
          <reference field="1" count="0"/>
        </references>
      </pivotArea>
    </format>
    <format dxfId="282">
      <pivotArea dataOnly="0" labelOnly="1" outline="0" fieldPosition="0">
        <references count="1">
          <reference field="1" count="0" defaultSubtotal="1"/>
        </references>
      </pivotArea>
    </format>
    <format dxfId="281">
      <pivotArea dataOnly="0" labelOnly="1" grandRow="1" outline="0" fieldPosition="0"/>
    </format>
    <format dxfId="280">
      <pivotArea dataOnly="0" labelOnly="1" grandCol="1" outline="0" fieldPosition="0"/>
    </format>
    <format dxfId="279">
      <pivotArea type="all" dataOnly="0" outline="0" fieldPosition="0"/>
    </format>
    <format dxfId="278">
      <pivotArea outline="0" collapsedLevelsAreSubtotals="1" fieldPosition="0"/>
    </format>
    <format dxfId="277">
      <pivotArea type="origin" dataOnly="0" labelOnly="1" outline="0" fieldPosition="0"/>
    </format>
    <format dxfId="276">
      <pivotArea field="11" type="button" dataOnly="0" labelOnly="1" outline="0"/>
    </format>
    <format dxfId="275">
      <pivotArea type="topRight" dataOnly="0" labelOnly="1" outline="0" fieldPosition="0"/>
    </format>
    <format dxfId="274">
      <pivotArea field="1" type="button" dataOnly="0" labelOnly="1" outline="0" axis="axisPage" fieldPosition="0"/>
    </format>
    <format dxfId="273">
      <pivotArea field="8" type="button" dataOnly="0" labelOnly="1" outline="0" axis="axisCol" fieldPosition="0"/>
    </format>
    <format dxfId="272">
      <pivotArea dataOnly="0" labelOnly="1" outline="0" fieldPosition="0">
        <references count="1">
          <reference field="1" count="0"/>
        </references>
      </pivotArea>
    </format>
    <format dxfId="271">
      <pivotArea dataOnly="0" labelOnly="1" outline="0" fieldPosition="0">
        <references count="1">
          <reference field="1" count="0" defaultSubtotal="1"/>
        </references>
      </pivotArea>
    </format>
    <format dxfId="270">
      <pivotArea dataOnly="0" labelOnly="1" grandRow="1" outline="0" fieldPosition="0"/>
    </format>
    <format dxfId="269">
      <pivotArea dataOnly="0" labelOnly="1" grandCol="1" outline="0" fieldPosition="0"/>
    </format>
    <format dxfId="268">
      <pivotArea outline="0" collapsedLevelsAreSubtotals="1" fieldPosition="0"/>
    </format>
    <format dxfId="267">
      <pivotArea type="all" dataOnly="0" outline="0" fieldPosition="0"/>
    </format>
    <format dxfId="266">
      <pivotArea outline="0" collapsedLevelsAreSubtotals="1" fieldPosition="0"/>
    </format>
    <format dxfId="265">
      <pivotArea type="origin" dataOnly="0" labelOnly="1" outline="0" fieldPosition="0"/>
    </format>
    <format dxfId="264">
      <pivotArea field="8" type="button" dataOnly="0" labelOnly="1" outline="0" axis="axisCol" fieldPosition="0"/>
    </format>
    <format dxfId="263">
      <pivotArea type="topRight" dataOnly="0" labelOnly="1" outline="0" fieldPosition="0"/>
    </format>
    <format dxfId="262">
      <pivotArea field="9" type="button" dataOnly="0" labelOnly="1" outline="0" axis="axisRow" fieldPosition="0"/>
    </format>
    <format dxfId="261">
      <pivotArea dataOnly="0" labelOnly="1" outline="0" fieldPosition="0">
        <references count="1">
          <reference field="9" count="6">
            <x v="0"/>
            <x v="1"/>
            <x v="2"/>
            <x v="3"/>
            <x v="4"/>
            <x v="6"/>
          </reference>
        </references>
      </pivotArea>
    </format>
    <format dxfId="260">
      <pivotArea dataOnly="0" labelOnly="1" outline="0" fieldPosition="0">
        <references count="1">
          <reference field="8" count="7">
            <x v="0"/>
            <x v="1"/>
            <x v="2"/>
            <x v="3"/>
            <x v="4"/>
            <x v="5"/>
            <x v="6"/>
          </reference>
        </references>
      </pivotArea>
    </format>
    <format dxfId="259">
      <pivotArea type="origin" dataOnly="0" labelOnly="1" outline="0" fieldPosition="0"/>
    </format>
    <format dxfId="258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82B75-D709-4866-B5EE-0F75CAD1FB53}" name="TablaDinámica5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>
  <location ref="A10:H17" firstHeaderRow="1" firstDataRow="2" firstDataCol="1" rowPageCount="2" colPageCount="1"/>
  <pivotFields count="23">
    <pivotField compact="0" numFmtId="164" outline="0" subtotalTop="0" showAll="0"/>
    <pivotField axis="axisPage" compact="0" outline="0" subtotalTop="0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1" outline="0" subtotalTop="0" showAll="0"/>
    <pivotField axis="axisCol" compact="0" outline="0" subtotalTop="0" showAll="0">
      <items count="9">
        <item x="1"/>
        <item x="2"/>
        <item x="0"/>
        <item x="5"/>
        <item x="6"/>
        <item x="4"/>
        <item x="7"/>
        <item x="3"/>
        <item t="default"/>
      </items>
    </pivotField>
    <pivotField axis="axisRow" compact="0" outline="0" subtotalTop="0" showAll="0">
      <items count="16">
        <item x="1"/>
        <item x="0"/>
        <item x="6"/>
        <item x="4"/>
        <item x="2"/>
        <item x="5"/>
        <item x="10"/>
        <item x="9"/>
        <item x="8"/>
        <item x="7"/>
        <item x="3"/>
        <item x="11"/>
        <item x="12"/>
        <item x="13"/>
        <item x="14"/>
        <item t="default"/>
      </items>
    </pivotField>
    <pivotField compact="0" outline="0" subtotalTop="0" showAll="0"/>
    <pivotField axis="axisPage" compact="0" outline="0" subtotalTop="0" multipleItemSelectionAllowed="1" showAll="0">
      <items count="4">
        <item x="0"/>
        <item h="1" x="2"/>
        <item h="1" x="1"/>
        <item t="default"/>
      </items>
    </pivotField>
    <pivotField compact="0" outline="0" subtotalTop="0" showAll="0"/>
    <pivotField compact="0" outline="0" subtotalTop="0" showAll="0"/>
    <pivotField compact="0" numFmtId="164" outline="0" subtotalTop="0" showAll="0"/>
    <pivotField compact="0" outline="0" subtotalTop="0" showAll="0"/>
    <pivotField compact="0" outline="0" subtotalTop="0" showAll="0"/>
    <pivotField dataField="1" compact="0" numFmtId="1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9"/>
  </rowFields>
  <rowItems count="6">
    <i>
      <x/>
    </i>
    <i>
      <x v="1"/>
    </i>
    <i>
      <x v="2"/>
    </i>
    <i>
      <x v="4"/>
    </i>
    <i>
      <x v="5"/>
    </i>
    <i>
      <x v="13"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pageFields count="2">
    <pageField fld="1" hier="-1"/>
    <pageField fld="11" hier="-1"/>
  </pageFields>
  <dataFields count="1">
    <dataField name="Promedio de Tiempo de despacho de orden" fld="17" subtotal="average" baseField="10" baseItem="4"/>
  </dataFields>
  <formats count="35">
    <format dxfId="325">
      <pivotArea type="all" dataOnly="0" outline="0" fieldPosition="0"/>
    </format>
    <format dxfId="324">
      <pivotArea outline="0" collapsedLevelsAreSubtotals="1" fieldPosition="0"/>
    </format>
    <format dxfId="323">
      <pivotArea type="origin" dataOnly="0" labelOnly="1" outline="0" fieldPosition="0"/>
    </format>
    <format dxfId="322">
      <pivotArea field="11" type="button" dataOnly="0" labelOnly="1" outline="0" axis="axisPage" fieldPosition="1"/>
    </format>
    <format dxfId="321">
      <pivotArea type="topRight" dataOnly="0" labelOnly="1" outline="0" fieldPosition="0"/>
    </format>
    <format dxfId="320">
      <pivotArea field="1" type="button" dataOnly="0" labelOnly="1" outline="0" axis="axisPage" fieldPosition="0"/>
    </format>
    <format dxfId="319">
      <pivotArea field="8" type="button" dataOnly="0" labelOnly="1" outline="0" axis="axisCol" fieldPosition="0"/>
    </format>
    <format dxfId="318">
      <pivotArea dataOnly="0" labelOnly="1" outline="0" fieldPosition="0">
        <references count="1">
          <reference field="1" count="0"/>
        </references>
      </pivotArea>
    </format>
    <format dxfId="317">
      <pivotArea dataOnly="0" labelOnly="1" outline="0" fieldPosition="0">
        <references count="1">
          <reference field="1" count="0" defaultSubtotal="1"/>
        </references>
      </pivotArea>
    </format>
    <format dxfId="316">
      <pivotArea dataOnly="0" labelOnly="1" grandRow="1" outline="0" fieldPosition="0"/>
    </format>
    <format dxfId="315">
      <pivotArea dataOnly="0" labelOnly="1" outline="0" fieldPosition="0">
        <references count="1">
          <reference field="11" count="0"/>
        </references>
      </pivotArea>
    </format>
    <format dxfId="314">
      <pivotArea dataOnly="0" labelOnly="1" grandCol="1" outline="0" fieldPosition="0"/>
    </format>
    <format dxfId="313">
      <pivotArea type="all" dataOnly="0" outline="0" fieldPosition="0"/>
    </format>
    <format dxfId="312">
      <pivotArea outline="0" collapsedLevelsAreSubtotals="1" fieldPosition="0"/>
    </format>
    <format dxfId="311">
      <pivotArea type="origin" dataOnly="0" labelOnly="1" outline="0" fieldPosition="0"/>
    </format>
    <format dxfId="310">
      <pivotArea field="11" type="button" dataOnly="0" labelOnly="1" outline="0" axis="axisPage" fieldPosition="1"/>
    </format>
    <format dxfId="309">
      <pivotArea type="topRight" dataOnly="0" labelOnly="1" outline="0" fieldPosition="0"/>
    </format>
    <format dxfId="308">
      <pivotArea field="1" type="button" dataOnly="0" labelOnly="1" outline="0" axis="axisPage" fieldPosition="0"/>
    </format>
    <format dxfId="307">
      <pivotArea field="8" type="button" dataOnly="0" labelOnly="1" outline="0" axis="axisCol" fieldPosition="0"/>
    </format>
    <format dxfId="306">
      <pivotArea dataOnly="0" labelOnly="1" outline="0" fieldPosition="0">
        <references count="1">
          <reference field="1" count="0"/>
        </references>
      </pivotArea>
    </format>
    <format dxfId="305">
      <pivotArea dataOnly="0" labelOnly="1" outline="0" fieldPosition="0">
        <references count="1">
          <reference field="1" count="0" defaultSubtotal="1"/>
        </references>
      </pivotArea>
    </format>
    <format dxfId="304">
      <pivotArea dataOnly="0" labelOnly="1" grandRow="1" outline="0" fieldPosition="0"/>
    </format>
    <format dxfId="303">
      <pivotArea dataOnly="0" labelOnly="1" outline="0" fieldPosition="0">
        <references count="1">
          <reference field="11" count="0"/>
        </references>
      </pivotArea>
    </format>
    <format dxfId="302">
      <pivotArea dataOnly="0" labelOnly="1" grandCol="1" outline="0" fieldPosition="0"/>
    </format>
    <format dxfId="301">
      <pivotArea outline="0" collapsedLevelsAreSubtotals="1" fieldPosition="0"/>
    </format>
    <format dxfId="300">
      <pivotArea type="all" dataOnly="0" outline="0" fieldPosition="0"/>
    </format>
    <format dxfId="299">
      <pivotArea outline="0" collapsedLevelsAreSubtotals="1" fieldPosition="0"/>
    </format>
    <format dxfId="298">
      <pivotArea type="origin" dataOnly="0" labelOnly="1" outline="0" fieldPosition="0"/>
    </format>
    <format dxfId="297">
      <pivotArea field="8" type="button" dataOnly="0" labelOnly="1" outline="0" axis="axisCol" fieldPosition="0"/>
    </format>
    <format dxfId="296">
      <pivotArea type="topRight" dataOnly="0" labelOnly="1" outline="0" fieldPosition="0"/>
    </format>
    <format dxfId="295">
      <pivotArea field="9" type="button" dataOnly="0" labelOnly="1" outline="0" axis="axisRow" fieldPosition="0"/>
    </format>
    <format dxfId="294">
      <pivotArea dataOnly="0" labelOnly="1" outline="0" fieldPosition="0">
        <references count="1">
          <reference field="9" count="8">
            <x v="0"/>
            <x v="1"/>
            <x v="2"/>
            <x v="5"/>
            <x v="6"/>
            <x v="7"/>
            <x v="8"/>
            <x v="9"/>
          </reference>
        </references>
      </pivotArea>
    </format>
    <format dxfId="293">
      <pivotArea dataOnly="0" labelOnly="1" outline="0" fieldPosition="0">
        <references count="1">
          <reference field="8" count="6">
            <x v="0"/>
            <x v="1"/>
            <x v="2"/>
            <x v="3"/>
            <x v="4"/>
            <x v="5"/>
          </reference>
        </references>
      </pivotArea>
    </format>
    <format dxfId="292">
      <pivotArea dataOnly="0" labelOnly="1" outline="0" fieldPosition="0">
        <references count="1">
          <reference field="8" count="6">
            <x v="0"/>
            <x v="1"/>
            <x v="2"/>
            <x v="3"/>
            <x v="4"/>
            <x v="5"/>
          </reference>
        </references>
      </pivotArea>
    </format>
    <format dxfId="291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18164-7FCA-4005-AD38-979D807D1B04}" name="TablaDinámica1" cacheId="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>
  <location ref="A34:I41" firstHeaderRow="1" firstDataRow="2" firstDataCol="1" rowPageCount="2" colPageCount="1"/>
  <pivotFields count="23">
    <pivotField compact="0" numFmtId="164" outline="0" subtotalTop="0" showAll="0"/>
    <pivotField axis="axisPage" compact="0" outline="0" subtotalTop="0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1" outline="0" subtotalTop="0" showAll="0"/>
    <pivotField axis="axisCol" compact="0" outline="0" subtotalTop="0" showAll="0">
      <items count="9">
        <item x="1"/>
        <item x="2"/>
        <item x="0"/>
        <item x="5"/>
        <item x="6"/>
        <item x="4"/>
        <item x="7"/>
        <item x="3"/>
        <item t="default"/>
      </items>
    </pivotField>
    <pivotField axis="axisRow" compact="0" outline="0" subtotalTop="0" showAll="0" defaultSubtotal="0">
      <items count="15">
        <item x="1"/>
        <item x="0"/>
        <item x="6"/>
        <item x="4"/>
        <item x="2"/>
        <item x="5"/>
        <item x="10"/>
        <item x="9"/>
        <item x="8"/>
        <item x="7"/>
        <item x="3"/>
        <item x="11"/>
        <item x="12"/>
        <item x="13"/>
        <item x="14"/>
      </items>
    </pivotField>
    <pivotField compact="0" outline="0" subtotalTop="0" showAll="0"/>
    <pivotField compact="0" outline="0" subtotalTop="0" multipleItemSelectionAllowed="1" showAll="0">
      <items count="4">
        <item x="0"/>
        <item x="2"/>
        <item x="1"/>
        <item t="default"/>
      </items>
    </pivotField>
    <pivotField compact="0" outline="0" subtotalTop="0" showAll="0"/>
    <pivotField compact="0" outline="0" subtotalTop="0" showAll="0"/>
    <pivotField compact="0" numFmtId="164" outline="0" subtotalTop="0" showAll="0"/>
    <pivotField compact="0" outline="0" subtotalTop="0" showAll="0"/>
    <pivotField axis="axisPage" compact="0" outline="0" subtotalTop="0" multipleItemSelectionAllowed="1" showAll="0">
      <items count="4">
        <item h="1" x="1"/>
        <item x="0"/>
        <item h="1" x="2"/>
        <item t="default"/>
      </items>
    </pivotField>
    <pivotField compact="0" numFmtId="1" outline="0" subtotalTop="0" showAll="0"/>
    <pivotField dataField="1"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9"/>
  </rowFields>
  <rowItems count="6">
    <i>
      <x/>
    </i>
    <i>
      <x v="1"/>
    </i>
    <i>
      <x v="2"/>
    </i>
    <i>
      <x v="4"/>
    </i>
    <i>
      <x v="5"/>
    </i>
    <i>
      <x v="13"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2">
    <pageField fld="1" hier="-1"/>
    <pageField fld="16" hier="-1"/>
  </pageFields>
  <dataFields count="1">
    <dataField name="Promedio de Tiempo de entrega de la orden" fld="18" subtotal="average" baseField="10" baseItem="4"/>
  </dataFields>
  <formats count="38">
    <format dxfId="363">
      <pivotArea type="all" dataOnly="0" outline="0" fieldPosition="0"/>
    </format>
    <format dxfId="362">
      <pivotArea outline="0" collapsedLevelsAreSubtotals="1" fieldPosition="0"/>
    </format>
    <format dxfId="361">
      <pivotArea type="origin" dataOnly="0" labelOnly="1" outline="0" fieldPosition="0"/>
    </format>
    <format dxfId="360">
      <pivotArea field="11" type="button" dataOnly="0" labelOnly="1" outline="0"/>
    </format>
    <format dxfId="359">
      <pivotArea type="topRight" dataOnly="0" labelOnly="1" outline="0" fieldPosition="0"/>
    </format>
    <format dxfId="358">
      <pivotArea field="1" type="button" dataOnly="0" labelOnly="1" outline="0" axis="axisPage" fieldPosition="0"/>
    </format>
    <format dxfId="357">
      <pivotArea field="8" type="button" dataOnly="0" labelOnly="1" outline="0" axis="axisCol" fieldPosition="0"/>
    </format>
    <format dxfId="356">
      <pivotArea dataOnly="0" labelOnly="1" outline="0" fieldPosition="0">
        <references count="1">
          <reference field="1" count="0"/>
        </references>
      </pivotArea>
    </format>
    <format dxfId="355">
      <pivotArea dataOnly="0" labelOnly="1" outline="0" fieldPosition="0">
        <references count="1">
          <reference field="1" count="0" defaultSubtotal="1"/>
        </references>
      </pivotArea>
    </format>
    <format dxfId="354">
      <pivotArea dataOnly="0" labelOnly="1" grandRow="1" outline="0" fieldPosition="0"/>
    </format>
    <format dxfId="353">
      <pivotArea dataOnly="0" labelOnly="1" grandCol="1" outline="0" fieldPosition="0"/>
    </format>
    <format dxfId="352">
      <pivotArea type="all" dataOnly="0" outline="0" fieldPosition="0"/>
    </format>
    <format dxfId="351">
      <pivotArea outline="0" collapsedLevelsAreSubtotals="1" fieldPosition="0"/>
    </format>
    <format dxfId="350">
      <pivotArea type="origin" dataOnly="0" labelOnly="1" outline="0" fieldPosition="0"/>
    </format>
    <format dxfId="349">
      <pivotArea field="11" type="button" dataOnly="0" labelOnly="1" outline="0"/>
    </format>
    <format dxfId="348">
      <pivotArea type="topRight" dataOnly="0" labelOnly="1" outline="0" fieldPosition="0"/>
    </format>
    <format dxfId="347">
      <pivotArea field="1" type="button" dataOnly="0" labelOnly="1" outline="0" axis="axisPage" fieldPosition="0"/>
    </format>
    <format dxfId="346">
      <pivotArea field="8" type="button" dataOnly="0" labelOnly="1" outline="0" axis="axisCol" fieldPosition="0"/>
    </format>
    <format dxfId="345">
      <pivotArea dataOnly="0" labelOnly="1" outline="0" fieldPosition="0">
        <references count="1">
          <reference field="1" count="0"/>
        </references>
      </pivotArea>
    </format>
    <format dxfId="344">
      <pivotArea dataOnly="0" labelOnly="1" outline="0" fieldPosition="0">
        <references count="1">
          <reference field="1" count="0" defaultSubtotal="1"/>
        </references>
      </pivotArea>
    </format>
    <format dxfId="343">
      <pivotArea dataOnly="0" labelOnly="1" grandRow="1" outline="0" fieldPosition="0"/>
    </format>
    <format dxfId="342">
      <pivotArea dataOnly="0" labelOnly="1" grandCol="1" outline="0" fieldPosition="0"/>
    </format>
    <format dxfId="341">
      <pivotArea outline="0" collapsedLevelsAreSubtotals="1" fieldPosition="0"/>
    </format>
    <format dxfId="340">
      <pivotArea outline="0" fieldPosition="0">
        <references count="2">
          <reference field="8" count="1" selected="0">
            <x v="1"/>
          </reference>
          <reference field="9" count="1" selected="0">
            <x v="6"/>
          </reference>
        </references>
      </pivotArea>
    </format>
    <format dxfId="339">
      <pivotArea outline="0" fieldPosition="0">
        <references count="2">
          <reference field="8" count="1" selected="0">
            <x v="1"/>
          </reference>
          <reference field="9" count="1" selected="0">
            <x v="6"/>
          </reference>
        </references>
      </pivotArea>
    </format>
    <format dxfId="338">
      <pivotArea outline="0" fieldPosition="0">
        <references count="2">
          <reference field="8" count="1" selected="0">
            <x v="1"/>
          </reference>
          <reference field="9" count="1" selected="0">
            <x v="6"/>
          </reference>
        </references>
      </pivotArea>
    </format>
    <format dxfId="337">
      <pivotArea outline="0" fieldPosition="0">
        <references count="2">
          <reference field="8" count="1" selected="0">
            <x v="1"/>
          </reference>
          <reference field="9" count="1" selected="0">
            <x v="6"/>
          </reference>
        </references>
      </pivotArea>
    </format>
    <format dxfId="336">
      <pivotArea outline="0" fieldPosition="0">
        <references count="2">
          <reference field="8" count="1" selected="0">
            <x v="1"/>
          </reference>
          <reference field="9" count="1" selected="0">
            <x v="6"/>
          </reference>
        </references>
      </pivotArea>
    </format>
    <format dxfId="335">
      <pivotArea type="all" dataOnly="0" outline="0" fieldPosition="0"/>
    </format>
    <format dxfId="334">
      <pivotArea outline="0" collapsedLevelsAreSubtotals="1" fieldPosition="0"/>
    </format>
    <format dxfId="333">
      <pivotArea type="origin" dataOnly="0" labelOnly="1" outline="0" fieldPosition="0"/>
    </format>
    <format dxfId="332">
      <pivotArea field="8" type="button" dataOnly="0" labelOnly="1" outline="0" axis="axisCol" fieldPosition="0"/>
    </format>
    <format dxfId="331">
      <pivotArea type="topRight" dataOnly="0" labelOnly="1" outline="0" fieldPosition="0"/>
    </format>
    <format dxfId="330">
      <pivotArea field="9" type="button" dataOnly="0" labelOnly="1" outline="0" axis="axisRow" fieldPosition="0"/>
    </format>
    <format dxfId="329">
      <pivotArea dataOnly="0" labelOnly="1" outline="0" fieldPosition="0">
        <references count="1">
          <reference field="9" count="8">
            <x v="0"/>
            <x v="1"/>
            <x v="2"/>
            <x v="5"/>
            <x v="6"/>
            <x v="7"/>
            <x v="8"/>
            <x v="9"/>
          </reference>
        </references>
      </pivotArea>
    </format>
    <format dxfId="328">
      <pivotArea dataOnly="0" labelOnly="1" outline="0" fieldPosition="0">
        <references count="1">
          <reference field="8" count="6">
            <x v="0"/>
            <x v="1"/>
            <x v="2"/>
            <x v="3"/>
            <x v="4"/>
            <x v="5"/>
          </reference>
        </references>
      </pivotArea>
    </format>
    <format dxfId="327">
      <pivotArea dataOnly="0" labelOnly="1" outline="0" fieldPosition="0">
        <references count="1">
          <reference field="8" count="6">
            <x v="0"/>
            <x v="1"/>
            <x v="2"/>
            <x v="3"/>
            <x v="4"/>
            <x v="5"/>
          </reference>
        </references>
      </pivotArea>
    </format>
    <format dxfId="326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EA97A-9B81-4A7B-ABBB-C58052D483AF}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7:G21" firstHeaderRow="1" firstDataRow="2" firstDataCol="1" rowPageCount="2" colPageCount="1"/>
  <pivotFields count="23">
    <pivotField compact="0" numFmtId="16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dataField="1" compact="0" outline="0" showAll="0"/>
    <pivotField axis="axisPage" compact="0" outline="0" multipleItemSelectionAllowed="1" showAll="0">
      <items count="8">
        <item h="1" x="1"/>
        <item x="0"/>
        <item h="1" x="2"/>
        <item h="1" x="3"/>
        <item h="1" x="4"/>
        <item h="1" x="5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>
      <items count="9">
        <item x="4"/>
        <item x="0"/>
        <item x="1"/>
        <item x="3"/>
        <item x="2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axis="axisPage" compact="0" outline="0" multipleItemSelectionAllowed="1" showAll="0">
      <items count="4">
        <item x="0"/>
        <item h="1" x="2"/>
        <item h="1" x="1"/>
        <item t="default"/>
      </items>
    </pivotField>
    <pivotField compact="0" numFmtId="1" outline="0" showAll="0"/>
    <pivotField compact="0" outline="0" showAll="0"/>
    <pivotField axis="axisCol" compact="0" outline="0" showAll="0">
      <items count="7">
        <item x="1"/>
        <item x="0"/>
        <item x="5"/>
        <item x="2"/>
        <item x="3"/>
        <item x="4"/>
        <item t="default"/>
      </items>
    </pivotField>
    <pivotField compact="0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0"/>
  </colFields>
  <colItems count="6">
    <i>
      <x/>
    </i>
    <i>
      <x v="1"/>
    </i>
    <i>
      <x v="2"/>
    </i>
    <i>
      <x v="4"/>
    </i>
    <i>
      <x v="5"/>
    </i>
    <i t="grand">
      <x/>
    </i>
  </colItems>
  <pageFields count="2">
    <pageField fld="4" hier="-1"/>
    <pageField fld="17" hier="-1"/>
  </pageFields>
  <dataFields count="1">
    <dataField name="Cuenta de No orden" fld="3" subtotal="count" baseField="12" baseItem="0"/>
  </dataFields>
  <formats count="40">
    <format dxfId="220">
      <pivotArea type="all" dataOnly="0" outline="0" fieldPosition="0"/>
    </format>
    <format dxfId="219">
      <pivotArea outline="0" collapsedLevelsAreSubtotals="1" fieldPosition="0"/>
    </format>
    <format dxfId="218">
      <pivotArea type="origin" dataOnly="0" labelOnly="1" outline="0" fieldPosition="0"/>
    </format>
    <format dxfId="217">
      <pivotArea field="12" type="button" dataOnly="0" labelOnly="1" outline="0"/>
    </format>
    <format dxfId="216">
      <pivotArea type="topRight" dataOnly="0" labelOnly="1" outline="0" fieldPosition="0"/>
    </format>
    <format dxfId="215">
      <pivotArea field="1" type="button" dataOnly="0" labelOnly="1" outline="0" axis="axisRow" fieldPosition="0"/>
    </format>
    <format dxfId="214">
      <pivotArea field="9" type="button" dataOnly="0" labelOnly="1" outline="0"/>
    </format>
    <format dxfId="213">
      <pivotArea dataOnly="0" labelOnly="1" outline="0" fieldPosition="0">
        <references count="1">
          <reference field="1" count="0"/>
        </references>
      </pivotArea>
    </format>
    <format dxfId="212">
      <pivotArea dataOnly="0" labelOnly="1" outline="0" fieldPosition="0">
        <references count="1">
          <reference field="1" count="0" defaultSubtotal="1"/>
        </references>
      </pivotArea>
    </format>
    <format dxfId="211">
      <pivotArea dataOnly="0" labelOnly="1" grandRow="1" outline="0" fieldPosition="0"/>
    </format>
    <format dxfId="210">
      <pivotArea dataOnly="0" labelOnly="1" grandCol="1" outline="0" fieldPosition="0"/>
    </format>
    <format dxfId="209">
      <pivotArea type="all" dataOnly="0" outline="0" fieldPosition="0"/>
    </format>
    <format dxfId="208">
      <pivotArea outline="0" collapsedLevelsAreSubtotals="1" fieldPosition="0"/>
    </format>
    <format dxfId="207">
      <pivotArea type="origin" dataOnly="0" labelOnly="1" outline="0" fieldPosition="0"/>
    </format>
    <format dxfId="206">
      <pivotArea field="12" type="button" dataOnly="0" labelOnly="1" outline="0"/>
    </format>
    <format dxfId="205">
      <pivotArea type="topRight" dataOnly="0" labelOnly="1" outline="0" fieldPosition="0"/>
    </format>
    <format dxfId="204">
      <pivotArea field="1" type="button" dataOnly="0" labelOnly="1" outline="0" axis="axisRow" fieldPosition="0"/>
    </format>
    <format dxfId="203">
      <pivotArea field="9" type="button" dataOnly="0" labelOnly="1" outline="0"/>
    </format>
    <format dxfId="202">
      <pivotArea dataOnly="0" labelOnly="1" outline="0" fieldPosition="0">
        <references count="1">
          <reference field="1" count="0"/>
        </references>
      </pivotArea>
    </format>
    <format dxfId="201">
      <pivotArea dataOnly="0" labelOnly="1" outline="0" fieldPosition="0">
        <references count="1">
          <reference field="1" count="0" defaultSubtotal="1"/>
        </references>
      </pivotArea>
    </format>
    <format dxfId="200">
      <pivotArea dataOnly="0" labelOnly="1" grandRow="1" outline="0" fieldPosition="0"/>
    </format>
    <format dxfId="199">
      <pivotArea dataOnly="0" labelOnly="1" grandCol="1" outline="0" fieldPosition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type="origin" dataOnly="0" labelOnly="1" outline="0" fieldPosition="0"/>
    </format>
    <format dxfId="195">
      <pivotArea type="topRight" dataOnly="0" labelOnly="1" outline="0" fieldPosition="0"/>
    </format>
    <format dxfId="194">
      <pivotArea field="1" type="button" dataOnly="0" labelOnly="1" outline="0" axis="axisRow" fieldPosition="0"/>
    </format>
    <format dxfId="193">
      <pivotArea dataOnly="0" labelOnly="1" outline="0" fieldPosition="0">
        <references count="1">
          <reference field="1" count="0"/>
        </references>
      </pivotArea>
    </format>
    <format dxfId="192">
      <pivotArea dataOnly="0" labelOnly="1" grandRow="1" outline="0" fieldPosition="0"/>
    </format>
    <format dxfId="191">
      <pivotArea dataOnly="0" labelOnly="1" grandCol="1" outline="0" fieldPosition="0"/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type="origin" dataOnly="0" labelOnly="1" outline="0" fieldPosition="0"/>
    </format>
    <format dxfId="187">
      <pivotArea field="20" type="button" dataOnly="0" labelOnly="1" outline="0" axis="axisCol" fieldPosition="0"/>
    </format>
    <format dxfId="186">
      <pivotArea type="topRight" dataOnly="0" labelOnly="1" outline="0" fieldPosition="0"/>
    </format>
    <format dxfId="185">
      <pivotArea field="1" type="button" dataOnly="0" labelOnly="1" outline="0" axis="axisRow" fieldPosition="0"/>
    </format>
    <format dxfId="184">
      <pivotArea dataOnly="0" labelOnly="1" outline="0" fieldPosition="0">
        <references count="1">
          <reference field="1" count="0"/>
        </references>
      </pivotArea>
    </format>
    <format dxfId="183">
      <pivotArea dataOnly="0" labelOnly="1" grandRow="1" outline="0" fieldPosition="0"/>
    </format>
    <format dxfId="182">
      <pivotArea dataOnly="0" labelOnly="1" outline="0" fieldPosition="0">
        <references count="1">
          <reference field="20" count="5">
            <x v="0"/>
            <x v="1"/>
            <x v="2"/>
            <x v="4"/>
            <x v="5"/>
          </reference>
        </references>
      </pivotArea>
    </format>
    <format dxfId="18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A5083-8CB2-43EE-82B6-90209A709016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4:B43" firstHeaderRow="2" firstDataRow="2" firstDataCol="1" rowPageCount="1" colPageCount="1"/>
  <pivotFields count="23">
    <pivotField compact="0" numFmtId="164" outline="0" showAll="0"/>
    <pivotField axis="axisPage" compact="0" outline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dataField="1" compact="0" outline="0" showAll="0"/>
    <pivotField axis="axisRow" compact="0" outline="0" multipleItemSelectionAllowed="1" showAll="0">
      <items count="8">
        <item x="1"/>
        <item x="0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>
      <items count="9">
        <item x="4"/>
        <item x="0"/>
        <item x="1"/>
        <item x="3"/>
        <item x="2"/>
        <item x="5"/>
        <item x="6"/>
        <item x="7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multipleItemSelectionAllowed="1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65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Cuenta de No orden" fld="3" subtotal="count" baseField="12" baseItem="0"/>
  </dataFields>
  <formats count="37">
    <format dxfId="257">
      <pivotArea type="all" dataOnly="0" outline="0" fieldPosition="0"/>
    </format>
    <format dxfId="256">
      <pivotArea outline="0" collapsedLevelsAreSubtotals="1" fieldPosition="0"/>
    </format>
    <format dxfId="255">
      <pivotArea type="origin" dataOnly="0" labelOnly="1" outline="0" fieldPosition="0"/>
    </format>
    <format dxfId="254">
      <pivotArea field="12" type="button" dataOnly="0" labelOnly="1" outline="0"/>
    </format>
    <format dxfId="253">
      <pivotArea type="topRight" dataOnly="0" labelOnly="1" outline="0" fieldPosition="0"/>
    </format>
    <format dxfId="252">
      <pivotArea field="1" type="button" dataOnly="0" labelOnly="1" outline="0" axis="axisPage" fieldPosition="0"/>
    </format>
    <format dxfId="251">
      <pivotArea field="9" type="button" dataOnly="0" labelOnly="1" outline="0"/>
    </format>
    <format dxfId="250">
      <pivotArea dataOnly="0" labelOnly="1" outline="0" fieldPosition="0">
        <references count="1">
          <reference field="1" count="0"/>
        </references>
      </pivotArea>
    </format>
    <format dxfId="249">
      <pivotArea dataOnly="0" labelOnly="1" outline="0" fieldPosition="0">
        <references count="1">
          <reference field="1" count="0" defaultSubtotal="1"/>
        </references>
      </pivotArea>
    </format>
    <format dxfId="248">
      <pivotArea dataOnly="0" labelOnly="1" grandRow="1" outline="0" fieldPosition="0"/>
    </format>
    <format dxfId="247">
      <pivotArea dataOnly="0" labelOnly="1" grandCol="1" outline="0" fieldPosition="0"/>
    </format>
    <format dxfId="246">
      <pivotArea type="all" dataOnly="0" outline="0" fieldPosition="0"/>
    </format>
    <format dxfId="245">
      <pivotArea outline="0" collapsedLevelsAreSubtotals="1" fieldPosition="0"/>
    </format>
    <format dxfId="244">
      <pivotArea type="origin" dataOnly="0" labelOnly="1" outline="0" fieldPosition="0"/>
    </format>
    <format dxfId="243">
      <pivotArea field="12" type="button" dataOnly="0" labelOnly="1" outline="0"/>
    </format>
    <format dxfId="242">
      <pivotArea type="topRight" dataOnly="0" labelOnly="1" outline="0" fieldPosition="0"/>
    </format>
    <format dxfId="241">
      <pivotArea field="1" type="button" dataOnly="0" labelOnly="1" outline="0" axis="axisPage" fieldPosition="0"/>
    </format>
    <format dxfId="240">
      <pivotArea field="9" type="button" dataOnly="0" labelOnly="1" outline="0"/>
    </format>
    <format dxfId="239">
      <pivotArea dataOnly="0" labelOnly="1" outline="0" fieldPosition="0">
        <references count="1">
          <reference field="1" count="0"/>
        </references>
      </pivotArea>
    </format>
    <format dxfId="238">
      <pivotArea dataOnly="0" labelOnly="1" outline="0" fieldPosition="0">
        <references count="1">
          <reference field="1" count="0" defaultSubtotal="1"/>
        </references>
      </pivotArea>
    </format>
    <format dxfId="237">
      <pivotArea dataOnly="0" labelOnly="1" grandRow="1" outline="0" fieldPosition="0"/>
    </format>
    <format dxfId="236">
      <pivotArea dataOnly="0" labelOnly="1" grandCol="1" outline="0" fieldPosition="0"/>
    </format>
    <format dxfId="235">
      <pivotArea type="all" dataOnly="0" outline="0" fieldPosition="0"/>
    </format>
    <format dxfId="234">
      <pivotArea outline="0" collapsedLevelsAreSubtotals="1" fieldPosition="0"/>
    </format>
    <format dxfId="233">
      <pivotArea type="origin" dataOnly="0" labelOnly="1" outline="0" fieldPosition="0"/>
    </format>
    <format dxfId="232">
      <pivotArea type="topRight" dataOnly="0" labelOnly="1" outline="0" fieldPosition="0"/>
    </format>
    <format dxfId="231">
      <pivotArea field="1" type="button" dataOnly="0" labelOnly="1" outline="0" axis="axisPage" fieldPosition="0"/>
    </format>
    <format dxfId="230">
      <pivotArea dataOnly="0" labelOnly="1" outline="0" fieldPosition="0">
        <references count="1">
          <reference field="1" count="0"/>
        </references>
      </pivotArea>
    </format>
    <format dxfId="229">
      <pivotArea dataOnly="0" labelOnly="1" grandRow="1" outline="0" fieldPosition="0"/>
    </format>
    <format dxfId="228">
      <pivotArea dataOnly="0" labelOnly="1" grandCol="1" outline="0" fieldPosition="0"/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type="origin" dataOnly="0" labelOnly="1" outline="0" fieldPosition="0"/>
    </format>
    <format dxfId="224">
      <pivotArea field="4" type="button" dataOnly="0" labelOnly="1" outline="0" axis="axisRow" fieldPosition="0"/>
    </format>
    <format dxfId="223">
      <pivotArea dataOnly="0" labelOnly="1" outline="0" fieldPosition="0">
        <references count="1">
          <reference field="4" count="0"/>
        </references>
      </pivotArea>
    </format>
    <format dxfId="222">
      <pivotArea dataOnly="0" labelOnly="1" grandRow="1" outline="0" fieldPosition="0"/>
    </format>
    <format dxfId="221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B0EC0-1995-4A57-B6A9-7659D6B8A27C}" name="TablaDinámica6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63:E170" firstHeaderRow="1" firstDataRow="2" firstDataCol="2" rowPageCount="1" colPageCount="1"/>
  <pivotFields count="23">
    <pivotField compact="0" outline="0" subtotalTop="0" showAll="0"/>
    <pivotField axis="axisCol" compact="0" outline="0" subtotalTop="0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ubtotalTop="0" showAll="0"/>
    <pivotField axis="axisPage" compact="0" outline="0" subtotalTop="0" multipleItemSelectionAllowed="1" showAll="0">
      <items count="6">
        <item x="2"/>
        <item x="1"/>
        <item x="0"/>
        <item x="3"/>
        <item x="4"/>
        <item t="default"/>
      </items>
    </pivotField>
    <pivotField compact="0" outline="0" subtotalTop="0" showAll="0"/>
    <pivotField compact="0" outline="0" subtotalTop="0" showAll="0"/>
    <pivotField axis="axisRow" compact="0" outline="0" subtotalTop="0" showAll="0" sortType="descending">
      <items count="117">
        <item h="1" x="15"/>
        <item h="1" x="12"/>
        <item h="1" x="2"/>
        <item h="1" x="5"/>
        <item h="1" x="9"/>
        <item h="1" x="25"/>
        <item h="1" x="0"/>
        <item h="1" x="1"/>
        <item h="1" x="3"/>
        <item h="1" x="4"/>
        <item h="1" x="6"/>
        <item h="1" x="7"/>
        <item h="1" x="11"/>
        <item h="1" x="13"/>
        <item h="1" x="14"/>
        <item h="1" x="16"/>
        <item h="1" x="18"/>
        <item h="1" x="19"/>
        <item h="1" x="20"/>
        <item h="1" x="21"/>
        <item h="1" x="22"/>
        <item h="1" x="23"/>
        <item h="1" x="24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2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8"/>
        <item h="1" x="10"/>
        <item h="1" x="17"/>
        <item h="1" x="45"/>
        <item h="1" x="61"/>
        <item h="1" x="63"/>
        <item h="1" x="79"/>
        <item h="1" x="80"/>
        <item x="81"/>
        <item h="1" x="82"/>
        <item h="1" x="83"/>
        <item h="1" x="84"/>
        <item h="1" x="85"/>
        <item h="1"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x="103"/>
        <item h="1" x="104"/>
        <item h="1" x="105"/>
        <item h="1" x="106"/>
        <item h="1" x="107"/>
        <item h="1" x="108"/>
        <item h="1" x="109"/>
        <item x="110"/>
        <item h="1" x="111"/>
        <item h="1" x="112"/>
        <item h="1" x="113"/>
        <item h="1" x="114"/>
        <item h="1" x="1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numFmtId="1" outline="0" subtotalTop="0" showAll="0"/>
    <pivotField axis="axisRow" compact="0" outline="0" subtotalTop="0" showAll="0">
      <items count="11">
        <item h="1" x="1"/>
        <item h="1" x="2"/>
        <item h="1" x="0"/>
        <item x="5"/>
        <item h="1" x="6"/>
        <item h="1" x="7"/>
        <item h="1" x="4"/>
        <item h="1" x="3"/>
        <item h="1" x="8"/>
        <item h="1" x="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2">
    <field x="8"/>
    <field x="6"/>
  </rowFields>
  <rowItems count="6">
    <i>
      <x v="3"/>
      <x v="110"/>
    </i>
    <i r="1">
      <x v="89"/>
    </i>
    <i r="1">
      <x v="81"/>
    </i>
    <i r="1">
      <x v="103"/>
    </i>
    <i t="default">
      <x v="3"/>
    </i>
    <i t="grand">
      <x/>
    </i>
  </rowItems>
  <colFields count="1">
    <field x="1"/>
  </colFields>
  <colItems count="3">
    <i>
      <x v="9"/>
    </i>
    <i>
      <x v="10"/>
    </i>
    <i t="grand">
      <x/>
    </i>
  </colItems>
  <pageFields count="1">
    <pageField fld="3" hier="-1"/>
  </pageFields>
  <dataFields count="1">
    <dataField name="Suma de Cantidad" fld="7" baseField="0" baseItem="0"/>
  </dataFields>
  <formats count="4">
    <format dxfId="5">
      <pivotArea outline="0" fieldPosition="0">
        <references count="3">
          <reference field="1" count="0" selected="0"/>
          <reference field="6" count="1" selected="0">
            <x v="60"/>
          </reference>
          <reference field="8" count="1" selected="0">
            <x v="0"/>
          </reference>
        </references>
      </pivotArea>
    </format>
    <format dxfId="4">
      <pivotArea outline="0" fieldPosition="0">
        <references count="2">
          <reference field="6" count="6" selected="0">
            <x v="1"/>
            <x v="2"/>
            <x v="3"/>
            <x v="11"/>
            <x v="31"/>
            <x v="51"/>
          </reference>
          <reference field="8" count="1" selected="0">
            <x v="0"/>
          </reference>
        </references>
      </pivotArea>
    </format>
    <format dxfId="3">
      <pivotArea outline="0" fieldPosition="0">
        <references count="2">
          <reference field="6" count="1" selected="0">
            <x v="8"/>
          </reference>
          <reference field="8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6" count="1">
            <x v="35"/>
          </reference>
          <reference field="8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FA8A8-9CFB-44CB-ABDB-22AE147783C6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38:C141" firstHeaderRow="1" firstDataRow="2" firstDataCol="1"/>
  <pivotFields count="23">
    <pivotField compact="0" numFmtId="164" outline="0" showAll="0"/>
    <pivotField axis="axisRow" compact="0" outline="0" multipleItemSelectionAllowed="1" showAll="0">
      <items count="3">
        <item x="0"/>
        <item h="1"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compact="0" outline="0" showAll="0">
      <items count="9">
        <item x="1"/>
        <item x="2"/>
        <item x="6"/>
        <item x="0"/>
        <item x="5"/>
        <item x="4"/>
        <item x="7"/>
        <item x="3"/>
        <item t="default"/>
      </items>
    </pivotField>
    <pivotField compact="0" outline="0" showAll="0">
      <items count="12">
        <item x="0"/>
        <item x="1"/>
        <item x="4"/>
        <item x="6"/>
        <item x="2"/>
        <item x="5"/>
        <item x="10"/>
        <item x="9"/>
        <item x="8"/>
        <item x="7"/>
        <item x="3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alor despacho" fld="20" baseField="0" baseItem="0"/>
    <dataField name="Suma de Cantidad" fld="7" baseField="0" baseItem="0" numFmtId="167"/>
  </dataFields>
  <formats count="35"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11" type="button" dataOnly="0" labelOnly="1" outline="0"/>
    </format>
    <format dxfId="36">
      <pivotArea type="topRight" dataOnly="0" labelOnly="1" outline="0" fieldPosition="0"/>
    </format>
    <format dxfId="35">
      <pivotArea field="1" type="button" dataOnly="0" labelOnly="1" outline="0" axis="axisRow" fieldPosition="0"/>
    </format>
    <format dxfId="34">
      <pivotArea field="8" type="button" dataOnly="0" labelOnly="1" outline="0"/>
    </format>
    <format dxfId="33">
      <pivotArea dataOnly="0" labelOnly="1" outline="0" fieldPosition="0">
        <references count="1">
          <reference field="1" count="0"/>
        </references>
      </pivotArea>
    </format>
    <format dxfId="32">
      <pivotArea dataOnly="0" labelOnly="1" outline="0" fieldPosition="0">
        <references count="1">
          <reference field="1" count="0" defaultSubtotal="1"/>
        </references>
      </pivotArea>
    </format>
    <format dxfId="31">
      <pivotArea dataOnly="0" labelOnly="1" grandRow="1" outline="0" fieldPosition="0"/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11" type="button" dataOnly="0" labelOnly="1" outline="0"/>
    </format>
    <format dxfId="25">
      <pivotArea type="topRight" dataOnly="0" labelOnly="1" outline="0" fieldPosition="0"/>
    </format>
    <format dxfId="24">
      <pivotArea field="1" type="button" dataOnly="0" labelOnly="1" outline="0" axis="axisRow" fieldPosition="0"/>
    </format>
    <format dxfId="23">
      <pivotArea field="8" type="button" dataOnly="0" labelOnly="1" outline="0"/>
    </format>
    <format dxfId="22">
      <pivotArea dataOnly="0" labelOnly="1" outline="0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1" count="0" defaultSubtotal="1"/>
        </references>
      </pivotArea>
    </format>
    <format dxfId="20">
      <pivotArea dataOnly="0" labelOnly="1" grandRow="1" outline="0" fieldPosition="0"/>
    </format>
    <format dxfId="19">
      <pivotArea dataOnly="0" labelOnly="1" grandCol="1" outline="0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8" type="button" dataOnly="0" labelOnly="1" outline="0"/>
    </format>
    <format dxfId="14">
      <pivotArea type="topRight" dataOnly="0" labelOnly="1" outline="0" fieldPosition="0"/>
    </format>
    <format dxfId="13">
      <pivotArea field="9" type="button" dataOnly="0" labelOnly="1" outline="0"/>
    </format>
    <format dxfId="12">
      <pivotArea dataOnly="0" labelOnly="1" grandRow="1" outline="0" fieldPosition="0"/>
    </format>
    <format dxfId="11">
      <pivotArea dataOnly="0" labelOnly="1" grandCol="1" outline="0" fieldPosition="0"/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field="1" grandRow="1" outline="0" axis="axisRow" fieldPosition="0">
        <references count="1">
          <reference field="4294967294" count="1" selected="0">
            <x v="1"/>
          </reference>
        </references>
      </pivotArea>
    </format>
    <format dxfId="8">
      <pivotArea outline="0" fieldPosition="0">
        <references count="1">
          <reference field="4294967294" count="1" selected="0">
            <x v="1"/>
          </reference>
        </references>
      </pivotArea>
    </format>
    <format dxfId="7">
      <pivotArea outline="0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46F6FF-D332-4CFB-9541-E096EA3E1783}" name="TablaDiná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85:B389" firstHeaderRow="2" firstDataRow="2" firstDataCol="1"/>
  <pivotFields count="23">
    <pivotField compact="0" numFmtId="14" outline="0" showAll="0"/>
    <pivotField axis="axisRow" compact="0" outline="0" multipleItemSelectionAllowed="1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5">
        <item x="15"/>
        <item x="26"/>
        <item x="4"/>
        <item x="9"/>
        <item x="1"/>
        <item x="0"/>
        <item x="13"/>
        <item x="7"/>
        <item x="34"/>
        <item x="12"/>
        <item x="2"/>
        <item x="5"/>
        <item x="32"/>
        <item x="30"/>
        <item x="18"/>
        <item x="31"/>
        <item x="25"/>
        <item x="10"/>
        <item x="37"/>
        <item x="16"/>
        <item x="24"/>
        <item x="19"/>
        <item x="17"/>
        <item x="3"/>
        <item x="39"/>
        <item x="14"/>
        <item x="29"/>
        <item x="28"/>
        <item x="35"/>
        <item x="21"/>
        <item x="33"/>
        <item x="11"/>
        <item x="22"/>
        <item x="20"/>
        <item x="23"/>
        <item x="6"/>
        <item x="40"/>
        <item x="8"/>
        <item x="38"/>
        <item x="36"/>
        <item x="27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numFmtId="1" outline="0" showAll="0"/>
    <pivotField compact="0" outline="0" showAll="0">
      <items count="9">
        <item x="1"/>
        <item x="2"/>
        <item x="6"/>
        <item x="0"/>
        <item x="5"/>
        <item x="4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compact="0" numFmtId="165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a de Valor despacho" fld="20" baseField="1" baseItem="1"/>
  </dataFields>
  <formats count="18">
    <format dxfId="58">
      <pivotArea type="all" dataOnly="0" outline="0" fieldPosition="0"/>
    </format>
    <format dxfId="57">
      <pivotArea outline="0" collapsedLevelsAreSubtotals="1" fieldPosition="0"/>
    </format>
    <format dxfId="56">
      <pivotArea type="origin" dataOnly="0" labelOnly="1" outline="0" fieldPosition="0"/>
    </format>
    <format dxfId="55">
      <pivotArea type="topRight" dataOnly="0" labelOnly="1" outline="0" fieldPosition="0"/>
    </format>
    <format dxfId="54">
      <pivotArea dataOnly="0" labelOnly="1" grandRow="1" outline="0" fieldPosition="0"/>
    </format>
    <format dxfId="53">
      <pivotArea dataOnly="0" labelOnly="1" grandCol="1" outline="0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type="topRight" dataOnly="0" labelOnly="1" outline="0" fieldPosition="0"/>
    </format>
    <format dxfId="48">
      <pivotArea dataOnly="0" labelOnly="1" grandRow="1" outline="0" fieldPosition="0"/>
    </format>
    <format dxfId="47">
      <pivotArea dataOnly="0" labelOnly="1" grandCol="1" outline="0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type="topRight" dataOnly="0" labelOnly="1" outline="0" fieldPosition="0"/>
    </format>
    <format dxfId="42">
      <pivotArea dataOnly="0" labelOnly="1" grandRow="1" outline="0" fieldPosition="0"/>
    </format>
    <format dxfId="4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6A31F-8084-48D5-989B-B7E300755D2C}" name="TablaDinámica7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7:L20" firstHeaderRow="1" firstDataRow="2" firstDataCol="1" rowPageCount="1" colPageCount="1"/>
  <pivotFields count="22">
    <pivotField compact="0" numFmtId="164" outline="0" showAll="0"/>
    <pivotField axis="axisRow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axis="axisCol" compact="0" outline="0" showAll="0">
      <items count="11">
        <item x="1"/>
        <item x="2"/>
        <item x="0"/>
        <item x="5"/>
        <item x="6"/>
        <item x="4"/>
        <item x="7"/>
        <item x="3"/>
        <item x="8"/>
        <item x="9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a de Cantidad" fld="7" baseField="0" baseItem="0"/>
  </dataFields>
  <formats count="24">
    <format dxfId="82">
      <pivotArea type="all" dataOnly="0" outline="0" fieldPosition="0"/>
    </format>
    <format dxfId="81">
      <pivotArea outline="0" collapsedLevelsAreSubtotals="1" fieldPosition="0"/>
    </format>
    <format dxfId="80">
      <pivotArea type="origin" dataOnly="0" labelOnly="1" outline="0" fieldPosition="0"/>
    </format>
    <format dxfId="79">
      <pivotArea field="11" type="button" dataOnly="0" labelOnly="1" outline="0"/>
    </format>
    <format dxfId="78">
      <pivotArea type="topRight" dataOnly="0" labelOnly="1" outline="0" fieldPosition="0"/>
    </format>
    <format dxfId="77">
      <pivotArea field="1" type="button" dataOnly="0" labelOnly="1" outline="0" axis="axisRow" fieldPosition="0"/>
    </format>
    <format dxfId="76">
      <pivotArea field="8" type="button" dataOnly="0" labelOnly="1" outline="0" axis="axisCol" fieldPosition="0"/>
    </format>
    <format dxfId="75">
      <pivotArea dataOnly="0" labelOnly="1" outline="0" fieldPosition="0">
        <references count="1">
          <reference field="1" count="0"/>
        </references>
      </pivotArea>
    </format>
    <format dxfId="74">
      <pivotArea dataOnly="0" labelOnly="1" outline="0" fieldPosition="0">
        <references count="1">
          <reference field="1" count="0" defaultSubtotal="1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2">
          <reference field="1" count="1" selected="0">
            <x v="0"/>
          </reference>
          <reference field="8" count="2">
            <x v="0"/>
            <x v="1"/>
          </reference>
        </references>
      </pivotArea>
    </format>
    <format dxfId="71">
      <pivotArea dataOnly="0" labelOnly="1" grandCol="1" outline="0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type="origin" dataOnly="0" labelOnly="1" outline="0" fieldPosition="0"/>
    </format>
    <format dxfId="67">
      <pivotArea field="11" type="button" dataOnly="0" labelOnly="1" outline="0"/>
    </format>
    <format dxfId="66">
      <pivotArea type="topRight" dataOnly="0" labelOnly="1" outline="0" fieldPosition="0"/>
    </format>
    <format dxfId="65">
      <pivotArea field="1" type="button" dataOnly="0" labelOnly="1" outline="0" axis="axisRow" fieldPosition="0"/>
    </format>
    <format dxfId="64">
      <pivotArea field="8" type="button" dataOnly="0" labelOnly="1" outline="0" axis="axisCol" fieldPosition="0"/>
    </format>
    <format dxfId="63">
      <pivotArea dataOnly="0" labelOnly="1" outline="0" fieldPosition="0">
        <references count="1">
          <reference field="1" count="0"/>
        </references>
      </pivotArea>
    </format>
    <format dxfId="62">
      <pivotArea dataOnly="0" labelOnly="1" outline="0" fieldPosition="0">
        <references count="1">
          <reference field="1" count="0" defaultSubtotal="1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2">
          <reference field="1" count="1" selected="0">
            <x v="0"/>
          </reference>
          <reference field="8" count="2">
            <x v="0"/>
            <x v="1"/>
          </reference>
        </references>
      </pivotArea>
    </format>
    <format dxfId="5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4BB97-C7FC-4AB1-A3A7-97AC3EFB91AB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28:J36" firstHeaderRow="1" firstDataRow="2" firstDataCol="1" rowPageCount="2" colPageCount="1"/>
  <pivotFields count="23">
    <pivotField compact="0" numFmtId="164" outline="0" showAll="0"/>
    <pivotField axis="axisPage" compact="0" outline="0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axis="axisCol" compact="0" outline="0" showAll="0">
      <items count="9">
        <item x="1"/>
        <item x="2"/>
        <item x="6"/>
        <item x="0"/>
        <item x="5"/>
        <item x="4"/>
        <item x="7"/>
        <item x="3"/>
        <item t="default"/>
      </items>
    </pivotField>
    <pivotField axis="axisRow" compact="0" outline="0" showAll="0" sortType="descending">
      <items count="16">
        <item x="0"/>
        <item x="2"/>
        <item x="1"/>
        <item x="4"/>
        <item x="5"/>
        <item x="6"/>
        <item x="7"/>
        <item x="3"/>
        <item x="8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</pivotFields>
  <rowFields count="1">
    <field x="9"/>
  </rowFields>
  <rowItems count="7">
    <i>
      <x v="2"/>
    </i>
    <i>
      <x/>
    </i>
    <i>
      <x v="5"/>
    </i>
    <i>
      <x v="1"/>
    </i>
    <i>
      <x v="13"/>
    </i>
    <i>
      <x v="4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2">
    <pageField fld="1" hier="-1"/>
    <pageField fld="3" hier="-1"/>
  </pageFields>
  <dataFields count="1">
    <dataField name="Suma de Cantidad" fld="7" baseField="0" baseItem="0"/>
  </dataFields>
  <formats count="18">
    <format dxfId="100">
      <pivotArea type="all" dataOnly="0" outline="0" fieldPosition="0"/>
    </format>
    <format dxfId="99">
      <pivotArea outline="0" collapsedLevelsAreSubtotals="1" fieldPosition="0"/>
    </format>
    <format dxfId="98">
      <pivotArea type="origin" dataOnly="0" labelOnly="1" outline="0" fieldPosition="0"/>
    </format>
    <format dxfId="97">
      <pivotArea field="11" type="button" dataOnly="0" labelOnly="1" outline="0"/>
    </format>
    <format dxfId="96">
      <pivotArea type="topRight" dataOnly="0" labelOnly="1" outline="0" fieldPosition="0"/>
    </format>
    <format dxfId="95">
      <pivotArea field="1" type="button" dataOnly="0" labelOnly="1" outline="0" axis="axisPage" fieldPosition="0"/>
    </format>
    <format dxfId="94">
      <pivotArea field="8" type="button" dataOnly="0" labelOnly="1" outline="0" axis="axisCol" fieldPosition="0"/>
    </format>
    <format dxfId="93">
      <pivotArea dataOnly="0" labelOnly="1" grandRow="1" outline="0" fieldPosition="0"/>
    </format>
    <format dxfId="92">
      <pivotArea dataOnly="0" labelOnly="1" grandCol="1" outline="0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11" type="button" dataOnly="0" labelOnly="1" outline="0"/>
    </format>
    <format dxfId="87">
      <pivotArea type="topRight" dataOnly="0" labelOnly="1" outline="0" fieldPosition="0"/>
    </format>
    <format dxfId="86">
      <pivotArea field="1" type="button" dataOnly="0" labelOnly="1" outline="0" axis="axisPage" fieldPosition="0"/>
    </format>
    <format dxfId="85">
      <pivotArea field="8" type="button" dataOnly="0" labelOnly="1" outline="0" axis="axisCol" fieldPosition="0"/>
    </format>
    <format dxfId="84">
      <pivotArea dataOnly="0" labelOnly="1" grandRow="1" outline="0" fieldPosition="0"/>
    </format>
    <format dxfId="8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7C5B1-4829-4CF6-8D9D-F82E145C08BF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13:J121" firstHeaderRow="1" firstDataRow="2" firstDataCol="1" rowPageCount="1" colPageCount="1"/>
  <pivotFields count="23">
    <pivotField compact="0" numFmtId="14" outline="0" showAll="0"/>
    <pivotField axis="axisPage" compact="0" outline="0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Col" compact="0" outline="0" showAll="0">
      <items count="9">
        <item x="1"/>
        <item x="2"/>
        <item x="6"/>
        <item x="0"/>
        <item x="5"/>
        <item x="4"/>
        <item x="7"/>
        <item x="3"/>
        <item t="default"/>
      </items>
    </pivotField>
    <pivotField axis="axisRow" compact="0" outline="0" showAll="0">
      <items count="16">
        <item x="1"/>
        <item x="0"/>
        <item x="4"/>
        <item x="6"/>
        <item x="2"/>
        <item x="5"/>
        <item x="10"/>
        <item x="9"/>
        <item x="8"/>
        <item x="7"/>
        <item x="3"/>
        <item x="11"/>
        <item x="12"/>
        <item x="13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compact="0" numFmtId="165" outline="0" showAll="0"/>
    <pivotField compact="0" outline="0" showAll="0"/>
  </pivotFields>
  <rowFields count="1">
    <field x="9"/>
  </rowFields>
  <rowItems count="7">
    <i>
      <x/>
    </i>
    <i>
      <x v="1"/>
    </i>
    <i>
      <x v="3"/>
    </i>
    <i>
      <x v="4"/>
    </i>
    <i>
      <x v="5"/>
    </i>
    <i>
      <x v="13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1" hier="-1"/>
  </pageFields>
  <dataFields count="1">
    <dataField name="Suma de Valor despacho" fld="20" baseField="9" baseItem="0"/>
  </dataFields>
  <formats count="18">
    <format dxfId="118">
      <pivotArea type="all" dataOnly="0" outline="0" fieldPosition="0"/>
    </format>
    <format dxfId="117">
      <pivotArea outline="0" collapsedLevelsAreSubtotals="1" fieldPosition="0"/>
    </format>
    <format dxfId="116">
      <pivotArea type="origin" dataOnly="0" labelOnly="1" outline="0" fieldPosition="0"/>
    </format>
    <format dxfId="115">
      <pivotArea type="topRight" dataOnly="0" labelOnly="1" outline="0" fieldPosition="0"/>
    </format>
    <format dxfId="114">
      <pivotArea dataOnly="0" labelOnly="1" grandRow="1" outline="0" fieldPosition="0"/>
    </format>
    <format dxfId="113">
      <pivotArea dataOnly="0" labelOnly="1" grandCol="1" outline="0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type="origin" dataOnly="0" labelOnly="1" outline="0" fieldPosition="0"/>
    </format>
    <format dxfId="109">
      <pivotArea type="topRight" dataOnly="0" labelOnly="1" outline="0" fieldPosition="0"/>
    </format>
    <format dxfId="108">
      <pivotArea dataOnly="0" labelOnly="1" grandRow="1" outline="0" fieldPosition="0"/>
    </format>
    <format dxfId="107">
      <pivotArea dataOnly="0" labelOnly="1" grandCol="1" outline="0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type="origin" dataOnly="0" labelOnly="1" outline="0" fieldPosition="0"/>
    </format>
    <format dxfId="103">
      <pivotArea type="topRight" dataOnly="0" labelOnly="1" outline="0" fieldPosition="0"/>
    </format>
    <format dxfId="102">
      <pivotArea dataOnly="0" labelOnly="1" grandRow="1" outline="0" fieldPosition="0"/>
    </format>
    <format dxfId="10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90A0B-8206-4436-A448-1335ABF08248}" name="TablaDinámica5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63:J371" firstHeaderRow="1" firstDataRow="2" firstDataCol="1" rowPageCount="1" colPageCount="1"/>
  <pivotFields count="23">
    <pivotField compact="0" numFmtId="14" outline="0" showAll="0"/>
    <pivotField axis="axisPage" compact="0" outline="0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axis="axisCol" compact="0" outline="0" showAll="0">
      <items count="9">
        <item x="1"/>
        <item x="2"/>
        <item x="6"/>
        <item x="0"/>
        <item x="5"/>
        <item x="4"/>
        <item x="7"/>
        <item x="3"/>
        <item t="default"/>
      </items>
    </pivotField>
    <pivotField axis="axisRow" compact="0" outline="0" showAll="0" sortType="descending">
      <items count="16">
        <item x="0"/>
        <item x="2"/>
        <item x="1"/>
        <item x="4"/>
        <item x="8"/>
        <item x="3"/>
        <item x="7"/>
        <item x="9"/>
        <item x="11"/>
        <item x="5"/>
        <item x="10"/>
        <item x="6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compact="0" numFmtId="165" outline="0" showAll="0"/>
    <pivotField compact="0" outline="0" showAll="0"/>
  </pivotFields>
  <rowFields count="1">
    <field x="9"/>
  </rowFields>
  <rowItems count="7">
    <i>
      <x v="2"/>
    </i>
    <i>
      <x/>
    </i>
    <i>
      <x v="11"/>
    </i>
    <i>
      <x v="1"/>
    </i>
    <i>
      <x v="9"/>
    </i>
    <i>
      <x v="13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1" hier="-1"/>
  </pageFields>
  <dataFields count="1">
    <dataField name="Suma de Valor despacho" fld="20" baseField="1" baseItem="1"/>
  </dataFields>
  <formats count="18">
    <format dxfId="136">
      <pivotArea type="all" dataOnly="0" outline="0" fieldPosition="0"/>
    </format>
    <format dxfId="135">
      <pivotArea outline="0" collapsedLevelsAreSubtotals="1" fieldPosition="0"/>
    </format>
    <format dxfId="134">
      <pivotArea type="origin" dataOnly="0" labelOnly="1" outline="0" fieldPosition="0"/>
    </format>
    <format dxfId="133">
      <pivotArea type="topRight" dataOnly="0" labelOnly="1" outline="0" fieldPosition="0"/>
    </format>
    <format dxfId="132">
      <pivotArea dataOnly="0" labelOnly="1" grandRow="1" outline="0" fieldPosition="0"/>
    </format>
    <format dxfId="131">
      <pivotArea dataOnly="0" labelOnly="1" grandCol="1" outline="0" fieldPosition="0"/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type="origin" dataOnly="0" labelOnly="1" outline="0" fieldPosition="0"/>
    </format>
    <format dxfId="127">
      <pivotArea type="topRight" dataOnly="0" labelOnly="1" outline="0" fieldPosition="0"/>
    </format>
    <format dxfId="126">
      <pivotArea dataOnly="0" labelOnly="1" grandRow="1" outline="0" fieldPosition="0"/>
    </format>
    <format dxfId="125">
      <pivotArea dataOnly="0" labelOnly="1" grandCol="1" outline="0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type="origin" dataOnly="0" labelOnly="1" outline="0" fieldPosition="0"/>
    </format>
    <format dxfId="121">
      <pivotArea type="topRight" dataOnly="0" labelOnly="1" outline="0" fieldPosition="0"/>
    </format>
    <format dxfId="120">
      <pivotArea dataOnly="0" labelOnly="1" grandRow="1" outline="0" fieldPosition="0"/>
    </format>
    <format dxfId="119">
      <pivotArea dataOnly="0" labelOnly="1" grandCol="1" outline="0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8E9A1-836B-4538-B256-7CE7EDD48F96}" name="TablaDinámica9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41:B348" firstHeaderRow="2" firstDataRow="2" firstDataCol="1"/>
  <pivotFields count="23">
    <pivotField compact="0" numFmtId="14" outline="0" showAll="0"/>
    <pivotField axis="axisRow" compact="0" outline="0" multipleItemSelectionAllowed="1" showAll="0">
      <items count="7">
        <item x="0"/>
        <item x="1"/>
        <item x="2"/>
        <item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dataField="1" compact="0" outline="0" showAll="0"/>
    <pivotField compact="0" numFmtId="165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 despacho" fld="20" baseField="1" baseItem="1"/>
  </dataFields>
  <formats count="18">
    <format dxfId="154">
      <pivotArea type="all" dataOnly="0" outline="0" fieldPosition="0"/>
    </format>
    <format dxfId="153">
      <pivotArea outline="0" collapsedLevelsAreSubtotals="1" fieldPosition="0"/>
    </format>
    <format dxfId="152">
      <pivotArea type="origin" dataOnly="0" labelOnly="1" outline="0" fieldPosition="0"/>
    </format>
    <format dxfId="151">
      <pivotArea type="topRight" dataOnly="0" labelOnly="1" outline="0" fieldPosition="0"/>
    </format>
    <format dxfId="150">
      <pivotArea dataOnly="0" labelOnly="1" grandRow="1" outline="0" fieldPosition="0"/>
    </format>
    <format dxfId="149">
      <pivotArea dataOnly="0" labelOnly="1" grandCol="1" outline="0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type="origin" dataOnly="0" labelOnly="1" outline="0" fieldPosition="0"/>
    </format>
    <format dxfId="145">
      <pivotArea type="topRight" dataOnly="0" labelOnly="1" outline="0" fieldPosition="0"/>
    </format>
    <format dxfId="144">
      <pivotArea dataOnly="0" labelOnly="1" grandRow="1" outline="0" fieldPosition="0"/>
    </format>
    <format dxfId="143">
      <pivotArea dataOnly="0" labelOnly="1" grandCol="1" outline="0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type="topRight" dataOnly="0" labelOnly="1" outline="0" fieldPosition="0"/>
    </format>
    <format dxfId="138">
      <pivotArea dataOnly="0" labelOnly="1" grandRow="1" outline="0" fieldPosition="0"/>
    </format>
    <format dxfId="137">
      <pivotArea dataOnly="0" labelOnly="1" grandCol="1" outline="0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85FA0-3F9D-46DB-BDD6-78BD6960011E}" name="TablaDiná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81:J97" firstHeaderRow="1" firstDataRow="2" firstDataCol="1" rowPageCount="2" colPageCount="1"/>
  <pivotFields count="23">
    <pivotField compact="0" numFmtId="164" outline="0" showAll="0"/>
    <pivotField axis="axisPage" compact="0" outline="0" multipleItemSelectionAllowed="1" showAll="0">
      <items count="7">
        <item h="1" x="0"/>
        <item h="1" x="1"/>
        <item h="1" x="2"/>
        <item h="1" x="3"/>
        <item x="4"/>
        <item h="1" x="5"/>
        <item t="default"/>
      </items>
    </pivotField>
    <pivotField compact="0" outline="0" showAll="0"/>
    <pivotField axis="axisPage" compact="0" outline="0" multipleItemSelectionAllowed="1" showAll="0">
      <items count="6">
        <item h="1" x="1"/>
        <item x="0"/>
        <item h="1" x="2"/>
        <item h="1" x="3"/>
        <item h="1"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" outline="0" showAll="0"/>
    <pivotField axis="axisCol" compact="0" outline="0" multipleItemSelectionAllowed="1" showAll="0">
      <items count="9">
        <item x="1"/>
        <item x="2"/>
        <item x="6"/>
        <item x="0"/>
        <item x="5"/>
        <item x="4"/>
        <item x="7"/>
        <item x="3"/>
        <item t="default"/>
      </items>
    </pivotField>
    <pivotField compact="0" outline="0" showAll="0"/>
    <pivotField axis="axisRow" compact="0" outline="0" showAll="0" sortType="descending">
      <items count="46">
        <item x="2"/>
        <item x="1"/>
        <item x="9"/>
        <item x="17"/>
        <item x="4"/>
        <item x="5"/>
        <item x="16"/>
        <item x="11"/>
        <item x="0"/>
        <item x="18"/>
        <item x="8"/>
        <item x="14"/>
        <item x="7"/>
        <item x="15"/>
        <item x="3"/>
        <item x="6"/>
        <item x="10"/>
        <item x="12"/>
        <item x="13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</pivotFields>
  <rowFields count="1">
    <field x="10"/>
  </rowFields>
  <rowItems count="15">
    <i>
      <x v="1"/>
    </i>
    <i>
      <x v="10"/>
    </i>
    <i>
      <x v="42"/>
    </i>
    <i>
      <x v="3"/>
    </i>
    <i>
      <x/>
    </i>
    <i>
      <x v="41"/>
    </i>
    <i>
      <x v="39"/>
    </i>
    <i>
      <x v="38"/>
    </i>
    <i>
      <x v="5"/>
    </i>
    <i>
      <x v="40"/>
    </i>
    <i>
      <x v="21"/>
    </i>
    <i>
      <x v="2"/>
    </i>
    <i>
      <x v="28"/>
    </i>
    <i>
      <x v="15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2">
    <pageField fld="1" hier="-1"/>
    <pageField fld="3" hier="-1"/>
  </pageFields>
  <dataFields count="1">
    <dataField name="Suma de Cantidad" fld="7" baseField="0" baseItem="0"/>
  </dataFields>
  <formats count="26"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11" type="button" dataOnly="0" labelOnly="1" outline="0"/>
    </format>
    <format dxfId="176">
      <pivotArea type="topRight" dataOnly="0" labelOnly="1" outline="0" fieldPosition="0"/>
    </format>
    <format dxfId="175">
      <pivotArea field="1" type="button" dataOnly="0" labelOnly="1" outline="0" axis="axisPage" fieldPosition="0"/>
    </format>
    <format dxfId="174">
      <pivotArea field="8" type="button" dataOnly="0" labelOnly="1" outline="0" axis="axisCol" fieldPosition="0"/>
    </format>
    <format dxfId="173">
      <pivotArea dataOnly="0" labelOnly="1" outline="0" fieldPosition="0">
        <references count="1">
          <reference field="1" count="0"/>
        </references>
      </pivotArea>
    </format>
    <format dxfId="172">
      <pivotArea dataOnly="0" labelOnly="1" outline="0" fieldPosition="0">
        <references count="1">
          <reference field="1" count="0" defaultSubtotal="1"/>
        </references>
      </pivotArea>
    </format>
    <format dxfId="171">
      <pivotArea dataOnly="0" labelOnly="1" grandRow="1" outline="0" fieldPosition="0"/>
    </format>
    <format dxfId="170">
      <pivotArea dataOnly="0" labelOnly="1" outline="0" fieldPosition="0">
        <references count="2">
          <reference field="1" count="1" selected="0">
            <x v="0"/>
          </reference>
          <reference field="8" count="2">
            <x v="0"/>
            <x v="1"/>
          </reference>
        </references>
      </pivotArea>
    </format>
    <format dxfId="169">
      <pivotArea dataOnly="0" labelOnly="1" outline="0" fieldPosition="0">
        <references count="2">
          <reference field="1" count="1" selected="0">
            <x v="1"/>
          </reference>
          <reference field="8" count="2">
            <x v="0"/>
            <x v="1"/>
          </reference>
        </references>
      </pivotArea>
    </format>
    <format dxfId="168">
      <pivotArea dataOnly="0" labelOnly="1" grandCol="1" outline="0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type="origin" dataOnly="0" labelOnly="1" outline="0" fieldPosition="0"/>
    </format>
    <format dxfId="164">
      <pivotArea field="11" type="button" dataOnly="0" labelOnly="1" outline="0"/>
    </format>
    <format dxfId="163">
      <pivotArea type="topRight" dataOnly="0" labelOnly="1" outline="0" fieldPosition="0"/>
    </format>
    <format dxfId="162">
      <pivotArea field="1" type="button" dataOnly="0" labelOnly="1" outline="0" axis="axisPage" fieldPosition="0"/>
    </format>
    <format dxfId="161">
      <pivotArea field="8" type="button" dataOnly="0" labelOnly="1" outline="0" axis="axisCol" fieldPosition="0"/>
    </format>
    <format dxfId="160">
      <pivotArea dataOnly="0" labelOnly="1" outline="0" fieldPosition="0">
        <references count="1">
          <reference field="1" count="0"/>
        </references>
      </pivotArea>
    </format>
    <format dxfId="159">
      <pivotArea dataOnly="0" labelOnly="1" outline="0" fieldPosition="0">
        <references count="1">
          <reference field="1" count="0" defaultSubtotal="1"/>
        </references>
      </pivotArea>
    </format>
    <format dxfId="158">
      <pivotArea dataOnly="0" labelOnly="1" grandRow="1" outline="0" fieldPosition="0"/>
    </format>
    <format dxfId="157">
      <pivotArea dataOnly="0" labelOnly="1" outline="0" fieldPosition="0">
        <references count="2">
          <reference field="1" count="1" selected="0">
            <x v="0"/>
          </reference>
          <reference field="8" count="2">
            <x v="0"/>
            <x v="1"/>
          </reference>
        </references>
      </pivotArea>
    </format>
    <format dxfId="156">
      <pivotArea dataOnly="0" labelOnly="1" outline="0" fieldPosition="0">
        <references count="2">
          <reference field="1" count="1" selected="0">
            <x v="1"/>
          </reference>
          <reference field="8" count="2">
            <x v="0"/>
            <x v="1"/>
          </reference>
        </references>
      </pivotArea>
    </format>
    <format dxfId="15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3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10" Type="http://schemas.openxmlformats.org/officeDocument/2006/relationships/drawing" Target="../drawings/drawing4.xml"/><Relationship Id="rId4" Type="http://schemas.openxmlformats.org/officeDocument/2006/relationships/pivotTable" Target="../pivotTables/pivotTable9.xml"/><Relationship Id="rId9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066"/>
  <sheetViews>
    <sheetView showGridLines="0" tabSelected="1" topLeftCell="N2" zoomScale="110" zoomScaleNormal="110" workbookViewId="0">
      <pane ySplit="3" topLeftCell="A5" activePane="bottomLeft" state="frozen"/>
      <selection activeCell="A2" sqref="A2"/>
      <selection pane="bottomLeft" sqref="A1:Z3"/>
    </sheetView>
  </sheetViews>
  <sheetFormatPr baseColWidth="10" defaultRowHeight="14.4" x14ac:dyDescent="0.3"/>
  <cols>
    <col min="1" max="1" width="11.5546875" customWidth="1"/>
    <col min="2" max="2" width="10.44140625" bestFit="1" customWidth="1"/>
    <col min="4" max="4" width="0" hidden="1" customWidth="1"/>
    <col min="5" max="5" width="34.44140625" customWidth="1"/>
    <col min="6" max="6" width="14.5546875" customWidth="1"/>
    <col min="7" max="7" width="49" customWidth="1"/>
    <col min="8" max="8" width="7.88671875" customWidth="1"/>
    <col min="9" max="9" width="13.109375" style="33" customWidth="1"/>
    <col min="10" max="10" width="19.88671875" style="33" customWidth="1"/>
    <col min="11" max="11" width="19.44140625" style="33" customWidth="1"/>
    <col min="12" max="12" width="13.88671875" style="33" customWidth="1"/>
    <col min="13" max="13" width="21.5546875" customWidth="1"/>
    <col min="14" max="14" width="38.109375" style="33" customWidth="1"/>
    <col min="15" max="16" width="11.44140625" style="156"/>
    <col min="22" max="22" width="12.33203125" bestFit="1" customWidth="1"/>
    <col min="23" max="23" width="12.33203125" customWidth="1"/>
    <col min="24" max="24" width="12.88671875" style="224" bestFit="1" customWidth="1"/>
    <col min="25" max="25" width="19" style="235" customWidth="1"/>
    <col min="26" max="26" width="12.88671875" style="224" customWidth="1"/>
  </cols>
  <sheetData>
    <row r="1" spans="1:27" ht="15" hidden="1" customHeight="1" x14ac:dyDescent="0.3">
      <c r="A1" s="236" t="s">
        <v>320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</row>
    <row r="2" spans="1:27" ht="18" customHeight="1" x14ac:dyDescent="0.3">
      <c r="A2" s="236"/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  <c r="P2" s="236"/>
      <c r="Q2" s="236"/>
      <c r="R2" s="236"/>
      <c r="S2" s="236"/>
      <c r="T2" s="236"/>
      <c r="U2" s="236"/>
      <c r="V2" s="236"/>
      <c r="W2" s="236"/>
      <c r="X2" s="236"/>
      <c r="Y2" s="237"/>
      <c r="Z2" s="236"/>
    </row>
    <row r="3" spans="1:27" ht="15" customHeight="1" x14ac:dyDescent="0.3">
      <c r="A3" s="236"/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7"/>
      <c r="Z3" s="236"/>
    </row>
    <row r="4" spans="1:27" ht="36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3" t="s">
        <v>9</v>
      </c>
      <c r="K4" s="3" t="s">
        <v>10</v>
      </c>
      <c r="L4" s="4" t="s">
        <v>11</v>
      </c>
      <c r="M4" s="55" t="s">
        <v>12</v>
      </c>
      <c r="N4" s="57" t="s">
        <v>13</v>
      </c>
      <c r="O4" s="148" t="s">
        <v>14</v>
      </c>
      <c r="P4" s="149" t="s">
        <v>15</v>
      </c>
      <c r="Q4" s="5" t="s">
        <v>16</v>
      </c>
      <c r="R4" s="6" t="s">
        <v>17</v>
      </c>
      <c r="S4" s="6" t="s">
        <v>18</v>
      </c>
      <c r="T4" s="248" t="s">
        <v>1935</v>
      </c>
      <c r="U4" s="248" t="s">
        <v>1936</v>
      </c>
      <c r="V4" s="6" t="s">
        <v>231</v>
      </c>
      <c r="W4" s="246" t="s">
        <v>1938</v>
      </c>
      <c r="X4" s="225" t="s">
        <v>19</v>
      </c>
      <c r="Y4" s="229" t="s">
        <v>1937</v>
      </c>
      <c r="Z4" s="227" t="s">
        <v>243</v>
      </c>
      <c r="AA4" s="60" t="s">
        <v>245</v>
      </c>
    </row>
    <row r="5" spans="1:27" hidden="1" x14ac:dyDescent="0.3">
      <c r="A5" s="34">
        <v>45658</v>
      </c>
      <c r="B5" s="7" t="str">
        <f>TEXT(A5,"mmmm")</f>
        <v>enero</v>
      </c>
      <c r="C5" s="27">
        <v>2377</v>
      </c>
      <c r="D5" s="23" t="s">
        <v>20</v>
      </c>
      <c r="E5" s="61" t="s">
        <v>321</v>
      </c>
      <c r="F5" s="22" t="s">
        <v>85</v>
      </c>
      <c r="G5" s="32" t="str">
        <f>IFERROR(VLOOKUP(F5,Productos!$A$2:$D$258,2,0)," ")</f>
        <v>Desk Pad B Negro Café Miel</v>
      </c>
      <c r="H5" s="7">
        <v>1</v>
      </c>
      <c r="I5" s="32" t="str">
        <f>IFERROR(VLOOKUP(F5,Productos!$A$2:$D$258,3,0)," ")</f>
        <v>Accesorio</v>
      </c>
      <c r="J5" s="62" t="s">
        <v>24</v>
      </c>
      <c r="K5" s="62" t="s">
        <v>322</v>
      </c>
      <c r="L5" s="26" t="str">
        <f>IF(O5&gt;0,"Despachado","En alistamiento")</f>
        <v>Despachado</v>
      </c>
      <c r="M5" s="56" t="s">
        <v>238</v>
      </c>
      <c r="N5" s="48" t="s">
        <v>425</v>
      </c>
      <c r="O5" s="150">
        <v>45664</v>
      </c>
      <c r="P5" s="151">
        <v>45665</v>
      </c>
      <c r="Q5" s="24" t="str">
        <f>IF(P5&gt;0,"Entregado","En transito")</f>
        <v>Entregado</v>
      </c>
      <c r="R5" s="25">
        <f>IF(L5="Despachado",NETWORKDAYS.INTL("07/01/2025",O5,11,Valores!$A$2:$A$18)-1,"PTE")</f>
        <v>0</v>
      </c>
      <c r="S5" s="25">
        <f>IF(Q5="Entregado",NETWORKDAYS.INTL("07/01/2025",P5,11,Valores!$A$2:$A$18)-1,"PTE")</f>
        <v>1</v>
      </c>
      <c r="T5" s="25"/>
      <c r="U5" s="25"/>
      <c r="V5" s="25" t="str">
        <f>IF(Q5="Entregado",IF(S5&lt;=VLOOKUP(K5,Valores!E:F,2,0),"Cumple","No cumple"),"PTE")</f>
        <v>Cumple</v>
      </c>
      <c r="W5" s="25"/>
      <c r="X5" s="29">
        <v>16617</v>
      </c>
      <c r="Y5" s="224"/>
      <c r="Z5" s="28"/>
      <c r="AA5" t="s">
        <v>506</v>
      </c>
    </row>
    <row r="6" spans="1:27" hidden="1" x14ac:dyDescent="0.3">
      <c r="A6" s="34">
        <v>45659</v>
      </c>
      <c r="B6" s="7" t="str">
        <f>TEXT(A6,"mmmm")</f>
        <v>enero</v>
      </c>
      <c r="C6" s="27">
        <v>2378</v>
      </c>
      <c r="D6" s="23" t="s">
        <v>20</v>
      </c>
      <c r="E6" s="61" t="s">
        <v>323</v>
      </c>
      <c r="F6" s="22" t="s">
        <v>83</v>
      </c>
      <c r="G6" s="32" t="str">
        <f>IFERROR(VLOOKUP(F6,Productos!$A$2:$D$258,2,0)," ")</f>
        <v>Desk Pad B Negro Azul</v>
      </c>
      <c r="H6" s="7">
        <v>1</v>
      </c>
      <c r="I6" s="32" t="str">
        <f>IFERROR(VLOOKUP(F6,Productos!$A$2:$D$258,3,0)," ")</f>
        <v>Accesorio</v>
      </c>
      <c r="J6" s="54" t="s">
        <v>21</v>
      </c>
      <c r="K6" s="54" t="s">
        <v>22</v>
      </c>
      <c r="L6" s="26" t="str">
        <f t="shared" ref="L6:L69" si="0">IF(O6&gt;0,"Despachado","En alistamiento")</f>
        <v>Despachado</v>
      </c>
      <c r="M6" s="56" t="s">
        <v>238</v>
      </c>
      <c r="N6" s="48" t="s">
        <v>426</v>
      </c>
      <c r="O6" s="150">
        <v>45664</v>
      </c>
      <c r="P6" s="151">
        <v>45665</v>
      </c>
      <c r="Q6" s="24" t="str">
        <f t="shared" ref="Q6:Q69" si="1">IF(P6&gt;0,"Entregado","En transito")</f>
        <v>Entregado</v>
      </c>
      <c r="R6" s="25">
        <f>IF(L6="Despachado",NETWORKDAYS.INTL("07/01/2025",O6,11,Valores!$A$2:$A$18)-1,"PTE")</f>
        <v>0</v>
      </c>
      <c r="S6" s="25">
        <f>IF(Q6="Entregado",NETWORKDAYS.INTL("07/01/2025",P6,11,Valores!$A$2:$A$18)-1,"PTE")</f>
        <v>1</v>
      </c>
      <c r="T6" s="25"/>
      <c r="U6" s="25"/>
      <c r="V6" s="25" t="str">
        <f>IF(Q6="Entregado",IF(S6&lt;=VLOOKUP(K6,Valores!E:F,2,0),"Cumple","No cumple"),"PTE")</f>
        <v>Cumple</v>
      </c>
      <c r="W6" s="25"/>
      <c r="X6" s="29">
        <v>16617</v>
      </c>
      <c r="Y6" s="224"/>
      <c r="Z6" s="28"/>
      <c r="AA6" t="s">
        <v>506</v>
      </c>
    </row>
    <row r="7" spans="1:27" hidden="1" x14ac:dyDescent="0.3">
      <c r="A7" s="34">
        <v>45663</v>
      </c>
      <c r="B7" s="7" t="str">
        <f t="shared" ref="B7:B73" si="2">TEXT(A7,"mmmm")</f>
        <v>enero</v>
      </c>
      <c r="C7" s="27">
        <v>2379</v>
      </c>
      <c r="D7" s="23" t="s">
        <v>20</v>
      </c>
      <c r="E7" s="61" t="s">
        <v>324</v>
      </c>
      <c r="F7" s="40" t="s">
        <v>127</v>
      </c>
      <c r="G7" s="32" t="str">
        <f>IFERROR(VLOOKUP(F7,Productos!$A$2:$D$258,2,0)," ")</f>
        <v>Electric Standing Desk GO Blanco</v>
      </c>
      <c r="H7" s="7">
        <v>1</v>
      </c>
      <c r="I7" s="32" t="str">
        <f>IFERROR(VLOOKUP(F7,Productos!$A$2:$D$258,3,0)," ")</f>
        <v>Standing Desk</v>
      </c>
      <c r="J7" s="54" t="s">
        <v>21</v>
      </c>
      <c r="K7" s="54" t="s">
        <v>22</v>
      </c>
      <c r="L7" s="26" t="str">
        <f t="shared" si="0"/>
        <v>Despachado</v>
      </c>
      <c r="M7" s="56" t="s">
        <v>238</v>
      </c>
      <c r="N7" s="48" t="s">
        <v>427</v>
      </c>
      <c r="O7" s="150">
        <v>45665</v>
      </c>
      <c r="P7" s="151">
        <v>45667</v>
      </c>
      <c r="Q7" s="24" t="str">
        <f t="shared" si="1"/>
        <v>Entregado</v>
      </c>
      <c r="R7" s="25">
        <f>IF(L7="Despachado",NETWORKDAYS.INTL(A7,O7,11,Valores!$A$2:$A$18)-1,"PTE")</f>
        <v>1</v>
      </c>
      <c r="S7" s="25">
        <f>IF(Q7="Entregado",NETWORKDAYS.INTL(A7,P7,11,Valores!$A$2:$A$18)-1,"PTE")</f>
        <v>3</v>
      </c>
      <c r="T7" s="25"/>
      <c r="U7" s="25"/>
      <c r="V7" s="25" t="str">
        <f>IF(Q7="Entregado",IF(S7&lt;=VLOOKUP(K7,Valores!E:F,2,0),"Cumple","No cumple"),"PTE")</f>
        <v>Cumple</v>
      </c>
      <c r="W7" s="25"/>
      <c r="X7" s="29">
        <v>41593</v>
      </c>
      <c r="Y7" s="224"/>
      <c r="Z7" s="28"/>
    </row>
    <row r="8" spans="1:27" hidden="1" x14ac:dyDescent="0.3">
      <c r="A8" s="34">
        <v>45663</v>
      </c>
      <c r="B8" s="7" t="str">
        <f t="shared" si="2"/>
        <v>enero</v>
      </c>
      <c r="C8" s="27">
        <v>2379</v>
      </c>
      <c r="D8" s="23" t="s">
        <v>20</v>
      </c>
      <c r="E8" s="61" t="s">
        <v>324</v>
      </c>
      <c r="F8" s="22" t="s">
        <v>301</v>
      </c>
      <c r="G8" s="32" t="str">
        <f>IFERROR(VLOOKUP(F8,Productos!$A$2:$D$258,2,0)," ")</f>
        <v>Superficie  Fresno Europeo 120x70 Clasico Small</v>
      </c>
      <c r="H8" s="7">
        <v>1</v>
      </c>
      <c r="I8" s="32" t="str">
        <f>IFERROR(VLOOKUP(F8,Productos!$A$2:$D$258,3,0)," ")</f>
        <v>Superficie</v>
      </c>
      <c r="J8" s="54" t="s">
        <v>21</v>
      </c>
      <c r="K8" s="54" t="s">
        <v>22</v>
      </c>
      <c r="L8" s="26" t="str">
        <f t="shared" si="0"/>
        <v>Despachado</v>
      </c>
      <c r="M8" s="56" t="s">
        <v>238</v>
      </c>
      <c r="N8" s="49" t="s">
        <v>428</v>
      </c>
      <c r="O8" s="150">
        <v>45665</v>
      </c>
      <c r="P8" s="151">
        <v>45667</v>
      </c>
      <c r="Q8" s="24" t="str">
        <f t="shared" si="1"/>
        <v>Entregado</v>
      </c>
      <c r="R8" s="25">
        <f>IF(L8="Despachado",NETWORKDAYS.INTL(A8,O8,11,Valores!$A$2:$A$18)-1,"PTE")</f>
        <v>1</v>
      </c>
      <c r="S8" s="25">
        <f>IF(Q8="Entregado",NETWORKDAYS.INTL(A8,P8,11,Valores!$A$2:$A$18)-1,"PTE")</f>
        <v>3</v>
      </c>
      <c r="T8" s="25"/>
      <c r="U8" s="25"/>
      <c r="V8" s="25" t="str">
        <f>IF(Q8="Entregado",IF(S8&lt;=VLOOKUP(K8,Valores!E:F,2,0),"Cumple","No cumple"),"PTE")</f>
        <v>Cumple</v>
      </c>
      <c r="W8" s="25"/>
      <c r="X8" s="29">
        <v>24093</v>
      </c>
      <c r="Y8" s="224"/>
      <c r="Z8" s="28"/>
    </row>
    <row r="9" spans="1:27" hidden="1" x14ac:dyDescent="0.3">
      <c r="A9" s="34">
        <v>45663</v>
      </c>
      <c r="B9" s="7" t="str">
        <f t="shared" si="2"/>
        <v>enero</v>
      </c>
      <c r="C9" s="27">
        <v>2379</v>
      </c>
      <c r="D9" s="23" t="s">
        <v>20</v>
      </c>
      <c r="E9" s="61" t="s">
        <v>324</v>
      </c>
      <c r="F9" s="22" t="s">
        <v>240</v>
      </c>
      <c r="G9" s="32" t="str">
        <f>IFERROR(VLOOKUP(F9,Productos!$A$2:$D$258,2,0)," ")</f>
        <v>Bandeja de cables</v>
      </c>
      <c r="H9" s="7">
        <v>1</v>
      </c>
      <c r="I9" s="32" t="str">
        <f>IFERROR(VLOOKUP(F9,Productos!$A$2:$D$258,3,0)," ")</f>
        <v>Accesorio</v>
      </c>
      <c r="J9" s="54" t="s">
        <v>21</v>
      </c>
      <c r="K9" s="54" t="s">
        <v>22</v>
      </c>
      <c r="L9" s="26" t="str">
        <f t="shared" si="0"/>
        <v>Despachado</v>
      </c>
      <c r="M9" s="56" t="s">
        <v>238</v>
      </c>
      <c r="N9" s="49" t="s">
        <v>429</v>
      </c>
      <c r="O9" s="150">
        <v>45665</v>
      </c>
      <c r="P9" s="151">
        <v>45667</v>
      </c>
      <c r="Q9" s="24" t="str">
        <f t="shared" si="1"/>
        <v>Entregado</v>
      </c>
      <c r="R9" s="25">
        <f>IF(L9="Despachado",NETWORKDAYS.INTL(A9,O9,11,Valores!$A$2:$A$18)-1,"PTE")</f>
        <v>1</v>
      </c>
      <c r="S9" s="25">
        <f>IF(Q9="Entregado",NETWORKDAYS.INTL(A9,P9,11,Valores!$A$2:$A$18)-1,"PTE")</f>
        <v>3</v>
      </c>
      <c r="T9" s="25"/>
      <c r="U9" s="25"/>
      <c r="V9" s="25" t="str">
        <f>IF(Q9="Entregado",IF(S9&lt;=VLOOKUP(K9,Valores!E:F,2,0),"Cumple","No cumple"),"PTE")</f>
        <v>Cumple</v>
      </c>
      <c r="W9" s="25"/>
      <c r="X9" s="29">
        <v>24885</v>
      </c>
      <c r="Y9" s="224"/>
      <c r="Z9" s="28"/>
    </row>
    <row r="10" spans="1:27" hidden="1" x14ac:dyDescent="0.3">
      <c r="A10" s="34">
        <v>45663</v>
      </c>
      <c r="B10" s="7" t="str">
        <f t="shared" si="2"/>
        <v>enero</v>
      </c>
      <c r="C10" s="27">
        <v>2380</v>
      </c>
      <c r="D10" s="23" t="s">
        <v>20</v>
      </c>
      <c r="E10" s="61" t="s">
        <v>325</v>
      </c>
      <c r="F10" s="40" t="s">
        <v>123</v>
      </c>
      <c r="G10" s="32" t="str">
        <f>IFERROR(VLOOKUP(F10,Productos!$A$2:$D$258,2,0)," ")</f>
        <v>Electric Standing Desk GO Negro</v>
      </c>
      <c r="H10" s="7">
        <v>1</v>
      </c>
      <c r="I10" s="32" t="str">
        <f>IFERROR(VLOOKUP(F10,Productos!$A$2:$D$258,3,0)," ")</f>
        <v>Standing Desk</v>
      </c>
      <c r="J10" s="54" t="s">
        <v>21</v>
      </c>
      <c r="K10" s="54" t="s">
        <v>22</v>
      </c>
      <c r="L10" s="26" t="str">
        <f t="shared" si="0"/>
        <v>Despachado</v>
      </c>
      <c r="M10" s="56" t="s">
        <v>238</v>
      </c>
      <c r="N10" s="47" t="s">
        <v>430</v>
      </c>
      <c r="O10" s="150">
        <v>45664</v>
      </c>
      <c r="P10" s="151">
        <v>45665</v>
      </c>
      <c r="Q10" s="24" t="str">
        <f t="shared" si="1"/>
        <v>Entregado</v>
      </c>
      <c r="R10" s="25">
        <f>IF(L10="Despachado",NETWORKDAYS.INTL(A10,O10,11,Valores!$A$2:$A$18)-1,"PTE")</f>
        <v>0</v>
      </c>
      <c r="S10" s="25">
        <f>IF(Q10="Entregado",NETWORKDAYS.INTL(A10,P10,11,Valores!$A$2:$A$18)-1,"PTE")</f>
        <v>1</v>
      </c>
      <c r="T10" s="25"/>
      <c r="U10" s="25"/>
      <c r="V10" s="25" t="str">
        <f>IF(Q10="Entregado",IF(S10&lt;=VLOOKUP(K10,Valores!E:F,2,0),"Cumple","No cumple"),"PTE")</f>
        <v>Cumple</v>
      </c>
      <c r="W10" s="25"/>
      <c r="X10" s="29">
        <v>41593</v>
      </c>
      <c r="Y10" s="224"/>
      <c r="Z10" s="28"/>
    </row>
    <row r="11" spans="1:27" hidden="1" x14ac:dyDescent="0.3">
      <c r="A11" s="34">
        <v>45663</v>
      </c>
      <c r="B11" s="7" t="str">
        <f t="shared" si="2"/>
        <v>enero</v>
      </c>
      <c r="C11" s="27">
        <v>2380</v>
      </c>
      <c r="D11" s="23" t="s">
        <v>20</v>
      </c>
      <c r="E11" s="61" t="s">
        <v>325</v>
      </c>
      <c r="F11" s="22" t="s">
        <v>142</v>
      </c>
      <c r="G11" s="32" t="str">
        <f>IFERROR(VLOOKUP(F11,Productos!$A$2:$D$258,2,0)," ")</f>
        <v>Superficie Caramelo 140x70 Clasico</v>
      </c>
      <c r="H11" s="7">
        <v>1</v>
      </c>
      <c r="I11" s="32" t="str">
        <f>IFERROR(VLOOKUP(F11,Productos!$A$2:$D$258,3,0)," ")</f>
        <v>Superficie</v>
      </c>
      <c r="J11" s="54" t="s">
        <v>21</v>
      </c>
      <c r="K11" s="54" t="s">
        <v>22</v>
      </c>
      <c r="L11" s="26" t="str">
        <f t="shared" si="0"/>
        <v>Despachado</v>
      </c>
      <c r="M11" s="56" t="s">
        <v>238</v>
      </c>
      <c r="N11" s="48" t="s">
        <v>431</v>
      </c>
      <c r="O11" s="150">
        <v>45664</v>
      </c>
      <c r="P11" s="151">
        <v>45666</v>
      </c>
      <c r="Q11" s="24" t="str">
        <f t="shared" si="1"/>
        <v>Entregado</v>
      </c>
      <c r="R11" s="25">
        <f>IF(L11="Despachado",NETWORKDAYS.INTL(A11,O11,11,Valores!$A$2:$A$18)-1,"PTE")</f>
        <v>0</v>
      </c>
      <c r="S11" s="25">
        <f>IF(Q11="Entregado",NETWORKDAYS.INTL(A11,P11,11,Valores!$A$2:$A$18)-1,"PTE")</f>
        <v>2</v>
      </c>
      <c r="T11" s="25"/>
      <c r="U11" s="25"/>
      <c r="V11" s="25" t="str">
        <f>IF(Q11="Entregado",IF(S11&lt;=VLOOKUP(K11,Valores!E:F,2,0),"Cumple","No cumple"),"PTE")</f>
        <v>Cumple</v>
      </c>
      <c r="W11" s="25"/>
      <c r="X11" s="29">
        <v>24093</v>
      </c>
      <c r="Y11" s="224"/>
      <c r="Z11" s="28"/>
    </row>
    <row r="12" spans="1:27" hidden="1" x14ac:dyDescent="0.3">
      <c r="A12" s="34">
        <v>45663</v>
      </c>
      <c r="B12" s="7" t="str">
        <f t="shared" si="2"/>
        <v>enero</v>
      </c>
      <c r="C12" s="27">
        <v>2380</v>
      </c>
      <c r="D12" s="23" t="s">
        <v>20</v>
      </c>
      <c r="E12" s="61" t="s">
        <v>325</v>
      </c>
      <c r="F12" s="22" t="s">
        <v>240</v>
      </c>
      <c r="G12" s="32" t="str">
        <f>IFERROR(VLOOKUP(F12,Productos!$A$2:$D$258,2,0)," ")</f>
        <v>Bandeja de cables</v>
      </c>
      <c r="H12" s="7">
        <v>1</v>
      </c>
      <c r="I12" s="32" t="str">
        <f>IFERROR(VLOOKUP(F12,Productos!$A$2:$D$258,3,0)," ")</f>
        <v>Accesorio</v>
      </c>
      <c r="J12" s="54" t="s">
        <v>21</v>
      </c>
      <c r="K12" s="54" t="s">
        <v>22</v>
      </c>
      <c r="L12" s="26" t="str">
        <f t="shared" si="0"/>
        <v>Despachado</v>
      </c>
      <c r="M12" s="56" t="s">
        <v>238</v>
      </c>
      <c r="N12" s="48" t="s">
        <v>432</v>
      </c>
      <c r="O12" s="150">
        <v>45664</v>
      </c>
      <c r="P12" s="151">
        <v>45666</v>
      </c>
      <c r="Q12" s="24" t="str">
        <f t="shared" si="1"/>
        <v>Entregado</v>
      </c>
      <c r="R12" s="25">
        <f>IF(L12="Despachado",NETWORKDAYS.INTL(A12,O12,11,Valores!$A$2:$A$18)-1,"PTE")</f>
        <v>0</v>
      </c>
      <c r="S12" s="25">
        <f>IF(Q12="Entregado",NETWORKDAYS.INTL(A12,P12,11,Valores!$A$2:$A$18)-1,"PTE")</f>
        <v>2</v>
      </c>
      <c r="T12" s="25"/>
      <c r="U12" s="25"/>
      <c r="V12" s="25" t="str">
        <f>IF(Q12="Entregado",IF(S12&lt;=VLOOKUP(K12,Valores!E:F,2,0),"Cumple","No cumple"),"PTE")</f>
        <v>Cumple</v>
      </c>
      <c r="W12" s="25"/>
      <c r="X12" s="29">
        <v>24885</v>
      </c>
      <c r="Y12" s="224"/>
      <c r="Z12" s="28"/>
    </row>
    <row r="13" spans="1:27" hidden="1" x14ac:dyDescent="0.3">
      <c r="A13" s="34">
        <v>45663</v>
      </c>
      <c r="B13" s="7" t="str">
        <f t="shared" si="2"/>
        <v>enero</v>
      </c>
      <c r="C13" s="27">
        <v>2381</v>
      </c>
      <c r="D13" s="23" t="s">
        <v>20</v>
      </c>
      <c r="E13" s="61" t="s">
        <v>326</v>
      </c>
      <c r="F13" s="22" t="s">
        <v>57</v>
      </c>
      <c r="G13" s="32" t="str">
        <f>IFERROR(VLOOKUP(F13,Productos!$A$2:$D$258,2,0)," ")</f>
        <v>Electric Standing Desk  En L Frame Negro 2.0</v>
      </c>
      <c r="H13" s="7">
        <v>1</v>
      </c>
      <c r="I13" s="32" t="str">
        <f>IFERROR(VLOOKUP(F13,Productos!$A$2:$D$258,3,0)," ")</f>
        <v>Standing Desk</v>
      </c>
      <c r="J13" s="54" t="s">
        <v>21</v>
      </c>
      <c r="K13" s="54" t="s">
        <v>22</v>
      </c>
      <c r="L13" s="26" t="str">
        <f t="shared" si="0"/>
        <v>Despachado</v>
      </c>
      <c r="M13" s="56" t="s">
        <v>238</v>
      </c>
      <c r="N13" s="49" t="s">
        <v>433</v>
      </c>
      <c r="O13" s="150">
        <v>45665</v>
      </c>
      <c r="P13" s="151">
        <v>45667</v>
      </c>
      <c r="Q13" s="24" t="str">
        <f t="shared" si="1"/>
        <v>Entregado</v>
      </c>
      <c r="R13" s="25">
        <f>IF(L13="Despachado",NETWORKDAYS.INTL(A13,O13,11,Valores!$A$2:$A$18)-1,"PTE")</f>
        <v>1</v>
      </c>
      <c r="S13" s="25">
        <f>IF(Q13="Entregado",NETWORKDAYS.INTL(A13,P13,11,Valores!$A$2:$A$18)-1,"PTE")</f>
        <v>3</v>
      </c>
      <c r="T13" s="25"/>
      <c r="U13" s="25"/>
      <c r="V13" s="25" t="str">
        <f>IF(Q13="Entregado",IF(S13&lt;=VLOOKUP(K13,Valores!E:F,2,0),"Cumple","No cumple"),"PTE")</f>
        <v>Cumple</v>
      </c>
      <c r="W13" s="25"/>
      <c r="X13" s="29">
        <v>62530</v>
      </c>
      <c r="Y13" s="224"/>
      <c r="Z13" s="28"/>
    </row>
    <row r="14" spans="1:27" hidden="1" x14ac:dyDescent="0.3">
      <c r="A14" s="34">
        <v>45663</v>
      </c>
      <c r="B14" s="7" t="str">
        <f t="shared" si="2"/>
        <v>enero</v>
      </c>
      <c r="C14" s="27">
        <v>2381</v>
      </c>
      <c r="D14" s="23" t="s">
        <v>20</v>
      </c>
      <c r="E14" s="61" t="s">
        <v>326</v>
      </c>
      <c r="F14" s="22" t="s">
        <v>115</v>
      </c>
      <c r="G14" s="32" t="str">
        <f>IFERROR(VLOOKUP(F14,Productos!$A$2:$D$258,2,0)," ")</f>
        <v>Superficie en L Roble Negro 180x150cm x 70</v>
      </c>
      <c r="H14" s="7">
        <v>1</v>
      </c>
      <c r="I14" s="32" t="str">
        <f>IFERROR(VLOOKUP(F14,Productos!$A$2:$D$258,3,0)," ")</f>
        <v>Superficie</v>
      </c>
      <c r="J14" s="54" t="s">
        <v>21</v>
      </c>
      <c r="K14" s="54" t="s">
        <v>22</v>
      </c>
      <c r="L14" s="26" t="str">
        <f t="shared" si="0"/>
        <v>Despachado</v>
      </c>
      <c r="M14" s="56" t="s">
        <v>238</v>
      </c>
      <c r="N14" s="49" t="s">
        <v>434</v>
      </c>
      <c r="O14" s="150">
        <v>45665</v>
      </c>
      <c r="P14" s="151">
        <v>45667</v>
      </c>
      <c r="Q14" s="24" t="str">
        <f t="shared" si="1"/>
        <v>Entregado</v>
      </c>
      <c r="R14" s="25">
        <f>IF(L14="Despachado",NETWORKDAYS.INTL(A14,O14,11,Valores!$A$2:$A$18)-1,"PTE")</f>
        <v>1</v>
      </c>
      <c r="S14" s="25">
        <f>IF(Q14="Entregado",NETWORKDAYS.INTL(A14,P14,11,Valores!$A$2:$A$18)-1,"PTE")</f>
        <v>3</v>
      </c>
      <c r="T14" s="25"/>
      <c r="U14" s="25"/>
      <c r="V14" s="25" t="str">
        <f>IF(Q14="Entregado",IF(S14&lt;=VLOOKUP(K14,Valores!E:F,2,0),"Cumple","No cumple"),"PTE")</f>
        <v>Cumple</v>
      </c>
      <c r="W14" s="25"/>
      <c r="X14" s="29">
        <v>26749</v>
      </c>
      <c r="Y14" s="224"/>
      <c r="Z14" s="28"/>
    </row>
    <row r="15" spans="1:27" hidden="1" x14ac:dyDescent="0.3">
      <c r="A15" s="34">
        <v>45663</v>
      </c>
      <c r="B15" s="7" t="str">
        <f t="shared" si="2"/>
        <v>enero</v>
      </c>
      <c r="C15" s="27">
        <v>2381</v>
      </c>
      <c r="D15" s="23" t="s">
        <v>20</v>
      </c>
      <c r="E15" s="61" t="s">
        <v>326</v>
      </c>
      <c r="F15" s="22" t="s">
        <v>240</v>
      </c>
      <c r="G15" s="32" t="str">
        <f>IFERROR(VLOOKUP(F15,Productos!$A$2:$D$258,2,0)," ")</f>
        <v>Bandeja de cables</v>
      </c>
      <c r="H15" s="7">
        <v>1</v>
      </c>
      <c r="I15" s="32" t="str">
        <f>IFERROR(VLOOKUP(F15,Productos!$A$2:$D$258,3,0)," ")</f>
        <v>Accesorio</v>
      </c>
      <c r="J15" s="54" t="s">
        <v>21</v>
      </c>
      <c r="K15" s="54" t="s">
        <v>22</v>
      </c>
      <c r="L15" s="26" t="str">
        <f t="shared" si="0"/>
        <v>Despachado</v>
      </c>
      <c r="M15" s="56" t="s">
        <v>238</v>
      </c>
      <c r="N15" s="49" t="s">
        <v>435</v>
      </c>
      <c r="O15" s="150">
        <v>45665</v>
      </c>
      <c r="P15" s="151">
        <v>45666</v>
      </c>
      <c r="Q15" s="24" t="str">
        <f t="shared" si="1"/>
        <v>Entregado</v>
      </c>
      <c r="R15" s="25">
        <f>IF(L15="Despachado",NETWORKDAYS.INTL(A15,O15,11,Valores!$A$2:$A$18)-1,"PTE")</f>
        <v>1</v>
      </c>
      <c r="S15" s="25">
        <f>IF(Q15="Entregado",NETWORKDAYS.INTL(A15,P15,11,Valores!$A$2:$A$18)-1,"PTE")</f>
        <v>2</v>
      </c>
      <c r="T15" s="25"/>
      <c r="U15" s="25"/>
      <c r="V15" s="25" t="str">
        <f>IF(Q15="Entregado",IF(S15&lt;=VLOOKUP(K15,Valores!E:F,2,0),"Cumple","No cumple"),"PTE")</f>
        <v>Cumple</v>
      </c>
      <c r="W15" s="25"/>
      <c r="X15" s="29">
        <v>24885</v>
      </c>
      <c r="Y15" s="224"/>
      <c r="Z15" s="28"/>
    </row>
    <row r="16" spans="1:27" hidden="1" x14ac:dyDescent="0.3">
      <c r="A16" s="34">
        <v>45663</v>
      </c>
      <c r="B16" s="7" t="str">
        <f t="shared" si="2"/>
        <v>enero</v>
      </c>
      <c r="C16" s="27">
        <v>2381</v>
      </c>
      <c r="D16" s="23" t="s">
        <v>20</v>
      </c>
      <c r="E16" s="61" t="s">
        <v>326</v>
      </c>
      <c r="F16" s="22" t="s">
        <v>313</v>
      </c>
      <c r="G16" s="32" t="str">
        <f>IFERROR(VLOOKUP(F16,Productos!$A$2:$D$258,2,0)," ")</f>
        <v>Bandeja Piano</v>
      </c>
      <c r="H16" s="7">
        <v>1</v>
      </c>
      <c r="I16" s="32" t="str">
        <f>IFERROR(VLOOKUP(F16,Productos!$A$2:$D$258,3,0)," ")</f>
        <v>Accesorio</v>
      </c>
      <c r="J16" s="54" t="s">
        <v>21</v>
      </c>
      <c r="K16" s="54" t="s">
        <v>22</v>
      </c>
      <c r="L16" s="26" t="str">
        <f t="shared" si="0"/>
        <v>Despachado</v>
      </c>
      <c r="M16" s="56" t="s">
        <v>238</v>
      </c>
      <c r="N16" s="51" t="s">
        <v>436</v>
      </c>
      <c r="O16" s="150">
        <v>45665</v>
      </c>
      <c r="P16" s="151">
        <v>45667</v>
      </c>
      <c r="Q16" s="24" t="str">
        <f t="shared" si="1"/>
        <v>Entregado</v>
      </c>
      <c r="R16" s="25">
        <f>IF(L16="Despachado",NETWORKDAYS.INTL(A16,O16,11,Valores!$A$2:$A$18)-1,"PTE")</f>
        <v>1</v>
      </c>
      <c r="S16" s="25">
        <f>IF(Q16="Entregado",NETWORKDAYS.INTL(A16,P16,11,Valores!$A$2:$A$18)-1,"PTE")</f>
        <v>3</v>
      </c>
      <c r="T16" s="25"/>
      <c r="U16" s="25"/>
      <c r="V16" s="25" t="str">
        <f>IF(Q16="Entregado",IF(S16&lt;=VLOOKUP(K16,Valores!E:F,2,0),"Cumple","No cumple"),"PTE")</f>
        <v>Cumple</v>
      </c>
      <c r="W16" s="25"/>
      <c r="X16" s="29">
        <v>39225</v>
      </c>
      <c r="Y16" s="224"/>
      <c r="Z16" s="28"/>
    </row>
    <row r="17" spans="1:27" hidden="1" x14ac:dyDescent="0.3">
      <c r="A17" s="34">
        <v>45663</v>
      </c>
      <c r="B17" s="7" t="str">
        <f t="shared" si="2"/>
        <v>enero</v>
      </c>
      <c r="C17" s="27">
        <v>2381</v>
      </c>
      <c r="D17" s="23" t="s">
        <v>20</v>
      </c>
      <c r="E17" s="61" t="s">
        <v>326</v>
      </c>
      <c r="F17" s="22"/>
      <c r="G17" s="32" t="s">
        <v>1796</v>
      </c>
      <c r="H17" s="7">
        <v>1</v>
      </c>
      <c r="I17" s="32" t="s">
        <v>327</v>
      </c>
      <c r="J17" s="54" t="s">
        <v>21</v>
      </c>
      <c r="K17" s="54" t="s">
        <v>22</v>
      </c>
      <c r="L17" s="26" t="s">
        <v>327</v>
      </c>
      <c r="M17" s="56" t="s">
        <v>241</v>
      </c>
      <c r="N17" s="117" t="s">
        <v>241</v>
      </c>
      <c r="O17" s="150" t="s">
        <v>241</v>
      </c>
      <c r="P17" s="150" t="s">
        <v>241</v>
      </c>
      <c r="Q17" s="24" t="str">
        <f t="shared" si="1"/>
        <v>Entregado</v>
      </c>
      <c r="R17" s="25" t="str">
        <f>IF(L17="Despachado",NETWORKDAYS.INTL(A17,O17,11,Valores!$A$2:$A$18)-1,"PTE")</f>
        <v>PTE</v>
      </c>
      <c r="S17" s="25" t="e">
        <f>IF(Q17="Entregado",NETWORKDAYS.INTL(A17,P17,11,Valores!$A$2:$A$18)-1,"PTE")</f>
        <v>#VALUE!</v>
      </c>
      <c r="T17" s="25"/>
      <c r="U17" s="25"/>
      <c r="V17" s="25" t="e">
        <f>IF(Q17="Entregado",IF(S17&lt;=VLOOKUP(K17,Valores!E:F,2,0),"Cumple","No cumple"),"PTE")</f>
        <v>#VALUE!</v>
      </c>
      <c r="W17" s="25"/>
      <c r="X17" s="29">
        <v>0</v>
      </c>
      <c r="Y17" s="224"/>
      <c r="Z17" s="28"/>
    </row>
    <row r="18" spans="1:27" hidden="1" x14ac:dyDescent="0.3">
      <c r="A18" s="34">
        <v>45664</v>
      </c>
      <c r="B18" s="7" t="str">
        <f t="shared" si="2"/>
        <v>enero</v>
      </c>
      <c r="C18" s="27">
        <v>2382</v>
      </c>
      <c r="D18" s="23" t="s">
        <v>20</v>
      </c>
      <c r="E18" s="61" t="s">
        <v>168</v>
      </c>
      <c r="F18" s="40" t="s">
        <v>123</v>
      </c>
      <c r="G18" s="32" t="str">
        <f>IFERROR(VLOOKUP(F18,Productos!$A$2:$D$258,2,0)," ")</f>
        <v>Electric Standing Desk GO Negro</v>
      </c>
      <c r="H18" s="7">
        <v>1</v>
      </c>
      <c r="I18" s="32" t="str">
        <f>IFERROR(VLOOKUP(F18,Productos!$A$2:$D$258,3,0)," ")</f>
        <v>Standing Desk</v>
      </c>
      <c r="J18" s="62" t="s">
        <v>189</v>
      </c>
      <c r="K18" s="62" t="s">
        <v>45</v>
      </c>
      <c r="L18" s="26" t="str">
        <f t="shared" si="0"/>
        <v>Despachado</v>
      </c>
      <c r="M18" s="56" t="s">
        <v>238</v>
      </c>
      <c r="N18" s="48" t="s">
        <v>437</v>
      </c>
      <c r="O18" s="150">
        <v>45666</v>
      </c>
      <c r="P18" s="151">
        <v>45668</v>
      </c>
      <c r="Q18" s="24" t="str">
        <f t="shared" si="1"/>
        <v>Entregado</v>
      </c>
      <c r="R18" s="25">
        <f>IF(L18="Despachado",NETWORKDAYS.INTL(A18,O18,11,Valores!$A$2:$A$18)-1,"PTE")</f>
        <v>2</v>
      </c>
      <c r="S18" s="25">
        <f>IF(Q18="Entregado",NETWORKDAYS.INTL(A18,P18,11,Valores!$A$2:$A$18)-1,"PTE")</f>
        <v>4</v>
      </c>
      <c r="T18" s="25"/>
      <c r="U18" s="25"/>
      <c r="V18" s="25" t="str">
        <f>IF(Q18="Entregado",IF(S18&lt;=VLOOKUP(K18,Valores!E:F,2,0),"Cumple","No cumple"),"PTE")</f>
        <v>Cumple</v>
      </c>
      <c r="W18" s="25"/>
      <c r="X18" s="29">
        <v>59835</v>
      </c>
      <c r="Y18" s="224"/>
      <c r="Z18" s="28"/>
    </row>
    <row r="19" spans="1:27" hidden="1" x14ac:dyDescent="0.3">
      <c r="A19" s="34">
        <v>45664</v>
      </c>
      <c r="B19" s="7" t="str">
        <f t="shared" si="2"/>
        <v>enero</v>
      </c>
      <c r="C19" s="27">
        <v>2382</v>
      </c>
      <c r="D19" s="23" t="s">
        <v>20</v>
      </c>
      <c r="E19" s="61" t="s">
        <v>168</v>
      </c>
      <c r="F19" s="40" t="s">
        <v>114</v>
      </c>
      <c r="G19" s="32" t="str">
        <f>IFERROR(VLOOKUP(F19,Productos!$A$2:$D$258,2,0)," ")</f>
        <v>Superficie  Roble Negro 120x70 Clasico Small</v>
      </c>
      <c r="H19" s="7">
        <v>1</v>
      </c>
      <c r="I19" s="32" t="str">
        <f>IFERROR(VLOOKUP(F19,Productos!$A$2:$D$258,3,0)," ")</f>
        <v>Superficie</v>
      </c>
      <c r="J19" s="62" t="s">
        <v>189</v>
      </c>
      <c r="K19" s="62" t="s">
        <v>45</v>
      </c>
      <c r="L19" s="26" t="str">
        <f t="shared" si="0"/>
        <v>Despachado</v>
      </c>
      <c r="M19" s="56" t="s">
        <v>238</v>
      </c>
      <c r="N19" s="48" t="s">
        <v>438</v>
      </c>
      <c r="O19" s="150">
        <v>45666</v>
      </c>
      <c r="P19" s="151">
        <v>45668</v>
      </c>
      <c r="Q19" s="24" t="str">
        <f t="shared" si="1"/>
        <v>Entregado</v>
      </c>
      <c r="R19" s="25">
        <f>IF(L19="Despachado",NETWORKDAYS.INTL(A19,O19,11,Valores!$A$2:$A$18)-1,"PTE")</f>
        <v>2</v>
      </c>
      <c r="S19" s="25">
        <f>IF(Q19="Entregado",NETWORKDAYS.INTL(A19,P19,11,Valores!$A$2:$A$18)-1,"PTE")</f>
        <v>4</v>
      </c>
      <c r="T19" s="25"/>
      <c r="U19" s="25"/>
      <c r="V19" s="25" t="str">
        <f>IF(Q19="Entregado",IF(S19&lt;=VLOOKUP(K19,Valores!E:F,2,0),"Cumple","No cumple"),"PTE")</f>
        <v>Cumple</v>
      </c>
      <c r="W19" s="25"/>
      <c r="X19" s="29">
        <v>39078</v>
      </c>
      <c r="Y19" s="224"/>
      <c r="Z19" s="28"/>
    </row>
    <row r="20" spans="1:27" hidden="1" x14ac:dyDescent="0.3">
      <c r="A20" s="34">
        <v>45664</v>
      </c>
      <c r="B20" s="7" t="str">
        <f t="shared" si="2"/>
        <v>enero</v>
      </c>
      <c r="C20" s="27">
        <v>2383</v>
      </c>
      <c r="D20" s="23" t="s">
        <v>20</v>
      </c>
      <c r="E20" s="61" t="s">
        <v>328</v>
      </c>
      <c r="F20" s="40" t="s">
        <v>129</v>
      </c>
      <c r="G20" s="32" t="str">
        <f>IFERROR(VLOOKUP(F20,Productos!$A$2:$D$258,2,0)," ")</f>
        <v>Electric Standing Desk  PRO Negro</v>
      </c>
      <c r="H20" s="7">
        <v>1</v>
      </c>
      <c r="I20" s="32" t="str">
        <f>IFERROR(VLOOKUP(F20,Productos!$A$2:$D$258,3,0)," ")</f>
        <v>Standing Desk</v>
      </c>
      <c r="J20" s="62" t="s">
        <v>222</v>
      </c>
      <c r="K20" s="62" t="s">
        <v>223</v>
      </c>
      <c r="L20" s="26" t="str">
        <f t="shared" si="0"/>
        <v>Despachado</v>
      </c>
      <c r="M20" s="56" t="s">
        <v>238</v>
      </c>
      <c r="N20" s="50" t="s">
        <v>439</v>
      </c>
      <c r="O20" s="150">
        <v>45666</v>
      </c>
      <c r="P20" s="151">
        <v>45668</v>
      </c>
      <c r="Q20" s="24" t="str">
        <f t="shared" si="1"/>
        <v>Entregado</v>
      </c>
      <c r="R20" s="25">
        <f>IF(L20="Despachado",NETWORKDAYS.INTL(A20,O20,11,Valores!$A$2:$A$18)-1,"PTE")</f>
        <v>2</v>
      </c>
      <c r="S20" s="25">
        <f>IF(Q20="Entregado",NETWORKDAYS.INTL(A20,P20,11,Valores!$A$2:$A$18)-1,"PTE")</f>
        <v>4</v>
      </c>
      <c r="T20" s="25"/>
      <c r="U20" s="25"/>
      <c r="V20" s="25" t="str">
        <f>IF(Q20="Entregado",IF(S20&lt;=VLOOKUP(K20,Valores!E:F,2,0),"Cumple","No cumple"),"PTE")</f>
        <v>Cumple</v>
      </c>
      <c r="W20" s="25"/>
      <c r="X20" s="29">
        <v>62467</v>
      </c>
      <c r="Y20" s="224"/>
      <c r="Z20" s="28"/>
    </row>
    <row r="21" spans="1:27" hidden="1" x14ac:dyDescent="0.3">
      <c r="A21" s="34">
        <v>45664</v>
      </c>
      <c r="B21" s="7" t="str">
        <f t="shared" si="2"/>
        <v>enero</v>
      </c>
      <c r="C21" s="27">
        <v>2383</v>
      </c>
      <c r="D21" s="23" t="s">
        <v>20</v>
      </c>
      <c r="E21" s="61" t="s">
        <v>328</v>
      </c>
      <c r="F21" s="40" t="s">
        <v>142</v>
      </c>
      <c r="G21" s="32" t="str">
        <f>IFERROR(VLOOKUP(F21,Productos!$A$2:$D$258,2,0)," ")</f>
        <v>Superficie Caramelo 140x70 Clasico</v>
      </c>
      <c r="H21" s="7">
        <v>1</v>
      </c>
      <c r="I21" s="32" t="str">
        <f>IFERROR(VLOOKUP(F21,Productos!$A$2:$D$258,3,0)," ")</f>
        <v>Superficie</v>
      </c>
      <c r="J21" s="62" t="s">
        <v>222</v>
      </c>
      <c r="K21" s="62" t="s">
        <v>223</v>
      </c>
      <c r="L21" s="26" t="str">
        <f t="shared" si="0"/>
        <v>Despachado</v>
      </c>
      <c r="M21" s="56" t="s">
        <v>238</v>
      </c>
      <c r="N21" s="50" t="s">
        <v>440</v>
      </c>
      <c r="O21" s="150">
        <v>45666</v>
      </c>
      <c r="P21" s="151">
        <v>45668</v>
      </c>
      <c r="Q21" s="24" t="str">
        <f t="shared" si="1"/>
        <v>Entregado</v>
      </c>
      <c r="R21" s="25">
        <f>IF(L21="Despachado",NETWORKDAYS.INTL(A21,O21,11,Valores!$A$2:$A$18)-1,"PTE")</f>
        <v>2</v>
      </c>
      <c r="S21" s="25">
        <f>IF(Q21="Entregado",NETWORKDAYS.INTL(A21,P21,11,Valores!$A$2:$A$18)-1,"PTE")</f>
        <v>4</v>
      </c>
      <c r="T21" s="25"/>
      <c r="U21" s="25"/>
      <c r="V21" s="25" t="str">
        <f>IF(Q21="Entregado",IF(S21&lt;=VLOOKUP(K21,Valores!E:F,2,0),"Cumple","No cumple"),"PTE")</f>
        <v>Cumple</v>
      </c>
      <c r="W21" s="25"/>
      <c r="X21" s="29">
        <v>39078</v>
      </c>
      <c r="Y21" s="224"/>
      <c r="Z21" s="28"/>
    </row>
    <row r="22" spans="1:27" hidden="1" x14ac:dyDescent="0.3">
      <c r="A22" s="34">
        <v>45665</v>
      </c>
      <c r="B22" s="7" t="str">
        <f t="shared" si="2"/>
        <v>enero</v>
      </c>
      <c r="C22" s="27">
        <v>2384</v>
      </c>
      <c r="D22" s="23" t="s">
        <v>20</v>
      </c>
      <c r="E22" s="61" t="s">
        <v>329</v>
      </c>
      <c r="F22" s="40" t="s">
        <v>129</v>
      </c>
      <c r="G22" s="32" t="str">
        <f>IFERROR(VLOOKUP(F22,Productos!$A$2:$D$258,2,0)," ")</f>
        <v>Electric Standing Desk  PRO Negro</v>
      </c>
      <c r="H22" s="7">
        <v>1</v>
      </c>
      <c r="I22" s="32" t="str">
        <f>IFERROR(VLOOKUP(F22,Productos!$A$2:$D$258,3,0)," ")</f>
        <v>Standing Desk</v>
      </c>
      <c r="J22" s="54" t="s">
        <v>21</v>
      </c>
      <c r="K22" s="62" t="s">
        <v>225</v>
      </c>
      <c r="L22" s="26" t="str">
        <f t="shared" si="0"/>
        <v>Despachado</v>
      </c>
      <c r="M22" s="56" t="s">
        <v>238</v>
      </c>
      <c r="N22" s="50" t="s">
        <v>441</v>
      </c>
      <c r="O22" s="150">
        <v>45665</v>
      </c>
      <c r="P22" s="150">
        <v>45666</v>
      </c>
      <c r="Q22" s="24" t="str">
        <f t="shared" si="1"/>
        <v>Entregado</v>
      </c>
      <c r="R22" s="25">
        <f>IF(L22="Despachado",NETWORKDAYS.INTL(A22,O22,11,Valores!$A$2:$A$18)-1,"PTE")</f>
        <v>0</v>
      </c>
      <c r="S22" s="25">
        <f>IF(Q22="Entregado",NETWORKDAYS.INTL(A22,P22,11,Valores!$A$2:$A$18)-1,"PTE")</f>
        <v>1</v>
      </c>
      <c r="T22" s="25"/>
      <c r="U22" s="25"/>
      <c r="V22" s="25" t="str">
        <f>IF(Q22="Entregado",IF(S22&lt;=VLOOKUP(K22,Valores!E:F,2,0),"Cumple","No cumple"),"PTE")</f>
        <v>Cumple</v>
      </c>
      <c r="W22" s="25"/>
      <c r="X22" s="29">
        <v>42921</v>
      </c>
      <c r="Y22" s="224"/>
      <c r="Z22" s="28"/>
    </row>
    <row r="23" spans="1:27" hidden="1" x14ac:dyDescent="0.3">
      <c r="A23" s="34">
        <v>45665</v>
      </c>
      <c r="B23" s="7" t="str">
        <f t="shared" si="2"/>
        <v>enero</v>
      </c>
      <c r="C23" s="27">
        <v>2384</v>
      </c>
      <c r="D23" s="23" t="s">
        <v>20</v>
      </c>
      <c r="E23" s="61" t="s">
        <v>329</v>
      </c>
      <c r="F23" s="40" t="s">
        <v>87</v>
      </c>
      <c r="G23" s="32" t="str">
        <f>IFERROR(VLOOKUP(F23,Productos!$A$2:$D$258,2,0)," ")</f>
        <v>Desk Stool Negra Silla ajustable</v>
      </c>
      <c r="H23" s="7">
        <v>1</v>
      </c>
      <c r="I23" s="32" t="str">
        <f>IFERROR(VLOOKUP(F23,Productos!$A$2:$D$258,3,0)," ")</f>
        <v>Silla</v>
      </c>
      <c r="J23" s="54" t="s">
        <v>21</v>
      </c>
      <c r="K23" s="62" t="s">
        <v>225</v>
      </c>
      <c r="L23" s="26" t="str">
        <f t="shared" si="0"/>
        <v>Despachado</v>
      </c>
      <c r="M23" s="56" t="s">
        <v>238</v>
      </c>
      <c r="N23" s="50" t="s">
        <v>442</v>
      </c>
      <c r="O23" s="150">
        <v>45665</v>
      </c>
      <c r="P23" s="150">
        <v>45666</v>
      </c>
      <c r="Q23" s="24" t="str">
        <f t="shared" si="1"/>
        <v>Entregado</v>
      </c>
      <c r="R23" s="25">
        <f>IF(L23="Despachado",NETWORKDAYS.INTL(A23,O23,11,Valores!$A$2:$A$18)-1,"PTE")</f>
        <v>0</v>
      </c>
      <c r="S23" s="25">
        <f>IF(Q23="Entregado",NETWORKDAYS.INTL(A23,P23,11,Valores!$A$2:$A$18)-1,"PTE")</f>
        <v>1</v>
      </c>
      <c r="T23" s="25"/>
      <c r="U23" s="25"/>
      <c r="V23" s="25" t="str">
        <f>IF(Q23="Entregado",IF(S23&lt;=VLOOKUP(K23,Valores!E:F,2,0),"Cumple","No cumple"),"PTE")</f>
        <v>Cumple</v>
      </c>
      <c r="W23" s="25"/>
      <c r="X23" s="29">
        <v>26609</v>
      </c>
      <c r="Y23" s="224"/>
      <c r="Z23" s="28"/>
    </row>
    <row r="24" spans="1:27" hidden="1" x14ac:dyDescent="0.3">
      <c r="A24" s="34">
        <v>45665</v>
      </c>
      <c r="B24" s="7" t="str">
        <f t="shared" si="2"/>
        <v>enero</v>
      </c>
      <c r="C24" s="27">
        <v>2385</v>
      </c>
      <c r="D24" s="23" t="s">
        <v>20</v>
      </c>
      <c r="E24" s="61" t="s">
        <v>330</v>
      </c>
      <c r="F24" s="40" t="s">
        <v>129</v>
      </c>
      <c r="G24" s="32" t="str">
        <f>IFERROR(VLOOKUP(F24,Productos!$A$2:$D$258,2,0)," ")</f>
        <v>Electric Standing Desk  PRO Negro</v>
      </c>
      <c r="H24" s="7">
        <v>1</v>
      </c>
      <c r="I24" s="32" t="str">
        <f>IFERROR(VLOOKUP(F24,Productos!$A$2:$D$258,3,0)," ")</f>
        <v>Standing Desk</v>
      </c>
      <c r="J24" s="54" t="s">
        <v>21</v>
      </c>
      <c r="K24" s="54" t="s">
        <v>22</v>
      </c>
      <c r="L24" s="26" t="str">
        <f t="shared" si="0"/>
        <v>Despachado</v>
      </c>
      <c r="M24" s="56" t="s">
        <v>238</v>
      </c>
      <c r="N24" s="50" t="s">
        <v>443</v>
      </c>
      <c r="O24" s="150">
        <v>45666</v>
      </c>
      <c r="P24" s="151">
        <v>45667</v>
      </c>
      <c r="Q24" s="24" t="str">
        <f t="shared" si="1"/>
        <v>Entregado</v>
      </c>
      <c r="R24" s="25">
        <f>IF(L24="Despachado",NETWORKDAYS.INTL(A24,O24,11,Valores!$A$2:$A$18)-1,"PTE")</f>
        <v>1</v>
      </c>
      <c r="S24" s="25">
        <f>IF(Q24="Entregado",NETWORKDAYS.INTL(A24,P24,11,Valores!$A$2:$A$18)-1,"PTE")</f>
        <v>2</v>
      </c>
      <c r="T24" s="25"/>
      <c r="U24" s="25"/>
      <c r="V24" s="25" t="str">
        <f>IF(Q24="Entregado",IF(S24&lt;=VLOOKUP(K24,Valores!E:F,2,0),"Cumple","No cumple"),"PTE")</f>
        <v>Cumple</v>
      </c>
      <c r="W24" s="25"/>
      <c r="X24" s="29">
        <v>42921</v>
      </c>
      <c r="Y24" s="224"/>
      <c r="Z24" s="28"/>
    </row>
    <row r="25" spans="1:27" hidden="1" x14ac:dyDescent="0.3">
      <c r="A25" s="34">
        <v>45665</v>
      </c>
      <c r="B25" s="7" t="str">
        <f t="shared" si="2"/>
        <v>enero</v>
      </c>
      <c r="C25" s="27">
        <v>2385</v>
      </c>
      <c r="D25" s="23" t="s">
        <v>20</v>
      </c>
      <c r="E25" s="61" t="s">
        <v>330</v>
      </c>
      <c r="F25" s="40" t="s">
        <v>303</v>
      </c>
      <c r="G25" s="32" t="str">
        <f>IFERROR(VLOOKUP(F25,Productos!$A$2:$D$258,2,0)," ")</f>
        <v>Superficie  Fresno Europeo 140x70 Clasico</v>
      </c>
      <c r="H25" s="7">
        <v>1</v>
      </c>
      <c r="I25" s="32" t="str">
        <f>IFERROR(VLOOKUP(F25,Productos!$A$2:$D$258,3,0)," ")</f>
        <v>Superficie</v>
      </c>
      <c r="J25" s="54" t="s">
        <v>21</v>
      </c>
      <c r="K25" s="54" t="s">
        <v>22</v>
      </c>
      <c r="L25" s="26" t="str">
        <f t="shared" si="0"/>
        <v>Despachado</v>
      </c>
      <c r="M25" s="56" t="s">
        <v>238</v>
      </c>
      <c r="N25" s="50" t="s">
        <v>444</v>
      </c>
      <c r="O25" s="150">
        <v>45666</v>
      </c>
      <c r="P25" s="151">
        <v>45667</v>
      </c>
      <c r="Q25" s="24" t="str">
        <f t="shared" si="1"/>
        <v>Entregado</v>
      </c>
      <c r="R25" s="25">
        <f>IF(L25="Despachado",NETWORKDAYS.INTL(A25,O25,11,Valores!$A$2:$A$18)-1,"PTE")</f>
        <v>1</v>
      </c>
      <c r="S25" s="25">
        <f>IF(Q25="Entregado",NETWORKDAYS.INTL(A25,P25,11,Valores!$A$2:$A$18)-1,"PTE")</f>
        <v>2</v>
      </c>
      <c r="T25" s="25"/>
      <c r="U25" s="25"/>
      <c r="V25" s="25" t="str">
        <f>IF(Q25="Entregado",IF(S25&lt;=VLOOKUP(K25,Valores!E:F,2,0),"Cumple","No cumple"),"PTE")</f>
        <v>Cumple</v>
      </c>
      <c r="W25" s="25"/>
      <c r="X25" s="29">
        <v>24093</v>
      </c>
      <c r="Y25" s="224"/>
      <c r="Z25" s="28"/>
    </row>
    <row r="26" spans="1:27" hidden="1" x14ac:dyDescent="0.3">
      <c r="A26" s="34">
        <v>45665</v>
      </c>
      <c r="B26" s="7" t="str">
        <f t="shared" si="2"/>
        <v>enero</v>
      </c>
      <c r="C26" s="27">
        <v>2386</v>
      </c>
      <c r="D26" s="23" t="s">
        <v>20</v>
      </c>
      <c r="E26" s="61" t="s">
        <v>331</v>
      </c>
      <c r="F26" s="40" t="s">
        <v>123</v>
      </c>
      <c r="G26" s="32" t="str">
        <f>IFERROR(VLOOKUP(F26,Productos!$A$2:$D$258,2,0)," ")</f>
        <v>Electric Standing Desk GO Negro</v>
      </c>
      <c r="H26" s="7">
        <v>1</v>
      </c>
      <c r="I26" s="32" t="str">
        <f>IFERROR(VLOOKUP(F26,Productos!$A$2:$D$258,3,0)," ")</f>
        <v>Standing Desk</v>
      </c>
      <c r="J26" s="62" t="s">
        <v>24</v>
      </c>
      <c r="K26" s="62" t="s">
        <v>25</v>
      </c>
      <c r="L26" s="26" t="str">
        <f t="shared" si="0"/>
        <v>Despachado</v>
      </c>
      <c r="M26" s="56" t="s">
        <v>238</v>
      </c>
      <c r="N26" s="50" t="s">
        <v>445</v>
      </c>
      <c r="O26" s="150">
        <v>45666</v>
      </c>
      <c r="P26" s="151">
        <v>45667</v>
      </c>
      <c r="Q26" s="24" t="str">
        <f t="shared" si="1"/>
        <v>Entregado</v>
      </c>
      <c r="R26" s="25">
        <f>IF(L26="Despachado",NETWORKDAYS.INTL(A26,O26,11,Valores!$A$2:$A$18)-1,"PTE")</f>
        <v>1</v>
      </c>
      <c r="S26" s="25">
        <f>IF(Q26="Entregado",NETWORKDAYS.INTL(A26,P26,11,Valores!$A$2:$A$18)-1,"PTE")</f>
        <v>2</v>
      </c>
      <c r="T26" s="25"/>
      <c r="U26" s="25"/>
      <c r="V26" s="25" t="str">
        <f>IF(Q26="Entregado",IF(S26&lt;=VLOOKUP(K26,Valores!E:F,2,0),"Cumple","No cumple"),"PTE")</f>
        <v>Cumple</v>
      </c>
      <c r="W26" s="25"/>
      <c r="X26" s="29">
        <v>41593</v>
      </c>
      <c r="Y26" s="224"/>
      <c r="Z26" s="28"/>
    </row>
    <row r="27" spans="1:27" hidden="1" x14ac:dyDescent="0.3">
      <c r="A27" s="34">
        <v>45665</v>
      </c>
      <c r="B27" s="7" t="str">
        <f t="shared" si="2"/>
        <v>enero</v>
      </c>
      <c r="C27" s="27">
        <v>2386</v>
      </c>
      <c r="D27" s="23" t="s">
        <v>20</v>
      </c>
      <c r="E27" s="61" t="s">
        <v>331</v>
      </c>
      <c r="F27" s="22" t="s">
        <v>301</v>
      </c>
      <c r="G27" s="32" t="str">
        <f>IFERROR(VLOOKUP(F27,Productos!$A$2:$D$258,2,0)," ")</f>
        <v>Superficie  Fresno Europeo 120x70 Clasico Small</v>
      </c>
      <c r="H27" s="7">
        <v>1</v>
      </c>
      <c r="I27" s="32" t="str">
        <f>IFERROR(VLOOKUP(F27,Productos!$A$2:$D$258,3,0)," ")</f>
        <v>Superficie</v>
      </c>
      <c r="J27" s="62" t="s">
        <v>24</v>
      </c>
      <c r="K27" s="62" t="s">
        <v>25</v>
      </c>
      <c r="L27" s="26" t="str">
        <f t="shared" si="0"/>
        <v>Despachado</v>
      </c>
      <c r="M27" s="56" t="s">
        <v>238</v>
      </c>
      <c r="N27" s="50" t="s">
        <v>446</v>
      </c>
      <c r="O27" s="150">
        <v>45666</v>
      </c>
      <c r="P27" s="151">
        <v>45668</v>
      </c>
      <c r="Q27" s="24" t="str">
        <f t="shared" si="1"/>
        <v>Entregado</v>
      </c>
      <c r="R27" s="25">
        <f>IF(L27="Despachado",NETWORKDAYS.INTL(A27,O27,11,Valores!$A$2:$A$18)-1,"PTE")</f>
        <v>1</v>
      </c>
      <c r="S27" s="25">
        <f>IF(Q27="Entregado",NETWORKDAYS.INTL(A27,P27,11,Valores!$A$2:$A$18)-1,"PTE")</f>
        <v>3</v>
      </c>
      <c r="T27" s="25"/>
      <c r="U27" s="25"/>
      <c r="V27" s="25" t="str">
        <f>IF(Q27="Entregado",IF(S27&lt;=VLOOKUP(K27,Valores!E:F,2,0),"Cumple","No cumple"),"PTE")</f>
        <v>Cumple</v>
      </c>
      <c r="W27" s="25"/>
      <c r="X27" s="29">
        <v>24093</v>
      </c>
      <c r="Y27" s="224"/>
      <c r="Z27" s="28"/>
    </row>
    <row r="28" spans="1:27" hidden="1" x14ac:dyDescent="0.3">
      <c r="A28" s="34">
        <v>45665</v>
      </c>
      <c r="B28" s="7" t="str">
        <f t="shared" si="2"/>
        <v>enero</v>
      </c>
      <c r="C28" s="27">
        <v>2387</v>
      </c>
      <c r="D28" s="23" t="s">
        <v>20</v>
      </c>
      <c r="E28" s="61" t="s">
        <v>282</v>
      </c>
      <c r="F28" s="40" t="s">
        <v>68</v>
      </c>
      <c r="G28" s="32" t="str">
        <f>IFERROR(VLOOKUP(F28,Productos!$A$2:$D$258,2,0)," ")</f>
        <v>Archivador TECU  Caramelo</v>
      </c>
      <c r="H28" s="7">
        <v>1</v>
      </c>
      <c r="I28" s="32" t="str">
        <f>IFERROR(VLOOKUP(F28,Productos!$A$2:$D$258,3,0)," ")</f>
        <v>Archivador</v>
      </c>
      <c r="J28" s="54" t="s">
        <v>21</v>
      </c>
      <c r="K28" s="54" t="s">
        <v>22</v>
      </c>
      <c r="L28" s="26" t="str">
        <f t="shared" si="0"/>
        <v>Despachado</v>
      </c>
      <c r="M28" s="56" t="s">
        <v>239</v>
      </c>
      <c r="N28" s="50" t="s">
        <v>447</v>
      </c>
      <c r="O28" s="150">
        <v>45665</v>
      </c>
      <c r="P28" s="151">
        <v>45666</v>
      </c>
      <c r="Q28" s="24" t="str">
        <f t="shared" si="1"/>
        <v>Entregado</v>
      </c>
      <c r="R28" s="25">
        <f>IF(L28="Despachado",NETWORKDAYS.INTL(A28,O28,11,Valores!$A$2:$A$18)-1,"PTE")</f>
        <v>0</v>
      </c>
      <c r="S28" s="25">
        <f>IF(Q28="Entregado",NETWORKDAYS.INTL(A28,P28,11,Valores!$A$2:$A$18)-1,"PTE")</f>
        <v>1</v>
      </c>
      <c r="T28" s="25"/>
      <c r="U28" s="25"/>
      <c r="V28" s="25" t="str">
        <f>IF(Q28="Entregado",IF(S28&lt;=VLOOKUP(K28,Valores!E:F,2,0),"Cumple","No cumple"),"PTE")</f>
        <v>Cumple</v>
      </c>
      <c r="W28" s="25"/>
      <c r="X28" s="29">
        <v>70717</v>
      </c>
      <c r="Y28" s="224"/>
      <c r="Z28" s="28"/>
    </row>
    <row r="29" spans="1:27" hidden="1" x14ac:dyDescent="0.3">
      <c r="A29" s="34">
        <v>45666</v>
      </c>
      <c r="B29" s="7" t="str">
        <f t="shared" si="2"/>
        <v>enero</v>
      </c>
      <c r="C29" s="27">
        <v>2388</v>
      </c>
      <c r="D29" s="23" t="s">
        <v>20</v>
      </c>
      <c r="E29" s="61" t="s">
        <v>332</v>
      </c>
      <c r="F29" s="40" t="s">
        <v>123</v>
      </c>
      <c r="G29" s="32" t="str">
        <f>IFERROR(VLOOKUP(F29,Productos!$A$2:$D$258,2,0)," ")</f>
        <v>Electric Standing Desk GO Negro</v>
      </c>
      <c r="H29" s="7">
        <v>1</v>
      </c>
      <c r="I29" s="32" t="str">
        <f>IFERROR(VLOOKUP(F29,Productos!$A$2:$D$258,3,0)," ")</f>
        <v>Standing Desk</v>
      </c>
      <c r="J29" s="62" t="s">
        <v>24</v>
      </c>
      <c r="K29" s="62" t="s">
        <v>217</v>
      </c>
      <c r="L29" s="26" t="str">
        <f t="shared" si="0"/>
        <v>Despachado</v>
      </c>
      <c r="M29" s="56" t="s">
        <v>238</v>
      </c>
      <c r="N29" s="50" t="s">
        <v>448</v>
      </c>
      <c r="O29" s="150">
        <v>45666</v>
      </c>
      <c r="P29" s="151">
        <v>45681</v>
      </c>
      <c r="Q29" s="24" t="str">
        <f t="shared" si="1"/>
        <v>Entregado</v>
      </c>
      <c r="R29" s="25">
        <f>IF(L29="Despachado",NETWORKDAYS.INTL(A29,O29,11,Valores!$A$2:$A$18)-1,"PTE")</f>
        <v>0</v>
      </c>
      <c r="S29" s="25">
        <f>IF(Q29="Entregado",NETWORKDAYS.INTL(A29,P29,11,Valores!$A$2:$A$18)-1,"PTE")</f>
        <v>13</v>
      </c>
      <c r="T29" s="25"/>
      <c r="U29" s="25"/>
      <c r="V29" s="25" t="str">
        <f>IF(Q29="Entregado",IF(S29&lt;=VLOOKUP(K29,Valores!E:F,2,0),"Cumple","No cumple"),"PTE")</f>
        <v>No cumple</v>
      </c>
      <c r="W29" s="25"/>
      <c r="X29" s="29">
        <v>112444</v>
      </c>
      <c r="Y29" s="224"/>
      <c r="Z29" s="28"/>
      <c r="AA29" s="120" t="s">
        <v>509</v>
      </c>
    </row>
    <row r="30" spans="1:27" hidden="1" x14ac:dyDescent="0.3">
      <c r="A30" s="34">
        <v>45666</v>
      </c>
      <c r="B30" s="7" t="str">
        <f t="shared" si="2"/>
        <v>enero</v>
      </c>
      <c r="C30" s="27">
        <v>2388</v>
      </c>
      <c r="D30" s="23" t="s">
        <v>20</v>
      </c>
      <c r="E30" s="61" t="s">
        <v>332</v>
      </c>
      <c r="F30" s="22" t="s">
        <v>143</v>
      </c>
      <c r="G30" s="32" t="str">
        <f>IFERROR(VLOOKUP(F30,Productos!$A$2:$D$258,2,0)," ")</f>
        <v>Superficie  Caramelo 160x70 Clasico</v>
      </c>
      <c r="H30" s="7">
        <v>1</v>
      </c>
      <c r="I30" s="32" t="str">
        <f>IFERROR(VLOOKUP(F30,Productos!$A$2:$D$258,3,0)," ")</f>
        <v>Superficie</v>
      </c>
      <c r="J30" s="62" t="s">
        <v>24</v>
      </c>
      <c r="K30" s="62" t="s">
        <v>217</v>
      </c>
      <c r="L30" s="26" t="str">
        <f t="shared" si="0"/>
        <v>Despachado</v>
      </c>
      <c r="M30" s="56" t="s">
        <v>238</v>
      </c>
      <c r="N30" s="50" t="s">
        <v>449</v>
      </c>
      <c r="O30" s="150">
        <v>45666</v>
      </c>
      <c r="P30" s="151">
        <v>45681</v>
      </c>
      <c r="Q30" s="24" t="str">
        <f t="shared" si="1"/>
        <v>Entregado</v>
      </c>
      <c r="R30" s="25">
        <f>IF(L30="Despachado",NETWORKDAYS.INTL(A30,O30,11,Valores!$A$2:$A$18)-1,"PTE")</f>
        <v>0</v>
      </c>
      <c r="S30" s="25">
        <f>IF(Q30="Entregado",NETWORKDAYS.INTL(A30,P30,11,Valores!$A$2:$A$18)-1,"PTE")</f>
        <v>13</v>
      </c>
      <c r="T30" s="25"/>
      <c r="U30" s="25"/>
      <c r="V30" s="25" t="str">
        <f>IF(Q30="Entregado",IF(S30&lt;=VLOOKUP(K30,Valores!E:F,2,0),"Cumple","No cumple"),"PTE")</f>
        <v>No cumple</v>
      </c>
      <c r="W30" s="25"/>
      <c r="X30" s="29">
        <v>98264</v>
      </c>
      <c r="Y30" s="224"/>
      <c r="Z30" s="28"/>
      <c r="AA30" s="120" t="s">
        <v>509</v>
      </c>
    </row>
    <row r="31" spans="1:27" hidden="1" x14ac:dyDescent="0.3">
      <c r="A31" s="34">
        <v>45666</v>
      </c>
      <c r="B31" s="7" t="str">
        <f t="shared" si="2"/>
        <v>enero</v>
      </c>
      <c r="C31" s="27">
        <v>2389</v>
      </c>
      <c r="D31" s="23" t="s">
        <v>20</v>
      </c>
      <c r="E31" s="61" t="s">
        <v>333</v>
      </c>
      <c r="F31" s="22" t="s">
        <v>57</v>
      </c>
      <c r="G31" s="32" t="str">
        <f>IFERROR(VLOOKUP(F31,Productos!$A$2:$D$258,2,0)," ")</f>
        <v>Electric Standing Desk  En L Frame Negro 2.0</v>
      </c>
      <c r="H31" s="7">
        <v>1</v>
      </c>
      <c r="I31" s="32" t="str">
        <f>IFERROR(VLOOKUP(F31,Productos!$A$2:$D$258,3,0)," ")</f>
        <v>Standing Desk</v>
      </c>
      <c r="J31" s="62" t="s">
        <v>192</v>
      </c>
      <c r="K31" s="62" t="s">
        <v>191</v>
      </c>
      <c r="L31" s="26" t="str">
        <f t="shared" si="0"/>
        <v>Despachado</v>
      </c>
      <c r="M31" s="56" t="s">
        <v>238</v>
      </c>
      <c r="N31" s="50" t="s">
        <v>450</v>
      </c>
      <c r="O31" s="150">
        <v>45667</v>
      </c>
      <c r="P31" s="151">
        <v>45670</v>
      </c>
      <c r="Q31" s="24" t="str">
        <f t="shared" si="1"/>
        <v>Entregado</v>
      </c>
      <c r="R31" s="25">
        <f>IF(L31="Despachado",NETWORKDAYS.INTL(A31,O31,11,Valores!$A$2:$A$18)-1,"PTE")</f>
        <v>1</v>
      </c>
      <c r="S31" s="25">
        <f>IF(Q31="Entregado",NETWORKDAYS.INTL(A31,P31,11,Valores!$A$2:$A$18)-1,"PTE")</f>
        <v>3</v>
      </c>
      <c r="T31" s="25"/>
      <c r="U31" s="25"/>
      <c r="V31" s="25" t="str">
        <f>IF(Q31="Entregado",IF(S31&lt;=VLOOKUP(K31,Valores!E:F,2,0),"Cumple","No cumple"),"PTE")</f>
        <v>Cumple</v>
      </c>
      <c r="W31" s="25"/>
      <c r="X31" s="29">
        <v>96409</v>
      </c>
      <c r="Y31" s="224"/>
      <c r="Z31" s="28"/>
    </row>
    <row r="32" spans="1:27" hidden="1" x14ac:dyDescent="0.3">
      <c r="A32" s="34">
        <v>45666</v>
      </c>
      <c r="B32" s="7" t="str">
        <f t="shared" si="2"/>
        <v>enero</v>
      </c>
      <c r="C32" s="27">
        <v>2389</v>
      </c>
      <c r="D32" s="23" t="s">
        <v>20</v>
      </c>
      <c r="E32" s="61" t="s">
        <v>333</v>
      </c>
      <c r="F32" s="40" t="s">
        <v>61</v>
      </c>
      <c r="G32" s="32" t="str">
        <f>IFERROR(VLOOKUP(F32,Productos!$A$2:$D$258,2,0)," ")</f>
        <v>Superficie  en L Negro 180x150cm x 70</v>
      </c>
      <c r="H32" s="7">
        <v>1</v>
      </c>
      <c r="I32" s="32" t="str">
        <f>IFERROR(VLOOKUP(F32,Productos!$A$2:$D$258,3,0)," ")</f>
        <v>Superficie</v>
      </c>
      <c r="J32" s="62" t="s">
        <v>192</v>
      </c>
      <c r="K32" s="62" t="s">
        <v>191</v>
      </c>
      <c r="L32" s="26" t="str">
        <f t="shared" si="0"/>
        <v>Despachado</v>
      </c>
      <c r="M32" s="56" t="s">
        <v>238</v>
      </c>
      <c r="N32" s="50" t="s">
        <v>451</v>
      </c>
      <c r="O32" s="150">
        <v>45667</v>
      </c>
      <c r="P32" s="151">
        <v>45670</v>
      </c>
      <c r="Q32" s="24" t="str">
        <f t="shared" si="1"/>
        <v>Entregado</v>
      </c>
      <c r="R32" s="25">
        <f>IF(L32="Despachado",NETWORKDAYS.INTL(A32,O32,11,Valores!$A$2:$A$18)-1,"PTE")</f>
        <v>1</v>
      </c>
      <c r="S32" s="25">
        <f>IF(Q32="Entregado",NETWORKDAYS.INTL(A32,P32,11,Valores!$A$2:$A$18)-1,"PTE")</f>
        <v>3</v>
      </c>
      <c r="T32" s="25"/>
      <c r="U32" s="25"/>
      <c r="V32" s="25" t="str">
        <f>IF(Q32="Entregado",IF(S32&lt;=VLOOKUP(K32,Valores!E:F,2,0),"Cumple","No cumple"),"PTE")</f>
        <v>Cumple</v>
      </c>
      <c r="W32" s="25"/>
      <c r="X32" s="29">
        <v>44340</v>
      </c>
      <c r="Y32" s="224"/>
      <c r="Z32" s="28"/>
    </row>
    <row r="33" spans="1:26" hidden="1" x14ac:dyDescent="0.3">
      <c r="A33" s="34">
        <v>45666</v>
      </c>
      <c r="B33" s="7" t="str">
        <f t="shared" si="2"/>
        <v>enero</v>
      </c>
      <c r="C33" s="27">
        <v>2390</v>
      </c>
      <c r="D33" s="23" t="s">
        <v>20</v>
      </c>
      <c r="E33" s="61" t="s">
        <v>333</v>
      </c>
      <c r="F33" s="22" t="s">
        <v>240</v>
      </c>
      <c r="G33" s="32" t="str">
        <f>IFERROR(VLOOKUP(F33,Productos!$A$2:$D$258,2,0)," ")</f>
        <v>Bandeja de cables</v>
      </c>
      <c r="H33" s="7">
        <v>1</v>
      </c>
      <c r="I33" s="32" t="str">
        <f>IFERROR(VLOOKUP(F33,Productos!$A$2:$D$258,3,0)," ")</f>
        <v>Accesorio</v>
      </c>
      <c r="J33" s="62" t="s">
        <v>192</v>
      </c>
      <c r="K33" s="62" t="s">
        <v>191</v>
      </c>
      <c r="L33" s="26" t="str">
        <f t="shared" si="0"/>
        <v>Despachado</v>
      </c>
      <c r="M33" s="56" t="s">
        <v>238</v>
      </c>
      <c r="N33" s="51" t="s">
        <v>454</v>
      </c>
      <c r="O33" s="150">
        <v>45667</v>
      </c>
      <c r="P33" s="151">
        <v>45670</v>
      </c>
      <c r="Q33" s="24" t="str">
        <f t="shared" si="1"/>
        <v>Entregado</v>
      </c>
      <c r="R33" s="25">
        <f>IF(L33="Despachado",NETWORKDAYS.INTL(A33,O33,11,Valores!$A$2:$A$18)-1,"PTE")</f>
        <v>1</v>
      </c>
      <c r="S33" s="25">
        <f>IF(Q33="Entregado",NETWORKDAYS.INTL(A33,P33,11,Valores!$A$2:$A$18)-1,"PTE")</f>
        <v>3</v>
      </c>
      <c r="T33" s="25"/>
      <c r="U33" s="25"/>
      <c r="V33" s="25" t="str">
        <f>IF(Q33="Entregado",IF(S33&lt;=VLOOKUP(K33,Valores!E:F,2,0),"Cumple","No cumple"),"PTE")</f>
        <v>Cumple</v>
      </c>
      <c r="W33" s="25"/>
      <c r="X33" s="29"/>
      <c r="Y33" s="224"/>
      <c r="Z33" s="28"/>
    </row>
    <row r="34" spans="1:26" hidden="1" x14ac:dyDescent="0.3">
      <c r="A34" s="34">
        <v>45666</v>
      </c>
      <c r="B34" s="7" t="str">
        <f t="shared" si="2"/>
        <v>enero</v>
      </c>
      <c r="C34" s="27">
        <v>2390</v>
      </c>
      <c r="D34" s="23" t="s">
        <v>20</v>
      </c>
      <c r="E34" s="61" t="s">
        <v>333</v>
      </c>
      <c r="F34" s="40" t="s">
        <v>83</v>
      </c>
      <c r="G34" s="32" t="str">
        <f>IFERROR(VLOOKUP(F34,Productos!$A$2:$D$258,2,0)," ")</f>
        <v>Desk Pad B Negro Azul</v>
      </c>
      <c r="H34" s="7">
        <v>1</v>
      </c>
      <c r="I34" s="32" t="str">
        <f>IFERROR(VLOOKUP(F34,Productos!$A$2:$D$258,3,0)," ")</f>
        <v>Accesorio</v>
      </c>
      <c r="J34" s="62" t="s">
        <v>192</v>
      </c>
      <c r="K34" s="62" t="s">
        <v>191</v>
      </c>
      <c r="L34" s="26" t="str">
        <f t="shared" si="0"/>
        <v>Despachado</v>
      </c>
      <c r="M34" s="56" t="s">
        <v>238</v>
      </c>
      <c r="N34" s="50" t="s">
        <v>453</v>
      </c>
      <c r="O34" s="150">
        <v>45667</v>
      </c>
      <c r="P34" s="151">
        <v>45670</v>
      </c>
      <c r="Q34" s="24" t="str">
        <f t="shared" si="1"/>
        <v>Entregado</v>
      </c>
      <c r="R34" s="25">
        <f>IF(L34="Despachado",NETWORKDAYS.INTL(A34,O34,11,Valores!$A$2:$A$18)-1,"PTE")</f>
        <v>1</v>
      </c>
      <c r="S34" s="25">
        <f>IF(Q34="Entregado",NETWORKDAYS.INTL(A34,P34,11,Valores!$A$2:$A$18)-1,"PTE")</f>
        <v>3</v>
      </c>
      <c r="T34" s="25"/>
      <c r="U34" s="25"/>
      <c r="V34" s="25" t="str">
        <f>IF(Q34="Entregado",IF(S34&lt;=VLOOKUP(K34,Valores!E:F,2,0),"Cumple","No cumple"),"PTE")</f>
        <v>Cumple</v>
      </c>
      <c r="W34" s="25"/>
      <c r="X34" s="29">
        <v>16617</v>
      </c>
      <c r="Y34" s="224"/>
      <c r="Z34" s="28"/>
    </row>
    <row r="35" spans="1:26" hidden="1" x14ac:dyDescent="0.3">
      <c r="A35" s="34">
        <v>45666</v>
      </c>
      <c r="B35" s="7" t="str">
        <f t="shared" si="2"/>
        <v>enero</v>
      </c>
      <c r="C35" s="27">
        <v>2390</v>
      </c>
      <c r="D35" s="23" t="s">
        <v>20</v>
      </c>
      <c r="E35" s="61" t="s">
        <v>333</v>
      </c>
      <c r="F35" s="40" t="s">
        <v>87</v>
      </c>
      <c r="G35" s="32" t="str">
        <f>IFERROR(VLOOKUP(F35,Productos!$A$2:$D$258,2,0)," ")</f>
        <v>Desk Stool Negra Silla ajustable</v>
      </c>
      <c r="H35" s="7">
        <v>1</v>
      </c>
      <c r="I35" s="32" t="str">
        <f>IFERROR(VLOOKUP(F35,Productos!$A$2:$D$258,3,0)," ")</f>
        <v>Silla</v>
      </c>
      <c r="J35" s="62" t="s">
        <v>192</v>
      </c>
      <c r="K35" s="62" t="s">
        <v>191</v>
      </c>
      <c r="L35" s="26" t="str">
        <f t="shared" si="0"/>
        <v>Despachado</v>
      </c>
      <c r="M35" s="56" t="s">
        <v>238</v>
      </c>
      <c r="N35" s="50" t="s">
        <v>452</v>
      </c>
      <c r="O35" s="150">
        <v>45667</v>
      </c>
      <c r="P35" s="151">
        <v>45670</v>
      </c>
      <c r="Q35" s="24" t="str">
        <f t="shared" si="1"/>
        <v>Entregado</v>
      </c>
      <c r="R35" s="25">
        <f>IF(L35="Despachado",NETWORKDAYS.INTL(A35,O35,11,Valores!$A$2:$A$18)-1,"PTE")</f>
        <v>1</v>
      </c>
      <c r="S35" s="25">
        <f>IF(Q35="Entregado",NETWORKDAYS.INTL(A35,P35,11,Valores!$A$2:$A$18)-1,"PTE")</f>
        <v>3</v>
      </c>
      <c r="T35" s="25"/>
      <c r="U35" s="25"/>
      <c r="V35" s="25" t="str">
        <f>IF(Q35="Entregado",IF(S35&lt;=VLOOKUP(K35,Valores!E:F,2,0),"Cumple","No cumple"),"PTE")</f>
        <v>Cumple</v>
      </c>
      <c r="W35" s="25"/>
      <c r="X35" s="29">
        <v>40942</v>
      </c>
      <c r="Y35" s="224"/>
      <c r="Z35" s="28"/>
    </row>
    <row r="36" spans="1:26" hidden="1" x14ac:dyDescent="0.3">
      <c r="A36" s="34">
        <v>45666</v>
      </c>
      <c r="B36" s="7" t="str">
        <f t="shared" si="2"/>
        <v>enero</v>
      </c>
      <c r="C36" s="27">
        <v>2390</v>
      </c>
      <c r="D36" s="23" t="s">
        <v>20</v>
      </c>
      <c r="E36" s="61" t="s">
        <v>333</v>
      </c>
      <c r="F36" s="22" t="s">
        <v>72</v>
      </c>
      <c r="G36" s="32" t="str">
        <f>IFERROR(VLOOKUP(F36,Productos!$A$2:$D$258,2,0)," ")</f>
        <v>Repisa Negro</v>
      </c>
      <c r="H36" s="7">
        <v>1</v>
      </c>
      <c r="I36" s="32" t="str">
        <f>IFERROR(VLOOKUP(F36,Productos!$A$2:$D$258,3,0)," ")</f>
        <v>Repisa</v>
      </c>
      <c r="J36" s="62" t="s">
        <v>192</v>
      </c>
      <c r="K36" s="62" t="s">
        <v>191</v>
      </c>
      <c r="L36" s="26" t="str">
        <f t="shared" si="0"/>
        <v>Despachado</v>
      </c>
      <c r="M36" s="56" t="s">
        <v>238</v>
      </c>
      <c r="N36" s="118" t="s">
        <v>241</v>
      </c>
      <c r="O36" s="150">
        <v>45667</v>
      </c>
      <c r="P36" s="151">
        <v>45670</v>
      </c>
      <c r="Q36" s="24" t="str">
        <f t="shared" si="1"/>
        <v>Entregado</v>
      </c>
      <c r="R36" s="25">
        <f>IF(L36="Despachado",NETWORKDAYS.INTL(A36,O36,11,Valores!$A$2:$A$18)-1,"PTE")</f>
        <v>1</v>
      </c>
      <c r="S36" s="25">
        <f>IF(Q36="Entregado",NETWORKDAYS.INTL(A36,P36,11,Valores!$A$2:$A$18)-1,"PTE")</f>
        <v>3</v>
      </c>
      <c r="T36" s="25"/>
      <c r="U36" s="25"/>
      <c r="V36" s="25" t="str">
        <f>IF(Q36="Entregado",IF(S36&lt;=VLOOKUP(K36,Valores!E:F,2,0),"Cumple","No cumple"),"PTE")</f>
        <v>Cumple</v>
      </c>
      <c r="W36" s="25"/>
      <c r="X36" s="29"/>
      <c r="Y36" s="224"/>
      <c r="Z36" s="28"/>
    </row>
    <row r="37" spans="1:26" hidden="1" x14ac:dyDescent="0.3">
      <c r="A37" s="34">
        <v>45666</v>
      </c>
      <c r="B37" s="7" t="str">
        <f t="shared" si="2"/>
        <v>enero</v>
      </c>
      <c r="C37" s="27">
        <v>2391</v>
      </c>
      <c r="D37" s="23" t="s">
        <v>20</v>
      </c>
      <c r="E37" s="61" t="s">
        <v>333</v>
      </c>
      <c r="F37" s="22" t="s">
        <v>240</v>
      </c>
      <c r="G37" s="32" t="str">
        <f>IFERROR(VLOOKUP(F37,Productos!$A$2:$D$258,2,0)," ")</f>
        <v>Bandeja de cables</v>
      </c>
      <c r="H37" s="7">
        <v>1</v>
      </c>
      <c r="I37" s="32" t="str">
        <f>IFERROR(VLOOKUP(F37,Productos!$A$2:$D$258,3,0)," ")</f>
        <v>Accesorio</v>
      </c>
      <c r="J37" s="62" t="s">
        <v>192</v>
      </c>
      <c r="K37" s="62" t="s">
        <v>191</v>
      </c>
      <c r="L37" s="26" t="str">
        <f t="shared" si="0"/>
        <v>Despachado</v>
      </c>
      <c r="M37" s="56" t="s">
        <v>238</v>
      </c>
      <c r="N37" s="51" t="s">
        <v>454</v>
      </c>
      <c r="O37" s="150">
        <v>45667</v>
      </c>
      <c r="P37" s="151">
        <v>45670</v>
      </c>
      <c r="Q37" s="24" t="str">
        <f t="shared" si="1"/>
        <v>Entregado</v>
      </c>
      <c r="R37" s="25">
        <f>IF(L37="Despachado",NETWORKDAYS.INTL(A37,O37,11,Valores!$A$2:$A$18)-1,"PTE")</f>
        <v>1</v>
      </c>
      <c r="S37" s="25">
        <f>IF(Q37="Entregado",NETWORKDAYS.INTL(A37,P37,11,Valores!$A$2:$A$18)-1,"PTE")</f>
        <v>3</v>
      </c>
      <c r="T37" s="25"/>
      <c r="U37" s="25"/>
      <c r="V37" s="25" t="str">
        <f>IF(Q37="Entregado",IF(S37&lt;=VLOOKUP(K37,Valores!E:F,2,0),"Cumple","No cumple"),"PTE")</f>
        <v>Cumple</v>
      </c>
      <c r="W37" s="25"/>
      <c r="X37" s="29">
        <v>24885</v>
      </c>
      <c r="Y37" s="224"/>
      <c r="Z37" s="28"/>
    </row>
    <row r="38" spans="1:26" hidden="1" x14ac:dyDescent="0.3">
      <c r="A38" s="34">
        <v>45667</v>
      </c>
      <c r="B38" s="7" t="str">
        <f t="shared" si="2"/>
        <v>enero</v>
      </c>
      <c r="C38" s="27">
        <v>2392</v>
      </c>
      <c r="D38" s="23" t="s">
        <v>20</v>
      </c>
      <c r="E38" s="61" t="s">
        <v>334</v>
      </c>
      <c r="F38" s="40" t="s">
        <v>129</v>
      </c>
      <c r="G38" s="32" t="str">
        <f>IFERROR(VLOOKUP(F38,Productos!$A$2:$D$258,2,0)," ")</f>
        <v>Electric Standing Desk  PRO Negro</v>
      </c>
      <c r="H38" s="7">
        <v>1</v>
      </c>
      <c r="I38" s="32" t="str">
        <f>IFERROR(VLOOKUP(F38,Productos!$A$2:$D$258,3,0)," ")</f>
        <v>Standing Desk</v>
      </c>
      <c r="J38" s="62" t="s">
        <v>24</v>
      </c>
      <c r="K38" s="62" t="s">
        <v>25</v>
      </c>
      <c r="L38" s="26" t="str">
        <f t="shared" si="0"/>
        <v>Despachado</v>
      </c>
      <c r="M38" s="56" t="s">
        <v>238</v>
      </c>
      <c r="N38" s="51" t="s">
        <v>455</v>
      </c>
      <c r="O38" s="150">
        <v>45670.699618055558</v>
      </c>
      <c r="P38" s="151">
        <v>45671.644317129627</v>
      </c>
      <c r="Q38" s="24" t="str">
        <f t="shared" si="1"/>
        <v>Entregado</v>
      </c>
      <c r="R38" s="25">
        <f>IF(L38="Despachado",NETWORKDAYS.INTL(A38,O38,11,Valores!$A$2:$A$18)-1,"PTE")</f>
        <v>2</v>
      </c>
      <c r="S38" s="25">
        <f>IF(Q38="Entregado",NETWORKDAYS.INTL(A38,P38,11,Valores!$A$2:$A$18)-1,"PTE")</f>
        <v>3</v>
      </c>
      <c r="T38" s="25"/>
      <c r="U38" s="25"/>
      <c r="V38" s="25" t="str">
        <f>IF(Q38="Entregado",IF(S38&lt;=VLOOKUP(K38,Valores!E:F,2,0),"Cumple","No cumple"),"PTE")</f>
        <v>Cumple</v>
      </c>
      <c r="W38" s="25"/>
      <c r="X38" s="29">
        <f>VLOOKUP(N38,[1]Hoja1!$G:$BE,39,0)</f>
        <v>42921</v>
      </c>
      <c r="Y38" s="224"/>
      <c r="Z38" s="28"/>
    </row>
    <row r="39" spans="1:26" hidden="1" x14ac:dyDescent="0.3">
      <c r="A39" s="34">
        <v>45667</v>
      </c>
      <c r="B39" s="7" t="str">
        <f t="shared" si="2"/>
        <v>enero</v>
      </c>
      <c r="C39" s="27">
        <v>2392</v>
      </c>
      <c r="D39" s="23" t="s">
        <v>20</v>
      </c>
      <c r="E39" s="61" t="s">
        <v>334</v>
      </c>
      <c r="F39" s="22" t="s">
        <v>33</v>
      </c>
      <c r="G39" s="32" t="str">
        <f>IFERROR(VLOOKUP(F39,Productos!$A$2:$D$258,2,0)," ")</f>
        <v>Superficie  Caramelo 180x70 Clasico</v>
      </c>
      <c r="H39" s="7">
        <v>1</v>
      </c>
      <c r="I39" s="32" t="str">
        <f>IFERROR(VLOOKUP(F39,Productos!$A$2:$D$258,3,0)," ")</f>
        <v>Superficie</v>
      </c>
      <c r="J39" s="62" t="s">
        <v>24</v>
      </c>
      <c r="K39" s="62" t="s">
        <v>25</v>
      </c>
      <c r="L39" s="26" t="str">
        <f t="shared" si="0"/>
        <v>Despachado</v>
      </c>
      <c r="M39" s="56" t="s">
        <v>238</v>
      </c>
      <c r="N39" s="51" t="s">
        <v>456</v>
      </c>
      <c r="O39" s="150">
        <v>45670.700312499997</v>
      </c>
      <c r="P39" s="151">
        <v>45671.644317129627</v>
      </c>
      <c r="Q39" s="24" t="str">
        <f t="shared" si="1"/>
        <v>Entregado</v>
      </c>
      <c r="R39" s="25">
        <f>IF(L39="Despachado",NETWORKDAYS.INTL(A39,O39,11,Valores!$A$2:$A$18)-1,"PTE")</f>
        <v>2</v>
      </c>
      <c r="S39" s="25">
        <f>IF(Q39="Entregado",NETWORKDAYS.INTL(A39,P39,11,Valores!$A$2:$A$18)-1,"PTE")</f>
        <v>3</v>
      </c>
      <c r="T39" s="25"/>
      <c r="U39" s="25"/>
      <c r="V39" s="25" t="str">
        <f>IF(Q39="Entregado",IF(S39&lt;=VLOOKUP(K39,Valores!E:F,2,0),"Cumple","No cumple"),"PTE")</f>
        <v>Cumple</v>
      </c>
      <c r="W39" s="25"/>
      <c r="X39" s="29">
        <f>VLOOKUP(N39,[1]Hoja1!$G:$BE,39,0)</f>
        <v>26749</v>
      </c>
      <c r="Y39" s="224"/>
      <c r="Z39" s="28"/>
    </row>
    <row r="40" spans="1:26" hidden="1" x14ac:dyDescent="0.3">
      <c r="A40" s="34">
        <v>45667</v>
      </c>
      <c r="B40" s="7" t="str">
        <f t="shared" si="2"/>
        <v>enero</v>
      </c>
      <c r="C40" s="27">
        <v>2392</v>
      </c>
      <c r="D40" s="23" t="s">
        <v>20</v>
      </c>
      <c r="E40" s="61" t="s">
        <v>334</v>
      </c>
      <c r="F40" s="22" t="s">
        <v>240</v>
      </c>
      <c r="G40" s="32" t="str">
        <f>IFERROR(VLOOKUP(F40,Productos!$A$2:$D$258,2,0)," ")</f>
        <v>Bandeja de cables</v>
      </c>
      <c r="H40" s="7">
        <v>1</v>
      </c>
      <c r="I40" s="32" t="str">
        <f>IFERROR(VLOOKUP(F40,Productos!$A$2:$D$258,3,0)," ")</f>
        <v>Accesorio</v>
      </c>
      <c r="J40" s="62" t="s">
        <v>24</v>
      </c>
      <c r="K40" s="62" t="s">
        <v>25</v>
      </c>
      <c r="L40" s="26" t="str">
        <f t="shared" si="0"/>
        <v>Despachado</v>
      </c>
      <c r="M40" s="56" t="s">
        <v>238</v>
      </c>
      <c r="N40" s="51" t="s">
        <v>457</v>
      </c>
      <c r="O40" s="150">
        <v>45670.699618055558</v>
      </c>
      <c r="P40" s="151">
        <v>45671.644317129627</v>
      </c>
      <c r="Q40" s="24" t="str">
        <f t="shared" si="1"/>
        <v>Entregado</v>
      </c>
      <c r="R40" s="25">
        <f>IF(L40="Despachado",NETWORKDAYS.INTL(A40,O40,11,Valores!$A$2:$A$18)-1,"PTE")</f>
        <v>2</v>
      </c>
      <c r="S40" s="25">
        <f>IF(Q40="Entregado",NETWORKDAYS.INTL(A40,P40,11,Valores!$A$2:$A$18)-1,"PTE")</f>
        <v>3</v>
      </c>
      <c r="T40" s="25"/>
      <c r="U40" s="25"/>
      <c r="V40" s="25" t="str">
        <f>IF(Q40="Entregado",IF(S40&lt;=VLOOKUP(K40,Valores!E:F,2,0),"Cumple","No cumple"),"PTE")</f>
        <v>Cumple</v>
      </c>
      <c r="W40" s="25"/>
      <c r="X40" s="29">
        <f>VLOOKUP(N40,[1]Hoja1!$G:$BE,39,0)</f>
        <v>24885</v>
      </c>
      <c r="Y40" s="224"/>
      <c r="Z40" s="28"/>
    </row>
    <row r="41" spans="1:26" hidden="1" x14ac:dyDescent="0.3">
      <c r="A41" s="34">
        <v>45668</v>
      </c>
      <c r="B41" s="7" t="str">
        <f t="shared" si="2"/>
        <v>enero</v>
      </c>
      <c r="C41" s="27">
        <v>2393</v>
      </c>
      <c r="D41" s="23" t="s">
        <v>20</v>
      </c>
      <c r="E41" s="61" t="s">
        <v>335</v>
      </c>
      <c r="F41" s="40" t="s">
        <v>123</v>
      </c>
      <c r="G41" s="32" t="str">
        <f>IFERROR(VLOOKUP(F41,Productos!$A$2:$D$258,2,0)," ")</f>
        <v>Electric Standing Desk GO Negro</v>
      </c>
      <c r="H41" s="7">
        <v>1</v>
      </c>
      <c r="I41" s="32" t="str">
        <f>IFERROR(VLOOKUP(F41,Productos!$A$2:$D$258,3,0)," ")</f>
        <v>Standing Desk</v>
      </c>
      <c r="J41" s="62" t="s">
        <v>24</v>
      </c>
      <c r="K41" s="128" t="s">
        <v>27</v>
      </c>
      <c r="L41" s="26" t="str">
        <f t="shared" si="0"/>
        <v>Despachado</v>
      </c>
      <c r="M41" s="56" t="s">
        <v>238</v>
      </c>
      <c r="N41" s="51" t="s">
        <v>458</v>
      </c>
      <c r="O41" s="150">
        <v>45670.699618055558</v>
      </c>
      <c r="P41" s="151">
        <v>45671.411006944443</v>
      </c>
      <c r="Q41" s="24" t="str">
        <f t="shared" si="1"/>
        <v>Entregado</v>
      </c>
      <c r="R41" s="25">
        <f>IF(L41="Despachado",NETWORKDAYS.INTL(A41,O41,11,Valores!$A$2:$A$18)-1,"PTE")</f>
        <v>1</v>
      </c>
      <c r="S41" s="25">
        <f>IF(Q41="Entregado",NETWORKDAYS.INTL(A41,P41,11,Valores!$A$2:$A$18)-1,"PTE")</f>
        <v>2</v>
      </c>
      <c r="T41" s="25"/>
      <c r="U41" s="25"/>
      <c r="V41" s="25" t="str">
        <f>IF(Q41="Entregado",IF(S41&lt;=VLOOKUP(K41,Valores!E:F,2,0),"Cumple","No cumple"),"PTE")</f>
        <v>Cumple</v>
      </c>
      <c r="W41" s="25"/>
      <c r="X41" s="29">
        <f>VLOOKUP(N41,[1]Hoja1!$G:$BE,39,0)</f>
        <v>41593</v>
      </c>
      <c r="Y41" s="224"/>
      <c r="Z41" s="28"/>
    </row>
    <row r="42" spans="1:26" hidden="1" x14ac:dyDescent="0.3">
      <c r="A42" s="34">
        <v>45668</v>
      </c>
      <c r="B42" s="7" t="str">
        <f t="shared" si="2"/>
        <v>enero</v>
      </c>
      <c r="C42" s="27">
        <v>2393</v>
      </c>
      <c r="D42" s="23" t="s">
        <v>20</v>
      </c>
      <c r="E42" s="61" t="s">
        <v>335</v>
      </c>
      <c r="F42" s="22"/>
      <c r="G42" s="32" t="s">
        <v>1796</v>
      </c>
      <c r="H42" s="7">
        <v>1</v>
      </c>
      <c r="I42" s="32" t="s">
        <v>327</v>
      </c>
      <c r="J42" s="62" t="s">
        <v>24</v>
      </c>
      <c r="K42" s="128" t="s">
        <v>27</v>
      </c>
      <c r="L42" s="26" t="s">
        <v>327</v>
      </c>
      <c r="M42" s="56" t="s">
        <v>241</v>
      </c>
      <c r="N42" s="118" t="s">
        <v>241</v>
      </c>
      <c r="O42" s="150" t="s">
        <v>241</v>
      </c>
      <c r="P42" s="150" t="s">
        <v>241</v>
      </c>
      <c r="Q42" s="24" t="str">
        <f t="shared" si="1"/>
        <v>Entregado</v>
      </c>
      <c r="R42" s="25" t="str">
        <f>IF(L42="Despachado",NETWORKDAYS.INTL(A42,O42,11,Valores!$A$2:$A$18)-1,"PTE")</f>
        <v>PTE</v>
      </c>
      <c r="S42" s="25" t="e">
        <f>IF(Q42="Entregado",NETWORKDAYS.INTL(A42,P42,11,Valores!$A$2:$A$18)-1,"PTE")</f>
        <v>#VALUE!</v>
      </c>
      <c r="T42" s="25"/>
      <c r="U42" s="25"/>
      <c r="V42" s="25" t="e">
        <f>IF(Q42="Entregado",IF(S42&lt;=VLOOKUP(K42,Valores!E:F,2,0),"Cumple","No cumple"),"PTE")</f>
        <v>#VALUE!</v>
      </c>
      <c r="W42" s="25"/>
      <c r="X42" s="29">
        <v>0</v>
      </c>
      <c r="Y42" s="224"/>
      <c r="Z42" s="28"/>
    </row>
    <row r="43" spans="1:26" hidden="1" x14ac:dyDescent="0.3">
      <c r="A43" s="34">
        <v>45669</v>
      </c>
      <c r="B43" s="7" t="str">
        <f t="shared" si="2"/>
        <v>enero</v>
      </c>
      <c r="C43" s="27">
        <v>2394</v>
      </c>
      <c r="D43" s="23" t="s">
        <v>20</v>
      </c>
      <c r="E43" s="61" t="s">
        <v>336</v>
      </c>
      <c r="F43" s="22" t="s">
        <v>129</v>
      </c>
      <c r="G43" s="32" t="str">
        <f>IFERROR(VLOOKUP(F43,Productos!$A$2:$D$258,2,0)," ")</f>
        <v>Electric Standing Desk  PRO Negro</v>
      </c>
      <c r="H43" s="7">
        <v>1</v>
      </c>
      <c r="I43" s="32" t="str">
        <f>IFERROR(VLOOKUP(F43,Productos!$A$2:$D$258,3,0)," ")</f>
        <v>Standing Desk</v>
      </c>
      <c r="J43" s="62" t="s">
        <v>24</v>
      </c>
      <c r="K43" s="128" t="s">
        <v>27</v>
      </c>
      <c r="L43" s="26" t="str">
        <f t="shared" si="0"/>
        <v>Despachado</v>
      </c>
      <c r="M43" s="56" t="s">
        <v>238</v>
      </c>
      <c r="N43" s="51" t="s">
        <v>459</v>
      </c>
      <c r="O43" s="150">
        <v>45670.699618055558</v>
      </c>
      <c r="P43" s="151">
        <v>45671.477326388893</v>
      </c>
      <c r="Q43" s="24" t="str">
        <f t="shared" si="1"/>
        <v>Entregado</v>
      </c>
      <c r="R43" s="25">
        <f>IF(L43="Despachado",NETWORKDAYS.INTL(A43,O43,11,Valores!$A$2:$A$18)-1,"PTE")</f>
        <v>0</v>
      </c>
      <c r="S43" s="25">
        <f>IF(Q43="Entregado",NETWORKDAYS.INTL(A43,P43,11,Valores!$A$2:$A$18)-1,"PTE")</f>
        <v>1</v>
      </c>
      <c r="T43" s="25"/>
      <c r="U43" s="25"/>
      <c r="V43" s="25" t="str">
        <f>IF(Q43="Entregado",IF(S43&lt;=VLOOKUP(K43,Valores!E:F,2,0),"Cumple","No cumple"),"PTE")</f>
        <v>Cumple</v>
      </c>
      <c r="W43" s="25"/>
      <c r="X43" s="29">
        <f>VLOOKUP(N43,[1]Hoja1!$G:$BE,39,0)</f>
        <v>42921</v>
      </c>
      <c r="Y43" s="224"/>
      <c r="Z43" s="28"/>
    </row>
    <row r="44" spans="1:26" hidden="1" x14ac:dyDescent="0.3">
      <c r="A44" s="34">
        <v>45669</v>
      </c>
      <c r="B44" s="7" t="str">
        <f t="shared" si="2"/>
        <v>enero</v>
      </c>
      <c r="C44" s="27">
        <v>2394</v>
      </c>
      <c r="D44" s="23" t="s">
        <v>20</v>
      </c>
      <c r="E44" s="61" t="s">
        <v>336</v>
      </c>
      <c r="F44" s="22" t="s">
        <v>155</v>
      </c>
      <c r="G44" s="32" t="str">
        <f>IFERROR(VLOOKUP(F44,Productos!$A$2:$D$258,2,0)," ")</f>
        <v>Superficie  Roble Negro 160x70 Clasico</v>
      </c>
      <c r="H44" s="7">
        <v>1</v>
      </c>
      <c r="I44" s="32" t="str">
        <f>IFERROR(VLOOKUP(F44,Productos!$A$2:$D$258,3,0)," ")</f>
        <v>Superficie</v>
      </c>
      <c r="J44" s="62" t="s">
        <v>24</v>
      </c>
      <c r="K44" s="128" t="s">
        <v>27</v>
      </c>
      <c r="L44" s="26" t="str">
        <f t="shared" si="0"/>
        <v>Despachado</v>
      </c>
      <c r="M44" s="56" t="s">
        <v>238</v>
      </c>
      <c r="N44" s="51" t="s">
        <v>460</v>
      </c>
      <c r="O44" s="150">
        <v>45670.700312499997</v>
      </c>
      <c r="P44" s="151">
        <v>45671.477326388893</v>
      </c>
      <c r="Q44" s="24" t="str">
        <f t="shared" si="1"/>
        <v>Entregado</v>
      </c>
      <c r="R44" s="25">
        <f>IF(L44="Despachado",NETWORKDAYS.INTL(A44,O44,11,Valores!$A$2:$A$18)-1,"PTE")</f>
        <v>0</v>
      </c>
      <c r="S44" s="25">
        <f>IF(Q44="Entregado",NETWORKDAYS.INTL(A44,P44,11,Valores!$A$2:$A$18)-1,"PTE")</f>
        <v>1</v>
      </c>
      <c r="T44" s="25"/>
      <c r="U44" s="25"/>
      <c r="V44" s="25" t="str">
        <f>IF(Q44="Entregado",IF(S44&lt;=VLOOKUP(K44,Valores!E:F,2,0),"Cumple","No cumple"),"PTE")</f>
        <v>Cumple</v>
      </c>
      <c r="W44" s="25"/>
      <c r="X44" s="29">
        <f>VLOOKUP(N44,[1]Hoja1!$G:$BE,39,0)</f>
        <v>24093</v>
      </c>
      <c r="Y44" s="224"/>
      <c r="Z44" s="28"/>
    </row>
    <row r="45" spans="1:26" hidden="1" x14ac:dyDescent="0.3">
      <c r="A45" s="34">
        <v>45669</v>
      </c>
      <c r="B45" s="7" t="str">
        <f t="shared" si="2"/>
        <v>enero</v>
      </c>
      <c r="C45" s="27">
        <v>2394</v>
      </c>
      <c r="D45" s="23" t="s">
        <v>20</v>
      </c>
      <c r="E45" s="61" t="s">
        <v>336</v>
      </c>
      <c r="F45" s="22"/>
      <c r="G45" s="32" t="s">
        <v>1796</v>
      </c>
      <c r="H45" s="7">
        <v>1</v>
      </c>
      <c r="I45" s="32" t="s">
        <v>327</v>
      </c>
      <c r="J45" s="62" t="s">
        <v>24</v>
      </c>
      <c r="K45" s="128" t="s">
        <v>27</v>
      </c>
      <c r="L45" s="26" t="s">
        <v>327</v>
      </c>
      <c r="M45" s="56" t="s">
        <v>241</v>
      </c>
      <c r="N45" s="118" t="s">
        <v>241</v>
      </c>
      <c r="O45" s="150" t="s">
        <v>241</v>
      </c>
      <c r="P45" s="150" t="s">
        <v>241</v>
      </c>
      <c r="Q45" s="24" t="str">
        <f t="shared" si="1"/>
        <v>Entregado</v>
      </c>
      <c r="R45" s="25" t="str">
        <f>IF(L45="Despachado",NETWORKDAYS.INTL(A45,O45,11,Valores!$A$2:$A$18)-1,"PTE")</f>
        <v>PTE</v>
      </c>
      <c r="S45" s="25" t="e">
        <f>IF(Q45="Entregado",NETWORKDAYS.INTL(A45,P45,11,Valores!$A$2:$A$18)-1,"PTE")</f>
        <v>#VALUE!</v>
      </c>
      <c r="T45" s="25"/>
      <c r="U45" s="25"/>
      <c r="V45" s="25" t="e">
        <f>IF(Q45="Entregado",IF(S45&lt;=VLOOKUP(K45,Valores!E:F,2,0),"Cumple","No cumple"),"PTE")</f>
        <v>#VALUE!</v>
      </c>
      <c r="W45" s="25"/>
      <c r="X45" s="29">
        <v>0</v>
      </c>
      <c r="Y45" s="224"/>
      <c r="Z45" s="28"/>
    </row>
    <row r="46" spans="1:26" hidden="1" x14ac:dyDescent="0.3">
      <c r="A46" s="34">
        <v>45670</v>
      </c>
      <c r="B46" s="7" t="str">
        <f t="shared" si="2"/>
        <v>enero</v>
      </c>
      <c r="C46" s="27">
        <v>2395</v>
      </c>
      <c r="D46" s="23" t="s">
        <v>20</v>
      </c>
      <c r="E46" s="61" t="s">
        <v>337</v>
      </c>
      <c r="F46" s="22" t="s">
        <v>129</v>
      </c>
      <c r="G46" s="32" t="str">
        <f>IFERROR(VLOOKUP(F46,Productos!$A$2:$D$258,2,0)," ")</f>
        <v>Electric Standing Desk  PRO Negro</v>
      </c>
      <c r="H46" s="7">
        <v>1</v>
      </c>
      <c r="I46" s="32" t="str">
        <f>IFERROR(VLOOKUP(F46,Productos!$A$2:$D$258,3,0)," ")</f>
        <v>Standing Desk</v>
      </c>
      <c r="J46" s="62" t="s">
        <v>194</v>
      </c>
      <c r="K46" s="62" t="s">
        <v>46</v>
      </c>
      <c r="L46" s="26" t="str">
        <f t="shared" si="0"/>
        <v>Despachado</v>
      </c>
      <c r="M46" s="56" t="s">
        <v>238</v>
      </c>
      <c r="N46" s="51" t="s">
        <v>461</v>
      </c>
      <c r="O46" s="150">
        <v>45670.699618055558</v>
      </c>
      <c r="P46" s="151">
        <v>45672.720173611109</v>
      </c>
      <c r="Q46" s="24" t="str">
        <f t="shared" si="1"/>
        <v>Entregado</v>
      </c>
      <c r="R46" s="25">
        <f>IF(L46="Despachado",NETWORKDAYS.INTL(A46,O46,11,Valores!$A$2:$A$18)-1,"PTE")</f>
        <v>0</v>
      </c>
      <c r="S46" s="25">
        <f>IF(Q46="Entregado",NETWORKDAYS.INTL(A46,P46,11,Valores!$A$2:$A$18)-1,"PTE")</f>
        <v>2</v>
      </c>
      <c r="T46" s="25"/>
      <c r="U46" s="25"/>
      <c r="V46" s="25" t="str">
        <f>IF(Q46="Entregado",IF(S46&lt;=VLOOKUP(K46,Valores!E:F,2,0),"Cumple","No cumple"),"PTE")</f>
        <v>Cumple</v>
      </c>
      <c r="W46" s="25"/>
      <c r="X46" s="29">
        <f>VLOOKUP(N46,[1]Hoja1!$G:$BE,39,0)</f>
        <v>56077</v>
      </c>
      <c r="Y46" s="224"/>
      <c r="Z46" s="28"/>
    </row>
    <row r="47" spans="1:26" hidden="1" x14ac:dyDescent="0.3">
      <c r="A47" s="34">
        <v>45670</v>
      </c>
      <c r="B47" s="7" t="str">
        <f t="shared" si="2"/>
        <v>enero</v>
      </c>
      <c r="C47" s="27">
        <v>2395</v>
      </c>
      <c r="D47" s="23" t="s">
        <v>20</v>
      </c>
      <c r="E47" s="61" t="s">
        <v>337</v>
      </c>
      <c r="F47" s="22" t="s">
        <v>307</v>
      </c>
      <c r="G47" s="32" t="str">
        <f>IFERROR(VLOOKUP(F47,Productos!$A$2:$D$258,2,0)," ")</f>
        <v>Superficie  Fresno Europeo 180x70 Clasico</v>
      </c>
      <c r="H47" s="7">
        <v>1</v>
      </c>
      <c r="I47" s="32" t="str">
        <f>IFERROR(VLOOKUP(F47,Productos!$A$2:$D$258,3,0)," ")</f>
        <v>Superficie</v>
      </c>
      <c r="J47" s="62" t="s">
        <v>194</v>
      </c>
      <c r="K47" s="62" t="s">
        <v>46</v>
      </c>
      <c r="L47" s="26" t="str">
        <f t="shared" si="0"/>
        <v>Despachado</v>
      </c>
      <c r="M47" s="56" t="s">
        <v>238</v>
      </c>
      <c r="N47" s="51" t="s">
        <v>462</v>
      </c>
      <c r="O47" s="150">
        <v>45670.700312499997</v>
      </c>
      <c r="P47" s="151">
        <v>45672.720173611109</v>
      </c>
      <c r="Q47" s="24" t="str">
        <f t="shared" si="1"/>
        <v>Entregado</v>
      </c>
      <c r="R47" s="25">
        <f>IF(L47="Despachado",NETWORKDAYS.INTL(A47,O47,11,Valores!$A$2:$A$18)-1,"PTE")</f>
        <v>0</v>
      </c>
      <c r="S47" s="25">
        <f>IF(Q47="Entregado",NETWORKDAYS.INTL(A47,P47,11,Valores!$A$2:$A$18)-1,"PTE")</f>
        <v>2</v>
      </c>
      <c r="T47" s="25"/>
      <c r="U47" s="25"/>
      <c r="V47" s="25" t="str">
        <f>IF(Q47="Entregado",IF(S47&lt;=VLOOKUP(K47,Valores!E:F,2,0),"Cumple","No cumple"),"PTE")</f>
        <v>Cumple</v>
      </c>
      <c r="W47" s="25"/>
      <c r="X47" s="29">
        <f>VLOOKUP(N47,[1]Hoja1!$G:$BE,39,0)</f>
        <v>38589</v>
      </c>
      <c r="Y47" s="224"/>
      <c r="Z47" s="28"/>
    </row>
    <row r="48" spans="1:26" hidden="1" x14ac:dyDescent="0.3">
      <c r="A48" s="34">
        <v>45670</v>
      </c>
      <c r="B48" s="7" t="str">
        <f t="shared" si="2"/>
        <v>enero</v>
      </c>
      <c r="C48" s="27">
        <v>2396</v>
      </c>
      <c r="D48" s="23" t="s">
        <v>20</v>
      </c>
      <c r="E48" s="61" t="s">
        <v>338</v>
      </c>
      <c r="F48" s="22" t="s">
        <v>129</v>
      </c>
      <c r="G48" s="32" t="str">
        <f>IFERROR(VLOOKUP(F48,Productos!$A$2:$D$258,2,0)," ")</f>
        <v>Electric Standing Desk  PRO Negro</v>
      </c>
      <c r="H48" s="7">
        <v>1</v>
      </c>
      <c r="I48" s="32" t="str">
        <f>IFERROR(VLOOKUP(F48,Productos!$A$2:$D$258,3,0)," ")</f>
        <v>Standing Desk</v>
      </c>
      <c r="J48" s="62" t="s">
        <v>24</v>
      </c>
      <c r="K48" s="62" t="s">
        <v>25</v>
      </c>
      <c r="L48" s="26" t="str">
        <f t="shared" si="0"/>
        <v>Despachado</v>
      </c>
      <c r="M48" s="56" t="s">
        <v>238</v>
      </c>
      <c r="N48" s="51" t="s">
        <v>463</v>
      </c>
      <c r="O48" s="150">
        <v>45671.665335648147</v>
      </c>
      <c r="P48" s="151">
        <v>45672.44023148148</v>
      </c>
      <c r="Q48" s="24" t="str">
        <f t="shared" si="1"/>
        <v>Entregado</v>
      </c>
      <c r="R48" s="25">
        <f>IF(L48="Despachado",NETWORKDAYS.INTL(A48,O48,11,Valores!$A$2:$A$18)-1,"PTE")</f>
        <v>1</v>
      </c>
      <c r="S48" s="25">
        <f>IF(Q48="Entregado",NETWORKDAYS.INTL(A48,P48,11,Valores!$A$2:$A$18)-1,"PTE")</f>
        <v>2</v>
      </c>
      <c r="T48" s="25"/>
      <c r="U48" s="25"/>
      <c r="V48" s="25" t="str">
        <f>IF(Q48="Entregado",IF(S48&lt;=VLOOKUP(K48,Valores!E:F,2,0),"Cumple","No cumple"),"PTE")</f>
        <v>Cumple</v>
      </c>
      <c r="W48" s="25"/>
      <c r="X48" s="29">
        <f>VLOOKUP(N48,[1]Hoja1!$G:$BE,39,0)</f>
        <v>42921</v>
      </c>
      <c r="Y48" s="224"/>
      <c r="Z48" s="28"/>
    </row>
    <row r="49" spans="1:26" hidden="1" x14ac:dyDescent="0.3">
      <c r="A49" s="34">
        <v>45670</v>
      </c>
      <c r="B49" s="7" t="str">
        <f t="shared" si="2"/>
        <v>enero</v>
      </c>
      <c r="C49" s="27">
        <v>2396</v>
      </c>
      <c r="D49" s="23" t="s">
        <v>20</v>
      </c>
      <c r="E49" s="61" t="s">
        <v>338</v>
      </c>
      <c r="F49" s="22" t="s">
        <v>143</v>
      </c>
      <c r="G49" s="32" t="str">
        <f>IFERROR(VLOOKUP(F49,Productos!$A$2:$D$258,2,0)," ")</f>
        <v>Superficie  Caramelo 160x70 Clasico</v>
      </c>
      <c r="H49" s="7">
        <v>1</v>
      </c>
      <c r="I49" s="32" t="str">
        <f>IFERROR(VLOOKUP(F49,Productos!$A$2:$D$258,3,0)," ")</f>
        <v>Superficie</v>
      </c>
      <c r="J49" s="62" t="s">
        <v>24</v>
      </c>
      <c r="K49" s="62" t="s">
        <v>25</v>
      </c>
      <c r="L49" s="26" t="str">
        <f t="shared" si="0"/>
        <v>Despachado</v>
      </c>
      <c r="M49" s="56" t="s">
        <v>238</v>
      </c>
      <c r="N49" s="51" t="s">
        <v>464</v>
      </c>
      <c r="O49" s="150">
        <v>45671.665335648147</v>
      </c>
      <c r="P49" s="151">
        <v>45672.44023148148</v>
      </c>
      <c r="Q49" s="24" t="str">
        <f t="shared" si="1"/>
        <v>Entregado</v>
      </c>
      <c r="R49" s="25">
        <f>IF(L49="Despachado",NETWORKDAYS.INTL(A49,O49,11,Valores!$A$2:$A$18)-1,"PTE")</f>
        <v>1</v>
      </c>
      <c r="S49" s="25">
        <f>IF(Q49="Entregado",NETWORKDAYS.INTL(A49,P49,11,Valores!$A$2:$A$18)-1,"PTE")</f>
        <v>2</v>
      </c>
      <c r="T49" s="25"/>
      <c r="U49" s="25"/>
      <c r="V49" s="25" t="str">
        <f>IF(Q49="Entregado",IF(S49&lt;=VLOOKUP(K49,Valores!E:F,2,0),"Cumple","No cumple"),"PTE")</f>
        <v>Cumple</v>
      </c>
      <c r="W49" s="25"/>
      <c r="X49" s="29">
        <f>VLOOKUP(N49,[1]Hoja1!$G:$BE,39,0)</f>
        <v>24093</v>
      </c>
      <c r="Y49" s="224"/>
      <c r="Z49" s="28"/>
    </row>
    <row r="50" spans="1:26" hidden="1" x14ac:dyDescent="0.3">
      <c r="A50" s="34">
        <v>45670</v>
      </c>
      <c r="B50" s="7" t="str">
        <f t="shared" si="2"/>
        <v>enero</v>
      </c>
      <c r="C50" s="27">
        <v>2396</v>
      </c>
      <c r="D50" s="23" t="s">
        <v>20</v>
      </c>
      <c r="E50" s="61" t="s">
        <v>338</v>
      </c>
      <c r="F50" s="40" t="s">
        <v>87</v>
      </c>
      <c r="G50" s="32" t="str">
        <f>IFERROR(VLOOKUP(F50,Productos!$A$2:$D$258,2,0)," ")</f>
        <v>Desk Stool Negra Silla ajustable</v>
      </c>
      <c r="H50" s="7">
        <v>1</v>
      </c>
      <c r="I50" s="32" t="str">
        <f>IFERROR(VLOOKUP(F50,Productos!$A$2:$D$258,3,0)," ")</f>
        <v>Silla</v>
      </c>
      <c r="J50" s="62" t="s">
        <v>24</v>
      </c>
      <c r="K50" s="62" t="s">
        <v>25</v>
      </c>
      <c r="L50" s="26" t="str">
        <f t="shared" si="0"/>
        <v>Despachado</v>
      </c>
      <c r="M50" s="56" t="s">
        <v>238</v>
      </c>
      <c r="N50" s="51" t="s">
        <v>465</v>
      </c>
      <c r="O50" s="150">
        <v>45671.665335648147</v>
      </c>
      <c r="P50" s="151">
        <v>45672.44023148148</v>
      </c>
      <c r="Q50" s="24" t="str">
        <f t="shared" si="1"/>
        <v>Entregado</v>
      </c>
      <c r="R50" s="25">
        <f>IF(L50="Despachado",NETWORKDAYS.INTL(A50,O50,11,Valores!$A$2:$A$18)-1,"PTE")</f>
        <v>1</v>
      </c>
      <c r="S50" s="25">
        <f>IF(Q50="Entregado",NETWORKDAYS.INTL(A50,P50,11,Valores!$A$2:$A$18)-1,"PTE")</f>
        <v>2</v>
      </c>
      <c r="T50" s="25"/>
      <c r="U50" s="25"/>
      <c r="V50" s="25" t="str">
        <f>IF(Q50="Entregado",IF(S50&lt;=VLOOKUP(K50,Valores!E:F,2,0),"Cumple","No cumple"),"PTE")</f>
        <v>Cumple</v>
      </c>
      <c r="W50" s="25"/>
      <c r="X50" s="29">
        <f>VLOOKUP(N50,[1]Hoja1!$G:$BE,39,0)</f>
        <v>26609</v>
      </c>
      <c r="Y50" s="224"/>
      <c r="Z50" s="28"/>
    </row>
    <row r="51" spans="1:26" hidden="1" x14ac:dyDescent="0.3">
      <c r="A51" s="34">
        <v>45670</v>
      </c>
      <c r="B51" s="7" t="str">
        <f t="shared" si="2"/>
        <v>enero</v>
      </c>
      <c r="C51" s="27">
        <v>2396</v>
      </c>
      <c r="D51" s="23" t="s">
        <v>20</v>
      </c>
      <c r="E51" s="61" t="s">
        <v>338</v>
      </c>
      <c r="F51" s="22"/>
      <c r="G51" s="32" t="s">
        <v>1796</v>
      </c>
      <c r="H51" s="7">
        <v>1</v>
      </c>
      <c r="I51" s="32" t="s">
        <v>327</v>
      </c>
      <c r="J51" s="62" t="s">
        <v>24</v>
      </c>
      <c r="K51" s="62" t="s">
        <v>25</v>
      </c>
      <c r="L51" s="26" t="s">
        <v>327</v>
      </c>
      <c r="M51" s="56" t="s">
        <v>241</v>
      </c>
      <c r="N51" s="118" t="s">
        <v>241</v>
      </c>
      <c r="O51" s="150" t="s">
        <v>241</v>
      </c>
      <c r="P51" s="150" t="s">
        <v>241</v>
      </c>
      <c r="Q51" s="24" t="str">
        <f t="shared" si="1"/>
        <v>Entregado</v>
      </c>
      <c r="R51" s="25" t="str">
        <f>IF(L51="Despachado",NETWORKDAYS.INTL(A51,O51,11,Valores!$A$2:$A$18)-1,"PTE")</f>
        <v>PTE</v>
      </c>
      <c r="S51" s="25" t="e">
        <f>IF(Q51="Entregado",NETWORKDAYS.INTL(A51,P51,11,Valores!$A$2:$A$18)-1,"PTE")</f>
        <v>#VALUE!</v>
      </c>
      <c r="T51" s="25"/>
      <c r="U51" s="25"/>
      <c r="V51" s="25" t="e">
        <f>IF(Q51="Entregado",IF(S51&lt;=VLOOKUP(K51,Valores!E:F,2,0),"Cumple","No cumple"),"PTE")</f>
        <v>#VALUE!</v>
      </c>
      <c r="W51" s="25"/>
      <c r="X51" s="29">
        <v>0</v>
      </c>
      <c r="Y51" s="224"/>
      <c r="Z51" s="28"/>
    </row>
    <row r="52" spans="1:26" hidden="1" x14ac:dyDescent="0.3">
      <c r="A52" s="34">
        <v>45671</v>
      </c>
      <c r="B52" s="7" t="str">
        <f t="shared" si="2"/>
        <v>enero</v>
      </c>
      <c r="C52" s="27">
        <v>2397</v>
      </c>
      <c r="D52" s="23" t="s">
        <v>20</v>
      </c>
      <c r="E52" s="61" t="s">
        <v>339</v>
      </c>
      <c r="F52" s="40" t="s">
        <v>123</v>
      </c>
      <c r="G52" s="32" t="str">
        <f>IFERROR(VLOOKUP(F52,Productos!$A$2:$D$258,2,0)," ")</f>
        <v>Electric Standing Desk GO Negro</v>
      </c>
      <c r="H52" s="7">
        <v>1</v>
      </c>
      <c r="I52" s="32" t="str">
        <f>IFERROR(VLOOKUP(F52,Productos!$A$2:$D$258,3,0)," ")</f>
        <v>Standing Desk</v>
      </c>
      <c r="J52" s="54" t="s">
        <v>21</v>
      </c>
      <c r="K52" s="54" t="s">
        <v>22</v>
      </c>
      <c r="L52" s="26" t="str">
        <f t="shared" si="0"/>
        <v>Despachado</v>
      </c>
      <c r="M52" s="56" t="s">
        <v>238</v>
      </c>
      <c r="N52" s="118" t="s">
        <v>466</v>
      </c>
      <c r="O52" s="150">
        <v>45673.694571759261</v>
      </c>
      <c r="P52" s="151">
        <v>45674.681284722217</v>
      </c>
      <c r="Q52" s="24" t="str">
        <f t="shared" si="1"/>
        <v>Entregado</v>
      </c>
      <c r="R52" s="25">
        <f>IF(L52="Despachado",NETWORKDAYS.INTL(A52,O52,11,Valores!$A$2:$A$18)-1,"PTE")</f>
        <v>2</v>
      </c>
      <c r="S52" s="25">
        <f>IF(Q52="Entregado",NETWORKDAYS.INTL(A52,P52,11,Valores!$A$2:$A$18)-1,"PTE")</f>
        <v>3</v>
      </c>
      <c r="T52" s="25"/>
      <c r="U52" s="25"/>
      <c r="V52" s="25" t="str">
        <f>IF(Q52="Entregado",IF(S52&lt;=VLOOKUP(K52,Valores!E:F,2,0),"Cumple","No cumple"),"PTE")</f>
        <v>Cumple</v>
      </c>
      <c r="W52" s="25"/>
      <c r="X52" s="29">
        <f>VLOOKUP(N52,[1]Hoja1!$G:$BE,39,0)</f>
        <v>41593</v>
      </c>
      <c r="Y52" s="224"/>
      <c r="Z52" s="28"/>
    </row>
    <row r="53" spans="1:26" hidden="1" x14ac:dyDescent="0.3">
      <c r="A53" s="34">
        <v>45671</v>
      </c>
      <c r="B53" s="7" t="str">
        <f t="shared" si="2"/>
        <v>enero</v>
      </c>
      <c r="C53" s="27">
        <v>2397</v>
      </c>
      <c r="D53" s="23" t="s">
        <v>20</v>
      </c>
      <c r="E53" s="61" t="s">
        <v>339</v>
      </c>
      <c r="F53" s="22" t="s">
        <v>110</v>
      </c>
      <c r="G53" s="32" t="str">
        <f>IFERROR(VLOOKUP(F53,Productos!$A$2:$D$258,2,0)," ")</f>
        <v>Superficie  Roble negro 150x70 Clasico</v>
      </c>
      <c r="H53" s="7">
        <v>1</v>
      </c>
      <c r="I53" s="32" t="str">
        <f>IFERROR(VLOOKUP(F53,Productos!$A$2:$D$258,3,0)," ")</f>
        <v>Superficie</v>
      </c>
      <c r="J53" s="54" t="s">
        <v>21</v>
      </c>
      <c r="K53" s="54" t="s">
        <v>22</v>
      </c>
      <c r="L53" s="26" t="str">
        <f t="shared" si="0"/>
        <v>Despachado</v>
      </c>
      <c r="M53" s="56" t="s">
        <v>238</v>
      </c>
      <c r="N53" s="51" t="s">
        <v>467</v>
      </c>
      <c r="O53" s="150">
        <v>45673.6953587963</v>
      </c>
      <c r="P53" s="151">
        <v>45675.587025462963</v>
      </c>
      <c r="Q53" s="24" t="str">
        <f t="shared" si="1"/>
        <v>Entregado</v>
      </c>
      <c r="R53" s="25">
        <f>IF(L53="Despachado",NETWORKDAYS.INTL(A53,O53,11,Valores!$A$2:$A$18)-1,"PTE")</f>
        <v>2</v>
      </c>
      <c r="S53" s="25">
        <f>IF(Q53="Entregado",NETWORKDAYS.INTL(A53,P53,11,Valores!$A$2:$A$18)-1,"PTE")</f>
        <v>4</v>
      </c>
      <c r="T53" s="25"/>
      <c r="U53" s="25"/>
      <c r="V53" s="25" t="str">
        <f>IF(Q53="Entregado",IF(S53&lt;=VLOOKUP(K53,Valores!E:F,2,0),"Cumple","No cumple"),"PTE")</f>
        <v>No cumple</v>
      </c>
      <c r="W53" s="25"/>
      <c r="X53" s="29">
        <f>VLOOKUP(N53,[1]Hoja1!$G:$BE,39,0)</f>
        <v>24093</v>
      </c>
      <c r="Y53" s="224"/>
      <c r="Z53" s="28"/>
    </row>
    <row r="54" spans="1:26" hidden="1" x14ac:dyDescent="0.3">
      <c r="A54" s="34">
        <v>45673</v>
      </c>
      <c r="B54" s="7" t="str">
        <f t="shared" si="2"/>
        <v>enero</v>
      </c>
      <c r="C54" s="27">
        <v>2398</v>
      </c>
      <c r="D54" s="23" t="s">
        <v>20</v>
      </c>
      <c r="E54" s="61" t="s">
        <v>340</v>
      </c>
      <c r="F54" s="40" t="s">
        <v>123</v>
      </c>
      <c r="G54" s="32" t="str">
        <f>IFERROR(VLOOKUP(F54,Productos!$A$2:$D$258,2,0)," ")</f>
        <v>Electric Standing Desk GO Negro</v>
      </c>
      <c r="H54" s="7">
        <v>1</v>
      </c>
      <c r="I54" s="32" t="str">
        <f>IFERROR(VLOOKUP(F54,Productos!$A$2:$D$258,3,0)," ")</f>
        <v>Standing Desk</v>
      </c>
      <c r="J54" s="54" t="s">
        <v>21</v>
      </c>
      <c r="K54" s="54" t="s">
        <v>22</v>
      </c>
      <c r="L54" s="26" t="str">
        <f t="shared" si="0"/>
        <v>Despachado</v>
      </c>
      <c r="M54" s="56" t="s">
        <v>238</v>
      </c>
      <c r="N54" s="51" t="s">
        <v>468</v>
      </c>
      <c r="O54" s="150">
        <v>45673.694571759261</v>
      </c>
      <c r="P54" s="151">
        <v>45675.560590277782</v>
      </c>
      <c r="Q54" s="24" t="str">
        <f t="shared" si="1"/>
        <v>Entregado</v>
      </c>
      <c r="R54" s="25">
        <f>IF(L54="Despachado",NETWORKDAYS.INTL(A54,O54,11,Valores!$A$2:$A$18)-1,"PTE")</f>
        <v>0</v>
      </c>
      <c r="S54" s="25">
        <f>IF(Q54="Entregado",NETWORKDAYS.INTL(A54,P54,11,Valores!$A$2:$A$18)-1,"PTE")</f>
        <v>2</v>
      </c>
      <c r="T54" s="25"/>
      <c r="U54" s="25"/>
      <c r="V54" s="25" t="str">
        <f>IF(Q54="Entregado",IF(S54&lt;=VLOOKUP(K54,Valores!E:F,2,0),"Cumple","No cumple"),"PTE")</f>
        <v>Cumple</v>
      </c>
      <c r="W54" s="25"/>
      <c r="X54" s="29">
        <f>VLOOKUP(N54,[1]Hoja1!$G:$BE,39,0)</f>
        <v>41593</v>
      </c>
      <c r="Y54" s="224"/>
      <c r="Z54" s="28"/>
    </row>
    <row r="55" spans="1:26" hidden="1" x14ac:dyDescent="0.3">
      <c r="A55" s="34">
        <v>45673</v>
      </c>
      <c r="B55" s="7" t="str">
        <f t="shared" si="2"/>
        <v>enero</v>
      </c>
      <c r="C55" s="27">
        <v>2398</v>
      </c>
      <c r="D55" s="23" t="s">
        <v>20</v>
      </c>
      <c r="E55" s="61" t="s">
        <v>340</v>
      </c>
      <c r="F55" s="22" t="s">
        <v>141</v>
      </c>
      <c r="G55" s="32" t="str">
        <f>IFERROR(VLOOKUP(F55,Productos!$A$2:$D$258,2,0)," ")</f>
        <v>Superficie Caramelo 130x70 Clasico</v>
      </c>
      <c r="H55" s="7">
        <v>1</v>
      </c>
      <c r="I55" s="32" t="str">
        <f>IFERROR(VLOOKUP(F55,Productos!$A$2:$D$258,3,0)," ")</f>
        <v>Superficie</v>
      </c>
      <c r="J55" s="54" t="s">
        <v>21</v>
      </c>
      <c r="K55" s="54" t="s">
        <v>22</v>
      </c>
      <c r="L55" s="26" t="str">
        <f t="shared" si="0"/>
        <v>Despachado</v>
      </c>
      <c r="M55" s="56" t="s">
        <v>238</v>
      </c>
      <c r="N55" s="51" t="s">
        <v>469</v>
      </c>
      <c r="O55" s="150">
        <v>45673.6953587963</v>
      </c>
      <c r="P55" s="151">
        <v>45677.606365740743</v>
      </c>
      <c r="Q55" s="24" t="str">
        <f t="shared" si="1"/>
        <v>Entregado</v>
      </c>
      <c r="R55" s="25">
        <f>IF(L55="Despachado",NETWORKDAYS.INTL(A55,O55,11,Valores!$A$2:$A$18)-1,"PTE")</f>
        <v>0</v>
      </c>
      <c r="S55" s="25">
        <f>IF(Q55="Entregado",NETWORKDAYS.INTL(A55,P55,11,Valores!$A$2:$A$18)-1,"PTE")</f>
        <v>3</v>
      </c>
      <c r="T55" s="25"/>
      <c r="U55" s="25"/>
      <c r="V55" s="25" t="str">
        <f>IF(Q55="Entregado",IF(S55&lt;=VLOOKUP(K55,Valores!E:F,2,0),"Cumple","No cumple"),"PTE")</f>
        <v>Cumple</v>
      </c>
      <c r="W55" s="25"/>
      <c r="X55" s="29">
        <f>VLOOKUP(N55,[1]Hoja1!$G:$BE,39,0)</f>
        <v>24093</v>
      </c>
      <c r="Y55" s="224"/>
      <c r="Z55" s="28"/>
    </row>
    <row r="56" spans="1:26" hidden="1" x14ac:dyDescent="0.3">
      <c r="A56" s="34">
        <v>45673</v>
      </c>
      <c r="B56" s="7" t="str">
        <f t="shared" si="2"/>
        <v>enero</v>
      </c>
      <c r="C56" s="27">
        <v>2399</v>
      </c>
      <c r="D56" s="23" t="s">
        <v>20</v>
      </c>
      <c r="E56" s="61" t="s">
        <v>341</v>
      </c>
      <c r="F56" s="22" t="s">
        <v>129</v>
      </c>
      <c r="G56" s="32" t="str">
        <f>IFERROR(VLOOKUP(F56,Productos!$A$2:$D$258,2,0)," ")</f>
        <v>Electric Standing Desk  PRO Negro</v>
      </c>
      <c r="H56" s="7">
        <v>1</v>
      </c>
      <c r="I56" s="32" t="str">
        <f>IFERROR(VLOOKUP(F56,Productos!$A$2:$D$258,3,0)," ")</f>
        <v>Standing Desk</v>
      </c>
      <c r="J56" s="62" t="s">
        <v>24</v>
      </c>
      <c r="K56" s="62" t="s">
        <v>25</v>
      </c>
      <c r="L56" s="26" t="str">
        <f t="shared" si="0"/>
        <v>Despachado</v>
      </c>
      <c r="M56" s="56" t="s">
        <v>238</v>
      </c>
      <c r="N56" s="51" t="s">
        <v>470</v>
      </c>
      <c r="O56" s="150">
        <v>45673.694571759261</v>
      </c>
      <c r="P56" s="151">
        <v>45674.743310185193</v>
      </c>
      <c r="Q56" s="24" t="str">
        <f t="shared" si="1"/>
        <v>Entregado</v>
      </c>
      <c r="R56" s="25">
        <f>IF(L56="Despachado",NETWORKDAYS.INTL(A56,O56,11,Valores!$A$2:$A$18)-1,"PTE")</f>
        <v>0</v>
      </c>
      <c r="S56" s="25">
        <f>IF(Q56="Entregado",NETWORKDAYS.INTL(A56,P56,11,Valores!$A$2:$A$18)-1,"PTE")</f>
        <v>1</v>
      </c>
      <c r="T56" s="25"/>
      <c r="U56" s="25"/>
      <c r="V56" s="25" t="str">
        <f>IF(Q56="Entregado",IF(S56&lt;=VLOOKUP(K56,Valores!E:F,2,0),"Cumple","No cumple"),"PTE")</f>
        <v>Cumple</v>
      </c>
      <c r="W56" s="25"/>
      <c r="X56" s="29">
        <f>VLOOKUP(N56,[1]Hoja1!$G:$BE,39,0)</f>
        <v>42921</v>
      </c>
      <c r="Y56" s="224"/>
      <c r="Z56" s="28"/>
    </row>
    <row r="57" spans="1:26" hidden="1" x14ac:dyDescent="0.3">
      <c r="A57" s="34">
        <v>45673</v>
      </c>
      <c r="B57" s="7" t="str">
        <f t="shared" si="2"/>
        <v>enero</v>
      </c>
      <c r="C57" s="27">
        <v>2399</v>
      </c>
      <c r="D57" s="23" t="s">
        <v>20</v>
      </c>
      <c r="E57" s="61" t="s">
        <v>341</v>
      </c>
      <c r="F57" s="22" t="s">
        <v>258</v>
      </c>
      <c r="G57" s="32" t="str">
        <f>IFERROR(VLOOKUP(F57,Productos!$A$2:$D$258,2,0)," ")</f>
        <v>Superficie  Caramelo 160x70 Moderno</v>
      </c>
      <c r="H57" s="7">
        <v>1</v>
      </c>
      <c r="I57" s="32" t="str">
        <f>IFERROR(VLOOKUP(F57,Productos!$A$2:$D$258,3,0)," ")</f>
        <v>Superficie</v>
      </c>
      <c r="J57" s="62" t="s">
        <v>24</v>
      </c>
      <c r="K57" s="62" t="s">
        <v>25</v>
      </c>
      <c r="L57" s="26" t="str">
        <f t="shared" si="0"/>
        <v>Despachado</v>
      </c>
      <c r="M57" s="56" t="s">
        <v>238</v>
      </c>
      <c r="N57" s="51" t="s">
        <v>471</v>
      </c>
      <c r="O57" s="150">
        <v>45673.6953587963</v>
      </c>
      <c r="P57" s="151">
        <v>45674.743310185193</v>
      </c>
      <c r="Q57" s="24" t="str">
        <f t="shared" si="1"/>
        <v>Entregado</v>
      </c>
      <c r="R57" s="25">
        <f>IF(L57="Despachado",NETWORKDAYS.INTL(A57,O57,11,Valores!$A$2:$A$18)-1,"PTE")</f>
        <v>0</v>
      </c>
      <c r="S57" s="25">
        <f>IF(Q57="Entregado",NETWORKDAYS.INTL(A57,P57,11,Valores!$A$2:$A$18)-1,"PTE")</f>
        <v>1</v>
      </c>
      <c r="T57" s="25"/>
      <c r="U57" s="25"/>
      <c r="V57" s="25" t="str">
        <f>IF(Q57="Entregado",IF(S57&lt;=VLOOKUP(K57,Valores!E:F,2,0),"Cumple","No cumple"),"PTE")</f>
        <v>Cumple</v>
      </c>
      <c r="W57" s="25"/>
      <c r="X57" s="29">
        <f>VLOOKUP(N57,[1]Hoja1!$G:$BE,39,0)</f>
        <v>24093</v>
      </c>
      <c r="Y57" s="224"/>
      <c r="Z57" s="28"/>
    </row>
    <row r="58" spans="1:26" hidden="1" x14ac:dyDescent="0.3">
      <c r="A58" s="34">
        <v>45673</v>
      </c>
      <c r="B58" s="7" t="str">
        <f t="shared" si="2"/>
        <v>enero</v>
      </c>
      <c r="C58" s="27">
        <v>2399</v>
      </c>
      <c r="D58" s="23" t="s">
        <v>20</v>
      </c>
      <c r="E58" s="61" t="s">
        <v>341</v>
      </c>
      <c r="F58" s="22"/>
      <c r="G58" s="32" t="s">
        <v>1796</v>
      </c>
      <c r="H58" s="7">
        <v>1</v>
      </c>
      <c r="I58" s="32" t="s">
        <v>327</v>
      </c>
      <c r="J58" s="62" t="s">
        <v>24</v>
      </c>
      <c r="K58" s="62" t="s">
        <v>25</v>
      </c>
      <c r="L58" s="26" t="s">
        <v>327</v>
      </c>
      <c r="M58" s="56" t="s">
        <v>241</v>
      </c>
      <c r="N58" s="118" t="s">
        <v>241</v>
      </c>
      <c r="O58" s="150" t="s">
        <v>241</v>
      </c>
      <c r="P58" s="150" t="s">
        <v>241</v>
      </c>
      <c r="Q58" s="24" t="str">
        <f t="shared" si="1"/>
        <v>Entregado</v>
      </c>
      <c r="R58" s="25" t="str">
        <f>IF(L58="Despachado",NETWORKDAYS.INTL(A58,O58,11,Valores!$A$2:$A$18)-1,"PTE")</f>
        <v>PTE</v>
      </c>
      <c r="S58" s="25" t="e">
        <f>IF(Q58="Entregado",NETWORKDAYS.INTL(A58,P58,11,Valores!$A$2:$A$18)-1,"PTE")</f>
        <v>#VALUE!</v>
      </c>
      <c r="T58" s="25"/>
      <c r="U58" s="25"/>
      <c r="V58" s="25" t="e">
        <f>IF(Q58="Entregado",IF(S58&lt;=VLOOKUP(K58,Valores!E:F,2,0),"Cumple","No cumple"),"PTE")</f>
        <v>#VALUE!</v>
      </c>
      <c r="W58" s="25"/>
      <c r="X58" s="29">
        <v>0</v>
      </c>
      <c r="Y58" s="224"/>
      <c r="Z58" s="28"/>
    </row>
    <row r="59" spans="1:26" hidden="1" x14ac:dyDescent="0.3">
      <c r="A59" s="34">
        <v>45673</v>
      </c>
      <c r="B59" s="7" t="str">
        <f t="shared" si="2"/>
        <v>enero</v>
      </c>
      <c r="C59" s="27">
        <v>2400</v>
      </c>
      <c r="D59" s="23" t="s">
        <v>20</v>
      </c>
      <c r="E59" s="61" t="s">
        <v>326</v>
      </c>
      <c r="F59" s="22" t="s">
        <v>342</v>
      </c>
      <c r="G59" s="32" t="str">
        <f>IFERROR(VLOOKUP(F59,Productos!$A$2:$D$258,2,0)," ")</f>
        <v>Rodachines con freno para Standing desk x 6 UN</v>
      </c>
      <c r="H59" s="7">
        <v>1</v>
      </c>
      <c r="I59" s="32" t="str">
        <f>IFERROR(VLOOKUP(F59,Productos!$A$2:$D$258,3,0)," ")</f>
        <v>Ruedas</v>
      </c>
      <c r="J59" s="54" t="s">
        <v>21</v>
      </c>
      <c r="K59" s="54" t="s">
        <v>22</v>
      </c>
      <c r="L59" s="26" t="str">
        <f t="shared" si="0"/>
        <v>Despachado</v>
      </c>
      <c r="M59" s="56" t="s">
        <v>238</v>
      </c>
      <c r="N59" s="51" t="s">
        <v>472</v>
      </c>
      <c r="O59" s="150">
        <v>45674.630115740743</v>
      </c>
      <c r="P59" s="151">
        <v>45677.528506944444</v>
      </c>
      <c r="Q59" s="24" t="str">
        <f t="shared" si="1"/>
        <v>Entregado</v>
      </c>
      <c r="R59" s="25">
        <f>IF(L59="Despachado",NETWORKDAYS.INTL(A59,O59,11,Valores!$A$2:$A$18)-1,"PTE")</f>
        <v>1</v>
      </c>
      <c r="S59" s="25">
        <f>IF(Q59="Entregado",NETWORKDAYS.INTL(A59,P59,11,Valores!$A$2:$A$18)-1,"PTE")</f>
        <v>3</v>
      </c>
      <c r="T59" s="25"/>
      <c r="U59" s="25"/>
      <c r="V59" s="25" t="str">
        <f>IF(Q59="Entregado",IF(S59&lt;=VLOOKUP(K59,Valores!E:F,2,0),"Cumple","No cumple"),"PTE")</f>
        <v>Cumple</v>
      </c>
      <c r="W59" s="25"/>
      <c r="X59" s="29">
        <f>VLOOKUP(N59,[1]Hoja1!$G:$BE,39,0)</f>
        <v>23875</v>
      </c>
      <c r="Y59" s="224"/>
      <c r="Z59" s="28"/>
    </row>
    <row r="60" spans="1:26" hidden="1" x14ac:dyDescent="0.3">
      <c r="A60" s="34">
        <v>45673</v>
      </c>
      <c r="B60" s="7" t="str">
        <f t="shared" si="2"/>
        <v>enero</v>
      </c>
      <c r="C60" s="27">
        <v>2400</v>
      </c>
      <c r="D60" s="23" t="s">
        <v>20</v>
      </c>
      <c r="E60" s="61" t="s">
        <v>326</v>
      </c>
      <c r="F60" s="22" t="s">
        <v>83</v>
      </c>
      <c r="G60" s="32" t="str">
        <f>IFERROR(VLOOKUP(F60,Productos!$A$2:$D$258,2,0)," ")</f>
        <v>Desk Pad B Negro Azul</v>
      </c>
      <c r="H60" s="7">
        <v>1</v>
      </c>
      <c r="I60" s="32" t="str">
        <f>IFERROR(VLOOKUP(F60,Productos!$A$2:$D$258,3,0)," ")</f>
        <v>Accesorio</v>
      </c>
      <c r="J60" s="54" t="s">
        <v>21</v>
      </c>
      <c r="K60" s="54" t="s">
        <v>22</v>
      </c>
      <c r="L60" s="26" t="str">
        <f t="shared" si="0"/>
        <v>Despachado</v>
      </c>
      <c r="M60" s="56" t="s">
        <v>238</v>
      </c>
      <c r="N60" s="51" t="s">
        <v>473</v>
      </c>
      <c r="O60" s="150">
        <v>45674.630115740743</v>
      </c>
      <c r="P60" s="151">
        <v>45677.528506944444</v>
      </c>
      <c r="Q60" s="24" t="str">
        <f t="shared" si="1"/>
        <v>Entregado</v>
      </c>
      <c r="R60" s="25">
        <f>IF(L60="Despachado",NETWORKDAYS.INTL(A60,O60,11,Valores!$A$2:$A$18)-1,"PTE")</f>
        <v>1</v>
      </c>
      <c r="S60" s="25">
        <f>IF(Q60="Entregado",NETWORKDAYS.INTL(A60,P60,11,Valores!$A$2:$A$18)-1,"PTE")</f>
        <v>3</v>
      </c>
      <c r="T60" s="25"/>
      <c r="U60" s="25"/>
      <c r="V60" s="25" t="str">
        <f>IF(Q60="Entregado",IF(S60&lt;=VLOOKUP(K60,Valores!E:F,2,0),"Cumple","No cumple"),"PTE")</f>
        <v>Cumple</v>
      </c>
      <c r="W60" s="25"/>
      <c r="X60" s="29">
        <f>VLOOKUP(N60,[1]Hoja1!$G:$BE,39,0)</f>
        <v>16617</v>
      </c>
      <c r="Y60" s="224"/>
      <c r="Z60" s="28"/>
    </row>
    <row r="61" spans="1:26" hidden="1" x14ac:dyDescent="0.3">
      <c r="A61" s="34">
        <v>45673</v>
      </c>
      <c r="B61" s="7" t="str">
        <f t="shared" si="2"/>
        <v>enero</v>
      </c>
      <c r="C61" s="27">
        <v>2400</v>
      </c>
      <c r="D61" s="23" t="s">
        <v>20</v>
      </c>
      <c r="E61" s="61" t="s">
        <v>326</v>
      </c>
      <c r="F61" s="22" t="s">
        <v>72</v>
      </c>
      <c r="G61" s="32" t="str">
        <f>IFERROR(VLOOKUP(F61,Productos!$A$2:$D$258,2,0)," ")</f>
        <v>Repisa Negro</v>
      </c>
      <c r="H61" s="7">
        <v>1</v>
      </c>
      <c r="I61" s="32" t="str">
        <f>IFERROR(VLOOKUP(F61,Productos!$A$2:$D$258,3,0)," ")</f>
        <v>Repisa</v>
      </c>
      <c r="J61" s="54" t="s">
        <v>21</v>
      </c>
      <c r="K61" s="54" t="s">
        <v>22</v>
      </c>
      <c r="L61" s="26" t="str">
        <f t="shared" si="0"/>
        <v>Despachado</v>
      </c>
      <c r="M61" s="56" t="s">
        <v>238</v>
      </c>
      <c r="N61" s="51" t="s">
        <v>474</v>
      </c>
      <c r="O61" s="150">
        <v>45674.630115740743</v>
      </c>
      <c r="P61" s="151">
        <v>45677.528506944444</v>
      </c>
      <c r="Q61" s="24" t="str">
        <f t="shared" si="1"/>
        <v>Entregado</v>
      </c>
      <c r="R61" s="25">
        <f>IF(L61="Despachado",NETWORKDAYS.INTL(A61,O61,11,Valores!$A$2:$A$18)-1,"PTE")</f>
        <v>1</v>
      </c>
      <c r="S61" s="25">
        <f>IF(Q61="Entregado",NETWORKDAYS.INTL(A61,P61,11,Valores!$A$2:$A$18)-1,"PTE")</f>
        <v>3</v>
      </c>
      <c r="T61" s="25"/>
      <c r="U61" s="25"/>
      <c r="V61" s="25" t="str">
        <f>IF(Q61="Entregado",IF(S61&lt;=VLOOKUP(K61,Valores!E:F,2,0),"Cumple","No cumple"),"PTE")</f>
        <v>Cumple</v>
      </c>
      <c r="W61" s="25"/>
      <c r="X61" s="29">
        <f>VLOOKUP(N61,[1]Hoja1!$G:$BE,39,0)</f>
        <v>23429</v>
      </c>
      <c r="Y61" s="224"/>
      <c r="Z61" s="28"/>
    </row>
    <row r="62" spans="1:26" hidden="1" x14ac:dyDescent="0.3">
      <c r="A62" s="34">
        <v>45673</v>
      </c>
      <c r="B62" s="7" t="str">
        <f t="shared" si="2"/>
        <v>enero</v>
      </c>
      <c r="C62" s="27">
        <v>2400</v>
      </c>
      <c r="D62" s="23" t="s">
        <v>20</v>
      </c>
      <c r="E62" s="61" t="s">
        <v>326</v>
      </c>
      <c r="F62" s="22"/>
      <c r="G62" s="32" t="s">
        <v>1796</v>
      </c>
      <c r="H62" s="7">
        <v>1</v>
      </c>
      <c r="I62" s="32" t="s">
        <v>327</v>
      </c>
      <c r="J62" s="54" t="s">
        <v>21</v>
      </c>
      <c r="K62" s="54" t="s">
        <v>22</v>
      </c>
      <c r="L62" s="26" t="s">
        <v>327</v>
      </c>
      <c r="M62" s="56" t="s">
        <v>241</v>
      </c>
      <c r="N62" s="118" t="s">
        <v>241</v>
      </c>
      <c r="O62" s="150">
        <v>45678</v>
      </c>
      <c r="P62" s="150">
        <v>45678</v>
      </c>
      <c r="Q62" s="24" t="str">
        <f t="shared" si="1"/>
        <v>Entregado</v>
      </c>
      <c r="R62" s="25" t="str">
        <f>IF(L62="Despachado",NETWORKDAYS.INTL(A62,O62,11,Valores!$A$2:$A$18)-1,"PTE")</f>
        <v>PTE</v>
      </c>
      <c r="S62" s="25">
        <f>IF(Q62="Entregado",NETWORKDAYS.INTL(A62,P62,11,Valores!$A$2:$A$18)-1,"PTE")</f>
        <v>4</v>
      </c>
      <c r="T62" s="25"/>
      <c r="U62" s="25"/>
      <c r="V62" s="25" t="str">
        <f>IF(Q62="Entregado",IF(S62&lt;=VLOOKUP(K62,Valores!E:F,2,0),"Cumple","No cumple"),"PTE")</f>
        <v>No cumple</v>
      </c>
      <c r="W62" s="25"/>
      <c r="X62" s="29">
        <v>0</v>
      </c>
      <c r="Y62" s="224"/>
      <c r="Z62" s="28"/>
    </row>
    <row r="63" spans="1:26" hidden="1" x14ac:dyDescent="0.3">
      <c r="A63" s="34">
        <v>45673</v>
      </c>
      <c r="B63" s="7" t="str">
        <f t="shared" si="2"/>
        <v>enero</v>
      </c>
      <c r="C63" s="27">
        <v>2401</v>
      </c>
      <c r="D63" s="23" t="s">
        <v>20</v>
      </c>
      <c r="E63" s="61" t="s">
        <v>326</v>
      </c>
      <c r="F63" s="22" t="s">
        <v>65</v>
      </c>
      <c r="G63" s="32" t="str">
        <f>IFERROR(VLOOKUP(F63,Productos!$A$2:$D$258,2,0)," ")</f>
        <v>Archivador TECU  Negro</v>
      </c>
      <c r="H63" s="7">
        <v>1</v>
      </c>
      <c r="I63" s="32" t="str">
        <f>IFERROR(VLOOKUP(F63,Productos!$A$2:$D$258,3,0)," ")</f>
        <v>Archivador</v>
      </c>
      <c r="J63" s="54" t="s">
        <v>21</v>
      </c>
      <c r="K63" s="54" t="s">
        <v>22</v>
      </c>
      <c r="L63" s="26" t="str">
        <f t="shared" si="0"/>
        <v>Despachado</v>
      </c>
      <c r="M63" s="56" t="s">
        <v>239</v>
      </c>
      <c r="N63" s="51" t="s">
        <v>475</v>
      </c>
      <c r="O63" s="150">
        <v>45674.660416666673</v>
      </c>
      <c r="P63" s="151">
        <v>45675.498611111107</v>
      </c>
      <c r="Q63" s="24" t="str">
        <f t="shared" si="1"/>
        <v>Entregado</v>
      </c>
      <c r="R63" s="25">
        <f>IF(L63="Despachado",NETWORKDAYS.INTL(A63,O63,11,Valores!$A$2:$A$18)-1,"PTE")</f>
        <v>1</v>
      </c>
      <c r="S63" s="25">
        <f>IF(Q63="Entregado",NETWORKDAYS.INTL(A63,P63,11,Valores!$A$2:$A$18)-1,"PTE")</f>
        <v>2</v>
      </c>
      <c r="T63" s="25"/>
      <c r="U63" s="25"/>
      <c r="V63" s="25" t="str">
        <f>IF(Q63="Entregado",IF(S63&lt;=VLOOKUP(K63,Valores!E:F,2,0),"Cumple","No cumple"),"PTE")</f>
        <v>Cumple</v>
      </c>
      <c r="W63" s="25"/>
      <c r="X63" s="29">
        <f>VLOOKUP(N63,[1]Hoja1!$G:$BE,39,0)</f>
        <v>70717</v>
      </c>
      <c r="Y63" s="224"/>
      <c r="Z63" s="28"/>
    </row>
    <row r="64" spans="1:26" hidden="1" x14ac:dyDescent="0.3">
      <c r="A64" s="34">
        <v>45674</v>
      </c>
      <c r="B64" s="7" t="str">
        <f t="shared" si="2"/>
        <v>enero</v>
      </c>
      <c r="C64" s="27">
        <v>2402</v>
      </c>
      <c r="D64" s="23" t="s">
        <v>20</v>
      </c>
      <c r="E64" s="61" t="s">
        <v>344</v>
      </c>
      <c r="F64" s="40" t="s">
        <v>123</v>
      </c>
      <c r="G64" s="32" t="str">
        <f>IFERROR(VLOOKUP(F64,Productos!$A$2:$D$258,2,0)," ")</f>
        <v>Electric Standing Desk GO Negro</v>
      </c>
      <c r="H64" s="7">
        <v>1</v>
      </c>
      <c r="I64" s="32" t="str">
        <f>IFERROR(VLOOKUP(F64,Productos!$A$2:$D$258,3,0)," ")</f>
        <v>Standing Desk</v>
      </c>
      <c r="J64" s="54" t="s">
        <v>21</v>
      </c>
      <c r="K64" s="54" t="s">
        <v>22</v>
      </c>
      <c r="L64" s="26" t="str">
        <f t="shared" si="0"/>
        <v>Despachado</v>
      </c>
      <c r="M64" s="56" t="s">
        <v>238</v>
      </c>
      <c r="N64" s="51" t="s">
        <v>476</v>
      </c>
      <c r="O64" s="150">
        <v>45674.630115740743</v>
      </c>
      <c r="P64" s="151">
        <v>45677.464814814812</v>
      </c>
      <c r="Q64" s="24" t="str">
        <f t="shared" si="1"/>
        <v>Entregado</v>
      </c>
      <c r="R64" s="25">
        <f>IF(L64="Despachado",NETWORKDAYS.INTL(A64,O64,11,Valores!$A$2:$A$18)-1,"PTE")</f>
        <v>0</v>
      </c>
      <c r="S64" s="25">
        <f>IF(Q64="Entregado",NETWORKDAYS.INTL(A64,P64,11,Valores!$A$2:$A$18)-1,"PTE")</f>
        <v>2</v>
      </c>
      <c r="T64" s="25"/>
      <c r="U64" s="25"/>
      <c r="V64" s="25" t="str">
        <f>IF(Q64="Entregado",IF(S64&lt;=VLOOKUP(K64,Valores!E:F,2,0),"Cumple","No cumple"),"PTE")</f>
        <v>Cumple</v>
      </c>
      <c r="W64" s="25"/>
      <c r="X64" s="29">
        <f>VLOOKUP(N64,[1]Hoja1!$G:$BE,39,0)</f>
        <v>41593</v>
      </c>
      <c r="Y64" s="224"/>
      <c r="Z64" s="28"/>
    </row>
    <row r="65" spans="1:26" hidden="1" x14ac:dyDescent="0.3">
      <c r="A65" s="34">
        <v>45674</v>
      </c>
      <c r="B65" s="7" t="str">
        <f t="shared" si="2"/>
        <v>enero</v>
      </c>
      <c r="C65" s="27">
        <v>2402</v>
      </c>
      <c r="D65" s="23" t="s">
        <v>20</v>
      </c>
      <c r="E65" s="61" t="s">
        <v>344</v>
      </c>
      <c r="F65" s="22" t="s">
        <v>301</v>
      </c>
      <c r="G65" s="32" t="str">
        <f>IFERROR(VLOOKUP(F65,Productos!$A$2:$D$258,2,0)," ")</f>
        <v>Superficie  Fresno Europeo 120x70 Clasico Small</v>
      </c>
      <c r="H65" s="7">
        <v>1</v>
      </c>
      <c r="I65" s="32" t="str">
        <f>IFERROR(VLOOKUP(F65,Productos!$A$2:$D$258,3,0)," ")</f>
        <v>Superficie</v>
      </c>
      <c r="J65" s="54" t="s">
        <v>21</v>
      </c>
      <c r="K65" s="54" t="s">
        <v>22</v>
      </c>
      <c r="L65" s="26" t="str">
        <f t="shared" si="0"/>
        <v>Despachado</v>
      </c>
      <c r="M65" s="56" t="s">
        <v>238</v>
      </c>
      <c r="N65" s="51" t="s">
        <v>477</v>
      </c>
      <c r="O65" s="150">
        <v>45674.630115740743</v>
      </c>
      <c r="P65" s="151">
        <v>45677.463877314818</v>
      </c>
      <c r="Q65" s="24" t="str">
        <f t="shared" si="1"/>
        <v>Entregado</v>
      </c>
      <c r="R65" s="25">
        <f>IF(L65="Despachado",NETWORKDAYS.INTL(A65,O65,11,Valores!$A$2:$A$18)-1,"PTE")</f>
        <v>0</v>
      </c>
      <c r="S65" s="25">
        <f>IF(Q65="Entregado",NETWORKDAYS.INTL(A65,P65,11,Valores!$A$2:$A$18)-1,"PTE")</f>
        <v>2</v>
      </c>
      <c r="T65" s="25"/>
      <c r="U65" s="25"/>
      <c r="V65" s="25" t="str">
        <f>IF(Q65="Entregado",IF(S65&lt;=VLOOKUP(K65,Valores!E:F,2,0),"Cumple","No cumple"),"PTE")</f>
        <v>Cumple</v>
      </c>
      <c r="W65" s="25"/>
      <c r="X65" s="29">
        <f>VLOOKUP(N65,[1]Hoja1!$G:$BE,39,0)</f>
        <v>24093</v>
      </c>
      <c r="Y65" s="224"/>
      <c r="Z65" s="28"/>
    </row>
    <row r="66" spans="1:26" hidden="1" x14ac:dyDescent="0.3">
      <c r="A66" s="34">
        <v>45674</v>
      </c>
      <c r="B66" s="7" t="str">
        <f t="shared" si="2"/>
        <v>enero</v>
      </c>
      <c r="C66" s="27">
        <v>2403</v>
      </c>
      <c r="D66" s="23" t="s">
        <v>20</v>
      </c>
      <c r="E66" s="61" t="s">
        <v>345</v>
      </c>
      <c r="F66" s="22" t="s">
        <v>129</v>
      </c>
      <c r="G66" s="32" t="str">
        <f>IFERROR(VLOOKUP(F66,Productos!$A$2:$D$258,2,0)," ")</f>
        <v>Electric Standing Desk  PRO Negro</v>
      </c>
      <c r="H66" s="7">
        <v>1</v>
      </c>
      <c r="I66" s="32" t="str">
        <f>IFERROR(VLOOKUP(F66,Productos!$A$2:$D$258,3,0)," ")</f>
        <v>Standing Desk</v>
      </c>
      <c r="J66" s="54" t="s">
        <v>21</v>
      </c>
      <c r="K66" s="54" t="s">
        <v>22</v>
      </c>
      <c r="L66" s="26" t="str">
        <f t="shared" si="0"/>
        <v>Despachado</v>
      </c>
      <c r="M66" s="56" t="s">
        <v>238</v>
      </c>
      <c r="N66" s="51" t="s">
        <v>478</v>
      </c>
      <c r="O66" s="150">
        <v>45677.703368055547</v>
      </c>
      <c r="P66" s="151">
        <v>45679</v>
      </c>
      <c r="Q66" s="24" t="str">
        <f t="shared" si="1"/>
        <v>Entregado</v>
      </c>
      <c r="R66" s="25">
        <f>IF(L66="Despachado",NETWORKDAYS.INTL(A66,O66,11,Valores!$A$2:$A$18)-1,"PTE")</f>
        <v>2</v>
      </c>
      <c r="S66" s="25">
        <f>IF(Q66="Entregado",NETWORKDAYS.INTL(A66,P66,11,Valores!$A$2:$A$18)-1,"PTE")</f>
        <v>4</v>
      </c>
      <c r="T66" s="25"/>
      <c r="U66" s="25"/>
      <c r="V66" s="25" t="str">
        <f>IF(Q66="Entregado",IF(S66&lt;=VLOOKUP(K66,Valores!E:F,2,0),"Cumple","No cumple"),"PTE")</f>
        <v>No cumple</v>
      </c>
      <c r="W66" s="25"/>
      <c r="X66" s="29">
        <f>VLOOKUP(N66,[1]Hoja1!$G:$BE,39,0)</f>
        <v>42921</v>
      </c>
      <c r="Y66" s="224"/>
      <c r="Z66" s="28"/>
    </row>
    <row r="67" spans="1:26" hidden="1" x14ac:dyDescent="0.3">
      <c r="A67" s="34">
        <v>45674</v>
      </c>
      <c r="B67" s="7" t="str">
        <f t="shared" si="2"/>
        <v>enero</v>
      </c>
      <c r="C67" s="27">
        <v>2403</v>
      </c>
      <c r="D67" s="23" t="s">
        <v>20</v>
      </c>
      <c r="E67" s="61" t="s">
        <v>345</v>
      </c>
      <c r="F67" s="22" t="s">
        <v>301</v>
      </c>
      <c r="G67" s="32" t="str">
        <f>IFERROR(VLOOKUP(F67,Productos!$A$2:$D$258,2,0)," ")</f>
        <v>Superficie  Fresno Europeo 120x70 Clasico Small</v>
      </c>
      <c r="H67" s="7">
        <v>1</v>
      </c>
      <c r="I67" s="32" t="str">
        <f>IFERROR(VLOOKUP(F67,Productos!$A$2:$D$258,3,0)," ")</f>
        <v>Superficie</v>
      </c>
      <c r="J67" s="54" t="s">
        <v>21</v>
      </c>
      <c r="K67" s="54" t="s">
        <v>22</v>
      </c>
      <c r="L67" s="26" t="str">
        <f t="shared" si="0"/>
        <v>Despachado</v>
      </c>
      <c r="M67" s="56" t="s">
        <v>238</v>
      </c>
      <c r="N67" s="51" t="s">
        <v>479</v>
      </c>
      <c r="O67" s="150">
        <v>45677.703368055547</v>
      </c>
      <c r="P67" s="151">
        <v>45678.650092592587</v>
      </c>
      <c r="Q67" s="24" t="str">
        <f t="shared" si="1"/>
        <v>Entregado</v>
      </c>
      <c r="R67" s="25">
        <f>IF(L67="Despachado",NETWORKDAYS.INTL(A67,O67,11,Valores!$A$2:$A$18)-1,"PTE")</f>
        <v>2</v>
      </c>
      <c r="S67" s="25">
        <f>IF(Q67="Entregado",NETWORKDAYS.INTL(A67,P67,11,Valores!$A$2:$A$18)-1,"PTE")</f>
        <v>3</v>
      </c>
      <c r="T67" s="25"/>
      <c r="U67" s="25"/>
      <c r="V67" s="25" t="str">
        <f>IF(Q67="Entregado",IF(S67&lt;=VLOOKUP(K67,Valores!E:F,2,0),"Cumple","No cumple"),"PTE")</f>
        <v>Cumple</v>
      </c>
      <c r="W67" s="25"/>
      <c r="X67" s="29">
        <f>VLOOKUP(N67,[1]Hoja1!$G:$BE,39,0)</f>
        <v>28741</v>
      </c>
      <c r="Y67" s="224"/>
      <c r="Z67" s="28"/>
    </row>
    <row r="68" spans="1:26" hidden="1" x14ac:dyDescent="0.3">
      <c r="A68" s="34">
        <v>45674</v>
      </c>
      <c r="B68" s="7" t="str">
        <f t="shared" si="2"/>
        <v>enero</v>
      </c>
      <c r="C68" s="27">
        <v>2403</v>
      </c>
      <c r="D68" s="23" t="s">
        <v>20</v>
      </c>
      <c r="E68" s="61" t="s">
        <v>345</v>
      </c>
      <c r="F68" s="22"/>
      <c r="G68" s="32" t="s">
        <v>1796</v>
      </c>
      <c r="H68" s="7">
        <v>1</v>
      </c>
      <c r="I68" s="32" t="s">
        <v>327</v>
      </c>
      <c r="J68" s="54" t="s">
        <v>21</v>
      </c>
      <c r="K68" s="54" t="s">
        <v>22</v>
      </c>
      <c r="L68" s="26" t="s">
        <v>327</v>
      </c>
      <c r="M68" s="56" t="s">
        <v>241</v>
      </c>
      <c r="N68" s="118" t="s">
        <v>241</v>
      </c>
      <c r="O68" s="150">
        <v>45680</v>
      </c>
      <c r="P68" s="150" t="s">
        <v>241</v>
      </c>
      <c r="Q68" s="24" t="str">
        <f t="shared" si="1"/>
        <v>Entregado</v>
      </c>
      <c r="R68" s="25" t="str">
        <f>IF(L68="Despachado",NETWORKDAYS.INTL(A68,O68,11,Valores!$A$2:$A$18)-1,"PTE")</f>
        <v>PTE</v>
      </c>
      <c r="S68" s="25" t="e">
        <f>IF(Q68="Entregado",NETWORKDAYS.INTL(A68,P68,11,Valores!$A$2:$A$18)-1,"PTE")</f>
        <v>#VALUE!</v>
      </c>
      <c r="T68" s="25"/>
      <c r="U68" s="25"/>
      <c r="V68" s="25" t="e">
        <f>IF(Q68="Entregado",IF(S68&lt;=VLOOKUP(K68,Valores!E:F,2,0),"Cumple","No cumple"),"PTE")</f>
        <v>#VALUE!</v>
      </c>
      <c r="W68" s="25"/>
      <c r="X68" s="29">
        <v>0</v>
      </c>
      <c r="Y68" s="224"/>
      <c r="Z68" s="28"/>
    </row>
    <row r="69" spans="1:26" hidden="1" x14ac:dyDescent="0.3">
      <c r="A69" s="34">
        <v>45675</v>
      </c>
      <c r="B69" s="7" t="str">
        <f t="shared" si="2"/>
        <v>enero</v>
      </c>
      <c r="C69" s="27">
        <v>2404</v>
      </c>
      <c r="D69" s="23" t="s">
        <v>20</v>
      </c>
      <c r="E69" s="119" t="s">
        <v>480</v>
      </c>
      <c r="F69" s="22" t="s">
        <v>129</v>
      </c>
      <c r="G69" s="32" t="str">
        <f>IFERROR(VLOOKUP(F69,Productos!$A$2:$D$258,2,0)," ")</f>
        <v>Electric Standing Desk  PRO Negro</v>
      </c>
      <c r="H69" s="7">
        <v>1</v>
      </c>
      <c r="I69" s="32" t="str">
        <f>IFERROR(VLOOKUP(F69,Productos!$A$2:$D$258,3,0)," ")</f>
        <v>Standing Desk</v>
      </c>
      <c r="J69" s="118" t="s">
        <v>24</v>
      </c>
      <c r="K69" s="118" t="s">
        <v>481</v>
      </c>
      <c r="L69" s="26" t="str">
        <f t="shared" si="0"/>
        <v>Despachado</v>
      </c>
      <c r="M69" s="56" t="s">
        <v>238</v>
      </c>
      <c r="N69" s="51" t="s">
        <v>482</v>
      </c>
      <c r="O69" s="150">
        <v>45677.703368055547</v>
      </c>
      <c r="P69" s="151">
        <v>45679.591041666667</v>
      </c>
      <c r="Q69" s="24" t="str">
        <f t="shared" si="1"/>
        <v>Entregado</v>
      </c>
      <c r="R69" s="25">
        <f>IF(L69="Despachado",NETWORKDAYS.INTL(A69,O69,11,Valores!$A$2:$A$18)-1,"PTE")</f>
        <v>1</v>
      </c>
      <c r="S69" s="25">
        <f>IF(Q69="Entregado",NETWORKDAYS.INTL(A69,P69,11,Valores!$A$2:$A$18)-1,"PTE")</f>
        <v>3</v>
      </c>
      <c r="T69" s="25"/>
      <c r="U69" s="25"/>
      <c r="V69" s="25" t="str">
        <f>IF(Q69="Entregado",IF(S69&lt;=VLOOKUP(K69,Valores!E:F,2,0),"Cumple","No cumple"),"PTE")</f>
        <v>Cumple</v>
      </c>
      <c r="W69" s="25"/>
      <c r="X69" s="29">
        <f>VLOOKUP(N69,[1]Hoja1!$G:$BE,39,0)</f>
        <v>42921</v>
      </c>
      <c r="Y69" s="224"/>
      <c r="Z69" s="28"/>
    </row>
    <row r="70" spans="1:26" hidden="1" x14ac:dyDescent="0.3">
      <c r="A70" s="34">
        <v>45675</v>
      </c>
      <c r="B70" s="7" t="str">
        <f t="shared" si="2"/>
        <v>enero</v>
      </c>
      <c r="C70" s="27">
        <v>2404</v>
      </c>
      <c r="D70" s="23" t="s">
        <v>20</v>
      </c>
      <c r="E70" s="119" t="s">
        <v>480</v>
      </c>
      <c r="F70" s="22" t="s">
        <v>262</v>
      </c>
      <c r="G70" s="32" t="str">
        <f>IFERROR(VLOOKUP(F70,Productos!$A$2:$D$258,2,0)," ")</f>
        <v>Superficie Roble Miel 150x70 Clasico</v>
      </c>
      <c r="H70" s="7">
        <v>1</v>
      </c>
      <c r="I70" s="32" t="str">
        <f>IFERROR(VLOOKUP(F70,Productos!$A$2:$D$258,3,0)," ")</f>
        <v>Superficie</v>
      </c>
      <c r="J70" s="118" t="s">
        <v>24</v>
      </c>
      <c r="K70" s="118" t="s">
        <v>481</v>
      </c>
      <c r="L70" s="26" t="str">
        <f t="shared" ref="L70:L79" si="3">IF(O70&gt;0,"Despachado","En alistamiento")</f>
        <v>Despachado</v>
      </c>
      <c r="M70" s="56" t="s">
        <v>238</v>
      </c>
      <c r="N70" s="51" t="s">
        <v>483</v>
      </c>
      <c r="O70" s="150">
        <v>45677.703368055547</v>
      </c>
      <c r="P70" s="151">
        <v>45679.591041666667</v>
      </c>
      <c r="Q70" s="24" t="str">
        <f t="shared" ref="Q70:Q133" si="4">IF(P70&gt;0,"Entregado","En transito")</f>
        <v>Entregado</v>
      </c>
      <c r="R70" s="25">
        <f>IF(L70="Despachado",NETWORKDAYS.INTL(A70,O70,11,Valores!$A$2:$A$18)-1,"PTE")</f>
        <v>1</v>
      </c>
      <c r="S70" s="25">
        <f>IF(Q70="Entregado",NETWORKDAYS.INTL(A70,P70,11,Valores!$A$2:$A$18)-1,"PTE")</f>
        <v>3</v>
      </c>
      <c r="T70" s="25"/>
      <c r="U70" s="25"/>
      <c r="V70" s="25" t="str">
        <f>IF(Q70="Entregado",IF(S70&lt;=VLOOKUP(K70,Valores!E:F,2,0),"Cumple","No cumple"),"PTE")</f>
        <v>Cumple</v>
      </c>
      <c r="W70" s="25"/>
      <c r="X70" s="29">
        <f>VLOOKUP(N70,[1]Hoja1!$G:$BE,39,0)</f>
        <v>24593</v>
      </c>
      <c r="Y70" s="224"/>
      <c r="Z70" s="28"/>
    </row>
    <row r="71" spans="1:26" hidden="1" x14ac:dyDescent="0.3">
      <c r="A71" s="34">
        <v>45675</v>
      </c>
      <c r="B71" s="7" t="str">
        <f>TEXT(A71,"mmmm")</f>
        <v>enero</v>
      </c>
      <c r="C71" s="27">
        <v>2404</v>
      </c>
      <c r="D71" s="23" t="s">
        <v>20</v>
      </c>
      <c r="E71" s="119" t="s">
        <v>480</v>
      </c>
      <c r="F71" s="22" t="s">
        <v>240</v>
      </c>
      <c r="G71" s="32" t="str">
        <f>IFERROR(VLOOKUP(F71,Productos!$A$2:$D$258,2,0)," ")</f>
        <v>Bandeja de cables</v>
      </c>
      <c r="H71" s="7">
        <v>1</v>
      </c>
      <c r="I71" s="32" t="str">
        <f>IFERROR(VLOOKUP(F71,Productos!$A$2:$D$258,3,0)," ")</f>
        <v>Accesorio</v>
      </c>
      <c r="J71" s="118" t="s">
        <v>24</v>
      </c>
      <c r="K71" s="118" t="s">
        <v>481</v>
      </c>
      <c r="L71" s="26" t="str">
        <f t="shared" si="3"/>
        <v>Despachado</v>
      </c>
      <c r="M71" s="56" t="s">
        <v>238</v>
      </c>
      <c r="N71" s="51" t="s">
        <v>484</v>
      </c>
      <c r="O71" s="150">
        <v>45677.703368055547</v>
      </c>
      <c r="P71" s="151">
        <v>45679.591041666667</v>
      </c>
      <c r="Q71" s="24" t="str">
        <f t="shared" si="4"/>
        <v>Entregado</v>
      </c>
      <c r="R71" s="25">
        <f>IF(L71="Despachado",NETWORKDAYS.INTL(A71,O71,11,Valores!$A$2:$A$18)-1,"PTE")</f>
        <v>1</v>
      </c>
      <c r="S71" s="25">
        <f>IF(Q71="Entregado",NETWORKDAYS.INTL(A71,P71,11,Valores!$A$2:$A$18)-1,"PTE")</f>
        <v>3</v>
      </c>
      <c r="T71" s="25"/>
      <c r="U71" s="25"/>
      <c r="V71" s="25" t="str">
        <f>IF(Q71="Entregado",IF(S71&lt;=VLOOKUP(K71,Valores!E:F,2,0),"Cumple","No cumple"),"PTE")</f>
        <v>Cumple</v>
      </c>
      <c r="W71" s="25"/>
      <c r="X71" s="29">
        <f>VLOOKUP(N71,[1]Hoja1!$G:$BE,39,0)</f>
        <v>24885</v>
      </c>
      <c r="Y71" s="224"/>
      <c r="Z71" s="28"/>
    </row>
    <row r="72" spans="1:26" hidden="1" x14ac:dyDescent="0.3">
      <c r="A72" s="34">
        <v>45675</v>
      </c>
      <c r="B72" s="7" t="str">
        <f t="shared" si="2"/>
        <v>enero</v>
      </c>
      <c r="C72" s="27">
        <v>2405</v>
      </c>
      <c r="D72" s="23" t="s">
        <v>20</v>
      </c>
      <c r="E72" s="119" t="s">
        <v>341</v>
      </c>
      <c r="F72" s="22" t="s">
        <v>240</v>
      </c>
      <c r="G72" s="32" t="str">
        <f>IFERROR(VLOOKUP(F72,Productos!$A$2:$D$258,2,0)," ")</f>
        <v>Bandeja de cables</v>
      </c>
      <c r="H72" s="7">
        <v>1</v>
      </c>
      <c r="I72" s="32" t="str">
        <f>IFERROR(VLOOKUP(F72,Productos!$A$2:$D$258,3,0)," ")</f>
        <v>Accesorio</v>
      </c>
      <c r="J72" s="118" t="s">
        <v>24</v>
      </c>
      <c r="K72" s="118" t="s">
        <v>25</v>
      </c>
      <c r="L72" s="26" t="str">
        <f t="shared" si="3"/>
        <v>Despachado</v>
      </c>
      <c r="M72" s="56" t="s">
        <v>238</v>
      </c>
      <c r="N72" s="51" t="s">
        <v>485</v>
      </c>
      <c r="O72" s="150">
        <v>45677.703368055547</v>
      </c>
      <c r="P72" s="151">
        <v>45678.54478009259</v>
      </c>
      <c r="Q72" s="24" t="str">
        <f t="shared" si="4"/>
        <v>Entregado</v>
      </c>
      <c r="R72" s="25">
        <f>IF(L72="Despachado",NETWORKDAYS.INTL(A72,O72,11,Valores!$A$2:$A$18)-1,"PTE")</f>
        <v>1</v>
      </c>
      <c r="S72" s="25">
        <f>IF(Q72="Entregado",NETWORKDAYS.INTL(A72,P72,11,Valores!$A$2:$A$18)-1,"PTE")</f>
        <v>2</v>
      </c>
      <c r="T72" s="25"/>
      <c r="U72" s="25"/>
      <c r="V72" s="25" t="str">
        <f>IF(Q72="Entregado",IF(S72&lt;=VLOOKUP(K72,Valores!E:F,2,0),"Cumple","No cumple"),"PTE")</f>
        <v>Cumple</v>
      </c>
      <c r="W72" s="25"/>
      <c r="X72" s="29">
        <f>VLOOKUP(N72,[1]Hoja1!$G:$BE,39,0)</f>
        <v>24885</v>
      </c>
      <c r="Y72" s="224"/>
      <c r="Z72" s="28"/>
    </row>
    <row r="73" spans="1:26" hidden="1" x14ac:dyDescent="0.3">
      <c r="A73" s="34">
        <v>45677</v>
      </c>
      <c r="B73" s="7" t="str">
        <f t="shared" si="2"/>
        <v>enero</v>
      </c>
      <c r="C73" s="27">
        <v>2406</v>
      </c>
      <c r="D73" s="23" t="s">
        <v>20</v>
      </c>
      <c r="E73" s="119" t="s">
        <v>486</v>
      </c>
      <c r="F73" s="22" t="s">
        <v>127</v>
      </c>
      <c r="G73" s="32" t="str">
        <f>IFERROR(VLOOKUP(F73,Productos!$A$2:$D$258,2,0)," ")</f>
        <v>Electric Standing Desk GO Blanco</v>
      </c>
      <c r="H73" s="7">
        <v>1</v>
      </c>
      <c r="I73" s="32" t="str">
        <f>IFERROR(VLOOKUP(F73,Productos!$A$2:$D$258,3,0)," ")</f>
        <v>Standing Desk</v>
      </c>
      <c r="J73" s="118" t="s">
        <v>42</v>
      </c>
      <c r="K73" s="118" t="s">
        <v>487</v>
      </c>
      <c r="L73" s="26" t="str">
        <f t="shared" si="3"/>
        <v>Despachado</v>
      </c>
      <c r="M73" s="56" t="s">
        <v>238</v>
      </c>
      <c r="N73" s="51" t="s">
        <v>488</v>
      </c>
      <c r="O73" s="150">
        <v>45678.716053240743</v>
      </c>
      <c r="P73" s="151">
        <v>45679</v>
      </c>
      <c r="Q73" s="24" t="str">
        <f t="shared" si="4"/>
        <v>Entregado</v>
      </c>
      <c r="R73" s="25">
        <f>IF(L73="Despachado",NETWORKDAYS.INTL(A73,O73,11,Valores!$A$2:$A$18)-1,"PTE")</f>
        <v>1</v>
      </c>
      <c r="S73" s="25">
        <f>IF(Q73="Entregado",NETWORKDAYS.INTL(A73,P73,11,Valores!$A$2:$A$18)-1,"PTE")</f>
        <v>2</v>
      </c>
      <c r="T73" s="25"/>
      <c r="U73" s="25"/>
      <c r="V73" s="25" t="e">
        <f>IF(Q73="Entregado",IF(S73&lt;=VLOOKUP(K73,Valores!E:F,2,0),"Cumple","No cumple"),"PTE")</f>
        <v>#N/A</v>
      </c>
      <c r="W73" s="25"/>
      <c r="X73" s="29">
        <f>VLOOKUP(N73,[1]Hoja1!$G:$BE,39,0)</f>
        <v>41593</v>
      </c>
      <c r="Y73" s="224"/>
      <c r="Z73" s="28"/>
    </row>
    <row r="74" spans="1:26" hidden="1" x14ac:dyDescent="0.3">
      <c r="A74" s="34">
        <v>45677</v>
      </c>
      <c r="B74" s="7" t="str">
        <f t="shared" ref="B74:B81" si="5">TEXT(A74,"mmmm")</f>
        <v>enero</v>
      </c>
      <c r="C74" s="27">
        <v>2406</v>
      </c>
      <c r="D74" s="23" t="s">
        <v>20</v>
      </c>
      <c r="E74" s="119" t="s">
        <v>486</v>
      </c>
      <c r="F74" s="22" t="s">
        <v>305</v>
      </c>
      <c r="G74" s="32" t="str">
        <f>IFERROR(VLOOKUP(F74,Productos!$A$2:$D$258,2,0)," ")</f>
        <v>Superficie  Fresno Europeo 160x70 Clasico</v>
      </c>
      <c r="H74" s="7">
        <v>1</v>
      </c>
      <c r="I74" s="32" t="str">
        <f>IFERROR(VLOOKUP(F74,Productos!$A$2:$D$258,3,0)," ")</f>
        <v>Superficie</v>
      </c>
      <c r="J74" s="118" t="s">
        <v>42</v>
      </c>
      <c r="K74" s="118" t="s">
        <v>487</v>
      </c>
      <c r="L74" s="26" t="str">
        <f t="shared" si="3"/>
        <v>Despachado</v>
      </c>
      <c r="M74" s="56" t="s">
        <v>238</v>
      </c>
      <c r="N74" s="51" t="s">
        <v>489</v>
      </c>
      <c r="O74" s="150">
        <v>45678.716053240743</v>
      </c>
      <c r="P74" s="151">
        <v>45679</v>
      </c>
      <c r="Q74" s="24" t="str">
        <f t="shared" si="4"/>
        <v>Entregado</v>
      </c>
      <c r="R74" s="25">
        <f>IF(L74="Despachado",NETWORKDAYS.INTL(A74,O74,11,Valores!$A$2:$A$18)-1,"PTE")</f>
        <v>1</v>
      </c>
      <c r="S74" s="25">
        <f>IF(Q74="Entregado",NETWORKDAYS.INTL(A74,P74,11,Valores!$A$2:$A$18)-1,"PTE")</f>
        <v>2</v>
      </c>
      <c r="T74" s="25"/>
      <c r="U74" s="25"/>
      <c r="V74" s="25" t="e">
        <f>IF(Q74="Entregado",IF(S74&lt;=VLOOKUP(K74,Valores!E:F,2,0),"Cumple","No cumple"),"PTE")</f>
        <v>#N/A</v>
      </c>
      <c r="W74" s="25"/>
      <c r="X74" s="29">
        <f>VLOOKUP(N74,[1]Hoja1!$G:$BE,39,0)</f>
        <v>24093</v>
      </c>
      <c r="Y74" s="224"/>
      <c r="Z74" s="28"/>
    </row>
    <row r="75" spans="1:26" hidden="1" x14ac:dyDescent="0.3">
      <c r="A75" s="34">
        <v>45678</v>
      </c>
      <c r="B75" s="7" t="str">
        <f t="shared" si="5"/>
        <v>enero</v>
      </c>
      <c r="C75" s="27">
        <v>2407</v>
      </c>
      <c r="D75" s="23" t="s">
        <v>20</v>
      </c>
      <c r="E75" s="119" t="s">
        <v>490</v>
      </c>
      <c r="F75" s="22" t="s">
        <v>123</v>
      </c>
      <c r="G75" s="32" t="str">
        <f>IFERROR(VLOOKUP(F75,Productos!$A$2:$D$258,2,0)," ")</f>
        <v>Electric Standing Desk GO Negro</v>
      </c>
      <c r="H75" s="7">
        <v>1</v>
      </c>
      <c r="I75" s="32" t="str">
        <f>IFERROR(VLOOKUP(F75,Productos!$A$2:$D$258,3,0)," ")</f>
        <v>Standing Desk</v>
      </c>
      <c r="J75" s="118" t="s">
        <v>21</v>
      </c>
      <c r="K75" s="118" t="s">
        <v>22</v>
      </c>
      <c r="L75" s="26" t="str">
        <f t="shared" si="3"/>
        <v>Despachado</v>
      </c>
      <c r="M75" s="56" t="s">
        <v>238</v>
      </c>
      <c r="N75" s="51" t="s">
        <v>491</v>
      </c>
      <c r="O75" s="150">
        <v>45678.716053240743</v>
      </c>
      <c r="P75" s="151">
        <v>45679</v>
      </c>
      <c r="Q75" s="24" t="str">
        <f t="shared" si="4"/>
        <v>Entregado</v>
      </c>
      <c r="R75" s="25">
        <f>IF(L75="Despachado",NETWORKDAYS.INTL(A75,O75,11,Valores!$A$2:$A$18)-1,"PTE")</f>
        <v>0</v>
      </c>
      <c r="S75" s="25">
        <f>IF(Q75="Entregado",NETWORKDAYS.INTL(A75,P75,11,Valores!$A$2:$A$18)-1,"PTE")</f>
        <v>1</v>
      </c>
      <c r="T75" s="25"/>
      <c r="U75" s="25"/>
      <c r="V75" s="25" t="str">
        <f>IF(Q75="Entregado",IF(S75&lt;=VLOOKUP(K75,Valores!E:F,2,0),"Cumple","No cumple"),"PTE")</f>
        <v>Cumple</v>
      </c>
      <c r="W75" s="25"/>
      <c r="X75" s="29">
        <f>VLOOKUP(N75,[1]Hoja1!$G:$BE,39,0)</f>
        <v>41593</v>
      </c>
      <c r="Y75" s="224"/>
      <c r="Z75" s="28"/>
    </row>
    <row r="76" spans="1:26" hidden="1" x14ac:dyDescent="0.3">
      <c r="A76" s="34">
        <v>45678</v>
      </c>
      <c r="B76" s="7" t="str">
        <f t="shared" si="5"/>
        <v>enero</v>
      </c>
      <c r="C76" s="27">
        <v>2407</v>
      </c>
      <c r="D76" s="23" t="s">
        <v>20</v>
      </c>
      <c r="E76" s="119" t="s">
        <v>490</v>
      </c>
      <c r="F76" s="22" t="s">
        <v>304</v>
      </c>
      <c r="G76" s="32" t="str">
        <f>IFERROR(VLOOKUP(F76,Productos!$A$2:$D$258,2,0)," ")</f>
        <v>Superficie  Fresno Europeo 150x70 Clasico</v>
      </c>
      <c r="H76" s="7">
        <v>1</v>
      </c>
      <c r="I76" s="32" t="str">
        <f>IFERROR(VLOOKUP(F76,Productos!$A$2:$D$258,3,0)," ")</f>
        <v>Superficie</v>
      </c>
      <c r="J76" s="118" t="s">
        <v>21</v>
      </c>
      <c r="K76" s="118" t="s">
        <v>22</v>
      </c>
      <c r="L76" s="26" t="str">
        <f t="shared" si="3"/>
        <v>Despachado</v>
      </c>
      <c r="M76" s="56" t="s">
        <v>238</v>
      </c>
      <c r="N76" s="118" t="s">
        <v>492</v>
      </c>
      <c r="O76" s="150">
        <v>45678.716053240743</v>
      </c>
      <c r="P76" s="151">
        <v>45680</v>
      </c>
      <c r="Q76" s="24" t="str">
        <f t="shared" si="4"/>
        <v>Entregado</v>
      </c>
      <c r="R76" s="25">
        <f>IF(L76="Despachado",NETWORKDAYS.INTL(A76,O76,11,Valores!$A$2:$A$18)-1,"PTE")</f>
        <v>0</v>
      </c>
      <c r="S76" s="25">
        <f>IF(Q76="Entregado",NETWORKDAYS.INTL(A76,P76,11,Valores!$A$2:$A$18)-1,"PTE")</f>
        <v>2</v>
      </c>
      <c r="T76" s="25"/>
      <c r="U76" s="25"/>
      <c r="V76" s="25" t="str">
        <f>IF(Q76="Entregado",IF(S76&lt;=VLOOKUP(K76,Valores!E:F,2,0),"Cumple","No cumple"),"PTE")</f>
        <v>Cumple</v>
      </c>
      <c r="W76" s="25"/>
      <c r="X76" s="29">
        <f>VLOOKUP(N76,[1]Hoja1!$G:$BE,39,0)</f>
        <v>24093</v>
      </c>
      <c r="Y76" s="224"/>
      <c r="Z76" s="28"/>
    </row>
    <row r="77" spans="1:26" hidden="1" x14ac:dyDescent="0.3">
      <c r="A77" s="34">
        <v>45678</v>
      </c>
      <c r="B77" s="7" t="str">
        <f t="shared" si="5"/>
        <v>enero</v>
      </c>
      <c r="C77" s="27">
        <v>2407</v>
      </c>
      <c r="D77" s="23" t="s">
        <v>20</v>
      </c>
      <c r="E77" s="119" t="s">
        <v>490</v>
      </c>
      <c r="F77" s="22" t="s">
        <v>240</v>
      </c>
      <c r="G77" s="32" t="str">
        <f>IFERROR(VLOOKUP(F77,Productos!$A$2:$D$258,2,0)," ")</f>
        <v>Bandeja de cables</v>
      </c>
      <c r="H77" s="7">
        <v>1</v>
      </c>
      <c r="I77" s="32" t="str">
        <f>IFERROR(VLOOKUP(F77,Productos!$A$2:$D$258,3,0)," ")</f>
        <v>Accesorio</v>
      </c>
      <c r="J77" s="118" t="s">
        <v>21</v>
      </c>
      <c r="K77" s="118" t="s">
        <v>22</v>
      </c>
      <c r="L77" s="26" t="str">
        <f t="shared" si="3"/>
        <v>Despachado</v>
      </c>
      <c r="M77" s="56" t="s">
        <v>238</v>
      </c>
      <c r="N77" s="51" t="s">
        <v>493</v>
      </c>
      <c r="O77" s="150">
        <v>45678.716053240743</v>
      </c>
      <c r="P77" s="151">
        <v>45679</v>
      </c>
      <c r="Q77" s="24" t="str">
        <f t="shared" si="4"/>
        <v>Entregado</v>
      </c>
      <c r="R77" s="25">
        <f>IF(L77="Despachado",NETWORKDAYS.INTL(A77,O77,11,Valores!$A$2:$A$18)-1,"PTE")</f>
        <v>0</v>
      </c>
      <c r="S77" s="25">
        <f>IF(Q77="Entregado",NETWORKDAYS.INTL(A77,P77,11,Valores!$A$2:$A$18)-1,"PTE")</f>
        <v>1</v>
      </c>
      <c r="T77" s="25"/>
      <c r="U77" s="25"/>
      <c r="V77" s="25" t="str">
        <f>IF(Q77="Entregado",IF(S77&lt;=VLOOKUP(K77,Valores!E:F,2,0),"Cumple","No cumple"),"PTE")</f>
        <v>Cumple</v>
      </c>
      <c r="W77" s="25"/>
      <c r="X77" s="29">
        <f>VLOOKUP(N77,[1]Hoja1!$G:$BE,39,0)</f>
        <v>24885</v>
      </c>
      <c r="Y77" s="224"/>
      <c r="Z77" s="28"/>
    </row>
    <row r="78" spans="1:26" hidden="1" x14ac:dyDescent="0.3">
      <c r="A78" s="34">
        <v>45678</v>
      </c>
      <c r="B78" s="7" t="str">
        <f t="shared" si="5"/>
        <v>enero</v>
      </c>
      <c r="C78" s="27">
        <v>2408</v>
      </c>
      <c r="D78" s="23" t="s">
        <v>20</v>
      </c>
      <c r="E78" s="119" t="s">
        <v>494</v>
      </c>
      <c r="F78" s="22" t="s">
        <v>129</v>
      </c>
      <c r="G78" s="32" t="str">
        <f>IFERROR(VLOOKUP(F78,Productos!$A$2:$D$258,2,0)," ")</f>
        <v>Electric Standing Desk  PRO Negro</v>
      </c>
      <c r="H78" s="7">
        <v>1</v>
      </c>
      <c r="I78" s="32" t="str">
        <f>IFERROR(VLOOKUP(F78,Productos!$A$2:$D$258,3,0)," ")</f>
        <v>Standing Desk</v>
      </c>
      <c r="J78" s="118" t="s">
        <v>21</v>
      </c>
      <c r="K78" s="118" t="s">
        <v>22</v>
      </c>
      <c r="L78" s="26" t="str">
        <f t="shared" si="3"/>
        <v>Despachado</v>
      </c>
      <c r="M78" s="56" t="s">
        <v>238</v>
      </c>
      <c r="N78" s="51" t="s">
        <v>495</v>
      </c>
      <c r="O78" s="150">
        <v>45678.716053240743</v>
      </c>
      <c r="P78" s="151">
        <v>45679</v>
      </c>
      <c r="Q78" s="24" t="str">
        <f t="shared" si="4"/>
        <v>Entregado</v>
      </c>
      <c r="R78" s="25">
        <f>IF(L78="Despachado",NETWORKDAYS.INTL(A78,O78,11,Valores!$A$2:$A$18)-1,"PTE")</f>
        <v>0</v>
      </c>
      <c r="S78" s="25">
        <f>IF(Q78="Entregado",NETWORKDAYS.INTL(A78,P78,11,Valores!$A$2:$A$18)-1,"PTE")</f>
        <v>1</v>
      </c>
      <c r="T78" s="25"/>
      <c r="U78" s="25"/>
      <c r="V78" s="25" t="str">
        <f>IF(Q78="Entregado",IF(S78&lt;=VLOOKUP(K78,Valores!E:F,2,0),"Cumple","No cumple"),"PTE")</f>
        <v>Cumple</v>
      </c>
      <c r="W78" s="25"/>
      <c r="X78" s="29">
        <f>VLOOKUP(N78,[1]Hoja1!$G:$BE,39,0)</f>
        <v>42921</v>
      </c>
      <c r="Y78" s="224"/>
      <c r="Z78" s="28"/>
    </row>
    <row r="79" spans="1:26" hidden="1" x14ac:dyDescent="0.3">
      <c r="A79" s="34">
        <v>45678</v>
      </c>
      <c r="B79" s="7" t="str">
        <f t="shared" si="5"/>
        <v>enero</v>
      </c>
      <c r="C79" s="27">
        <v>2408</v>
      </c>
      <c r="D79" s="23" t="s">
        <v>20</v>
      </c>
      <c r="E79" s="119" t="s">
        <v>494</v>
      </c>
      <c r="F79" s="22" t="s">
        <v>33</v>
      </c>
      <c r="G79" s="32" t="str">
        <f>IFERROR(VLOOKUP(F79,Productos!$A$2:$D$258,2,0)," ")</f>
        <v>Superficie  Caramelo 180x70 Clasico</v>
      </c>
      <c r="H79" s="7">
        <v>1</v>
      </c>
      <c r="I79" s="32" t="str">
        <f>IFERROR(VLOOKUP(F79,Productos!$A$2:$D$258,3,0)," ")</f>
        <v>Superficie</v>
      </c>
      <c r="J79" s="118" t="s">
        <v>21</v>
      </c>
      <c r="K79" s="118" t="s">
        <v>22</v>
      </c>
      <c r="L79" s="26" t="str">
        <f t="shared" si="3"/>
        <v>Despachado</v>
      </c>
      <c r="M79" s="56" t="s">
        <v>238</v>
      </c>
      <c r="N79" s="51" t="s">
        <v>496</v>
      </c>
      <c r="O79" s="150">
        <v>45678.716053240743</v>
      </c>
      <c r="P79" s="151">
        <v>45679</v>
      </c>
      <c r="Q79" s="24" t="str">
        <f t="shared" si="4"/>
        <v>Entregado</v>
      </c>
      <c r="R79" s="25">
        <f>IF(L79="Despachado",NETWORKDAYS.INTL(A79,O79,11,Valores!$A$2:$A$18)-1,"PTE")</f>
        <v>0</v>
      </c>
      <c r="S79" s="25">
        <f>IF(Q79="Entregado",NETWORKDAYS.INTL(A79,P79,11,Valores!$A$2:$A$18)-1,"PTE")</f>
        <v>1</v>
      </c>
      <c r="T79" s="25"/>
      <c r="U79" s="25"/>
      <c r="V79" s="25" t="str">
        <f>IF(Q79="Entregado",IF(S79&lt;=VLOOKUP(K79,Valores!E:F,2,0),"Cumple","No cumple"),"PTE")</f>
        <v>Cumple</v>
      </c>
      <c r="W79" s="25"/>
      <c r="X79" s="29">
        <f>VLOOKUP(N79,[1]Hoja1!$G:$BE,39,0)</f>
        <v>26749</v>
      </c>
      <c r="Y79" s="224"/>
      <c r="Z79" s="28"/>
    </row>
    <row r="80" spans="1:26" hidden="1" x14ac:dyDescent="0.3">
      <c r="A80" s="34">
        <v>45678</v>
      </c>
      <c r="B80" s="7" t="str">
        <f t="shared" si="5"/>
        <v>enero</v>
      </c>
      <c r="C80" s="27">
        <v>2408</v>
      </c>
      <c r="D80" s="23" t="s">
        <v>20</v>
      </c>
      <c r="E80" s="119" t="s">
        <v>494</v>
      </c>
      <c r="F80" s="22"/>
      <c r="G80" s="32" t="s">
        <v>1796</v>
      </c>
      <c r="H80" s="7">
        <v>1</v>
      </c>
      <c r="I80" s="32" t="s">
        <v>327</v>
      </c>
      <c r="J80" s="118" t="s">
        <v>21</v>
      </c>
      <c r="K80" s="118" t="s">
        <v>22</v>
      </c>
      <c r="L80" s="26" t="s">
        <v>327</v>
      </c>
      <c r="M80" s="56" t="s">
        <v>241</v>
      </c>
      <c r="N80" s="118" t="s">
        <v>241</v>
      </c>
      <c r="O80" s="150" t="s">
        <v>241</v>
      </c>
      <c r="P80" s="150" t="s">
        <v>241</v>
      </c>
      <c r="Q80" s="24" t="str">
        <f t="shared" si="4"/>
        <v>Entregado</v>
      </c>
      <c r="R80" s="25" t="str">
        <f>IF(L80="Despachado",NETWORKDAYS.INTL(A80,O80,11,Valores!$A$2:$A$18)-1,"PTE")</f>
        <v>PTE</v>
      </c>
      <c r="S80" s="25" t="e">
        <f>IF(Q80="Entregado",NETWORKDAYS.INTL(A80,P80,11,Valores!$A$2:$A$18)-1,"PTE")</f>
        <v>#VALUE!</v>
      </c>
      <c r="T80" s="25"/>
      <c r="U80" s="25"/>
      <c r="V80" s="25" t="e">
        <f>IF(Q80="Entregado",IF(S80&lt;=VLOOKUP(K80,Valores!E:F,2,0),"Cumple","No cumple"),"PTE")</f>
        <v>#VALUE!</v>
      </c>
      <c r="W80" s="25"/>
      <c r="X80" s="29">
        <v>0</v>
      </c>
      <c r="Y80" s="224"/>
      <c r="Z80" s="28"/>
    </row>
    <row r="81" spans="1:26" hidden="1" x14ac:dyDescent="0.3">
      <c r="A81" s="34">
        <v>45678</v>
      </c>
      <c r="B81" s="7" t="str">
        <f t="shared" si="5"/>
        <v>enero</v>
      </c>
      <c r="C81" s="27">
        <v>2409</v>
      </c>
      <c r="D81" s="23" t="s">
        <v>20</v>
      </c>
      <c r="E81" s="119" t="s">
        <v>497</v>
      </c>
      <c r="F81" s="22" t="s">
        <v>74</v>
      </c>
      <c r="G81" s="32" t="str">
        <f>IFERROR(VLOOKUP(F81,Productos!$A$2:$D$258,2,0)," ")</f>
        <v>Repisa Caramelo</v>
      </c>
      <c r="H81" s="7">
        <v>1</v>
      </c>
      <c r="I81" s="32" t="str">
        <f>IFERROR(VLOOKUP(F81,Productos!$A$2:$D$258,3,0)," ")</f>
        <v>Repisa</v>
      </c>
      <c r="J81" s="118" t="s">
        <v>251</v>
      </c>
      <c r="K81" s="118" t="s">
        <v>250</v>
      </c>
      <c r="L81" s="26" t="str">
        <f>IF(O81&gt;0,"Despachado","En alistamiento")</f>
        <v>Despachado</v>
      </c>
      <c r="M81" s="56" t="s">
        <v>238</v>
      </c>
      <c r="N81" s="51" t="s">
        <v>498</v>
      </c>
      <c r="O81" s="150">
        <v>45678.716053240743</v>
      </c>
      <c r="P81" s="151">
        <v>45679</v>
      </c>
      <c r="Q81" s="24" t="str">
        <f t="shared" si="4"/>
        <v>Entregado</v>
      </c>
      <c r="R81" s="25">
        <f>IF(L81="Despachado",NETWORKDAYS.INTL(A81,O81,11,Valores!$A$2:$A$18)-1,"PTE")</f>
        <v>0</v>
      </c>
      <c r="S81" s="25">
        <f>IF(Q81="Entregado",NETWORKDAYS.INTL(A81,P81,11,Valores!$A$2:$A$18)-1,"PTE")</f>
        <v>1</v>
      </c>
      <c r="T81" s="25"/>
      <c r="U81" s="25"/>
      <c r="V81" s="25" t="e">
        <f>IF(Q81="Entregado",IF(S81&lt;=VLOOKUP(K81,Valores!E:F,2,0),"Cumple","No cumple"),"PTE")</f>
        <v>#N/A</v>
      </c>
      <c r="W81" s="25"/>
      <c r="X81" s="29">
        <f>VLOOKUP(N81,[1]Hoja1!$G:$BE,39,0)</f>
        <v>47133</v>
      </c>
      <c r="Y81" s="224"/>
      <c r="Z81" s="28"/>
    </row>
    <row r="82" spans="1:26" hidden="1" x14ac:dyDescent="0.3">
      <c r="A82" s="34">
        <v>45678</v>
      </c>
      <c r="B82" s="7" t="str">
        <f t="shared" ref="B82:B94" si="6">TEXT(A82,"mmmm")</f>
        <v>enero</v>
      </c>
      <c r="C82" s="27">
        <v>2410</v>
      </c>
      <c r="D82" s="23" t="s">
        <v>20</v>
      </c>
      <c r="E82" s="119" t="s">
        <v>499</v>
      </c>
      <c r="F82" s="40" t="s">
        <v>123</v>
      </c>
      <c r="G82" s="32" t="str">
        <f>IFERROR(VLOOKUP(F82,Productos!$A$2:$D$258,2,0)," ")</f>
        <v>Electric Standing Desk GO Negro</v>
      </c>
      <c r="H82" s="7">
        <v>1</v>
      </c>
      <c r="I82" s="32" t="str">
        <f>IFERROR(VLOOKUP(F82,Productos!$A$2:$D$258,3,0)," ")</f>
        <v>Standing Desk</v>
      </c>
      <c r="J82" s="118" t="s">
        <v>192</v>
      </c>
      <c r="K82" s="118" t="s">
        <v>500</v>
      </c>
      <c r="L82" s="26" t="str">
        <f>IF(O82&gt;0,"Despachado","En alistamiento")</f>
        <v>Despachado</v>
      </c>
      <c r="M82" s="56" t="s">
        <v>238</v>
      </c>
      <c r="N82" s="51" t="s">
        <v>501</v>
      </c>
      <c r="O82" s="150">
        <v>45678.716053240743</v>
      </c>
      <c r="P82" s="151">
        <v>45680</v>
      </c>
      <c r="Q82" s="24" t="str">
        <f t="shared" si="4"/>
        <v>Entregado</v>
      </c>
      <c r="R82" s="25">
        <f>IF(L82="Despachado",NETWORKDAYS.INTL(A82,O82,11,Valores!$A$2:$A$18)-1,"PTE")</f>
        <v>0</v>
      </c>
      <c r="S82" s="25">
        <f>IF(Q82="Entregado",NETWORKDAYS.INTL(A82,P82,11,Valores!$A$2:$A$18)-1,"PTE")</f>
        <v>2</v>
      </c>
      <c r="T82" s="25"/>
      <c r="U82" s="25"/>
      <c r="V82" s="25" t="e">
        <f>IF(Q82="Entregado",IF(S82&lt;=VLOOKUP(K82,Valores!E:F,2,0),"Cumple","No cumple"),"PTE")</f>
        <v>#N/A</v>
      </c>
      <c r="W82" s="25"/>
      <c r="X82" s="29">
        <f>VLOOKUP(N82,[1]Hoja1!$G:$BE,39,0)</f>
        <v>59835</v>
      </c>
      <c r="Y82" s="224"/>
      <c r="Z82" s="28"/>
    </row>
    <row r="83" spans="1:26" hidden="1" x14ac:dyDescent="0.3">
      <c r="A83" s="34">
        <v>45678</v>
      </c>
      <c r="B83" s="7" t="str">
        <f t="shared" si="6"/>
        <v>enero</v>
      </c>
      <c r="C83" s="27">
        <v>2410</v>
      </c>
      <c r="D83" s="23" t="s">
        <v>20</v>
      </c>
      <c r="E83" s="119" t="s">
        <v>499</v>
      </c>
      <c r="F83" s="22" t="s">
        <v>304</v>
      </c>
      <c r="G83" s="32" t="str">
        <f>IFERROR(VLOOKUP(F83,Productos!$A$2:$D$258,2,0)," ")</f>
        <v>Superficie  Fresno Europeo 150x70 Clasico</v>
      </c>
      <c r="H83" s="7">
        <v>1</v>
      </c>
      <c r="I83" s="32" t="str">
        <f>IFERROR(VLOOKUP(F83,Productos!$A$2:$D$258,3,0)," ")</f>
        <v>Superficie</v>
      </c>
      <c r="J83" s="118" t="s">
        <v>192</v>
      </c>
      <c r="K83" s="118" t="s">
        <v>500</v>
      </c>
      <c r="L83" s="26" t="str">
        <f>IF(O83&gt;0,"Despachado","En alistamiento")</f>
        <v>Despachado</v>
      </c>
      <c r="M83" s="56" t="s">
        <v>238</v>
      </c>
      <c r="N83" s="51" t="s">
        <v>502</v>
      </c>
      <c r="O83" s="150">
        <v>45678.716053240743</v>
      </c>
      <c r="P83" s="151">
        <v>45680</v>
      </c>
      <c r="Q83" s="24" t="str">
        <f t="shared" si="4"/>
        <v>Entregado</v>
      </c>
      <c r="R83" s="25">
        <f>IF(L83="Despachado",NETWORKDAYS.INTL(A83,O83,11,Valores!$A$2:$A$18)-1,"PTE")</f>
        <v>0</v>
      </c>
      <c r="S83" s="25">
        <f>IF(Q83="Entregado",NETWORKDAYS.INTL(A83,P83,11,Valores!$A$2:$A$18)-1,"PTE")</f>
        <v>2</v>
      </c>
      <c r="T83" s="25"/>
      <c r="U83" s="25"/>
      <c r="V83" s="25" t="e">
        <f>IF(Q83="Entregado",IF(S83&lt;=VLOOKUP(K83,Valores!E:F,2,0),"Cumple","No cumple"),"PTE")</f>
        <v>#N/A</v>
      </c>
      <c r="W83" s="25"/>
      <c r="X83" s="29">
        <f>VLOOKUP(N83,[1]Hoja1!$G:$BE,39,0)</f>
        <v>39078</v>
      </c>
      <c r="Y83" s="224"/>
      <c r="Z83" s="28"/>
    </row>
    <row r="84" spans="1:26" hidden="1" x14ac:dyDescent="0.3">
      <c r="A84" s="34">
        <v>45678</v>
      </c>
      <c r="B84" s="7" t="str">
        <f t="shared" si="6"/>
        <v>enero</v>
      </c>
      <c r="C84" s="27">
        <v>2411</v>
      </c>
      <c r="D84" s="23" t="s">
        <v>20</v>
      </c>
      <c r="E84" s="119" t="s">
        <v>503</v>
      </c>
      <c r="F84" s="22" t="s">
        <v>129</v>
      </c>
      <c r="G84" s="32" t="str">
        <f>IFERROR(VLOOKUP(F84,Productos!$A$2:$D$258,2,0)," ")</f>
        <v>Electric Standing Desk  PRO Negro</v>
      </c>
      <c r="H84" s="7">
        <v>1</v>
      </c>
      <c r="I84" s="32" t="str">
        <f>IFERROR(VLOOKUP(F84,Productos!$A$2:$D$258,3,0)," ")</f>
        <v>Standing Desk</v>
      </c>
      <c r="J84" s="118" t="s">
        <v>21</v>
      </c>
      <c r="K84" s="118" t="s">
        <v>22</v>
      </c>
      <c r="L84" s="26" t="str">
        <f>IF(O84&gt;0,"Despachado","En alistamiento")</f>
        <v>Despachado</v>
      </c>
      <c r="M84" s="56" t="s">
        <v>238</v>
      </c>
      <c r="N84" s="51" t="s">
        <v>504</v>
      </c>
      <c r="O84" s="150">
        <v>45678.716053240743</v>
      </c>
      <c r="P84" s="151">
        <v>45679</v>
      </c>
      <c r="Q84" s="24" t="str">
        <f t="shared" si="4"/>
        <v>Entregado</v>
      </c>
      <c r="R84" s="25">
        <f>IF(L84="Despachado",NETWORKDAYS.INTL(A84,O84,11,Valores!$A$2:$A$18)-1,"PTE")</f>
        <v>0</v>
      </c>
      <c r="S84" s="25">
        <f>IF(Q84="Entregado",NETWORKDAYS.INTL(A84,P84,11,Valores!$A$2:$A$18)-1,"PTE")</f>
        <v>1</v>
      </c>
      <c r="T84" s="25"/>
      <c r="U84" s="25"/>
      <c r="V84" s="25" t="str">
        <f>IF(Q84="Entregado",IF(S84&lt;=VLOOKUP(K84,Valores!E:F,2,0),"Cumple","No cumple"),"PTE")</f>
        <v>Cumple</v>
      </c>
      <c r="W84" s="25"/>
      <c r="X84" s="29">
        <f>VLOOKUP(N84,[1]Hoja1!$G:$BE,39,0)</f>
        <v>42921</v>
      </c>
      <c r="Y84" s="224"/>
      <c r="Z84" s="28"/>
    </row>
    <row r="85" spans="1:26" hidden="1" x14ac:dyDescent="0.3">
      <c r="A85" s="34">
        <v>45678</v>
      </c>
      <c r="B85" s="7" t="str">
        <f t="shared" si="6"/>
        <v>enero</v>
      </c>
      <c r="C85" s="27">
        <v>2411</v>
      </c>
      <c r="D85" s="23" t="s">
        <v>20</v>
      </c>
      <c r="E85" s="119" t="s">
        <v>503</v>
      </c>
      <c r="F85" s="22" t="s">
        <v>280</v>
      </c>
      <c r="G85" s="32" t="str">
        <f>IFERROR(VLOOKUP(F85,Productos!$A$2:$D$258,2,0)," ")</f>
        <v>Rodachines con freno para Standing desk x 4 UN</v>
      </c>
      <c r="H85" s="7">
        <v>1</v>
      </c>
      <c r="I85" s="32" t="str">
        <f>IFERROR(VLOOKUP(F85,Productos!$A$2:$D$258,3,0)," ")</f>
        <v>Ruedas</v>
      </c>
      <c r="J85" s="118" t="s">
        <v>21</v>
      </c>
      <c r="K85" s="118" t="s">
        <v>22</v>
      </c>
      <c r="L85" s="26" t="str">
        <f>IF(O85&gt;0,"Despachado","En alistamiento")</f>
        <v>Despachado</v>
      </c>
      <c r="M85" s="56" t="s">
        <v>238</v>
      </c>
      <c r="N85" s="51" t="s">
        <v>505</v>
      </c>
      <c r="O85" s="150">
        <v>45678.716053240743</v>
      </c>
      <c r="P85" s="151">
        <v>45679</v>
      </c>
      <c r="Q85" s="24" t="str">
        <f t="shared" si="4"/>
        <v>Entregado</v>
      </c>
      <c r="R85" s="25">
        <f>IF(L85="Despachado",NETWORKDAYS.INTL(A85,O85,11,Valores!$A$2:$A$18)-1,"PTE")</f>
        <v>0</v>
      </c>
      <c r="S85" s="25">
        <f>IF(Q85="Entregado",NETWORKDAYS.INTL(A85,P85,11,Valores!$A$2:$A$18)-1,"PTE")</f>
        <v>1</v>
      </c>
      <c r="T85" s="25"/>
      <c r="U85" s="25"/>
      <c r="V85" s="25" t="str">
        <f>IF(Q85="Entregado",IF(S85&lt;=VLOOKUP(K85,Valores!E:F,2,0),"Cumple","No cumple"),"PTE")</f>
        <v>Cumple</v>
      </c>
      <c r="W85" s="25"/>
      <c r="X85" s="29">
        <f>VLOOKUP(N85,[1]Hoja1!$G:$BE,39,0)</f>
        <v>23875</v>
      </c>
      <c r="Y85" s="224"/>
      <c r="Z85" s="28"/>
    </row>
    <row r="86" spans="1:26" hidden="1" x14ac:dyDescent="0.3">
      <c r="A86" s="34">
        <v>45678</v>
      </c>
      <c r="B86" s="7" t="str">
        <f t="shared" si="6"/>
        <v>enero</v>
      </c>
      <c r="C86" s="27">
        <v>2411</v>
      </c>
      <c r="D86" s="23" t="s">
        <v>20</v>
      </c>
      <c r="E86" s="119" t="s">
        <v>503</v>
      </c>
      <c r="F86" s="22"/>
      <c r="G86" s="32" t="s">
        <v>1796</v>
      </c>
      <c r="H86" s="7">
        <v>1</v>
      </c>
      <c r="I86" s="32" t="s">
        <v>327</v>
      </c>
      <c r="J86" s="118" t="s">
        <v>21</v>
      </c>
      <c r="K86" s="118" t="s">
        <v>22</v>
      </c>
      <c r="L86" s="26" t="s">
        <v>327</v>
      </c>
      <c r="M86" s="56" t="s">
        <v>241</v>
      </c>
      <c r="N86" s="118" t="s">
        <v>241</v>
      </c>
      <c r="O86" s="150">
        <v>45680</v>
      </c>
      <c r="P86" s="150" t="s">
        <v>241</v>
      </c>
      <c r="Q86" s="24" t="str">
        <f t="shared" si="4"/>
        <v>Entregado</v>
      </c>
      <c r="R86" s="25" t="str">
        <f>IF(L86="Despachado",NETWORKDAYS.INTL(A86,O86,11,Valores!$A$2:$A$18)-1,"PTE")</f>
        <v>PTE</v>
      </c>
      <c r="S86" s="25" t="e">
        <f>IF(Q86="Entregado",NETWORKDAYS.INTL(A86,P86,11,Valores!$A$2:$A$18)-1,"PTE")</f>
        <v>#VALUE!</v>
      </c>
      <c r="T86" s="25"/>
      <c r="U86" s="25"/>
      <c r="V86" s="25" t="e">
        <f>IF(Q86="Entregado",IF(S86&lt;=VLOOKUP(K86,Valores!E:F,2,0),"Cumple","No cumple"),"PTE")</f>
        <v>#VALUE!</v>
      </c>
      <c r="W86" s="25"/>
      <c r="X86" s="29">
        <v>0</v>
      </c>
      <c r="Y86" s="224"/>
      <c r="Z86" s="28"/>
    </row>
    <row r="87" spans="1:26" hidden="1" x14ac:dyDescent="0.3">
      <c r="A87" s="34">
        <v>45671</v>
      </c>
      <c r="B87" s="7" t="str">
        <f t="shared" si="6"/>
        <v>enero</v>
      </c>
      <c r="C87" s="27">
        <v>2388</v>
      </c>
      <c r="D87" s="23" t="s">
        <v>35</v>
      </c>
      <c r="E87" s="61" t="s">
        <v>332</v>
      </c>
      <c r="F87" s="40" t="s">
        <v>123</v>
      </c>
      <c r="G87" s="32" t="str">
        <f>IFERROR(VLOOKUP(F87,Productos!$A$2:$D$258,2,0)," ")</f>
        <v>Electric Standing Desk GO Negro</v>
      </c>
      <c r="H87" s="7">
        <v>1</v>
      </c>
      <c r="I87" s="32" t="str">
        <f>IFERROR(VLOOKUP(F87,Productos!$A$2:$D$258,3,0)," ")</f>
        <v>Standing Desk</v>
      </c>
      <c r="J87" s="62" t="s">
        <v>24</v>
      </c>
      <c r="K87" s="62" t="s">
        <v>217</v>
      </c>
      <c r="L87" s="26" t="str">
        <f>IF(O87&gt;0,"Despachado","En alistamiento")</f>
        <v>Despachado</v>
      </c>
      <c r="M87" s="56" t="s">
        <v>238</v>
      </c>
      <c r="N87" s="118" t="s">
        <v>507</v>
      </c>
      <c r="O87" s="150">
        <v>45671</v>
      </c>
      <c r="P87" s="151">
        <v>45673</v>
      </c>
      <c r="Q87" s="24" t="str">
        <f t="shared" si="4"/>
        <v>Entregado</v>
      </c>
      <c r="R87" s="25">
        <f>IF(L87="Despachado",NETWORKDAYS.INTL(A87,O87,11,Valores!$A$2:$A$18)-1,"PTE")</f>
        <v>0</v>
      </c>
      <c r="S87" s="25">
        <f>IF(Q87="Entregado",NETWORKDAYS.INTL(A87,P87,11,Valores!$A$2:$A$18)-1,"PTE")</f>
        <v>2</v>
      </c>
      <c r="T87" s="25"/>
      <c r="U87" s="25"/>
      <c r="V87" s="25" t="str">
        <f>IF(Q87="Entregado",IF(S87&lt;=VLOOKUP(K87,Valores!E:F,2,0),"Cumple","No cumple"),"PTE")</f>
        <v>Cumple</v>
      </c>
      <c r="W87" s="25"/>
      <c r="X87" s="29">
        <v>112444</v>
      </c>
      <c r="Y87" s="224"/>
      <c r="Z87" s="28">
        <v>47258</v>
      </c>
    </row>
    <row r="88" spans="1:26" hidden="1" x14ac:dyDescent="0.3">
      <c r="A88" s="34">
        <v>45671</v>
      </c>
      <c r="B88" s="7" t="str">
        <f t="shared" si="6"/>
        <v>enero</v>
      </c>
      <c r="C88" s="27">
        <v>2388</v>
      </c>
      <c r="D88" s="23" t="s">
        <v>35</v>
      </c>
      <c r="E88" s="61" t="s">
        <v>332</v>
      </c>
      <c r="F88" s="22" t="s">
        <v>143</v>
      </c>
      <c r="G88" s="32" t="str">
        <f>IFERROR(VLOOKUP(F88,Productos!$A$2:$D$258,2,0)," ")</f>
        <v>Superficie  Caramelo 160x70 Clasico</v>
      </c>
      <c r="H88" s="7">
        <v>1</v>
      </c>
      <c r="I88" s="32" t="str">
        <f>IFERROR(VLOOKUP(F88,Productos!$A$2:$D$258,3,0)," ")</f>
        <v>Superficie</v>
      </c>
      <c r="J88" s="62" t="s">
        <v>24</v>
      </c>
      <c r="K88" s="62" t="s">
        <v>217</v>
      </c>
      <c r="L88" s="26" t="str">
        <f>IF(O88&gt;0,"Despachado","En alistamiento")</f>
        <v>Despachado</v>
      </c>
      <c r="M88" s="56" t="s">
        <v>238</v>
      </c>
      <c r="N88" s="118" t="s">
        <v>508</v>
      </c>
      <c r="O88" s="150">
        <v>45671</v>
      </c>
      <c r="P88" s="151">
        <v>45673</v>
      </c>
      <c r="Q88" s="24" t="str">
        <f t="shared" si="4"/>
        <v>Entregado</v>
      </c>
      <c r="R88" s="25">
        <f>IF(L88="Despachado",NETWORKDAYS.INTL(A88,O88,11,Valores!$A$2:$A$18)-1,"PTE")</f>
        <v>0</v>
      </c>
      <c r="S88" s="25">
        <f>IF(Q88="Entregado",NETWORKDAYS.INTL(A88,P88,11,Valores!$A$2:$A$18)-1,"PTE")</f>
        <v>2</v>
      </c>
      <c r="T88" s="25"/>
      <c r="U88" s="25"/>
      <c r="V88" s="25" t="str">
        <f>IF(Q88="Entregado",IF(S88&lt;=VLOOKUP(K88,Valores!E:F,2,0),"Cumple","No cumple"),"PTE")</f>
        <v>Cumple</v>
      </c>
      <c r="W88" s="25"/>
      <c r="X88" s="29">
        <v>98264</v>
      </c>
      <c r="Y88" s="224"/>
      <c r="Z88" s="28">
        <v>29257</v>
      </c>
    </row>
    <row r="89" spans="1:26" hidden="1" x14ac:dyDescent="0.3">
      <c r="A89" s="34">
        <v>45670</v>
      </c>
      <c r="B89" s="7" t="str">
        <f t="shared" si="6"/>
        <v>enero</v>
      </c>
      <c r="C89" s="27">
        <v>2366</v>
      </c>
      <c r="D89" s="23" t="s">
        <v>35</v>
      </c>
      <c r="E89" s="119" t="s">
        <v>510</v>
      </c>
      <c r="F89" s="40" t="s">
        <v>86</v>
      </c>
      <c r="G89" s="32" t="str">
        <f>IFERROR(VLOOKUP(F89,Productos!$A$2:$D$258,2,0)," ")</f>
        <v>Laptop Stand B</v>
      </c>
      <c r="H89" s="7">
        <v>1</v>
      </c>
      <c r="I89" s="32" t="str">
        <f>IFERROR(VLOOKUP(F89,Productos!$A$2:$D$258,3,0)," ")</f>
        <v>Accesorio</v>
      </c>
      <c r="J89" s="121" t="s">
        <v>276</v>
      </c>
      <c r="K89" s="121" t="s">
        <v>193</v>
      </c>
      <c r="L89" s="26" t="str">
        <f t="shared" ref="L89:L94" si="7">IF(O89&gt;0,"Despachado","En alistamiento")</f>
        <v>Despachado</v>
      </c>
      <c r="M89" s="56" t="s">
        <v>238</v>
      </c>
      <c r="N89" s="122" t="s">
        <v>512</v>
      </c>
      <c r="O89" s="150">
        <v>45670</v>
      </c>
      <c r="P89" s="150">
        <v>45671</v>
      </c>
      <c r="Q89" s="24" t="str">
        <f t="shared" si="4"/>
        <v>Entregado</v>
      </c>
      <c r="R89" s="25">
        <f>IF(L89="Despachado",NETWORKDAYS.INTL(A89,O89,11,Valores!$A$2:$A$18)-1,"PTE")</f>
        <v>0</v>
      </c>
      <c r="S89" s="25">
        <f>IF(Q89="Entregado",NETWORKDAYS.INTL(A89,P89,11,Valores!$A$2:$A$18)-1,"PTE")</f>
        <v>1</v>
      </c>
      <c r="T89" s="25"/>
      <c r="U89" s="25"/>
      <c r="V89" s="25" t="str">
        <f>IF(Q89="Entregado",IF(S89&lt;=VLOOKUP(K89,Valores!E:F,2,0),"Cumple","No cumple"),"PTE")</f>
        <v>Cumple</v>
      </c>
      <c r="W89" s="25"/>
      <c r="X89" s="29">
        <v>25385</v>
      </c>
      <c r="Y89" s="224"/>
      <c r="Z89" s="28"/>
    </row>
    <row r="90" spans="1:26" hidden="1" x14ac:dyDescent="0.3">
      <c r="A90" s="34">
        <v>45672</v>
      </c>
      <c r="B90" s="7" t="str">
        <f t="shared" si="6"/>
        <v>enero</v>
      </c>
      <c r="C90" s="27">
        <v>2366</v>
      </c>
      <c r="D90" s="23" t="s">
        <v>275</v>
      </c>
      <c r="E90" s="119" t="s">
        <v>510</v>
      </c>
      <c r="F90" s="40" t="s">
        <v>83</v>
      </c>
      <c r="G90" s="32" t="str">
        <f>IFERROR(VLOOKUP(F90,Productos!$A$2:$D$258,2,0)," ")</f>
        <v>Desk Pad B Negro Azul</v>
      </c>
      <c r="H90" s="7">
        <v>1</v>
      </c>
      <c r="I90" s="32" t="str">
        <f>IFERROR(VLOOKUP(F90,Productos!$A$2:$D$258,3,0)," ")</f>
        <v>Accesorio</v>
      </c>
      <c r="J90" s="121" t="s">
        <v>276</v>
      </c>
      <c r="K90" s="121" t="s">
        <v>193</v>
      </c>
      <c r="L90" s="26" t="str">
        <f t="shared" si="7"/>
        <v>Despachado</v>
      </c>
      <c r="M90" s="56" t="s">
        <v>238</v>
      </c>
      <c r="N90" s="122" t="s">
        <v>511</v>
      </c>
      <c r="O90" s="150">
        <v>45673</v>
      </c>
      <c r="P90" s="151">
        <v>45675</v>
      </c>
      <c r="Q90" s="24" t="str">
        <f t="shared" si="4"/>
        <v>Entregado</v>
      </c>
      <c r="R90" s="25">
        <f>IF(L90="Despachado",NETWORKDAYS.INTL(A90,O90,11,Valores!$A$2:$A$18)-1,"PTE")</f>
        <v>1</v>
      </c>
      <c r="S90" s="25">
        <f>IF(Q90="Entregado",NETWORKDAYS.INTL(A90,P90,11,Valores!$A$2:$A$18)-1,"PTE")</f>
        <v>3</v>
      </c>
      <c r="T90" s="25"/>
      <c r="U90" s="25"/>
      <c r="V90" s="25" t="str">
        <f>IF(Q90="Entregado",IF(S90&lt;=VLOOKUP(K90,Valores!E:F,2,0),"Cumple","No cumple"),"PTE")</f>
        <v>Cumple</v>
      </c>
      <c r="W90" s="25"/>
      <c r="X90" s="29">
        <v>24855</v>
      </c>
      <c r="Y90" s="224"/>
      <c r="Z90" s="28"/>
    </row>
    <row r="91" spans="1:26" hidden="1" x14ac:dyDescent="0.3">
      <c r="A91" s="34">
        <v>45677</v>
      </c>
      <c r="B91" s="7" t="str">
        <f t="shared" si="6"/>
        <v>enero</v>
      </c>
      <c r="C91" s="27">
        <v>2398</v>
      </c>
      <c r="D91" s="23" t="s">
        <v>35</v>
      </c>
      <c r="E91" s="61" t="s">
        <v>340</v>
      </c>
      <c r="F91" s="22" t="s">
        <v>141</v>
      </c>
      <c r="G91" s="32" t="str">
        <f>IFERROR(VLOOKUP(F91,Productos!$A$2:$D$258,2,0)," ")</f>
        <v>Superficie Caramelo 130x70 Clasico</v>
      </c>
      <c r="H91" s="7">
        <v>1</v>
      </c>
      <c r="I91" s="32" t="str">
        <f>IFERROR(VLOOKUP(F91,Productos!$A$2:$D$258,3,0)," ")</f>
        <v>Superficie</v>
      </c>
      <c r="J91" s="54" t="s">
        <v>21</v>
      </c>
      <c r="K91" s="54" t="s">
        <v>22</v>
      </c>
      <c r="L91" s="26" t="str">
        <f t="shared" si="7"/>
        <v>Despachado</v>
      </c>
      <c r="M91" s="56" t="s">
        <v>238</v>
      </c>
      <c r="N91" s="122" t="s">
        <v>513</v>
      </c>
      <c r="O91" s="150">
        <v>45678</v>
      </c>
      <c r="P91" s="151">
        <v>45680</v>
      </c>
      <c r="Q91" s="24" t="str">
        <f t="shared" si="4"/>
        <v>Entregado</v>
      </c>
      <c r="R91" s="25">
        <f>IF(L91="Despachado",NETWORKDAYS.INTL(A91,O91,11,Valores!$A$2:$A$18)-1,"PTE")</f>
        <v>1</v>
      </c>
      <c r="S91" s="25">
        <f>IF(Q91="Entregado",NETWORKDAYS.INTL(A91,P91,11,Valores!$A$2:$A$18)-1,"PTE")</f>
        <v>3</v>
      </c>
      <c r="T91" s="25"/>
      <c r="U91" s="25"/>
      <c r="V91" s="25" t="str">
        <f>IF(Q91="Entregado",IF(S91&lt;=VLOOKUP(K91,Valores!E:F,2,0),"Cumple","No cumple"),"PTE")</f>
        <v>Cumple</v>
      </c>
      <c r="W91" s="25"/>
      <c r="X91" s="29">
        <v>27929</v>
      </c>
      <c r="Y91" s="224"/>
      <c r="Z91" s="28"/>
    </row>
    <row r="92" spans="1:26" hidden="1" x14ac:dyDescent="0.3">
      <c r="A92" s="34">
        <v>45680</v>
      </c>
      <c r="B92" s="7" t="str">
        <f t="shared" si="6"/>
        <v>enero</v>
      </c>
      <c r="C92" s="27">
        <v>2412</v>
      </c>
      <c r="D92" s="23" t="s">
        <v>20</v>
      </c>
      <c r="E92" s="119" t="s">
        <v>503</v>
      </c>
      <c r="F92" s="22" t="s">
        <v>240</v>
      </c>
      <c r="G92" s="32" t="str">
        <f>IFERROR(VLOOKUP(F92,Productos!$A$2:$D$258,2,0)," ")</f>
        <v>Bandeja de cables</v>
      </c>
      <c r="H92" s="7">
        <v>1</v>
      </c>
      <c r="I92" s="32" t="str">
        <f>IFERROR(VLOOKUP(F92,Productos!$A$2:$D$258,3,0)," ")</f>
        <v>Accesorio</v>
      </c>
      <c r="J92" s="118" t="s">
        <v>21</v>
      </c>
      <c r="K92" s="118" t="s">
        <v>22</v>
      </c>
      <c r="L92" s="26" t="str">
        <f t="shared" si="7"/>
        <v>Despachado</v>
      </c>
      <c r="M92" s="56" t="s">
        <v>238</v>
      </c>
      <c r="N92" s="51" t="s">
        <v>527</v>
      </c>
      <c r="O92" s="150">
        <v>45680</v>
      </c>
      <c r="P92" s="151">
        <v>45681</v>
      </c>
      <c r="Q92" s="24" t="str">
        <f t="shared" si="4"/>
        <v>Entregado</v>
      </c>
      <c r="R92" s="25">
        <f>IF(L92="Despachado",NETWORKDAYS.INTL(A92,O92,11,Valores!$A$2:$A$18)-1,"PTE")</f>
        <v>0</v>
      </c>
      <c r="S92" s="25">
        <f>IF(Q92="Entregado",NETWORKDAYS.INTL(A92,P92,11,Valores!$A$2:$A$18)-1,"PTE")</f>
        <v>1</v>
      </c>
      <c r="T92" s="25"/>
      <c r="U92" s="25"/>
      <c r="V92" s="25" t="str">
        <f>IF(Q92="Entregado",IF(S92&lt;=VLOOKUP(K92,Valores!E:F,2,0),"Cumple","No cumple"),"PTE")</f>
        <v>Cumple</v>
      </c>
      <c r="W92" s="25"/>
      <c r="X92" s="29">
        <v>24885</v>
      </c>
      <c r="Y92" s="224"/>
      <c r="Z92" s="28"/>
    </row>
    <row r="93" spans="1:26" hidden="1" x14ac:dyDescent="0.3">
      <c r="A93" s="34">
        <v>45681</v>
      </c>
      <c r="B93" s="7" t="str">
        <f t="shared" si="6"/>
        <v>enero</v>
      </c>
      <c r="C93" s="27">
        <v>2413</v>
      </c>
      <c r="D93" s="23" t="s">
        <v>20</v>
      </c>
      <c r="E93" s="123" t="s">
        <v>514</v>
      </c>
      <c r="F93" s="22" t="s">
        <v>129</v>
      </c>
      <c r="G93" s="32" t="str">
        <f>IFERROR(VLOOKUP(F93,Productos!$A$2:$D$258,2,0)," ")</f>
        <v>Electric Standing Desk  PRO Negro</v>
      </c>
      <c r="H93" s="7">
        <v>1</v>
      </c>
      <c r="I93" s="32" t="str">
        <f>IFERROR(VLOOKUP(F93,Productos!$A$2:$D$258,3,0)," ")</f>
        <v>Standing Desk</v>
      </c>
      <c r="J93" s="122" t="s">
        <v>189</v>
      </c>
      <c r="K93" s="122" t="s">
        <v>45</v>
      </c>
      <c r="L93" s="26" t="str">
        <f t="shared" si="7"/>
        <v>Despachado</v>
      </c>
      <c r="M93" s="56" t="s">
        <v>238</v>
      </c>
      <c r="N93" s="51" t="s">
        <v>528</v>
      </c>
      <c r="O93" s="151">
        <v>45681</v>
      </c>
      <c r="P93" s="151">
        <v>45684</v>
      </c>
      <c r="Q93" s="24" t="str">
        <f t="shared" si="4"/>
        <v>Entregado</v>
      </c>
      <c r="R93" s="25">
        <f>IF(L93="Despachado",NETWORKDAYS.INTL(A93,O93,11,Valores!$A$2:$A$18)-1,"PTE")</f>
        <v>0</v>
      </c>
      <c r="S93" s="25">
        <f>IF(Q93="Entregado",NETWORKDAYS.INTL(A93,P93,11,Valores!$A$2:$A$18)-1,"PTE")</f>
        <v>2</v>
      </c>
      <c r="T93" s="25"/>
      <c r="U93" s="25"/>
      <c r="V93" s="25" t="str">
        <f>IF(Q93="Entregado",IF(S93&lt;=VLOOKUP(K93,Valores!E:F,2,0),"Cumple","No cumple"),"PTE")</f>
        <v>Cumple</v>
      </c>
      <c r="W93" s="25"/>
      <c r="X93" s="29">
        <v>62467</v>
      </c>
      <c r="Y93" s="224"/>
      <c r="Z93" s="28"/>
    </row>
    <row r="94" spans="1:26" hidden="1" x14ac:dyDescent="0.3">
      <c r="A94" s="34">
        <v>45681</v>
      </c>
      <c r="B94" s="7" t="str">
        <f t="shared" si="6"/>
        <v>enero</v>
      </c>
      <c r="C94" s="27">
        <v>2413</v>
      </c>
      <c r="D94" s="23" t="s">
        <v>20</v>
      </c>
      <c r="E94" s="123" t="s">
        <v>514</v>
      </c>
      <c r="F94" s="22" t="s">
        <v>312</v>
      </c>
      <c r="G94" s="32" t="str">
        <f>IFERROR(VLOOKUP(F94,Productos!$A$2:$D$258,2,0)," ")</f>
        <v>Superficie  Fresno Europeo 180x70 Moderno</v>
      </c>
      <c r="H94" s="7">
        <v>1</v>
      </c>
      <c r="I94" s="32" t="str">
        <f>IFERROR(VLOOKUP(F94,Productos!$A$2:$D$258,3,0)," ")</f>
        <v>Superficie</v>
      </c>
      <c r="J94" s="122" t="s">
        <v>189</v>
      </c>
      <c r="K94" s="122" t="s">
        <v>45</v>
      </c>
      <c r="L94" s="26" t="str">
        <f t="shared" si="7"/>
        <v>Despachado</v>
      </c>
      <c r="M94" s="56" t="s">
        <v>238</v>
      </c>
      <c r="N94" s="51" t="s">
        <v>529</v>
      </c>
      <c r="O94" s="151">
        <v>45681</v>
      </c>
      <c r="P94" s="151">
        <v>45684</v>
      </c>
      <c r="Q94" s="24" t="str">
        <f t="shared" si="4"/>
        <v>Entregado</v>
      </c>
      <c r="R94" s="25">
        <f>IF(L94="Despachado",NETWORKDAYS.INTL(A94,O94,11,Valores!$A$2:$A$18)-1,"PTE")</f>
        <v>0</v>
      </c>
      <c r="S94" s="25">
        <f>IF(Q94="Entregado",NETWORKDAYS.INTL(A94,P94,11,Valores!$A$2:$A$18)-1,"PTE")</f>
        <v>2</v>
      </c>
      <c r="T94" s="25"/>
      <c r="U94" s="25"/>
      <c r="V94" s="25" t="str">
        <f>IF(Q94="Entregado",IF(S94&lt;=VLOOKUP(K94,Valores!E:F,2,0),"Cumple","No cumple"),"PTE")</f>
        <v>Cumple</v>
      </c>
      <c r="W94" s="25"/>
      <c r="X94" s="29">
        <v>44340</v>
      </c>
      <c r="Y94" s="224"/>
      <c r="Z94" s="28"/>
    </row>
    <row r="95" spans="1:26" hidden="1" x14ac:dyDescent="0.3">
      <c r="A95" s="34">
        <v>45681</v>
      </c>
      <c r="B95" s="7" t="str">
        <f t="shared" ref="B95:B133" si="8">TEXT(A95,"mmmm")</f>
        <v>enero</v>
      </c>
      <c r="C95" s="27">
        <v>2414</v>
      </c>
      <c r="D95" s="23" t="s">
        <v>20</v>
      </c>
      <c r="E95" s="123" t="s">
        <v>515</v>
      </c>
      <c r="F95" s="40" t="s">
        <v>133</v>
      </c>
      <c r="G95" s="32" t="str">
        <f>IFERROR(VLOOKUP(F95,Productos!$A$2:$D$258,2,0)," ")</f>
        <v>Electric Standing Desk  PRO Blanco</v>
      </c>
      <c r="H95" s="7">
        <v>1</v>
      </c>
      <c r="I95" s="32" t="str">
        <f>IFERROR(VLOOKUP(F95,Productos!$A$2:$D$258,3,0)," ")</f>
        <v>Standing Desk</v>
      </c>
      <c r="J95" s="54" t="s">
        <v>21</v>
      </c>
      <c r="K95" s="54" t="s">
        <v>22</v>
      </c>
      <c r="L95" s="26" t="str">
        <f>IF(O95&gt;0,"Despachado","En alistamiento")</f>
        <v>Despachado</v>
      </c>
      <c r="M95" s="56" t="s">
        <v>238</v>
      </c>
      <c r="N95" s="51" t="s">
        <v>530</v>
      </c>
      <c r="O95" s="151">
        <v>45681</v>
      </c>
      <c r="P95" s="151">
        <v>45682</v>
      </c>
      <c r="Q95" s="24" t="str">
        <f t="shared" si="4"/>
        <v>Entregado</v>
      </c>
      <c r="R95" s="25">
        <f>IF(L95="Despachado",NETWORKDAYS.INTL(A95,O95,11,Valores!$A$2:$A$18)-1,"PTE")</f>
        <v>0</v>
      </c>
      <c r="S95" s="25">
        <f>IF(Q95="Entregado",NETWORKDAYS.INTL(A95,P95,11,Valores!$A$2:$A$18)-1,"PTE")</f>
        <v>1</v>
      </c>
      <c r="T95" s="25"/>
      <c r="U95" s="25"/>
      <c r="V95" s="25" t="str">
        <f>IF(Q95="Entregado",IF(S95&lt;=VLOOKUP(K95,Valores!E:F,2,0),"Cumple","No cumple"),"PTE")</f>
        <v>Cumple</v>
      </c>
      <c r="W95" s="25"/>
      <c r="X95" s="29">
        <v>42921</v>
      </c>
      <c r="Y95" s="224"/>
      <c r="Z95" s="28"/>
    </row>
    <row r="96" spans="1:26" hidden="1" x14ac:dyDescent="0.3">
      <c r="A96" s="34">
        <v>45681</v>
      </c>
      <c r="B96" s="7" t="str">
        <f t="shared" si="8"/>
        <v>enero</v>
      </c>
      <c r="C96" s="27">
        <v>2414</v>
      </c>
      <c r="D96" s="23" t="s">
        <v>20</v>
      </c>
      <c r="E96" s="123" t="s">
        <v>515</v>
      </c>
      <c r="F96" s="22" t="s">
        <v>311</v>
      </c>
      <c r="G96" s="32" t="str">
        <f>IFERROR(VLOOKUP(F96,Productos!$A$2:$D$258,2,0)," ")</f>
        <v>Superficie  Fresno Europeo 170x70 Moderno</v>
      </c>
      <c r="H96" s="7">
        <v>1</v>
      </c>
      <c r="I96" s="32" t="str">
        <f>IFERROR(VLOOKUP(F96,Productos!$A$2:$D$258,3,0)," ")</f>
        <v>Superficie</v>
      </c>
      <c r="J96" s="54" t="s">
        <v>21</v>
      </c>
      <c r="K96" s="54" t="s">
        <v>22</v>
      </c>
      <c r="L96" s="26" t="str">
        <f>IF(O96&gt;0,"Despachado","En alistamiento")</f>
        <v>Despachado</v>
      </c>
      <c r="M96" s="56" t="s">
        <v>238</v>
      </c>
      <c r="N96" s="51" t="s">
        <v>531</v>
      </c>
      <c r="O96" s="151">
        <v>45681</v>
      </c>
      <c r="P96" s="151">
        <v>45684</v>
      </c>
      <c r="Q96" s="24" t="str">
        <f t="shared" si="4"/>
        <v>Entregado</v>
      </c>
      <c r="R96" s="25">
        <f>IF(L96="Despachado",NETWORKDAYS.INTL(A96,O96,11,Valores!$A$2:$A$18)-1,"PTE")</f>
        <v>0</v>
      </c>
      <c r="S96" s="25">
        <f>IF(Q96="Entregado",NETWORKDAYS.INTL(A96,P96,11,Valores!$A$2:$A$18)-1,"PTE")</f>
        <v>2</v>
      </c>
      <c r="T96" s="25"/>
      <c r="U96" s="25"/>
      <c r="V96" s="25" t="str">
        <f>IF(Q96="Entregado",IF(S96&lt;=VLOOKUP(K96,Valores!E:F,2,0),"Cumple","No cumple"),"PTE")</f>
        <v>Cumple</v>
      </c>
      <c r="W96" s="25"/>
      <c r="X96" s="29">
        <v>24093</v>
      </c>
      <c r="Y96" s="224"/>
      <c r="Z96" s="28"/>
    </row>
    <row r="97" spans="1:26" hidden="1" x14ac:dyDescent="0.3">
      <c r="A97" s="34">
        <v>45681</v>
      </c>
      <c r="B97" s="7" t="str">
        <f t="shared" si="8"/>
        <v>enero</v>
      </c>
      <c r="C97" s="27">
        <v>2414</v>
      </c>
      <c r="D97" s="23" t="s">
        <v>20</v>
      </c>
      <c r="E97" s="123" t="s">
        <v>515</v>
      </c>
      <c r="F97" s="22"/>
      <c r="G97" s="32" t="s">
        <v>1796</v>
      </c>
      <c r="H97" s="7">
        <v>1</v>
      </c>
      <c r="I97" s="32" t="s">
        <v>327</v>
      </c>
      <c r="J97" s="54" t="s">
        <v>21</v>
      </c>
      <c r="K97" s="54" t="s">
        <v>22</v>
      </c>
      <c r="L97" s="26" t="s">
        <v>327</v>
      </c>
      <c r="M97" s="56" t="s">
        <v>241</v>
      </c>
      <c r="N97" s="134" t="s">
        <v>241</v>
      </c>
      <c r="O97" s="152" t="s">
        <v>241</v>
      </c>
      <c r="P97" s="153" t="s">
        <v>241</v>
      </c>
      <c r="Q97" s="24" t="str">
        <f t="shared" si="4"/>
        <v>Entregado</v>
      </c>
      <c r="R97" s="25" t="str">
        <f>IF(L97="Despachado",NETWORKDAYS.INTL(A97,O97,11,Valores!$A$2:$A$18)-1,"PTE")</f>
        <v>PTE</v>
      </c>
      <c r="S97" s="25" t="e">
        <f>IF(Q97="Entregado",NETWORKDAYS.INTL(A97,P97,11,Valores!$A$2:$A$18)-1,"PTE")</f>
        <v>#VALUE!</v>
      </c>
      <c r="T97" s="25"/>
      <c r="U97" s="25"/>
      <c r="V97" s="25" t="e">
        <f>IF(Q97="Entregado",IF(S97&lt;=VLOOKUP(K97,Valores!E:F,2,0),"Cumple","No cumple"),"PTE")</f>
        <v>#VALUE!</v>
      </c>
      <c r="W97" s="25"/>
      <c r="X97" s="29">
        <v>0</v>
      </c>
      <c r="Y97" s="224"/>
      <c r="Z97" s="28"/>
    </row>
    <row r="98" spans="1:26" hidden="1" x14ac:dyDescent="0.3">
      <c r="A98" s="34">
        <v>45681</v>
      </c>
      <c r="B98" s="7" t="str">
        <f t="shared" si="8"/>
        <v>enero</v>
      </c>
      <c r="C98" s="27">
        <v>2415</v>
      </c>
      <c r="D98" s="23" t="s">
        <v>20</v>
      </c>
      <c r="E98" s="123" t="s">
        <v>515</v>
      </c>
      <c r="F98" s="40" t="s">
        <v>83</v>
      </c>
      <c r="G98" s="32" t="str">
        <f>IFERROR(VLOOKUP(F98,Productos!$A$2:$D$258,2,0)," ")</f>
        <v>Desk Pad B Negro Azul</v>
      </c>
      <c r="H98" s="7">
        <v>1</v>
      </c>
      <c r="I98" s="32" t="str">
        <f>IFERROR(VLOOKUP(F98,Productos!$A$2:$D$258,3,0)," ")</f>
        <v>Accesorio</v>
      </c>
      <c r="J98" s="54" t="s">
        <v>21</v>
      </c>
      <c r="K98" s="54" t="s">
        <v>22</v>
      </c>
      <c r="L98" s="26" t="str">
        <f t="shared" ref="L98:L135" si="9">IF(O98&gt;0,"Despachado","En alistamiento")</f>
        <v>Despachado</v>
      </c>
      <c r="M98" s="56" t="s">
        <v>238</v>
      </c>
      <c r="N98" s="51" t="s">
        <v>532</v>
      </c>
      <c r="O98" s="151">
        <v>45681</v>
      </c>
      <c r="P98" s="151">
        <v>45682</v>
      </c>
      <c r="Q98" s="24" t="str">
        <f t="shared" si="4"/>
        <v>Entregado</v>
      </c>
      <c r="R98" s="25">
        <f>IF(L98="Despachado",NETWORKDAYS.INTL(A98,O98,11,Valores!$A$2:$A$18)-1,"PTE")</f>
        <v>0</v>
      </c>
      <c r="S98" s="25">
        <f>IF(Q98="Entregado",NETWORKDAYS.INTL(A98,P98,11,Valores!$A$2:$A$18)-1,"PTE")</f>
        <v>1</v>
      </c>
      <c r="T98" s="25"/>
      <c r="U98" s="25"/>
      <c r="V98" s="25" t="str">
        <f>IF(Q98="Entregado",IF(S98&lt;=VLOOKUP(K98,Valores!E:F,2,0),"Cumple","No cumple"),"PTE")</f>
        <v>Cumple</v>
      </c>
      <c r="W98" s="25"/>
      <c r="X98" s="29">
        <v>16617</v>
      </c>
      <c r="Y98" s="224"/>
      <c r="Z98" s="28"/>
    </row>
    <row r="99" spans="1:26" hidden="1" x14ac:dyDescent="0.3">
      <c r="A99" s="34">
        <v>45681</v>
      </c>
      <c r="B99" s="7" t="str">
        <f t="shared" si="8"/>
        <v>enero</v>
      </c>
      <c r="C99" s="27">
        <v>2416</v>
      </c>
      <c r="D99" s="23" t="s">
        <v>20</v>
      </c>
      <c r="E99" s="123" t="s">
        <v>516</v>
      </c>
      <c r="F99" s="40" t="s">
        <v>123</v>
      </c>
      <c r="G99" s="32" t="str">
        <f>IFERROR(VLOOKUP(F99,Productos!$A$2:$D$258,2,0)," ")</f>
        <v>Electric Standing Desk GO Negro</v>
      </c>
      <c r="H99" s="7">
        <v>1</v>
      </c>
      <c r="I99" s="32" t="str">
        <f>IFERROR(VLOOKUP(F99,Productos!$A$2:$D$258,3,0)," ")</f>
        <v>Standing Desk</v>
      </c>
      <c r="J99" s="54" t="s">
        <v>21</v>
      </c>
      <c r="K99" s="54" t="s">
        <v>22</v>
      </c>
      <c r="L99" s="26" t="str">
        <f t="shared" si="9"/>
        <v>Despachado</v>
      </c>
      <c r="M99" s="56" t="s">
        <v>238</v>
      </c>
      <c r="N99" s="51" t="s">
        <v>533</v>
      </c>
      <c r="O99" s="151">
        <v>45681</v>
      </c>
      <c r="P99" s="151">
        <v>45685</v>
      </c>
      <c r="Q99" s="24" t="str">
        <f t="shared" si="4"/>
        <v>Entregado</v>
      </c>
      <c r="R99" s="25">
        <f>IF(L99="Despachado",NETWORKDAYS.INTL(A99,O99,11,Valores!$A$2:$A$18)-1,"PTE")</f>
        <v>0</v>
      </c>
      <c r="S99" s="25">
        <f>IF(Q99="Entregado",NETWORKDAYS.INTL(A99,P99,11,Valores!$A$2:$A$18)-1,"PTE")</f>
        <v>3</v>
      </c>
      <c r="T99" s="25"/>
      <c r="U99" s="25"/>
      <c r="V99" s="25" t="str">
        <f>IF(Q99="Entregado",IF(S99&lt;=VLOOKUP(K99,Valores!E:F,2,0),"Cumple","No cumple"),"PTE")</f>
        <v>Cumple</v>
      </c>
      <c r="W99" s="25"/>
      <c r="X99" s="29">
        <v>41593</v>
      </c>
      <c r="Y99" s="224"/>
      <c r="Z99" s="28"/>
    </row>
    <row r="100" spans="1:26" hidden="1" x14ac:dyDescent="0.3">
      <c r="A100" s="34">
        <v>45681</v>
      </c>
      <c r="B100" s="7" t="str">
        <f t="shared" si="8"/>
        <v>enero</v>
      </c>
      <c r="C100" s="27">
        <v>2416</v>
      </c>
      <c r="D100" s="23" t="s">
        <v>20</v>
      </c>
      <c r="E100" s="123" t="s">
        <v>516</v>
      </c>
      <c r="F100" s="22" t="s">
        <v>304</v>
      </c>
      <c r="G100" s="32" t="str">
        <f>IFERROR(VLOOKUP(F100,Productos!$A$2:$D$258,2,0)," ")</f>
        <v>Superficie  Fresno Europeo 150x70 Clasico</v>
      </c>
      <c r="H100" s="7">
        <v>1</v>
      </c>
      <c r="I100" s="32" t="str">
        <f>IFERROR(VLOOKUP(F100,Productos!$A$2:$D$258,3,0)," ")</f>
        <v>Superficie</v>
      </c>
      <c r="J100" s="54" t="s">
        <v>21</v>
      </c>
      <c r="K100" s="54" t="s">
        <v>22</v>
      </c>
      <c r="L100" s="26" t="str">
        <f t="shared" si="9"/>
        <v>Despachado</v>
      </c>
      <c r="M100" s="56" t="s">
        <v>238</v>
      </c>
      <c r="N100" s="51" t="s">
        <v>534</v>
      </c>
      <c r="O100" s="151">
        <v>45681</v>
      </c>
      <c r="P100" s="151">
        <v>45685</v>
      </c>
      <c r="Q100" s="24" t="str">
        <f t="shared" si="4"/>
        <v>Entregado</v>
      </c>
      <c r="R100" s="25">
        <f>IF(L100="Despachado",NETWORKDAYS.INTL(A100,O100,11,Valores!$A$2:$A$18)-1,"PTE")</f>
        <v>0</v>
      </c>
      <c r="S100" s="25">
        <f>IF(Q100="Entregado",NETWORKDAYS.INTL(A100,P100,11,Valores!$A$2:$A$18)-1,"PTE")</f>
        <v>3</v>
      </c>
      <c r="T100" s="25"/>
      <c r="U100" s="25"/>
      <c r="V100" s="25" t="str">
        <f>IF(Q100="Entregado",IF(S100&lt;=VLOOKUP(K100,Valores!E:F,2,0),"Cumple","No cumple"),"PTE")</f>
        <v>Cumple</v>
      </c>
      <c r="W100" s="25"/>
      <c r="X100" s="29">
        <v>24093</v>
      </c>
      <c r="Y100" s="224"/>
      <c r="Z100" s="28"/>
    </row>
    <row r="101" spans="1:26" hidden="1" x14ac:dyDescent="0.3">
      <c r="A101" s="34">
        <v>45681</v>
      </c>
      <c r="B101" s="7" t="str">
        <f t="shared" si="8"/>
        <v>enero</v>
      </c>
      <c r="C101" s="27">
        <v>2417</v>
      </c>
      <c r="D101" s="23" t="s">
        <v>20</v>
      </c>
      <c r="E101" s="123" t="s">
        <v>517</v>
      </c>
      <c r="F101" s="22" t="s">
        <v>129</v>
      </c>
      <c r="G101" s="32" t="str">
        <f>IFERROR(VLOOKUP(F101,Productos!$A$2:$D$258,2,0)," ")</f>
        <v>Electric Standing Desk  PRO Negro</v>
      </c>
      <c r="H101" s="7">
        <v>1</v>
      </c>
      <c r="I101" s="32" t="str">
        <f>IFERROR(VLOOKUP(F101,Productos!$A$2:$D$258,3,0)," ")</f>
        <v>Standing Desk</v>
      </c>
      <c r="J101" s="54" t="s">
        <v>21</v>
      </c>
      <c r="K101" s="54" t="s">
        <v>22</v>
      </c>
      <c r="L101" s="26" t="str">
        <f t="shared" si="9"/>
        <v>Despachado</v>
      </c>
      <c r="M101" s="56" t="s">
        <v>238</v>
      </c>
      <c r="N101" s="51" t="s">
        <v>535</v>
      </c>
      <c r="O101" s="151">
        <v>45681</v>
      </c>
      <c r="P101" s="151">
        <v>45684</v>
      </c>
      <c r="Q101" s="24" t="str">
        <f t="shared" si="4"/>
        <v>Entregado</v>
      </c>
      <c r="R101" s="25">
        <f>IF(L101="Despachado",NETWORKDAYS.INTL(A101,O101,11,Valores!$A$2:$A$18)-1,"PTE")</f>
        <v>0</v>
      </c>
      <c r="S101" s="25">
        <f>IF(Q101="Entregado",NETWORKDAYS.INTL(A101,P101,11,Valores!$A$2:$A$18)-1,"PTE")</f>
        <v>2</v>
      </c>
      <c r="T101" s="25"/>
      <c r="U101" s="25"/>
      <c r="V101" s="25" t="str">
        <f>IF(Q101="Entregado",IF(S101&lt;=VLOOKUP(K101,Valores!E:F,2,0),"Cumple","No cumple"),"PTE")</f>
        <v>Cumple</v>
      </c>
      <c r="W101" s="25"/>
      <c r="X101" s="29">
        <v>42921</v>
      </c>
      <c r="Y101" s="224"/>
      <c r="Z101" s="28"/>
    </row>
    <row r="102" spans="1:26" hidden="1" x14ac:dyDescent="0.3">
      <c r="A102" s="34">
        <v>45681</v>
      </c>
      <c r="B102" s="7" t="str">
        <f t="shared" si="8"/>
        <v>enero</v>
      </c>
      <c r="C102" s="27">
        <v>2418</v>
      </c>
      <c r="D102" s="23" t="s">
        <v>20</v>
      </c>
      <c r="E102" s="123" t="s">
        <v>518</v>
      </c>
      <c r="F102" s="22" t="s">
        <v>129</v>
      </c>
      <c r="G102" s="32" t="str">
        <f>IFERROR(VLOOKUP(F102,Productos!$A$2:$D$258,2,0)," ")</f>
        <v>Electric Standing Desk  PRO Negro</v>
      </c>
      <c r="H102" s="7">
        <v>1</v>
      </c>
      <c r="I102" s="32" t="str">
        <f>IFERROR(VLOOKUP(F102,Productos!$A$2:$D$258,3,0)," ")</f>
        <v>Standing Desk</v>
      </c>
      <c r="J102" s="122" t="s">
        <v>216</v>
      </c>
      <c r="K102" s="122" t="s">
        <v>298</v>
      </c>
      <c r="L102" s="26" t="str">
        <f t="shared" si="9"/>
        <v>Despachado</v>
      </c>
      <c r="M102" s="56" t="s">
        <v>519</v>
      </c>
      <c r="N102" s="122" t="s">
        <v>520</v>
      </c>
      <c r="O102" s="150">
        <v>45681</v>
      </c>
      <c r="P102" s="151">
        <v>45681</v>
      </c>
      <c r="Q102" s="24" t="str">
        <f t="shared" si="4"/>
        <v>Entregado</v>
      </c>
      <c r="R102" s="25">
        <f>IF(L102="Despachado",NETWORKDAYS.INTL(A102,O102,11,Valores!$A$2:$A$18)-1,"PTE")</f>
        <v>0</v>
      </c>
      <c r="S102" s="25">
        <f>IF(Q102="Entregado",NETWORKDAYS.INTL(A102,P102,11,Valores!$A$2:$A$18)-1,"PTE")</f>
        <v>0</v>
      </c>
      <c r="T102" s="25"/>
      <c r="U102" s="25"/>
      <c r="V102" s="25" t="e">
        <f>IF(Q102="Entregado",IF(S102&lt;=VLOOKUP(K102,Valores!E:F,2,0),"Cumple","No cumple"),"PTE")</f>
        <v>#N/A</v>
      </c>
      <c r="W102" s="25"/>
      <c r="X102" s="29">
        <v>0</v>
      </c>
      <c r="Y102" s="224"/>
      <c r="Z102" s="28"/>
    </row>
    <row r="103" spans="1:26" hidden="1" x14ac:dyDescent="0.3">
      <c r="A103" s="34">
        <v>45681</v>
      </c>
      <c r="B103" s="7" t="str">
        <f t="shared" si="8"/>
        <v>enero</v>
      </c>
      <c r="C103" s="27">
        <v>2419</v>
      </c>
      <c r="D103" s="23" t="s">
        <v>20</v>
      </c>
      <c r="E103" s="123" t="s">
        <v>521</v>
      </c>
      <c r="F103" s="22" t="s">
        <v>240</v>
      </c>
      <c r="G103" s="32" t="str">
        <f>IFERROR(VLOOKUP(F103,Productos!$A$2:$D$258,2,0)," ")</f>
        <v>Bandeja de cables</v>
      </c>
      <c r="H103" s="7">
        <v>1</v>
      </c>
      <c r="I103" s="32" t="str">
        <f>IFERROR(VLOOKUP(F103,Productos!$A$2:$D$258,3,0)," ")</f>
        <v>Accesorio</v>
      </c>
      <c r="J103" s="122" t="s">
        <v>24</v>
      </c>
      <c r="K103" s="128" t="s">
        <v>27</v>
      </c>
      <c r="L103" s="26" t="str">
        <f t="shared" si="9"/>
        <v>Despachado</v>
      </c>
      <c r="M103" s="56" t="s">
        <v>238</v>
      </c>
      <c r="N103" s="122" t="s">
        <v>536</v>
      </c>
      <c r="O103" s="150">
        <v>45681</v>
      </c>
      <c r="P103" s="151">
        <v>45682</v>
      </c>
      <c r="Q103" s="24" t="str">
        <f t="shared" si="4"/>
        <v>Entregado</v>
      </c>
      <c r="R103" s="25">
        <f>IF(L103="Despachado",NETWORKDAYS.INTL(A103,O103,11,Valores!$A$2:$A$18)-1,"PTE")</f>
        <v>0</v>
      </c>
      <c r="S103" s="25">
        <f>IF(Q103="Entregado",NETWORKDAYS.INTL(A103,P103,11,Valores!$A$2:$A$18)-1,"PTE")</f>
        <v>1</v>
      </c>
      <c r="T103" s="25"/>
      <c r="U103" s="25"/>
      <c r="V103" s="25" t="str">
        <f>IF(Q103="Entregado",IF(S103&lt;=VLOOKUP(K103,Valores!E:F,2,0),"Cumple","No cumple"),"PTE")</f>
        <v>Cumple</v>
      </c>
      <c r="W103" s="25"/>
      <c r="X103" s="29">
        <v>24885</v>
      </c>
      <c r="Y103" s="224"/>
      <c r="Z103" s="28"/>
    </row>
    <row r="104" spans="1:26" hidden="1" x14ac:dyDescent="0.3">
      <c r="A104" s="34">
        <v>45684</v>
      </c>
      <c r="B104" s="7" t="str">
        <f t="shared" si="8"/>
        <v>enero</v>
      </c>
      <c r="C104" s="27">
        <v>2420</v>
      </c>
      <c r="D104" s="23" t="s">
        <v>20</v>
      </c>
      <c r="E104" s="123" t="s">
        <v>522</v>
      </c>
      <c r="F104" s="22" t="s">
        <v>129</v>
      </c>
      <c r="G104" s="32" t="str">
        <f>IFERROR(VLOOKUP(F104,Productos!$A$2:$D$258,2,0)," ")</f>
        <v>Electric Standing Desk  PRO Negro</v>
      </c>
      <c r="H104" s="7">
        <v>1</v>
      </c>
      <c r="I104" s="32" t="str">
        <f>IFERROR(VLOOKUP(F104,Productos!$A$2:$D$258,3,0)," ")</f>
        <v>Standing Desk</v>
      </c>
      <c r="J104" s="54" t="s">
        <v>21</v>
      </c>
      <c r="K104" s="54" t="s">
        <v>22</v>
      </c>
      <c r="L104" s="26" t="str">
        <f t="shared" si="9"/>
        <v>Despachado</v>
      </c>
      <c r="M104" s="56" t="s">
        <v>238</v>
      </c>
      <c r="N104" s="125" t="s">
        <v>545</v>
      </c>
      <c r="O104" s="150">
        <v>45687</v>
      </c>
      <c r="P104" s="151">
        <v>45689</v>
      </c>
      <c r="Q104" s="24" t="str">
        <f t="shared" si="4"/>
        <v>Entregado</v>
      </c>
      <c r="R104" s="25">
        <f>IF(L104="Despachado",NETWORKDAYS.INTL(A104,O104,11,Valores!$A$2:$A$18)-1,"PTE")</f>
        <v>3</v>
      </c>
      <c r="S104" s="25">
        <f>IF(Q104="Entregado",NETWORKDAYS.INTL(A104,P104,11,Valores!$A$2:$A$18)-1,"PTE")</f>
        <v>5</v>
      </c>
      <c r="T104" s="25"/>
      <c r="U104" s="25"/>
      <c r="V104" s="25" t="str">
        <f>IF(Q104="Entregado",IF(S104&lt;=VLOOKUP(K104,Valores!E:F,2,0),"Cumple","No cumple"),"PTE")</f>
        <v>No cumple</v>
      </c>
      <c r="W104" s="25"/>
      <c r="X104" s="29">
        <v>42921</v>
      </c>
      <c r="Y104" s="224"/>
      <c r="Z104" s="28"/>
    </row>
    <row r="105" spans="1:26" hidden="1" x14ac:dyDescent="0.3">
      <c r="A105" s="34">
        <v>45684</v>
      </c>
      <c r="B105" s="7" t="str">
        <f t="shared" si="8"/>
        <v>enero</v>
      </c>
      <c r="C105" s="27">
        <v>2420</v>
      </c>
      <c r="D105" s="23" t="s">
        <v>20</v>
      </c>
      <c r="E105" s="123" t="s">
        <v>522</v>
      </c>
      <c r="F105" s="40" t="s">
        <v>262</v>
      </c>
      <c r="G105" s="32" t="str">
        <f>IFERROR(VLOOKUP(F105,Productos!$A$2:$D$258,2,0)," ")</f>
        <v>Superficie Roble Miel 150x70 Clasico</v>
      </c>
      <c r="H105" s="7">
        <v>1</v>
      </c>
      <c r="I105" s="32" t="str">
        <f>IFERROR(VLOOKUP(F105,Productos!$A$2:$D$258,3,0)," ")</f>
        <v>Superficie</v>
      </c>
      <c r="J105" s="54" t="s">
        <v>21</v>
      </c>
      <c r="K105" s="54" t="s">
        <v>22</v>
      </c>
      <c r="L105" s="26" t="str">
        <f t="shared" si="9"/>
        <v>Despachado</v>
      </c>
      <c r="M105" s="56" t="s">
        <v>238</v>
      </c>
      <c r="N105" s="125" t="s">
        <v>546</v>
      </c>
      <c r="O105" s="150">
        <v>45687</v>
      </c>
      <c r="P105" s="151">
        <v>45692</v>
      </c>
      <c r="Q105" s="24" t="str">
        <f t="shared" si="4"/>
        <v>Entregado</v>
      </c>
      <c r="R105" s="25">
        <f>IF(L105="Despachado",NETWORKDAYS.INTL(A105,O105,11,Valores!$A$2:$A$18)-1,"PTE")</f>
        <v>3</v>
      </c>
      <c r="S105" s="25">
        <f>IF(Q105="Entregado",NETWORKDAYS.INTL(A105,P105,11,Valores!$A$2:$A$18)-1,"PTE")</f>
        <v>7</v>
      </c>
      <c r="T105" s="25"/>
      <c r="U105" s="25"/>
      <c r="V105" s="25" t="str">
        <f>IF(Q105="Entregado",IF(S105&lt;=VLOOKUP(K105,Valores!E:F,2,0),"Cumple","No cumple"),"PTE")</f>
        <v>No cumple</v>
      </c>
      <c r="W105" s="25"/>
      <c r="X105" s="29">
        <v>24593</v>
      </c>
      <c r="Y105" s="224"/>
      <c r="Z105" s="28"/>
    </row>
    <row r="106" spans="1:26" hidden="1" x14ac:dyDescent="0.3">
      <c r="A106" s="34">
        <v>45684</v>
      </c>
      <c r="B106" s="7" t="str">
        <f t="shared" si="8"/>
        <v>enero</v>
      </c>
      <c r="C106" s="27">
        <v>2421</v>
      </c>
      <c r="D106" s="23" t="s">
        <v>20</v>
      </c>
      <c r="E106" s="123" t="s">
        <v>523</v>
      </c>
      <c r="F106" s="22" t="s">
        <v>280</v>
      </c>
      <c r="G106" s="32" t="str">
        <f>IFERROR(VLOOKUP(F106,Productos!$A$2:$D$258,2,0)," ")</f>
        <v>Rodachines con freno para Standing desk x 4 UN</v>
      </c>
      <c r="H106" s="7">
        <v>1</v>
      </c>
      <c r="I106" s="32" t="str">
        <f>IFERROR(VLOOKUP(F106,Productos!$A$2:$D$258,3,0)," ")</f>
        <v>Ruedas</v>
      </c>
      <c r="J106" s="122" t="s">
        <v>259</v>
      </c>
      <c r="K106" s="122" t="s">
        <v>34</v>
      </c>
      <c r="L106" s="26" t="str">
        <f t="shared" si="9"/>
        <v>Despachado</v>
      </c>
      <c r="M106" s="56" t="s">
        <v>238</v>
      </c>
      <c r="N106" s="122" t="s">
        <v>537</v>
      </c>
      <c r="O106" s="150">
        <v>45685</v>
      </c>
      <c r="P106" s="151">
        <v>45686</v>
      </c>
      <c r="Q106" s="24" t="str">
        <f t="shared" si="4"/>
        <v>Entregado</v>
      </c>
      <c r="R106" s="25">
        <f>IF(L106="Despachado",NETWORKDAYS.INTL(A106,O106,11,Valores!$A$2:$A$18)-1,"PTE")</f>
        <v>1</v>
      </c>
      <c r="S106" s="25">
        <f>IF(Q106="Entregado",NETWORKDAYS.INTL(A106,P106,11,Valores!$A$2:$A$18)-1,"PTE")</f>
        <v>2</v>
      </c>
      <c r="T106" s="25"/>
      <c r="U106" s="25"/>
      <c r="V106" s="25" t="str">
        <f>IF(Q106="Entregado",IF(S106&lt;=VLOOKUP(K106,Valores!E:F,2,0),"Cumple","No cumple"),"PTE")</f>
        <v>Cumple</v>
      </c>
      <c r="W106" s="25"/>
      <c r="X106" s="29">
        <v>23875</v>
      </c>
      <c r="Y106" s="224"/>
      <c r="Z106" s="28"/>
    </row>
    <row r="107" spans="1:26" hidden="1" x14ac:dyDescent="0.3">
      <c r="A107" s="34">
        <v>45684</v>
      </c>
      <c r="B107" s="7" t="str">
        <f t="shared" si="8"/>
        <v>enero</v>
      </c>
      <c r="C107" s="27">
        <v>2422</v>
      </c>
      <c r="D107" s="23" t="s">
        <v>20</v>
      </c>
      <c r="E107" s="123" t="s">
        <v>524</v>
      </c>
      <c r="F107" s="22" t="s">
        <v>240</v>
      </c>
      <c r="G107" s="32" t="str">
        <f>IFERROR(VLOOKUP(F107,Productos!$A$2:$D$258,2,0)," ")</f>
        <v>Bandeja de cables</v>
      </c>
      <c r="H107" s="7">
        <v>1</v>
      </c>
      <c r="I107" s="32" t="str">
        <f>IFERROR(VLOOKUP(F107,Productos!$A$2:$D$258,3,0)," ")</f>
        <v>Accesorio</v>
      </c>
      <c r="J107" s="122" t="s">
        <v>189</v>
      </c>
      <c r="K107" s="122" t="s">
        <v>45</v>
      </c>
      <c r="L107" s="26" t="str">
        <f t="shared" si="9"/>
        <v>Despachado</v>
      </c>
      <c r="M107" s="56" t="s">
        <v>238</v>
      </c>
      <c r="N107" s="122" t="s">
        <v>538</v>
      </c>
      <c r="O107" s="150">
        <v>45685</v>
      </c>
      <c r="P107" s="151">
        <v>45687</v>
      </c>
      <c r="Q107" s="24" t="str">
        <f t="shared" si="4"/>
        <v>Entregado</v>
      </c>
      <c r="R107" s="25">
        <f>IF(L107="Despachado",NETWORKDAYS.INTL(A107,O107,11,Valores!$A$2:$A$18)-1,"PTE")</f>
        <v>1</v>
      </c>
      <c r="S107" s="25">
        <f>IF(Q107="Entregado",NETWORKDAYS.INTL(A107,P107,11,Valores!$A$2:$A$18)-1,"PTE")</f>
        <v>3</v>
      </c>
      <c r="T107" s="25"/>
      <c r="U107" s="25"/>
      <c r="V107" s="25" t="str">
        <f>IF(Q107="Entregado",IF(S107&lt;=VLOOKUP(K107,Valores!E:F,2,0),"Cumple","No cumple"),"PTE")</f>
        <v>Cumple</v>
      </c>
      <c r="W107" s="25"/>
      <c r="X107" s="29">
        <v>24885</v>
      </c>
      <c r="Y107" s="224"/>
      <c r="Z107" s="28"/>
    </row>
    <row r="108" spans="1:26" hidden="1" x14ac:dyDescent="0.3">
      <c r="A108" s="34">
        <v>45685</v>
      </c>
      <c r="B108" s="7" t="str">
        <f t="shared" si="8"/>
        <v>enero</v>
      </c>
      <c r="C108" s="27">
        <v>2423</v>
      </c>
      <c r="D108" s="23" t="s">
        <v>20</v>
      </c>
      <c r="E108" s="123" t="s">
        <v>525</v>
      </c>
      <c r="F108" s="40" t="s">
        <v>133</v>
      </c>
      <c r="G108" s="32" t="str">
        <f>IFERROR(VLOOKUP(F108,Productos!$A$2:$D$258,2,0)," ")</f>
        <v>Electric Standing Desk  PRO Blanco</v>
      </c>
      <c r="H108" s="7">
        <v>1</v>
      </c>
      <c r="I108" s="32" t="str">
        <f>IFERROR(VLOOKUP(F108,Productos!$A$2:$D$258,3,0)," ")</f>
        <v>Standing Desk</v>
      </c>
      <c r="J108" s="122" t="s">
        <v>189</v>
      </c>
      <c r="K108" s="122" t="s">
        <v>45</v>
      </c>
      <c r="L108" s="26" t="str">
        <f t="shared" si="9"/>
        <v>Despachado</v>
      </c>
      <c r="M108" s="56" t="s">
        <v>238</v>
      </c>
      <c r="N108" s="125" t="s">
        <v>547</v>
      </c>
      <c r="O108" s="150">
        <v>45685</v>
      </c>
      <c r="P108" s="151">
        <v>45689</v>
      </c>
      <c r="Q108" s="24" t="str">
        <f t="shared" si="4"/>
        <v>Entregado</v>
      </c>
      <c r="R108" s="25">
        <f>IF(L108="Despachado",NETWORKDAYS.INTL(A108,O108,11,Valores!$A$2:$A$18)-1,"PTE")</f>
        <v>0</v>
      </c>
      <c r="S108" s="25">
        <f>IF(Q108="Entregado",NETWORKDAYS.INTL(A108,P108,11,Valores!$A$2:$A$18)-1,"PTE")</f>
        <v>4</v>
      </c>
      <c r="T108" s="25"/>
      <c r="U108" s="25"/>
      <c r="V108" s="25" t="str">
        <f>IF(Q108="Entregado",IF(S108&lt;=VLOOKUP(K108,Valores!E:F,2,0),"Cumple","No cumple"),"PTE")</f>
        <v>Cumple</v>
      </c>
      <c r="W108" s="25"/>
      <c r="X108" s="29">
        <v>62647</v>
      </c>
      <c r="Y108" s="224"/>
      <c r="Z108" s="28"/>
    </row>
    <row r="109" spans="1:26" hidden="1" x14ac:dyDescent="0.3">
      <c r="A109" s="34">
        <v>45685</v>
      </c>
      <c r="B109" s="7" t="str">
        <f t="shared" si="8"/>
        <v>enero</v>
      </c>
      <c r="C109" s="27">
        <v>2423</v>
      </c>
      <c r="D109" s="23" t="s">
        <v>20</v>
      </c>
      <c r="E109" s="123" t="s">
        <v>525</v>
      </c>
      <c r="F109" s="22" t="s">
        <v>152</v>
      </c>
      <c r="G109" s="32" t="str">
        <f>IFERROR(VLOOKUP(F109,Productos!$A$2:$D$258,2,0)," ")</f>
        <v>Superficie Niebla 200x70 Clasico</v>
      </c>
      <c r="H109" s="7">
        <v>1</v>
      </c>
      <c r="I109" s="32" t="str">
        <f>IFERROR(VLOOKUP(F109,Productos!$A$2:$D$258,3,0)," ")</f>
        <v>Superficie</v>
      </c>
      <c r="J109" s="122" t="s">
        <v>189</v>
      </c>
      <c r="K109" s="122" t="s">
        <v>45</v>
      </c>
      <c r="L109" s="26" t="str">
        <f t="shared" si="9"/>
        <v>Despachado</v>
      </c>
      <c r="M109" s="56" t="s">
        <v>238</v>
      </c>
      <c r="N109" s="125" t="s">
        <v>548</v>
      </c>
      <c r="O109" s="150">
        <v>45685</v>
      </c>
      <c r="P109" s="151">
        <v>45689</v>
      </c>
      <c r="Q109" s="24" t="str">
        <f t="shared" si="4"/>
        <v>Entregado</v>
      </c>
      <c r="R109" s="25">
        <f>IF(L109="Despachado",NETWORKDAYS.INTL(A109,O109,11,Valores!$A$2:$A$18)-1,"PTE")</f>
        <v>0</v>
      </c>
      <c r="S109" s="25">
        <f>IF(Q109="Entregado",NETWORKDAYS.INTL(A109,P109,11,Valores!$A$2:$A$18)-1,"PTE")</f>
        <v>4</v>
      </c>
      <c r="T109" s="25"/>
      <c r="U109" s="25"/>
      <c r="V109" s="25" t="str">
        <f>IF(Q109="Entregado",IF(S109&lt;=VLOOKUP(K109,Valores!E:F,2,0),"Cumple","No cumple"),"PTE")</f>
        <v>Cumple</v>
      </c>
      <c r="W109" s="25"/>
      <c r="X109" s="29">
        <v>44340</v>
      </c>
      <c r="Y109" s="224"/>
      <c r="Z109" s="28"/>
    </row>
    <row r="110" spans="1:26" hidden="1" x14ac:dyDescent="0.3">
      <c r="A110" s="34">
        <v>45685</v>
      </c>
      <c r="B110" s="7" t="str">
        <f t="shared" si="8"/>
        <v>enero</v>
      </c>
      <c r="C110" s="27">
        <v>2424</v>
      </c>
      <c r="D110" s="23" t="s">
        <v>20</v>
      </c>
      <c r="E110" s="123" t="s">
        <v>526</v>
      </c>
      <c r="F110" s="22" t="s">
        <v>129</v>
      </c>
      <c r="G110" s="32" t="str">
        <f>IFERROR(VLOOKUP(F110,Productos!$A$2:$D$258,2,0)," ")</f>
        <v>Electric Standing Desk  PRO Negro</v>
      </c>
      <c r="H110" s="7">
        <v>1</v>
      </c>
      <c r="I110" s="32" t="str">
        <f>IFERROR(VLOOKUP(F110,Productos!$A$2:$D$258,3,0)," ")</f>
        <v>Standing Desk</v>
      </c>
      <c r="J110" s="122" t="s">
        <v>42</v>
      </c>
      <c r="K110" s="122" t="s">
        <v>41</v>
      </c>
      <c r="L110" s="26" t="str">
        <f t="shared" si="9"/>
        <v>Despachado</v>
      </c>
      <c r="M110" s="56" t="s">
        <v>238</v>
      </c>
      <c r="N110" s="125" t="s">
        <v>549</v>
      </c>
      <c r="O110" s="150">
        <v>45686</v>
      </c>
      <c r="P110" s="151">
        <v>45688</v>
      </c>
      <c r="Q110" s="24" t="str">
        <f t="shared" si="4"/>
        <v>Entregado</v>
      </c>
      <c r="R110" s="25">
        <f>IF(L110="Despachado",NETWORKDAYS.INTL(A110,O110,11,Valores!$A$2:$A$18)-1,"PTE")</f>
        <v>1</v>
      </c>
      <c r="S110" s="25">
        <f>IF(Q110="Entregado",NETWORKDAYS.INTL(A110,P110,11,Valores!$A$2:$A$18)-1,"PTE")</f>
        <v>3</v>
      </c>
      <c r="T110" s="25"/>
      <c r="U110" s="25"/>
      <c r="V110" s="25" t="str">
        <f>IF(Q110="Entregado",IF(S110&lt;=VLOOKUP(K110,Valores!E:F,2,0),"Cumple","No cumple"),"PTE")</f>
        <v>Cumple</v>
      </c>
      <c r="W110" s="25"/>
      <c r="X110" s="29">
        <v>42921</v>
      </c>
      <c r="Y110" s="224"/>
      <c r="Z110" s="28"/>
    </row>
    <row r="111" spans="1:26" hidden="1" x14ac:dyDescent="0.3">
      <c r="A111" s="34">
        <v>45685</v>
      </c>
      <c r="B111" s="7" t="str">
        <f t="shared" si="8"/>
        <v>enero</v>
      </c>
      <c r="C111" s="27">
        <v>2424</v>
      </c>
      <c r="D111" s="23" t="s">
        <v>20</v>
      </c>
      <c r="E111" s="123" t="s">
        <v>526</v>
      </c>
      <c r="F111" s="22" t="s">
        <v>107</v>
      </c>
      <c r="G111" s="32" t="str">
        <f>IFERROR(VLOOKUP(F111,Productos!$A$2:$D$258,2,0)," ")</f>
        <v>Superficie  Caramelo 120x70 Clasico Small</v>
      </c>
      <c r="H111" s="7">
        <v>1</v>
      </c>
      <c r="I111" s="32" t="str">
        <f>IFERROR(VLOOKUP(F111,Productos!$A$2:$D$258,3,0)," ")</f>
        <v>Superficie</v>
      </c>
      <c r="J111" s="122" t="s">
        <v>42</v>
      </c>
      <c r="K111" s="122" t="s">
        <v>41</v>
      </c>
      <c r="L111" s="26" t="str">
        <f t="shared" si="9"/>
        <v>Despachado</v>
      </c>
      <c r="M111" s="56" t="s">
        <v>238</v>
      </c>
      <c r="N111" s="125" t="s">
        <v>550</v>
      </c>
      <c r="O111" s="150">
        <v>45686</v>
      </c>
      <c r="P111" s="151">
        <v>45688</v>
      </c>
      <c r="Q111" s="24" t="str">
        <f t="shared" si="4"/>
        <v>Entregado</v>
      </c>
      <c r="R111" s="25">
        <f>IF(L111="Despachado",NETWORKDAYS.INTL(A111,O111,11,Valores!$A$2:$A$18)-1,"PTE")</f>
        <v>1</v>
      </c>
      <c r="S111" s="25">
        <f>IF(Q111="Entregado",NETWORKDAYS.INTL(A111,P111,11,Valores!$A$2:$A$18)-1,"PTE")</f>
        <v>3</v>
      </c>
      <c r="T111" s="25"/>
      <c r="U111" s="25"/>
      <c r="V111" s="25" t="str">
        <f>IF(Q111="Entregado",IF(S111&lt;=VLOOKUP(K111,Valores!E:F,2,0),"Cumple","No cumple"),"PTE")</f>
        <v>Cumple</v>
      </c>
      <c r="W111" s="25"/>
      <c r="X111" s="29">
        <v>28741</v>
      </c>
      <c r="Y111" s="224"/>
      <c r="Z111" s="28"/>
    </row>
    <row r="112" spans="1:26" hidden="1" x14ac:dyDescent="0.3">
      <c r="A112" s="34">
        <v>45686</v>
      </c>
      <c r="B112" s="7" t="str">
        <f t="shared" si="8"/>
        <v>enero</v>
      </c>
      <c r="C112" s="27">
        <v>2425</v>
      </c>
      <c r="D112" s="23" t="s">
        <v>20</v>
      </c>
      <c r="E112" s="124" t="s">
        <v>539</v>
      </c>
      <c r="F112" s="40" t="s">
        <v>133</v>
      </c>
      <c r="G112" s="32" t="str">
        <f>IFERROR(VLOOKUP(F112,Productos!$A$2:$D$258,2,0)," ")</f>
        <v>Electric Standing Desk  PRO Blanco</v>
      </c>
      <c r="H112" s="7">
        <v>1</v>
      </c>
      <c r="I112" s="32" t="str">
        <f>IFERROR(VLOOKUP(F112,Productos!$A$2:$D$258,3,0)," ")</f>
        <v>Standing Desk</v>
      </c>
      <c r="J112" s="54" t="s">
        <v>21</v>
      </c>
      <c r="K112" s="54" t="s">
        <v>22</v>
      </c>
      <c r="L112" s="26" t="str">
        <f t="shared" si="9"/>
        <v>Despachado</v>
      </c>
      <c r="M112" s="56" t="s">
        <v>238</v>
      </c>
      <c r="N112" s="125" t="s">
        <v>551</v>
      </c>
      <c r="O112" s="150">
        <v>45686</v>
      </c>
      <c r="P112" s="151">
        <v>45688</v>
      </c>
      <c r="Q112" s="24" t="str">
        <f t="shared" si="4"/>
        <v>Entregado</v>
      </c>
      <c r="R112" s="25">
        <f>IF(L112="Despachado",NETWORKDAYS.INTL(A112,O112,11,Valores!$A$2:$A$18)-1,"PTE")</f>
        <v>0</v>
      </c>
      <c r="S112" s="25">
        <f>IF(Q112="Entregado",NETWORKDAYS.INTL(A112,P112,11,Valores!$A$2:$A$18)-1,"PTE")</f>
        <v>2</v>
      </c>
      <c r="T112" s="25"/>
      <c r="U112" s="25"/>
      <c r="V112" s="25" t="str">
        <f>IF(Q112="Entregado",IF(S112&lt;=VLOOKUP(K112,Valores!E:F,2,0),"Cumple","No cumple"),"PTE")</f>
        <v>Cumple</v>
      </c>
      <c r="W112" s="25"/>
      <c r="X112" s="29">
        <v>42921</v>
      </c>
      <c r="Y112" s="224"/>
      <c r="Z112" s="28"/>
    </row>
    <row r="113" spans="1:26" hidden="1" x14ac:dyDescent="0.3">
      <c r="A113" s="34">
        <v>45686</v>
      </c>
      <c r="B113" s="7" t="str">
        <f t="shared" si="8"/>
        <v>enero</v>
      </c>
      <c r="C113" s="27">
        <v>2425</v>
      </c>
      <c r="D113" s="23" t="s">
        <v>20</v>
      </c>
      <c r="E113" s="124" t="s">
        <v>539</v>
      </c>
      <c r="F113" s="22" t="s">
        <v>150</v>
      </c>
      <c r="G113" s="32" t="str">
        <f>IFERROR(VLOOKUP(F113,Productos!$A$2:$D$258,2,0)," ")</f>
        <v>Superficie Niebla 170x70 Clasico</v>
      </c>
      <c r="H113" s="7">
        <v>1</v>
      </c>
      <c r="I113" s="32" t="str">
        <f>IFERROR(VLOOKUP(F113,Productos!$A$2:$D$258,3,0)," ")</f>
        <v>Superficie</v>
      </c>
      <c r="J113" s="54" t="s">
        <v>21</v>
      </c>
      <c r="K113" s="54" t="s">
        <v>22</v>
      </c>
      <c r="L113" s="26" t="str">
        <f t="shared" si="9"/>
        <v>Despachado</v>
      </c>
      <c r="M113" s="56" t="s">
        <v>238</v>
      </c>
      <c r="N113" s="125" t="s">
        <v>552</v>
      </c>
      <c r="O113" s="150">
        <v>45686</v>
      </c>
      <c r="P113" s="151">
        <v>45688</v>
      </c>
      <c r="Q113" s="24" t="str">
        <f t="shared" si="4"/>
        <v>Entregado</v>
      </c>
      <c r="R113" s="25">
        <f>IF(L113="Despachado",NETWORKDAYS.INTL(A113,O113,11,Valores!$A$2:$A$18)-1,"PTE")</f>
        <v>0</v>
      </c>
      <c r="S113" s="25">
        <f>IF(Q113="Entregado",NETWORKDAYS.INTL(A113,P113,11,Valores!$A$2:$A$18)-1,"PTE")</f>
        <v>2</v>
      </c>
      <c r="T113" s="25"/>
      <c r="U113" s="25"/>
      <c r="V113" s="25" t="str">
        <f>IF(Q113="Entregado",IF(S113&lt;=VLOOKUP(K113,Valores!E:F,2,0),"Cumple","No cumple"),"PTE")</f>
        <v>Cumple</v>
      </c>
      <c r="W113" s="25"/>
      <c r="X113" s="29">
        <v>24093</v>
      </c>
      <c r="Y113" s="224"/>
      <c r="Z113" s="28"/>
    </row>
    <row r="114" spans="1:26" hidden="1" x14ac:dyDescent="0.3">
      <c r="A114" s="34">
        <v>45687</v>
      </c>
      <c r="B114" s="7" t="str">
        <f t="shared" si="8"/>
        <v>enero</v>
      </c>
      <c r="C114" s="27">
        <v>2426</v>
      </c>
      <c r="D114" s="23" t="s">
        <v>20</v>
      </c>
      <c r="E114" s="124" t="s">
        <v>540</v>
      </c>
      <c r="F114" s="22" t="s">
        <v>129</v>
      </c>
      <c r="G114" s="32" t="str">
        <f>IFERROR(VLOOKUP(F114,Productos!$A$2:$D$258,2,0)," ")</f>
        <v>Electric Standing Desk  PRO Negro</v>
      </c>
      <c r="H114" s="7">
        <v>1</v>
      </c>
      <c r="I114" s="32" t="str">
        <f>IFERROR(VLOOKUP(F114,Productos!$A$2:$D$258,3,0)," ")</f>
        <v>Standing Desk</v>
      </c>
      <c r="J114" s="125" t="s">
        <v>42</v>
      </c>
      <c r="K114" s="125" t="s">
        <v>41</v>
      </c>
      <c r="L114" s="26" t="str">
        <f t="shared" si="9"/>
        <v>Despachado</v>
      </c>
      <c r="M114" s="56" t="s">
        <v>238</v>
      </c>
      <c r="N114" s="125" t="s">
        <v>553</v>
      </c>
      <c r="O114" s="150">
        <v>45687</v>
      </c>
      <c r="P114" s="151">
        <v>45689</v>
      </c>
      <c r="Q114" s="24" t="str">
        <f t="shared" si="4"/>
        <v>Entregado</v>
      </c>
      <c r="R114" s="25">
        <f>IF(L114="Despachado",NETWORKDAYS.INTL(A114,O114,11,Valores!$A$2:$A$18)-1,"PTE")</f>
        <v>0</v>
      </c>
      <c r="S114" s="25">
        <f>IF(Q114="Entregado",NETWORKDAYS.INTL(A114,P114,11,Valores!$A$2:$A$18)-1,"PTE")</f>
        <v>2</v>
      </c>
      <c r="T114" s="25"/>
      <c r="U114" s="25"/>
      <c r="V114" s="25" t="str">
        <f>IF(Q114="Entregado",IF(S114&lt;=VLOOKUP(K114,Valores!E:F,2,0),"Cumple","No cumple"),"PTE")</f>
        <v>Cumple</v>
      </c>
      <c r="W114" s="25"/>
      <c r="X114" s="29">
        <v>42921</v>
      </c>
      <c r="Y114" s="224"/>
      <c r="Z114" s="28"/>
    </row>
    <row r="115" spans="1:26" hidden="1" x14ac:dyDescent="0.3">
      <c r="A115" s="34">
        <v>45687</v>
      </c>
      <c r="B115" s="7" t="str">
        <f t="shared" si="8"/>
        <v>enero</v>
      </c>
      <c r="C115" s="27">
        <v>2426</v>
      </c>
      <c r="D115" s="23" t="s">
        <v>20</v>
      </c>
      <c r="E115" s="124" t="s">
        <v>540</v>
      </c>
      <c r="F115" s="22" t="s">
        <v>33</v>
      </c>
      <c r="G115" s="32" t="str">
        <f>IFERROR(VLOOKUP(F115,Productos!$A$2:$D$258,2,0)," ")</f>
        <v>Superficie  Caramelo 180x70 Clasico</v>
      </c>
      <c r="H115" s="7">
        <v>1</v>
      </c>
      <c r="I115" s="32" t="str">
        <f>IFERROR(VLOOKUP(F115,Productos!$A$2:$D$258,3,0)," ")</f>
        <v>Superficie</v>
      </c>
      <c r="J115" s="125" t="s">
        <v>42</v>
      </c>
      <c r="K115" s="125" t="s">
        <v>41</v>
      </c>
      <c r="L115" s="26" t="str">
        <f t="shared" si="9"/>
        <v>Despachado</v>
      </c>
      <c r="M115" s="56" t="s">
        <v>238</v>
      </c>
      <c r="N115" s="125" t="s">
        <v>554</v>
      </c>
      <c r="O115" s="150">
        <v>45687</v>
      </c>
      <c r="P115" s="151">
        <v>45689</v>
      </c>
      <c r="Q115" s="24" t="str">
        <f t="shared" si="4"/>
        <v>Entregado</v>
      </c>
      <c r="R115" s="25">
        <f>IF(L115="Despachado",NETWORKDAYS.INTL(A115,O115,11,Valores!$A$2:$A$18)-1,"PTE")</f>
        <v>0</v>
      </c>
      <c r="S115" s="25">
        <f>IF(Q115="Entregado",NETWORKDAYS.INTL(A115,P115,11,Valores!$A$2:$A$18)-1,"PTE")</f>
        <v>2</v>
      </c>
      <c r="T115" s="25"/>
      <c r="U115" s="25"/>
      <c r="V115" s="25" t="str">
        <f>IF(Q115="Entregado",IF(S115&lt;=VLOOKUP(K115,Valores!E:F,2,0),"Cumple","No cumple"),"PTE")</f>
        <v>Cumple</v>
      </c>
      <c r="W115" s="25"/>
      <c r="X115" s="29">
        <v>26749</v>
      </c>
      <c r="Y115" s="224"/>
      <c r="Z115" s="28"/>
    </row>
    <row r="116" spans="1:26" hidden="1" x14ac:dyDescent="0.3">
      <c r="A116" s="34">
        <v>45687</v>
      </c>
      <c r="B116" s="7" t="str">
        <f t="shared" si="8"/>
        <v>enero</v>
      </c>
      <c r="C116" s="27">
        <v>2427</v>
      </c>
      <c r="D116" s="23" t="s">
        <v>20</v>
      </c>
      <c r="E116" s="124" t="s">
        <v>541</v>
      </c>
      <c r="F116" s="40" t="s">
        <v>133</v>
      </c>
      <c r="G116" s="32" t="str">
        <f>IFERROR(VLOOKUP(F116,Productos!$A$2:$D$258,2,0)," ")</f>
        <v>Electric Standing Desk  PRO Blanco</v>
      </c>
      <c r="H116" s="7">
        <v>1</v>
      </c>
      <c r="I116" s="32" t="str">
        <f>IFERROR(VLOOKUP(F116,Productos!$A$2:$D$258,3,0)," ")</f>
        <v>Standing Desk</v>
      </c>
      <c r="J116" s="54" t="s">
        <v>21</v>
      </c>
      <c r="K116" s="54" t="s">
        <v>22</v>
      </c>
      <c r="L116" s="26" t="str">
        <f t="shared" si="9"/>
        <v>Despachado</v>
      </c>
      <c r="M116" s="56" t="s">
        <v>238</v>
      </c>
      <c r="N116" s="125" t="s">
        <v>555</v>
      </c>
      <c r="O116" s="150">
        <v>45687</v>
      </c>
      <c r="P116" s="151">
        <v>45688</v>
      </c>
      <c r="Q116" s="24" t="str">
        <f t="shared" si="4"/>
        <v>Entregado</v>
      </c>
      <c r="R116" s="25">
        <f>IF(L116="Despachado",NETWORKDAYS.INTL(A116,O116,11,Valores!$A$2:$A$18)-1,"PTE")</f>
        <v>0</v>
      </c>
      <c r="S116" s="25">
        <f>IF(Q116="Entregado",NETWORKDAYS.INTL(A116,P116,11,Valores!$A$2:$A$18)-1,"PTE")</f>
        <v>1</v>
      </c>
      <c r="T116" s="25"/>
      <c r="U116" s="25"/>
      <c r="V116" s="25" t="str">
        <f>IF(Q116="Entregado",IF(S116&lt;=VLOOKUP(K116,Valores!E:F,2,0),"Cumple","No cumple"),"PTE")</f>
        <v>Cumple</v>
      </c>
      <c r="W116" s="25"/>
      <c r="X116" s="29">
        <v>42921</v>
      </c>
      <c r="Y116" s="224"/>
      <c r="Z116" s="28"/>
    </row>
    <row r="117" spans="1:26" hidden="1" x14ac:dyDescent="0.3">
      <c r="A117" s="34">
        <v>45687</v>
      </c>
      <c r="B117" s="7" t="str">
        <f t="shared" si="8"/>
        <v>enero</v>
      </c>
      <c r="C117" s="27">
        <v>2427</v>
      </c>
      <c r="D117" s="23" t="s">
        <v>20</v>
      </c>
      <c r="E117" s="124" t="s">
        <v>541</v>
      </c>
      <c r="F117" s="22" t="s">
        <v>302</v>
      </c>
      <c r="G117" s="32" t="str">
        <f>IFERROR(VLOOKUP(F117,Productos!$A$2:$D$258,2,0)," ")</f>
        <v>Superficie  Fresno Europeo 130x70 Clasico</v>
      </c>
      <c r="H117" s="7">
        <v>1</v>
      </c>
      <c r="I117" s="32" t="str">
        <f>IFERROR(VLOOKUP(F117,Productos!$A$2:$D$258,3,0)," ")</f>
        <v>Superficie</v>
      </c>
      <c r="J117" s="54" t="s">
        <v>21</v>
      </c>
      <c r="K117" s="54" t="s">
        <v>22</v>
      </c>
      <c r="L117" s="26" t="str">
        <f t="shared" si="9"/>
        <v>Despachado</v>
      </c>
      <c r="M117" s="56" t="s">
        <v>238</v>
      </c>
      <c r="N117" s="125" t="s">
        <v>556</v>
      </c>
      <c r="O117" s="150">
        <v>45687</v>
      </c>
      <c r="P117" s="151">
        <v>45688</v>
      </c>
      <c r="Q117" s="24" t="str">
        <f t="shared" si="4"/>
        <v>Entregado</v>
      </c>
      <c r="R117" s="25">
        <f>IF(L117="Despachado",NETWORKDAYS.INTL(A117,O117,11,Valores!$A$2:$A$18)-1,"PTE")</f>
        <v>0</v>
      </c>
      <c r="S117" s="25">
        <f>IF(Q117="Entregado",NETWORKDAYS.INTL(A117,P117,11,Valores!$A$2:$A$18)-1,"PTE")</f>
        <v>1</v>
      </c>
      <c r="T117" s="25"/>
      <c r="U117" s="25"/>
      <c r="V117" s="25" t="str">
        <f>IF(Q117="Entregado",IF(S117&lt;=VLOOKUP(K117,Valores!E:F,2,0),"Cumple","No cumple"),"PTE")</f>
        <v>Cumple</v>
      </c>
      <c r="W117" s="25"/>
      <c r="X117" s="29">
        <v>28741</v>
      </c>
      <c r="Y117" s="224"/>
      <c r="Z117" s="28"/>
    </row>
    <row r="118" spans="1:26" hidden="1" x14ac:dyDescent="0.3">
      <c r="A118" s="34">
        <v>45687</v>
      </c>
      <c r="B118" s="7" t="str">
        <f t="shared" si="8"/>
        <v>enero</v>
      </c>
      <c r="C118" s="27">
        <v>2428</v>
      </c>
      <c r="D118" s="23" t="s">
        <v>20</v>
      </c>
      <c r="E118" s="124" t="s">
        <v>542</v>
      </c>
      <c r="F118" s="40" t="s">
        <v>123</v>
      </c>
      <c r="G118" s="32" t="str">
        <f>IFERROR(VLOOKUP(F118,Productos!$A$2:$D$258,2,0)," ")</f>
        <v>Electric Standing Desk GO Negro</v>
      </c>
      <c r="H118" s="7">
        <v>1</v>
      </c>
      <c r="I118" s="32" t="str">
        <f>IFERROR(VLOOKUP(F118,Productos!$A$2:$D$258,3,0)," ")</f>
        <v>Standing Desk</v>
      </c>
      <c r="J118" s="125" t="s">
        <v>24</v>
      </c>
      <c r="K118" s="128" t="s">
        <v>27</v>
      </c>
      <c r="L118" s="26" t="str">
        <f t="shared" si="9"/>
        <v>Despachado</v>
      </c>
      <c r="M118" s="56" t="s">
        <v>238</v>
      </c>
      <c r="N118" s="126" t="s">
        <v>557</v>
      </c>
      <c r="O118" s="150">
        <v>45687</v>
      </c>
      <c r="P118" s="151">
        <v>45688</v>
      </c>
      <c r="Q118" s="24" t="str">
        <f t="shared" si="4"/>
        <v>Entregado</v>
      </c>
      <c r="R118" s="25">
        <f>IF(L118="Despachado",NETWORKDAYS.INTL(A118,O118,11,Valores!$A$2:$A$18)-1,"PTE")</f>
        <v>0</v>
      </c>
      <c r="S118" s="25">
        <f>IF(Q118="Entregado",NETWORKDAYS.INTL(A118,P118,11,Valores!$A$2:$A$18)-1,"PTE")</f>
        <v>1</v>
      </c>
      <c r="T118" s="25"/>
      <c r="U118" s="25"/>
      <c r="V118" s="25" t="str">
        <f>IF(Q118="Entregado",IF(S118&lt;=VLOOKUP(K118,Valores!E:F,2,0),"Cumple","No cumple"),"PTE")</f>
        <v>Cumple</v>
      </c>
      <c r="W118" s="25"/>
      <c r="X118" s="29">
        <v>41593</v>
      </c>
      <c r="Y118" s="224"/>
      <c r="Z118" s="28"/>
    </row>
    <row r="119" spans="1:26" hidden="1" x14ac:dyDescent="0.3">
      <c r="A119" s="34">
        <v>45687</v>
      </c>
      <c r="B119" s="7" t="str">
        <f t="shared" si="8"/>
        <v>enero</v>
      </c>
      <c r="C119" s="27">
        <v>2428</v>
      </c>
      <c r="D119" s="23" t="s">
        <v>20</v>
      </c>
      <c r="E119" s="124" t="s">
        <v>542</v>
      </c>
      <c r="F119" s="22" t="s">
        <v>155</v>
      </c>
      <c r="G119" s="32" t="str">
        <f>IFERROR(VLOOKUP(F119,Productos!$A$2:$D$258,2,0)," ")</f>
        <v>Superficie  Roble Negro 160x70 Clasico</v>
      </c>
      <c r="H119" s="7">
        <v>1</v>
      </c>
      <c r="I119" s="32" t="str">
        <f>IFERROR(VLOOKUP(F119,Productos!$A$2:$D$258,3,0)," ")</f>
        <v>Superficie</v>
      </c>
      <c r="J119" s="125" t="s">
        <v>24</v>
      </c>
      <c r="K119" s="128" t="s">
        <v>27</v>
      </c>
      <c r="L119" s="26" t="str">
        <f t="shared" si="9"/>
        <v>Despachado</v>
      </c>
      <c r="M119" s="56" t="s">
        <v>238</v>
      </c>
      <c r="N119" s="126" t="s">
        <v>558</v>
      </c>
      <c r="O119" s="150">
        <v>45687</v>
      </c>
      <c r="P119" s="151">
        <v>45688</v>
      </c>
      <c r="Q119" s="24" t="str">
        <f t="shared" si="4"/>
        <v>Entregado</v>
      </c>
      <c r="R119" s="25">
        <f>IF(L119="Despachado",NETWORKDAYS.INTL(A119,O119,11,Valores!$A$2:$A$18)-1,"PTE")</f>
        <v>0</v>
      </c>
      <c r="S119" s="25">
        <f>IF(Q119="Entregado",NETWORKDAYS.INTL(A119,P119,11,Valores!$A$2:$A$18)-1,"PTE")</f>
        <v>1</v>
      </c>
      <c r="T119" s="25"/>
      <c r="U119" s="25"/>
      <c r="V119" s="25" t="str">
        <f>IF(Q119="Entregado",IF(S119&lt;=VLOOKUP(K119,Valores!E:F,2,0),"Cumple","No cumple"),"PTE")</f>
        <v>Cumple</v>
      </c>
      <c r="W119" s="25"/>
      <c r="X119" s="29">
        <v>24093</v>
      </c>
      <c r="Y119" s="224"/>
      <c r="Z119" s="28"/>
    </row>
    <row r="120" spans="1:26" hidden="1" x14ac:dyDescent="0.3">
      <c r="A120" s="34">
        <v>45688</v>
      </c>
      <c r="B120" s="7" t="str">
        <f t="shared" si="8"/>
        <v>enero</v>
      </c>
      <c r="C120" s="27">
        <v>2429</v>
      </c>
      <c r="D120" s="23" t="s">
        <v>20</v>
      </c>
      <c r="E120" s="124" t="s">
        <v>543</v>
      </c>
      <c r="F120" s="22" t="s">
        <v>129</v>
      </c>
      <c r="G120" s="32" t="str">
        <f>IFERROR(VLOOKUP(F120,Productos!$A$2:$D$258,2,0)," ")</f>
        <v>Electric Standing Desk  PRO Negro</v>
      </c>
      <c r="H120" s="7">
        <v>1</v>
      </c>
      <c r="I120" s="32" t="str">
        <f>IFERROR(VLOOKUP(F120,Productos!$A$2:$D$258,3,0)," ")</f>
        <v>Standing Desk</v>
      </c>
      <c r="J120" s="125" t="s">
        <v>189</v>
      </c>
      <c r="K120" s="126" t="s">
        <v>45</v>
      </c>
      <c r="L120" s="26" t="str">
        <f t="shared" si="9"/>
        <v>Despachado</v>
      </c>
      <c r="M120" s="56" t="s">
        <v>238</v>
      </c>
      <c r="N120" s="126" t="s">
        <v>559</v>
      </c>
      <c r="O120" s="150">
        <v>45691</v>
      </c>
      <c r="P120" s="151">
        <v>45693</v>
      </c>
      <c r="Q120" s="24" t="str">
        <f t="shared" si="4"/>
        <v>Entregado</v>
      </c>
      <c r="R120" s="25">
        <f>IF(L120="Despachado",NETWORKDAYS.INTL(A120,O120,11,Valores!$A$2:$A$18)-1,"PTE")</f>
        <v>2</v>
      </c>
      <c r="S120" s="25">
        <f>IF(Q120="Entregado",NETWORKDAYS.INTL(A120,P120,11,Valores!$A$2:$A$18)-1,"PTE")</f>
        <v>4</v>
      </c>
      <c r="T120" s="25"/>
      <c r="U120" s="25"/>
      <c r="V120" s="25" t="str">
        <f>IF(Q120="Entregado",IF(S120&lt;=VLOOKUP(K120,Valores!E:F,2,0),"Cumple","No cumple"),"PTE")</f>
        <v>Cumple</v>
      </c>
      <c r="W120" s="25"/>
      <c r="X120" s="29">
        <v>62467</v>
      </c>
      <c r="Y120" s="224"/>
      <c r="Z120" s="28"/>
    </row>
    <row r="121" spans="1:26" hidden="1" x14ac:dyDescent="0.3">
      <c r="A121" s="34">
        <v>45688</v>
      </c>
      <c r="B121" s="7" t="str">
        <f t="shared" si="8"/>
        <v>enero</v>
      </c>
      <c r="C121" s="27">
        <v>2429</v>
      </c>
      <c r="D121" s="23" t="s">
        <v>20</v>
      </c>
      <c r="E121" s="124" t="s">
        <v>543</v>
      </c>
      <c r="F121" s="22" t="s">
        <v>59</v>
      </c>
      <c r="G121" s="32" t="str">
        <f>IFERROR(VLOOKUP(F121,Productos!$A$2:$D$258,2,0)," ")</f>
        <v>Superficie Caramelo 150x70 Moderno</v>
      </c>
      <c r="H121" s="7">
        <v>1</v>
      </c>
      <c r="I121" s="32" t="str">
        <f>IFERROR(VLOOKUP(F121,Productos!$A$2:$D$258,3,0)," ")</f>
        <v>Superficie</v>
      </c>
      <c r="J121" s="125" t="s">
        <v>189</v>
      </c>
      <c r="K121" s="126" t="s">
        <v>45</v>
      </c>
      <c r="L121" s="26" t="str">
        <f t="shared" si="9"/>
        <v>Despachado</v>
      </c>
      <c r="M121" s="56" t="s">
        <v>238</v>
      </c>
      <c r="N121" s="126" t="s">
        <v>560</v>
      </c>
      <c r="O121" s="150">
        <v>45691</v>
      </c>
      <c r="P121" s="151">
        <v>45693</v>
      </c>
      <c r="Q121" s="24" t="str">
        <f t="shared" si="4"/>
        <v>Entregado</v>
      </c>
      <c r="R121" s="25">
        <f>IF(L121="Despachado",NETWORKDAYS.INTL(A121,O121,11,Valores!$A$2:$A$18)-1,"PTE")</f>
        <v>2</v>
      </c>
      <c r="S121" s="25">
        <f>IF(Q121="Entregado",NETWORKDAYS.INTL(A121,P121,11,Valores!$A$2:$A$18)-1,"PTE")</f>
        <v>4</v>
      </c>
      <c r="T121" s="25"/>
      <c r="U121" s="25"/>
      <c r="V121" s="25" t="str">
        <f>IF(Q121="Entregado",IF(S121&lt;=VLOOKUP(K121,Valores!E:F,2,0),"Cumple","No cumple"),"PTE")</f>
        <v>Cumple</v>
      </c>
      <c r="W121" s="25"/>
      <c r="X121" s="29">
        <v>39078</v>
      </c>
      <c r="Y121" s="224"/>
      <c r="Z121" s="28"/>
    </row>
    <row r="122" spans="1:26" hidden="1" x14ac:dyDescent="0.3">
      <c r="A122" s="34">
        <v>45688</v>
      </c>
      <c r="B122" s="7" t="str">
        <f t="shared" si="8"/>
        <v>enero</v>
      </c>
      <c r="C122" s="27">
        <v>2430</v>
      </c>
      <c r="D122" s="23" t="s">
        <v>20</v>
      </c>
      <c r="E122" s="124" t="s">
        <v>544</v>
      </c>
      <c r="F122" s="22" t="s">
        <v>129</v>
      </c>
      <c r="G122" s="32" t="str">
        <f>IFERROR(VLOOKUP(F122,Productos!$A$2:$D$258,2,0)," ")</f>
        <v>Electric Standing Desk  PRO Negro</v>
      </c>
      <c r="H122" s="7">
        <v>1</v>
      </c>
      <c r="I122" s="32" t="str">
        <f>IFERROR(VLOOKUP(F122,Productos!$A$2:$D$258,3,0)," ")</f>
        <v>Standing Desk</v>
      </c>
      <c r="J122" s="54" t="s">
        <v>21</v>
      </c>
      <c r="K122" s="54" t="s">
        <v>22</v>
      </c>
      <c r="L122" s="26" t="str">
        <f t="shared" si="9"/>
        <v>Despachado</v>
      </c>
      <c r="M122" s="56" t="s">
        <v>238</v>
      </c>
      <c r="N122" s="126" t="s">
        <v>561</v>
      </c>
      <c r="O122" s="150">
        <v>45691</v>
      </c>
      <c r="P122" s="151">
        <v>45693</v>
      </c>
      <c r="Q122" s="24" t="str">
        <f t="shared" si="4"/>
        <v>Entregado</v>
      </c>
      <c r="R122" s="25">
        <f>IF(L122="Despachado",NETWORKDAYS.INTL(A122,O122,11,Valores!$A$2:$A$18)-1,"PTE")</f>
        <v>2</v>
      </c>
      <c r="S122" s="25">
        <f>IF(Q122="Entregado",NETWORKDAYS.INTL(A122,P122,11,Valores!$A$2:$A$18)-1,"PTE")</f>
        <v>4</v>
      </c>
      <c r="T122" s="25"/>
      <c r="U122" s="25"/>
      <c r="V122" s="25" t="str">
        <f>IF(Q122="Entregado",IF(S122&lt;=VLOOKUP(K122,Valores!E:F,2,0),"Cumple","No cumple"),"PTE")</f>
        <v>No cumple</v>
      </c>
      <c r="W122" s="25"/>
      <c r="X122" s="29">
        <v>42921</v>
      </c>
      <c r="Y122" s="224"/>
      <c r="Z122" s="28"/>
    </row>
    <row r="123" spans="1:26" hidden="1" x14ac:dyDescent="0.3">
      <c r="A123" s="34">
        <v>45688</v>
      </c>
      <c r="B123" s="7" t="str">
        <f t="shared" si="8"/>
        <v>enero</v>
      </c>
      <c r="C123" s="27">
        <v>2430</v>
      </c>
      <c r="D123" s="23" t="s">
        <v>20</v>
      </c>
      <c r="E123" s="124" t="s">
        <v>544</v>
      </c>
      <c r="F123" s="22" t="s">
        <v>33</v>
      </c>
      <c r="G123" s="32" t="str">
        <f>IFERROR(VLOOKUP(F123,Productos!$A$2:$D$258,2,0)," ")</f>
        <v>Superficie  Caramelo 180x70 Clasico</v>
      </c>
      <c r="H123" s="7">
        <v>1</v>
      </c>
      <c r="I123" s="32" t="str">
        <f>IFERROR(VLOOKUP(F123,Productos!$A$2:$D$258,3,0)," ")</f>
        <v>Superficie</v>
      </c>
      <c r="J123" s="54" t="s">
        <v>21</v>
      </c>
      <c r="K123" s="54" t="s">
        <v>22</v>
      </c>
      <c r="L123" s="26" t="str">
        <f t="shared" si="9"/>
        <v>Despachado</v>
      </c>
      <c r="M123" s="56" t="s">
        <v>238</v>
      </c>
      <c r="N123" s="126" t="s">
        <v>562</v>
      </c>
      <c r="O123" s="150">
        <v>45691</v>
      </c>
      <c r="P123" s="151">
        <v>45693</v>
      </c>
      <c r="Q123" s="24" t="str">
        <f t="shared" si="4"/>
        <v>Entregado</v>
      </c>
      <c r="R123" s="25">
        <f>IF(L123="Despachado",NETWORKDAYS.INTL(A123,O123,11,Valores!$A$2:$A$18)-1,"PTE")</f>
        <v>2</v>
      </c>
      <c r="S123" s="25">
        <f>IF(Q123="Entregado",NETWORKDAYS.INTL(A123,P123,11,Valores!$A$2:$A$18)-1,"PTE")</f>
        <v>4</v>
      </c>
      <c r="T123" s="25"/>
      <c r="U123" s="25"/>
      <c r="V123" s="25" t="str">
        <f>IF(Q123="Entregado",IF(S123&lt;=VLOOKUP(K123,Valores!E:F,2,0),"Cumple","No cumple"),"PTE")</f>
        <v>No cumple</v>
      </c>
      <c r="W123" s="25"/>
      <c r="X123" s="29">
        <v>26749</v>
      </c>
      <c r="Y123" s="224"/>
      <c r="Z123" s="28"/>
    </row>
    <row r="124" spans="1:26" hidden="1" x14ac:dyDescent="0.3">
      <c r="A124" s="34">
        <v>45688</v>
      </c>
      <c r="B124" s="7" t="str">
        <f t="shared" si="8"/>
        <v>enero</v>
      </c>
      <c r="C124" s="27">
        <v>2430</v>
      </c>
      <c r="D124" s="23" t="s">
        <v>20</v>
      </c>
      <c r="E124" s="124" t="s">
        <v>544</v>
      </c>
      <c r="F124" s="22" t="s">
        <v>280</v>
      </c>
      <c r="G124" s="32" t="str">
        <f>IFERROR(VLOOKUP(F124,Productos!$A$2:$D$258,2,0)," ")</f>
        <v>Rodachines con freno para Standing desk x 4 UN</v>
      </c>
      <c r="H124" s="7">
        <v>1</v>
      </c>
      <c r="I124" s="32" t="str">
        <f>IFERROR(VLOOKUP(F124,Productos!$A$2:$D$258,3,0)," ")</f>
        <v>Ruedas</v>
      </c>
      <c r="J124" s="54" t="s">
        <v>21</v>
      </c>
      <c r="K124" s="54" t="s">
        <v>22</v>
      </c>
      <c r="L124" s="26" t="str">
        <f t="shared" si="9"/>
        <v>Despachado</v>
      </c>
      <c r="M124" s="56" t="s">
        <v>238</v>
      </c>
      <c r="N124" s="126" t="s">
        <v>563</v>
      </c>
      <c r="O124" s="150">
        <v>45691</v>
      </c>
      <c r="P124" s="151">
        <v>45693</v>
      </c>
      <c r="Q124" s="24" t="str">
        <f t="shared" si="4"/>
        <v>Entregado</v>
      </c>
      <c r="R124" s="25">
        <f>IF(L124="Despachado",NETWORKDAYS.INTL(A124,O124,11,Valores!$A$2:$A$18)-1,"PTE")</f>
        <v>2</v>
      </c>
      <c r="S124" s="25">
        <f>IF(Q124="Entregado",NETWORKDAYS.INTL(A124,P124,11,Valores!$A$2:$A$18)-1,"PTE")</f>
        <v>4</v>
      </c>
      <c r="T124" s="25"/>
      <c r="U124" s="25"/>
      <c r="V124" s="25" t="str">
        <f>IF(Q124="Entregado",IF(S124&lt;=VLOOKUP(K124,Valores!E:F,2,0),"Cumple","No cumple"),"PTE")</f>
        <v>No cumple</v>
      </c>
      <c r="W124" s="25"/>
      <c r="X124" s="29">
        <v>23875</v>
      </c>
      <c r="Y124" s="224"/>
      <c r="Z124" s="28"/>
    </row>
    <row r="125" spans="1:26" hidden="1" x14ac:dyDescent="0.3">
      <c r="A125" s="34">
        <v>45690</v>
      </c>
      <c r="B125" s="7" t="str">
        <f t="shared" si="8"/>
        <v>febrero</v>
      </c>
      <c r="C125" s="27">
        <v>2431</v>
      </c>
      <c r="D125" s="23" t="s">
        <v>20</v>
      </c>
      <c r="E125" s="127" t="s">
        <v>564</v>
      </c>
      <c r="F125" s="40" t="s">
        <v>133</v>
      </c>
      <c r="G125" s="32" t="str">
        <f>IFERROR(VLOOKUP(F125,Productos!$A$2:$D$258,2,0)," ")</f>
        <v>Electric Standing Desk  PRO Blanco</v>
      </c>
      <c r="H125" s="7">
        <v>1</v>
      </c>
      <c r="I125" s="32" t="str">
        <f>IFERROR(VLOOKUP(F125,Productos!$A$2:$D$258,3,0)," ")</f>
        <v>Standing Desk</v>
      </c>
      <c r="J125" s="54" t="s">
        <v>21</v>
      </c>
      <c r="K125" s="54" t="s">
        <v>22</v>
      </c>
      <c r="L125" s="26" t="str">
        <f t="shared" si="9"/>
        <v>Despachado</v>
      </c>
      <c r="M125" s="56" t="s">
        <v>238</v>
      </c>
      <c r="N125" s="126" t="s">
        <v>578</v>
      </c>
      <c r="O125" s="150">
        <v>45691</v>
      </c>
      <c r="P125" s="151">
        <v>45695</v>
      </c>
      <c r="Q125" s="24" t="str">
        <f t="shared" si="4"/>
        <v>Entregado</v>
      </c>
      <c r="R125" s="25">
        <f>IF(L125="Despachado",NETWORKDAYS.INTL(A125,O125,11,Valores!$A$2:$A$18)-1,"PTE")</f>
        <v>0</v>
      </c>
      <c r="S125" s="25">
        <f>IF(Q125="Entregado",NETWORKDAYS.INTL(A125,P125,11,Valores!$A$2:$A$18)-1,"PTE")</f>
        <v>4</v>
      </c>
      <c r="T125" s="25"/>
      <c r="U125" s="25"/>
      <c r="V125" s="25" t="str">
        <f>IF(Q125="Entregado",IF(S125&lt;=VLOOKUP(K125,Valores!E:F,2,0),"Cumple","No cumple"),"PTE")</f>
        <v>No cumple</v>
      </c>
      <c r="W125" s="25"/>
      <c r="X125" s="29">
        <v>42921</v>
      </c>
      <c r="Y125" s="224"/>
      <c r="Z125" s="28"/>
    </row>
    <row r="126" spans="1:26" hidden="1" x14ac:dyDescent="0.3">
      <c r="A126" s="34">
        <v>45690</v>
      </c>
      <c r="B126" s="7" t="str">
        <f t="shared" si="8"/>
        <v>febrero</v>
      </c>
      <c r="C126" s="27">
        <v>2431</v>
      </c>
      <c r="D126" s="23" t="s">
        <v>20</v>
      </c>
      <c r="E126" s="127" t="s">
        <v>564</v>
      </c>
      <c r="F126" s="22" t="s">
        <v>51</v>
      </c>
      <c r="G126" s="32" t="str">
        <f>IFERROR(VLOOKUP(F126,Productos!$A$2:$D$258,2,0)," ")</f>
        <v>Superficie Niebla 150x70 Moderno</v>
      </c>
      <c r="H126" s="7">
        <v>1</v>
      </c>
      <c r="I126" s="32" t="str">
        <f>IFERROR(VLOOKUP(F126,Productos!$A$2:$D$258,3,0)," ")</f>
        <v>Superficie</v>
      </c>
      <c r="J126" s="54" t="s">
        <v>21</v>
      </c>
      <c r="K126" s="54" t="s">
        <v>22</v>
      </c>
      <c r="L126" s="26" t="str">
        <f t="shared" si="9"/>
        <v>Despachado</v>
      </c>
      <c r="M126" s="56" t="s">
        <v>238</v>
      </c>
      <c r="N126" s="126" t="s">
        <v>579</v>
      </c>
      <c r="O126" s="150">
        <v>45691</v>
      </c>
      <c r="P126" s="151">
        <v>45693</v>
      </c>
      <c r="Q126" s="24" t="str">
        <f t="shared" si="4"/>
        <v>Entregado</v>
      </c>
      <c r="R126" s="25">
        <f>IF(L126="Despachado",NETWORKDAYS.INTL(A126,O126,11,Valores!$A$2:$A$18)-1,"PTE")</f>
        <v>0</v>
      </c>
      <c r="S126" s="25">
        <f>IF(Q126="Entregado",NETWORKDAYS.INTL(A126,P126,11,Valores!$A$2:$A$18)-1,"PTE")</f>
        <v>2</v>
      </c>
      <c r="T126" s="25"/>
      <c r="U126" s="25"/>
      <c r="V126" s="25" t="str">
        <f>IF(Q126="Entregado",IF(S126&lt;=VLOOKUP(K126,Valores!E:F,2,0),"Cumple","No cumple"),"PTE")</f>
        <v>Cumple</v>
      </c>
      <c r="W126" s="25"/>
      <c r="X126" s="29">
        <v>24093</v>
      </c>
      <c r="Y126" s="224"/>
      <c r="Z126" s="28"/>
    </row>
    <row r="127" spans="1:26" hidden="1" x14ac:dyDescent="0.3">
      <c r="A127" s="34">
        <v>45690</v>
      </c>
      <c r="B127" s="7" t="str">
        <f t="shared" si="8"/>
        <v>febrero</v>
      </c>
      <c r="C127" s="27">
        <v>2431</v>
      </c>
      <c r="D127" s="23" t="s">
        <v>20</v>
      </c>
      <c r="E127" s="127" t="s">
        <v>564</v>
      </c>
      <c r="F127" s="22" t="s">
        <v>85</v>
      </c>
      <c r="G127" s="32" t="str">
        <f>IFERROR(VLOOKUP(F127,Productos!$A$2:$D$258,2,0)," ")</f>
        <v>Desk Pad B Negro Café Miel</v>
      </c>
      <c r="H127" s="7">
        <v>1</v>
      </c>
      <c r="I127" s="32" t="str">
        <f>IFERROR(VLOOKUP(F127,Productos!$A$2:$D$258,3,0)," ")</f>
        <v>Accesorio</v>
      </c>
      <c r="J127" s="54" t="s">
        <v>21</v>
      </c>
      <c r="K127" s="54" t="s">
        <v>22</v>
      </c>
      <c r="L127" s="26" t="str">
        <f t="shared" si="9"/>
        <v>Despachado</v>
      </c>
      <c r="M127" s="56" t="s">
        <v>238</v>
      </c>
      <c r="N127" s="126" t="s">
        <v>580</v>
      </c>
      <c r="O127" s="150">
        <v>45691</v>
      </c>
      <c r="P127" s="151">
        <v>45693</v>
      </c>
      <c r="Q127" s="24" t="str">
        <f t="shared" si="4"/>
        <v>Entregado</v>
      </c>
      <c r="R127" s="25">
        <f>IF(L127="Despachado",NETWORKDAYS.INTL(A127,O127,11,Valores!$A$2:$A$18)-1,"PTE")</f>
        <v>0</v>
      </c>
      <c r="S127" s="25">
        <f>IF(Q127="Entregado",NETWORKDAYS.INTL(A127,P127,11,Valores!$A$2:$A$18)-1,"PTE")</f>
        <v>2</v>
      </c>
      <c r="T127" s="25"/>
      <c r="U127" s="25"/>
      <c r="V127" s="25" t="str">
        <f>IF(Q127="Entregado",IF(S127&lt;=VLOOKUP(K127,Valores!E:F,2,0),"Cumple","No cumple"),"PTE")</f>
        <v>Cumple</v>
      </c>
      <c r="W127" s="25"/>
      <c r="X127" s="29">
        <v>16617</v>
      </c>
      <c r="Y127" s="224"/>
      <c r="Z127" s="28"/>
    </row>
    <row r="128" spans="1:26" hidden="1" x14ac:dyDescent="0.3">
      <c r="A128" s="34">
        <v>45690</v>
      </c>
      <c r="B128" s="7" t="str">
        <f t="shared" si="8"/>
        <v>febrero</v>
      </c>
      <c r="C128" s="27">
        <v>2432</v>
      </c>
      <c r="D128" s="23" t="s">
        <v>20</v>
      </c>
      <c r="E128" s="127" t="s">
        <v>565</v>
      </c>
      <c r="F128" s="22" t="s">
        <v>73</v>
      </c>
      <c r="G128" s="32" t="str">
        <f>IFERROR(VLOOKUP(F128,Productos!$A$2:$D$258,2,0)," ")</f>
        <v>Repisa Miel</v>
      </c>
      <c r="H128" s="7">
        <v>1</v>
      </c>
      <c r="I128" s="32" t="str">
        <f>IFERROR(VLOOKUP(F128,Productos!$A$2:$D$258,3,0)," ")</f>
        <v>Repisa</v>
      </c>
      <c r="J128" s="54" t="s">
        <v>21</v>
      </c>
      <c r="K128" s="54" t="s">
        <v>22</v>
      </c>
      <c r="L128" s="26" t="str">
        <f t="shared" si="9"/>
        <v>Despachado</v>
      </c>
      <c r="M128" s="56" t="s">
        <v>238</v>
      </c>
      <c r="N128" s="126" t="s">
        <v>581</v>
      </c>
      <c r="O128" s="150">
        <v>45691</v>
      </c>
      <c r="P128" s="151">
        <v>45694</v>
      </c>
      <c r="Q128" s="24" t="str">
        <f t="shared" si="4"/>
        <v>Entregado</v>
      </c>
      <c r="R128" s="25">
        <f>IF(L128="Despachado",NETWORKDAYS.INTL(A128,O128,11,Valores!$A$2:$A$18)-1,"PTE")</f>
        <v>0</v>
      </c>
      <c r="S128" s="25">
        <f>IF(Q128="Entregado",NETWORKDAYS.INTL(A128,P128,11,Valores!$A$2:$A$18)-1,"PTE")</f>
        <v>3</v>
      </c>
      <c r="T128" s="25"/>
      <c r="U128" s="25"/>
      <c r="V128" s="25" t="str">
        <f>IF(Q128="Entregado",IF(S128&lt;=VLOOKUP(K128,Valores!E:F,2,0),"Cumple","No cumple"),"PTE")</f>
        <v>Cumple</v>
      </c>
      <c r="W128" s="25"/>
      <c r="X128" s="29">
        <v>23429</v>
      </c>
      <c r="Y128" s="224"/>
      <c r="Z128" s="28"/>
    </row>
    <row r="129" spans="1:26" hidden="1" x14ac:dyDescent="0.3">
      <c r="A129" s="34">
        <v>45690</v>
      </c>
      <c r="B129" s="7" t="str">
        <f t="shared" si="8"/>
        <v>febrero</v>
      </c>
      <c r="C129" s="27">
        <v>2433</v>
      </c>
      <c r="D129" s="23" t="s">
        <v>20</v>
      </c>
      <c r="E129" s="127" t="s">
        <v>566</v>
      </c>
      <c r="F129" s="22" t="s">
        <v>129</v>
      </c>
      <c r="G129" s="32" t="str">
        <f>IFERROR(VLOOKUP(F129,Productos!$A$2:$D$258,2,0)," ")</f>
        <v>Electric Standing Desk  PRO Negro</v>
      </c>
      <c r="H129" s="7">
        <v>1</v>
      </c>
      <c r="I129" s="32" t="str">
        <f>IFERROR(VLOOKUP(F129,Productos!$A$2:$D$258,3,0)," ")</f>
        <v>Standing Desk</v>
      </c>
      <c r="J129" s="126" t="s">
        <v>24</v>
      </c>
      <c r="K129" s="128" t="s">
        <v>27</v>
      </c>
      <c r="L129" s="26" t="str">
        <f t="shared" si="9"/>
        <v>Despachado</v>
      </c>
      <c r="M129" s="56" t="s">
        <v>238</v>
      </c>
      <c r="N129" s="126" t="s">
        <v>582</v>
      </c>
      <c r="O129" s="150">
        <v>45692</v>
      </c>
      <c r="P129" s="151">
        <v>45693</v>
      </c>
      <c r="Q129" s="24" t="str">
        <f t="shared" si="4"/>
        <v>Entregado</v>
      </c>
      <c r="R129" s="25">
        <f>IF(L129="Despachado",NETWORKDAYS.INTL(A129,O129,11,Valores!$A$2:$A$18)-1,"PTE")</f>
        <v>1</v>
      </c>
      <c r="S129" s="25">
        <f>IF(Q129="Entregado",NETWORKDAYS.INTL(A129,P129,11,Valores!$A$2:$A$18)-1,"PTE")</f>
        <v>2</v>
      </c>
      <c r="T129" s="25"/>
      <c r="U129" s="25"/>
      <c r="V129" s="25" t="str">
        <f>IF(Q129="Entregado",IF(S129&lt;=VLOOKUP(K129,Valores!E:F,2,0),"Cumple","No cumple"),"PTE")</f>
        <v>Cumple</v>
      </c>
      <c r="W129" s="25"/>
      <c r="X129" s="29">
        <v>42921</v>
      </c>
      <c r="Y129" s="224"/>
      <c r="Z129" s="28"/>
    </row>
    <row r="130" spans="1:26" hidden="1" x14ac:dyDescent="0.3">
      <c r="A130" s="34">
        <v>45690</v>
      </c>
      <c r="B130" s="7" t="str">
        <f t="shared" si="8"/>
        <v>febrero</v>
      </c>
      <c r="C130" s="27">
        <v>2433</v>
      </c>
      <c r="D130" s="23" t="s">
        <v>20</v>
      </c>
      <c r="E130" s="127" t="s">
        <v>566</v>
      </c>
      <c r="F130" s="22" t="s">
        <v>311</v>
      </c>
      <c r="G130" s="32" t="str">
        <f>IFERROR(VLOOKUP(F130,Productos!$A$2:$D$258,2,0)," ")</f>
        <v>Superficie  Fresno Europeo 170x70 Moderno</v>
      </c>
      <c r="H130" s="7">
        <v>1</v>
      </c>
      <c r="I130" s="32" t="str">
        <f>IFERROR(VLOOKUP(F130,Productos!$A$2:$D$258,3,0)," ")</f>
        <v>Superficie</v>
      </c>
      <c r="J130" s="126" t="s">
        <v>24</v>
      </c>
      <c r="K130" s="128" t="s">
        <v>27</v>
      </c>
      <c r="L130" s="26" t="str">
        <f t="shared" si="9"/>
        <v>Despachado</v>
      </c>
      <c r="M130" s="56" t="s">
        <v>238</v>
      </c>
      <c r="N130" s="126" t="s">
        <v>583</v>
      </c>
      <c r="O130" s="150">
        <v>45692</v>
      </c>
      <c r="P130" s="151">
        <v>45693</v>
      </c>
      <c r="Q130" s="24" t="str">
        <f t="shared" si="4"/>
        <v>Entregado</v>
      </c>
      <c r="R130" s="25">
        <f>IF(L130="Despachado",NETWORKDAYS.INTL(A130,O130,11,Valores!$A$2:$A$18)-1,"PTE")</f>
        <v>1</v>
      </c>
      <c r="S130" s="25">
        <f>IF(Q130="Entregado",NETWORKDAYS.INTL(A130,P130,11,Valores!$A$2:$A$18)-1,"PTE")</f>
        <v>2</v>
      </c>
      <c r="T130" s="25"/>
      <c r="U130" s="25"/>
      <c r="V130" s="25" t="str">
        <f>IF(Q130="Entregado",IF(S130&lt;=VLOOKUP(K130,Valores!E:F,2,0),"Cumple","No cumple"),"PTE")</f>
        <v>Cumple</v>
      </c>
      <c r="W130" s="25"/>
      <c r="X130" s="29">
        <v>24093</v>
      </c>
      <c r="Y130" s="224"/>
      <c r="Z130" s="28"/>
    </row>
    <row r="131" spans="1:26" hidden="1" x14ac:dyDescent="0.3">
      <c r="A131" s="34">
        <v>45690</v>
      </c>
      <c r="B131" s="7" t="str">
        <f t="shared" si="8"/>
        <v>febrero</v>
      </c>
      <c r="C131" s="27">
        <v>2433</v>
      </c>
      <c r="D131" s="23" t="s">
        <v>20</v>
      </c>
      <c r="E131" s="127" t="s">
        <v>566</v>
      </c>
      <c r="F131" s="22" t="s">
        <v>567</v>
      </c>
      <c r="G131" s="32" t="str">
        <f>IFERROR(VLOOKUP(F131,Productos!$A$2:$D$258,2,0)," ")</f>
        <v>Archivador TECU Fresno Europeo</v>
      </c>
      <c r="H131" s="7">
        <v>1</v>
      </c>
      <c r="I131" s="32" t="str">
        <f>IFERROR(VLOOKUP(F131,Productos!$A$2:$D$258,3,0)," ")</f>
        <v>Archivador</v>
      </c>
      <c r="J131" s="126" t="s">
        <v>24</v>
      </c>
      <c r="K131" s="128" t="s">
        <v>27</v>
      </c>
      <c r="L131" s="26" t="str">
        <f t="shared" si="9"/>
        <v>Despachado</v>
      </c>
      <c r="M131" s="56" t="s">
        <v>239</v>
      </c>
      <c r="N131" s="126" t="s">
        <v>585</v>
      </c>
      <c r="O131" s="150">
        <v>45692</v>
      </c>
      <c r="P131" s="151">
        <v>45694</v>
      </c>
      <c r="Q131" s="24" t="str">
        <f t="shared" si="4"/>
        <v>Entregado</v>
      </c>
      <c r="R131" s="25">
        <f>IF(L131="Despachado",NETWORKDAYS.INTL(A131,O131,11,Valores!$A$2:$A$18)-1,"PTE")</f>
        <v>1</v>
      </c>
      <c r="S131" s="25">
        <f>IF(Q131="Entregado",NETWORKDAYS.INTL(A131,P131,11,Valores!$A$2:$A$18)-1,"PTE")</f>
        <v>3</v>
      </c>
      <c r="T131" s="25"/>
      <c r="U131" s="25"/>
      <c r="V131" s="25" t="str">
        <f>IF(Q131="Entregado",IF(S131&lt;=VLOOKUP(K131,Valores!E:F,2,0),"Cumple","No cumple"),"PTE")</f>
        <v>Cumple</v>
      </c>
      <c r="W131" s="25"/>
      <c r="X131" s="29">
        <v>65682</v>
      </c>
      <c r="Y131" s="224"/>
      <c r="Z131" s="28"/>
    </row>
    <row r="132" spans="1:26" hidden="1" x14ac:dyDescent="0.3">
      <c r="A132" s="34">
        <v>45690</v>
      </c>
      <c r="B132" s="7" t="str">
        <f t="shared" si="8"/>
        <v>febrero</v>
      </c>
      <c r="C132" s="27">
        <v>2433</v>
      </c>
      <c r="D132" s="23" t="s">
        <v>20</v>
      </c>
      <c r="E132" s="127" t="s">
        <v>566</v>
      </c>
      <c r="F132" s="40" t="s">
        <v>86</v>
      </c>
      <c r="G132" s="32" t="str">
        <f>IFERROR(VLOOKUP(F132,Productos!$A$2:$D$258,2,0)," ")</f>
        <v>Laptop Stand B</v>
      </c>
      <c r="H132" s="7">
        <v>1</v>
      </c>
      <c r="I132" s="32" t="str">
        <f>IFERROR(VLOOKUP(F132,Productos!$A$2:$D$258,3,0)," ")</f>
        <v>Accesorio</v>
      </c>
      <c r="J132" s="126" t="s">
        <v>24</v>
      </c>
      <c r="K132" s="128" t="s">
        <v>27</v>
      </c>
      <c r="L132" s="26" t="str">
        <f t="shared" si="9"/>
        <v>Despachado</v>
      </c>
      <c r="M132" s="56" t="s">
        <v>238</v>
      </c>
      <c r="N132" s="126" t="s">
        <v>584</v>
      </c>
      <c r="O132" s="150">
        <v>45692</v>
      </c>
      <c r="P132" s="151">
        <v>45693</v>
      </c>
      <c r="Q132" s="24" t="str">
        <f t="shared" si="4"/>
        <v>Entregado</v>
      </c>
      <c r="R132" s="25">
        <f>IF(L132="Despachado",NETWORKDAYS.INTL(A132,O132,11,Valores!$A$2:$A$18)-1,"PTE")</f>
        <v>1</v>
      </c>
      <c r="S132" s="25">
        <f>IF(Q132="Entregado",NETWORKDAYS.INTL(A132,P132,11,Valores!$A$2:$A$18)-1,"PTE")</f>
        <v>2</v>
      </c>
      <c r="T132" s="25"/>
      <c r="U132" s="25"/>
      <c r="V132" s="25" t="str">
        <f>IF(Q132="Entregado",IF(S132&lt;=VLOOKUP(K132,Valores!E:F,2,0),"Cumple","No cumple"),"PTE")</f>
        <v>Cumple</v>
      </c>
      <c r="W132" s="25"/>
      <c r="X132" s="29">
        <v>24885</v>
      </c>
      <c r="Y132" s="224"/>
      <c r="Z132" s="28"/>
    </row>
    <row r="133" spans="1:26" hidden="1" x14ac:dyDescent="0.3">
      <c r="A133" s="34">
        <v>45691</v>
      </c>
      <c r="B133" s="7" t="str">
        <f t="shared" si="8"/>
        <v>febrero</v>
      </c>
      <c r="C133" s="27">
        <v>2434</v>
      </c>
      <c r="D133" s="23" t="s">
        <v>20</v>
      </c>
      <c r="E133" s="127" t="s">
        <v>569</v>
      </c>
      <c r="F133" s="22" t="s">
        <v>68</v>
      </c>
      <c r="G133" s="32" t="str">
        <f>IFERROR(VLOOKUP(F133,Productos!$A$2:$D$258,2,0)," ")</f>
        <v>Archivador TECU  Caramelo</v>
      </c>
      <c r="H133" s="7">
        <v>1</v>
      </c>
      <c r="I133" s="32" t="str">
        <f>IFERROR(VLOOKUP(F133,Productos!$A$2:$D$258,3,0)," ")</f>
        <v>Archivador</v>
      </c>
      <c r="J133" s="54" t="s">
        <v>21</v>
      </c>
      <c r="K133" s="54" t="s">
        <v>22</v>
      </c>
      <c r="L133" s="26" t="str">
        <f t="shared" si="9"/>
        <v>Despachado</v>
      </c>
      <c r="M133" s="56" t="s">
        <v>239</v>
      </c>
      <c r="N133" s="126" t="s">
        <v>586</v>
      </c>
      <c r="O133" s="150">
        <v>45692</v>
      </c>
      <c r="P133" s="151">
        <v>45694</v>
      </c>
      <c r="Q133" s="24" t="str">
        <f t="shared" si="4"/>
        <v>Entregado</v>
      </c>
      <c r="R133" s="25">
        <f>IF(L133="Despachado",NETWORKDAYS.INTL(A133,O133,11,Valores!$A$2:$A$18)-1,"PTE")</f>
        <v>1</v>
      </c>
      <c r="S133" s="25">
        <f>IF(Q133="Entregado",NETWORKDAYS.INTL(A133,P133,11,Valores!$A$2:$A$18)-1,"PTE")</f>
        <v>3</v>
      </c>
      <c r="T133" s="25"/>
      <c r="U133" s="25"/>
      <c r="V133" s="25" t="str">
        <f>IF(Q133="Entregado",IF(S133&lt;=VLOOKUP(K133,Valores!E:F,2,0),"Cumple","No cumple"),"PTE")</f>
        <v>Cumple</v>
      </c>
      <c r="W133" s="25"/>
      <c r="X133" s="29">
        <v>54929</v>
      </c>
      <c r="Y133" s="224"/>
      <c r="Z133" s="28"/>
    </row>
    <row r="134" spans="1:26" hidden="1" x14ac:dyDescent="0.3">
      <c r="A134" s="34">
        <v>45691</v>
      </c>
      <c r="B134" s="7" t="str">
        <f t="shared" ref="B134:B139" si="10">TEXT(A134,"mmmm")</f>
        <v>febrero</v>
      </c>
      <c r="C134" s="27">
        <v>2435</v>
      </c>
      <c r="D134" s="23" t="s">
        <v>20</v>
      </c>
      <c r="E134" s="127" t="s">
        <v>570</v>
      </c>
      <c r="F134" s="22" t="s">
        <v>129</v>
      </c>
      <c r="G134" s="32" t="str">
        <f>IFERROR(VLOOKUP(F134,Productos!$A$2:$D$258,2,0)," ")</f>
        <v>Electric Standing Desk  PRO Negro</v>
      </c>
      <c r="H134" s="7">
        <v>1</v>
      </c>
      <c r="I134" s="32" t="str">
        <f>IFERROR(VLOOKUP(F134,Productos!$A$2:$D$258,3,0)," ")</f>
        <v>Standing Desk</v>
      </c>
      <c r="J134" s="54" t="s">
        <v>21</v>
      </c>
      <c r="K134" s="54" t="s">
        <v>22</v>
      </c>
      <c r="L134" s="26" t="str">
        <f t="shared" si="9"/>
        <v>Despachado</v>
      </c>
      <c r="M134" s="56" t="s">
        <v>238</v>
      </c>
      <c r="N134" s="126" t="s">
        <v>587</v>
      </c>
      <c r="O134" s="150">
        <v>45692</v>
      </c>
      <c r="P134" s="151">
        <v>45694</v>
      </c>
      <c r="Q134" s="24" t="str">
        <f t="shared" ref="Q134:Q197" si="11">IF(P134&gt;0,"Entregado","En transito")</f>
        <v>Entregado</v>
      </c>
      <c r="R134" s="25">
        <f>IF(L134="Despachado",NETWORKDAYS.INTL(A134,O134,11,Valores!$A$2:$A$18)-1,"PTE")</f>
        <v>1</v>
      </c>
      <c r="S134" s="25">
        <f>IF(Q134="Entregado",NETWORKDAYS.INTL(A134,P134,11,Valores!$A$2:$A$18)-1,"PTE")</f>
        <v>3</v>
      </c>
      <c r="T134" s="25"/>
      <c r="U134" s="25"/>
      <c r="V134" s="25" t="str">
        <f>IF(Q134="Entregado",IF(S134&lt;=VLOOKUP(K134,Valores!E:F,2,0),"Cumple","No cumple"),"PTE")</f>
        <v>Cumple</v>
      </c>
      <c r="W134" s="25"/>
      <c r="X134" s="29">
        <v>42921</v>
      </c>
      <c r="Y134" s="224"/>
      <c r="Z134" s="28"/>
    </row>
    <row r="135" spans="1:26" hidden="1" x14ac:dyDescent="0.3">
      <c r="A135" s="34">
        <v>45691</v>
      </c>
      <c r="B135" s="7" t="str">
        <f t="shared" si="10"/>
        <v>febrero</v>
      </c>
      <c r="C135" s="27">
        <v>2435</v>
      </c>
      <c r="D135" s="23" t="s">
        <v>20</v>
      </c>
      <c r="E135" s="127" t="s">
        <v>570</v>
      </c>
      <c r="F135" s="22" t="s">
        <v>33</v>
      </c>
      <c r="G135" s="32" t="str">
        <f>IFERROR(VLOOKUP(F135,Productos!$A$2:$D$258,2,0)," ")</f>
        <v>Superficie  Caramelo 180x70 Clasico</v>
      </c>
      <c r="H135" s="7">
        <v>1</v>
      </c>
      <c r="I135" s="32" t="str">
        <f>IFERROR(VLOOKUP(F135,Productos!$A$2:$D$258,3,0)," ")</f>
        <v>Superficie</v>
      </c>
      <c r="J135" s="54" t="s">
        <v>21</v>
      </c>
      <c r="K135" s="54" t="s">
        <v>22</v>
      </c>
      <c r="L135" s="26" t="str">
        <f t="shared" si="9"/>
        <v>Despachado</v>
      </c>
      <c r="M135" s="56" t="s">
        <v>238</v>
      </c>
      <c r="N135" s="126" t="s">
        <v>588</v>
      </c>
      <c r="O135" s="150">
        <v>45692</v>
      </c>
      <c r="P135" s="151">
        <v>45694</v>
      </c>
      <c r="Q135" s="24" t="str">
        <f t="shared" si="11"/>
        <v>Entregado</v>
      </c>
      <c r="R135" s="25">
        <f>IF(L135="Despachado",NETWORKDAYS.INTL(A135,O135,11,Valores!$A$2:$A$18)-1,"PTE")</f>
        <v>1</v>
      </c>
      <c r="S135" s="25">
        <f>IF(Q135="Entregado",NETWORKDAYS.INTL(A135,P135,11,Valores!$A$2:$A$18)-1,"PTE")</f>
        <v>3</v>
      </c>
      <c r="T135" s="25"/>
      <c r="U135" s="25"/>
      <c r="V135" s="25" t="str">
        <f>IF(Q135="Entregado",IF(S135&lt;=VLOOKUP(K135,Valores!E:F,2,0),"Cumple","No cumple"),"PTE")</f>
        <v>Cumple</v>
      </c>
      <c r="W135" s="25"/>
      <c r="X135" s="29">
        <v>26749</v>
      </c>
      <c r="Y135" s="224"/>
      <c r="Z135" s="28"/>
    </row>
    <row r="136" spans="1:26" hidden="1" x14ac:dyDescent="0.3">
      <c r="A136" s="34">
        <v>45691</v>
      </c>
      <c r="B136" s="7" t="str">
        <f t="shared" si="10"/>
        <v>febrero</v>
      </c>
      <c r="C136" s="27">
        <v>2435</v>
      </c>
      <c r="D136" s="23" t="s">
        <v>20</v>
      </c>
      <c r="E136" s="127" t="s">
        <v>570</v>
      </c>
      <c r="F136" s="22"/>
      <c r="G136" s="32" t="s">
        <v>1796</v>
      </c>
      <c r="H136" s="7">
        <v>1</v>
      </c>
      <c r="I136" s="32" t="s">
        <v>327</v>
      </c>
      <c r="J136" s="54" t="s">
        <v>21</v>
      </c>
      <c r="K136" s="54" t="s">
        <v>22</v>
      </c>
      <c r="L136" s="26" t="s">
        <v>327</v>
      </c>
      <c r="M136" s="56" t="s">
        <v>241</v>
      </c>
      <c r="N136" s="134" t="s">
        <v>241</v>
      </c>
      <c r="O136" s="152" t="s">
        <v>241</v>
      </c>
      <c r="P136" s="153" t="s">
        <v>241</v>
      </c>
      <c r="Q136" s="24" t="str">
        <f t="shared" si="11"/>
        <v>Entregado</v>
      </c>
      <c r="R136" s="25" t="str">
        <f>IF(L136="Despachado",NETWORKDAYS.INTL(A136,O136,11,Valores!$A$2:$A$18)-1,"PTE")</f>
        <v>PTE</v>
      </c>
      <c r="S136" s="25" t="e">
        <f>IF(Q136="Entregado",NETWORKDAYS.INTL(A136,P136,11,Valores!$A$2:$A$18)-1,"PTE")</f>
        <v>#VALUE!</v>
      </c>
      <c r="T136" s="25"/>
      <c r="U136" s="25"/>
      <c r="V136" s="25" t="e">
        <f>IF(Q136="Entregado",IF(S136&lt;=VLOOKUP(K136,Valores!E:F,2,0),"Cumple","No cumple"),"PTE")</f>
        <v>#VALUE!</v>
      </c>
      <c r="W136" s="25"/>
      <c r="X136" s="29">
        <v>0</v>
      </c>
      <c r="Y136" s="224"/>
      <c r="Z136" s="28"/>
    </row>
    <row r="137" spans="1:26" hidden="1" x14ac:dyDescent="0.3">
      <c r="A137" s="34">
        <v>45692</v>
      </c>
      <c r="B137" s="7" t="str">
        <f t="shared" si="10"/>
        <v>febrero</v>
      </c>
      <c r="C137" s="27">
        <v>2436</v>
      </c>
      <c r="D137" s="23" t="s">
        <v>20</v>
      </c>
      <c r="E137" s="127" t="s">
        <v>571</v>
      </c>
      <c r="F137" s="22" t="s">
        <v>129</v>
      </c>
      <c r="G137" s="32" t="str">
        <f>IFERROR(VLOOKUP(F137,Productos!$A$2:$D$258,2,0)," ")</f>
        <v>Electric Standing Desk  PRO Negro</v>
      </c>
      <c r="H137" s="7">
        <v>1</v>
      </c>
      <c r="I137" s="32" t="str">
        <f>IFERROR(VLOOKUP(F137,Productos!$A$2:$D$258,3,0)," ")</f>
        <v>Standing Desk</v>
      </c>
      <c r="J137" s="54" t="s">
        <v>21</v>
      </c>
      <c r="K137" s="54" t="s">
        <v>22</v>
      </c>
      <c r="L137" s="26" t="str">
        <f>IF(O137&gt;0,"Despachado","En alistamiento")</f>
        <v>Despachado</v>
      </c>
      <c r="M137" s="56" t="s">
        <v>238</v>
      </c>
      <c r="N137" s="126" t="s">
        <v>589</v>
      </c>
      <c r="O137" s="150">
        <v>45692</v>
      </c>
      <c r="P137" s="151">
        <v>45694</v>
      </c>
      <c r="Q137" s="24" t="str">
        <f t="shared" si="11"/>
        <v>Entregado</v>
      </c>
      <c r="R137" s="25">
        <f>IF(L137="Despachado",NETWORKDAYS.INTL(A137,O137,11,Valores!$A$2:$A$18)-1,"PTE")</f>
        <v>0</v>
      </c>
      <c r="S137" s="25">
        <f>IF(Q137="Entregado",NETWORKDAYS.INTL(A137,P137,11,Valores!$A$2:$A$18)-1,"PTE")</f>
        <v>2</v>
      </c>
      <c r="T137" s="25"/>
      <c r="U137" s="25"/>
      <c r="V137" s="25" t="str">
        <f>IF(Q137="Entregado",IF(S137&lt;=VLOOKUP(K137,Valores!E:F,2,0),"Cumple","No cumple"),"PTE")</f>
        <v>Cumple</v>
      </c>
      <c r="W137" s="25"/>
      <c r="X137" s="29">
        <v>42921</v>
      </c>
      <c r="Y137" s="224"/>
      <c r="Z137" s="28"/>
    </row>
    <row r="138" spans="1:26" hidden="1" x14ac:dyDescent="0.3">
      <c r="A138" s="34">
        <v>45698</v>
      </c>
      <c r="B138" s="7" t="str">
        <f t="shared" si="10"/>
        <v>febrero</v>
      </c>
      <c r="C138" s="27">
        <v>2437</v>
      </c>
      <c r="D138" s="23" t="s">
        <v>20</v>
      </c>
      <c r="E138" s="127" t="s">
        <v>572</v>
      </c>
      <c r="F138" s="22" t="s">
        <v>129</v>
      </c>
      <c r="G138" s="32" t="str">
        <f>IFERROR(VLOOKUP(F138,Productos!$A$2:$D$258,2,0)," ")</f>
        <v>Electric Standing Desk  PRO Negro</v>
      </c>
      <c r="H138" s="7">
        <v>1</v>
      </c>
      <c r="I138" s="32" t="str">
        <f>IFERROR(VLOOKUP(F138,Productos!$A$2:$D$258,3,0)," ")</f>
        <v>Standing Desk</v>
      </c>
      <c r="J138" s="54" t="s">
        <v>21</v>
      </c>
      <c r="K138" s="126" t="s">
        <v>573</v>
      </c>
      <c r="L138" s="26" t="str">
        <f t="shared" ref="L138:L143" si="12">IF(O138&gt;0,"Despachado","En alistamiento")</f>
        <v>Despachado</v>
      </c>
      <c r="M138" s="56" t="s">
        <v>238</v>
      </c>
      <c r="N138" s="126" t="s">
        <v>590</v>
      </c>
      <c r="O138" s="150">
        <v>45698</v>
      </c>
      <c r="P138" s="151">
        <v>45700</v>
      </c>
      <c r="Q138" s="24" t="str">
        <f t="shared" si="11"/>
        <v>Entregado</v>
      </c>
      <c r="R138" s="25">
        <f>IF(L138="Despachado",NETWORKDAYS.INTL(A138,O138,11,Valores!$A$2:$A$18)-1,"PTE")</f>
        <v>0</v>
      </c>
      <c r="S138" s="25">
        <f>IF(Q138="Entregado",NETWORKDAYS.INTL(A138,P138,11,Valores!$A$2:$A$18)-1,"PTE")</f>
        <v>2</v>
      </c>
      <c r="T138" s="25"/>
      <c r="U138" s="25"/>
      <c r="V138" s="25" t="e">
        <f>IF(Q138="Entregado",IF(S138&lt;=VLOOKUP(K138,Valores!E:F,2,0),"Cumple","No cumple"),"PTE")</f>
        <v>#N/A</v>
      </c>
      <c r="W138" s="25"/>
      <c r="X138" s="29">
        <v>42921</v>
      </c>
      <c r="Y138" s="224"/>
      <c r="Z138" s="28"/>
    </row>
    <row r="139" spans="1:26" hidden="1" x14ac:dyDescent="0.3">
      <c r="A139" s="34">
        <v>45698</v>
      </c>
      <c r="B139" s="7" t="str">
        <f t="shared" si="10"/>
        <v>febrero</v>
      </c>
      <c r="C139" s="27">
        <v>2437</v>
      </c>
      <c r="D139" s="23" t="s">
        <v>20</v>
      </c>
      <c r="E139" s="127" t="s">
        <v>572</v>
      </c>
      <c r="F139" s="22" t="s">
        <v>303</v>
      </c>
      <c r="G139" s="32" t="str">
        <f>IFERROR(VLOOKUP(F139,Productos!$A$2:$D$258,2,0)," ")</f>
        <v>Superficie  Fresno Europeo 140x70 Clasico</v>
      </c>
      <c r="H139" s="7">
        <v>1</v>
      </c>
      <c r="I139" s="32" t="str">
        <f>IFERROR(VLOOKUP(F139,Productos!$A$2:$D$258,3,0)," ")</f>
        <v>Superficie</v>
      </c>
      <c r="J139" s="54" t="s">
        <v>21</v>
      </c>
      <c r="K139" s="126" t="s">
        <v>573</v>
      </c>
      <c r="L139" s="26" t="str">
        <f t="shared" si="12"/>
        <v>Despachado</v>
      </c>
      <c r="M139" s="56" t="s">
        <v>238</v>
      </c>
      <c r="N139" s="126" t="s">
        <v>591</v>
      </c>
      <c r="O139" s="150">
        <v>45698</v>
      </c>
      <c r="P139" s="151">
        <v>45700</v>
      </c>
      <c r="Q139" s="24" t="str">
        <f t="shared" si="11"/>
        <v>Entregado</v>
      </c>
      <c r="R139" s="25">
        <f>IF(L139="Despachado",NETWORKDAYS.INTL(A139,O139,11,Valores!$A$2:$A$18)-1,"PTE")</f>
        <v>0</v>
      </c>
      <c r="S139" s="25">
        <f>IF(Q139="Entregado",NETWORKDAYS.INTL(A139,P139,11,Valores!$A$2:$A$18)-1,"PTE")</f>
        <v>2</v>
      </c>
      <c r="T139" s="25"/>
      <c r="U139" s="25"/>
      <c r="V139" s="25" t="e">
        <f>IF(Q139="Entregado",IF(S139&lt;=VLOOKUP(K139,Valores!E:F,2,0),"Cumple","No cumple"),"PTE")</f>
        <v>#N/A</v>
      </c>
      <c r="W139" s="25"/>
      <c r="X139" s="29">
        <v>24093</v>
      </c>
      <c r="Y139" s="224"/>
      <c r="Z139" s="28"/>
    </row>
    <row r="140" spans="1:26" hidden="1" x14ac:dyDescent="0.3">
      <c r="A140" s="34">
        <v>45698</v>
      </c>
      <c r="B140" s="7" t="str">
        <f t="shared" ref="B140:B145" si="13">TEXT(A140,"mmmm")</f>
        <v>febrero</v>
      </c>
      <c r="C140" s="27">
        <v>2438</v>
      </c>
      <c r="D140" s="23" t="s">
        <v>20</v>
      </c>
      <c r="E140" s="127" t="s">
        <v>574</v>
      </c>
      <c r="F140" s="22" t="s">
        <v>129</v>
      </c>
      <c r="G140" s="32" t="str">
        <f>IFERROR(VLOOKUP(F140,Productos!$A$2:$D$258,2,0)," ")</f>
        <v>Electric Standing Desk  PRO Negro</v>
      </c>
      <c r="H140" s="7">
        <v>1</v>
      </c>
      <c r="I140" s="32" t="str">
        <f>IFERROR(VLOOKUP(F140,Productos!$A$2:$D$258,3,0)," ")</f>
        <v>Standing Desk</v>
      </c>
      <c r="J140" s="54" t="s">
        <v>21</v>
      </c>
      <c r="K140" s="54" t="s">
        <v>22</v>
      </c>
      <c r="L140" s="26" t="str">
        <f t="shared" si="12"/>
        <v>Despachado</v>
      </c>
      <c r="M140" s="56" t="s">
        <v>238</v>
      </c>
      <c r="N140" s="126" t="s">
        <v>592</v>
      </c>
      <c r="O140" s="150">
        <v>45698</v>
      </c>
      <c r="P140" s="151">
        <v>45700</v>
      </c>
      <c r="Q140" s="24" t="str">
        <f t="shared" si="11"/>
        <v>Entregado</v>
      </c>
      <c r="R140" s="25">
        <f>IF(L140="Despachado",NETWORKDAYS.INTL(A140,O140,11,Valores!$A$2:$A$18)-1,"PTE")</f>
        <v>0</v>
      </c>
      <c r="S140" s="25">
        <f>IF(Q140="Entregado",NETWORKDAYS.INTL(A140,P140,11,Valores!$A$2:$A$18)-1,"PTE")</f>
        <v>2</v>
      </c>
      <c r="T140" s="25"/>
      <c r="U140" s="25"/>
      <c r="V140" s="25" t="str">
        <f>IF(Q140="Entregado",IF(S140&lt;=VLOOKUP(K140,Valores!E:F,2,0),"Cumple","No cumple"),"PTE")</f>
        <v>Cumple</v>
      </c>
      <c r="W140" s="25"/>
      <c r="X140" s="29">
        <v>42921</v>
      </c>
      <c r="Y140" s="224"/>
      <c r="Z140" s="28"/>
    </row>
    <row r="141" spans="1:26" hidden="1" x14ac:dyDescent="0.3">
      <c r="A141" s="34">
        <v>45698</v>
      </c>
      <c r="B141" s="7" t="str">
        <f t="shared" si="13"/>
        <v>febrero</v>
      </c>
      <c r="C141" s="27">
        <v>2438</v>
      </c>
      <c r="D141" s="23" t="s">
        <v>20</v>
      </c>
      <c r="E141" s="127" t="s">
        <v>574</v>
      </c>
      <c r="F141" s="22" t="s">
        <v>143</v>
      </c>
      <c r="G141" s="32" t="str">
        <f>IFERROR(VLOOKUP(F141,Productos!$A$2:$D$258,2,0)," ")</f>
        <v>Superficie  Caramelo 160x70 Clasico</v>
      </c>
      <c r="H141" s="7">
        <v>1</v>
      </c>
      <c r="I141" s="32" t="str">
        <f>IFERROR(VLOOKUP(F141,Productos!$A$2:$D$258,3,0)," ")</f>
        <v>Superficie</v>
      </c>
      <c r="J141" s="54" t="s">
        <v>21</v>
      </c>
      <c r="K141" s="54" t="s">
        <v>22</v>
      </c>
      <c r="L141" s="26" t="str">
        <f t="shared" si="12"/>
        <v>Despachado</v>
      </c>
      <c r="M141" s="56" t="s">
        <v>238</v>
      </c>
      <c r="N141" s="126" t="s">
        <v>593</v>
      </c>
      <c r="O141" s="150">
        <v>45698</v>
      </c>
      <c r="P141" s="151">
        <v>45700</v>
      </c>
      <c r="Q141" s="24" t="str">
        <f t="shared" si="11"/>
        <v>Entregado</v>
      </c>
      <c r="R141" s="25">
        <f>IF(L141="Despachado",NETWORKDAYS.INTL(A141,O141,11,Valores!$A$2:$A$18)-1,"PTE")</f>
        <v>0</v>
      </c>
      <c r="S141" s="25">
        <f>IF(Q141="Entregado",NETWORKDAYS.INTL(A141,P141,11,Valores!$A$2:$A$18)-1,"PTE")</f>
        <v>2</v>
      </c>
      <c r="T141" s="25"/>
      <c r="U141" s="25"/>
      <c r="V141" s="25" t="str">
        <f>IF(Q141="Entregado",IF(S141&lt;=VLOOKUP(K141,Valores!E:F,2,0),"Cumple","No cumple"),"PTE")</f>
        <v>Cumple</v>
      </c>
      <c r="W141" s="25"/>
      <c r="X141" s="29">
        <v>24093</v>
      </c>
      <c r="Y141" s="224"/>
      <c r="Z141" s="28"/>
    </row>
    <row r="142" spans="1:26" hidden="1" x14ac:dyDescent="0.3">
      <c r="A142" s="34">
        <v>45698</v>
      </c>
      <c r="B142" s="7" t="str">
        <f t="shared" si="13"/>
        <v>febrero</v>
      </c>
      <c r="C142" s="27">
        <v>2438</v>
      </c>
      <c r="D142" s="23" t="s">
        <v>20</v>
      </c>
      <c r="E142" s="127" t="s">
        <v>574</v>
      </c>
      <c r="F142" s="40" t="s">
        <v>85</v>
      </c>
      <c r="G142" s="32" t="str">
        <f>IFERROR(VLOOKUP(F142,Productos!$A$2:$D$258,2,0)," ")</f>
        <v>Desk Pad B Negro Café Miel</v>
      </c>
      <c r="H142" s="7">
        <v>1</v>
      </c>
      <c r="I142" s="32" t="str">
        <f>IFERROR(VLOOKUP(F142,Productos!$A$2:$D$258,3,0)," ")</f>
        <v>Accesorio</v>
      </c>
      <c r="J142" s="54" t="s">
        <v>21</v>
      </c>
      <c r="K142" s="54" t="s">
        <v>22</v>
      </c>
      <c r="L142" s="26" t="str">
        <f t="shared" si="12"/>
        <v>Despachado</v>
      </c>
      <c r="M142" s="56" t="s">
        <v>238</v>
      </c>
      <c r="N142" s="126" t="s">
        <v>594</v>
      </c>
      <c r="O142" s="150">
        <v>45698</v>
      </c>
      <c r="P142" s="151">
        <v>45700</v>
      </c>
      <c r="Q142" s="24" t="str">
        <f t="shared" si="11"/>
        <v>Entregado</v>
      </c>
      <c r="R142" s="25">
        <f>IF(L142="Despachado",NETWORKDAYS.INTL(A142,O142,11,Valores!$A$2:$A$18)-1,"PTE")</f>
        <v>0</v>
      </c>
      <c r="S142" s="25">
        <f>IF(Q142="Entregado",NETWORKDAYS.INTL(A142,P142,11,Valores!$A$2:$A$18)-1,"PTE")</f>
        <v>2</v>
      </c>
      <c r="T142" s="25"/>
      <c r="U142" s="25"/>
      <c r="V142" s="25" t="str">
        <f>IF(Q142="Entregado",IF(S142&lt;=VLOOKUP(K142,Valores!E:F,2,0),"Cumple","No cumple"),"PTE")</f>
        <v>Cumple</v>
      </c>
      <c r="W142" s="25"/>
      <c r="X142" s="29">
        <v>16617</v>
      </c>
      <c r="Y142" s="224"/>
      <c r="Z142" s="28"/>
    </row>
    <row r="143" spans="1:26" hidden="1" x14ac:dyDescent="0.3">
      <c r="A143" s="34">
        <v>45698</v>
      </c>
      <c r="B143" s="7" t="str">
        <f t="shared" si="13"/>
        <v>febrero</v>
      </c>
      <c r="C143" s="27">
        <v>2438</v>
      </c>
      <c r="D143" s="23" t="s">
        <v>20</v>
      </c>
      <c r="E143" s="127" t="s">
        <v>574</v>
      </c>
      <c r="F143" s="22" t="s">
        <v>240</v>
      </c>
      <c r="G143" s="32" t="str">
        <f>IFERROR(VLOOKUP(F143,Productos!$A$2:$D$258,2,0)," ")</f>
        <v>Bandeja de cables</v>
      </c>
      <c r="H143" s="7">
        <v>1</v>
      </c>
      <c r="I143" s="32" t="str">
        <f>IFERROR(VLOOKUP(F143,Productos!$A$2:$D$258,3,0)," ")</f>
        <v>Accesorio</v>
      </c>
      <c r="J143" s="54" t="s">
        <v>21</v>
      </c>
      <c r="K143" s="54" t="s">
        <v>22</v>
      </c>
      <c r="L143" s="26" t="str">
        <f t="shared" si="12"/>
        <v>Despachado</v>
      </c>
      <c r="M143" s="56" t="s">
        <v>238</v>
      </c>
      <c r="N143" s="128" t="s">
        <v>595</v>
      </c>
      <c r="O143" s="150">
        <v>45698</v>
      </c>
      <c r="P143" s="151">
        <v>45700</v>
      </c>
      <c r="Q143" s="24" t="str">
        <f t="shared" si="11"/>
        <v>Entregado</v>
      </c>
      <c r="R143" s="25">
        <f>IF(L143="Despachado",NETWORKDAYS.INTL(A143,O143,11,Valores!$A$2:$A$18)-1,"PTE")</f>
        <v>0</v>
      </c>
      <c r="S143" s="25">
        <f>IF(Q143="Entregado",NETWORKDAYS.INTL(A143,P143,11,Valores!$A$2:$A$18)-1,"PTE")</f>
        <v>2</v>
      </c>
      <c r="T143" s="25"/>
      <c r="U143" s="25"/>
      <c r="V143" s="25" t="str">
        <f>IF(Q143="Entregado",IF(S143&lt;=VLOOKUP(K143,Valores!E:F,2,0),"Cumple","No cumple"),"PTE")</f>
        <v>Cumple</v>
      </c>
      <c r="W143" s="25"/>
      <c r="X143" s="29">
        <v>24885</v>
      </c>
      <c r="Y143" s="224"/>
      <c r="Z143" s="28"/>
    </row>
    <row r="144" spans="1:26" hidden="1" x14ac:dyDescent="0.3">
      <c r="A144" s="34">
        <v>45698</v>
      </c>
      <c r="B144" s="7" t="str">
        <f t="shared" si="13"/>
        <v>febrero</v>
      </c>
      <c r="C144" s="27">
        <v>2438</v>
      </c>
      <c r="D144" s="23" t="s">
        <v>20</v>
      </c>
      <c r="E144" s="127" t="s">
        <v>574</v>
      </c>
      <c r="F144" s="22"/>
      <c r="G144" s="32" t="s">
        <v>1796</v>
      </c>
      <c r="H144" s="7">
        <v>1</v>
      </c>
      <c r="I144" s="32" t="s">
        <v>327</v>
      </c>
      <c r="J144" s="54" t="s">
        <v>21</v>
      </c>
      <c r="K144" s="54" t="s">
        <v>22</v>
      </c>
      <c r="L144" s="26" t="s">
        <v>327</v>
      </c>
      <c r="M144" s="56" t="s">
        <v>241</v>
      </c>
      <c r="N144" s="128" t="s">
        <v>241</v>
      </c>
      <c r="O144" s="154" t="s">
        <v>241</v>
      </c>
      <c r="P144" s="155" t="s">
        <v>241</v>
      </c>
      <c r="Q144" s="24" t="str">
        <f t="shared" si="11"/>
        <v>Entregado</v>
      </c>
      <c r="R144" s="25"/>
      <c r="S144" s="25"/>
      <c r="T144" s="25"/>
      <c r="U144" s="25"/>
      <c r="V144" s="25"/>
      <c r="W144" s="25"/>
      <c r="X144" s="29">
        <v>0</v>
      </c>
      <c r="Y144" s="224"/>
      <c r="Z144" s="28"/>
    </row>
    <row r="145" spans="1:26" hidden="1" x14ac:dyDescent="0.3">
      <c r="A145" s="34">
        <v>45699</v>
      </c>
      <c r="B145" s="7" t="str">
        <f t="shared" si="13"/>
        <v>febrero</v>
      </c>
      <c r="C145" s="27">
        <v>2439</v>
      </c>
      <c r="D145" s="23" t="s">
        <v>20</v>
      </c>
      <c r="E145" s="127" t="s">
        <v>575</v>
      </c>
      <c r="F145" s="22" t="s">
        <v>129</v>
      </c>
      <c r="G145" s="32" t="str">
        <f>IFERROR(VLOOKUP(F145,Productos!$A$2:$D$258,2,0)," ")</f>
        <v>Electric Standing Desk  PRO Negro</v>
      </c>
      <c r="H145" s="7">
        <v>1</v>
      </c>
      <c r="I145" s="32" t="str">
        <f>IFERROR(VLOOKUP(F145,Productos!$A$2:$D$258,3,0)," ")</f>
        <v>Standing Desk</v>
      </c>
      <c r="J145" s="126" t="s">
        <v>24</v>
      </c>
      <c r="K145" s="128" t="s">
        <v>27</v>
      </c>
      <c r="L145" s="26" t="str">
        <f t="shared" ref="L145:L176" si="14">IF(O145&gt;0,"Despachado","En alistamiento")</f>
        <v>Despachado</v>
      </c>
      <c r="M145" s="56" t="s">
        <v>238</v>
      </c>
      <c r="N145" s="128" t="s">
        <v>596</v>
      </c>
      <c r="O145" s="150">
        <v>45699</v>
      </c>
      <c r="P145" s="151">
        <v>45700</v>
      </c>
      <c r="Q145" s="24" t="str">
        <f t="shared" si="11"/>
        <v>Entregado</v>
      </c>
      <c r="R145" s="25">
        <f>IF(L145="Despachado",NETWORKDAYS.INTL(A145,O145,11,Valores!$A$2:$A$18)-1,"PTE")</f>
        <v>0</v>
      </c>
      <c r="S145" s="25">
        <f>IF(Q145="Entregado",NETWORKDAYS.INTL(A145,P145,11,Valores!$A$2:$A$18)-1,"PTE")</f>
        <v>1</v>
      </c>
      <c r="T145" s="25"/>
      <c r="U145" s="25"/>
      <c r="V145" s="25" t="str">
        <f>IF(Q145="Entregado",IF(S145&lt;=VLOOKUP(K145,Valores!E:F,2,0),"Cumple","No cumple"),"PTE")</f>
        <v>Cumple</v>
      </c>
      <c r="W145" s="25"/>
      <c r="X145" s="29">
        <v>42921</v>
      </c>
      <c r="Y145" s="224"/>
      <c r="Z145" s="28"/>
    </row>
    <row r="146" spans="1:26" hidden="1" x14ac:dyDescent="0.3">
      <c r="A146" s="34">
        <v>45699</v>
      </c>
      <c r="B146" s="7" t="str">
        <f t="shared" ref="B146:B152" si="15">TEXT(A146,"mmmm")</f>
        <v>febrero</v>
      </c>
      <c r="C146" s="27">
        <v>2440</v>
      </c>
      <c r="D146" s="23" t="s">
        <v>20</v>
      </c>
      <c r="E146" s="127" t="s">
        <v>576</v>
      </c>
      <c r="F146" s="22" t="s">
        <v>62</v>
      </c>
      <c r="G146" s="32" t="str">
        <f>IFERROR(VLOOKUP(F146,Productos!$A$2:$D$258,2,0)," ")</f>
        <v>Archivador TECU  Blanco (Niebla)</v>
      </c>
      <c r="H146" s="7">
        <v>1</v>
      </c>
      <c r="I146" s="32" t="str">
        <f>IFERROR(VLOOKUP(F146,Productos!$A$2:$D$258,3,0)," ")</f>
        <v>Archivador</v>
      </c>
      <c r="J146" s="54" t="s">
        <v>21</v>
      </c>
      <c r="K146" s="54" t="s">
        <v>22</v>
      </c>
      <c r="L146" s="26" t="str">
        <f t="shared" si="14"/>
        <v>Despachado</v>
      </c>
      <c r="M146" s="56" t="s">
        <v>238</v>
      </c>
      <c r="N146" s="128" t="s">
        <v>597</v>
      </c>
      <c r="O146" s="150">
        <v>45699</v>
      </c>
      <c r="P146" s="151">
        <v>45700</v>
      </c>
      <c r="Q146" s="24" t="str">
        <f t="shared" si="11"/>
        <v>Entregado</v>
      </c>
      <c r="R146" s="25">
        <f>IF(L146="Despachado",NETWORKDAYS.INTL(A146,O146,11,Valores!$A$2:$A$18)-1,"PTE")</f>
        <v>0</v>
      </c>
      <c r="S146" s="25">
        <f>IF(Q146="Entregado",NETWORKDAYS.INTL(A146,P146,11,Valores!$A$2:$A$18)-1,"PTE")</f>
        <v>1</v>
      </c>
      <c r="T146" s="25"/>
      <c r="U146" s="25"/>
      <c r="V146" s="25" t="str">
        <f>IF(Q146="Entregado",IF(S146&lt;=VLOOKUP(K146,Valores!E:F,2,0),"Cumple","No cumple"),"PTE")</f>
        <v>Cumple</v>
      </c>
      <c r="W146" s="25"/>
      <c r="X146" s="29">
        <v>54929</v>
      </c>
      <c r="Y146" s="224"/>
      <c r="Z146" s="28"/>
    </row>
    <row r="147" spans="1:26" hidden="1" x14ac:dyDescent="0.3">
      <c r="A147" s="34">
        <v>45699</v>
      </c>
      <c r="B147" s="7" t="str">
        <f t="shared" si="15"/>
        <v>febrero</v>
      </c>
      <c r="C147" s="27">
        <v>2441</v>
      </c>
      <c r="D147" s="23" t="s">
        <v>20</v>
      </c>
      <c r="E147" s="127" t="s">
        <v>577</v>
      </c>
      <c r="F147" s="40" t="s">
        <v>57</v>
      </c>
      <c r="G147" s="32" t="str">
        <f>IFERROR(VLOOKUP(F147,Productos!$A$2:$D$258,2,0)," ")</f>
        <v>Electric Standing Desk  En L Frame Negro 2.0</v>
      </c>
      <c r="H147" s="7">
        <v>1</v>
      </c>
      <c r="I147" s="32" t="str">
        <f>IFERROR(VLOOKUP(F147,Productos!$A$2:$D$258,3,0)," ")</f>
        <v>Standing Desk</v>
      </c>
      <c r="J147" s="54" t="s">
        <v>21</v>
      </c>
      <c r="K147" s="54" t="s">
        <v>22</v>
      </c>
      <c r="L147" s="26" t="str">
        <f t="shared" si="14"/>
        <v>Despachado</v>
      </c>
      <c r="M147" s="56" t="s">
        <v>238</v>
      </c>
      <c r="N147" s="128" t="s">
        <v>598</v>
      </c>
      <c r="O147" s="150">
        <v>45699</v>
      </c>
      <c r="P147" s="151">
        <v>45700</v>
      </c>
      <c r="Q147" s="24" t="str">
        <f t="shared" si="11"/>
        <v>Entregado</v>
      </c>
      <c r="R147" s="25">
        <f>IF(L147="Despachado",NETWORKDAYS.INTL(A147,O147,11,Valores!$A$2:$A$18)-1,"PTE")</f>
        <v>0</v>
      </c>
      <c r="S147" s="25">
        <f>IF(Q147="Entregado",NETWORKDAYS.INTL(A147,P147,11,Valores!$A$2:$A$18)-1,"PTE")</f>
        <v>1</v>
      </c>
      <c r="T147" s="25"/>
      <c r="U147" s="25"/>
      <c r="V147" s="25" t="str">
        <f>IF(Q147="Entregado",IF(S147&lt;=VLOOKUP(K147,Valores!E:F,2,0),"Cumple","No cumple"),"PTE")</f>
        <v>Cumple</v>
      </c>
      <c r="W147" s="25"/>
      <c r="X147" s="29">
        <v>62530</v>
      </c>
      <c r="Y147" s="224"/>
      <c r="Z147" s="28"/>
    </row>
    <row r="148" spans="1:26" hidden="1" x14ac:dyDescent="0.3">
      <c r="A148" s="34">
        <v>45699</v>
      </c>
      <c r="B148" s="7" t="str">
        <f t="shared" si="15"/>
        <v>febrero</v>
      </c>
      <c r="C148" s="27">
        <v>2441</v>
      </c>
      <c r="D148" s="23" t="s">
        <v>20</v>
      </c>
      <c r="E148" s="127" t="s">
        <v>577</v>
      </c>
      <c r="F148" s="22" t="s">
        <v>29</v>
      </c>
      <c r="G148" s="32" t="str">
        <f>IFERROR(VLOOKUP(F148,Productos!$A$2:$D$258,2,0)," ")</f>
        <v>Superficie  en L Caramelo 180x150cm x 70</v>
      </c>
      <c r="H148" s="7">
        <v>1</v>
      </c>
      <c r="I148" s="32" t="str">
        <f>IFERROR(VLOOKUP(F148,Productos!$A$2:$D$258,3,0)," ")</f>
        <v>Superficie</v>
      </c>
      <c r="J148" s="54" t="s">
        <v>21</v>
      </c>
      <c r="K148" s="54" t="s">
        <v>22</v>
      </c>
      <c r="L148" s="26" t="str">
        <f t="shared" si="14"/>
        <v>Despachado</v>
      </c>
      <c r="M148" s="56" t="s">
        <v>238</v>
      </c>
      <c r="N148" s="128" t="s">
        <v>599</v>
      </c>
      <c r="O148" s="150">
        <v>45699</v>
      </c>
      <c r="P148" s="151">
        <v>45700</v>
      </c>
      <c r="Q148" s="24" t="str">
        <f t="shared" si="11"/>
        <v>Entregado</v>
      </c>
      <c r="R148" s="25">
        <f>IF(L148="Despachado",NETWORKDAYS.INTL(A148,O148,11,Valores!$A$2:$A$18)-1,"PTE")</f>
        <v>0</v>
      </c>
      <c r="S148" s="25">
        <f>IF(Q148="Entregado",NETWORKDAYS.INTL(A148,P148,11,Valores!$A$2:$A$18)-1,"PTE")</f>
        <v>1</v>
      </c>
      <c r="T148" s="25"/>
      <c r="U148" s="25"/>
      <c r="V148" s="25" t="str">
        <f>IF(Q148="Entregado",IF(S148&lt;=VLOOKUP(K148,Valores!E:F,2,0),"Cumple","No cumple"),"PTE")</f>
        <v>Cumple</v>
      </c>
      <c r="W148" s="25"/>
      <c r="X148" s="29">
        <v>26749</v>
      </c>
      <c r="Y148" s="224"/>
      <c r="Z148" s="28"/>
    </row>
    <row r="149" spans="1:26" hidden="1" x14ac:dyDescent="0.3">
      <c r="A149" s="34">
        <v>45701</v>
      </c>
      <c r="B149" s="7" t="str">
        <f t="shared" si="15"/>
        <v>febrero</v>
      </c>
      <c r="C149" s="27">
        <v>2442</v>
      </c>
      <c r="D149" s="23" t="s">
        <v>20</v>
      </c>
      <c r="E149" s="129" t="s">
        <v>600</v>
      </c>
      <c r="F149" s="40" t="s">
        <v>123</v>
      </c>
      <c r="G149" s="32" t="str">
        <f>IFERROR(VLOOKUP(F149,Productos!$A$2:$D$258,2,0)," ")</f>
        <v>Electric Standing Desk GO Negro</v>
      </c>
      <c r="H149" s="7">
        <v>1</v>
      </c>
      <c r="I149" s="32" t="str">
        <f>IFERROR(VLOOKUP(F149,Productos!$A$2:$D$258,3,0)," ")</f>
        <v>Standing Desk</v>
      </c>
      <c r="J149" s="54" t="s">
        <v>21</v>
      </c>
      <c r="K149" s="54" t="s">
        <v>22</v>
      </c>
      <c r="L149" s="26" t="str">
        <f t="shared" si="14"/>
        <v>Despachado</v>
      </c>
      <c r="M149" s="56" t="s">
        <v>238</v>
      </c>
      <c r="N149" s="128" t="s">
        <v>601</v>
      </c>
      <c r="O149" s="150">
        <v>45701</v>
      </c>
      <c r="P149" s="151">
        <v>45703</v>
      </c>
      <c r="Q149" s="24" t="str">
        <f t="shared" si="11"/>
        <v>Entregado</v>
      </c>
      <c r="R149" s="25">
        <f>IF(L149="Despachado",NETWORKDAYS.INTL(A149,O149,11,Valores!$A$2:$A$18)-1,"PTE")</f>
        <v>0</v>
      </c>
      <c r="S149" s="25">
        <f>IF(Q149="Entregado",NETWORKDAYS.INTL(A149,P149,11,Valores!$A$2:$A$18)-1,"PTE")</f>
        <v>2</v>
      </c>
      <c r="T149" s="25"/>
      <c r="U149" s="25"/>
      <c r="V149" s="25" t="str">
        <f>IF(Q149="Entregado",IF(S149&lt;=VLOOKUP(K149,Valores!E:F,2,0),"Cumple","No cumple"),"PTE")</f>
        <v>Cumple</v>
      </c>
      <c r="W149" s="25"/>
      <c r="X149" s="29">
        <v>41593</v>
      </c>
      <c r="Y149" s="224"/>
      <c r="Z149" s="28"/>
    </row>
    <row r="150" spans="1:26" hidden="1" x14ac:dyDescent="0.3">
      <c r="A150" s="34">
        <v>45701</v>
      </c>
      <c r="B150" s="7" t="str">
        <f t="shared" si="15"/>
        <v>febrero</v>
      </c>
      <c r="C150" s="27">
        <v>2442</v>
      </c>
      <c r="D150" s="23" t="s">
        <v>20</v>
      </c>
      <c r="E150" s="129" t="s">
        <v>600</v>
      </c>
      <c r="F150" s="22" t="s">
        <v>107</v>
      </c>
      <c r="G150" s="32" t="str">
        <f>IFERROR(VLOOKUP(F150,Productos!$A$2:$D$258,2,0)," ")</f>
        <v>Superficie  Caramelo 120x70 Clasico Small</v>
      </c>
      <c r="H150" s="7">
        <v>1</v>
      </c>
      <c r="I150" s="32" t="str">
        <f>IFERROR(VLOOKUP(F150,Productos!$A$2:$D$258,3,0)," ")</f>
        <v>Superficie</v>
      </c>
      <c r="J150" s="54" t="s">
        <v>21</v>
      </c>
      <c r="K150" s="54" t="s">
        <v>22</v>
      </c>
      <c r="L150" s="26" t="str">
        <f t="shared" si="14"/>
        <v>Despachado</v>
      </c>
      <c r="M150" s="56" t="s">
        <v>238</v>
      </c>
      <c r="N150" s="128" t="s">
        <v>602</v>
      </c>
      <c r="O150" s="150">
        <v>45701</v>
      </c>
      <c r="P150" s="151">
        <v>45705</v>
      </c>
      <c r="Q150" s="24" t="str">
        <f t="shared" si="11"/>
        <v>Entregado</v>
      </c>
      <c r="R150" s="25">
        <f>IF(L150="Despachado",NETWORKDAYS.INTL(A150,O150,11,Valores!$A$2:$A$18)-1,"PTE")</f>
        <v>0</v>
      </c>
      <c r="S150" s="25">
        <f>IF(Q150="Entregado",NETWORKDAYS.INTL(A150,P150,11,Valores!$A$2:$A$18)-1,"PTE")</f>
        <v>3</v>
      </c>
      <c r="T150" s="25"/>
      <c r="U150" s="25"/>
      <c r="V150" s="25" t="str">
        <f>IF(Q150="Entregado",IF(S150&lt;=VLOOKUP(K150,Valores!E:F,2,0),"Cumple","No cumple"),"PTE")</f>
        <v>Cumple</v>
      </c>
      <c r="W150" s="25"/>
      <c r="X150" s="29">
        <v>24093</v>
      </c>
      <c r="Y150" s="224"/>
      <c r="Z150" s="28"/>
    </row>
    <row r="151" spans="1:26" hidden="1" x14ac:dyDescent="0.3">
      <c r="A151" s="34">
        <v>45702</v>
      </c>
      <c r="B151" s="7" t="str">
        <f t="shared" si="15"/>
        <v>febrero</v>
      </c>
      <c r="C151" s="27">
        <v>2443</v>
      </c>
      <c r="D151" s="23" t="s">
        <v>20</v>
      </c>
      <c r="E151" s="129" t="s">
        <v>603</v>
      </c>
      <c r="F151" s="22" t="s">
        <v>129</v>
      </c>
      <c r="G151" s="32" t="str">
        <f>IFERROR(VLOOKUP(F151,Productos!$A$2:$D$258,2,0)," ")</f>
        <v>Electric Standing Desk  PRO Negro</v>
      </c>
      <c r="H151" s="7">
        <v>1</v>
      </c>
      <c r="I151" s="32" t="str">
        <f>IFERROR(VLOOKUP(F151,Productos!$A$2:$D$258,3,0)," ")</f>
        <v>Standing Desk</v>
      </c>
      <c r="J151" s="128" t="s">
        <v>42</v>
      </c>
      <c r="K151" s="128" t="s">
        <v>41</v>
      </c>
      <c r="L151" s="26" t="str">
        <f t="shared" si="14"/>
        <v>Despachado</v>
      </c>
      <c r="M151" s="56" t="s">
        <v>238</v>
      </c>
      <c r="N151" s="131" t="s">
        <v>613</v>
      </c>
      <c r="O151" s="150">
        <v>45702</v>
      </c>
      <c r="P151" s="151">
        <v>45703</v>
      </c>
      <c r="Q151" s="24" t="str">
        <f t="shared" si="11"/>
        <v>Entregado</v>
      </c>
      <c r="R151" s="25">
        <f>IF(L151="Despachado",NETWORKDAYS.INTL(A151,O151,11,Valores!$A$2:$A$18)-1,"PTE")</f>
        <v>0</v>
      </c>
      <c r="S151" s="25">
        <f>IF(Q151="Entregado",NETWORKDAYS.INTL(A151,P151,11,Valores!$A$2:$A$18)-1,"PTE")</f>
        <v>1</v>
      </c>
      <c r="T151" s="25"/>
      <c r="U151" s="25"/>
      <c r="V151" s="25" t="str">
        <f>IF(Q151="Entregado",IF(S151&lt;=VLOOKUP(K151,Valores!E:F,2,0),"Cumple","No cumple"),"PTE")</f>
        <v>Cumple</v>
      </c>
      <c r="W151" s="25"/>
      <c r="X151" s="29">
        <v>42921</v>
      </c>
      <c r="Y151" s="224"/>
      <c r="Z151" s="28"/>
    </row>
    <row r="152" spans="1:26" hidden="1" x14ac:dyDescent="0.3">
      <c r="A152" s="34">
        <v>45702</v>
      </c>
      <c r="B152" s="7" t="str">
        <f t="shared" si="15"/>
        <v>febrero</v>
      </c>
      <c r="C152" s="27">
        <v>2443</v>
      </c>
      <c r="D152" s="23" t="s">
        <v>20</v>
      </c>
      <c r="E152" s="129" t="s">
        <v>603</v>
      </c>
      <c r="F152" s="22" t="s">
        <v>143</v>
      </c>
      <c r="G152" s="32" t="str">
        <f>IFERROR(VLOOKUP(F152,Productos!$A$2:$D$258,2,0)," ")</f>
        <v>Superficie  Caramelo 160x70 Clasico</v>
      </c>
      <c r="H152" s="7">
        <v>1</v>
      </c>
      <c r="I152" s="32" t="str">
        <f>IFERROR(VLOOKUP(F152,Productos!$A$2:$D$258,3,0)," ")</f>
        <v>Superficie</v>
      </c>
      <c r="J152" s="128" t="s">
        <v>42</v>
      </c>
      <c r="K152" s="128" t="s">
        <v>41</v>
      </c>
      <c r="L152" s="26" t="str">
        <f t="shared" si="14"/>
        <v>Despachado</v>
      </c>
      <c r="M152" s="56" t="s">
        <v>238</v>
      </c>
      <c r="N152" s="131" t="s">
        <v>614</v>
      </c>
      <c r="O152" s="150">
        <v>45702</v>
      </c>
      <c r="P152" s="151">
        <v>45703</v>
      </c>
      <c r="Q152" s="24" t="str">
        <f t="shared" si="11"/>
        <v>Entregado</v>
      </c>
      <c r="R152" s="25">
        <f>IF(L152="Despachado",NETWORKDAYS.INTL(A152,O152,11,Valores!$A$2:$A$18)-1,"PTE")</f>
        <v>0</v>
      </c>
      <c r="S152" s="25">
        <f>IF(Q152="Entregado",NETWORKDAYS.INTL(A152,P152,11,Valores!$A$2:$A$18)-1,"PTE")</f>
        <v>1</v>
      </c>
      <c r="T152" s="25"/>
      <c r="U152" s="25"/>
      <c r="V152" s="25" t="str">
        <f>IF(Q152="Entregado",IF(S152&lt;=VLOOKUP(K152,Valores!E:F,2,0),"Cumple","No cumple"),"PTE")</f>
        <v>Cumple</v>
      </c>
      <c r="W152" s="25"/>
      <c r="X152" s="29">
        <v>24093</v>
      </c>
      <c r="Y152" s="224"/>
      <c r="Z152" s="28"/>
    </row>
    <row r="153" spans="1:26" hidden="1" x14ac:dyDescent="0.3">
      <c r="A153" s="34">
        <v>45702</v>
      </c>
      <c r="B153" s="7" t="str">
        <f>TEXT(A153,"mmmm")</f>
        <v>febrero</v>
      </c>
      <c r="C153" s="27">
        <v>2444</v>
      </c>
      <c r="D153" s="23" t="s">
        <v>20</v>
      </c>
      <c r="E153" s="130" t="s">
        <v>604</v>
      </c>
      <c r="F153" s="40" t="s">
        <v>127</v>
      </c>
      <c r="G153" s="32" t="str">
        <f>IFERROR(VLOOKUP(F153,Productos!$A$2:$D$258,2,0)," ")</f>
        <v>Electric Standing Desk GO Blanco</v>
      </c>
      <c r="H153" s="7">
        <v>1</v>
      </c>
      <c r="I153" s="32" t="str">
        <f>IFERROR(VLOOKUP(F153,Productos!$A$2:$D$258,3,0)," ")</f>
        <v>Standing Desk</v>
      </c>
      <c r="J153" s="131" t="s">
        <v>203</v>
      </c>
      <c r="K153" s="131" t="s">
        <v>219</v>
      </c>
      <c r="L153" s="26" t="str">
        <f t="shared" si="14"/>
        <v>Despachado</v>
      </c>
      <c r="M153" s="56" t="s">
        <v>238</v>
      </c>
      <c r="N153" s="131" t="s">
        <v>615</v>
      </c>
      <c r="O153" s="150">
        <v>45705</v>
      </c>
      <c r="P153" s="151">
        <v>45706</v>
      </c>
      <c r="Q153" s="24" t="str">
        <f t="shared" si="11"/>
        <v>Entregado</v>
      </c>
      <c r="R153" s="25">
        <f>IF(L153="Despachado",NETWORKDAYS.INTL(A153,O153,11,Valores!$A$2:$A$18)-1,"PTE")</f>
        <v>2</v>
      </c>
      <c r="S153" s="25">
        <f>IF(Q153="Entregado",NETWORKDAYS.INTL(A153,P153,11,Valores!$A$2:$A$18)-1,"PTE")</f>
        <v>3</v>
      </c>
      <c r="T153" s="25"/>
      <c r="U153" s="25"/>
      <c r="V153" s="25" t="str">
        <f>IF(Q153="Entregado",IF(S153&lt;=VLOOKUP(K153,Valores!E:F,2,0),"Cumple","No cumple"),"PTE")</f>
        <v>Cumple</v>
      </c>
      <c r="W153" s="25"/>
      <c r="X153" s="29">
        <v>34156</v>
      </c>
      <c r="Y153" s="224"/>
      <c r="Z153" s="28"/>
    </row>
    <row r="154" spans="1:26" hidden="1" x14ac:dyDescent="0.3">
      <c r="A154" s="34">
        <v>45702</v>
      </c>
      <c r="B154" s="7" t="str">
        <f>TEXT(A154,"mmmm")</f>
        <v>febrero</v>
      </c>
      <c r="C154" s="27">
        <v>2444</v>
      </c>
      <c r="D154" s="23" t="s">
        <v>20</v>
      </c>
      <c r="E154" s="130" t="s">
        <v>604</v>
      </c>
      <c r="F154" s="22" t="s">
        <v>147</v>
      </c>
      <c r="G154" s="32" t="str">
        <f>IFERROR(VLOOKUP(F154,Productos!$A$2:$D$258,2,0)," ")</f>
        <v>Superficie Niebla 130x70 Clasico</v>
      </c>
      <c r="H154" s="7">
        <v>1</v>
      </c>
      <c r="I154" s="32" t="str">
        <f>IFERROR(VLOOKUP(F154,Productos!$A$2:$D$258,3,0)," ")</f>
        <v>Superficie</v>
      </c>
      <c r="J154" s="131" t="s">
        <v>203</v>
      </c>
      <c r="K154" s="131" t="s">
        <v>219</v>
      </c>
      <c r="L154" s="26" t="str">
        <f t="shared" si="14"/>
        <v>Despachado</v>
      </c>
      <c r="M154" s="56" t="s">
        <v>238</v>
      </c>
      <c r="N154" s="131" t="s">
        <v>616</v>
      </c>
      <c r="O154" s="150">
        <v>45705</v>
      </c>
      <c r="P154" s="151">
        <v>45706</v>
      </c>
      <c r="Q154" s="24" t="str">
        <f t="shared" si="11"/>
        <v>Entregado</v>
      </c>
      <c r="R154" s="25">
        <f>IF(L154="Despachado",NETWORKDAYS.INTL(A154,O154,11,Valores!$A$2:$A$18)-1,"PTE")</f>
        <v>2</v>
      </c>
      <c r="S154" s="25">
        <f>IF(Q154="Entregado",NETWORKDAYS.INTL(A154,P154,11,Valores!$A$2:$A$18)-1,"PTE")</f>
        <v>3</v>
      </c>
      <c r="T154" s="25"/>
      <c r="U154" s="25"/>
      <c r="V154" s="25" t="str">
        <f>IF(Q154="Entregado",IF(S154&lt;=VLOOKUP(K154,Valores!E:F,2,0),"Cumple","No cumple"),"PTE")</f>
        <v>Cumple</v>
      </c>
      <c r="W154" s="25"/>
      <c r="X154" s="29">
        <v>15194</v>
      </c>
      <c r="Y154" s="224"/>
      <c r="Z154" s="28"/>
    </row>
    <row r="155" spans="1:26" hidden="1" x14ac:dyDescent="0.3">
      <c r="A155" s="34">
        <v>45705</v>
      </c>
      <c r="B155" s="7" t="str">
        <f>TEXT(A155,"mmmm")</f>
        <v>febrero</v>
      </c>
      <c r="C155" s="27">
        <v>2445</v>
      </c>
      <c r="D155" s="23" t="s">
        <v>20</v>
      </c>
      <c r="E155" s="130" t="s">
        <v>605</v>
      </c>
      <c r="F155" s="32" t="s">
        <v>280</v>
      </c>
      <c r="G155" s="32" t="str">
        <f>IFERROR(VLOOKUP(F155,Productos!$A$2:$D$258,2,0)," ")</f>
        <v>Rodachines con freno para Standing desk x 4 UN</v>
      </c>
      <c r="H155" s="7">
        <v>2</v>
      </c>
      <c r="I155" s="32" t="str">
        <f>IFERROR(VLOOKUP(F155,Productos!$A$2:$D$258,3,0)," ")</f>
        <v>Ruedas</v>
      </c>
      <c r="J155" s="54" t="s">
        <v>21</v>
      </c>
      <c r="K155" s="54" t="s">
        <v>22</v>
      </c>
      <c r="L155" s="26" t="str">
        <f t="shared" si="14"/>
        <v>Despachado</v>
      </c>
      <c r="M155" s="56" t="s">
        <v>238</v>
      </c>
      <c r="N155" s="131" t="s">
        <v>617</v>
      </c>
      <c r="O155" s="150">
        <v>45705</v>
      </c>
      <c r="P155" s="151">
        <v>45706</v>
      </c>
      <c r="Q155" s="24" t="str">
        <f t="shared" si="11"/>
        <v>Entregado</v>
      </c>
      <c r="R155" s="25">
        <f>IF(L155="Despachado",NETWORKDAYS.INTL(A155,O155,11,Valores!$A$2:$A$18)-1,"PTE")</f>
        <v>0</v>
      </c>
      <c r="S155" s="25">
        <f>IF(Q155="Entregado",NETWORKDAYS.INTL(A155,P155,11,Valores!$A$2:$A$18)-1,"PTE")</f>
        <v>1</v>
      </c>
      <c r="T155" s="25"/>
      <c r="U155" s="25"/>
      <c r="V155" s="25" t="str">
        <f>IF(Q155="Entregado",IF(S155&lt;=VLOOKUP(K155,Valores!E:F,2,0),"Cumple","No cumple"),"PTE")</f>
        <v>Cumple</v>
      </c>
      <c r="W155" s="25"/>
      <c r="X155" s="29">
        <v>23875</v>
      </c>
      <c r="Y155" s="224"/>
      <c r="Z155" s="28"/>
    </row>
    <row r="156" spans="1:26" hidden="1" x14ac:dyDescent="0.3">
      <c r="A156" s="34">
        <v>45705</v>
      </c>
      <c r="B156" s="7" t="str">
        <f t="shared" ref="B156:B164" si="16">TEXT(A156,"mmmm")</f>
        <v>febrero</v>
      </c>
      <c r="C156" s="27">
        <v>2446</v>
      </c>
      <c r="D156" s="23" t="s">
        <v>20</v>
      </c>
      <c r="E156" s="130" t="s">
        <v>606</v>
      </c>
      <c r="F156" s="40" t="s">
        <v>123</v>
      </c>
      <c r="G156" s="32" t="str">
        <f>IFERROR(VLOOKUP(F156,Productos!$A$2:$D$258,2,0)," ")</f>
        <v>Electric Standing Desk GO Negro</v>
      </c>
      <c r="H156" s="7">
        <v>1</v>
      </c>
      <c r="I156" s="32" t="str">
        <f>IFERROR(VLOOKUP(F156,Productos!$A$2:$D$258,3,0)," ")</f>
        <v>Standing Desk</v>
      </c>
      <c r="J156" s="54" t="s">
        <v>21</v>
      </c>
      <c r="K156" s="54" t="s">
        <v>22</v>
      </c>
      <c r="L156" s="26" t="str">
        <f t="shared" si="14"/>
        <v>Despachado</v>
      </c>
      <c r="M156" s="56" t="s">
        <v>238</v>
      </c>
      <c r="N156" s="131" t="s">
        <v>618</v>
      </c>
      <c r="O156" s="150">
        <v>45705</v>
      </c>
      <c r="P156" s="151">
        <v>45706</v>
      </c>
      <c r="Q156" s="24" t="str">
        <f t="shared" si="11"/>
        <v>Entregado</v>
      </c>
      <c r="R156" s="25">
        <f>IF(L156="Despachado",NETWORKDAYS.INTL(A156,O156,11,Valores!$A$2:$A$18)-1,"PTE")</f>
        <v>0</v>
      </c>
      <c r="S156" s="25">
        <f>IF(Q156="Entregado",NETWORKDAYS.INTL(A156,P156,11,Valores!$A$2:$A$18)-1,"PTE")</f>
        <v>1</v>
      </c>
      <c r="T156" s="25"/>
      <c r="U156" s="25"/>
      <c r="V156" s="25" t="str">
        <f>IF(Q156="Entregado",IF(S156&lt;=VLOOKUP(K156,Valores!E:F,2,0),"Cumple","No cumple"),"PTE")</f>
        <v>Cumple</v>
      </c>
      <c r="W156" s="25"/>
      <c r="X156" s="29">
        <v>41593</v>
      </c>
      <c r="Y156" s="224"/>
      <c r="Z156" s="28"/>
    </row>
    <row r="157" spans="1:26" hidden="1" x14ac:dyDescent="0.3">
      <c r="A157" s="34">
        <v>45705</v>
      </c>
      <c r="B157" s="7" t="str">
        <f t="shared" si="16"/>
        <v>febrero</v>
      </c>
      <c r="C157" s="27">
        <v>2446</v>
      </c>
      <c r="D157" s="23" t="s">
        <v>20</v>
      </c>
      <c r="E157" s="130" t="s">
        <v>606</v>
      </c>
      <c r="F157" s="22" t="s">
        <v>141</v>
      </c>
      <c r="G157" s="32" t="str">
        <f>IFERROR(VLOOKUP(F157,Productos!$A$2:$D$258,2,0)," ")</f>
        <v>Superficie Caramelo 130x70 Clasico</v>
      </c>
      <c r="H157" s="7">
        <v>1</v>
      </c>
      <c r="I157" s="32" t="str">
        <f>IFERROR(VLOOKUP(F157,Productos!$A$2:$D$258,3,0)," ")</f>
        <v>Superficie</v>
      </c>
      <c r="J157" s="54" t="s">
        <v>21</v>
      </c>
      <c r="K157" s="54" t="s">
        <v>22</v>
      </c>
      <c r="L157" s="26" t="str">
        <f t="shared" si="14"/>
        <v>Despachado</v>
      </c>
      <c r="M157" s="56" t="s">
        <v>238</v>
      </c>
      <c r="N157" s="131" t="s">
        <v>619</v>
      </c>
      <c r="O157" s="150">
        <v>45705</v>
      </c>
      <c r="P157" s="151">
        <v>45706</v>
      </c>
      <c r="Q157" s="24" t="str">
        <f t="shared" si="11"/>
        <v>Entregado</v>
      </c>
      <c r="R157" s="25">
        <f>IF(L157="Despachado",NETWORKDAYS.INTL(A157,O157,11,Valores!$A$2:$A$18)-1,"PTE")</f>
        <v>0</v>
      </c>
      <c r="S157" s="25">
        <f>IF(Q157="Entregado",NETWORKDAYS.INTL(A157,P157,11,Valores!$A$2:$A$18)-1,"PTE")</f>
        <v>1</v>
      </c>
      <c r="T157" s="25"/>
      <c r="U157" s="25"/>
      <c r="V157" s="25" t="str">
        <f>IF(Q157="Entregado",IF(S157&lt;=VLOOKUP(K157,Valores!E:F,2,0),"Cumple","No cumple"),"PTE")</f>
        <v>Cumple</v>
      </c>
      <c r="W157" s="25"/>
      <c r="X157" s="29">
        <v>24093</v>
      </c>
      <c r="Y157" s="224"/>
      <c r="Z157" s="28"/>
    </row>
    <row r="158" spans="1:26" hidden="1" x14ac:dyDescent="0.3">
      <c r="A158" s="34">
        <v>45705</v>
      </c>
      <c r="B158" s="7" t="str">
        <f t="shared" si="16"/>
        <v>febrero</v>
      </c>
      <c r="C158" s="27">
        <v>2447</v>
      </c>
      <c r="D158" s="23" t="s">
        <v>20</v>
      </c>
      <c r="E158" s="130" t="s">
        <v>607</v>
      </c>
      <c r="F158" s="22" t="s">
        <v>129</v>
      </c>
      <c r="G158" s="32" t="str">
        <f>IFERROR(VLOOKUP(F158,Productos!$A$2:$D$258,2,0)," ")</f>
        <v>Electric Standing Desk  PRO Negro</v>
      </c>
      <c r="H158" s="7">
        <v>1</v>
      </c>
      <c r="I158" s="32" t="str">
        <f>IFERROR(VLOOKUP(F158,Productos!$A$2:$D$258,3,0)," ")</f>
        <v>Standing Desk</v>
      </c>
      <c r="J158" s="54" t="s">
        <v>21</v>
      </c>
      <c r="K158" s="54" t="s">
        <v>22</v>
      </c>
      <c r="L158" s="26" t="str">
        <f t="shared" si="14"/>
        <v>Despachado</v>
      </c>
      <c r="M158" s="56" t="s">
        <v>238</v>
      </c>
      <c r="N158" s="131" t="s">
        <v>620</v>
      </c>
      <c r="O158" s="150">
        <v>45706</v>
      </c>
      <c r="P158" s="151">
        <v>45707</v>
      </c>
      <c r="Q158" s="24" t="str">
        <f t="shared" si="11"/>
        <v>Entregado</v>
      </c>
      <c r="R158" s="25">
        <f>IF(L158="Despachado",NETWORKDAYS.INTL(A158,O158,11,Valores!$A$2:$A$18)-1,"PTE")</f>
        <v>1</v>
      </c>
      <c r="S158" s="25">
        <f>IF(Q158="Entregado",NETWORKDAYS.INTL(A158,P158,11,Valores!$A$2:$A$18)-1,"PTE")</f>
        <v>2</v>
      </c>
      <c r="T158" s="25"/>
      <c r="U158" s="25"/>
      <c r="V158" s="25" t="str">
        <f>IF(Q158="Entregado",IF(S158&lt;=VLOOKUP(K158,Valores!E:F,2,0),"Cumple","No cumple"),"PTE")</f>
        <v>Cumple</v>
      </c>
      <c r="W158" s="25"/>
      <c r="X158" s="29">
        <v>42921</v>
      </c>
      <c r="Y158" s="224"/>
      <c r="Z158" s="28"/>
    </row>
    <row r="159" spans="1:26" hidden="1" x14ac:dyDescent="0.3">
      <c r="A159" s="34">
        <v>45705</v>
      </c>
      <c r="B159" s="7" t="str">
        <f t="shared" si="16"/>
        <v>febrero</v>
      </c>
      <c r="C159" s="27">
        <v>2447</v>
      </c>
      <c r="D159" s="23" t="s">
        <v>20</v>
      </c>
      <c r="E159" s="130" t="s">
        <v>607</v>
      </c>
      <c r="F159" s="22" t="s">
        <v>310</v>
      </c>
      <c r="G159" s="32" t="str">
        <f>IFERROR(VLOOKUP(F159,Productos!$A$2:$D$258,2,0)," ")</f>
        <v>Superficie  Fresno Europeo 160x70 Moderno</v>
      </c>
      <c r="H159" s="7">
        <v>1</v>
      </c>
      <c r="I159" s="32" t="str">
        <f>IFERROR(VLOOKUP(F159,Productos!$A$2:$D$258,3,0)," ")</f>
        <v>Superficie</v>
      </c>
      <c r="J159" s="54" t="s">
        <v>21</v>
      </c>
      <c r="K159" s="54" t="s">
        <v>22</v>
      </c>
      <c r="L159" s="26" t="str">
        <f t="shared" si="14"/>
        <v>Despachado</v>
      </c>
      <c r="M159" s="56" t="s">
        <v>238</v>
      </c>
      <c r="N159" s="131" t="s">
        <v>621</v>
      </c>
      <c r="O159" s="150">
        <v>45706</v>
      </c>
      <c r="P159" s="151">
        <v>45708</v>
      </c>
      <c r="Q159" s="24" t="str">
        <f t="shared" si="11"/>
        <v>Entregado</v>
      </c>
      <c r="R159" s="25">
        <f>IF(L159="Despachado",NETWORKDAYS.INTL(A159,O159,11,Valores!$A$2:$A$18)-1,"PTE")</f>
        <v>1</v>
      </c>
      <c r="S159" s="25">
        <f>IF(Q159="Entregado",NETWORKDAYS.INTL(A159,P159,11,Valores!$A$2:$A$18)-1,"PTE")</f>
        <v>3</v>
      </c>
      <c r="T159" s="25"/>
      <c r="U159" s="25"/>
      <c r="V159" s="25" t="str">
        <f>IF(Q159="Entregado",IF(S159&lt;=VLOOKUP(K159,Valores!E:F,2,0),"Cumple","No cumple"),"PTE")</f>
        <v>Cumple</v>
      </c>
      <c r="W159" s="25"/>
      <c r="X159" s="29">
        <v>24093</v>
      </c>
      <c r="Y159" s="224"/>
      <c r="Z159" s="28"/>
    </row>
    <row r="160" spans="1:26" hidden="1" x14ac:dyDescent="0.3">
      <c r="A160" s="34">
        <v>45706</v>
      </c>
      <c r="B160" s="7" t="str">
        <f t="shared" si="16"/>
        <v>febrero</v>
      </c>
      <c r="C160" s="27">
        <v>2448</v>
      </c>
      <c r="D160" s="23" t="s">
        <v>20</v>
      </c>
      <c r="E160" s="130" t="s">
        <v>608</v>
      </c>
      <c r="F160" s="40" t="s">
        <v>127</v>
      </c>
      <c r="G160" s="32" t="str">
        <f>IFERROR(VLOOKUP(F160,Productos!$A$2:$D$258,2,0)," ")</f>
        <v>Electric Standing Desk GO Blanco</v>
      </c>
      <c r="H160" s="7">
        <v>1</v>
      </c>
      <c r="I160" s="32" t="str">
        <f>IFERROR(VLOOKUP(F160,Productos!$A$2:$D$258,3,0)," ")</f>
        <v>Standing Desk</v>
      </c>
      <c r="J160" s="54" t="s">
        <v>21</v>
      </c>
      <c r="K160" s="54" t="s">
        <v>22</v>
      </c>
      <c r="L160" s="26" t="str">
        <f t="shared" si="14"/>
        <v>Despachado</v>
      </c>
      <c r="M160" s="56" t="s">
        <v>238</v>
      </c>
      <c r="N160" s="131" t="s">
        <v>622</v>
      </c>
      <c r="O160" s="150">
        <v>45706</v>
      </c>
      <c r="P160" s="151">
        <v>45707</v>
      </c>
      <c r="Q160" s="24" t="str">
        <f t="shared" si="11"/>
        <v>Entregado</v>
      </c>
      <c r="R160" s="25">
        <f>IF(L160="Despachado",NETWORKDAYS.INTL(A160,O160,11,Valores!$A$2:$A$18)-1,"PTE")</f>
        <v>0</v>
      </c>
      <c r="S160" s="25">
        <f>IF(Q160="Entregado",NETWORKDAYS.INTL(A160,P160,11,Valores!$A$2:$A$18)-1,"PTE")</f>
        <v>1</v>
      </c>
      <c r="T160" s="25"/>
      <c r="U160" s="25"/>
      <c r="V160" s="25" t="str">
        <f>IF(Q160="Entregado",IF(S160&lt;=VLOOKUP(K160,Valores!E:F,2,0),"Cumple","No cumple"),"PTE")</f>
        <v>Cumple</v>
      </c>
      <c r="W160" s="25"/>
      <c r="X160" s="29">
        <v>41593</v>
      </c>
      <c r="Y160" s="224"/>
      <c r="Z160" s="28"/>
    </row>
    <row r="161" spans="1:26" hidden="1" x14ac:dyDescent="0.3">
      <c r="A161" s="34">
        <v>45706</v>
      </c>
      <c r="B161" s="7" t="str">
        <f t="shared" si="16"/>
        <v>febrero</v>
      </c>
      <c r="C161" s="27">
        <v>2448</v>
      </c>
      <c r="D161" s="23" t="s">
        <v>20</v>
      </c>
      <c r="E161" s="130" t="s">
        <v>608</v>
      </c>
      <c r="F161" s="22" t="s">
        <v>303</v>
      </c>
      <c r="G161" s="32" t="str">
        <f>IFERROR(VLOOKUP(F161,Productos!$A$2:$D$258,2,0)," ")</f>
        <v>Superficie  Fresno Europeo 140x70 Clasico</v>
      </c>
      <c r="H161" s="7">
        <v>1</v>
      </c>
      <c r="I161" s="32" t="str">
        <f>IFERROR(VLOOKUP(F161,Productos!$A$2:$D$258,3,0)," ")</f>
        <v>Superficie</v>
      </c>
      <c r="J161" s="54" t="s">
        <v>21</v>
      </c>
      <c r="K161" s="54" t="s">
        <v>22</v>
      </c>
      <c r="L161" s="26" t="str">
        <f t="shared" si="14"/>
        <v>Despachado</v>
      </c>
      <c r="M161" s="56" t="s">
        <v>238</v>
      </c>
      <c r="N161" s="131" t="s">
        <v>623</v>
      </c>
      <c r="O161" s="150">
        <v>45706</v>
      </c>
      <c r="P161" s="151">
        <v>45708</v>
      </c>
      <c r="Q161" s="24" t="str">
        <f t="shared" si="11"/>
        <v>Entregado</v>
      </c>
      <c r="R161" s="25">
        <f>IF(L161="Despachado",NETWORKDAYS.INTL(A161,O161,11,Valores!$A$2:$A$18)-1,"PTE")</f>
        <v>0</v>
      </c>
      <c r="S161" s="25">
        <f>IF(Q161="Entregado",NETWORKDAYS.INTL(A161,P161,11,Valores!$A$2:$A$18)-1,"PTE")</f>
        <v>2</v>
      </c>
      <c r="T161" s="25"/>
      <c r="U161" s="25"/>
      <c r="V161" s="25" t="str">
        <f>IF(Q161="Entregado",IF(S161&lt;=VLOOKUP(K161,Valores!E:F,2,0),"Cumple","No cumple"),"PTE")</f>
        <v>Cumple</v>
      </c>
      <c r="W161" s="25"/>
      <c r="X161" s="29">
        <v>24093</v>
      </c>
      <c r="Y161" s="224"/>
      <c r="Z161" s="28"/>
    </row>
    <row r="162" spans="1:26" hidden="1" x14ac:dyDescent="0.3">
      <c r="A162" s="34">
        <v>45706</v>
      </c>
      <c r="B162" s="7" t="str">
        <f t="shared" si="16"/>
        <v>febrero</v>
      </c>
      <c r="C162" s="27">
        <v>2448</v>
      </c>
      <c r="D162" s="23" t="s">
        <v>20</v>
      </c>
      <c r="E162" s="130" t="s">
        <v>608</v>
      </c>
      <c r="F162" s="22" t="s">
        <v>567</v>
      </c>
      <c r="G162" s="32" t="str">
        <f>IFERROR(VLOOKUP(F162,Productos!$A$2:$D$258,2,0)," ")</f>
        <v>Archivador TECU Fresno Europeo</v>
      </c>
      <c r="H162" s="7">
        <v>1</v>
      </c>
      <c r="I162" s="32" t="str">
        <f>IFERROR(VLOOKUP(F162,Productos!$A$2:$D$258,3,0)," ")</f>
        <v>Archivador</v>
      </c>
      <c r="J162" s="54" t="s">
        <v>21</v>
      </c>
      <c r="K162" s="54" t="s">
        <v>22</v>
      </c>
      <c r="L162" s="26" t="str">
        <f t="shared" si="14"/>
        <v>Despachado</v>
      </c>
      <c r="M162" s="56" t="s">
        <v>239</v>
      </c>
      <c r="N162" s="131" t="s">
        <v>625</v>
      </c>
      <c r="O162" s="150">
        <v>45706</v>
      </c>
      <c r="P162" s="151">
        <v>45707</v>
      </c>
      <c r="Q162" s="24" t="str">
        <f t="shared" si="11"/>
        <v>Entregado</v>
      </c>
      <c r="R162" s="25">
        <f>IF(L162="Despachado",NETWORKDAYS.INTL(A162,O162,11,Valores!$A$2:$A$18)-1,"PTE")</f>
        <v>0</v>
      </c>
      <c r="S162" s="25">
        <f>IF(Q162="Entregado",NETWORKDAYS.INTL(A162,P162,11,Valores!$A$2:$A$18)-1,"PTE")</f>
        <v>1</v>
      </c>
      <c r="T162" s="25"/>
      <c r="U162" s="25"/>
      <c r="V162" s="25" t="str">
        <f>IF(Q162="Entregado",IF(S162&lt;=VLOOKUP(K162,Valores!E:F,2,0),"Cumple","No cumple"),"PTE")</f>
        <v>Cumple</v>
      </c>
      <c r="W162" s="25"/>
      <c r="X162" s="29">
        <v>54929</v>
      </c>
      <c r="Y162" s="224"/>
      <c r="Z162" s="28"/>
    </row>
    <row r="163" spans="1:26" hidden="1" x14ac:dyDescent="0.3">
      <c r="A163" s="34">
        <v>45706</v>
      </c>
      <c r="B163" s="7" t="str">
        <f t="shared" si="16"/>
        <v>febrero</v>
      </c>
      <c r="C163" s="27">
        <v>2448</v>
      </c>
      <c r="D163" s="23" t="s">
        <v>20</v>
      </c>
      <c r="E163" s="130" t="s">
        <v>608</v>
      </c>
      <c r="F163" s="40" t="s">
        <v>85</v>
      </c>
      <c r="G163" s="32" t="str">
        <f>IFERROR(VLOOKUP(F163,Productos!$A$2:$D$258,2,0)," ")</f>
        <v>Desk Pad B Negro Café Miel</v>
      </c>
      <c r="H163" s="7">
        <v>1</v>
      </c>
      <c r="I163" s="32" t="str">
        <f>IFERROR(VLOOKUP(F163,Productos!$A$2:$D$258,3,0)," ")</f>
        <v>Accesorio</v>
      </c>
      <c r="J163" s="54" t="s">
        <v>21</v>
      </c>
      <c r="K163" s="54" t="s">
        <v>22</v>
      </c>
      <c r="L163" s="26" t="str">
        <f t="shared" si="14"/>
        <v>Despachado</v>
      </c>
      <c r="M163" s="56" t="s">
        <v>238</v>
      </c>
      <c r="N163" s="131" t="s">
        <v>624</v>
      </c>
      <c r="O163" s="150">
        <v>45706</v>
      </c>
      <c r="P163" s="151">
        <v>45707</v>
      </c>
      <c r="Q163" s="24" t="str">
        <f t="shared" si="11"/>
        <v>Entregado</v>
      </c>
      <c r="R163" s="25">
        <f>IF(L163="Despachado",NETWORKDAYS.INTL(A163,O163,11,Valores!$A$2:$A$18)-1,"PTE")</f>
        <v>0</v>
      </c>
      <c r="S163" s="25">
        <f>IF(Q163="Entregado",NETWORKDAYS.INTL(A163,P163,11,Valores!$A$2:$A$18)-1,"PTE")</f>
        <v>1</v>
      </c>
      <c r="T163" s="25"/>
      <c r="U163" s="25"/>
      <c r="V163" s="25" t="str">
        <f>IF(Q163="Entregado",IF(S163&lt;=VLOOKUP(K163,Valores!E:F,2,0),"Cumple","No cumple"),"PTE")</f>
        <v>Cumple</v>
      </c>
      <c r="W163" s="25"/>
      <c r="X163" s="29">
        <v>16617</v>
      </c>
      <c r="Y163" s="224"/>
      <c r="Z163" s="28"/>
    </row>
    <row r="164" spans="1:26" hidden="1" x14ac:dyDescent="0.3">
      <c r="A164" s="34">
        <v>45707</v>
      </c>
      <c r="B164" s="7" t="str">
        <f t="shared" si="16"/>
        <v>febrero</v>
      </c>
      <c r="C164" s="27">
        <v>2449</v>
      </c>
      <c r="D164" s="23" t="s">
        <v>20</v>
      </c>
      <c r="E164" s="130" t="s">
        <v>609</v>
      </c>
      <c r="F164" s="22" t="s">
        <v>68</v>
      </c>
      <c r="G164" s="32" t="str">
        <f>IFERROR(VLOOKUP(F164,Productos!$A$2:$D$258,2,0)," ")</f>
        <v>Archivador TECU  Caramelo</v>
      </c>
      <c r="H164" s="7">
        <v>1</v>
      </c>
      <c r="I164" s="32" t="str">
        <f>IFERROR(VLOOKUP(F164,Productos!$A$2:$D$258,3,0)," ")</f>
        <v>Archivador</v>
      </c>
      <c r="J164" s="54" t="s">
        <v>21</v>
      </c>
      <c r="K164" s="54" t="s">
        <v>22</v>
      </c>
      <c r="L164" s="26" t="str">
        <f t="shared" si="14"/>
        <v>Despachado</v>
      </c>
      <c r="M164" s="56" t="s">
        <v>239</v>
      </c>
      <c r="N164" s="131" t="s">
        <v>626</v>
      </c>
      <c r="O164" s="150">
        <v>45706</v>
      </c>
      <c r="P164" s="151">
        <v>45707</v>
      </c>
      <c r="Q164" s="24" t="str">
        <f t="shared" si="11"/>
        <v>Entregado</v>
      </c>
      <c r="R164" s="25">
        <f>IF(L164="Despachado",NETWORKDAYS.INTL(A164,O164,11,Valores!$A$2:$A$18)-1,"PTE")</f>
        <v>-3</v>
      </c>
      <c r="S164" s="25">
        <f>IF(Q164="Entregado",NETWORKDAYS.INTL(A164,P164,11,Valores!$A$2:$A$18)-1,"PTE")</f>
        <v>0</v>
      </c>
      <c r="T164" s="25"/>
      <c r="U164" s="25"/>
      <c r="V164" s="25" t="str">
        <f>IF(Q164="Entregado",IF(S164&lt;=VLOOKUP(K164,Valores!E:F,2,0),"Cumple","No cumple"),"PTE")</f>
        <v>Cumple</v>
      </c>
      <c r="W164" s="25"/>
      <c r="X164" s="29">
        <v>65682</v>
      </c>
      <c r="Y164" s="224"/>
      <c r="Z164" s="28"/>
    </row>
    <row r="165" spans="1:26" hidden="1" x14ac:dyDescent="0.3">
      <c r="A165" s="34">
        <v>45707</v>
      </c>
      <c r="B165" s="7" t="str">
        <f>TEXT(A165,"mmmm")</f>
        <v>febrero</v>
      </c>
      <c r="C165" s="27">
        <v>2450</v>
      </c>
      <c r="D165" s="23" t="s">
        <v>20</v>
      </c>
      <c r="E165" s="130" t="s">
        <v>610</v>
      </c>
      <c r="F165" s="40" t="s">
        <v>123</v>
      </c>
      <c r="G165" s="32" t="str">
        <f>IFERROR(VLOOKUP(F165,Productos!$A$2:$D$258,2,0)," ")</f>
        <v>Electric Standing Desk GO Negro</v>
      </c>
      <c r="H165" s="7">
        <v>1</v>
      </c>
      <c r="I165" s="32" t="str">
        <f>IFERROR(VLOOKUP(F165,Productos!$A$2:$D$258,3,0)," ")</f>
        <v>Standing Desk</v>
      </c>
      <c r="J165" s="131" t="s">
        <v>24</v>
      </c>
      <c r="K165" s="131" t="s">
        <v>25</v>
      </c>
      <c r="L165" s="26" t="str">
        <f t="shared" si="14"/>
        <v>Despachado</v>
      </c>
      <c r="M165" s="56" t="s">
        <v>238</v>
      </c>
      <c r="N165" s="131" t="s">
        <v>627</v>
      </c>
      <c r="O165" s="150">
        <v>45706</v>
      </c>
      <c r="P165" s="151">
        <v>45708</v>
      </c>
      <c r="Q165" s="24" t="str">
        <f t="shared" si="11"/>
        <v>Entregado</v>
      </c>
      <c r="R165" s="25">
        <f>IF(L165="Despachado",NETWORKDAYS.INTL(A165,O165,11,Valores!$A$2:$A$18)-1,"PTE")</f>
        <v>-3</v>
      </c>
      <c r="S165" s="25">
        <f>IF(Q165="Entregado",NETWORKDAYS.INTL(A165,P165,11,Valores!$A$2:$A$18)-1,"PTE")</f>
        <v>1</v>
      </c>
      <c r="T165" s="25"/>
      <c r="U165" s="25"/>
      <c r="V165" s="25" t="str">
        <f>IF(Q165="Entregado",IF(S165&lt;=VLOOKUP(K165,Valores!E:F,2,0),"Cumple","No cumple"),"PTE")</f>
        <v>Cumple</v>
      </c>
      <c r="W165" s="25"/>
      <c r="X165" s="29">
        <v>41593</v>
      </c>
      <c r="Y165" s="224"/>
      <c r="Z165" s="28"/>
    </row>
    <row r="166" spans="1:26" hidden="1" x14ac:dyDescent="0.3">
      <c r="A166" s="34">
        <v>45707</v>
      </c>
      <c r="B166" s="7" t="str">
        <f t="shared" ref="B166:B179" si="17">TEXT(A166,"mmmm")</f>
        <v>febrero</v>
      </c>
      <c r="C166" s="27">
        <v>2450</v>
      </c>
      <c r="D166" s="23" t="s">
        <v>20</v>
      </c>
      <c r="E166" s="130" t="s">
        <v>610</v>
      </c>
      <c r="F166" s="22" t="s">
        <v>155</v>
      </c>
      <c r="G166" s="32" t="str">
        <f>IFERROR(VLOOKUP(F166,Productos!$A$2:$D$258,2,0)," ")</f>
        <v>Superficie  Roble Negro 160x70 Clasico</v>
      </c>
      <c r="H166" s="7">
        <v>1</v>
      </c>
      <c r="I166" s="32" t="str">
        <f>IFERROR(VLOOKUP(F166,Productos!$A$2:$D$258,3,0)," ")</f>
        <v>Superficie</v>
      </c>
      <c r="J166" s="131" t="s">
        <v>24</v>
      </c>
      <c r="K166" s="131" t="s">
        <v>25</v>
      </c>
      <c r="L166" s="26" t="str">
        <f t="shared" si="14"/>
        <v>Despachado</v>
      </c>
      <c r="M166" s="56" t="s">
        <v>238</v>
      </c>
      <c r="N166" s="131" t="s">
        <v>628</v>
      </c>
      <c r="O166" s="150">
        <v>45706</v>
      </c>
      <c r="P166" s="151">
        <v>45708</v>
      </c>
      <c r="Q166" s="24" t="str">
        <f t="shared" si="11"/>
        <v>Entregado</v>
      </c>
      <c r="R166" s="25">
        <f>IF(L166="Despachado",NETWORKDAYS.INTL(A166,O166,11,Valores!$A$2:$A$18)-1,"PTE")</f>
        <v>-3</v>
      </c>
      <c r="S166" s="25">
        <f>IF(Q166="Entregado",NETWORKDAYS.INTL(A166,P166,11,Valores!$A$2:$A$18)-1,"PTE")</f>
        <v>1</v>
      </c>
      <c r="T166" s="25"/>
      <c r="U166" s="25"/>
      <c r="V166" s="25" t="str">
        <f>IF(Q166="Entregado",IF(S166&lt;=VLOOKUP(K166,Valores!E:F,2,0),"Cumple","No cumple"),"PTE")</f>
        <v>Cumple</v>
      </c>
      <c r="W166" s="25"/>
      <c r="X166" s="29">
        <v>24093</v>
      </c>
      <c r="Y166" s="224"/>
      <c r="Z166" s="28"/>
    </row>
    <row r="167" spans="1:26" hidden="1" x14ac:dyDescent="0.3">
      <c r="A167" s="34">
        <v>45707</v>
      </c>
      <c r="B167" s="7" t="str">
        <f t="shared" si="17"/>
        <v>febrero</v>
      </c>
      <c r="C167" s="27">
        <v>2451</v>
      </c>
      <c r="D167" s="23" t="s">
        <v>20</v>
      </c>
      <c r="E167" s="130" t="s">
        <v>611</v>
      </c>
      <c r="F167" s="22" t="s">
        <v>66</v>
      </c>
      <c r="G167" s="32" t="str">
        <f>IFERROR(VLOOKUP(F167,Productos!$A$2:$D$258,2,0)," ")</f>
        <v>Archivador TECU  Miel</v>
      </c>
      <c r="H167" s="7">
        <v>1</v>
      </c>
      <c r="I167" s="32" t="str">
        <f>IFERROR(VLOOKUP(F167,Productos!$A$2:$D$258,3,0)," ")</f>
        <v>Archivador</v>
      </c>
      <c r="J167" s="131" t="s">
        <v>24</v>
      </c>
      <c r="K167" s="131" t="s">
        <v>25</v>
      </c>
      <c r="L167" s="26" t="str">
        <f t="shared" si="14"/>
        <v>Despachado</v>
      </c>
      <c r="M167" s="56" t="s">
        <v>239</v>
      </c>
      <c r="N167" s="131" t="s">
        <v>629</v>
      </c>
      <c r="O167" s="150">
        <v>45707</v>
      </c>
      <c r="P167" s="151">
        <v>45708</v>
      </c>
      <c r="Q167" s="24" t="str">
        <f t="shared" si="11"/>
        <v>Entregado</v>
      </c>
      <c r="R167" s="25">
        <f>IF(L167="Despachado",NETWORKDAYS.INTL(A167,O167,11,Valores!$A$2:$A$18)-1,"PTE")</f>
        <v>0</v>
      </c>
      <c r="S167" s="25">
        <f>IF(Q167="Entregado",NETWORKDAYS.INTL(A167,P167,11,Valores!$A$2:$A$18)-1,"PTE")</f>
        <v>1</v>
      </c>
      <c r="T167" s="25"/>
      <c r="U167" s="25"/>
      <c r="V167" s="25" t="str">
        <f>IF(Q167="Entregado",IF(S167&lt;=VLOOKUP(K167,Valores!E:F,2,0),"Cumple","No cumple"),"PTE")</f>
        <v>Cumple</v>
      </c>
      <c r="W167" s="25"/>
      <c r="X167" s="29">
        <v>65682</v>
      </c>
      <c r="Y167" s="224"/>
      <c r="Z167" s="28"/>
    </row>
    <row r="168" spans="1:26" hidden="1" x14ac:dyDescent="0.3">
      <c r="A168" s="34">
        <v>45707</v>
      </c>
      <c r="B168" s="7" t="str">
        <f t="shared" si="17"/>
        <v>febrero</v>
      </c>
      <c r="C168" s="27">
        <v>2451</v>
      </c>
      <c r="D168" s="23" t="s">
        <v>20</v>
      </c>
      <c r="E168" s="130" t="s">
        <v>611</v>
      </c>
      <c r="F168" s="22" t="s">
        <v>240</v>
      </c>
      <c r="G168" s="32" t="str">
        <f>IFERROR(VLOOKUP(F168,Productos!$A$2:$D$258,2,0)," ")</f>
        <v>Bandeja de cables</v>
      </c>
      <c r="H168" s="7">
        <v>1</v>
      </c>
      <c r="I168" s="32" t="str">
        <f>IFERROR(VLOOKUP(F168,Productos!$A$2:$D$258,3,0)," ")</f>
        <v>Accesorio</v>
      </c>
      <c r="J168" s="131" t="s">
        <v>24</v>
      </c>
      <c r="K168" s="131" t="s">
        <v>25</v>
      </c>
      <c r="L168" s="26" t="str">
        <f t="shared" si="14"/>
        <v>Despachado</v>
      </c>
      <c r="M168" s="56" t="s">
        <v>239</v>
      </c>
      <c r="N168" s="131" t="s">
        <v>630</v>
      </c>
      <c r="O168" s="150">
        <v>45707</v>
      </c>
      <c r="P168" s="151">
        <v>45708</v>
      </c>
      <c r="Q168" s="24" t="str">
        <f t="shared" si="11"/>
        <v>Entregado</v>
      </c>
      <c r="R168" s="25">
        <f>IF(L168="Despachado",NETWORKDAYS.INTL(A168,O168,11,Valores!$A$2:$A$18)-1,"PTE")</f>
        <v>0</v>
      </c>
      <c r="S168" s="25">
        <f>IF(Q168="Entregado",NETWORKDAYS.INTL(A168,P168,11,Valores!$A$2:$A$18)-1,"PTE")</f>
        <v>1</v>
      </c>
      <c r="T168" s="25"/>
      <c r="U168" s="25"/>
      <c r="V168" s="25" t="str">
        <f>IF(Q168="Entregado",IF(S168&lt;=VLOOKUP(K168,Valores!E:F,2,0),"Cumple","No cumple"),"PTE")</f>
        <v>Cumple</v>
      </c>
      <c r="W168" s="25"/>
      <c r="X168" s="29">
        <v>20376</v>
      </c>
      <c r="Y168" s="224"/>
      <c r="Z168" s="28"/>
    </row>
    <row r="169" spans="1:26" hidden="1" x14ac:dyDescent="0.3">
      <c r="A169" s="34">
        <v>45711</v>
      </c>
      <c r="B169" s="7" t="str">
        <f t="shared" si="17"/>
        <v>febrero</v>
      </c>
      <c r="C169" s="27">
        <v>2452</v>
      </c>
      <c r="D169" s="23" t="s">
        <v>20</v>
      </c>
      <c r="E169" s="130" t="s">
        <v>612</v>
      </c>
      <c r="F169" s="40" t="s">
        <v>57</v>
      </c>
      <c r="G169" s="32" t="str">
        <f>IFERROR(VLOOKUP(F169,Productos!$A$2:$D$258,2,0)," ")</f>
        <v>Electric Standing Desk  En L Frame Negro 2.0</v>
      </c>
      <c r="H169" s="7">
        <v>1</v>
      </c>
      <c r="I169" s="32" t="str">
        <f>IFERROR(VLOOKUP(F169,Productos!$A$2:$D$258,3,0)," ")</f>
        <v>Standing Desk</v>
      </c>
      <c r="J169" s="54" t="s">
        <v>21</v>
      </c>
      <c r="K169" s="54" t="s">
        <v>22</v>
      </c>
      <c r="L169" s="26" t="str">
        <f t="shared" si="14"/>
        <v>Despachado</v>
      </c>
      <c r="M169" s="56" t="s">
        <v>238</v>
      </c>
      <c r="N169" s="131" t="s">
        <v>631</v>
      </c>
      <c r="O169" s="150">
        <v>45712</v>
      </c>
      <c r="P169" s="151">
        <v>45714</v>
      </c>
      <c r="Q169" s="24" t="str">
        <f t="shared" si="11"/>
        <v>Entregado</v>
      </c>
      <c r="R169" s="25">
        <f>IF(L169="Despachado",NETWORKDAYS.INTL(A169,O169,11,Valores!$A$2:$A$18)-1,"PTE")</f>
        <v>0</v>
      </c>
      <c r="S169" s="25">
        <f>IF(Q169="Entregado",NETWORKDAYS.INTL(A169,P169,11,Valores!$A$2:$A$18)-1,"PTE")</f>
        <v>2</v>
      </c>
      <c r="T169" s="25"/>
      <c r="U169" s="25"/>
      <c r="V169" s="25" t="str">
        <f>IF(Q169="Entregado",IF(S169&lt;=VLOOKUP(K169,Valores!E:F,2,0),"Cumple","No cumple"),"PTE")</f>
        <v>Cumple</v>
      </c>
      <c r="W169" s="25"/>
      <c r="X169" s="29">
        <v>62530</v>
      </c>
      <c r="Y169" s="224"/>
      <c r="Z169" s="28"/>
    </row>
    <row r="170" spans="1:26" hidden="1" x14ac:dyDescent="0.3">
      <c r="A170" s="34">
        <v>45711</v>
      </c>
      <c r="B170" s="7" t="str">
        <f t="shared" si="17"/>
        <v>febrero</v>
      </c>
      <c r="C170" s="27">
        <v>2452</v>
      </c>
      <c r="D170" s="23" t="s">
        <v>20</v>
      </c>
      <c r="E170" s="130" t="s">
        <v>612</v>
      </c>
      <c r="F170" s="22" t="s">
        <v>29</v>
      </c>
      <c r="G170" s="32" t="str">
        <f>IFERROR(VLOOKUP(F170,Productos!$A$2:$D$258,2,0)," ")</f>
        <v>Superficie  en L Caramelo 180x150cm x 70</v>
      </c>
      <c r="H170" s="7">
        <v>1</v>
      </c>
      <c r="I170" s="32" t="str">
        <f>IFERROR(VLOOKUP(F170,Productos!$A$2:$D$258,3,0)," ")</f>
        <v>Superficie</v>
      </c>
      <c r="J170" s="54" t="s">
        <v>21</v>
      </c>
      <c r="K170" s="54" t="s">
        <v>22</v>
      </c>
      <c r="L170" s="26" t="str">
        <f t="shared" si="14"/>
        <v>Despachado</v>
      </c>
      <c r="M170" s="56" t="s">
        <v>238</v>
      </c>
      <c r="N170" s="131" t="s">
        <v>632</v>
      </c>
      <c r="O170" s="150">
        <v>45712</v>
      </c>
      <c r="P170" s="151">
        <v>45714</v>
      </c>
      <c r="Q170" s="24" t="str">
        <f t="shared" si="11"/>
        <v>Entregado</v>
      </c>
      <c r="R170" s="25">
        <f>IF(L170="Despachado",NETWORKDAYS.INTL(A170,O170,11,Valores!$A$2:$A$18)-1,"PTE")</f>
        <v>0</v>
      </c>
      <c r="S170" s="25">
        <f>IF(Q170="Entregado",NETWORKDAYS.INTL(A170,P170,11,Valores!$A$2:$A$18)-1,"PTE")</f>
        <v>2</v>
      </c>
      <c r="T170" s="25"/>
      <c r="U170" s="25"/>
      <c r="V170" s="25" t="str">
        <f>IF(Q170="Entregado",IF(S170&lt;=VLOOKUP(K170,Valores!E:F,2,0),"Cumple","No cumple"),"PTE")</f>
        <v>Cumple</v>
      </c>
      <c r="W170" s="25"/>
      <c r="X170" s="29">
        <v>25749</v>
      </c>
      <c r="Y170" s="224"/>
      <c r="Z170" s="28"/>
    </row>
    <row r="171" spans="1:26" hidden="1" x14ac:dyDescent="0.3">
      <c r="A171" s="34">
        <v>45693</v>
      </c>
      <c r="B171" s="7" t="str">
        <f t="shared" si="17"/>
        <v>febrero</v>
      </c>
      <c r="C171" s="27">
        <v>2430</v>
      </c>
      <c r="D171" s="23" t="s">
        <v>35</v>
      </c>
      <c r="E171" s="124" t="s">
        <v>544</v>
      </c>
      <c r="F171" s="22" t="s">
        <v>33</v>
      </c>
      <c r="G171" s="32" t="str">
        <f>IFERROR(VLOOKUP(F171,Productos!$A$2:$D$258,2,0)," ")</f>
        <v>Superficie  Caramelo 180x70 Clasico</v>
      </c>
      <c r="H171" s="7">
        <v>1</v>
      </c>
      <c r="I171" s="32" t="str">
        <f>IFERROR(VLOOKUP(F171,Productos!$A$2:$D$258,3,0)," ")</f>
        <v>Superficie</v>
      </c>
      <c r="J171" s="54" t="s">
        <v>21</v>
      </c>
      <c r="K171" s="54" t="s">
        <v>22</v>
      </c>
      <c r="L171" s="26" t="str">
        <f t="shared" si="14"/>
        <v>Despachado</v>
      </c>
      <c r="M171" s="56" t="s">
        <v>238</v>
      </c>
      <c r="N171" s="132" t="s">
        <v>633</v>
      </c>
      <c r="O171" s="150">
        <v>45694</v>
      </c>
      <c r="P171" s="151">
        <v>45695</v>
      </c>
      <c r="Q171" s="24" t="str">
        <f t="shared" si="11"/>
        <v>Entregado</v>
      </c>
      <c r="R171" s="25">
        <f>IF(L171="Despachado",NETWORKDAYS.INTL(A171,O171,11,Valores!$A$2:$A$18)-1,"PTE")</f>
        <v>1</v>
      </c>
      <c r="S171" s="25">
        <f>IF(Q171="Entregado",NETWORKDAYS.INTL(A171,P171,11,Valores!$A$2:$A$18)-1,"PTE")</f>
        <v>2</v>
      </c>
      <c r="T171" s="25"/>
      <c r="U171" s="25"/>
      <c r="V171" s="25" t="str">
        <f>IF(Q171="Entregado",IF(S171&lt;=VLOOKUP(K171,Valores!E:F,2,0),"Cumple","No cumple"),"PTE")</f>
        <v>Cumple</v>
      </c>
      <c r="W171" s="25"/>
      <c r="X171" s="29">
        <v>30834</v>
      </c>
      <c r="Y171" s="224"/>
      <c r="Z171" s="28"/>
    </row>
    <row r="172" spans="1:26" hidden="1" x14ac:dyDescent="0.3">
      <c r="A172" s="34">
        <v>45712</v>
      </c>
      <c r="B172" s="7" t="str">
        <f t="shared" si="17"/>
        <v>febrero</v>
      </c>
      <c r="C172" s="27">
        <v>2454</v>
      </c>
      <c r="D172" s="23" t="s">
        <v>20</v>
      </c>
      <c r="E172" s="133" t="s">
        <v>634</v>
      </c>
      <c r="F172" s="40" t="s">
        <v>123</v>
      </c>
      <c r="G172" s="32" t="str">
        <f>IFERROR(VLOOKUP(F172,Productos!$A$2:$D$258,2,0)," ")</f>
        <v>Electric Standing Desk GO Negro</v>
      </c>
      <c r="H172" s="7">
        <v>1</v>
      </c>
      <c r="I172" s="32" t="str">
        <f>IFERROR(VLOOKUP(F172,Productos!$A$2:$D$258,3,0)," ")</f>
        <v>Standing Desk</v>
      </c>
      <c r="J172" s="54" t="s">
        <v>21</v>
      </c>
      <c r="K172" s="134" t="s">
        <v>212</v>
      </c>
      <c r="L172" s="26" t="str">
        <f t="shared" si="14"/>
        <v>Despachado</v>
      </c>
      <c r="M172" s="56" t="s">
        <v>238</v>
      </c>
      <c r="N172" s="51" t="s">
        <v>651</v>
      </c>
      <c r="O172" s="150">
        <v>45713</v>
      </c>
      <c r="P172" s="150">
        <v>45715.625219907408</v>
      </c>
      <c r="Q172" s="24" t="str">
        <f t="shared" si="11"/>
        <v>Entregado</v>
      </c>
      <c r="R172" s="25">
        <f>IF(L172="Despachado",NETWORKDAYS.INTL(A172,O172,11,Valores!$A$2:$A$18)-1,"PTE")</f>
        <v>1</v>
      </c>
      <c r="S172" s="25">
        <f>IF(Q172="Entregado",NETWORKDAYS.INTL(A172,P172,11,Valores!$A$2:$A$18)-1,"PTE")</f>
        <v>3</v>
      </c>
      <c r="T172" s="25"/>
      <c r="U172" s="25"/>
      <c r="V172" s="25" t="str">
        <f>IF(Q172="Entregado",IF(S172&lt;=VLOOKUP(K172,Valores!E:F,2,0),"Cumple","No cumple"),"PTE")</f>
        <v>Cumple</v>
      </c>
      <c r="W172" s="25"/>
      <c r="X172" s="29">
        <v>41593</v>
      </c>
      <c r="Y172" s="224"/>
      <c r="Z172" s="28"/>
    </row>
    <row r="173" spans="1:26" hidden="1" x14ac:dyDescent="0.3">
      <c r="A173" s="34">
        <v>45712</v>
      </c>
      <c r="B173" s="7" t="str">
        <f t="shared" si="17"/>
        <v>febrero</v>
      </c>
      <c r="C173" s="27">
        <v>2454</v>
      </c>
      <c r="D173" s="23" t="s">
        <v>20</v>
      </c>
      <c r="E173" s="133" t="s">
        <v>634</v>
      </c>
      <c r="F173" s="22" t="s">
        <v>303</v>
      </c>
      <c r="G173" s="32" t="str">
        <f>IFERROR(VLOOKUP(F173,Productos!$A$2:$D$258,2,0)," ")</f>
        <v>Superficie  Fresno Europeo 140x70 Clasico</v>
      </c>
      <c r="H173" s="7">
        <v>1</v>
      </c>
      <c r="I173" s="32" t="str">
        <f>IFERROR(VLOOKUP(F173,Productos!$A$2:$D$258,3,0)," ")</f>
        <v>Superficie</v>
      </c>
      <c r="J173" s="54" t="s">
        <v>21</v>
      </c>
      <c r="K173" s="134" t="s">
        <v>212</v>
      </c>
      <c r="L173" s="26" t="str">
        <f t="shared" si="14"/>
        <v>Despachado</v>
      </c>
      <c r="M173" s="56" t="s">
        <v>238</v>
      </c>
      <c r="N173" s="51" t="s">
        <v>652</v>
      </c>
      <c r="O173" s="150">
        <v>45713</v>
      </c>
      <c r="P173" s="150">
        <v>45715.628796296303</v>
      </c>
      <c r="Q173" s="24" t="str">
        <f t="shared" si="11"/>
        <v>Entregado</v>
      </c>
      <c r="R173" s="25">
        <f>IF(L173="Despachado",NETWORKDAYS.INTL(A173,O173,11,Valores!$A$2:$A$18)-1,"PTE")</f>
        <v>1</v>
      </c>
      <c r="S173" s="25">
        <f>IF(Q173="Entregado",NETWORKDAYS.INTL(A173,P173,11,Valores!$A$2:$A$18)-1,"PTE")</f>
        <v>3</v>
      </c>
      <c r="T173" s="25"/>
      <c r="U173" s="25"/>
      <c r="V173" s="25" t="str">
        <f>IF(Q173="Entregado",IF(S173&lt;=VLOOKUP(K173,Valores!E:F,2,0),"Cumple","No cumple"),"PTE")</f>
        <v>Cumple</v>
      </c>
      <c r="W173" s="25"/>
      <c r="X173" s="29">
        <v>24093</v>
      </c>
      <c r="Y173" s="224"/>
      <c r="Z173" s="28"/>
    </row>
    <row r="174" spans="1:26" hidden="1" x14ac:dyDescent="0.3">
      <c r="A174" s="34">
        <v>45713</v>
      </c>
      <c r="B174" s="7" t="str">
        <f t="shared" si="17"/>
        <v>febrero</v>
      </c>
      <c r="C174" s="27">
        <v>2455</v>
      </c>
      <c r="D174" s="23" t="s">
        <v>20</v>
      </c>
      <c r="E174" s="133" t="s">
        <v>634</v>
      </c>
      <c r="F174" s="40" t="s">
        <v>127</v>
      </c>
      <c r="G174" s="32" t="str">
        <f>IFERROR(VLOOKUP(F174,Productos!$A$2:$D$258,2,0)," ")</f>
        <v>Electric Standing Desk GO Blanco</v>
      </c>
      <c r="H174" s="7">
        <v>1</v>
      </c>
      <c r="I174" s="32" t="str">
        <f>IFERROR(VLOOKUP(F174,Productos!$A$2:$D$258,3,0)," ")</f>
        <v>Standing Desk</v>
      </c>
      <c r="J174" s="54" t="s">
        <v>21</v>
      </c>
      <c r="K174" s="134" t="s">
        <v>212</v>
      </c>
      <c r="L174" s="26" t="str">
        <f t="shared" si="14"/>
        <v>Despachado</v>
      </c>
      <c r="M174" s="56" t="s">
        <v>238</v>
      </c>
      <c r="N174" s="51" t="s">
        <v>653</v>
      </c>
      <c r="O174" s="150">
        <v>45713</v>
      </c>
      <c r="P174" s="150">
        <v>45715.628796296303</v>
      </c>
      <c r="Q174" s="24" t="str">
        <f t="shared" si="11"/>
        <v>Entregado</v>
      </c>
      <c r="R174" s="25">
        <f>IF(L174="Despachado",NETWORKDAYS.INTL(A174,O174,11,Valores!$A$2:$A$18)-1,"PTE")</f>
        <v>0</v>
      </c>
      <c r="S174" s="25">
        <f>IF(Q174="Entregado",NETWORKDAYS.INTL(A174,P174,11,Valores!$A$2:$A$18)-1,"PTE")</f>
        <v>2</v>
      </c>
      <c r="T174" s="25"/>
      <c r="U174" s="25"/>
      <c r="V174" s="25" t="str">
        <f>IF(Q174="Entregado",IF(S174&lt;=VLOOKUP(K174,Valores!E:F,2,0),"Cumple","No cumple"),"PTE")</f>
        <v>Cumple</v>
      </c>
      <c r="W174" s="25"/>
      <c r="X174" s="29">
        <v>41593</v>
      </c>
      <c r="Y174" s="224"/>
      <c r="Z174" s="28"/>
    </row>
    <row r="175" spans="1:26" hidden="1" x14ac:dyDescent="0.3">
      <c r="A175" s="34">
        <v>45713</v>
      </c>
      <c r="B175" s="7" t="str">
        <f t="shared" si="17"/>
        <v>febrero</v>
      </c>
      <c r="C175" s="27">
        <v>2455</v>
      </c>
      <c r="D175" s="23" t="s">
        <v>20</v>
      </c>
      <c r="E175" s="133" t="s">
        <v>634</v>
      </c>
      <c r="F175" s="22" t="s">
        <v>303</v>
      </c>
      <c r="G175" s="32" t="str">
        <f>IFERROR(VLOOKUP(F175,Productos!$A$2:$D$258,2,0)," ")</f>
        <v>Superficie  Fresno Europeo 140x70 Clasico</v>
      </c>
      <c r="H175" s="7">
        <v>1</v>
      </c>
      <c r="I175" s="32" t="str">
        <f>IFERROR(VLOOKUP(F175,Productos!$A$2:$D$258,3,0)," ")</f>
        <v>Superficie</v>
      </c>
      <c r="J175" s="54" t="s">
        <v>21</v>
      </c>
      <c r="K175" s="134" t="s">
        <v>212</v>
      </c>
      <c r="L175" s="26" t="str">
        <f t="shared" si="14"/>
        <v>Despachado</v>
      </c>
      <c r="M175" s="56" t="s">
        <v>238</v>
      </c>
      <c r="N175" s="51" t="s">
        <v>654</v>
      </c>
      <c r="O175" s="150">
        <v>45713</v>
      </c>
      <c r="P175" s="150">
        <v>45715.625219907408</v>
      </c>
      <c r="Q175" s="24" t="str">
        <f t="shared" si="11"/>
        <v>Entregado</v>
      </c>
      <c r="R175" s="25">
        <f>IF(L175="Despachado",NETWORKDAYS.INTL(A175,O175,11,Valores!$A$2:$A$18)-1,"PTE")</f>
        <v>0</v>
      </c>
      <c r="S175" s="25">
        <f>IF(Q175="Entregado",NETWORKDAYS.INTL(A175,P175,11,Valores!$A$2:$A$18)-1,"PTE")</f>
        <v>2</v>
      </c>
      <c r="T175" s="25"/>
      <c r="U175" s="25"/>
      <c r="V175" s="25" t="str">
        <f>IF(Q175="Entregado",IF(S175&lt;=VLOOKUP(K175,Valores!E:F,2,0),"Cumple","No cumple"),"PTE")</f>
        <v>Cumple</v>
      </c>
      <c r="W175" s="25"/>
      <c r="X175" s="29">
        <v>24093</v>
      </c>
      <c r="Y175" s="224"/>
      <c r="Z175" s="28"/>
    </row>
    <row r="176" spans="1:26" hidden="1" x14ac:dyDescent="0.3">
      <c r="A176" s="34">
        <v>45713</v>
      </c>
      <c r="B176" s="7" t="str">
        <f t="shared" si="17"/>
        <v>febrero</v>
      </c>
      <c r="C176" s="27">
        <v>2456</v>
      </c>
      <c r="D176" s="23" t="s">
        <v>20</v>
      </c>
      <c r="E176" s="133" t="s">
        <v>635</v>
      </c>
      <c r="F176" s="22" t="s">
        <v>129</v>
      </c>
      <c r="G176" s="32" t="str">
        <f>IFERROR(VLOOKUP(F176,Productos!$A$2:$D$258,2,0)," ")</f>
        <v>Electric Standing Desk  PRO Negro</v>
      </c>
      <c r="H176" s="7">
        <v>1</v>
      </c>
      <c r="I176" s="32" t="str">
        <f>IFERROR(VLOOKUP(F176,Productos!$A$2:$D$258,3,0)," ")</f>
        <v>Standing Desk</v>
      </c>
      <c r="J176" s="54" t="s">
        <v>21</v>
      </c>
      <c r="K176" s="54" t="s">
        <v>22</v>
      </c>
      <c r="L176" s="26" t="str">
        <f t="shared" si="14"/>
        <v>Despachado</v>
      </c>
      <c r="M176" s="56" t="s">
        <v>238</v>
      </c>
      <c r="N176" s="51" t="s">
        <v>655</v>
      </c>
      <c r="O176" s="150">
        <v>45714</v>
      </c>
      <c r="P176" s="150">
        <v>45715.512314814812</v>
      </c>
      <c r="Q176" s="24" t="str">
        <f t="shared" si="11"/>
        <v>Entregado</v>
      </c>
      <c r="R176" s="25">
        <f>IF(L176="Despachado",NETWORKDAYS.INTL(A176,O176,11,Valores!$A$2:$A$18)-1,"PTE")</f>
        <v>1</v>
      </c>
      <c r="S176" s="25">
        <f>IF(Q176="Entregado",NETWORKDAYS.INTL(A176,P176,11,Valores!$A$2:$A$18)-1,"PTE")</f>
        <v>2</v>
      </c>
      <c r="T176" s="25"/>
      <c r="U176" s="25"/>
      <c r="V176" s="25" t="str">
        <f>IF(Q176="Entregado",IF(S176&lt;=VLOOKUP(K176,Valores!E:F,2,0),"Cumple","No cumple"),"PTE")</f>
        <v>Cumple</v>
      </c>
      <c r="W176" s="25"/>
      <c r="X176" s="29">
        <v>42921</v>
      </c>
      <c r="Y176" s="224"/>
      <c r="Z176" s="28"/>
    </row>
    <row r="177" spans="1:26" hidden="1" x14ac:dyDescent="0.3">
      <c r="A177" s="34">
        <v>45713</v>
      </c>
      <c r="B177" s="7" t="str">
        <f t="shared" si="17"/>
        <v>febrero</v>
      </c>
      <c r="C177" s="27">
        <v>2456</v>
      </c>
      <c r="D177" s="23" t="s">
        <v>20</v>
      </c>
      <c r="E177" s="133" t="s">
        <v>635</v>
      </c>
      <c r="F177" s="22" t="s">
        <v>114</v>
      </c>
      <c r="G177" s="32" t="str">
        <f>IFERROR(VLOOKUP(F177,Productos!$A$2:$D$258,2,0)," ")</f>
        <v>Superficie  Roble Negro 120x70 Clasico Small</v>
      </c>
      <c r="H177" s="7">
        <v>1</v>
      </c>
      <c r="I177" s="32" t="str">
        <f>IFERROR(VLOOKUP(F177,Productos!$A$2:$D$258,3,0)," ")</f>
        <v>Superficie</v>
      </c>
      <c r="J177" s="54" t="s">
        <v>21</v>
      </c>
      <c r="K177" s="54" t="s">
        <v>22</v>
      </c>
      <c r="L177" s="26" t="str">
        <f t="shared" ref="L177:L204" si="18">IF(O177&gt;0,"Despachado","En alistamiento")</f>
        <v>Despachado</v>
      </c>
      <c r="M177" s="56" t="s">
        <v>238</v>
      </c>
      <c r="N177" s="51" t="s">
        <v>656</v>
      </c>
      <c r="O177" s="150">
        <v>45714</v>
      </c>
      <c r="P177" s="150">
        <v>45715.512314814812</v>
      </c>
      <c r="Q177" s="24" t="str">
        <f t="shared" si="11"/>
        <v>Entregado</v>
      </c>
      <c r="R177" s="25">
        <f>IF(L177="Despachado",NETWORKDAYS.INTL(A177,O177,11,Valores!$A$2:$A$18)-1,"PTE")</f>
        <v>1</v>
      </c>
      <c r="S177" s="25">
        <f>IF(Q177="Entregado",NETWORKDAYS.INTL(A177,P177,11,Valores!$A$2:$A$18)-1,"PTE")</f>
        <v>2</v>
      </c>
      <c r="T177" s="25"/>
      <c r="U177" s="25"/>
      <c r="V177" s="25" t="str">
        <f>IF(Q177="Entregado",IF(S177&lt;=VLOOKUP(K177,Valores!E:F,2,0),"Cumple","No cumple"),"PTE")</f>
        <v>Cumple</v>
      </c>
      <c r="W177" s="25"/>
      <c r="X177" s="29">
        <v>28741</v>
      </c>
      <c r="Y177" s="224"/>
      <c r="Z177" s="28"/>
    </row>
    <row r="178" spans="1:26" hidden="1" x14ac:dyDescent="0.3">
      <c r="A178" s="34">
        <v>45714</v>
      </c>
      <c r="B178" s="7" t="str">
        <f t="shared" si="17"/>
        <v>febrero</v>
      </c>
      <c r="C178" s="27">
        <v>2457</v>
      </c>
      <c r="D178" s="23" t="s">
        <v>20</v>
      </c>
      <c r="E178" s="133" t="s">
        <v>636</v>
      </c>
      <c r="F178" s="22" t="s">
        <v>129</v>
      </c>
      <c r="G178" s="32" t="str">
        <f>IFERROR(VLOOKUP(F178,Productos!$A$2:$D$258,2,0)," ")</f>
        <v>Electric Standing Desk  PRO Negro</v>
      </c>
      <c r="H178" s="7">
        <v>1</v>
      </c>
      <c r="I178" s="32" t="str">
        <f>IFERROR(VLOOKUP(F178,Productos!$A$2:$D$258,3,0)," ")</f>
        <v>Standing Desk</v>
      </c>
      <c r="J178" s="134" t="s">
        <v>24</v>
      </c>
      <c r="K178" s="134" t="s">
        <v>27</v>
      </c>
      <c r="L178" s="26" t="str">
        <f t="shared" si="18"/>
        <v>Despachado</v>
      </c>
      <c r="M178" s="56" t="s">
        <v>238</v>
      </c>
      <c r="N178" s="51" t="s">
        <v>657</v>
      </c>
      <c r="O178" s="150">
        <v>45715</v>
      </c>
      <c r="P178" s="150">
        <v>45716</v>
      </c>
      <c r="Q178" s="24" t="str">
        <f t="shared" si="11"/>
        <v>Entregado</v>
      </c>
      <c r="R178" s="25">
        <f>IF(L178="Despachado",NETWORKDAYS.INTL(A178,O178,11,Valores!$A$2:$A$18)-1,"PTE")</f>
        <v>1</v>
      </c>
      <c r="S178" s="25">
        <f>IF(Q178="Entregado",NETWORKDAYS.INTL(A178,P178,11,Valores!$A$2:$A$18)-1,"PTE")</f>
        <v>2</v>
      </c>
      <c r="T178" s="25"/>
      <c r="U178" s="25"/>
      <c r="V178" s="25" t="str">
        <f>IF(Q178="Entregado",IF(S178&lt;=VLOOKUP(K178,Valores!E:F,2,0),"Cumple","No cumple"),"PTE")</f>
        <v>Cumple</v>
      </c>
      <c r="W178" s="25"/>
      <c r="X178" s="29">
        <v>42921</v>
      </c>
      <c r="Y178" s="224"/>
      <c r="Z178" s="28"/>
    </row>
    <row r="179" spans="1:26" hidden="1" x14ac:dyDescent="0.3">
      <c r="A179" s="34">
        <v>45714</v>
      </c>
      <c r="B179" s="7" t="str">
        <f t="shared" si="17"/>
        <v>febrero</v>
      </c>
      <c r="C179" s="27">
        <v>2457</v>
      </c>
      <c r="D179" s="23" t="s">
        <v>20</v>
      </c>
      <c r="E179" s="133" t="s">
        <v>636</v>
      </c>
      <c r="F179" s="22" t="s">
        <v>142</v>
      </c>
      <c r="G179" s="32" t="str">
        <f>IFERROR(VLOOKUP(F179,Productos!$A$2:$D$258,2,0)," ")</f>
        <v>Superficie Caramelo 140x70 Clasico</v>
      </c>
      <c r="H179" s="7">
        <v>1</v>
      </c>
      <c r="I179" s="32" t="str">
        <f>IFERROR(VLOOKUP(F179,Productos!$A$2:$D$258,3,0)," ")</f>
        <v>Superficie</v>
      </c>
      <c r="J179" s="134" t="s">
        <v>24</v>
      </c>
      <c r="K179" s="134" t="s">
        <v>27</v>
      </c>
      <c r="L179" s="26" t="str">
        <f t="shared" si="18"/>
        <v>Despachado</v>
      </c>
      <c r="M179" s="56" t="s">
        <v>238</v>
      </c>
      <c r="N179" s="51" t="s">
        <v>658</v>
      </c>
      <c r="O179" s="150">
        <v>45715</v>
      </c>
      <c r="P179" s="150">
        <v>45715.41207175926</v>
      </c>
      <c r="Q179" s="24" t="str">
        <f t="shared" si="11"/>
        <v>Entregado</v>
      </c>
      <c r="R179" s="25">
        <f>IF(L179="Despachado",NETWORKDAYS.INTL(A179,O179,11,Valores!$A$2:$A$18)-1,"PTE")</f>
        <v>1</v>
      </c>
      <c r="S179" s="25">
        <f>IF(Q179="Entregado",NETWORKDAYS.INTL(A179,P179,11,Valores!$A$2:$A$18)-1,"PTE")</f>
        <v>1</v>
      </c>
      <c r="T179" s="25"/>
      <c r="U179" s="25"/>
      <c r="V179" s="25" t="str">
        <f>IF(Q179="Entregado",IF(S179&lt;=VLOOKUP(K179,Valores!E:F,2,0),"Cumple","No cumple"),"PTE")</f>
        <v>Cumple</v>
      </c>
      <c r="W179" s="25"/>
      <c r="X179" s="29">
        <v>24093</v>
      </c>
      <c r="Y179" s="224"/>
      <c r="Z179" s="28"/>
    </row>
    <row r="180" spans="1:26" hidden="1" x14ac:dyDescent="0.3">
      <c r="A180" s="34">
        <v>45714</v>
      </c>
      <c r="B180" s="7" t="str">
        <f t="shared" ref="B180:B185" si="19">TEXT(A180,"mmmm")</f>
        <v>febrero</v>
      </c>
      <c r="C180" s="27">
        <v>2457</v>
      </c>
      <c r="D180" s="23" t="s">
        <v>20</v>
      </c>
      <c r="E180" s="133" t="s">
        <v>636</v>
      </c>
      <c r="F180" s="32" t="s">
        <v>280</v>
      </c>
      <c r="G180" s="32" t="str">
        <f>IFERROR(VLOOKUP(F180,Productos!$A$2:$D$258,2,0)," ")</f>
        <v>Rodachines con freno para Standing desk x 4 UN</v>
      </c>
      <c r="H180" s="7">
        <v>1</v>
      </c>
      <c r="I180" s="32" t="str">
        <f>IFERROR(VLOOKUP(F180,Productos!$A$2:$D$258,3,0)," ")</f>
        <v>Ruedas</v>
      </c>
      <c r="J180" s="134" t="s">
        <v>24</v>
      </c>
      <c r="K180" s="134" t="s">
        <v>27</v>
      </c>
      <c r="L180" s="26" t="str">
        <f t="shared" si="18"/>
        <v>Despachado</v>
      </c>
      <c r="M180" s="56" t="s">
        <v>238</v>
      </c>
      <c r="N180" s="51" t="s">
        <v>659</v>
      </c>
      <c r="O180" s="150">
        <v>45715</v>
      </c>
      <c r="P180" s="150">
        <v>45715.41207175926</v>
      </c>
      <c r="Q180" s="24" t="str">
        <f t="shared" si="11"/>
        <v>Entregado</v>
      </c>
      <c r="R180" s="25">
        <f>IF(L180="Despachado",NETWORKDAYS.INTL(A180,O180,11,Valores!$A$2:$A$18)-1,"PTE")</f>
        <v>1</v>
      </c>
      <c r="S180" s="25">
        <f>IF(Q180="Entregado",NETWORKDAYS.INTL(A180,P180,11,Valores!$A$2:$A$18)-1,"PTE")</f>
        <v>1</v>
      </c>
      <c r="T180" s="25"/>
      <c r="U180" s="25"/>
      <c r="V180" s="25" t="str">
        <f>IF(Q180="Entregado",IF(S180&lt;=VLOOKUP(K180,Valores!E:F,2,0),"Cumple","No cumple"),"PTE")</f>
        <v>Cumple</v>
      </c>
      <c r="W180" s="25"/>
      <c r="X180" s="29">
        <v>23875</v>
      </c>
      <c r="Y180" s="224"/>
      <c r="Z180" s="28"/>
    </row>
    <row r="181" spans="1:26" hidden="1" x14ac:dyDescent="0.3">
      <c r="A181" s="34">
        <v>45715</v>
      </c>
      <c r="B181" s="7" t="str">
        <f t="shared" si="19"/>
        <v>febrero</v>
      </c>
      <c r="C181" s="27">
        <v>2458</v>
      </c>
      <c r="D181" s="23" t="s">
        <v>20</v>
      </c>
      <c r="E181" s="133" t="s">
        <v>637</v>
      </c>
      <c r="F181" s="40" t="s">
        <v>127</v>
      </c>
      <c r="G181" s="32" t="str">
        <f>IFERROR(VLOOKUP(F181,Productos!$A$2:$D$258,2,0)," ")</f>
        <v>Electric Standing Desk GO Blanco</v>
      </c>
      <c r="H181" s="7">
        <v>1</v>
      </c>
      <c r="I181" s="32" t="str">
        <f>IFERROR(VLOOKUP(F181,Productos!$A$2:$D$258,3,0)," ")</f>
        <v>Standing Desk</v>
      </c>
      <c r="J181" s="54" t="s">
        <v>21</v>
      </c>
      <c r="K181" s="134" t="s">
        <v>198</v>
      </c>
      <c r="L181" s="26" t="str">
        <f t="shared" si="18"/>
        <v>Despachado</v>
      </c>
      <c r="M181" s="56" t="s">
        <v>238</v>
      </c>
      <c r="N181" s="51" t="s">
        <v>660</v>
      </c>
      <c r="O181" s="150">
        <v>45716</v>
      </c>
      <c r="P181" s="150">
        <v>45719.588078703702</v>
      </c>
      <c r="Q181" s="24" t="str">
        <f t="shared" si="11"/>
        <v>Entregado</v>
      </c>
      <c r="R181" s="25">
        <f>IF(L181="Despachado",NETWORKDAYS.INTL(A181,O181,11,Valores!$A$2:$A$18)-1,"PTE")</f>
        <v>1</v>
      </c>
      <c r="S181" s="25">
        <f>IF(Q181="Entregado",NETWORKDAYS.INTL(A181,P181,11,Valores!$A$2:$A$18)-1,"PTE")</f>
        <v>3</v>
      </c>
      <c r="T181" s="25"/>
      <c r="U181" s="25"/>
      <c r="V181" s="25" t="str">
        <f>IF(Q181="Entregado",IF(S181&lt;=VLOOKUP(K181,Valores!E:F,2,0),"Cumple","No cumple"),"PTE")</f>
        <v>Cumple</v>
      </c>
      <c r="W181" s="25"/>
      <c r="X181" s="29">
        <v>41593</v>
      </c>
      <c r="Y181" s="224"/>
      <c r="Z181" s="28"/>
    </row>
    <row r="182" spans="1:26" hidden="1" x14ac:dyDescent="0.3">
      <c r="A182" s="34">
        <v>45715</v>
      </c>
      <c r="B182" s="7" t="str">
        <f t="shared" si="19"/>
        <v>febrero</v>
      </c>
      <c r="C182" s="27">
        <v>2458</v>
      </c>
      <c r="D182" s="23" t="s">
        <v>20</v>
      </c>
      <c r="E182" s="133" t="s">
        <v>637</v>
      </c>
      <c r="F182" s="22" t="s">
        <v>303</v>
      </c>
      <c r="G182" s="32" t="str">
        <f>IFERROR(VLOOKUP(F182,Productos!$A$2:$D$258,2,0)," ")</f>
        <v>Superficie  Fresno Europeo 140x70 Clasico</v>
      </c>
      <c r="H182" s="7">
        <v>1</v>
      </c>
      <c r="I182" s="32" t="str">
        <f>IFERROR(VLOOKUP(F182,Productos!$A$2:$D$258,3,0)," ")</f>
        <v>Superficie</v>
      </c>
      <c r="J182" s="54" t="s">
        <v>21</v>
      </c>
      <c r="K182" s="134" t="s">
        <v>198</v>
      </c>
      <c r="L182" s="26" t="str">
        <f t="shared" si="18"/>
        <v>Despachado</v>
      </c>
      <c r="M182" s="56" t="s">
        <v>238</v>
      </c>
      <c r="N182" s="51" t="s">
        <v>661</v>
      </c>
      <c r="O182" s="150">
        <v>45716</v>
      </c>
      <c r="P182" s="150">
        <v>45719.588078703702</v>
      </c>
      <c r="Q182" s="24" t="str">
        <f t="shared" si="11"/>
        <v>Entregado</v>
      </c>
      <c r="R182" s="25">
        <f>IF(L182="Despachado",NETWORKDAYS.INTL(A182,O182,11,Valores!$A$2:$A$18)-1,"PTE")</f>
        <v>1</v>
      </c>
      <c r="S182" s="25">
        <f>IF(Q182="Entregado",NETWORKDAYS.INTL(A182,P182,11,Valores!$A$2:$A$18)-1,"PTE")</f>
        <v>3</v>
      </c>
      <c r="T182" s="25"/>
      <c r="U182" s="25"/>
      <c r="V182" s="25" t="str">
        <f>IF(Q182="Entregado",IF(S182&lt;=VLOOKUP(K182,Valores!E:F,2,0),"Cumple","No cumple"),"PTE")</f>
        <v>Cumple</v>
      </c>
      <c r="W182" s="25"/>
      <c r="X182" s="29">
        <v>24093</v>
      </c>
      <c r="Y182" s="224"/>
      <c r="Z182" s="28"/>
    </row>
    <row r="183" spans="1:26" hidden="1" x14ac:dyDescent="0.3">
      <c r="A183" s="34">
        <v>45715</v>
      </c>
      <c r="B183" s="7" t="str">
        <f t="shared" si="19"/>
        <v>febrero</v>
      </c>
      <c r="C183" s="27">
        <v>2458</v>
      </c>
      <c r="D183" s="23" t="s">
        <v>20</v>
      </c>
      <c r="E183" s="133" t="s">
        <v>637</v>
      </c>
      <c r="F183" s="32" t="s">
        <v>280</v>
      </c>
      <c r="G183" s="32" t="str">
        <f>IFERROR(VLOOKUP(F183,Productos!$A$2:$D$258,2,0)," ")</f>
        <v>Rodachines con freno para Standing desk x 4 UN</v>
      </c>
      <c r="H183" s="7">
        <v>1</v>
      </c>
      <c r="I183" s="32" t="str">
        <f>IFERROR(VLOOKUP(F183,Productos!$A$2:$D$258,3,0)," ")</f>
        <v>Ruedas</v>
      </c>
      <c r="J183" s="54" t="s">
        <v>21</v>
      </c>
      <c r="K183" s="134" t="s">
        <v>198</v>
      </c>
      <c r="L183" s="26" t="str">
        <f t="shared" si="18"/>
        <v>Despachado</v>
      </c>
      <c r="M183" s="56" t="s">
        <v>238</v>
      </c>
      <c r="N183" s="51" t="s">
        <v>662</v>
      </c>
      <c r="O183" s="150">
        <v>45716</v>
      </c>
      <c r="P183" s="150">
        <v>45719.588078703702</v>
      </c>
      <c r="Q183" s="24" t="str">
        <f t="shared" si="11"/>
        <v>Entregado</v>
      </c>
      <c r="R183" s="25">
        <f>IF(L183="Despachado",NETWORKDAYS.INTL(A183,O183,11,Valores!$A$2:$A$18)-1,"PTE")</f>
        <v>1</v>
      </c>
      <c r="S183" s="25">
        <f>IF(Q183="Entregado",NETWORKDAYS.INTL(A183,P183,11,Valores!$A$2:$A$18)-1,"PTE")</f>
        <v>3</v>
      </c>
      <c r="T183" s="25"/>
      <c r="U183" s="25"/>
      <c r="V183" s="25" t="str">
        <f>IF(Q183="Entregado",IF(S183&lt;=VLOOKUP(K183,Valores!E:F,2,0),"Cumple","No cumple"),"PTE")</f>
        <v>Cumple</v>
      </c>
      <c r="W183" s="25"/>
      <c r="X183" s="29">
        <v>23875</v>
      </c>
      <c r="Y183" s="224"/>
      <c r="Z183" s="28"/>
    </row>
    <row r="184" spans="1:26" hidden="1" x14ac:dyDescent="0.3">
      <c r="A184" s="34">
        <v>45716</v>
      </c>
      <c r="B184" s="7" t="str">
        <f t="shared" si="19"/>
        <v>febrero</v>
      </c>
      <c r="C184" s="27">
        <v>2459</v>
      </c>
      <c r="D184" s="23" t="s">
        <v>20</v>
      </c>
      <c r="E184" s="133" t="s">
        <v>638</v>
      </c>
      <c r="F184" s="40" t="s">
        <v>83</v>
      </c>
      <c r="G184" s="32" t="str">
        <f>IFERROR(VLOOKUP(F184,Productos!$A$2:$D$258,2,0)," ")</f>
        <v>Desk Pad B Negro Azul</v>
      </c>
      <c r="H184" s="7">
        <v>1</v>
      </c>
      <c r="I184" s="32" t="str">
        <f>IFERROR(VLOOKUP(F184,Productos!$A$2:$D$258,3,0)," ")</f>
        <v>Accesorio</v>
      </c>
      <c r="J184" s="134" t="s">
        <v>24</v>
      </c>
      <c r="K184" s="134" t="s">
        <v>25</v>
      </c>
      <c r="L184" s="26" t="str">
        <f t="shared" si="18"/>
        <v>Despachado</v>
      </c>
      <c r="M184" s="56" t="s">
        <v>238</v>
      </c>
      <c r="N184" s="51" t="s">
        <v>663</v>
      </c>
      <c r="O184" s="150">
        <v>45716</v>
      </c>
      <c r="P184" s="150">
        <v>45717.578090277777</v>
      </c>
      <c r="Q184" s="24" t="str">
        <f t="shared" si="11"/>
        <v>Entregado</v>
      </c>
      <c r="R184" s="25">
        <f>IF(L184="Despachado",NETWORKDAYS.INTL(A184,O184,11,Valores!$A$2:$A$18)-1,"PTE")</f>
        <v>0</v>
      </c>
      <c r="S184" s="25">
        <f>IF(Q184="Entregado",NETWORKDAYS.INTL(A184,P184,11,Valores!$A$2:$A$18)-1,"PTE")</f>
        <v>1</v>
      </c>
      <c r="T184" s="25"/>
      <c r="U184" s="25"/>
      <c r="V184" s="25" t="str">
        <f>IF(Q184="Entregado",IF(S184&lt;=VLOOKUP(K184,Valores!E:F,2,0),"Cumple","No cumple"),"PTE")</f>
        <v>Cumple</v>
      </c>
      <c r="W184" s="25"/>
      <c r="X184" s="29">
        <v>16617</v>
      </c>
      <c r="Y184" s="224"/>
      <c r="Z184" s="28"/>
    </row>
    <row r="185" spans="1:26" hidden="1" x14ac:dyDescent="0.3">
      <c r="A185" s="34">
        <v>45716</v>
      </c>
      <c r="B185" s="7" t="str">
        <f t="shared" si="19"/>
        <v>febrero</v>
      </c>
      <c r="C185" s="27">
        <v>2460</v>
      </c>
      <c r="D185" s="23" t="s">
        <v>20</v>
      </c>
      <c r="E185" s="133" t="s">
        <v>635</v>
      </c>
      <c r="F185" s="22" t="s">
        <v>240</v>
      </c>
      <c r="G185" s="32" t="str">
        <f>IFERROR(VLOOKUP(F185,Productos!$A$2:$D$258,2,0)," ")</f>
        <v>Bandeja de cables</v>
      </c>
      <c r="H185" s="7">
        <v>1</v>
      </c>
      <c r="I185" s="32" t="str">
        <f>IFERROR(VLOOKUP(F185,Productos!$A$2:$D$258,3,0)," ")</f>
        <v>Accesorio</v>
      </c>
      <c r="J185" s="54" t="s">
        <v>21</v>
      </c>
      <c r="K185" s="134" t="s">
        <v>22</v>
      </c>
      <c r="L185" s="26" t="str">
        <f t="shared" si="18"/>
        <v>Despachado</v>
      </c>
      <c r="M185" s="56" t="s">
        <v>238</v>
      </c>
      <c r="N185" s="51" t="s">
        <v>664</v>
      </c>
      <c r="O185" s="150">
        <v>45716</v>
      </c>
      <c r="P185" s="150">
        <v>45717.719942129632</v>
      </c>
      <c r="Q185" s="24" t="str">
        <f t="shared" si="11"/>
        <v>Entregado</v>
      </c>
      <c r="R185" s="25">
        <f>IF(L185="Despachado",NETWORKDAYS.INTL(A185,O185,11,Valores!$A$2:$A$18)-1,"PTE")</f>
        <v>0</v>
      </c>
      <c r="S185" s="25">
        <f>IF(Q185="Entregado",NETWORKDAYS.INTL(A185,P185,11,Valores!$A$2:$A$18)-1,"PTE")</f>
        <v>1</v>
      </c>
      <c r="T185" s="25"/>
      <c r="U185" s="25"/>
      <c r="V185" s="25" t="str">
        <f>IF(Q185="Entregado",IF(S185&lt;=VLOOKUP(K185,Valores!E:F,2,0),"Cumple","No cumple"),"PTE")</f>
        <v>Cumple</v>
      </c>
      <c r="W185" s="25"/>
      <c r="X185" s="29">
        <v>24885</v>
      </c>
      <c r="Y185" s="224"/>
      <c r="Z185" s="28"/>
    </row>
    <row r="186" spans="1:26" hidden="1" x14ac:dyDescent="0.3">
      <c r="A186" s="34">
        <v>45716</v>
      </c>
      <c r="B186" s="7" t="str">
        <f t="shared" ref="B186:B196" si="20">TEXT(A186,"mmmm")</f>
        <v>febrero</v>
      </c>
      <c r="C186" s="27">
        <v>2461</v>
      </c>
      <c r="D186" s="23" t="s">
        <v>20</v>
      </c>
      <c r="E186" s="133" t="s">
        <v>639</v>
      </c>
      <c r="F186" s="22" t="s">
        <v>129</v>
      </c>
      <c r="G186" s="32" t="str">
        <f>IFERROR(VLOOKUP(F186,Productos!$A$2:$D$258,2,0)," ")</f>
        <v>Electric Standing Desk  PRO Negro</v>
      </c>
      <c r="H186" s="7">
        <v>1</v>
      </c>
      <c r="I186" s="32" t="str">
        <f>IFERROR(VLOOKUP(F186,Productos!$A$2:$D$258,3,0)," ")</f>
        <v>Standing Desk</v>
      </c>
      <c r="J186" s="134" t="s">
        <v>194</v>
      </c>
      <c r="K186" s="134" t="s">
        <v>46</v>
      </c>
      <c r="L186" s="26" t="str">
        <f t="shared" si="18"/>
        <v>Despachado</v>
      </c>
      <c r="M186" s="56" t="s">
        <v>238</v>
      </c>
      <c r="N186" s="139" t="s">
        <v>766</v>
      </c>
      <c r="O186" s="150">
        <v>45726</v>
      </c>
      <c r="P186" s="150">
        <v>45727</v>
      </c>
      <c r="Q186" s="24" t="str">
        <f t="shared" si="11"/>
        <v>Entregado</v>
      </c>
      <c r="R186" s="25">
        <f>IF(L186="Despachado",NETWORKDAYS.INTL(A186,O186,11,Valores!$A$2:$A$18)-1,"PTE")</f>
        <v>8</v>
      </c>
      <c r="S186" s="25">
        <f>IF(Q186="Entregado",NETWORKDAYS.INTL(A186,P186,11,Valores!$A$2:$A$18)-1,"PTE")</f>
        <v>9</v>
      </c>
      <c r="T186" s="25"/>
      <c r="U186" s="25"/>
      <c r="V186" s="25" t="str">
        <f>IF(Q186="Entregado",IF(S186&lt;=VLOOKUP(K186,Valores!E:F,2,0),"Cumple","No cumple"),"PTE")</f>
        <v>No cumple</v>
      </c>
      <c r="W186" s="25"/>
      <c r="X186" s="29">
        <v>56077</v>
      </c>
      <c r="Y186" s="224"/>
      <c r="Z186" s="28"/>
    </row>
    <row r="187" spans="1:26" hidden="1" x14ac:dyDescent="0.3">
      <c r="A187" s="34">
        <v>45716</v>
      </c>
      <c r="B187" s="7" t="str">
        <f t="shared" si="20"/>
        <v>febrero</v>
      </c>
      <c r="C187" s="27">
        <v>2461</v>
      </c>
      <c r="D187" s="23" t="s">
        <v>20</v>
      </c>
      <c r="E187" s="133" t="s">
        <v>639</v>
      </c>
      <c r="F187" s="22" t="s">
        <v>264</v>
      </c>
      <c r="G187" s="32" t="str">
        <f>IFERROR(VLOOKUP(F187,Productos!$A$2:$D$258,2,0)," ")</f>
        <v>Superficie Roble Miel 180x70 Clasico</v>
      </c>
      <c r="H187" s="7">
        <v>1</v>
      </c>
      <c r="I187" s="32" t="str">
        <f>IFERROR(VLOOKUP(F187,Productos!$A$2:$D$258,3,0)," ")</f>
        <v>Superficie</v>
      </c>
      <c r="J187" s="134" t="s">
        <v>194</v>
      </c>
      <c r="K187" s="134" t="s">
        <v>46</v>
      </c>
      <c r="L187" s="26" t="str">
        <f t="shared" si="18"/>
        <v>Despachado</v>
      </c>
      <c r="M187" s="56" t="s">
        <v>238</v>
      </c>
      <c r="N187" s="139" t="s">
        <v>767</v>
      </c>
      <c r="O187" s="150">
        <v>45726</v>
      </c>
      <c r="P187" s="150">
        <v>45727</v>
      </c>
      <c r="Q187" s="24" t="str">
        <f t="shared" si="11"/>
        <v>Entregado</v>
      </c>
      <c r="R187" s="25">
        <f>IF(L187="Despachado",NETWORKDAYS.INTL(A187,O187,11,Valores!$A$2:$A$18)-1,"PTE")</f>
        <v>8</v>
      </c>
      <c r="S187" s="25">
        <f>IF(Q187="Entregado",NETWORKDAYS.INTL(A187,P187,11,Valores!$A$2:$A$18)-1,"PTE")</f>
        <v>9</v>
      </c>
      <c r="T187" s="25"/>
      <c r="U187" s="25"/>
      <c r="V187" s="25" t="str">
        <f>IF(Q187="Entregado",IF(S187&lt;=VLOOKUP(K187,Valores!E:F,2,0),"Cumple","No cumple"),"PTE")</f>
        <v>No cumple</v>
      </c>
      <c r="W187" s="25"/>
      <c r="X187" s="29">
        <v>39089</v>
      </c>
      <c r="Y187" s="224"/>
      <c r="Z187" s="28"/>
    </row>
    <row r="188" spans="1:26" hidden="1" x14ac:dyDescent="0.3">
      <c r="A188" s="34">
        <v>45716</v>
      </c>
      <c r="B188" s="7" t="str">
        <f t="shared" si="20"/>
        <v>febrero</v>
      </c>
      <c r="C188" s="27">
        <v>2461</v>
      </c>
      <c r="D188" s="23" t="s">
        <v>20</v>
      </c>
      <c r="E188" s="133" t="s">
        <v>639</v>
      </c>
      <c r="F188" s="22" t="s">
        <v>68</v>
      </c>
      <c r="G188" s="32" t="str">
        <f>IFERROR(VLOOKUP(F188,Productos!$A$2:$D$258,2,0)," ")</f>
        <v>Archivador TECU  Caramelo</v>
      </c>
      <c r="H188" s="7">
        <v>1</v>
      </c>
      <c r="I188" s="32" t="str">
        <f>IFERROR(VLOOKUP(F188,Productos!$A$2:$D$258,3,0)," ")</f>
        <v>Archivador</v>
      </c>
      <c r="J188" s="134" t="s">
        <v>194</v>
      </c>
      <c r="K188" s="134" t="s">
        <v>46</v>
      </c>
      <c r="L188" s="26" t="str">
        <f t="shared" si="18"/>
        <v>Despachado</v>
      </c>
      <c r="M188" s="56" t="s">
        <v>239</v>
      </c>
      <c r="N188" s="139" t="s">
        <v>770</v>
      </c>
      <c r="O188" s="150">
        <v>45723</v>
      </c>
      <c r="P188" s="150">
        <v>45726</v>
      </c>
      <c r="Q188" s="24" t="str">
        <f t="shared" si="11"/>
        <v>Entregado</v>
      </c>
      <c r="R188" s="25">
        <f>IF(L188="Despachado",NETWORKDAYS.INTL(A188,O188,11,Valores!$A$2:$A$18)-1,"PTE")</f>
        <v>6</v>
      </c>
      <c r="S188" s="25">
        <f>IF(Q188="Entregado",NETWORKDAYS.INTL(A188,P188,11,Valores!$A$2:$A$18)-1,"PTE")</f>
        <v>8</v>
      </c>
      <c r="T188" s="25"/>
      <c r="U188" s="25"/>
      <c r="V188" s="25" t="str">
        <f>IF(Q188="Entregado",IF(S188&lt;=VLOOKUP(K188,Valores!E:F,2,0),"Cumple","No cumple"),"PTE")</f>
        <v>No cumple</v>
      </c>
      <c r="W188" s="25"/>
      <c r="X188" s="29">
        <v>112490</v>
      </c>
      <c r="Y188" s="224"/>
      <c r="Z188" s="28"/>
    </row>
    <row r="189" spans="1:26" hidden="1" x14ac:dyDescent="0.3">
      <c r="A189" s="34">
        <v>45716</v>
      </c>
      <c r="B189" s="7" t="str">
        <f t="shared" si="20"/>
        <v>febrero</v>
      </c>
      <c r="C189" s="27">
        <v>2461</v>
      </c>
      <c r="D189" s="23" t="s">
        <v>20</v>
      </c>
      <c r="E189" s="133" t="s">
        <v>639</v>
      </c>
      <c r="F189" s="40" t="s">
        <v>83</v>
      </c>
      <c r="G189" s="32" t="str">
        <f>IFERROR(VLOOKUP(F189,Productos!$A$2:$D$258,2,0)," ")</f>
        <v>Desk Pad B Negro Azul</v>
      </c>
      <c r="H189" s="7">
        <v>1</v>
      </c>
      <c r="I189" s="32" t="str">
        <f>IFERROR(VLOOKUP(F189,Productos!$A$2:$D$258,3,0)," ")</f>
        <v>Accesorio</v>
      </c>
      <c r="J189" s="134" t="s">
        <v>194</v>
      </c>
      <c r="K189" s="134" t="s">
        <v>46</v>
      </c>
      <c r="L189" s="26" t="str">
        <f t="shared" si="18"/>
        <v>Despachado</v>
      </c>
      <c r="M189" s="56" t="s">
        <v>238</v>
      </c>
      <c r="N189" s="139" t="s">
        <v>769</v>
      </c>
      <c r="O189" s="150">
        <v>45726</v>
      </c>
      <c r="P189" s="150">
        <v>45727</v>
      </c>
      <c r="Q189" s="24" t="str">
        <f t="shared" si="11"/>
        <v>Entregado</v>
      </c>
      <c r="R189" s="25">
        <f>IF(L189="Despachado",NETWORKDAYS.INTL(A189,O189,11,Valores!$A$2:$A$18)-1,"PTE")</f>
        <v>8</v>
      </c>
      <c r="S189" s="25">
        <f>IF(Q189="Entregado",NETWORKDAYS.INTL(A189,P189,11,Valores!$A$2:$A$18)-1,"PTE")</f>
        <v>9</v>
      </c>
      <c r="T189" s="25"/>
      <c r="U189" s="25"/>
      <c r="V189" s="25" t="str">
        <f>IF(Q189="Entregado",IF(S189&lt;=VLOOKUP(K189,Valores!E:F,2,0),"Cumple","No cumple"),"PTE")</f>
        <v>No cumple</v>
      </c>
      <c r="W189" s="25"/>
      <c r="X189" s="29">
        <v>16617</v>
      </c>
      <c r="Y189" s="224"/>
      <c r="Z189" s="28"/>
    </row>
    <row r="190" spans="1:26" hidden="1" x14ac:dyDescent="0.3">
      <c r="A190" s="34">
        <v>45716</v>
      </c>
      <c r="B190" s="7" t="str">
        <f>TEXT(A190,"mmmm")</f>
        <v>febrero</v>
      </c>
      <c r="C190" s="27">
        <v>2461</v>
      </c>
      <c r="D190" s="23" t="s">
        <v>20</v>
      </c>
      <c r="E190" s="133" t="s">
        <v>639</v>
      </c>
      <c r="F190" s="22" t="s">
        <v>240</v>
      </c>
      <c r="G190" s="32" t="str">
        <f>IFERROR(VLOOKUP(F190,Productos!$A$2:$D$258,2,0)," ")</f>
        <v>Bandeja de cables</v>
      </c>
      <c r="H190" s="7">
        <v>1</v>
      </c>
      <c r="I190" s="32" t="str">
        <f>IFERROR(VLOOKUP(F190,Productos!$A$2:$D$258,3,0)," ")</f>
        <v>Accesorio</v>
      </c>
      <c r="J190" s="134" t="s">
        <v>194</v>
      </c>
      <c r="K190" s="134" t="s">
        <v>46</v>
      </c>
      <c r="L190" s="26" t="str">
        <f t="shared" si="18"/>
        <v>Despachado</v>
      </c>
      <c r="M190" s="56" t="s">
        <v>238</v>
      </c>
      <c r="N190" s="139" t="s">
        <v>768</v>
      </c>
      <c r="O190" s="150">
        <v>45726</v>
      </c>
      <c r="P190" s="150">
        <v>45727</v>
      </c>
      <c r="Q190" s="24" t="str">
        <f t="shared" si="11"/>
        <v>Entregado</v>
      </c>
      <c r="R190" s="25">
        <f>IF(L190="Despachado",NETWORKDAYS.INTL(A190,O190,11,Valores!$A$2:$A$18)-1,"PTE")</f>
        <v>8</v>
      </c>
      <c r="S190" s="25">
        <f>IF(Q190="Entregado",NETWORKDAYS.INTL(A190,P190,11,Valores!$A$2:$A$18)-1,"PTE")</f>
        <v>9</v>
      </c>
      <c r="T190" s="25"/>
      <c r="U190" s="25"/>
      <c r="V190" s="25" t="str">
        <f>IF(Q190="Entregado",IF(S190&lt;=VLOOKUP(K190,Valores!E:F,2,0),"Cumple","No cumple"),"PTE")</f>
        <v>No cumple</v>
      </c>
      <c r="W190" s="25"/>
      <c r="X190" s="29">
        <v>24885</v>
      </c>
      <c r="Y190" s="224"/>
      <c r="Z190" s="28"/>
    </row>
    <row r="191" spans="1:26" hidden="1" x14ac:dyDescent="0.3">
      <c r="A191" s="34">
        <v>45717</v>
      </c>
      <c r="B191" s="7" t="str">
        <f t="shared" si="20"/>
        <v>marzo</v>
      </c>
      <c r="C191" s="27">
        <v>2462</v>
      </c>
      <c r="D191" s="23" t="s">
        <v>20</v>
      </c>
      <c r="E191" s="133" t="s">
        <v>640</v>
      </c>
      <c r="F191" s="22" t="s">
        <v>129</v>
      </c>
      <c r="G191" s="32" t="str">
        <f>IFERROR(VLOOKUP(F191,Productos!$A$2:$D$258,2,0)," ")</f>
        <v>Electric Standing Desk  PRO Negro</v>
      </c>
      <c r="H191" s="7">
        <v>1</v>
      </c>
      <c r="I191" s="32" t="str">
        <f>IFERROR(VLOOKUP(F191,Productos!$A$2:$D$258,3,0)," ")</f>
        <v>Standing Desk</v>
      </c>
      <c r="J191" s="134" t="s">
        <v>24</v>
      </c>
      <c r="K191" s="134" t="s">
        <v>27</v>
      </c>
      <c r="L191" s="26" t="str">
        <f t="shared" si="18"/>
        <v>Despachado</v>
      </c>
      <c r="M191" s="56" t="s">
        <v>238</v>
      </c>
      <c r="N191" s="51" t="s">
        <v>665</v>
      </c>
      <c r="O191" s="150">
        <v>45719.660798611112</v>
      </c>
      <c r="P191" s="150">
        <v>45720.419016203698</v>
      </c>
      <c r="Q191" s="24" t="str">
        <f t="shared" si="11"/>
        <v>Entregado</v>
      </c>
      <c r="R191" s="25">
        <f>IF(L191="Despachado",NETWORKDAYS.INTL(A191,O191,11,Valores!$A$2:$A$18)-1,"PTE")</f>
        <v>1</v>
      </c>
      <c r="S191" s="25">
        <f>IF(Q191="Entregado",NETWORKDAYS.INTL(A191,P191,11,Valores!$A$2:$A$18)-1,"PTE")</f>
        <v>2</v>
      </c>
      <c r="T191" s="25"/>
      <c r="U191" s="25"/>
      <c r="V191" s="25" t="str">
        <f>IF(Q191="Entregado",IF(S191&lt;=VLOOKUP(K191,Valores!E:F,2,0),"Cumple","No cumple"),"PTE")</f>
        <v>Cumple</v>
      </c>
      <c r="W191" s="25"/>
      <c r="X191" s="29">
        <v>42921</v>
      </c>
      <c r="Y191" s="224"/>
      <c r="Z191" s="28"/>
    </row>
    <row r="192" spans="1:26" hidden="1" x14ac:dyDescent="0.3">
      <c r="A192" s="34">
        <v>45717</v>
      </c>
      <c r="B192" s="7" t="str">
        <f t="shared" si="20"/>
        <v>marzo</v>
      </c>
      <c r="C192" s="27">
        <v>2462</v>
      </c>
      <c r="D192" s="23" t="s">
        <v>20</v>
      </c>
      <c r="E192" s="133" t="s">
        <v>640</v>
      </c>
      <c r="F192" s="22" t="s">
        <v>60</v>
      </c>
      <c r="G192" s="32" t="str">
        <f>IFERROR(VLOOKUP(F192,Productos!$A$2:$D$258,2,0)," ")</f>
        <v>Superficie Niebla 180x70 Moderno</v>
      </c>
      <c r="H192" s="7">
        <v>1</v>
      </c>
      <c r="I192" s="32" t="str">
        <f>IFERROR(VLOOKUP(F192,Productos!$A$2:$D$258,3,0)," ")</f>
        <v>Superficie</v>
      </c>
      <c r="J192" s="134" t="s">
        <v>24</v>
      </c>
      <c r="K192" s="134" t="s">
        <v>27</v>
      </c>
      <c r="L192" s="26" t="str">
        <f t="shared" si="18"/>
        <v>Despachado</v>
      </c>
      <c r="M192" s="56" t="s">
        <v>238</v>
      </c>
      <c r="N192" s="51" t="s">
        <v>666</v>
      </c>
      <c r="O192" s="150">
        <v>45719.660798611112</v>
      </c>
      <c r="P192" s="150">
        <v>45720.430578703701</v>
      </c>
      <c r="Q192" s="24" t="str">
        <f t="shared" si="11"/>
        <v>Entregado</v>
      </c>
      <c r="R192" s="25">
        <f>IF(L192="Despachado",NETWORKDAYS.INTL(A192,O192,11,Valores!$A$2:$A$18)-1,"PTE")</f>
        <v>1</v>
      </c>
      <c r="S192" s="25">
        <f>IF(Q192="Entregado",NETWORKDAYS.INTL(A192,P192,11,Valores!$A$2:$A$18)-1,"PTE")</f>
        <v>2</v>
      </c>
      <c r="T192" s="25"/>
      <c r="U192" s="25"/>
      <c r="V192" s="25" t="str">
        <f>IF(Q192="Entregado",IF(S192&lt;=VLOOKUP(K192,Valores!E:F,2,0),"Cumple","No cumple"),"PTE")</f>
        <v>Cumple</v>
      </c>
      <c r="W192" s="25"/>
      <c r="X192" s="29">
        <v>26749</v>
      </c>
      <c r="Y192" s="224"/>
      <c r="Z192" s="28"/>
    </row>
    <row r="193" spans="1:26" hidden="1" x14ac:dyDescent="0.3">
      <c r="A193" s="34">
        <v>45718</v>
      </c>
      <c r="B193" s="7" t="str">
        <f t="shared" si="20"/>
        <v>marzo</v>
      </c>
      <c r="C193" s="27">
        <v>2463</v>
      </c>
      <c r="D193" s="23" t="s">
        <v>20</v>
      </c>
      <c r="E193" s="133" t="s">
        <v>641</v>
      </c>
      <c r="F193" s="40" t="s">
        <v>127</v>
      </c>
      <c r="G193" s="32" t="str">
        <f>IFERROR(VLOOKUP(F193,Productos!$A$2:$D$258,2,0)," ")</f>
        <v>Electric Standing Desk GO Blanco</v>
      </c>
      <c r="H193" s="7">
        <v>1</v>
      </c>
      <c r="I193" s="32" t="str">
        <f>IFERROR(VLOOKUP(F193,Productos!$A$2:$D$258,3,0)," ")</f>
        <v>Standing Desk</v>
      </c>
      <c r="J193" s="134" t="s">
        <v>42</v>
      </c>
      <c r="K193" s="134" t="s">
        <v>41</v>
      </c>
      <c r="L193" s="26" t="str">
        <f t="shared" si="18"/>
        <v>Despachado</v>
      </c>
      <c r="M193" s="56" t="s">
        <v>238</v>
      </c>
      <c r="N193" s="51" t="s">
        <v>667</v>
      </c>
      <c r="O193" s="150">
        <v>45719.660798611112</v>
      </c>
      <c r="P193" s="150">
        <v>45720.482083333343</v>
      </c>
      <c r="Q193" s="24" t="str">
        <f t="shared" si="11"/>
        <v>Entregado</v>
      </c>
      <c r="R193" s="25">
        <f>IF(L193="Despachado",NETWORKDAYS.INTL(A193,O193,11,Valores!$A$2:$A$18)-1,"PTE")</f>
        <v>0</v>
      </c>
      <c r="S193" s="25">
        <f>IF(Q193="Entregado",NETWORKDAYS.INTL(A193,P193,11,Valores!$A$2:$A$18)-1,"PTE")</f>
        <v>1</v>
      </c>
      <c r="T193" s="25"/>
      <c r="U193" s="25"/>
      <c r="V193" s="25" t="str">
        <f>IF(Q193="Entregado",IF(S193&lt;=VLOOKUP(K193,Valores!E:F,2,0),"Cumple","No cumple"),"PTE")</f>
        <v>Cumple</v>
      </c>
      <c r="W193" s="25"/>
      <c r="X193" s="29">
        <v>41593</v>
      </c>
      <c r="Y193" s="224"/>
      <c r="Z193" s="28"/>
    </row>
    <row r="194" spans="1:26" hidden="1" x14ac:dyDescent="0.3">
      <c r="A194" s="34">
        <v>45718</v>
      </c>
      <c r="B194" s="7" t="str">
        <f t="shared" si="20"/>
        <v>marzo</v>
      </c>
      <c r="C194" s="27">
        <v>2463</v>
      </c>
      <c r="D194" s="23" t="s">
        <v>20</v>
      </c>
      <c r="E194" s="133" t="s">
        <v>641</v>
      </c>
      <c r="F194" s="22" t="s">
        <v>302</v>
      </c>
      <c r="G194" s="32" t="str">
        <f>IFERROR(VLOOKUP(F194,Productos!$A$2:$D$258,2,0)," ")</f>
        <v>Superficie  Fresno Europeo 130x70 Clasico</v>
      </c>
      <c r="H194" s="7">
        <v>1</v>
      </c>
      <c r="I194" s="32" t="str">
        <f>IFERROR(VLOOKUP(F194,Productos!$A$2:$D$258,3,0)," ")</f>
        <v>Superficie</v>
      </c>
      <c r="J194" s="134" t="s">
        <v>42</v>
      </c>
      <c r="K194" s="134" t="s">
        <v>41</v>
      </c>
      <c r="L194" s="26" t="str">
        <f t="shared" si="18"/>
        <v>Despachado</v>
      </c>
      <c r="M194" s="56" t="s">
        <v>238</v>
      </c>
      <c r="N194" s="51" t="s">
        <v>668</v>
      </c>
      <c r="O194" s="150">
        <v>45719.660798611112</v>
      </c>
      <c r="P194" s="150">
        <v>45720.482083333343</v>
      </c>
      <c r="Q194" s="24" t="str">
        <f t="shared" si="11"/>
        <v>Entregado</v>
      </c>
      <c r="R194" s="25">
        <f>IF(L194="Despachado",NETWORKDAYS.INTL(A194,O194,11,Valores!$A$2:$A$18)-1,"PTE")</f>
        <v>0</v>
      </c>
      <c r="S194" s="25">
        <f>IF(Q194="Entregado",NETWORKDAYS.INTL(A194,P194,11,Valores!$A$2:$A$18)-1,"PTE")</f>
        <v>1</v>
      </c>
      <c r="T194" s="25"/>
      <c r="U194" s="25"/>
      <c r="V194" s="25" t="str">
        <f>IF(Q194="Entregado",IF(S194&lt;=VLOOKUP(K194,Valores!E:F,2,0),"Cumple","No cumple"),"PTE")</f>
        <v>Cumple</v>
      </c>
      <c r="W194" s="25"/>
      <c r="X194" s="29">
        <v>24093</v>
      </c>
      <c r="Y194" s="224"/>
      <c r="Z194" s="28"/>
    </row>
    <row r="195" spans="1:26" hidden="1" x14ac:dyDescent="0.3">
      <c r="A195" s="34">
        <v>45719</v>
      </c>
      <c r="B195" s="7" t="str">
        <f t="shared" si="20"/>
        <v>marzo</v>
      </c>
      <c r="C195" s="27">
        <v>2464</v>
      </c>
      <c r="D195" s="23" t="s">
        <v>20</v>
      </c>
      <c r="E195" s="133" t="s">
        <v>642</v>
      </c>
      <c r="F195" s="40" t="s">
        <v>133</v>
      </c>
      <c r="G195" s="32" t="str">
        <f>IFERROR(VLOOKUP(F195,Productos!$A$2:$D$258,2,0)," ")</f>
        <v>Electric Standing Desk  PRO Blanco</v>
      </c>
      <c r="H195" s="7">
        <v>1</v>
      </c>
      <c r="I195" s="32" t="str">
        <f>IFERROR(VLOOKUP(F195,Productos!$A$2:$D$258,3,0)," ")</f>
        <v>Standing Desk</v>
      </c>
      <c r="J195" s="134" t="s">
        <v>24</v>
      </c>
      <c r="K195" s="134" t="s">
        <v>27</v>
      </c>
      <c r="L195" s="26" t="str">
        <f t="shared" si="18"/>
        <v>Despachado</v>
      </c>
      <c r="M195" s="56" t="s">
        <v>238</v>
      </c>
      <c r="N195" s="51" t="s">
        <v>669</v>
      </c>
      <c r="O195" s="150">
        <v>45719.660798611112</v>
      </c>
      <c r="P195" s="150">
        <v>45720.422037037039</v>
      </c>
      <c r="Q195" s="24" t="str">
        <f t="shared" si="11"/>
        <v>Entregado</v>
      </c>
      <c r="R195" s="25">
        <f>IF(L195="Despachado",NETWORKDAYS.INTL(A195,O195,11,Valores!$A$2:$A$18)-1,"PTE")</f>
        <v>0</v>
      </c>
      <c r="S195" s="25">
        <f>IF(Q195="Entregado",NETWORKDAYS.INTL(A195,P195,11,Valores!$A$2:$A$18)-1,"PTE")</f>
        <v>1</v>
      </c>
      <c r="T195" s="25"/>
      <c r="U195" s="25"/>
      <c r="V195" s="25" t="str">
        <f>IF(Q195="Entregado",IF(S195&lt;=VLOOKUP(K195,Valores!E:F,2,0),"Cumple","No cumple"),"PTE")</f>
        <v>Cumple</v>
      </c>
      <c r="W195" s="25"/>
      <c r="X195" s="29">
        <v>42921</v>
      </c>
      <c r="Y195" s="224"/>
      <c r="Z195" s="28"/>
    </row>
    <row r="196" spans="1:26" hidden="1" x14ac:dyDescent="0.3">
      <c r="A196" s="34">
        <v>45719</v>
      </c>
      <c r="B196" s="7" t="str">
        <f t="shared" si="20"/>
        <v>marzo</v>
      </c>
      <c r="C196" s="27">
        <v>2464</v>
      </c>
      <c r="D196" s="23" t="s">
        <v>20</v>
      </c>
      <c r="E196" s="133" t="s">
        <v>642</v>
      </c>
      <c r="F196" s="22" t="s">
        <v>304</v>
      </c>
      <c r="G196" s="32" t="str">
        <f>IFERROR(VLOOKUP(F196,Productos!$A$2:$D$258,2,0)," ")</f>
        <v>Superficie  Fresno Europeo 150x70 Clasico</v>
      </c>
      <c r="H196" s="7">
        <v>1</v>
      </c>
      <c r="I196" s="32" t="str">
        <f>IFERROR(VLOOKUP(F196,Productos!$A$2:$D$258,3,0)," ")</f>
        <v>Superficie</v>
      </c>
      <c r="J196" s="134" t="s">
        <v>24</v>
      </c>
      <c r="K196" s="134" t="s">
        <v>27</v>
      </c>
      <c r="L196" s="26" t="str">
        <f t="shared" si="18"/>
        <v>Despachado</v>
      </c>
      <c r="M196" s="56" t="s">
        <v>238</v>
      </c>
      <c r="N196" s="51" t="s">
        <v>670</v>
      </c>
      <c r="O196" s="150">
        <v>45719.660798611112</v>
      </c>
      <c r="P196" s="150">
        <v>45720.422037037039</v>
      </c>
      <c r="Q196" s="24" t="str">
        <f t="shared" si="11"/>
        <v>Entregado</v>
      </c>
      <c r="R196" s="25">
        <f>IF(L196="Despachado",NETWORKDAYS.INTL(A196,O196,11,Valores!$A$2:$A$18)-1,"PTE")</f>
        <v>0</v>
      </c>
      <c r="S196" s="25">
        <f>IF(Q196="Entregado",NETWORKDAYS.INTL(A196,P196,11,Valores!$A$2:$A$18)-1,"PTE")</f>
        <v>1</v>
      </c>
      <c r="T196" s="25"/>
      <c r="U196" s="25"/>
      <c r="V196" s="25" t="str">
        <f>IF(Q196="Entregado",IF(S196&lt;=VLOOKUP(K196,Valores!E:F,2,0),"Cumple","No cumple"),"PTE")</f>
        <v>Cumple</v>
      </c>
      <c r="W196" s="25"/>
      <c r="X196" s="29">
        <v>24093</v>
      </c>
      <c r="Y196" s="224"/>
      <c r="Z196" s="28"/>
    </row>
    <row r="197" spans="1:26" hidden="1" x14ac:dyDescent="0.3">
      <c r="A197" s="34">
        <v>45719</v>
      </c>
      <c r="B197" s="7" t="str">
        <f t="shared" ref="B197:B241" si="21">TEXT(A197,"mmmm")</f>
        <v>marzo</v>
      </c>
      <c r="C197" s="27">
        <v>2465</v>
      </c>
      <c r="D197" s="23" t="s">
        <v>20</v>
      </c>
      <c r="E197" s="133" t="s">
        <v>643</v>
      </c>
      <c r="F197" s="40" t="s">
        <v>133</v>
      </c>
      <c r="G197" s="32" t="str">
        <f>IFERROR(VLOOKUP(F197,Productos!$A$2:$D$258,2,0)," ")</f>
        <v>Electric Standing Desk  PRO Blanco</v>
      </c>
      <c r="H197" s="7">
        <v>1</v>
      </c>
      <c r="I197" s="32" t="str">
        <f>IFERROR(VLOOKUP(F197,Productos!$A$2:$D$258,3,0)," ")</f>
        <v>Standing Desk</v>
      </c>
      <c r="J197" s="134" t="s">
        <v>24</v>
      </c>
      <c r="K197" s="134" t="s">
        <v>644</v>
      </c>
      <c r="L197" s="26" t="str">
        <f t="shared" si="18"/>
        <v>Despachado</v>
      </c>
      <c r="M197" s="56" t="s">
        <v>238</v>
      </c>
      <c r="N197" s="51" t="s">
        <v>671</v>
      </c>
      <c r="O197" s="150">
        <v>45720.65797453704</v>
      </c>
      <c r="P197" s="150">
        <v>45721.763935185183</v>
      </c>
      <c r="Q197" s="24" t="str">
        <f t="shared" si="11"/>
        <v>Entregado</v>
      </c>
      <c r="R197" s="25">
        <f>IF(L197="Despachado",NETWORKDAYS.INTL(A197,O197,11,Valores!$A$2:$A$18)-1,"PTE")</f>
        <v>1</v>
      </c>
      <c r="S197" s="25">
        <f>IF(Q197="Entregado",NETWORKDAYS.INTL(A197,P197,11,Valores!$A$2:$A$18)-1,"PTE")</f>
        <v>2</v>
      </c>
      <c r="T197" s="25"/>
      <c r="U197" s="25"/>
      <c r="V197" s="25" t="str">
        <f>IF(Q197="Entregado",IF(S197&lt;=VLOOKUP(K197,Valores!E:F,2,0),"Cumple","No cumple"),"PTE")</f>
        <v>Cumple</v>
      </c>
      <c r="W197" s="25"/>
      <c r="X197" s="29">
        <v>42921</v>
      </c>
      <c r="Y197" s="224"/>
      <c r="Z197" s="28"/>
    </row>
    <row r="198" spans="1:26" hidden="1" x14ac:dyDescent="0.3">
      <c r="A198" s="34">
        <v>45719</v>
      </c>
      <c r="B198" s="7" t="str">
        <f t="shared" si="21"/>
        <v>marzo</v>
      </c>
      <c r="C198" s="27">
        <v>2465</v>
      </c>
      <c r="D198" s="23" t="s">
        <v>20</v>
      </c>
      <c r="E198" s="133" t="s">
        <v>643</v>
      </c>
      <c r="F198" s="22" t="s">
        <v>304</v>
      </c>
      <c r="G198" s="32" t="str">
        <f>IFERROR(VLOOKUP(F198,Productos!$A$2:$D$258,2,0)," ")</f>
        <v>Superficie  Fresno Europeo 150x70 Clasico</v>
      </c>
      <c r="H198" s="7">
        <v>1</v>
      </c>
      <c r="I198" s="32" t="str">
        <f>IFERROR(VLOOKUP(F198,Productos!$A$2:$D$258,3,0)," ")</f>
        <v>Superficie</v>
      </c>
      <c r="J198" s="134" t="s">
        <v>24</v>
      </c>
      <c r="K198" s="134" t="s">
        <v>644</v>
      </c>
      <c r="L198" s="26" t="str">
        <f t="shared" si="18"/>
        <v>Despachado</v>
      </c>
      <c r="M198" s="56" t="s">
        <v>238</v>
      </c>
      <c r="N198" s="51" t="s">
        <v>672</v>
      </c>
      <c r="O198" s="150">
        <v>45720.65797453704</v>
      </c>
      <c r="P198" s="150">
        <v>45721.763935185183</v>
      </c>
      <c r="Q198" s="24" t="str">
        <f t="shared" ref="Q198:Q261" si="22">IF(P198&gt;0,"Entregado","En transito")</f>
        <v>Entregado</v>
      </c>
      <c r="R198" s="25">
        <f>IF(L198="Despachado",NETWORKDAYS.INTL(A198,O198,11,Valores!$A$2:$A$18)-1,"PTE")</f>
        <v>1</v>
      </c>
      <c r="S198" s="25">
        <f>IF(Q198="Entregado",NETWORKDAYS.INTL(A198,P198,11,Valores!$A$2:$A$18)-1,"PTE")</f>
        <v>2</v>
      </c>
      <c r="T198" s="25"/>
      <c r="U198" s="25"/>
      <c r="V198" s="25" t="str">
        <f>IF(Q198="Entregado",IF(S198&lt;=VLOOKUP(K198,Valores!E:F,2,0),"Cumple","No cumple"),"PTE")</f>
        <v>Cumple</v>
      </c>
      <c r="W198" s="25"/>
      <c r="X198" s="29">
        <v>24093</v>
      </c>
      <c r="Y198" s="224"/>
      <c r="Z198" s="28"/>
    </row>
    <row r="199" spans="1:26" hidden="1" x14ac:dyDescent="0.3">
      <c r="A199" s="34">
        <v>45719</v>
      </c>
      <c r="B199" s="7" t="str">
        <f t="shared" si="21"/>
        <v>marzo</v>
      </c>
      <c r="C199" s="27">
        <v>2466</v>
      </c>
      <c r="D199" s="23" t="s">
        <v>20</v>
      </c>
      <c r="E199" s="133" t="s">
        <v>645</v>
      </c>
      <c r="F199" s="22" t="s">
        <v>74</v>
      </c>
      <c r="G199" s="32" t="str">
        <f>IFERROR(VLOOKUP(F199,Productos!$A$2:$D$258,2,0)," ")</f>
        <v>Repisa Caramelo</v>
      </c>
      <c r="H199" s="7">
        <v>1</v>
      </c>
      <c r="I199" s="32" t="str">
        <f>IFERROR(VLOOKUP(F199,Productos!$A$2:$D$258,3,0)," ")</f>
        <v>Repisa</v>
      </c>
      <c r="J199" s="54" t="s">
        <v>21</v>
      </c>
      <c r="K199" s="134" t="s">
        <v>22</v>
      </c>
      <c r="L199" s="26" t="str">
        <f t="shared" si="18"/>
        <v>Despachado</v>
      </c>
      <c r="M199" s="56" t="s">
        <v>238</v>
      </c>
      <c r="N199" s="51" t="s">
        <v>673</v>
      </c>
      <c r="O199" s="150">
        <v>45720.65797453704</v>
      </c>
      <c r="P199" s="150">
        <v>45722.398252314822</v>
      </c>
      <c r="Q199" s="24" t="str">
        <f t="shared" si="22"/>
        <v>Entregado</v>
      </c>
      <c r="R199" s="25">
        <f>IF(L199="Despachado",NETWORKDAYS.INTL(A199,O199,11,Valores!$A$2:$A$18)-1,"PTE")</f>
        <v>1</v>
      </c>
      <c r="S199" s="25">
        <f>IF(Q199="Entregado",NETWORKDAYS.INTL(A199,P199,11,Valores!$A$2:$A$18)-1,"PTE")</f>
        <v>3</v>
      </c>
      <c r="T199" s="25"/>
      <c r="U199" s="25"/>
      <c r="V199" s="25" t="str">
        <f>IF(Q199="Entregado",IF(S199&lt;=VLOOKUP(K199,Valores!E:F,2,0),"Cumple","No cumple"),"PTE")</f>
        <v>Cumple</v>
      </c>
      <c r="W199" s="25"/>
      <c r="X199" s="29">
        <v>23429</v>
      </c>
      <c r="Y199" s="224"/>
      <c r="Z199" s="28"/>
    </row>
    <row r="200" spans="1:26" hidden="1" x14ac:dyDescent="0.3">
      <c r="A200" s="34">
        <v>45720</v>
      </c>
      <c r="B200" s="7" t="str">
        <f t="shared" si="21"/>
        <v>marzo</v>
      </c>
      <c r="C200" s="27">
        <v>2467</v>
      </c>
      <c r="D200" s="23" t="s">
        <v>20</v>
      </c>
      <c r="E200" s="133" t="s">
        <v>646</v>
      </c>
      <c r="F200" s="22" t="s">
        <v>129</v>
      </c>
      <c r="G200" s="32" t="str">
        <f>IFERROR(VLOOKUP(F200,Productos!$A$2:$D$258,2,0)," ")</f>
        <v>Electric Standing Desk  PRO Negro</v>
      </c>
      <c r="H200" s="7">
        <v>1</v>
      </c>
      <c r="I200" s="32" t="str">
        <f>IFERROR(VLOOKUP(F200,Productos!$A$2:$D$258,3,0)," ")</f>
        <v>Standing Desk</v>
      </c>
      <c r="J200" s="54" t="s">
        <v>21</v>
      </c>
      <c r="K200" s="134" t="s">
        <v>22</v>
      </c>
      <c r="L200" s="26" t="str">
        <f t="shared" si="18"/>
        <v>Despachado</v>
      </c>
      <c r="M200" s="56" t="s">
        <v>238</v>
      </c>
      <c r="N200" s="135" t="s">
        <v>676</v>
      </c>
      <c r="O200" s="150">
        <v>45720</v>
      </c>
      <c r="P200" s="150">
        <v>45721</v>
      </c>
      <c r="Q200" s="24" t="str">
        <f t="shared" si="22"/>
        <v>Entregado</v>
      </c>
      <c r="R200" s="25">
        <f>IF(L200="Despachado",NETWORKDAYS.INTL(A200,O200,11,Valores!$A$2:$A$18)-1,"PTE")</f>
        <v>0</v>
      </c>
      <c r="S200" s="25">
        <f>IF(Q200="Entregado",NETWORKDAYS.INTL(A200,P200,11,Valores!$A$2:$A$18)-1,"PTE")</f>
        <v>1</v>
      </c>
      <c r="T200" s="25"/>
      <c r="U200" s="25"/>
      <c r="V200" s="25" t="str">
        <f>IF(Q200="Entregado",IF(S200&lt;=VLOOKUP(K200,Valores!E:F,2,0),"Cumple","No cumple"),"PTE")</f>
        <v>Cumple</v>
      </c>
      <c r="W200" s="25"/>
      <c r="X200" s="29">
        <v>42921</v>
      </c>
      <c r="Y200" s="224"/>
      <c r="Z200" s="28"/>
    </row>
    <row r="201" spans="1:26" hidden="1" x14ac:dyDescent="0.3">
      <c r="A201" s="34">
        <v>45720</v>
      </c>
      <c r="B201" s="7" t="str">
        <f t="shared" si="21"/>
        <v>marzo</v>
      </c>
      <c r="C201" s="27">
        <v>2467</v>
      </c>
      <c r="D201" s="23" t="s">
        <v>20</v>
      </c>
      <c r="E201" s="133" t="s">
        <v>646</v>
      </c>
      <c r="F201" s="22" t="s">
        <v>33</v>
      </c>
      <c r="G201" s="32" t="str">
        <f>IFERROR(VLOOKUP(F201,Productos!$A$2:$D$258,2,0)," ")</f>
        <v>Superficie  Caramelo 180x70 Clasico</v>
      </c>
      <c r="H201" s="7">
        <v>1</v>
      </c>
      <c r="I201" s="32" t="str">
        <f>IFERROR(VLOOKUP(F201,Productos!$A$2:$D$258,3,0)," ")</f>
        <v>Superficie</v>
      </c>
      <c r="J201" s="54" t="s">
        <v>21</v>
      </c>
      <c r="K201" s="134" t="s">
        <v>22</v>
      </c>
      <c r="L201" s="26" t="str">
        <f t="shared" si="18"/>
        <v>Despachado</v>
      </c>
      <c r="M201" s="56" t="s">
        <v>238</v>
      </c>
      <c r="N201" s="135" t="s">
        <v>678</v>
      </c>
      <c r="O201" s="150">
        <v>45720</v>
      </c>
      <c r="P201" s="150">
        <v>45722</v>
      </c>
      <c r="Q201" s="24" t="str">
        <f t="shared" si="22"/>
        <v>Entregado</v>
      </c>
      <c r="R201" s="25">
        <f>IF(L201="Despachado",NETWORKDAYS.INTL(A201,O201,11,Valores!$A$2:$A$18)-1,"PTE")</f>
        <v>0</v>
      </c>
      <c r="S201" s="25">
        <f>IF(Q201="Entregado",NETWORKDAYS.INTL(A201,P201,11,Valores!$A$2:$A$18)-1,"PTE")</f>
        <v>2</v>
      </c>
      <c r="T201" s="25"/>
      <c r="U201" s="25"/>
      <c r="V201" s="25" t="str">
        <f>IF(Q201="Entregado",IF(S201&lt;=VLOOKUP(K201,Valores!E:F,2,0),"Cumple","No cumple"),"PTE")</f>
        <v>Cumple</v>
      </c>
      <c r="W201" s="25"/>
      <c r="X201" s="29">
        <v>26749</v>
      </c>
      <c r="Y201" s="224"/>
      <c r="Z201" s="28"/>
    </row>
    <row r="202" spans="1:26" hidden="1" x14ac:dyDescent="0.3">
      <c r="A202" s="34">
        <v>45720</v>
      </c>
      <c r="B202" s="7" t="str">
        <f t="shared" si="21"/>
        <v>marzo</v>
      </c>
      <c r="C202" s="27">
        <v>2467</v>
      </c>
      <c r="D202" s="23" t="s">
        <v>20</v>
      </c>
      <c r="E202" s="133" t="s">
        <v>646</v>
      </c>
      <c r="F202" s="22" t="s">
        <v>68</v>
      </c>
      <c r="G202" s="32" t="str">
        <f>IFERROR(VLOOKUP(F202,Productos!$A$2:$D$258,2,0)," ")</f>
        <v>Archivador TECU  Caramelo</v>
      </c>
      <c r="H202" s="7">
        <v>1</v>
      </c>
      <c r="I202" s="32" t="str">
        <f>IFERROR(VLOOKUP(F202,Productos!$A$2:$D$258,3,0)," ")</f>
        <v>Archivador</v>
      </c>
      <c r="J202" s="54" t="s">
        <v>21</v>
      </c>
      <c r="K202" s="134" t="s">
        <v>22</v>
      </c>
      <c r="L202" s="26" t="str">
        <f t="shared" si="18"/>
        <v>Despachado</v>
      </c>
      <c r="M202" s="56" t="s">
        <v>239</v>
      </c>
      <c r="N202" s="135" t="s">
        <v>677</v>
      </c>
      <c r="O202" s="150">
        <v>45720</v>
      </c>
      <c r="P202" s="150">
        <v>45723</v>
      </c>
      <c r="Q202" s="24" t="str">
        <f t="shared" si="22"/>
        <v>Entregado</v>
      </c>
      <c r="R202" s="25">
        <f>IF(L202="Despachado",NETWORKDAYS.INTL(A202,O202,11,Valores!$A$2:$A$18)-1,"PTE")</f>
        <v>0</v>
      </c>
      <c r="S202" s="25">
        <f>IF(Q202="Entregado",NETWORKDAYS.INTL(A202,P202,11,Valores!$A$2:$A$18)-1,"PTE")</f>
        <v>3</v>
      </c>
      <c r="T202" s="25"/>
      <c r="U202" s="25"/>
      <c r="V202" s="25" t="str">
        <f>IF(Q202="Entregado",IF(S202&lt;=VLOOKUP(K202,Valores!E:F,2,0),"Cumple","No cumple"),"PTE")</f>
        <v>Cumple</v>
      </c>
      <c r="W202" s="25"/>
      <c r="X202" s="29">
        <v>54929</v>
      </c>
      <c r="Y202" s="224"/>
      <c r="Z202" s="28"/>
    </row>
    <row r="203" spans="1:26" hidden="1" x14ac:dyDescent="0.3">
      <c r="A203" s="34">
        <v>45720</v>
      </c>
      <c r="B203" s="7" t="str">
        <f t="shared" si="21"/>
        <v>marzo</v>
      </c>
      <c r="C203" s="27">
        <v>2468</v>
      </c>
      <c r="D203" s="23" t="s">
        <v>20</v>
      </c>
      <c r="E203" s="133" t="s">
        <v>647</v>
      </c>
      <c r="F203" s="22" t="s">
        <v>129</v>
      </c>
      <c r="G203" s="32" t="str">
        <f>IFERROR(VLOOKUP(F203,Productos!$A$2:$D$258,2,0)," ")</f>
        <v>Electric Standing Desk  PRO Negro</v>
      </c>
      <c r="H203" s="7">
        <v>1</v>
      </c>
      <c r="I203" s="32" t="str">
        <f>IFERROR(VLOOKUP(F203,Productos!$A$2:$D$258,3,0)," ")</f>
        <v>Standing Desk</v>
      </c>
      <c r="J203" s="134" t="s">
        <v>24</v>
      </c>
      <c r="K203" s="134" t="s">
        <v>27</v>
      </c>
      <c r="L203" s="26" t="str">
        <f t="shared" si="18"/>
        <v>Despachado</v>
      </c>
      <c r="M203" s="56" t="s">
        <v>238</v>
      </c>
      <c r="N203" s="135" t="s">
        <v>679</v>
      </c>
      <c r="O203" s="150">
        <v>45720</v>
      </c>
      <c r="P203" s="150">
        <v>45723</v>
      </c>
      <c r="Q203" s="24" t="str">
        <f t="shared" si="22"/>
        <v>Entregado</v>
      </c>
      <c r="R203" s="25">
        <f>IF(L203="Despachado",NETWORKDAYS.INTL(A203,O203,11,Valores!$A$2:$A$18)-1,"PTE")</f>
        <v>0</v>
      </c>
      <c r="S203" s="25">
        <f>IF(Q203="Entregado",NETWORKDAYS.INTL(A203,P203,11,Valores!$A$2:$A$18)-1,"PTE")</f>
        <v>3</v>
      </c>
      <c r="T203" s="25"/>
      <c r="U203" s="25"/>
      <c r="V203" s="25" t="str">
        <f>IF(Q203="Entregado",IF(S203&lt;=VLOOKUP(K203,Valores!E:F,2,0),"Cumple","No cumple"),"PTE")</f>
        <v>Cumple</v>
      </c>
      <c r="W203" s="25"/>
      <c r="X203" s="29">
        <v>42921</v>
      </c>
      <c r="Y203" s="224"/>
      <c r="Z203" s="28"/>
    </row>
    <row r="204" spans="1:26" hidden="1" x14ac:dyDescent="0.3">
      <c r="A204" s="34">
        <v>45720</v>
      </c>
      <c r="B204" s="7" t="str">
        <f t="shared" si="21"/>
        <v>marzo</v>
      </c>
      <c r="C204" s="27">
        <v>2468</v>
      </c>
      <c r="D204" s="23" t="s">
        <v>20</v>
      </c>
      <c r="E204" s="133" t="s">
        <v>647</v>
      </c>
      <c r="F204" s="22" t="s">
        <v>26</v>
      </c>
      <c r="G204" s="32" t="str">
        <f>IFERROR(VLOOKUP(F204,Productos!$A$2:$D$258,2,0)," ")</f>
        <v>Superficie Caramelo 150x70 Clasico</v>
      </c>
      <c r="H204" s="7">
        <v>1</v>
      </c>
      <c r="I204" s="32" t="str">
        <f>IFERROR(VLOOKUP(F204,Productos!$A$2:$D$258,3,0)," ")</f>
        <v>Superficie</v>
      </c>
      <c r="J204" s="134" t="s">
        <v>24</v>
      </c>
      <c r="K204" s="134" t="s">
        <v>27</v>
      </c>
      <c r="L204" s="26" t="str">
        <f t="shared" si="18"/>
        <v>Despachado</v>
      </c>
      <c r="M204" s="56" t="s">
        <v>238</v>
      </c>
      <c r="N204" s="135" t="s">
        <v>680</v>
      </c>
      <c r="O204" s="150">
        <v>45720</v>
      </c>
      <c r="P204" s="150">
        <v>45723</v>
      </c>
      <c r="Q204" s="24" t="str">
        <f t="shared" si="22"/>
        <v>Entregado</v>
      </c>
      <c r="R204" s="25">
        <f>IF(L204="Despachado",NETWORKDAYS.INTL(A204,O204,11,Valores!$A$2:$A$18)-1,"PTE")</f>
        <v>0</v>
      </c>
      <c r="S204" s="25">
        <f>IF(Q204="Entregado",NETWORKDAYS.INTL(A204,P204,11,Valores!$A$2:$A$18)-1,"PTE")</f>
        <v>3</v>
      </c>
      <c r="T204" s="25"/>
      <c r="U204" s="25"/>
      <c r="V204" s="25" t="str">
        <f>IF(Q204="Entregado",IF(S204&lt;=VLOOKUP(K204,Valores!E:F,2,0),"Cumple","No cumple"),"PTE")</f>
        <v>Cumple</v>
      </c>
      <c r="W204" s="25"/>
      <c r="X204" s="29">
        <v>24093</v>
      </c>
      <c r="Y204" s="224"/>
      <c r="Z204" s="28"/>
    </row>
    <row r="205" spans="1:26" hidden="1" x14ac:dyDescent="0.3">
      <c r="A205" s="34">
        <v>45720</v>
      </c>
      <c r="B205" s="7" t="str">
        <f t="shared" si="21"/>
        <v>marzo</v>
      </c>
      <c r="C205" s="27">
        <v>2468</v>
      </c>
      <c r="D205" s="23" t="s">
        <v>20</v>
      </c>
      <c r="E205" s="133" t="s">
        <v>647</v>
      </c>
      <c r="F205" s="22"/>
      <c r="G205" s="32" t="s">
        <v>1796</v>
      </c>
      <c r="H205" s="7">
        <v>1</v>
      </c>
      <c r="I205" s="32" t="s">
        <v>327</v>
      </c>
      <c r="J205" s="134" t="s">
        <v>24</v>
      </c>
      <c r="K205" s="134" t="s">
        <v>27</v>
      </c>
      <c r="L205" s="26" t="s">
        <v>327</v>
      </c>
      <c r="M205" s="56" t="s">
        <v>241</v>
      </c>
      <c r="N205" s="134" t="s">
        <v>241</v>
      </c>
      <c r="O205" s="152" t="s">
        <v>241</v>
      </c>
      <c r="P205" s="153" t="s">
        <v>241</v>
      </c>
      <c r="Q205" s="24" t="str">
        <f t="shared" si="22"/>
        <v>Entregado</v>
      </c>
      <c r="R205" s="25" t="str">
        <f>IF(L205="Despachado",NETWORKDAYS.INTL(A205,O205,11,Valores!$A$2:$A$18)-1,"PTE")</f>
        <v>PTE</v>
      </c>
      <c r="S205" s="25" t="e">
        <f>IF(Q205="Entregado",NETWORKDAYS.INTL(A205,P205,11,Valores!$A$2:$A$18)-1,"PTE")</f>
        <v>#VALUE!</v>
      </c>
      <c r="T205" s="25"/>
      <c r="U205" s="25"/>
      <c r="V205" s="25" t="e">
        <f>IF(Q205="Entregado",IF(S205&lt;=VLOOKUP(K205,Valores!E:F,2,0),"Cumple","No cumple"),"PTE")</f>
        <v>#VALUE!</v>
      </c>
      <c r="W205" s="25"/>
      <c r="X205" s="29">
        <v>0</v>
      </c>
      <c r="Y205" s="224"/>
      <c r="Z205" s="28"/>
    </row>
    <row r="206" spans="1:26" hidden="1" x14ac:dyDescent="0.3">
      <c r="A206" s="34">
        <v>45720</v>
      </c>
      <c r="B206" s="7" t="str">
        <f t="shared" si="21"/>
        <v>marzo</v>
      </c>
      <c r="C206" s="27">
        <v>2469</v>
      </c>
      <c r="D206" s="23" t="s">
        <v>20</v>
      </c>
      <c r="E206" s="133" t="s">
        <v>648</v>
      </c>
      <c r="F206" s="22" t="s">
        <v>129</v>
      </c>
      <c r="G206" s="32" t="str">
        <f>IFERROR(VLOOKUP(F206,Productos!$A$2:$D$258,2,0)," ")</f>
        <v>Electric Standing Desk  PRO Negro</v>
      </c>
      <c r="H206" s="7">
        <v>1</v>
      </c>
      <c r="I206" s="32" t="str">
        <f>IFERROR(VLOOKUP(F206,Productos!$A$2:$D$258,3,0)," ")</f>
        <v>Standing Desk</v>
      </c>
      <c r="J206" s="134" t="s">
        <v>24</v>
      </c>
      <c r="K206" s="134" t="s">
        <v>185</v>
      </c>
      <c r="L206" s="26" t="str">
        <f>IF(O206&gt;0,"Despachado","En alistamiento")</f>
        <v>Despachado</v>
      </c>
      <c r="M206" s="56" t="s">
        <v>238</v>
      </c>
      <c r="N206" s="135" t="s">
        <v>681</v>
      </c>
      <c r="O206" s="150">
        <v>45720</v>
      </c>
      <c r="P206" s="151">
        <v>45722</v>
      </c>
      <c r="Q206" s="24" t="str">
        <f t="shared" si="22"/>
        <v>Entregado</v>
      </c>
      <c r="R206" s="25">
        <f>IF(L206="Despachado",NETWORKDAYS.INTL(A206,O206,11,Valores!$A$2:$A$18)-1,"PTE")</f>
        <v>0</v>
      </c>
      <c r="S206" s="25">
        <f>IF(Q206="Entregado",NETWORKDAYS.INTL(A206,P206,11,Valores!$A$2:$A$18)-1,"PTE")</f>
        <v>2</v>
      </c>
      <c r="T206" s="25"/>
      <c r="U206" s="25"/>
      <c r="V206" s="25" t="str">
        <f>IF(Q206="Entregado",IF(S206&lt;=VLOOKUP(K206,Valores!E:F,2,0),"Cumple","No cumple"),"PTE")</f>
        <v>Cumple</v>
      </c>
      <c r="W206" s="25"/>
      <c r="X206" s="29">
        <v>42921</v>
      </c>
      <c r="Y206" s="224"/>
      <c r="Z206" s="28"/>
    </row>
    <row r="207" spans="1:26" hidden="1" x14ac:dyDescent="0.3">
      <c r="A207" s="34">
        <v>45720</v>
      </c>
      <c r="B207" s="7" t="str">
        <f t="shared" si="21"/>
        <v>marzo</v>
      </c>
      <c r="C207" s="27">
        <v>2469</v>
      </c>
      <c r="D207" s="23" t="s">
        <v>20</v>
      </c>
      <c r="E207" s="133" t="s">
        <v>648</v>
      </c>
      <c r="F207" s="22" t="s">
        <v>112</v>
      </c>
      <c r="G207" s="32" t="str">
        <f>IFERROR(VLOOKUP(F207,Productos!$A$2:$D$258,2,0)," ")</f>
        <v>Superficie  Roble Negro 150x70 Moderno</v>
      </c>
      <c r="H207" s="7">
        <v>1</v>
      </c>
      <c r="I207" s="32" t="str">
        <f>IFERROR(VLOOKUP(F207,Productos!$A$2:$D$258,3,0)," ")</f>
        <v>Superficie</v>
      </c>
      <c r="J207" s="134" t="s">
        <v>24</v>
      </c>
      <c r="K207" s="134" t="s">
        <v>185</v>
      </c>
      <c r="L207" s="26" t="str">
        <f>IF(O207&gt;0,"Despachado","En alistamiento")</f>
        <v>Despachado</v>
      </c>
      <c r="M207" s="56" t="s">
        <v>238</v>
      </c>
      <c r="N207" s="135" t="s">
        <v>682</v>
      </c>
      <c r="O207" s="150">
        <v>45720</v>
      </c>
      <c r="P207" s="151">
        <v>45722</v>
      </c>
      <c r="Q207" s="24" t="str">
        <f t="shared" si="22"/>
        <v>Entregado</v>
      </c>
      <c r="R207" s="25">
        <f>IF(L207="Despachado",NETWORKDAYS.INTL(A207,O207,11,Valores!$A$2:$A$18)-1,"PTE")</f>
        <v>0</v>
      </c>
      <c r="S207" s="25">
        <f>IF(Q207="Entregado",NETWORKDAYS.INTL(A207,P207,11,Valores!$A$2:$A$18)-1,"PTE")</f>
        <v>2</v>
      </c>
      <c r="T207" s="25"/>
      <c r="U207" s="25"/>
      <c r="V207" s="25" t="str">
        <f>IF(Q207="Entregado",IF(S207&lt;=VLOOKUP(K207,Valores!E:F,2,0),"Cumple","No cumple"),"PTE")</f>
        <v>Cumple</v>
      </c>
      <c r="W207" s="25"/>
      <c r="X207" s="29">
        <v>24093</v>
      </c>
      <c r="Y207" s="224"/>
      <c r="Z207" s="28"/>
    </row>
    <row r="208" spans="1:26" hidden="1" x14ac:dyDescent="0.3">
      <c r="A208" s="34">
        <v>45722</v>
      </c>
      <c r="B208" s="7" t="str">
        <f t="shared" si="21"/>
        <v>marzo</v>
      </c>
      <c r="C208" s="27">
        <v>2470</v>
      </c>
      <c r="D208" s="23" t="s">
        <v>20</v>
      </c>
      <c r="E208" s="133" t="s">
        <v>649</v>
      </c>
      <c r="F208" s="22" t="s">
        <v>57</v>
      </c>
      <c r="G208" s="32" t="str">
        <f>IFERROR(VLOOKUP(F208,Productos!$A$2:$D$258,2,0)," ")</f>
        <v>Electric Standing Desk  En L Frame Negro 2.0</v>
      </c>
      <c r="H208" s="7">
        <v>1</v>
      </c>
      <c r="I208" s="32" t="str">
        <f>IFERROR(VLOOKUP(F208,Productos!$A$2:$D$258,3,0)," ")</f>
        <v>Standing Desk</v>
      </c>
      <c r="J208" s="134" t="s">
        <v>24</v>
      </c>
      <c r="K208" s="134" t="s">
        <v>25</v>
      </c>
      <c r="L208" s="26" t="str">
        <f>IF(O208&gt;0,"Despachado","En alistamiento")</f>
        <v>Despachado</v>
      </c>
      <c r="M208" s="56" t="s">
        <v>238</v>
      </c>
      <c r="N208" s="135" t="s">
        <v>683</v>
      </c>
      <c r="O208" s="151">
        <v>45722</v>
      </c>
      <c r="P208" s="151">
        <v>45723</v>
      </c>
      <c r="Q208" s="24" t="str">
        <f t="shared" si="22"/>
        <v>Entregado</v>
      </c>
      <c r="R208" s="25">
        <f>IF(L208="Despachado",NETWORKDAYS.INTL(A208,O208,11,Valores!$A$2:$A$18)-1,"PTE")</f>
        <v>0</v>
      </c>
      <c r="S208" s="25">
        <f>IF(Q208="Entregado",NETWORKDAYS.INTL(A208,P208,11,Valores!$A$2:$A$18)-1,"PTE")</f>
        <v>1</v>
      </c>
      <c r="T208" s="25"/>
      <c r="U208" s="25"/>
      <c r="V208" s="25" t="str">
        <f>IF(Q208="Entregado",IF(S208&lt;=VLOOKUP(K208,Valores!E:F,2,0),"Cumple","No cumple"),"PTE")</f>
        <v>Cumple</v>
      </c>
      <c r="W208" s="25"/>
      <c r="X208" s="29">
        <v>62530</v>
      </c>
      <c r="Y208" s="224"/>
      <c r="Z208" s="28"/>
    </row>
    <row r="209" spans="1:26" hidden="1" x14ac:dyDescent="0.3">
      <c r="A209" s="34">
        <v>45722</v>
      </c>
      <c r="B209" s="7" t="str">
        <f t="shared" si="21"/>
        <v>marzo</v>
      </c>
      <c r="C209" s="27">
        <v>2470</v>
      </c>
      <c r="D209" s="23" t="s">
        <v>20</v>
      </c>
      <c r="E209" s="133" t="s">
        <v>649</v>
      </c>
      <c r="F209" s="22" t="s">
        <v>61</v>
      </c>
      <c r="G209" s="32" t="str">
        <f>IFERROR(VLOOKUP(F209,Productos!$A$2:$D$258,2,0)," ")</f>
        <v>Superficie  en L Negro 180x150cm x 70</v>
      </c>
      <c r="H209" s="7">
        <v>1</v>
      </c>
      <c r="I209" s="32" t="str">
        <f>IFERROR(VLOOKUP(F209,Productos!$A$2:$D$258,3,0)," ")</f>
        <v>Superficie</v>
      </c>
      <c r="J209" s="134" t="s">
        <v>24</v>
      </c>
      <c r="K209" s="134" t="s">
        <v>25</v>
      </c>
      <c r="L209" s="26" t="str">
        <f>IF(O209&gt;0,"Despachado","En alistamiento")</f>
        <v>Despachado</v>
      </c>
      <c r="M209" s="56" t="s">
        <v>238</v>
      </c>
      <c r="N209" s="135" t="s">
        <v>684</v>
      </c>
      <c r="O209" s="151">
        <v>45722</v>
      </c>
      <c r="P209" s="151">
        <v>45723</v>
      </c>
      <c r="Q209" s="24" t="str">
        <f t="shared" si="22"/>
        <v>Entregado</v>
      </c>
      <c r="R209" s="25">
        <f>IF(L209="Despachado",NETWORKDAYS.INTL(A209,O209,11,Valores!$A$2:$A$18)-1,"PTE")</f>
        <v>0</v>
      </c>
      <c r="S209" s="25">
        <f>IF(Q209="Entregado",NETWORKDAYS.INTL(A209,P209,11,Valores!$A$2:$A$18)-1,"PTE")</f>
        <v>1</v>
      </c>
      <c r="T209" s="25"/>
      <c r="U209" s="25"/>
      <c r="V209" s="25" t="str">
        <f>IF(Q209="Entregado",IF(S209&lt;=VLOOKUP(K209,Valores!E:F,2,0),"Cumple","No cumple"),"PTE")</f>
        <v>Cumple</v>
      </c>
      <c r="W209" s="25"/>
      <c r="X209" s="29">
        <v>26749</v>
      </c>
      <c r="Y209" s="224"/>
      <c r="Z209" s="28"/>
    </row>
    <row r="210" spans="1:26" hidden="1" x14ac:dyDescent="0.3">
      <c r="A210" s="34">
        <v>45722</v>
      </c>
      <c r="B210" s="7" t="str">
        <f t="shared" si="21"/>
        <v>marzo</v>
      </c>
      <c r="C210" s="27">
        <v>2470</v>
      </c>
      <c r="D210" s="23" t="s">
        <v>20</v>
      </c>
      <c r="E210" s="133" t="s">
        <v>649</v>
      </c>
      <c r="F210" s="22"/>
      <c r="G210" s="32" t="s">
        <v>1796</v>
      </c>
      <c r="H210" s="7">
        <v>1</v>
      </c>
      <c r="I210" s="32" t="s">
        <v>327</v>
      </c>
      <c r="J210" s="134" t="s">
        <v>24</v>
      </c>
      <c r="K210" s="134" t="s">
        <v>25</v>
      </c>
      <c r="L210" s="26" t="s">
        <v>327</v>
      </c>
      <c r="M210" s="56" t="s">
        <v>241</v>
      </c>
      <c r="N210" s="134" t="s">
        <v>241</v>
      </c>
      <c r="O210" s="152" t="s">
        <v>241</v>
      </c>
      <c r="P210" s="153" t="s">
        <v>241</v>
      </c>
      <c r="Q210" s="24" t="str">
        <f t="shared" si="22"/>
        <v>Entregado</v>
      </c>
      <c r="R210" s="25" t="str">
        <f>IF(L210="Despachado",NETWORKDAYS.INTL(A210,O210,11,Valores!$A$2:$A$18)-1,"PTE")</f>
        <v>PTE</v>
      </c>
      <c r="S210" s="25" t="e">
        <f>IF(Q210="Entregado",NETWORKDAYS.INTL(A210,P210,11,Valores!$A$2:$A$18)-1,"PTE")</f>
        <v>#VALUE!</v>
      </c>
      <c r="T210" s="25"/>
      <c r="U210" s="25"/>
      <c r="V210" s="25" t="e">
        <f>IF(Q210="Entregado",IF(S210&lt;=VLOOKUP(K210,Valores!E:F,2,0),"Cumple","No cumple"),"PTE")</f>
        <v>#VALUE!</v>
      </c>
      <c r="W210" s="25"/>
      <c r="X210" s="29">
        <v>0</v>
      </c>
      <c r="Y210" s="224"/>
      <c r="Z210" s="28"/>
    </row>
    <row r="211" spans="1:26" hidden="1" x14ac:dyDescent="0.3">
      <c r="A211" s="34">
        <v>45722</v>
      </c>
      <c r="B211" s="7" t="str">
        <f t="shared" si="21"/>
        <v>marzo</v>
      </c>
      <c r="C211" s="27">
        <v>2471</v>
      </c>
      <c r="D211" s="23" t="s">
        <v>20</v>
      </c>
      <c r="E211" s="133" t="s">
        <v>650</v>
      </c>
      <c r="F211" s="22" t="s">
        <v>129</v>
      </c>
      <c r="G211" s="32" t="str">
        <f>IFERROR(VLOOKUP(F211,Productos!$A$2:$D$258,2,0)," ")</f>
        <v>Electric Standing Desk  PRO Negro</v>
      </c>
      <c r="H211" s="7">
        <v>1</v>
      </c>
      <c r="I211" s="32" t="str">
        <f>IFERROR(VLOOKUP(F211,Productos!$A$2:$D$258,3,0)," ")</f>
        <v>Standing Desk</v>
      </c>
      <c r="J211" s="54" t="s">
        <v>21</v>
      </c>
      <c r="K211" s="134" t="s">
        <v>22</v>
      </c>
      <c r="L211" s="26" t="str">
        <f t="shared" ref="L211:L240" si="23">IF(O211&gt;0,"Despachado","En alistamiento")</f>
        <v>Despachado</v>
      </c>
      <c r="M211" s="56" t="s">
        <v>238</v>
      </c>
      <c r="N211" s="135" t="s">
        <v>685</v>
      </c>
      <c r="O211" s="150">
        <v>45722</v>
      </c>
      <c r="P211" s="151">
        <v>45723</v>
      </c>
      <c r="Q211" s="24" t="str">
        <f t="shared" si="22"/>
        <v>Entregado</v>
      </c>
      <c r="R211" s="25">
        <f>IF(L211="Despachado",NETWORKDAYS.INTL(A211,O211,11,Valores!$A$2:$A$18)-1,"PTE")</f>
        <v>0</v>
      </c>
      <c r="S211" s="25">
        <f>IF(Q211="Entregado",NETWORKDAYS.INTL(A211,P211,11,Valores!$A$2:$A$18)-1,"PTE")</f>
        <v>1</v>
      </c>
      <c r="T211" s="25"/>
      <c r="U211" s="25"/>
      <c r="V211" s="25" t="str">
        <f>IF(Q211="Entregado",IF(S211&lt;=VLOOKUP(K211,Valores!E:F,2,0),"Cumple","No cumple"),"PTE")</f>
        <v>Cumple</v>
      </c>
      <c r="W211" s="25"/>
      <c r="X211" s="29">
        <v>42921</v>
      </c>
      <c r="Y211" s="224"/>
      <c r="Z211" s="28"/>
    </row>
    <row r="212" spans="1:26" hidden="1" x14ac:dyDescent="0.3">
      <c r="A212" s="34">
        <v>45722</v>
      </c>
      <c r="B212" s="7" t="str">
        <f t="shared" si="21"/>
        <v>marzo</v>
      </c>
      <c r="C212" s="27">
        <v>2471</v>
      </c>
      <c r="D212" s="23" t="s">
        <v>20</v>
      </c>
      <c r="E212" s="133" t="s">
        <v>650</v>
      </c>
      <c r="F212" s="22" t="s">
        <v>143</v>
      </c>
      <c r="G212" s="32" t="str">
        <f>IFERROR(VLOOKUP(F212,Productos!$A$2:$D$258,2,0)," ")</f>
        <v>Superficie  Caramelo 160x70 Clasico</v>
      </c>
      <c r="H212" s="7">
        <v>1</v>
      </c>
      <c r="I212" s="32" t="str">
        <f>IFERROR(VLOOKUP(F212,Productos!$A$2:$D$258,3,0)," ")</f>
        <v>Superficie</v>
      </c>
      <c r="J212" s="54" t="s">
        <v>21</v>
      </c>
      <c r="K212" s="134" t="s">
        <v>22</v>
      </c>
      <c r="L212" s="26" t="str">
        <f t="shared" si="23"/>
        <v>Despachado</v>
      </c>
      <c r="M212" s="56" t="s">
        <v>238</v>
      </c>
      <c r="N212" s="135" t="s">
        <v>686</v>
      </c>
      <c r="O212" s="150">
        <v>45722</v>
      </c>
      <c r="P212" s="151">
        <v>45723</v>
      </c>
      <c r="Q212" s="24" t="str">
        <f t="shared" si="22"/>
        <v>Entregado</v>
      </c>
      <c r="R212" s="25">
        <f>IF(L212="Despachado",NETWORKDAYS.INTL(A212,O212,11,Valores!$A$2:$A$18)-1,"PTE")</f>
        <v>0</v>
      </c>
      <c r="S212" s="25">
        <f>IF(Q212="Entregado",NETWORKDAYS.INTL(A212,P212,11,Valores!$A$2:$A$18)-1,"PTE")</f>
        <v>1</v>
      </c>
      <c r="T212" s="25"/>
      <c r="U212" s="25"/>
      <c r="V212" s="25" t="str">
        <f>IF(Q212="Entregado",IF(S212&lt;=VLOOKUP(K212,Valores!E:F,2,0),"Cumple","No cumple"),"PTE")</f>
        <v>Cumple</v>
      </c>
      <c r="W212" s="25"/>
      <c r="X212" s="29">
        <v>24093</v>
      </c>
      <c r="Y212" s="224"/>
      <c r="Z212" s="28"/>
    </row>
    <row r="213" spans="1:26" hidden="1" x14ac:dyDescent="0.3">
      <c r="A213" s="34">
        <v>45722</v>
      </c>
      <c r="B213" s="7" t="str">
        <f t="shared" si="21"/>
        <v>marzo</v>
      </c>
      <c r="C213" s="27">
        <v>2472</v>
      </c>
      <c r="D213" s="23" t="s">
        <v>20</v>
      </c>
      <c r="E213" s="136" t="s">
        <v>687</v>
      </c>
      <c r="F213" s="22" t="s">
        <v>72</v>
      </c>
      <c r="G213" s="32" t="str">
        <f>IFERROR(VLOOKUP(F213,Productos!$A$2:$D$258,2,0)," ")</f>
        <v>Repisa Negro</v>
      </c>
      <c r="H213" s="7">
        <v>1</v>
      </c>
      <c r="I213" s="32" t="str">
        <f>IFERROR(VLOOKUP(F213,Productos!$A$2:$D$258,3,0)," ")</f>
        <v>Repisa</v>
      </c>
      <c r="J213" s="54" t="s">
        <v>21</v>
      </c>
      <c r="K213" s="134" t="s">
        <v>22</v>
      </c>
      <c r="L213" s="26" t="str">
        <f t="shared" si="23"/>
        <v>Despachado</v>
      </c>
      <c r="M213" s="56" t="s">
        <v>238</v>
      </c>
      <c r="N213" s="135" t="s">
        <v>688</v>
      </c>
      <c r="O213" s="150">
        <v>45722</v>
      </c>
      <c r="P213" s="151">
        <v>45723</v>
      </c>
      <c r="Q213" s="24" t="str">
        <f t="shared" si="22"/>
        <v>Entregado</v>
      </c>
      <c r="R213" s="25">
        <f>IF(L213="Despachado",NETWORKDAYS.INTL(A213,O213,11,Valores!$A$2:$A$18)-1,"PTE")</f>
        <v>0</v>
      </c>
      <c r="S213" s="25">
        <f>IF(Q213="Entregado",NETWORKDAYS.INTL(A213,P213,11,Valores!$A$2:$A$18)-1,"PTE")</f>
        <v>1</v>
      </c>
      <c r="T213" s="25"/>
      <c r="U213" s="25"/>
      <c r="V213" s="25" t="str">
        <f>IF(Q213="Entregado",IF(S213&lt;=VLOOKUP(K213,Valores!E:F,2,0),"Cumple","No cumple"),"PTE")</f>
        <v>Cumple</v>
      </c>
      <c r="W213" s="25"/>
      <c r="X213" s="29">
        <v>23429</v>
      </c>
      <c r="Y213" s="224"/>
      <c r="Z213" s="28"/>
    </row>
    <row r="214" spans="1:26" hidden="1" x14ac:dyDescent="0.3">
      <c r="A214" s="34">
        <v>45723</v>
      </c>
      <c r="B214" s="7" t="str">
        <f t="shared" si="21"/>
        <v>marzo</v>
      </c>
      <c r="C214" s="27">
        <v>2473</v>
      </c>
      <c r="D214" s="23" t="s">
        <v>20</v>
      </c>
      <c r="E214" s="136" t="s">
        <v>689</v>
      </c>
      <c r="F214" s="22" t="s">
        <v>129</v>
      </c>
      <c r="G214" s="32" t="str">
        <f>IFERROR(VLOOKUP(F214,Productos!$A$2:$D$258,2,0)," ")</f>
        <v>Electric Standing Desk  PRO Negro</v>
      </c>
      <c r="H214" s="7">
        <v>1</v>
      </c>
      <c r="I214" s="32" t="str">
        <f>IFERROR(VLOOKUP(F214,Productos!$A$2:$D$258,3,0)," ")</f>
        <v>Standing Desk</v>
      </c>
      <c r="J214" s="54" t="s">
        <v>21</v>
      </c>
      <c r="K214" s="134" t="s">
        <v>22</v>
      </c>
      <c r="L214" s="26" t="str">
        <f t="shared" si="23"/>
        <v>Despachado</v>
      </c>
      <c r="M214" s="56" t="s">
        <v>238</v>
      </c>
      <c r="N214" s="135" t="s">
        <v>690</v>
      </c>
      <c r="O214" s="151">
        <v>45723</v>
      </c>
      <c r="P214" s="151">
        <v>45724</v>
      </c>
      <c r="Q214" s="24" t="str">
        <f t="shared" si="22"/>
        <v>Entregado</v>
      </c>
      <c r="R214" s="25">
        <f>IF(L214="Despachado",NETWORKDAYS.INTL(A214,O214,11,Valores!$A$2:$A$18)-1,"PTE")</f>
        <v>0</v>
      </c>
      <c r="S214" s="25">
        <f>IF(Q214="Entregado",NETWORKDAYS.INTL(A214,P214,11,Valores!$A$2:$A$18)-1,"PTE")</f>
        <v>1</v>
      </c>
      <c r="T214" s="25"/>
      <c r="U214" s="25"/>
      <c r="V214" s="25" t="str">
        <f>IF(Q214="Entregado",IF(S214&lt;=VLOOKUP(K214,Valores!E:F,2,0),"Cumple","No cumple"),"PTE")</f>
        <v>Cumple</v>
      </c>
      <c r="W214" s="25"/>
      <c r="X214" s="29">
        <v>42921</v>
      </c>
      <c r="Y214" s="224"/>
      <c r="Z214" s="28"/>
    </row>
    <row r="215" spans="1:26" hidden="1" x14ac:dyDescent="0.3">
      <c r="A215" s="34">
        <v>45723</v>
      </c>
      <c r="B215" s="7" t="str">
        <f t="shared" si="21"/>
        <v>marzo</v>
      </c>
      <c r="C215" s="27">
        <v>2473</v>
      </c>
      <c r="D215" s="23" t="s">
        <v>20</v>
      </c>
      <c r="E215" s="136" t="s">
        <v>689</v>
      </c>
      <c r="F215" s="22" t="s">
        <v>306</v>
      </c>
      <c r="G215" s="32" t="str">
        <f>IFERROR(VLOOKUP(F215,Productos!$A$2:$D$258,2,0)," ")</f>
        <v>Superficie  Fresno Europeo 170x70 Clasico</v>
      </c>
      <c r="H215" s="7">
        <v>1</v>
      </c>
      <c r="I215" s="32" t="str">
        <f>IFERROR(VLOOKUP(F215,Productos!$A$2:$D$258,3,0)," ")</f>
        <v>Superficie</v>
      </c>
      <c r="J215" s="54" t="s">
        <v>21</v>
      </c>
      <c r="K215" s="134" t="s">
        <v>22</v>
      </c>
      <c r="L215" s="26" t="str">
        <f t="shared" si="23"/>
        <v>Despachado</v>
      </c>
      <c r="M215" s="56" t="s">
        <v>238</v>
      </c>
      <c r="N215" s="135" t="s">
        <v>691</v>
      </c>
      <c r="O215" s="151">
        <v>45723</v>
      </c>
      <c r="P215" s="151">
        <v>45724</v>
      </c>
      <c r="Q215" s="24" t="str">
        <f t="shared" si="22"/>
        <v>Entregado</v>
      </c>
      <c r="R215" s="25">
        <f>IF(L215="Despachado",NETWORKDAYS.INTL(A215,O215,11,Valores!$A$2:$A$18)-1,"PTE")</f>
        <v>0</v>
      </c>
      <c r="S215" s="25">
        <f>IF(Q215="Entregado",NETWORKDAYS.INTL(A215,P215,11,Valores!$A$2:$A$18)-1,"PTE")</f>
        <v>1</v>
      </c>
      <c r="T215" s="25"/>
      <c r="U215" s="25"/>
      <c r="V215" s="25" t="str">
        <f>IF(Q215="Entregado",IF(S215&lt;=VLOOKUP(K215,Valores!E:F,2,0),"Cumple","No cumple"),"PTE")</f>
        <v>Cumple</v>
      </c>
      <c r="W215" s="25"/>
      <c r="X215" s="29">
        <v>24093</v>
      </c>
      <c r="Y215" s="224"/>
      <c r="Z215" s="28"/>
    </row>
    <row r="216" spans="1:26" hidden="1" x14ac:dyDescent="0.3">
      <c r="A216" s="34">
        <v>45723</v>
      </c>
      <c r="B216" s="7" t="str">
        <f t="shared" si="21"/>
        <v>marzo</v>
      </c>
      <c r="C216" s="27">
        <v>2474</v>
      </c>
      <c r="D216" s="23" t="s">
        <v>20</v>
      </c>
      <c r="E216" s="136" t="s">
        <v>692</v>
      </c>
      <c r="F216" s="22" t="s">
        <v>129</v>
      </c>
      <c r="G216" s="32" t="str">
        <f>IFERROR(VLOOKUP(F216,Productos!$A$2:$D$258,2,0)," ")</f>
        <v>Electric Standing Desk  PRO Negro</v>
      </c>
      <c r="H216" s="7">
        <v>1</v>
      </c>
      <c r="I216" s="32" t="str">
        <f>IFERROR(VLOOKUP(F216,Productos!$A$2:$D$258,3,0)," ")</f>
        <v>Standing Desk</v>
      </c>
      <c r="J216" s="54" t="s">
        <v>21</v>
      </c>
      <c r="K216" s="134" t="s">
        <v>22</v>
      </c>
      <c r="L216" s="26" t="str">
        <f t="shared" si="23"/>
        <v>Despachado</v>
      </c>
      <c r="M216" s="56" t="s">
        <v>238</v>
      </c>
      <c r="N216" s="135" t="s">
        <v>693</v>
      </c>
      <c r="O216" s="151">
        <v>45723</v>
      </c>
      <c r="P216" s="151">
        <v>45726</v>
      </c>
      <c r="Q216" s="24" t="str">
        <f t="shared" si="22"/>
        <v>Entregado</v>
      </c>
      <c r="R216" s="25">
        <f>IF(L216="Despachado",NETWORKDAYS.INTL(A216,O216,11,Valores!$A$2:$A$18)-1,"PTE")</f>
        <v>0</v>
      </c>
      <c r="S216" s="25">
        <f>IF(Q216="Entregado",NETWORKDAYS.INTL(A216,P216,11,Valores!$A$2:$A$18)-1,"PTE")</f>
        <v>2</v>
      </c>
      <c r="T216" s="25"/>
      <c r="U216" s="25"/>
      <c r="V216" s="25" t="str">
        <f>IF(Q216="Entregado",IF(S216&lt;=VLOOKUP(K216,Valores!E:F,2,0),"Cumple","No cumple"),"PTE")</f>
        <v>Cumple</v>
      </c>
      <c r="W216" s="25"/>
      <c r="X216" s="29">
        <v>42921</v>
      </c>
      <c r="Y216" s="224"/>
      <c r="Z216" s="28"/>
    </row>
    <row r="217" spans="1:26" hidden="1" x14ac:dyDescent="0.3">
      <c r="A217" s="34">
        <v>45723</v>
      </c>
      <c r="B217" s="7" t="str">
        <f t="shared" si="21"/>
        <v>marzo</v>
      </c>
      <c r="C217" s="27">
        <v>2474</v>
      </c>
      <c r="D217" s="23" t="s">
        <v>20</v>
      </c>
      <c r="E217" s="136" t="s">
        <v>692</v>
      </c>
      <c r="F217" s="22" t="s">
        <v>33</v>
      </c>
      <c r="G217" s="32" t="str">
        <f>IFERROR(VLOOKUP(F217,Productos!$A$2:$D$258,2,0)," ")</f>
        <v>Superficie  Caramelo 180x70 Clasico</v>
      </c>
      <c r="H217" s="7">
        <v>1</v>
      </c>
      <c r="I217" s="32" t="str">
        <f>IFERROR(VLOOKUP(F217,Productos!$A$2:$D$258,3,0)," ")</f>
        <v>Superficie</v>
      </c>
      <c r="J217" s="54" t="s">
        <v>21</v>
      </c>
      <c r="K217" s="134" t="s">
        <v>22</v>
      </c>
      <c r="L217" s="26" t="str">
        <f t="shared" si="23"/>
        <v>Despachado</v>
      </c>
      <c r="M217" s="56" t="s">
        <v>238</v>
      </c>
      <c r="N217" s="135" t="s">
        <v>694</v>
      </c>
      <c r="O217" s="151">
        <v>45723</v>
      </c>
      <c r="P217" s="151">
        <v>45726</v>
      </c>
      <c r="Q217" s="24" t="str">
        <f t="shared" si="22"/>
        <v>Entregado</v>
      </c>
      <c r="R217" s="25">
        <f>IF(L217="Despachado",NETWORKDAYS.INTL(A217,O217,11,Valores!$A$2:$A$18)-1,"PTE")</f>
        <v>0</v>
      </c>
      <c r="S217" s="25">
        <f>IF(Q217="Entregado",NETWORKDAYS.INTL(A217,P217,11,Valores!$A$2:$A$18)-1,"PTE")</f>
        <v>2</v>
      </c>
      <c r="T217" s="25"/>
      <c r="U217" s="25"/>
      <c r="V217" s="25" t="str">
        <f>IF(Q217="Entregado",IF(S217&lt;=VLOOKUP(K217,Valores!E:F,2,0),"Cumple","No cumple"),"PTE")</f>
        <v>Cumple</v>
      </c>
      <c r="W217" s="25"/>
      <c r="X217" s="29">
        <v>26749</v>
      </c>
      <c r="Y217" s="224"/>
      <c r="Z217" s="28"/>
    </row>
    <row r="218" spans="1:26" hidden="1" x14ac:dyDescent="0.3">
      <c r="A218" s="34">
        <v>45726</v>
      </c>
      <c r="B218" s="7" t="str">
        <f t="shared" si="21"/>
        <v>marzo</v>
      </c>
      <c r="C218" s="27">
        <v>2475</v>
      </c>
      <c r="D218" s="23" t="s">
        <v>20</v>
      </c>
      <c r="E218" s="136" t="s">
        <v>695</v>
      </c>
      <c r="F218" s="22" t="s">
        <v>66</v>
      </c>
      <c r="G218" s="32" t="str">
        <f>IFERROR(VLOOKUP(F218,Productos!$A$2:$D$258,2,0)," ")</f>
        <v>Archivador TECU  Miel</v>
      </c>
      <c r="H218" s="7">
        <v>1</v>
      </c>
      <c r="I218" s="32" t="str">
        <f>IFERROR(VLOOKUP(F218,Productos!$A$2:$D$258,3,0)," ")</f>
        <v>Archivador</v>
      </c>
      <c r="J218" s="54" t="s">
        <v>21</v>
      </c>
      <c r="K218" s="134" t="s">
        <v>22</v>
      </c>
      <c r="L218" s="26" t="str">
        <f t="shared" si="23"/>
        <v>Despachado</v>
      </c>
      <c r="M218" s="56" t="s">
        <v>239</v>
      </c>
      <c r="N218" s="135" t="s">
        <v>696</v>
      </c>
      <c r="O218" s="150">
        <v>45726</v>
      </c>
      <c r="P218" s="151">
        <v>45727</v>
      </c>
      <c r="Q218" s="24" t="str">
        <f t="shared" si="22"/>
        <v>Entregado</v>
      </c>
      <c r="R218" s="25">
        <f>IF(L218="Despachado",NETWORKDAYS.INTL(A218,O218,11,Valores!$A$2:$A$18)-1,"PTE")</f>
        <v>0</v>
      </c>
      <c r="S218" s="25">
        <f>IF(Q218="Entregado",NETWORKDAYS.INTL(A218,P218,11,Valores!$A$2:$A$18)-1,"PTE")</f>
        <v>1</v>
      </c>
      <c r="T218" s="25"/>
      <c r="U218" s="25"/>
      <c r="V218" s="25" t="str">
        <f>IF(Q218="Entregado",IF(S218&lt;=VLOOKUP(K218,Valores!E:F,2,0),"Cumple","No cumple"),"PTE")</f>
        <v>Cumple</v>
      </c>
      <c r="W218" s="25"/>
      <c r="X218" s="29">
        <v>54929</v>
      </c>
      <c r="Y218" s="224"/>
      <c r="Z218" s="28"/>
    </row>
    <row r="219" spans="1:26" hidden="1" x14ac:dyDescent="0.3">
      <c r="A219" s="34">
        <v>45726</v>
      </c>
      <c r="B219" s="7" t="str">
        <f t="shared" si="21"/>
        <v>marzo</v>
      </c>
      <c r="C219" s="27">
        <v>2476</v>
      </c>
      <c r="D219" s="23" t="s">
        <v>20</v>
      </c>
      <c r="E219" s="136" t="s">
        <v>697</v>
      </c>
      <c r="F219" s="40" t="s">
        <v>123</v>
      </c>
      <c r="G219" s="32" t="str">
        <f>IFERROR(VLOOKUP(F219,Productos!$A$2:$D$258,2,0)," ")</f>
        <v>Electric Standing Desk GO Negro</v>
      </c>
      <c r="H219" s="7">
        <v>1</v>
      </c>
      <c r="I219" s="32" t="str">
        <f>IFERROR(VLOOKUP(F219,Productos!$A$2:$D$258,3,0)," ")</f>
        <v>Standing Desk</v>
      </c>
      <c r="J219" s="135" t="s">
        <v>698</v>
      </c>
      <c r="K219" s="135" t="s">
        <v>699</v>
      </c>
      <c r="L219" s="26" t="str">
        <f t="shared" si="23"/>
        <v>Despachado</v>
      </c>
      <c r="M219" s="56" t="s">
        <v>238</v>
      </c>
      <c r="N219" s="135" t="s">
        <v>700</v>
      </c>
      <c r="O219" s="150">
        <v>45726</v>
      </c>
      <c r="P219" s="151">
        <v>45729</v>
      </c>
      <c r="Q219" s="24" t="str">
        <f t="shared" si="22"/>
        <v>Entregado</v>
      </c>
      <c r="R219" s="25">
        <f>IF(L219="Despachado",NETWORKDAYS.INTL(A219,O219,11,Valores!$A$2:$A$18)-1,"PTE")</f>
        <v>0</v>
      </c>
      <c r="S219" s="25">
        <f>IF(Q219="Entregado",NETWORKDAYS.INTL(A219,P219,11,Valores!$A$2:$A$18)-1,"PTE")</f>
        <v>3</v>
      </c>
      <c r="T219" s="25"/>
      <c r="U219" s="25"/>
      <c r="V219" s="25" t="e">
        <f>IF(Q219="Entregado",IF(S219&lt;=VLOOKUP(K219,Valores!E:F,2,0),"Cumple","No cumple"),"PTE")</f>
        <v>#N/A</v>
      </c>
      <c r="W219" s="25"/>
      <c r="X219" s="29">
        <v>59835</v>
      </c>
      <c r="Y219" s="224"/>
      <c r="Z219" s="28"/>
    </row>
    <row r="220" spans="1:26" hidden="1" x14ac:dyDescent="0.3">
      <c r="A220" s="34">
        <v>45726</v>
      </c>
      <c r="B220" s="7" t="str">
        <f t="shared" si="21"/>
        <v>marzo</v>
      </c>
      <c r="C220" s="27">
        <v>2476</v>
      </c>
      <c r="D220" s="23" t="s">
        <v>20</v>
      </c>
      <c r="E220" s="136" t="s">
        <v>697</v>
      </c>
      <c r="F220" s="22" t="s">
        <v>143</v>
      </c>
      <c r="G220" s="32" t="str">
        <f>IFERROR(VLOOKUP(F220,Productos!$A$2:$D$258,2,0)," ")</f>
        <v>Superficie  Caramelo 160x70 Clasico</v>
      </c>
      <c r="H220" s="7">
        <v>1</v>
      </c>
      <c r="I220" s="32" t="str">
        <f>IFERROR(VLOOKUP(F220,Productos!$A$2:$D$258,3,0)," ")</f>
        <v>Superficie</v>
      </c>
      <c r="J220" s="135" t="s">
        <v>698</v>
      </c>
      <c r="K220" s="135" t="s">
        <v>699</v>
      </c>
      <c r="L220" s="26" t="str">
        <f t="shared" si="23"/>
        <v>Despachado</v>
      </c>
      <c r="M220" s="56" t="s">
        <v>238</v>
      </c>
      <c r="N220" s="135" t="s">
        <v>701</v>
      </c>
      <c r="O220" s="150">
        <v>45726</v>
      </c>
      <c r="P220" s="151">
        <v>45729</v>
      </c>
      <c r="Q220" s="24" t="str">
        <f t="shared" si="22"/>
        <v>Entregado</v>
      </c>
      <c r="R220" s="25">
        <f>IF(L220="Despachado",NETWORKDAYS.INTL(A220,O220,11,Valores!$A$2:$A$18)-1,"PTE")</f>
        <v>0</v>
      </c>
      <c r="S220" s="25">
        <f>IF(Q220="Entregado",NETWORKDAYS.INTL(A220,P220,11,Valores!$A$2:$A$18)-1,"PTE")</f>
        <v>3</v>
      </c>
      <c r="T220" s="25"/>
      <c r="U220" s="25"/>
      <c r="V220" s="25" t="e">
        <f>IF(Q220="Entregado",IF(S220&lt;=VLOOKUP(K220,Valores!E:F,2,0),"Cumple","No cumple"),"PTE")</f>
        <v>#N/A</v>
      </c>
      <c r="W220" s="25"/>
      <c r="X220" s="29">
        <v>39078</v>
      </c>
      <c r="Y220" s="224"/>
      <c r="Z220" s="28"/>
    </row>
    <row r="221" spans="1:26" hidden="1" x14ac:dyDescent="0.3">
      <c r="A221" s="34">
        <v>45726</v>
      </c>
      <c r="B221" s="7" t="str">
        <f t="shared" si="21"/>
        <v>marzo</v>
      </c>
      <c r="C221" s="27">
        <v>2477</v>
      </c>
      <c r="D221" s="23" t="s">
        <v>20</v>
      </c>
      <c r="E221" s="136" t="s">
        <v>697</v>
      </c>
      <c r="F221" s="22" t="s">
        <v>83</v>
      </c>
      <c r="G221" s="32" t="str">
        <f>IFERROR(VLOOKUP(F221,Productos!$A$2:$D$258,2,0)," ")</f>
        <v>Desk Pad B Negro Azul</v>
      </c>
      <c r="H221" s="7">
        <v>1</v>
      </c>
      <c r="I221" s="32" t="str">
        <f>IFERROR(VLOOKUP(F221,Productos!$A$2:$D$258,3,0)," ")</f>
        <v>Accesorio</v>
      </c>
      <c r="J221" s="135" t="s">
        <v>698</v>
      </c>
      <c r="K221" s="135" t="s">
        <v>699</v>
      </c>
      <c r="L221" s="26" t="str">
        <f t="shared" si="23"/>
        <v>Despachado</v>
      </c>
      <c r="M221" s="56" t="s">
        <v>238</v>
      </c>
      <c r="N221" s="135" t="s">
        <v>702</v>
      </c>
      <c r="O221" s="150">
        <v>45726</v>
      </c>
      <c r="P221" s="151">
        <v>45729</v>
      </c>
      <c r="Q221" s="24" t="str">
        <f t="shared" si="22"/>
        <v>Entregado</v>
      </c>
      <c r="R221" s="25">
        <f>IF(L221="Despachado",NETWORKDAYS.INTL(A221,O221,11,Valores!$A$2:$A$18)-1,"PTE")</f>
        <v>0</v>
      </c>
      <c r="S221" s="25">
        <f>IF(Q221="Entregado",NETWORKDAYS.INTL(A221,P221,11,Valores!$A$2:$A$18)-1,"PTE")</f>
        <v>3</v>
      </c>
      <c r="T221" s="25"/>
      <c r="U221" s="25"/>
      <c r="V221" s="25" t="e">
        <f>IF(Q221="Entregado",IF(S221&lt;=VLOOKUP(K221,Valores!E:F,2,0),"Cumple","No cumple"),"PTE")</f>
        <v>#N/A</v>
      </c>
      <c r="W221" s="25"/>
      <c r="X221" s="29">
        <v>16617</v>
      </c>
      <c r="Y221" s="224"/>
      <c r="Z221" s="28"/>
    </row>
    <row r="222" spans="1:26" hidden="1" x14ac:dyDescent="0.3">
      <c r="A222" s="34">
        <v>45726</v>
      </c>
      <c r="B222" s="7" t="str">
        <f t="shared" si="21"/>
        <v>marzo</v>
      </c>
      <c r="C222" s="27">
        <v>2478</v>
      </c>
      <c r="D222" s="23" t="s">
        <v>20</v>
      </c>
      <c r="E222" s="136" t="s">
        <v>703</v>
      </c>
      <c r="F222" s="22" t="s">
        <v>280</v>
      </c>
      <c r="G222" s="32" t="str">
        <f>IFERROR(VLOOKUP(F222,Productos!$A$2:$D$258,2,0)," ")</f>
        <v>Rodachines con freno para Standing desk x 4 UN</v>
      </c>
      <c r="H222" s="7">
        <v>1</v>
      </c>
      <c r="I222" s="32" t="str">
        <f>IFERROR(VLOOKUP(F222,Productos!$A$2:$D$258,3,0)," ")</f>
        <v>Ruedas</v>
      </c>
      <c r="J222" s="54" t="s">
        <v>21</v>
      </c>
      <c r="K222" s="134" t="s">
        <v>22</v>
      </c>
      <c r="L222" s="26" t="str">
        <f t="shared" si="23"/>
        <v>Despachado</v>
      </c>
      <c r="M222" s="56" t="s">
        <v>238</v>
      </c>
      <c r="N222" s="135" t="s">
        <v>704</v>
      </c>
      <c r="O222" s="150">
        <v>45726</v>
      </c>
      <c r="P222" s="151">
        <v>45727</v>
      </c>
      <c r="Q222" s="24" t="str">
        <f t="shared" si="22"/>
        <v>Entregado</v>
      </c>
      <c r="R222" s="25">
        <f>IF(L222="Despachado",NETWORKDAYS.INTL(A222,O222,11,Valores!$A$2:$A$18)-1,"PTE")</f>
        <v>0</v>
      </c>
      <c r="S222" s="25">
        <f>IF(Q222="Entregado",NETWORKDAYS.INTL(A222,P222,11,Valores!$A$2:$A$18)-1,"PTE")</f>
        <v>1</v>
      </c>
      <c r="T222" s="25"/>
      <c r="U222" s="25"/>
      <c r="V222" s="25" t="str">
        <f>IF(Q222="Entregado",IF(S222&lt;=VLOOKUP(K222,Valores!E:F,2,0),"Cumple","No cumple"),"PTE")</f>
        <v>Cumple</v>
      </c>
      <c r="W222" s="25"/>
      <c r="X222" s="29">
        <v>23875</v>
      </c>
      <c r="Y222" s="224"/>
      <c r="Z222" s="28"/>
    </row>
    <row r="223" spans="1:26" hidden="1" x14ac:dyDescent="0.3">
      <c r="A223" s="34">
        <v>45726</v>
      </c>
      <c r="B223" s="7" t="str">
        <f t="shared" si="21"/>
        <v>marzo</v>
      </c>
      <c r="C223" s="27">
        <v>2479</v>
      </c>
      <c r="D223" s="23" t="s">
        <v>20</v>
      </c>
      <c r="E223" s="136" t="s">
        <v>705</v>
      </c>
      <c r="F223" s="22" t="s">
        <v>129</v>
      </c>
      <c r="G223" s="32" t="str">
        <f>IFERROR(VLOOKUP(F223,Productos!$A$2:$D$258,2,0)," ")</f>
        <v>Electric Standing Desk  PRO Negro</v>
      </c>
      <c r="H223" s="7">
        <v>1</v>
      </c>
      <c r="I223" s="32" t="str">
        <f>IFERROR(VLOOKUP(F223,Productos!$A$2:$D$258,3,0)," ")</f>
        <v>Standing Desk</v>
      </c>
      <c r="J223" s="54" t="s">
        <v>21</v>
      </c>
      <c r="K223" s="134" t="s">
        <v>22</v>
      </c>
      <c r="L223" s="26" t="str">
        <f t="shared" si="23"/>
        <v>Despachado</v>
      </c>
      <c r="M223" s="56" t="s">
        <v>238</v>
      </c>
      <c r="N223" s="135" t="s">
        <v>706</v>
      </c>
      <c r="O223" s="150">
        <v>45726</v>
      </c>
      <c r="P223" s="151">
        <v>45728</v>
      </c>
      <c r="Q223" s="24" t="str">
        <f t="shared" si="22"/>
        <v>Entregado</v>
      </c>
      <c r="R223" s="25">
        <f>IF(L223="Despachado",NETWORKDAYS.INTL(A223,O223,11,Valores!$A$2:$A$18)-1,"PTE")</f>
        <v>0</v>
      </c>
      <c r="S223" s="25">
        <f>IF(Q223="Entregado",NETWORKDAYS.INTL(A223,P223,11,Valores!$A$2:$A$18)-1,"PTE")</f>
        <v>2</v>
      </c>
      <c r="T223" s="25"/>
      <c r="U223" s="25"/>
      <c r="V223" s="25" t="str">
        <f>IF(Q223="Entregado",IF(S223&lt;=VLOOKUP(K223,Valores!E:F,2,0),"Cumple","No cumple"),"PTE")</f>
        <v>Cumple</v>
      </c>
      <c r="W223" s="25"/>
      <c r="X223" s="29">
        <v>42921</v>
      </c>
      <c r="Y223" s="224"/>
      <c r="Z223" s="28"/>
    </row>
    <row r="224" spans="1:26" hidden="1" x14ac:dyDescent="0.3">
      <c r="A224" s="34">
        <v>45726</v>
      </c>
      <c r="B224" s="7" t="str">
        <f t="shared" si="21"/>
        <v>marzo</v>
      </c>
      <c r="C224" s="27">
        <v>2479</v>
      </c>
      <c r="D224" s="23" t="s">
        <v>20</v>
      </c>
      <c r="E224" s="136" t="s">
        <v>705</v>
      </c>
      <c r="F224" s="22" t="s">
        <v>303</v>
      </c>
      <c r="G224" s="32" t="str">
        <f>IFERROR(VLOOKUP(F224,Productos!$A$2:$D$258,2,0)," ")</f>
        <v>Superficie  Fresno Europeo 140x70 Clasico</v>
      </c>
      <c r="H224" s="7">
        <v>1</v>
      </c>
      <c r="I224" s="32" t="str">
        <f>IFERROR(VLOOKUP(F224,Productos!$A$2:$D$258,3,0)," ")</f>
        <v>Superficie</v>
      </c>
      <c r="J224" s="54" t="s">
        <v>21</v>
      </c>
      <c r="K224" s="134" t="s">
        <v>22</v>
      </c>
      <c r="L224" s="26" t="str">
        <f t="shared" si="23"/>
        <v>Despachado</v>
      </c>
      <c r="M224" s="56" t="s">
        <v>238</v>
      </c>
      <c r="N224" s="135" t="s">
        <v>707</v>
      </c>
      <c r="O224" s="150">
        <v>45726</v>
      </c>
      <c r="P224" s="151">
        <v>45728</v>
      </c>
      <c r="Q224" s="24" t="str">
        <f t="shared" si="22"/>
        <v>Entregado</v>
      </c>
      <c r="R224" s="25">
        <f>IF(L224="Despachado",NETWORKDAYS.INTL(A224,O224,11,Valores!$A$2:$A$18)-1,"PTE")</f>
        <v>0</v>
      </c>
      <c r="S224" s="25">
        <f>IF(Q224="Entregado",NETWORKDAYS.INTL(A224,P224,11,Valores!$A$2:$A$18)-1,"PTE")</f>
        <v>2</v>
      </c>
      <c r="T224" s="25"/>
      <c r="U224" s="25"/>
      <c r="V224" s="25" t="str">
        <f>IF(Q224="Entregado",IF(S224&lt;=VLOOKUP(K224,Valores!E:F,2,0),"Cumple","No cumple"),"PTE")</f>
        <v>Cumple</v>
      </c>
      <c r="W224" s="25"/>
      <c r="X224" s="29">
        <v>24093</v>
      </c>
      <c r="Y224" s="224"/>
      <c r="Z224" s="28"/>
    </row>
    <row r="225" spans="1:26" hidden="1" x14ac:dyDescent="0.3">
      <c r="A225" s="34">
        <v>45726</v>
      </c>
      <c r="B225" s="7" t="str">
        <f t="shared" si="21"/>
        <v>marzo</v>
      </c>
      <c r="C225" s="27">
        <v>2480</v>
      </c>
      <c r="D225" s="23" t="s">
        <v>20</v>
      </c>
      <c r="E225" s="136" t="s">
        <v>708</v>
      </c>
      <c r="F225" s="40" t="s">
        <v>123</v>
      </c>
      <c r="G225" s="32" t="str">
        <f>IFERROR(VLOOKUP(F225,Productos!$A$2:$D$258,2,0)," ")</f>
        <v>Electric Standing Desk GO Negro</v>
      </c>
      <c r="H225" s="7">
        <v>1</v>
      </c>
      <c r="I225" s="32" t="str">
        <f>IFERROR(VLOOKUP(F225,Productos!$A$2:$D$258,3,0)," ")</f>
        <v>Standing Desk</v>
      </c>
      <c r="J225" s="134" t="s">
        <v>24</v>
      </c>
      <c r="K225" s="134" t="s">
        <v>27</v>
      </c>
      <c r="L225" s="26" t="str">
        <f t="shared" si="23"/>
        <v>Despachado</v>
      </c>
      <c r="M225" s="56" t="s">
        <v>238</v>
      </c>
      <c r="N225" s="135" t="s">
        <v>710</v>
      </c>
      <c r="O225" s="150">
        <v>45727</v>
      </c>
      <c r="P225" s="151">
        <v>45728</v>
      </c>
      <c r="Q225" s="24" t="str">
        <f t="shared" si="22"/>
        <v>Entregado</v>
      </c>
      <c r="R225" s="25">
        <f>IF(L225="Despachado",NETWORKDAYS.INTL(A225,O225,11,Valores!$A$2:$A$18)-1,"PTE")</f>
        <v>1</v>
      </c>
      <c r="S225" s="25">
        <f>IF(Q225="Entregado",NETWORKDAYS.INTL(A225,P225,11,Valores!$A$2:$A$18)-1,"PTE")</f>
        <v>2</v>
      </c>
      <c r="T225" s="25"/>
      <c r="U225" s="25"/>
      <c r="V225" s="25" t="str">
        <f>IF(Q225="Entregado",IF(S225&lt;=VLOOKUP(K225,Valores!E:F,2,0),"Cumple","No cumple"),"PTE")</f>
        <v>Cumple</v>
      </c>
      <c r="W225" s="25"/>
      <c r="X225" s="29">
        <v>24093</v>
      </c>
      <c r="Y225" s="224"/>
      <c r="Z225" s="28"/>
    </row>
    <row r="226" spans="1:26" hidden="1" x14ac:dyDescent="0.3">
      <c r="A226" s="34">
        <v>45726</v>
      </c>
      <c r="B226" s="7" t="str">
        <f t="shared" si="21"/>
        <v>marzo</v>
      </c>
      <c r="C226" s="27">
        <v>2480</v>
      </c>
      <c r="D226" s="23" t="s">
        <v>20</v>
      </c>
      <c r="E226" s="136" t="s">
        <v>708</v>
      </c>
      <c r="F226" s="22" t="s">
        <v>26</v>
      </c>
      <c r="G226" s="32" t="str">
        <f>IFERROR(VLOOKUP(F226,Productos!$A$2:$D$258,2,0)," ")</f>
        <v>Superficie Caramelo 150x70 Clasico</v>
      </c>
      <c r="H226" s="7">
        <v>1</v>
      </c>
      <c r="I226" s="32" t="str">
        <f>IFERROR(VLOOKUP(F226,Productos!$A$2:$D$258,3,0)," ")</f>
        <v>Superficie</v>
      </c>
      <c r="J226" s="134" t="s">
        <v>24</v>
      </c>
      <c r="K226" s="134" t="s">
        <v>27</v>
      </c>
      <c r="L226" s="26" t="str">
        <f t="shared" si="23"/>
        <v>Despachado</v>
      </c>
      <c r="M226" s="56" t="s">
        <v>238</v>
      </c>
      <c r="N226" s="135" t="s">
        <v>709</v>
      </c>
      <c r="O226" s="150">
        <v>45727</v>
      </c>
      <c r="P226" s="151">
        <v>45728</v>
      </c>
      <c r="Q226" s="24" t="str">
        <f t="shared" si="22"/>
        <v>Entregado</v>
      </c>
      <c r="R226" s="25">
        <f>IF(L226="Despachado",NETWORKDAYS.INTL(A226,O226,11,Valores!$A$2:$A$18)-1,"PTE")</f>
        <v>1</v>
      </c>
      <c r="S226" s="25">
        <f>IF(Q226="Entregado",NETWORKDAYS.INTL(A226,P226,11,Valores!$A$2:$A$18)-1,"PTE")</f>
        <v>2</v>
      </c>
      <c r="T226" s="25"/>
      <c r="U226" s="25"/>
      <c r="V226" s="25" t="str">
        <f>IF(Q226="Entregado",IF(S226&lt;=VLOOKUP(K226,Valores!E:F,2,0),"Cumple","No cumple"),"PTE")</f>
        <v>Cumple</v>
      </c>
      <c r="W226" s="25"/>
      <c r="X226" s="29">
        <v>41593</v>
      </c>
      <c r="Y226" s="224"/>
      <c r="Z226" s="28"/>
    </row>
    <row r="227" spans="1:26" hidden="1" x14ac:dyDescent="0.3">
      <c r="A227" s="34">
        <v>45726</v>
      </c>
      <c r="B227" s="7" t="str">
        <f t="shared" si="21"/>
        <v>marzo</v>
      </c>
      <c r="C227" s="27">
        <v>2481</v>
      </c>
      <c r="D227" s="23" t="s">
        <v>20</v>
      </c>
      <c r="E227" s="136" t="s">
        <v>711</v>
      </c>
      <c r="F227" s="22" t="s">
        <v>129</v>
      </c>
      <c r="G227" s="32" t="str">
        <f>IFERROR(VLOOKUP(F227,Productos!$A$2:$D$258,2,0)," ")</f>
        <v>Electric Standing Desk  PRO Negro</v>
      </c>
      <c r="H227" s="7">
        <v>1</v>
      </c>
      <c r="I227" s="32" t="str">
        <f>IFERROR(VLOOKUP(F227,Productos!$A$2:$D$258,3,0)," ")</f>
        <v>Standing Desk</v>
      </c>
      <c r="J227" s="135" t="s">
        <v>698</v>
      </c>
      <c r="K227" s="135" t="s">
        <v>712</v>
      </c>
      <c r="L227" s="26" t="str">
        <f t="shared" si="23"/>
        <v>Despachado</v>
      </c>
      <c r="M227" s="56" t="s">
        <v>238</v>
      </c>
      <c r="N227" s="135" t="s">
        <v>713</v>
      </c>
      <c r="O227" s="150">
        <v>45727</v>
      </c>
      <c r="P227" s="151">
        <v>45729</v>
      </c>
      <c r="Q227" s="24" t="str">
        <f t="shared" si="22"/>
        <v>Entregado</v>
      </c>
      <c r="R227" s="25">
        <f>IF(L227="Despachado",NETWORKDAYS.INTL(A227,O227,11,Valores!$A$2:$A$18)-1,"PTE")</f>
        <v>1</v>
      </c>
      <c r="S227" s="25">
        <f>IF(Q227="Entregado",NETWORKDAYS.INTL(A227,P227,11,Valores!$A$2:$A$18)-1,"PTE")</f>
        <v>3</v>
      </c>
      <c r="T227" s="25"/>
      <c r="U227" s="25"/>
      <c r="V227" s="25" t="e">
        <f>IF(Q227="Entregado",IF(S227&lt;=VLOOKUP(K227,Valores!E:F,2,0),"Cumple","No cumple"),"PTE")</f>
        <v>#N/A</v>
      </c>
      <c r="W227" s="25"/>
      <c r="X227" s="29">
        <v>67467</v>
      </c>
      <c r="Y227" s="224"/>
      <c r="Z227" s="28"/>
    </row>
    <row r="228" spans="1:26" hidden="1" x14ac:dyDescent="0.3">
      <c r="A228" s="34">
        <v>45726</v>
      </c>
      <c r="B228" s="7" t="str">
        <f t="shared" si="21"/>
        <v>marzo</v>
      </c>
      <c r="C228" s="27">
        <v>2481</v>
      </c>
      <c r="D228" s="23" t="s">
        <v>20</v>
      </c>
      <c r="E228" s="136" t="s">
        <v>711</v>
      </c>
      <c r="F228" s="22" t="s">
        <v>307</v>
      </c>
      <c r="G228" s="32" t="str">
        <f>IFERROR(VLOOKUP(F228,Productos!$A$2:$D$258,2,0)," ")</f>
        <v>Superficie  Fresno Europeo 180x70 Clasico</v>
      </c>
      <c r="H228" s="7">
        <v>1</v>
      </c>
      <c r="I228" s="32" t="str">
        <f>IFERROR(VLOOKUP(F228,Productos!$A$2:$D$258,3,0)," ")</f>
        <v>Superficie</v>
      </c>
      <c r="J228" s="135" t="s">
        <v>698</v>
      </c>
      <c r="K228" s="135" t="s">
        <v>712</v>
      </c>
      <c r="L228" s="26" t="str">
        <f t="shared" si="23"/>
        <v>Despachado</v>
      </c>
      <c r="M228" s="56" t="s">
        <v>238</v>
      </c>
      <c r="N228" s="135" t="s">
        <v>714</v>
      </c>
      <c r="O228" s="150">
        <v>45727</v>
      </c>
      <c r="P228" s="151">
        <v>45729</v>
      </c>
      <c r="Q228" s="24" t="str">
        <f t="shared" si="22"/>
        <v>Entregado</v>
      </c>
      <c r="R228" s="25">
        <f>IF(L228="Despachado",NETWORKDAYS.INTL(A228,O228,11,Valores!$A$2:$A$18)-1,"PTE")</f>
        <v>1</v>
      </c>
      <c r="S228" s="25">
        <f>IF(Q228="Entregado",NETWORKDAYS.INTL(A228,P228,11,Valores!$A$2:$A$18)-1,"PTE")</f>
        <v>3</v>
      </c>
      <c r="T228" s="25"/>
      <c r="U228" s="25"/>
      <c r="V228" s="25" t="e">
        <f>IF(Q228="Entregado",IF(S228&lt;=VLOOKUP(K228,Valores!E:F,2,0),"Cumple","No cumple"),"PTE")</f>
        <v>#N/A</v>
      </c>
      <c r="W228" s="25"/>
      <c r="X228" s="29">
        <v>48840</v>
      </c>
      <c r="Y228" s="224"/>
      <c r="Z228" s="28"/>
    </row>
    <row r="229" spans="1:26" hidden="1" x14ac:dyDescent="0.3">
      <c r="A229" s="34">
        <v>45726</v>
      </c>
      <c r="B229" s="7" t="str">
        <f t="shared" si="21"/>
        <v>marzo</v>
      </c>
      <c r="C229" s="27">
        <v>2481</v>
      </c>
      <c r="D229" s="23" t="s">
        <v>20</v>
      </c>
      <c r="E229" s="136" t="s">
        <v>711</v>
      </c>
      <c r="F229" s="22" t="s">
        <v>240</v>
      </c>
      <c r="G229" s="32" t="str">
        <f>IFERROR(VLOOKUP(F229,Productos!$A$2:$D$258,2,0)," ")</f>
        <v>Bandeja de cables</v>
      </c>
      <c r="H229" s="7">
        <v>1</v>
      </c>
      <c r="I229" s="32" t="str">
        <f>IFERROR(VLOOKUP(F229,Productos!$A$2:$D$258,3,0)," ")</f>
        <v>Accesorio</v>
      </c>
      <c r="J229" s="135" t="s">
        <v>698</v>
      </c>
      <c r="K229" s="135" t="s">
        <v>712</v>
      </c>
      <c r="L229" s="26" t="str">
        <f t="shared" si="23"/>
        <v>Despachado</v>
      </c>
      <c r="M229" s="56" t="s">
        <v>238</v>
      </c>
      <c r="N229" s="135" t="s">
        <v>715</v>
      </c>
      <c r="O229" s="150">
        <v>45727</v>
      </c>
      <c r="P229" s="151">
        <v>45729</v>
      </c>
      <c r="Q229" s="24" t="str">
        <f t="shared" si="22"/>
        <v>Entregado</v>
      </c>
      <c r="R229" s="25">
        <f>IF(L229="Despachado",NETWORKDAYS.INTL(A229,O229,11,Valores!$A$2:$A$18)-1,"PTE")</f>
        <v>1</v>
      </c>
      <c r="S229" s="25">
        <f>IF(Q229="Entregado",NETWORKDAYS.INTL(A229,P229,11,Valores!$A$2:$A$18)-1,"PTE")</f>
        <v>3</v>
      </c>
      <c r="T229" s="25"/>
      <c r="U229" s="25"/>
      <c r="V229" s="25" t="e">
        <f>IF(Q229="Entregado",IF(S229&lt;=VLOOKUP(K229,Valores!E:F,2,0),"Cumple","No cumple"),"PTE")</f>
        <v>#N/A</v>
      </c>
      <c r="W229" s="25"/>
      <c r="X229" s="29">
        <v>39762</v>
      </c>
      <c r="Y229" s="224"/>
      <c r="Z229" s="28"/>
    </row>
    <row r="230" spans="1:26" hidden="1" x14ac:dyDescent="0.3">
      <c r="A230" s="34">
        <v>45728</v>
      </c>
      <c r="B230" s="7" t="str">
        <f t="shared" si="21"/>
        <v>marzo</v>
      </c>
      <c r="C230" s="27">
        <v>2482</v>
      </c>
      <c r="D230" s="23" t="s">
        <v>20</v>
      </c>
      <c r="E230" s="136" t="s">
        <v>716</v>
      </c>
      <c r="F230" s="22" t="s">
        <v>66</v>
      </c>
      <c r="G230" s="32" t="str">
        <f>IFERROR(VLOOKUP(F230,Productos!$A$2:$D$258,2,0)," ")</f>
        <v>Archivador TECU  Miel</v>
      </c>
      <c r="H230" s="7">
        <v>1</v>
      </c>
      <c r="I230" s="32" t="str">
        <f>IFERROR(VLOOKUP(F230,Productos!$A$2:$D$258,3,0)," ")</f>
        <v>Archivador</v>
      </c>
      <c r="J230" s="54" t="s">
        <v>21</v>
      </c>
      <c r="K230" s="134" t="s">
        <v>22</v>
      </c>
      <c r="L230" s="26" t="str">
        <f t="shared" si="23"/>
        <v>Despachado</v>
      </c>
      <c r="M230" s="56" t="s">
        <v>239</v>
      </c>
      <c r="N230" s="135" t="s">
        <v>717</v>
      </c>
      <c r="O230" s="150">
        <v>45727</v>
      </c>
      <c r="P230" s="151">
        <v>45728</v>
      </c>
      <c r="Q230" s="24" t="str">
        <f t="shared" si="22"/>
        <v>Entregado</v>
      </c>
      <c r="R230" s="25">
        <f>IF(L230="Despachado",NETWORKDAYS.INTL(A230,O230,11,Valores!$A$2:$A$18)-1,"PTE")</f>
        <v>-3</v>
      </c>
      <c r="S230" s="25">
        <f>IF(Q230="Entregado",NETWORKDAYS.INTL(A230,P230,11,Valores!$A$2:$A$18)-1,"PTE")</f>
        <v>0</v>
      </c>
      <c r="T230" s="25"/>
      <c r="U230" s="25"/>
      <c r="V230" s="25" t="str">
        <f>IF(Q230="Entregado",IF(S230&lt;=VLOOKUP(K230,Valores!E:F,2,0),"Cumple","No cumple"),"PTE")</f>
        <v>Cumple</v>
      </c>
      <c r="W230" s="25"/>
      <c r="X230" s="29">
        <v>54929</v>
      </c>
      <c r="Y230" s="224"/>
      <c r="Z230" s="28"/>
    </row>
    <row r="231" spans="1:26" hidden="1" x14ac:dyDescent="0.3">
      <c r="A231" s="34">
        <v>45728</v>
      </c>
      <c r="B231" s="7" t="str">
        <f t="shared" si="21"/>
        <v>marzo</v>
      </c>
      <c r="C231" s="27">
        <v>2483</v>
      </c>
      <c r="D231" s="23" t="s">
        <v>20</v>
      </c>
      <c r="E231" s="136" t="s">
        <v>718</v>
      </c>
      <c r="F231" s="40" t="s">
        <v>123</v>
      </c>
      <c r="G231" s="32" t="str">
        <f>IFERROR(VLOOKUP(F231,Productos!$A$2:$D$258,2,0)," ")</f>
        <v>Electric Standing Desk GO Negro</v>
      </c>
      <c r="H231" s="7">
        <v>1</v>
      </c>
      <c r="I231" s="32" t="str">
        <f>IFERROR(VLOOKUP(F231,Productos!$A$2:$D$258,3,0)," ")</f>
        <v>Standing Desk</v>
      </c>
      <c r="J231" s="135" t="s">
        <v>24</v>
      </c>
      <c r="K231" s="135" t="s">
        <v>27</v>
      </c>
      <c r="L231" s="26" t="str">
        <f t="shared" si="23"/>
        <v>Despachado</v>
      </c>
      <c r="M231" s="56" t="s">
        <v>238</v>
      </c>
      <c r="N231" s="135" t="s">
        <v>719</v>
      </c>
      <c r="O231" s="150">
        <v>45728</v>
      </c>
      <c r="P231" s="151">
        <v>45729</v>
      </c>
      <c r="Q231" s="24" t="str">
        <f t="shared" si="22"/>
        <v>Entregado</v>
      </c>
      <c r="R231" s="25">
        <f>IF(L231="Despachado",NETWORKDAYS.INTL(A231,O231,11,Valores!$A$2:$A$18)-1,"PTE")</f>
        <v>0</v>
      </c>
      <c r="S231" s="25">
        <f>IF(Q231="Entregado",NETWORKDAYS.INTL(A231,P231,11,Valores!$A$2:$A$18)-1,"PTE")</f>
        <v>1</v>
      </c>
      <c r="T231" s="25"/>
      <c r="U231" s="25"/>
      <c r="V231" s="25" t="str">
        <f>IF(Q231="Entregado",IF(S231&lt;=VLOOKUP(K231,Valores!E:F,2,0),"Cumple","No cumple"),"PTE")</f>
        <v>Cumple</v>
      </c>
      <c r="W231" s="25"/>
      <c r="X231" s="29">
        <v>41593</v>
      </c>
      <c r="Y231" s="224"/>
      <c r="Z231" s="28"/>
    </row>
    <row r="232" spans="1:26" hidden="1" x14ac:dyDescent="0.3">
      <c r="A232" s="34">
        <v>45728</v>
      </c>
      <c r="B232" s="7" t="str">
        <f t="shared" si="21"/>
        <v>marzo</v>
      </c>
      <c r="C232" s="27">
        <v>2483</v>
      </c>
      <c r="D232" s="23" t="s">
        <v>20</v>
      </c>
      <c r="E232" s="136" t="s">
        <v>718</v>
      </c>
      <c r="F232" s="22" t="s">
        <v>155</v>
      </c>
      <c r="G232" s="32" t="str">
        <f>IFERROR(VLOOKUP(F232,Productos!$A$2:$D$258,2,0)," ")</f>
        <v>Superficie  Roble Negro 160x70 Clasico</v>
      </c>
      <c r="H232" s="7">
        <v>1</v>
      </c>
      <c r="I232" s="32" t="str">
        <f>IFERROR(VLOOKUP(F232,Productos!$A$2:$D$258,3,0)," ")</f>
        <v>Superficie</v>
      </c>
      <c r="J232" s="135" t="s">
        <v>24</v>
      </c>
      <c r="K232" s="135" t="s">
        <v>27</v>
      </c>
      <c r="L232" s="26" t="str">
        <f t="shared" si="23"/>
        <v>Despachado</v>
      </c>
      <c r="M232" s="56" t="s">
        <v>238</v>
      </c>
      <c r="N232" s="135" t="s">
        <v>720</v>
      </c>
      <c r="O232" s="150">
        <v>45728</v>
      </c>
      <c r="P232" s="151">
        <v>45729</v>
      </c>
      <c r="Q232" s="24" t="str">
        <f t="shared" si="22"/>
        <v>Entregado</v>
      </c>
      <c r="R232" s="25">
        <f>IF(L232="Despachado",NETWORKDAYS.INTL(A232,O232,11,Valores!$A$2:$A$18)-1,"PTE")</f>
        <v>0</v>
      </c>
      <c r="S232" s="25">
        <f>IF(Q232="Entregado",NETWORKDAYS.INTL(A232,P232,11,Valores!$A$2:$A$18)-1,"PTE")</f>
        <v>1</v>
      </c>
      <c r="T232" s="25"/>
      <c r="U232" s="25"/>
      <c r="V232" s="25" t="str">
        <f>IF(Q232="Entregado",IF(S232&lt;=VLOOKUP(K232,Valores!E:F,2,0),"Cumple","No cumple"),"PTE")</f>
        <v>Cumple</v>
      </c>
      <c r="W232" s="25"/>
      <c r="X232" s="29">
        <v>24093</v>
      </c>
      <c r="Y232" s="224"/>
      <c r="Z232" s="28"/>
    </row>
    <row r="233" spans="1:26" hidden="1" x14ac:dyDescent="0.3">
      <c r="A233" s="34">
        <v>45728</v>
      </c>
      <c r="B233" s="7" t="str">
        <f t="shared" si="21"/>
        <v>marzo</v>
      </c>
      <c r="C233" s="27">
        <v>2484</v>
      </c>
      <c r="D233" s="23" t="s">
        <v>20</v>
      </c>
      <c r="E233" s="136" t="s">
        <v>334</v>
      </c>
      <c r="F233" s="22" t="s">
        <v>280</v>
      </c>
      <c r="G233" s="32" t="str">
        <f>IFERROR(VLOOKUP(F233,Productos!$A$2:$D$258,2,0)," ")</f>
        <v>Rodachines con freno para Standing desk x 4 UN</v>
      </c>
      <c r="H233" s="7">
        <v>1</v>
      </c>
      <c r="I233" s="32" t="str">
        <f>IFERROR(VLOOKUP(F233,Productos!$A$2:$D$258,3,0)," ")</f>
        <v>Ruedas</v>
      </c>
      <c r="J233" s="135" t="s">
        <v>24</v>
      </c>
      <c r="K233" s="135" t="s">
        <v>25</v>
      </c>
      <c r="L233" s="26" t="str">
        <f t="shared" si="23"/>
        <v>Despachado</v>
      </c>
      <c r="M233" s="56" t="s">
        <v>238</v>
      </c>
      <c r="N233" s="135" t="s">
        <v>721</v>
      </c>
      <c r="O233" s="150">
        <v>45728</v>
      </c>
      <c r="P233" s="151">
        <v>45729</v>
      </c>
      <c r="Q233" s="24" t="str">
        <f t="shared" si="22"/>
        <v>Entregado</v>
      </c>
      <c r="R233" s="25">
        <f>IF(L233="Despachado",NETWORKDAYS.INTL(A233,O233,11,Valores!$A$2:$A$18)-1,"PTE")</f>
        <v>0</v>
      </c>
      <c r="S233" s="25">
        <f>IF(Q233="Entregado",NETWORKDAYS.INTL(A233,P233,11,Valores!$A$2:$A$18)-1,"PTE")</f>
        <v>1</v>
      </c>
      <c r="T233" s="25"/>
      <c r="U233" s="25"/>
      <c r="V233" s="25" t="str">
        <f>IF(Q233="Entregado",IF(S233&lt;=VLOOKUP(K233,Valores!E:F,2,0),"Cumple","No cumple"),"PTE")</f>
        <v>Cumple</v>
      </c>
      <c r="W233" s="25"/>
      <c r="X233" s="29">
        <v>23875</v>
      </c>
      <c r="Y233" s="224"/>
      <c r="Z233" s="28"/>
    </row>
    <row r="234" spans="1:26" hidden="1" x14ac:dyDescent="0.3">
      <c r="A234" s="34">
        <v>45728</v>
      </c>
      <c r="B234" s="7" t="str">
        <f t="shared" si="21"/>
        <v>marzo</v>
      </c>
      <c r="C234" s="27">
        <v>2484</v>
      </c>
      <c r="D234" s="23" t="s">
        <v>20</v>
      </c>
      <c r="E234" s="136" t="s">
        <v>334</v>
      </c>
      <c r="F234" s="22" t="s">
        <v>315</v>
      </c>
      <c r="G234" s="32" t="str">
        <f>IFERROR(VLOOKUP(F234,Productos!$A$2:$D$258,2,0)," ")</f>
        <v>Bandeja de teclado</v>
      </c>
      <c r="H234" s="7">
        <v>1</v>
      </c>
      <c r="I234" s="32" t="str">
        <f>IFERROR(VLOOKUP(F234,Productos!$A$2:$D$258,3,0)," ")</f>
        <v>Accesorio</v>
      </c>
      <c r="J234" s="135" t="s">
        <v>24</v>
      </c>
      <c r="K234" s="135" t="s">
        <v>25</v>
      </c>
      <c r="L234" s="26" t="str">
        <f t="shared" si="23"/>
        <v>Despachado</v>
      </c>
      <c r="M234" s="56" t="s">
        <v>238</v>
      </c>
      <c r="N234" s="135" t="s">
        <v>722</v>
      </c>
      <c r="O234" s="150">
        <v>45728</v>
      </c>
      <c r="P234" s="151">
        <v>45730</v>
      </c>
      <c r="Q234" s="24" t="str">
        <f t="shared" si="22"/>
        <v>Entregado</v>
      </c>
      <c r="R234" s="25">
        <f>IF(L234="Despachado",NETWORKDAYS.INTL(A234,O234,11,Valores!$A$2:$A$18)-1,"PTE")</f>
        <v>0</v>
      </c>
      <c r="S234" s="25">
        <f>IF(Q234="Entregado",NETWORKDAYS.INTL(A234,P234,11,Valores!$A$2:$A$18)-1,"PTE")</f>
        <v>2</v>
      </c>
      <c r="T234" s="25"/>
      <c r="U234" s="25"/>
      <c r="V234" s="25" t="str">
        <f>IF(Q234="Entregado",IF(S234&lt;=VLOOKUP(K234,Valores!E:F,2,0),"Cumple","No cumple"),"PTE")</f>
        <v>Cumple</v>
      </c>
      <c r="W234" s="25"/>
      <c r="X234" s="29">
        <v>39225</v>
      </c>
      <c r="Y234" s="224"/>
      <c r="Z234" s="28"/>
    </row>
    <row r="235" spans="1:26" hidden="1" x14ac:dyDescent="0.3">
      <c r="A235" s="34">
        <v>45733</v>
      </c>
      <c r="B235" s="7" t="str">
        <f t="shared" si="21"/>
        <v>marzo</v>
      </c>
      <c r="C235" s="27">
        <v>2485</v>
      </c>
      <c r="D235" s="23" t="s">
        <v>20</v>
      </c>
      <c r="E235" s="136" t="s">
        <v>723</v>
      </c>
      <c r="F235" s="22" t="s">
        <v>129</v>
      </c>
      <c r="G235" s="32" t="str">
        <f>IFERROR(VLOOKUP(F235,Productos!$A$2:$D$258,2,0)," ")</f>
        <v>Electric Standing Desk  PRO Negro</v>
      </c>
      <c r="H235" s="7">
        <v>1</v>
      </c>
      <c r="I235" s="32" t="str">
        <f>IFERROR(VLOOKUP(F235,Productos!$A$2:$D$258,3,0)," ")</f>
        <v>Standing Desk</v>
      </c>
      <c r="J235" s="54" t="s">
        <v>21</v>
      </c>
      <c r="K235" s="134" t="s">
        <v>22</v>
      </c>
      <c r="L235" s="26" t="str">
        <f t="shared" si="23"/>
        <v>Despachado</v>
      </c>
      <c r="M235" s="56" t="s">
        <v>238</v>
      </c>
      <c r="N235" s="135" t="s">
        <v>724</v>
      </c>
      <c r="O235" s="150">
        <v>45737</v>
      </c>
      <c r="P235" s="151">
        <v>45742</v>
      </c>
      <c r="Q235" s="24" t="str">
        <f t="shared" si="22"/>
        <v>Entregado</v>
      </c>
      <c r="R235" s="25">
        <f>IF(L235="Despachado",NETWORKDAYS.INTL(A235,O235,11,Valores!$A$2:$A$18)-1,"PTE")</f>
        <v>4</v>
      </c>
      <c r="S235" s="25">
        <f>IF(Q235="Entregado",NETWORKDAYS.INTL(A235,P235,11,Valores!$A$2:$A$18)-1,"PTE")</f>
        <v>7</v>
      </c>
      <c r="T235" s="25"/>
      <c r="U235" s="25"/>
      <c r="V235" s="25" t="str">
        <f>IF(Q235="Entregado",IF(S235&lt;=VLOOKUP(K235,Valores!E:F,2,0),"Cumple","No cumple"),"PTE")</f>
        <v>No cumple</v>
      </c>
      <c r="W235" s="25"/>
      <c r="X235" s="29">
        <v>42921</v>
      </c>
      <c r="Y235" s="224"/>
      <c r="Z235" s="28"/>
    </row>
    <row r="236" spans="1:26" hidden="1" x14ac:dyDescent="0.3">
      <c r="A236" s="34">
        <v>45733</v>
      </c>
      <c r="B236" s="7" t="str">
        <f t="shared" si="21"/>
        <v>marzo</v>
      </c>
      <c r="C236" s="27">
        <v>2485</v>
      </c>
      <c r="D236" s="23" t="s">
        <v>20</v>
      </c>
      <c r="E236" s="136" t="s">
        <v>723</v>
      </c>
      <c r="F236" s="40" t="s">
        <v>262</v>
      </c>
      <c r="G236" s="32" t="str">
        <f>IFERROR(VLOOKUP(F236,Productos!$A$2:$D$258,2,0)," ")</f>
        <v>Superficie Roble Miel 150x70 Clasico</v>
      </c>
      <c r="H236" s="7">
        <v>1</v>
      </c>
      <c r="I236" s="32" t="str">
        <f>IFERROR(VLOOKUP(F236,Productos!$A$2:$D$258,3,0)," ")</f>
        <v>Superficie</v>
      </c>
      <c r="J236" s="54" t="s">
        <v>21</v>
      </c>
      <c r="K236" s="134" t="s">
        <v>22</v>
      </c>
      <c r="L236" s="26" t="str">
        <f t="shared" si="23"/>
        <v>Despachado</v>
      </c>
      <c r="M236" s="56" t="s">
        <v>238</v>
      </c>
      <c r="N236" s="135" t="s">
        <v>725</v>
      </c>
      <c r="O236" s="150">
        <v>45737</v>
      </c>
      <c r="P236" s="151">
        <v>45742</v>
      </c>
      <c r="Q236" s="24" t="str">
        <f t="shared" si="22"/>
        <v>Entregado</v>
      </c>
      <c r="R236" s="25">
        <f>IF(L236="Despachado",NETWORKDAYS.INTL(A236,O236,11,Valores!$A$2:$A$18)-1,"PTE")</f>
        <v>4</v>
      </c>
      <c r="S236" s="25">
        <f>IF(Q236="Entregado",NETWORKDAYS.INTL(A236,P236,11,Valores!$A$2:$A$18)-1,"PTE")</f>
        <v>7</v>
      </c>
      <c r="T236" s="25"/>
      <c r="U236" s="25"/>
      <c r="V236" s="25" t="str">
        <f>IF(Q236="Entregado",IF(S236&lt;=VLOOKUP(K236,Valores!E:F,2,0),"Cumple","No cumple"),"PTE")</f>
        <v>No cumple</v>
      </c>
      <c r="W236" s="25"/>
      <c r="X236" s="29">
        <v>24593</v>
      </c>
      <c r="Y236" s="224"/>
      <c r="Z236" s="28"/>
    </row>
    <row r="237" spans="1:26" hidden="1" x14ac:dyDescent="0.3">
      <c r="A237" s="34">
        <v>45733</v>
      </c>
      <c r="B237" s="7" t="str">
        <f t="shared" si="21"/>
        <v>marzo</v>
      </c>
      <c r="C237" s="27">
        <v>2485</v>
      </c>
      <c r="D237" s="23" t="s">
        <v>20</v>
      </c>
      <c r="E237" s="136" t="s">
        <v>723</v>
      </c>
      <c r="F237" s="22" t="s">
        <v>240</v>
      </c>
      <c r="G237" s="32" t="str">
        <f>IFERROR(VLOOKUP(F237,Productos!$A$2:$D$258,2,0)," ")</f>
        <v>Bandeja de cables</v>
      </c>
      <c r="H237" s="7">
        <v>1</v>
      </c>
      <c r="I237" s="32" t="str">
        <f>IFERROR(VLOOKUP(F237,Productos!$A$2:$D$258,3,0)," ")</f>
        <v>Accesorio</v>
      </c>
      <c r="J237" s="54" t="s">
        <v>21</v>
      </c>
      <c r="K237" s="134" t="s">
        <v>22</v>
      </c>
      <c r="L237" s="26" t="str">
        <f t="shared" si="23"/>
        <v>Despachado</v>
      </c>
      <c r="M237" s="56" t="s">
        <v>238</v>
      </c>
      <c r="N237" s="135" t="s">
        <v>726</v>
      </c>
      <c r="O237" s="150">
        <v>45737</v>
      </c>
      <c r="P237" s="151">
        <v>45742</v>
      </c>
      <c r="Q237" s="24" t="str">
        <f t="shared" si="22"/>
        <v>Entregado</v>
      </c>
      <c r="R237" s="25">
        <f>IF(L237="Despachado",NETWORKDAYS.INTL(A237,O237,11,Valores!$A$2:$A$18)-1,"PTE")</f>
        <v>4</v>
      </c>
      <c r="S237" s="25">
        <f>IF(Q237="Entregado",NETWORKDAYS.INTL(A237,P237,11,Valores!$A$2:$A$18)-1,"PTE")</f>
        <v>7</v>
      </c>
      <c r="T237" s="25"/>
      <c r="U237" s="25"/>
      <c r="V237" s="25" t="str">
        <f>IF(Q237="Entregado",IF(S237&lt;=VLOOKUP(K237,Valores!E:F,2,0),"Cumple","No cumple"),"PTE")</f>
        <v>No cumple</v>
      </c>
      <c r="W237" s="25"/>
      <c r="X237" s="29">
        <v>24885</v>
      </c>
      <c r="Y237" s="224"/>
      <c r="Z237" s="28"/>
    </row>
    <row r="238" spans="1:26" hidden="1" x14ac:dyDescent="0.3">
      <c r="A238" s="34">
        <v>45733</v>
      </c>
      <c r="B238" s="7" t="str">
        <f t="shared" si="21"/>
        <v>marzo</v>
      </c>
      <c r="C238" s="27">
        <v>2485</v>
      </c>
      <c r="D238" s="23" t="s">
        <v>20</v>
      </c>
      <c r="E238" s="136" t="s">
        <v>723</v>
      </c>
      <c r="F238" s="22" t="s">
        <v>129</v>
      </c>
      <c r="G238" s="32" t="str">
        <f>IFERROR(VLOOKUP(F238,Productos!$A$2:$D$258,2,0)," ")</f>
        <v>Electric Standing Desk  PRO Negro</v>
      </c>
      <c r="H238" s="7">
        <v>1</v>
      </c>
      <c r="I238" s="32" t="str">
        <f>IFERROR(VLOOKUP(F238,Productos!$A$2:$D$258,3,0)," ")</f>
        <v>Standing Desk</v>
      </c>
      <c r="J238" s="54" t="s">
        <v>21</v>
      </c>
      <c r="K238" s="134" t="s">
        <v>22</v>
      </c>
      <c r="L238" s="26" t="str">
        <f t="shared" si="23"/>
        <v>Despachado</v>
      </c>
      <c r="M238" s="56" t="s">
        <v>238</v>
      </c>
      <c r="N238" s="135" t="s">
        <v>727</v>
      </c>
      <c r="O238" s="150">
        <v>45737</v>
      </c>
      <c r="P238" s="151">
        <v>45742</v>
      </c>
      <c r="Q238" s="24" t="str">
        <f t="shared" si="22"/>
        <v>Entregado</v>
      </c>
      <c r="R238" s="25">
        <f>IF(L238="Despachado",NETWORKDAYS.INTL(A238,O238,11,Valores!$A$2:$A$18)-1,"PTE")</f>
        <v>4</v>
      </c>
      <c r="S238" s="25">
        <f>IF(Q238="Entregado",NETWORKDAYS.INTL(A238,P238,11,Valores!$A$2:$A$18)-1,"PTE")</f>
        <v>7</v>
      </c>
      <c r="T238" s="25"/>
      <c r="U238" s="25"/>
      <c r="V238" s="25" t="str">
        <f>IF(Q238="Entregado",IF(S238&lt;=VLOOKUP(K238,Valores!E:F,2,0),"Cumple","No cumple"),"PTE")</f>
        <v>No cumple</v>
      </c>
      <c r="W238" s="25"/>
      <c r="X238" s="29">
        <v>42921</v>
      </c>
      <c r="Y238" s="224"/>
      <c r="Z238" s="28"/>
    </row>
    <row r="239" spans="1:26" hidden="1" x14ac:dyDescent="0.3">
      <c r="A239" s="34">
        <v>45733</v>
      </c>
      <c r="B239" s="7" t="str">
        <f t="shared" si="21"/>
        <v>marzo</v>
      </c>
      <c r="C239" s="27">
        <v>2485</v>
      </c>
      <c r="D239" s="23" t="s">
        <v>20</v>
      </c>
      <c r="E239" s="136" t="s">
        <v>723</v>
      </c>
      <c r="F239" s="40" t="s">
        <v>262</v>
      </c>
      <c r="G239" s="32" t="str">
        <f>IFERROR(VLOOKUP(F239,Productos!$A$2:$D$258,2,0)," ")</f>
        <v>Superficie Roble Miel 150x70 Clasico</v>
      </c>
      <c r="H239" s="7">
        <v>1</v>
      </c>
      <c r="I239" s="32" t="str">
        <f>IFERROR(VLOOKUP(F239,Productos!$A$2:$D$258,3,0)," ")</f>
        <v>Superficie</v>
      </c>
      <c r="J239" s="54" t="s">
        <v>21</v>
      </c>
      <c r="K239" s="134" t="s">
        <v>22</v>
      </c>
      <c r="L239" s="26" t="str">
        <f t="shared" si="23"/>
        <v>Despachado</v>
      </c>
      <c r="M239" s="56" t="s">
        <v>238</v>
      </c>
      <c r="N239" s="135" t="s">
        <v>728</v>
      </c>
      <c r="O239" s="150">
        <v>45737</v>
      </c>
      <c r="P239" s="151">
        <v>45742</v>
      </c>
      <c r="Q239" s="24" t="str">
        <f t="shared" si="22"/>
        <v>Entregado</v>
      </c>
      <c r="R239" s="25">
        <f>IF(L239="Despachado",NETWORKDAYS.INTL(A239,O239,11,Valores!$A$2:$A$18)-1,"PTE")</f>
        <v>4</v>
      </c>
      <c r="S239" s="25">
        <f>IF(Q239="Entregado",NETWORKDAYS.INTL(A239,P239,11,Valores!$A$2:$A$18)-1,"PTE")</f>
        <v>7</v>
      </c>
      <c r="T239" s="25"/>
      <c r="U239" s="25"/>
      <c r="V239" s="25" t="str">
        <f>IF(Q239="Entregado",IF(S239&lt;=VLOOKUP(K239,Valores!E:F,2,0),"Cumple","No cumple"),"PTE")</f>
        <v>No cumple</v>
      </c>
      <c r="W239" s="25"/>
      <c r="X239" s="29">
        <v>24593</v>
      </c>
      <c r="Y239" s="224"/>
      <c r="Z239" s="28"/>
    </row>
    <row r="240" spans="1:26" hidden="1" x14ac:dyDescent="0.3">
      <c r="A240" s="34">
        <v>45733</v>
      </c>
      <c r="B240" s="7" t="str">
        <f t="shared" si="21"/>
        <v>marzo</v>
      </c>
      <c r="C240" s="27">
        <v>2485</v>
      </c>
      <c r="D240" s="23" t="s">
        <v>20</v>
      </c>
      <c r="E240" s="136" t="s">
        <v>723</v>
      </c>
      <c r="F240" s="22" t="s">
        <v>240</v>
      </c>
      <c r="G240" s="32" t="str">
        <f>IFERROR(VLOOKUP(F240,Productos!$A$2:$D$258,2,0)," ")</f>
        <v>Bandeja de cables</v>
      </c>
      <c r="H240" s="7">
        <v>1</v>
      </c>
      <c r="I240" s="32" t="str">
        <f>IFERROR(VLOOKUP(F240,Productos!$A$2:$D$258,3,0)," ")</f>
        <v>Accesorio</v>
      </c>
      <c r="J240" s="54" t="s">
        <v>21</v>
      </c>
      <c r="K240" s="134" t="s">
        <v>22</v>
      </c>
      <c r="L240" s="26" t="str">
        <f t="shared" si="23"/>
        <v>Despachado</v>
      </c>
      <c r="M240" s="56" t="s">
        <v>238</v>
      </c>
      <c r="N240" s="135" t="s">
        <v>729</v>
      </c>
      <c r="O240" s="150">
        <v>45737</v>
      </c>
      <c r="P240" s="151">
        <v>45742</v>
      </c>
      <c r="Q240" s="24" t="str">
        <f t="shared" si="22"/>
        <v>Entregado</v>
      </c>
      <c r="R240" s="25">
        <f>IF(L240="Despachado",NETWORKDAYS.INTL(A240,O240,11,Valores!$A$2:$A$18)-1,"PTE")</f>
        <v>4</v>
      </c>
      <c r="S240" s="25">
        <f>IF(Q240="Entregado",NETWORKDAYS.INTL(A240,P240,11,Valores!$A$2:$A$18)-1,"PTE")</f>
        <v>7</v>
      </c>
      <c r="T240" s="25"/>
      <c r="U240" s="25"/>
      <c r="V240" s="25" t="str">
        <f>IF(Q240="Entregado",IF(S240&lt;=VLOOKUP(K240,Valores!E:F,2,0),"Cumple","No cumple"),"PTE")</f>
        <v>No cumple</v>
      </c>
      <c r="W240" s="25"/>
      <c r="X240" s="29">
        <v>24885</v>
      </c>
      <c r="Y240" s="224"/>
      <c r="Z240" s="28"/>
    </row>
    <row r="241" spans="1:26" hidden="1" x14ac:dyDescent="0.3">
      <c r="A241" s="34">
        <v>45733</v>
      </c>
      <c r="B241" s="7" t="str">
        <f t="shared" si="21"/>
        <v>marzo</v>
      </c>
      <c r="C241" s="27">
        <v>2485</v>
      </c>
      <c r="D241" s="23" t="s">
        <v>20</v>
      </c>
      <c r="E241" s="136" t="s">
        <v>723</v>
      </c>
      <c r="F241" s="22"/>
      <c r="G241" s="32" t="s">
        <v>1796</v>
      </c>
      <c r="H241" s="7">
        <v>2</v>
      </c>
      <c r="I241" s="32" t="s">
        <v>327</v>
      </c>
      <c r="J241" s="54" t="s">
        <v>21</v>
      </c>
      <c r="K241" s="134" t="s">
        <v>22</v>
      </c>
      <c r="L241" s="26" t="s">
        <v>327</v>
      </c>
      <c r="M241" s="56" t="s">
        <v>241</v>
      </c>
      <c r="N241" s="135" t="s">
        <v>241</v>
      </c>
      <c r="O241" s="150" t="s">
        <v>241</v>
      </c>
      <c r="P241" s="151" t="s">
        <v>241</v>
      </c>
      <c r="Q241" s="24" t="str">
        <f t="shared" si="22"/>
        <v>Entregado</v>
      </c>
      <c r="R241" s="25" t="str">
        <f>IF(L241="Despachado",NETWORKDAYS.INTL(A241,O241,11,Valores!$A$2:$A$18)-1,"PTE")</f>
        <v>PTE</v>
      </c>
      <c r="S241" s="25" t="e">
        <f>IF(Q241="Entregado",NETWORKDAYS.INTL(A241,P241,11,Valores!$A$2:$A$18)-1,"PTE")</f>
        <v>#VALUE!</v>
      </c>
      <c r="T241" s="25"/>
      <c r="U241" s="25"/>
      <c r="V241" s="25" t="e">
        <f>IF(Q241="Entregado",IF(S241&lt;=VLOOKUP(K241,Valores!E:F,2,0),"Cumple","No cumple"),"PTE")</f>
        <v>#VALUE!</v>
      </c>
      <c r="W241" s="25"/>
      <c r="X241" s="29">
        <v>0</v>
      </c>
      <c r="Y241" s="224"/>
      <c r="Z241" s="28"/>
    </row>
    <row r="242" spans="1:26" hidden="1" x14ac:dyDescent="0.3">
      <c r="A242" s="34">
        <v>45733</v>
      </c>
      <c r="B242" s="7" t="str">
        <f t="shared" ref="B242:B254" si="24">TEXT(A242,"mmmm")</f>
        <v>marzo</v>
      </c>
      <c r="C242" s="27">
        <v>2486</v>
      </c>
      <c r="D242" s="23" t="s">
        <v>20</v>
      </c>
      <c r="E242" s="136" t="s">
        <v>734</v>
      </c>
      <c r="F242" s="22" t="s">
        <v>732</v>
      </c>
      <c r="G242" s="32" t="str">
        <f>IFERROR(VLOOKUP(F242,Productos!$A$2:$D$258,2,0)," ")</f>
        <v>Electric Standing Desk  PRO Negro circular</v>
      </c>
      <c r="H242" s="7">
        <v>1</v>
      </c>
      <c r="I242" s="32" t="str">
        <f>IFERROR(VLOOKUP(F242,Productos!$A$2:$D$258,3,0)," ")</f>
        <v>Standing Desk</v>
      </c>
      <c r="J242" s="135" t="s">
        <v>24</v>
      </c>
      <c r="K242" s="135" t="s">
        <v>27</v>
      </c>
      <c r="L242" s="26" t="str">
        <f t="shared" ref="L242:L256" si="25">IF(O242&gt;0,"Despachado","En alistamiento")</f>
        <v>Despachado</v>
      </c>
      <c r="M242" s="56" t="s">
        <v>238</v>
      </c>
      <c r="N242" s="135" t="s">
        <v>735</v>
      </c>
      <c r="O242" s="150">
        <v>45733</v>
      </c>
      <c r="P242" s="151">
        <v>45734</v>
      </c>
      <c r="Q242" s="24" t="str">
        <f t="shared" si="22"/>
        <v>Entregado</v>
      </c>
      <c r="R242" s="25">
        <f>IF(L242="Despachado",NETWORKDAYS.INTL(A242,O242,11,Valores!$A$2:$A$18)-1,"PTE")</f>
        <v>0</v>
      </c>
      <c r="S242" s="25">
        <f>IF(Q242="Entregado",NETWORKDAYS.INTL(A242,P242,11,Valores!$A$2:$A$18)-1,"PTE")</f>
        <v>1</v>
      </c>
      <c r="T242" s="25"/>
      <c r="U242" s="25"/>
      <c r="V242" s="25" t="str">
        <f>IF(Q242="Entregado",IF(S242&lt;=VLOOKUP(K242,Valores!E:F,2,0),"Cumple","No cumple"),"PTE")</f>
        <v>Cumple</v>
      </c>
      <c r="W242" s="25"/>
      <c r="X242" s="29">
        <v>42921</v>
      </c>
      <c r="Y242" s="224"/>
      <c r="Z242" s="28"/>
    </row>
    <row r="243" spans="1:26" hidden="1" x14ac:dyDescent="0.3">
      <c r="A243" s="34">
        <v>45733</v>
      </c>
      <c r="B243" s="7" t="str">
        <f t="shared" si="24"/>
        <v>marzo</v>
      </c>
      <c r="C243" s="27">
        <v>2486</v>
      </c>
      <c r="D243" s="23" t="s">
        <v>20</v>
      </c>
      <c r="E243" s="136" t="s">
        <v>734</v>
      </c>
      <c r="F243" s="22" t="s">
        <v>36</v>
      </c>
      <c r="G243" s="32" t="str">
        <f>IFERROR(VLOOKUP(F243,Productos!$A$2:$D$258,2,0)," ")</f>
        <v>Superficie Niebla 150x70 Clasico</v>
      </c>
      <c r="H243" s="7">
        <v>1</v>
      </c>
      <c r="I243" s="32" t="str">
        <f>IFERROR(VLOOKUP(F243,Productos!$A$2:$D$258,3,0)," ")</f>
        <v>Superficie</v>
      </c>
      <c r="J243" s="135" t="s">
        <v>24</v>
      </c>
      <c r="K243" s="135" t="s">
        <v>27</v>
      </c>
      <c r="L243" s="26" t="str">
        <f t="shared" si="25"/>
        <v>Despachado</v>
      </c>
      <c r="M243" s="56" t="s">
        <v>238</v>
      </c>
      <c r="N243" s="135" t="s">
        <v>736</v>
      </c>
      <c r="O243" s="150">
        <v>45733</v>
      </c>
      <c r="P243" s="151">
        <v>45734</v>
      </c>
      <c r="Q243" s="24" t="str">
        <f t="shared" si="22"/>
        <v>Entregado</v>
      </c>
      <c r="R243" s="25">
        <f>IF(L243="Despachado",NETWORKDAYS.INTL(A243,O243,11,Valores!$A$2:$A$18)-1,"PTE")</f>
        <v>0</v>
      </c>
      <c r="S243" s="25">
        <f>IF(Q243="Entregado",NETWORKDAYS.INTL(A243,P243,11,Valores!$A$2:$A$18)-1,"PTE")</f>
        <v>1</v>
      </c>
      <c r="T243" s="25"/>
      <c r="U243" s="25"/>
      <c r="V243" s="25" t="str">
        <f>IF(Q243="Entregado",IF(S243&lt;=VLOOKUP(K243,Valores!E:F,2,0),"Cumple","No cumple"),"PTE")</f>
        <v>Cumple</v>
      </c>
      <c r="W243" s="25"/>
      <c r="X243" s="29">
        <v>24093</v>
      </c>
      <c r="Y243" s="224"/>
      <c r="Z243" s="28"/>
    </row>
    <row r="244" spans="1:26" hidden="1" x14ac:dyDescent="0.3">
      <c r="A244" s="34">
        <v>45735</v>
      </c>
      <c r="B244" s="7" t="str">
        <f t="shared" si="24"/>
        <v>marzo</v>
      </c>
      <c r="C244" s="27">
        <v>2487</v>
      </c>
      <c r="D244" s="23" t="s">
        <v>20</v>
      </c>
      <c r="E244" s="136" t="s">
        <v>737</v>
      </c>
      <c r="F244" s="22" t="s">
        <v>129</v>
      </c>
      <c r="G244" s="32" t="str">
        <f>IFERROR(VLOOKUP(F244,Productos!$A$2:$D$258,2,0)," ")</f>
        <v>Electric Standing Desk  PRO Negro</v>
      </c>
      <c r="H244" s="7">
        <v>1</v>
      </c>
      <c r="I244" s="32" t="str">
        <f>IFERROR(VLOOKUP(F244,Productos!$A$2:$D$258,3,0)," ")</f>
        <v>Standing Desk</v>
      </c>
      <c r="J244" s="135" t="s">
        <v>24</v>
      </c>
      <c r="K244" s="135" t="s">
        <v>27</v>
      </c>
      <c r="L244" s="26" t="str">
        <f t="shared" si="25"/>
        <v>Despachado</v>
      </c>
      <c r="M244" s="56" t="s">
        <v>238</v>
      </c>
      <c r="N244" s="135" t="s">
        <v>738</v>
      </c>
      <c r="O244" s="150">
        <v>45736</v>
      </c>
      <c r="P244" s="151">
        <v>45737</v>
      </c>
      <c r="Q244" s="24" t="str">
        <f t="shared" si="22"/>
        <v>Entregado</v>
      </c>
      <c r="R244" s="25">
        <f>IF(L244="Despachado",NETWORKDAYS.INTL(A244,O244,11,Valores!$A$2:$A$18)-1,"PTE")</f>
        <v>1</v>
      </c>
      <c r="S244" s="25">
        <f>IF(Q244="Entregado",NETWORKDAYS.INTL(A244,P244,11,Valores!$A$2:$A$18)-1,"PTE")</f>
        <v>2</v>
      </c>
      <c r="T244" s="25"/>
      <c r="U244" s="25"/>
      <c r="V244" s="25" t="str">
        <f>IF(Q244="Entregado",IF(S244&lt;=VLOOKUP(K244,Valores!E:F,2,0),"Cumple","No cumple"),"PTE")</f>
        <v>Cumple</v>
      </c>
      <c r="W244" s="25"/>
      <c r="X244" s="29">
        <v>42921</v>
      </c>
      <c r="Y244" s="224"/>
      <c r="Z244" s="28"/>
    </row>
    <row r="245" spans="1:26" hidden="1" x14ac:dyDescent="0.3">
      <c r="A245" s="34">
        <v>45735</v>
      </c>
      <c r="B245" s="7" t="str">
        <f t="shared" si="24"/>
        <v>marzo</v>
      </c>
      <c r="C245" s="27">
        <v>2487</v>
      </c>
      <c r="D245" s="23" t="s">
        <v>20</v>
      </c>
      <c r="E245" s="136" t="s">
        <v>737</v>
      </c>
      <c r="F245" s="22" t="s">
        <v>114</v>
      </c>
      <c r="G245" s="32" t="str">
        <f>IFERROR(VLOOKUP(F245,Productos!$A$2:$D$258,2,0)," ")</f>
        <v>Superficie  Roble Negro 120x70 Clasico Small</v>
      </c>
      <c r="H245" s="7">
        <v>1</v>
      </c>
      <c r="I245" s="32" t="str">
        <f>IFERROR(VLOOKUP(F245,Productos!$A$2:$D$258,3,0)," ")</f>
        <v>Superficie</v>
      </c>
      <c r="J245" s="135" t="s">
        <v>24</v>
      </c>
      <c r="K245" s="135" t="s">
        <v>27</v>
      </c>
      <c r="L245" s="26" t="str">
        <f t="shared" si="25"/>
        <v>Despachado</v>
      </c>
      <c r="M245" s="56" t="s">
        <v>238</v>
      </c>
      <c r="N245" s="135" t="s">
        <v>739</v>
      </c>
      <c r="O245" s="150">
        <v>45736</v>
      </c>
      <c r="P245" s="151">
        <v>45737</v>
      </c>
      <c r="Q245" s="24" t="str">
        <f t="shared" si="22"/>
        <v>Entregado</v>
      </c>
      <c r="R245" s="25">
        <f>IF(L245="Despachado",NETWORKDAYS.INTL(A245,O245,11,Valores!$A$2:$A$18)-1,"PTE")</f>
        <v>1</v>
      </c>
      <c r="S245" s="25">
        <f>IF(Q245="Entregado",NETWORKDAYS.INTL(A245,P245,11,Valores!$A$2:$A$18)-1,"PTE")</f>
        <v>2</v>
      </c>
      <c r="T245" s="25"/>
      <c r="U245" s="25"/>
      <c r="V245" s="25" t="str">
        <f>IF(Q245="Entregado",IF(S245&lt;=VLOOKUP(K245,Valores!E:F,2,0),"Cumple","No cumple"),"PTE")</f>
        <v>Cumple</v>
      </c>
      <c r="W245" s="25"/>
      <c r="X245" s="29">
        <v>28741</v>
      </c>
      <c r="Y245" s="224"/>
      <c r="Z245" s="28"/>
    </row>
    <row r="246" spans="1:26" hidden="1" x14ac:dyDescent="0.3">
      <c r="A246" s="34">
        <v>45736</v>
      </c>
      <c r="B246" s="7" t="str">
        <f t="shared" si="24"/>
        <v>marzo</v>
      </c>
      <c r="C246" s="27">
        <v>2488</v>
      </c>
      <c r="D246" s="23" t="s">
        <v>20</v>
      </c>
      <c r="E246" s="136" t="s">
        <v>740</v>
      </c>
      <c r="F246" s="22" t="s">
        <v>129</v>
      </c>
      <c r="G246" s="32" t="str">
        <f>IFERROR(VLOOKUP(F246,Productos!$A$2:$D$258,2,0)," ")</f>
        <v>Electric Standing Desk  PRO Negro</v>
      </c>
      <c r="H246" s="7">
        <v>1</v>
      </c>
      <c r="I246" s="32" t="str">
        <f>IFERROR(VLOOKUP(F246,Productos!$A$2:$D$258,3,0)," ")</f>
        <v>Standing Desk</v>
      </c>
      <c r="J246" s="135" t="s">
        <v>203</v>
      </c>
      <c r="K246" s="135" t="s">
        <v>741</v>
      </c>
      <c r="L246" s="26" t="str">
        <f t="shared" si="25"/>
        <v>Despachado</v>
      </c>
      <c r="M246" s="56" t="s">
        <v>238</v>
      </c>
      <c r="N246" s="139" t="s">
        <v>771</v>
      </c>
      <c r="O246" s="150">
        <v>45744</v>
      </c>
      <c r="P246" s="151">
        <v>45745</v>
      </c>
      <c r="Q246" s="24" t="str">
        <f t="shared" si="22"/>
        <v>Entregado</v>
      </c>
      <c r="R246" s="25">
        <f>IF(L246="Despachado",NETWORKDAYS.INTL(A246,O246,11,Valores!$A$2:$A$18)-1,"PTE")</f>
        <v>6</v>
      </c>
      <c r="S246" s="25">
        <f>IF(Q246="Entregado",NETWORKDAYS.INTL(A246,P246,11,Valores!$A$2:$A$18)-1,"PTE")</f>
        <v>7</v>
      </c>
      <c r="T246" s="25"/>
      <c r="U246" s="25"/>
      <c r="V246" s="25" t="e">
        <f>IF(Q246="Entregado",IF(S246&lt;=VLOOKUP(K246,Valores!E:F,2,0),"Cumple","No cumple"),"PTE")</f>
        <v>#N/A</v>
      </c>
      <c r="W246" s="25"/>
      <c r="X246" s="29">
        <v>34953</v>
      </c>
      <c r="Y246" s="224"/>
      <c r="Z246" s="28"/>
    </row>
    <row r="247" spans="1:26" hidden="1" x14ac:dyDescent="0.3">
      <c r="A247" s="34">
        <v>45736</v>
      </c>
      <c r="B247" s="7" t="str">
        <f t="shared" si="24"/>
        <v>marzo</v>
      </c>
      <c r="C247" s="27">
        <v>2488</v>
      </c>
      <c r="D247" s="23" t="s">
        <v>20</v>
      </c>
      <c r="E247" s="136" t="s">
        <v>740</v>
      </c>
      <c r="F247" s="22" t="s">
        <v>264</v>
      </c>
      <c r="G247" s="32" t="str">
        <f>IFERROR(VLOOKUP(F247,Productos!$A$2:$D$258,2,0)," ")</f>
        <v>Superficie Roble Miel 180x70 Clasico</v>
      </c>
      <c r="H247" s="7">
        <v>1</v>
      </c>
      <c r="I247" s="32" t="str">
        <f>IFERROR(VLOOKUP(F247,Productos!$A$2:$D$258,3,0)," ")</f>
        <v>Superficie</v>
      </c>
      <c r="J247" s="135" t="s">
        <v>203</v>
      </c>
      <c r="K247" s="135" t="s">
        <v>741</v>
      </c>
      <c r="L247" s="26" t="str">
        <f t="shared" si="25"/>
        <v>Despachado</v>
      </c>
      <c r="M247" s="56" t="s">
        <v>238</v>
      </c>
      <c r="N247" s="139" t="s">
        <v>772</v>
      </c>
      <c r="O247" s="150">
        <v>45744</v>
      </c>
      <c r="P247" s="151">
        <v>45745</v>
      </c>
      <c r="Q247" s="24" t="str">
        <f t="shared" si="22"/>
        <v>Entregado</v>
      </c>
      <c r="R247" s="25">
        <f>IF(L247="Despachado",NETWORKDAYS.INTL(A247,O247,11,Valores!$A$2:$A$18)-1,"PTE")</f>
        <v>6</v>
      </c>
      <c r="S247" s="25">
        <f>IF(Q247="Entregado",NETWORKDAYS.INTL(A247,P247,11,Valores!$A$2:$A$18)-1,"PTE")</f>
        <v>7</v>
      </c>
      <c r="T247" s="25"/>
      <c r="U247" s="25"/>
      <c r="V247" s="25" t="e">
        <f>IF(Q247="Entregado",IF(S247&lt;=VLOOKUP(K247,Valores!E:F,2,0),"Cumple","No cumple"),"PTE")</f>
        <v>#N/A</v>
      </c>
      <c r="W247" s="25"/>
      <c r="X247" s="29">
        <v>17288</v>
      </c>
      <c r="Y247" s="224"/>
      <c r="Z247" s="28"/>
    </row>
    <row r="248" spans="1:26" hidden="1" x14ac:dyDescent="0.3">
      <c r="A248" s="34">
        <v>45736</v>
      </c>
      <c r="B248" s="7" t="str">
        <f>TEXT(A248,"mmmm")</f>
        <v>marzo</v>
      </c>
      <c r="C248" s="27">
        <v>2488</v>
      </c>
      <c r="D248" s="23" t="s">
        <v>20</v>
      </c>
      <c r="E248" s="136" t="s">
        <v>740</v>
      </c>
      <c r="F248" s="22" t="s">
        <v>240</v>
      </c>
      <c r="G248" s="32" t="str">
        <f>IFERROR(VLOOKUP(F248,Productos!$A$2:$D$258,2,0)," ")</f>
        <v>Bandeja de cables</v>
      </c>
      <c r="H248" s="7">
        <v>1</v>
      </c>
      <c r="I248" s="32" t="str">
        <f>IFERROR(VLOOKUP(F248,Productos!$A$2:$D$258,3,0)," ")</f>
        <v>Accesorio</v>
      </c>
      <c r="J248" s="135" t="s">
        <v>203</v>
      </c>
      <c r="K248" s="135" t="s">
        <v>741</v>
      </c>
      <c r="L248" s="26" t="str">
        <f t="shared" si="25"/>
        <v>Despachado</v>
      </c>
      <c r="M248" s="56" t="s">
        <v>238</v>
      </c>
      <c r="N248" s="139" t="s">
        <v>773</v>
      </c>
      <c r="O248" s="150">
        <v>45744</v>
      </c>
      <c r="P248" s="151">
        <v>45745</v>
      </c>
      <c r="Q248" s="24" t="str">
        <f t="shared" si="22"/>
        <v>Entregado</v>
      </c>
      <c r="R248" s="25">
        <f>IF(L248="Despachado",NETWORKDAYS.INTL(A248,O248,11,Valores!$A$2:$A$18)-1,"PTE")</f>
        <v>6</v>
      </c>
      <c r="S248" s="25">
        <f>IF(Q248="Entregado",NETWORKDAYS.INTL(A248,P248,11,Valores!$A$2:$A$18)-1,"PTE")</f>
        <v>7</v>
      </c>
      <c r="T248" s="25"/>
      <c r="U248" s="25"/>
      <c r="V248" s="25" t="e">
        <f>IF(Q248="Entregado",IF(S248&lt;=VLOOKUP(K248,Valores!E:F,2,0),"Cumple","No cumple"),"PTE")</f>
        <v>#N/A</v>
      </c>
      <c r="W248" s="25"/>
      <c r="X248" s="29">
        <v>15447</v>
      </c>
      <c r="Y248" s="224"/>
      <c r="Z248" s="28"/>
    </row>
    <row r="249" spans="1:26" hidden="1" x14ac:dyDescent="0.3">
      <c r="A249" s="34">
        <v>45737</v>
      </c>
      <c r="B249" s="7" t="str">
        <f t="shared" si="24"/>
        <v>marzo</v>
      </c>
      <c r="C249" s="27">
        <v>2489</v>
      </c>
      <c r="D249" s="23" t="s">
        <v>20</v>
      </c>
      <c r="E249" s="136" t="s">
        <v>742</v>
      </c>
      <c r="F249" s="22" t="s">
        <v>129</v>
      </c>
      <c r="G249" s="32" t="str">
        <f>IFERROR(VLOOKUP(F249,Productos!$A$2:$D$258,2,0)," ")</f>
        <v>Electric Standing Desk  PRO Negro</v>
      </c>
      <c r="H249" s="7">
        <v>1</v>
      </c>
      <c r="I249" s="32" t="str">
        <f>IFERROR(VLOOKUP(F249,Productos!$A$2:$D$258,3,0)," ")</f>
        <v>Standing Desk</v>
      </c>
      <c r="J249" s="54" t="s">
        <v>21</v>
      </c>
      <c r="K249" s="134" t="s">
        <v>22</v>
      </c>
      <c r="L249" s="26" t="str">
        <f t="shared" si="25"/>
        <v>Despachado</v>
      </c>
      <c r="M249" s="56" t="s">
        <v>238</v>
      </c>
      <c r="N249" s="139" t="s">
        <v>774</v>
      </c>
      <c r="O249" s="150">
        <v>45747</v>
      </c>
      <c r="P249" s="151">
        <v>45748</v>
      </c>
      <c r="Q249" s="24" t="str">
        <f t="shared" si="22"/>
        <v>Entregado</v>
      </c>
      <c r="R249" s="25">
        <f>IF(L249="Despachado",NETWORKDAYS.INTL(A249,O249,11,Valores!$A$2:$A$18)-1,"PTE")</f>
        <v>7</v>
      </c>
      <c r="S249" s="25">
        <f>IF(Q249="Entregado",NETWORKDAYS.INTL(A249,P249,11,Valores!$A$2:$A$18)-1,"PTE")</f>
        <v>8</v>
      </c>
      <c r="T249" s="25"/>
      <c r="U249" s="25"/>
      <c r="V249" s="25" t="str">
        <f>IF(Q249="Entregado",IF(S249&lt;=VLOOKUP(K249,Valores!E:F,2,0),"Cumple","No cumple"),"PTE")</f>
        <v>No cumple</v>
      </c>
      <c r="W249" s="25"/>
      <c r="X249" s="29">
        <v>42921</v>
      </c>
      <c r="Y249" s="224"/>
      <c r="Z249" s="28"/>
    </row>
    <row r="250" spans="1:26" hidden="1" x14ac:dyDescent="0.3">
      <c r="A250" s="34">
        <v>45737</v>
      </c>
      <c r="B250" s="7" t="str">
        <f t="shared" si="24"/>
        <v>marzo</v>
      </c>
      <c r="C250" s="27">
        <v>2489</v>
      </c>
      <c r="D250" s="23" t="s">
        <v>20</v>
      </c>
      <c r="E250" s="136" t="s">
        <v>742</v>
      </c>
      <c r="F250" s="22" t="s">
        <v>59</v>
      </c>
      <c r="G250" s="32" t="str">
        <f>IFERROR(VLOOKUP(F250,Productos!$A$2:$D$258,2,0)," ")</f>
        <v>Superficie Caramelo 150x70 Moderno</v>
      </c>
      <c r="H250" s="7">
        <v>1</v>
      </c>
      <c r="I250" s="32" t="str">
        <f>IFERROR(VLOOKUP(F250,Productos!$A$2:$D$258,3,0)," ")</f>
        <v>Superficie</v>
      </c>
      <c r="J250" s="54" t="s">
        <v>21</v>
      </c>
      <c r="K250" s="134" t="s">
        <v>22</v>
      </c>
      <c r="L250" s="26" t="str">
        <f t="shared" si="25"/>
        <v>Despachado</v>
      </c>
      <c r="M250" s="56" t="s">
        <v>238</v>
      </c>
      <c r="N250" s="139" t="s">
        <v>775</v>
      </c>
      <c r="O250" s="150">
        <v>45747</v>
      </c>
      <c r="P250" s="151">
        <v>45748</v>
      </c>
      <c r="Q250" s="24" t="str">
        <f t="shared" si="22"/>
        <v>Entregado</v>
      </c>
      <c r="R250" s="25">
        <f>IF(L250="Despachado",NETWORKDAYS.INTL(A250,O250,11,Valores!$A$2:$A$18)-1,"PTE")</f>
        <v>7</v>
      </c>
      <c r="S250" s="25">
        <f>IF(Q250="Entregado",NETWORKDAYS.INTL(A250,P250,11,Valores!$A$2:$A$18)-1,"PTE")</f>
        <v>8</v>
      </c>
      <c r="T250" s="25"/>
      <c r="U250" s="25"/>
      <c r="V250" s="25" t="str">
        <f>IF(Q250="Entregado",IF(S250&lt;=VLOOKUP(K250,Valores!E:F,2,0),"Cumple","No cumple"),"PTE")</f>
        <v>No cumple</v>
      </c>
      <c r="W250" s="25"/>
      <c r="X250" s="29">
        <v>24093</v>
      </c>
      <c r="Y250" s="224"/>
      <c r="Z250" s="28"/>
    </row>
    <row r="251" spans="1:26" hidden="1" x14ac:dyDescent="0.3">
      <c r="A251" s="34">
        <v>45738</v>
      </c>
      <c r="B251" s="7" t="str">
        <f t="shared" si="24"/>
        <v>marzo</v>
      </c>
      <c r="C251" s="27">
        <v>2490</v>
      </c>
      <c r="D251" s="23" t="s">
        <v>20</v>
      </c>
      <c r="E251" s="136" t="s">
        <v>743</v>
      </c>
      <c r="F251" s="22" t="s">
        <v>129</v>
      </c>
      <c r="G251" s="32" t="str">
        <f>IFERROR(VLOOKUP(F251,Productos!$A$2:$D$258,2,0)," ")</f>
        <v>Electric Standing Desk  PRO Negro</v>
      </c>
      <c r="H251" s="7">
        <v>1</v>
      </c>
      <c r="I251" s="32" t="str">
        <f>IFERROR(VLOOKUP(F251,Productos!$A$2:$D$258,3,0)," ")</f>
        <v>Standing Desk</v>
      </c>
      <c r="J251" s="135" t="s">
        <v>24</v>
      </c>
      <c r="K251" s="135" t="s">
        <v>744</v>
      </c>
      <c r="L251" s="26" t="str">
        <f t="shared" si="25"/>
        <v>Despachado</v>
      </c>
      <c r="M251" s="56" t="s">
        <v>238</v>
      </c>
      <c r="N251" s="135" t="s">
        <v>745</v>
      </c>
      <c r="O251" s="150">
        <v>45741</v>
      </c>
      <c r="P251" s="151">
        <v>45742</v>
      </c>
      <c r="Q251" s="24" t="str">
        <f t="shared" si="22"/>
        <v>Entregado</v>
      </c>
      <c r="R251" s="25">
        <f>IF(L251="Despachado",NETWORKDAYS.INTL(A251,O251,11,Valores!$A$2:$A$18)-1,"PTE")</f>
        <v>1</v>
      </c>
      <c r="S251" s="25">
        <f>IF(Q251="Entregado",NETWORKDAYS.INTL(A251,P251,11,Valores!$A$2:$A$18)-1,"PTE")</f>
        <v>2</v>
      </c>
      <c r="T251" s="25"/>
      <c r="U251" s="25"/>
      <c r="V251" s="25" t="e">
        <f>IF(Q251="Entregado",IF(S251&lt;=VLOOKUP(K251,Valores!E:F,2,0),"Cumple","No cumple"),"PTE")</f>
        <v>#N/A</v>
      </c>
      <c r="W251" s="25"/>
      <c r="X251" s="29">
        <v>42921</v>
      </c>
      <c r="Y251" s="224"/>
      <c r="Z251" s="28"/>
    </row>
    <row r="252" spans="1:26" hidden="1" x14ac:dyDescent="0.3">
      <c r="A252" s="34">
        <v>45738</v>
      </c>
      <c r="B252" s="7" t="str">
        <f t="shared" si="24"/>
        <v>marzo</v>
      </c>
      <c r="C252" s="27">
        <v>2490</v>
      </c>
      <c r="D252" s="23" t="s">
        <v>20</v>
      </c>
      <c r="E252" s="136" t="s">
        <v>743</v>
      </c>
      <c r="F252" s="22" t="s">
        <v>154</v>
      </c>
      <c r="G252" s="32" t="str">
        <f>IFERROR(VLOOKUP(F252,Productos!$A$2:$D$258,2,0)," ")</f>
        <v>Superficie  Roble Negro 140x70 Clasico</v>
      </c>
      <c r="H252" s="7">
        <v>1</v>
      </c>
      <c r="I252" s="32" t="str">
        <f>IFERROR(VLOOKUP(F252,Productos!$A$2:$D$258,3,0)," ")</f>
        <v>Superficie</v>
      </c>
      <c r="J252" s="135" t="s">
        <v>24</v>
      </c>
      <c r="K252" s="135" t="s">
        <v>744</v>
      </c>
      <c r="L252" s="26" t="str">
        <f t="shared" si="25"/>
        <v>Despachado</v>
      </c>
      <c r="M252" s="56" t="s">
        <v>238</v>
      </c>
      <c r="N252" s="135" t="s">
        <v>746</v>
      </c>
      <c r="O252" s="150">
        <v>45741</v>
      </c>
      <c r="P252" s="151">
        <v>45742</v>
      </c>
      <c r="Q252" s="24" t="str">
        <f t="shared" si="22"/>
        <v>Entregado</v>
      </c>
      <c r="R252" s="25">
        <f>IF(L252="Despachado",NETWORKDAYS.INTL(A252,O252,11,Valores!$A$2:$A$18)-1,"PTE")</f>
        <v>1</v>
      </c>
      <c r="S252" s="25">
        <f>IF(Q252="Entregado",NETWORKDAYS.INTL(A252,P252,11,Valores!$A$2:$A$18)-1,"PTE")</f>
        <v>2</v>
      </c>
      <c r="T252" s="25"/>
      <c r="U252" s="25"/>
      <c r="V252" s="25" t="e">
        <f>IF(Q252="Entregado",IF(S252&lt;=VLOOKUP(K252,Valores!E:F,2,0),"Cumple","No cumple"),"PTE")</f>
        <v>#N/A</v>
      </c>
      <c r="W252" s="25"/>
      <c r="X252" s="29">
        <v>24093</v>
      </c>
      <c r="Y252" s="224"/>
      <c r="Z252" s="28"/>
    </row>
    <row r="253" spans="1:26" hidden="1" x14ac:dyDescent="0.3">
      <c r="A253" s="34">
        <v>45739</v>
      </c>
      <c r="B253" s="7" t="str">
        <f t="shared" si="24"/>
        <v>marzo</v>
      </c>
      <c r="C253" s="27">
        <v>2491</v>
      </c>
      <c r="D253" s="23" t="s">
        <v>20</v>
      </c>
      <c r="E253" s="136" t="s">
        <v>747</v>
      </c>
      <c r="F253" s="22" t="s">
        <v>129</v>
      </c>
      <c r="G253" s="32" t="str">
        <f>IFERROR(VLOOKUP(F253,Productos!$A$2:$D$258,2,0)," ")</f>
        <v>Electric Standing Desk  PRO Negro</v>
      </c>
      <c r="H253" s="7">
        <v>1</v>
      </c>
      <c r="I253" s="32" t="str">
        <f>IFERROR(VLOOKUP(F253,Productos!$A$2:$D$258,3,0)," ")</f>
        <v>Standing Desk</v>
      </c>
      <c r="J253" s="54" t="s">
        <v>21</v>
      </c>
      <c r="K253" s="134" t="s">
        <v>22</v>
      </c>
      <c r="L253" s="26" t="str">
        <f t="shared" si="25"/>
        <v>Despachado</v>
      </c>
      <c r="M253" s="56" t="s">
        <v>238</v>
      </c>
      <c r="N253" s="139" t="s">
        <v>776</v>
      </c>
      <c r="O253" s="150">
        <v>45742</v>
      </c>
      <c r="P253" s="151">
        <v>45744</v>
      </c>
      <c r="Q253" s="24" t="str">
        <f t="shared" si="22"/>
        <v>Entregado</v>
      </c>
      <c r="R253" s="25">
        <f>IF(L253="Despachado",NETWORKDAYS.INTL(A253,O253,11,Valores!$A$2:$A$18)-1,"PTE")</f>
        <v>1</v>
      </c>
      <c r="S253" s="25">
        <f>IF(Q253="Entregado",NETWORKDAYS.INTL(A253,P253,11,Valores!$A$2:$A$18)-1,"PTE")</f>
        <v>3</v>
      </c>
      <c r="T253" s="25"/>
      <c r="U253" s="25"/>
      <c r="V253" s="25" t="str">
        <f>IF(Q253="Entregado",IF(S253&lt;=VLOOKUP(K253,Valores!E:F,2,0),"Cumple","No cumple"),"PTE")</f>
        <v>Cumple</v>
      </c>
      <c r="W253" s="25"/>
      <c r="X253" s="29">
        <v>42921</v>
      </c>
      <c r="Y253" s="224"/>
      <c r="Z253" s="28"/>
    </row>
    <row r="254" spans="1:26" hidden="1" x14ac:dyDescent="0.3">
      <c r="A254" s="34">
        <v>45739</v>
      </c>
      <c r="B254" s="7" t="str">
        <f t="shared" si="24"/>
        <v>marzo</v>
      </c>
      <c r="C254" s="27">
        <v>2491</v>
      </c>
      <c r="D254" s="23" t="s">
        <v>20</v>
      </c>
      <c r="E254" s="136" t="s">
        <v>747</v>
      </c>
      <c r="F254" s="22" t="s">
        <v>111</v>
      </c>
      <c r="G254" s="32" t="str">
        <f>IFERROR(VLOOKUP(F254,Productos!$A$2:$D$258,2,0)," ")</f>
        <v>Superficie  Roble Negro 180x70 Clasico</v>
      </c>
      <c r="H254" s="7">
        <v>1</v>
      </c>
      <c r="I254" s="32" t="str">
        <f>IFERROR(VLOOKUP(F254,Productos!$A$2:$D$258,3,0)," ")</f>
        <v>Superficie</v>
      </c>
      <c r="J254" s="54" t="s">
        <v>21</v>
      </c>
      <c r="K254" s="134" t="s">
        <v>22</v>
      </c>
      <c r="L254" s="26" t="str">
        <f t="shared" si="25"/>
        <v>Despachado</v>
      </c>
      <c r="M254" s="56" t="s">
        <v>238</v>
      </c>
      <c r="N254" s="139" t="s">
        <v>777</v>
      </c>
      <c r="O254" s="150">
        <v>45742</v>
      </c>
      <c r="P254" s="151">
        <v>45744</v>
      </c>
      <c r="Q254" s="24" t="str">
        <f t="shared" si="22"/>
        <v>Entregado</v>
      </c>
      <c r="R254" s="25">
        <f>IF(L254="Despachado",NETWORKDAYS.INTL(A254,O254,11,Valores!$A$2:$A$18)-1,"PTE")</f>
        <v>1</v>
      </c>
      <c r="S254" s="25">
        <f>IF(Q254="Entregado",NETWORKDAYS.INTL(A254,P254,11,Valores!$A$2:$A$18)-1,"PTE")</f>
        <v>3</v>
      </c>
      <c r="T254" s="25"/>
      <c r="U254" s="25"/>
      <c r="V254" s="25" t="str">
        <f>IF(Q254="Entregado",IF(S254&lt;=VLOOKUP(K254,Valores!E:F,2,0),"Cumple","No cumple"),"PTE")</f>
        <v>Cumple</v>
      </c>
      <c r="W254" s="25"/>
      <c r="X254" s="29">
        <v>26749</v>
      </c>
      <c r="Y254" s="224"/>
      <c r="Z254" s="28"/>
    </row>
    <row r="255" spans="1:26" hidden="1" x14ac:dyDescent="0.3">
      <c r="A255" s="34">
        <v>45739</v>
      </c>
      <c r="B255" s="7" t="str">
        <f>TEXT(A255,"mmmm")</f>
        <v>marzo</v>
      </c>
      <c r="C255" s="27">
        <v>2492</v>
      </c>
      <c r="D255" s="23" t="s">
        <v>20</v>
      </c>
      <c r="E255" s="136" t="s">
        <v>748</v>
      </c>
      <c r="F255" s="22" t="s">
        <v>129</v>
      </c>
      <c r="G255" s="32" t="str">
        <f>IFERROR(VLOOKUP(F255,Productos!$A$2:$D$258,2,0)," ")</f>
        <v>Electric Standing Desk  PRO Negro</v>
      </c>
      <c r="H255" s="7">
        <v>1</v>
      </c>
      <c r="I255" s="32" t="str">
        <f>IFERROR(VLOOKUP(F255,Productos!$A$2:$D$258,3,0)," ")</f>
        <v>Standing Desk</v>
      </c>
      <c r="J255" s="135" t="s">
        <v>24</v>
      </c>
      <c r="K255" s="135" t="s">
        <v>25</v>
      </c>
      <c r="L255" s="26" t="str">
        <f t="shared" si="25"/>
        <v>Despachado</v>
      </c>
      <c r="M255" s="56" t="s">
        <v>238</v>
      </c>
      <c r="N255" s="135" t="s">
        <v>749</v>
      </c>
      <c r="O255" s="150">
        <v>45741</v>
      </c>
      <c r="P255" s="151">
        <v>45742</v>
      </c>
      <c r="Q255" s="24" t="str">
        <f t="shared" si="22"/>
        <v>Entregado</v>
      </c>
      <c r="R255" s="25">
        <f>IF(L255="Despachado",NETWORKDAYS.INTL(A255,O255,11,Valores!$A$2:$A$18)-1,"PTE")</f>
        <v>0</v>
      </c>
      <c r="S255" s="25">
        <f>IF(Q255="Entregado",NETWORKDAYS.INTL(A255,P255,11,Valores!$A$2:$A$18)-1,"PTE")</f>
        <v>1</v>
      </c>
      <c r="T255" s="25"/>
      <c r="U255" s="25"/>
      <c r="V255" s="25" t="str">
        <f>IF(Q255="Entregado",IF(S255&lt;=VLOOKUP(K255,Valores!E:F,2,0),"Cumple","No cumple"),"PTE")</f>
        <v>Cumple</v>
      </c>
      <c r="W255" s="25"/>
      <c r="X255" s="29">
        <v>42921</v>
      </c>
      <c r="Y255" s="224"/>
      <c r="Z255" s="28"/>
    </row>
    <row r="256" spans="1:26" hidden="1" x14ac:dyDescent="0.3">
      <c r="A256" s="34">
        <v>45739</v>
      </c>
      <c r="B256" s="7" t="str">
        <f>TEXT(A256,"mmmm")</f>
        <v>marzo</v>
      </c>
      <c r="C256" s="27">
        <v>2492</v>
      </c>
      <c r="D256" s="23" t="s">
        <v>20</v>
      </c>
      <c r="E256" s="136" t="s">
        <v>748</v>
      </c>
      <c r="F256" s="22" t="s">
        <v>301</v>
      </c>
      <c r="G256" s="32" t="str">
        <f>IFERROR(VLOOKUP(F256,Productos!$A$2:$D$258,2,0)," ")</f>
        <v>Superficie  Fresno Europeo 120x70 Clasico Small</v>
      </c>
      <c r="H256" s="7">
        <v>1</v>
      </c>
      <c r="I256" s="32" t="str">
        <f>IFERROR(VLOOKUP(F256,Productos!$A$2:$D$258,3,0)," ")</f>
        <v>Superficie</v>
      </c>
      <c r="J256" s="135" t="s">
        <v>24</v>
      </c>
      <c r="K256" s="135" t="s">
        <v>25</v>
      </c>
      <c r="L256" s="26" t="str">
        <f t="shared" si="25"/>
        <v>Despachado</v>
      </c>
      <c r="M256" s="56" t="s">
        <v>238</v>
      </c>
      <c r="N256" s="135" t="s">
        <v>750</v>
      </c>
      <c r="O256" s="150">
        <v>45741</v>
      </c>
      <c r="P256" s="151">
        <v>45742</v>
      </c>
      <c r="Q256" s="24" t="str">
        <f t="shared" si="22"/>
        <v>Entregado</v>
      </c>
      <c r="R256" s="25">
        <f>IF(L256="Despachado",NETWORKDAYS.INTL(A256,O256,11,Valores!$A$2:$A$18)-1,"PTE")</f>
        <v>0</v>
      </c>
      <c r="S256" s="25">
        <f>IF(Q256="Entregado",NETWORKDAYS.INTL(A256,P256,11,Valores!$A$2:$A$18)-1,"PTE")</f>
        <v>1</v>
      </c>
      <c r="T256" s="25"/>
      <c r="U256" s="25"/>
      <c r="V256" s="25" t="str">
        <f>IF(Q256="Entregado",IF(S256&lt;=VLOOKUP(K256,Valores!E:F,2,0),"Cumple","No cumple"),"PTE")</f>
        <v>Cumple</v>
      </c>
      <c r="W256" s="25"/>
      <c r="X256" s="29">
        <v>28741</v>
      </c>
      <c r="Y256" s="224"/>
      <c r="Z256" s="28"/>
    </row>
    <row r="257" spans="1:26" hidden="1" x14ac:dyDescent="0.3">
      <c r="A257" s="34">
        <v>45739</v>
      </c>
      <c r="B257" s="7" t="str">
        <f t="shared" ref="B257:B268" si="26">TEXT(A257,"mmmm")</f>
        <v>marzo</v>
      </c>
      <c r="C257" s="27">
        <v>2492</v>
      </c>
      <c r="D257" s="23" t="s">
        <v>20</v>
      </c>
      <c r="E257" s="136" t="s">
        <v>748</v>
      </c>
      <c r="F257" s="22"/>
      <c r="G257" s="32" t="s">
        <v>1796</v>
      </c>
      <c r="H257" s="7">
        <v>1</v>
      </c>
      <c r="I257" s="32" t="s">
        <v>327</v>
      </c>
      <c r="J257" s="135" t="s">
        <v>24</v>
      </c>
      <c r="K257" s="135" t="s">
        <v>25</v>
      </c>
      <c r="L257" s="26" t="s">
        <v>327</v>
      </c>
      <c r="M257" s="56" t="s">
        <v>241</v>
      </c>
      <c r="N257" s="135" t="s">
        <v>241</v>
      </c>
      <c r="O257" s="150" t="s">
        <v>241</v>
      </c>
      <c r="P257" s="151" t="s">
        <v>241</v>
      </c>
      <c r="Q257" s="24" t="str">
        <f t="shared" si="22"/>
        <v>Entregado</v>
      </c>
      <c r="R257" s="25" t="str">
        <f>IF(L257="Despachado",NETWORKDAYS.INTL(A257,O257,11,Valores!$A$2:$A$18)-1,"PTE")</f>
        <v>PTE</v>
      </c>
      <c r="S257" s="25" t="e">
        <f>IF(Q257="Entregado",NETWORKDAYS.INTL(A257,P257,11,Valores!$A$2:$A$18)-1,"PTE")</f>
        <v>#VALUE!</v>
      </c>
      <c r="T257" s="25"/>
      <c r="U257" s="25"/>
      <c r="V257" s="25" t="e">
        <f>IF(Q257="Entregado",IF(S257&lt;=VLOOKUP(K257,Valores!E:F,2,0),"Cumple","No cumple"),"PTE")</f>
        <v>#VALUE!</v>
      </c>
      <c r="W257" s="25"/>
      <c r="X257" s="29">
        <v>0</v>
      </c>
      <c r="Y257" s="224"/>
      <c r="Z257" s="28"/>
    </row>
    <row r="258" spans="1:26" hidden="1" x14ac:dyDescent="0.3">
      <c r="A258" s="34">
        <v>45740</v>
      </c>
      <c r="B258" s="7" t="str">
        <f t="shared" si="26"/>
        <v>marzo</v>
      </c>
      <c r="C258" s="27">
        <v>2493</v>
      </c>
      <c r="D258" s="23" t="s">
        <v>20</v>
      </c>
      <c r="E258" s="136" t="s">
        <v>751</v>
      </c>
      <c r="F258" s="40" t="s">
        <v>123</v>
      </c>
      <c r="G258" s="32" t="str">
        <f>IFERROR(VLOOKUP(F258,Productos!$A$2:$D$258,2,0)," ")</f>
        <v>Electric Standing Desk GO Negro</v>
      </c>
      <c r="H258" s="7">
        <v>1</v>
      </c>
      <c r="I258" s="32" t="str">
        <f>IFERROR(VLOOKUP(F258,Productos!$A$2:$D$258,3,0)," ")</f>
        <v>Standing Desk</v>
      </c>
      <c r="J258" s="54" t="s">
        <v>21</v>
      </c>
      <c r="K258" s="134" t="s">
        <v>22</v>
      </c>
      <c r="L258" s="26" t="str">
        <f>IF(O258&gt;0,"Despachado","En alistamiento")</f>
        <v>Despachado</v>
      </c>
      <c r="M258" s="56" t="s">
        <v>238</v>
      </c>
      <c r="N258" s="139" t="s">
        <v>778</v>
      </c>
      <c r="O258" s="150">
        <v>45742</v>
      </c>
      <c r="P258" s="151">
        <v>45744</v>
      </c>
      <c r="Q258" s="24" t="str">
        <f t="shared" si="22"/>
        <v>Entregado</v>
      </c>
      <c r="R258" s="25">
        <f>IF(L258="Despachado",NETWORKDAYS.INTL(A258,O258,11,Valores!$A$2:$A$18)-1,"PTE")</f>
        <v>1</v>
      </c>
      <c r="S258" s="25">
        <f>IF(Q258="Entregado",NETWORKDAYS.INTL(A258,P258,11,Valores!$A$2:$A$18)-1,"PTE")</f>
        <v>3</v>
      </c>
      <c r="T258" s="25"/>
      <c r="U258" s="25"/>
      <c r="V258" s="25" t="str">
        <f>IF(Q258="Entregado",IF(S258&lt;=VLOOKUP(K258,Valores!E:F,2,0),"Cumple","No cumple"),"PTE")</f>
        <v>Cumple</v>
      </c>
      <c r="W258" s="25"/>
      <c r="X258" s="29">
        <v>41593</v>
      </c>
      <c r="Y258" s="224"/>
      <c r="Z258" s="28"/>
    </row>
    <row r="259" spans="1:26" hidden="1" x14ac:dyDescent="0.3">
      <c r="A259" s="34">
        <v>45740</v>
      </c>
      <c r="B259" s="7" t="str">
        <f t="shared" si="26"/>
        <v>marzo</v>
      </c>
      <c r="C259" s="27">
        <v>2493</v>
      </c>
      <c r="D259" s="23" t="s">
        <v>20</v>
      </c>
      <c r="E259" s="136" t="s">
        <v>751</v>
      </c>
      <c r="F259" s="22" t="s">
        <v>302</v>
      </c>
      <c r="G259" s="32" t="str">
        <f>IFERROR(VLOOKUP(F259,Productos!$A$2:$D$258,2,0)," ")</f>
        <v>Superficie  Fresno Europeo 130x70 Clasico</v>
      </c>
      <c r="H259" s="7">
        <v>1</v>
      </c>
      <c r="I259" s="32" t="str">
        <f>IFERROR(VLOOKUP(F259,Productos!$A$2:$D$258,3,0)," ")</f>
        <v>Superficie</v>
      </c>
      <c r="J259" s="54" t="s">
        <v>21</v>
      </c>
      <c r="K259" s="134" t="s">
        <v>22</v>
      </c>
      <c r="L259" s="26" t="str">
        <f>IF(O259&gt;0,"Despachado","En alistamiento")</f>
        <v>Despachado</v>
      </c>
      <c r="M259" s="56" t="s">
        <v>238</v>
      </c>
      <c r="N259" s="139" t="s">
        <v>779</v>
      </c>
      <c r="O259" s="150">
        <v>45742</v>
      </c>
      <c r="P259" s="151">
        <v>45744</v>
      </c>
      <c r="Q259" s="24" t="str">
        <f t="shared" si="22"/>
        <v>Entregado</v>
      </c>
      <c r="R259" s="25">
        <f>IF(L259="Despachado",NETWORKDAYS.INTL(A259,O259,11,Valores!$A$2:$A$18)-1,"PTE")</f>
        <v>1</v>
      </c>
      <c r="S259" s="25">
        <f>IF(Q259="Entregado",NETWORKDAYS.INTL(A259,P259,11,Valores!$A$2:$A$18)-1,"PTE")</f>
        <v>3</v>
      </c>
      <c r="T259" s="25"/>
      <c r="U259" s="25"/>
      <c r="V259" s="25" t="str">
        <f>IF(Q259="Entregado",IF(S259&lt;=VLOOKUP(K259,Valores!E:F,2,0),"Cumple","No cumple"),"PTE")</f>
        <v>Cumple</v>
      </c>
      <c r="W259" s="25"/>
      <c r="X259" s="29">
        <v>24093</v>
      </c>
      <c r="Y259" s="224"/>
      <c r="Z259" s="28"/>
    </row>
    <row r="260" spans="1:26" hidden="1" x14ac:dyDescent="0.3">
      <c r="A260" s="34">
        <v>45741</v>
      </c>
      <c r="B260" s="7" t="str">
        <f t="shared" si="26"/>
        <v>marzo</v>
      </c>
      <c r="C260" s="27">
        <v>2494</v>
      </c>
      <c r="D260" s="23" t="s">
        <v>20</v>
      </c>
      <c r="E260" s="136" t="s">
        <v>752</v>
      </c>
      <c r="F260" s="40" t="s">
        <v>123</v>
      </c>
      <c r="G260" s="32" t="str">
        <f>IFERROR(VLOOKUP(F260,Productos!$A$2:$D$258,2,0)," ")</f>
        <v>Electric Standing Desk GO Negro</v>
      </c>
      <c r="H260" s="7">
        <v>1</v>
      </c>
      <c r="I260" s="32" t="str">
        <f>IFERROR(VLOOKUP(F260,Productos!$A$2:$D$258,3,0)," ")</f>
        <v>Standing Desk</v>
      </c>
      <c r="J260" s="54" t="s">
        <v>21</v>
      </c>
      <c r="K260" s="134" t="s">
        <v>22</v>
      </c>
      <c r="L260" s="26" t="str">
        <f>IF(O260&gt;0,"Despachado","En alistamiento")</f>
        <v>Despachado</v>
      </c>
      <c r="M260" s="56" t="s">
        <v>238</v>
      </c>
      <c r="N260" s="135" t="s">
        <v>753</v>
      </c>
      <c r="O260" s="150">
        <v>45741</v>
      </c>
      <c r="P260" s="151">
        <v>45743</v>
      </c>
      <c r="Q260" s="24" t="str">
        <f t="shared" si="22"/>
        <v>Entregado</v>
      </c>
      <c r="R260" s="25">
        <f>IF(L260="Despachado",NETWORKDAYS.INTL(A260,O260,11,Valores!$A$2:$A$18)-1,"PTE")</f>
        <v>0</v>
      </c>
      <c r="S260" s="25">
        <f>IF(Q260="Entregado",NETWORKDAYS.INTL(A260,P260,11,Valores!$A$2:$A$18)-1,"PTE")</f>
        <v>2</v>
      </c>
      <c r="T260" s="25"/>
      <c r="U260" s="25"/>
      <c r="V260" s="25" t="str">
        <f>IF(Q260="Entregado",IF(S260&lt;=VLOOKUP(K260,Valores!E:F,2,0),"Cumple","No cumple"),"PTE")</f>
        <v>Cumple</v>
      </c>
      <c r="W260" s="25"/>
      <c r="X260" s="29">
        <v>41593</v>
      </c>
      <c r="Y260" s="224"/>
      <c r="Z260" s="28"/>
    </row>
    <row r="261" spans="1:26" hidden="1" x14ac:dyDescent="0.3">
      <c r="A261" s="34">
        <v>45741</v>
      </c>
      <c r="B261" s="7" t="str">
        <f t="shared" si="26"/>
        <v>marzo</v>
      </c>
      <c r="C261" s="27">
        <v>2494</v>
      </c>
      <c r="D261" s="23" t="s">
        <v>20</v>
      </c>
      <c r="E261" s="136" t="s">
        <v>752</v>
      </c>
      <c r="F261" s="22" t="s">
        <v>303</v>
      </c>
      <c r="G261" s="32" t="str">
        <f>IFERROR(VLOOKUP(F261,Productos!$A$2:$D$258,2,0)," ")</f>
        <v>Superficie  Fresno Europeo 140x70 Clasico</v>
      </c>
      <c r="H261" s="7">
        <v>1</v>
      </c>
      <c r="I261" s="32" t="str">
        <f>IFERROR(VLOOKUP(F261,Productos!$A$2:$D$258,3,0)," ")</f>
        <v>Superficie</v>
      </c>
      <c r="J261" s="54" t="s">
        <v>21</v>
      </c>
      <c r="K261" s="134" t="s">
        <v>22</v>
      </c>
      <c r="L261" s="26" t="str">
        <f>IF(O261&gt;0,"Despachado","En alistamiento")</f>
        <v>Despachado</v>
      </c>
      <c r="M261" s="56" t="s">
        <v>238</v>
      </c>
      <c r="N261" s="135" t="s">
        <v>754</v>
      </c>
      <c r="O261" s="150">
        <v>45741</v>
      </c>
      <c r="P261" s="151">
        <v>45743</v>
      </c>
      <c r="Q261" s="24" t="str">
        <f t="shared" si="22"/>
        <v>Entregado</v>
      </c>
      <c r="R261" s="25">
        <f>IF(L261="Despachado",NETWORKDAYS.INTL(A261,O261,11,Valores!$A$2:$A$18)-1,"PTE")</f>
        <v>0</v>
      </c>
      <c r="S261" s="25">
        <f>IF(Q261="Entregado",NETWORKDAYS.INTL(A261,P261,11,Valores!$A$2:$A$18)-1,"PTE")</f>
        <v>2</v>
      </c>
      <c r="T261" s="25"/>
      <c r="U261" s="25"/>
      <c r="V261" s="25" t="str">
        <f>IF(Q261="Entregado",IF(S261&lt;=VLOOKUP(K261,Valores!E:F,2,0),"Cumple","No cumple"),"PTE")</f>
        <v>Cumple</v>
      </c>
      <c r="W261" s="25"/>
      <c r="X261" s="29">
        <v>24093</v>
      </c>
      <c r="Y261" s="224"/>
      <c r="Z261" s="28"/>
    </row>
    <row r="262" spans="1:26" hidden="1" x14ac:dyDescent="0.3">
      <c r="A262" s="34">
        <v>45741</v>
      </c>
      <c r="B262" s="7" t="str">
        <f t="shared" si="26"/>
        <v>marzo</v>
      </c>
      <c r="C262" s="27">
        <v>2494</v>
      </c>
      <c r="D262" s="23" t="s">
        <v>20</v>
      </c>
      <c r="E262" s="136" t="s">
        <v>752</v>
      </c>
      <c r="F262" s="22"/>
      <c r="G262" s="32" t="s">
        <v>1796</v>
      </c>
      <c r="H262" s="7">
        <v>1</v>
      </c>
      <c r="I262" s="32" t="s">
        <v>327</v>
      </c>
      <c r="J262" s="54" t="s">
        <v>21</v>
      </c>
      <c r="K262" s="134" t="s">
        <v>22</v>
      </c>
      <c r="L262" s="26" t="s">
        <v>327</v>
      </c>
      <c r="M262" s="56" t="s">
        <v>241</v>
      </c>
      <c r="N262" s="135" t="s">
        <v>241</v>
      </c>
      <c r="O262" s="150" t="s">
        <v>241</v>
      </c>
      <c r="P262" s="151" t="s">
        <v>241</v>
      </c>
      <c r="Q262" s="24" t="str">
        <f t="shared" ref="Q262:Q325" si="27">IF(P262&gt;0,"Entregado","En transito")</f>
        <v>Entregado</v>
      </c>
      <c r="R262" s="25" t="str">
        <f>IF(L262="Despachado",NETWORKDAYS.INTL(A262,O262,11,Valores!$A$2:$A$18)-1,"PTE")</f>
        <v>PTE</v>
      </c>
      <c r="S262" s="25" t="e">
        <f>IF(Q262="Entregado",NETWORKDAYS.INTL(A262,P262,11,Valores!$A$2:$A$18)-1,"PTE")</f>
        <v>#VALUE!</v>
      </c>
      <c r="T262" s="25"/>
      <c r="U262" s="25"/>
      <c r="V262" s="25" t="e">
        <f>IF(Q262="Entregado",IF(S262&lt;=VLOOKUP(K262,Valores!E:F,2,0),"Cumple","No cumple"),"PTE")</f>
        <v>#VALUE!</v>
      </c>
      <c r="W262" s="25"/>
      <c r="X262" s="29">
        <v>0</v>
      </c>
      <c r="Y262" s="224"/>
      <c r="Z262" s="28"/>
    </row>
    <row r="263" spans="1:26" hidden="1" x14ac:dyDescent="0.3">
      <c r="A263" s="34">
        <v>45742</v>
      </c>
      <c r="B263" s="7" t="str">
        <f t="shared" si="26"/>
        <v>marzo</v>
      </c>
      <c r="C263" s="27">
        <v>2495</v>
      </c>
      <c r="D263" s="23" t="s">
        <v>20</v>
      </c>
      <c r="E263" s="137" t="s">
        <v>755</v>
      </c>
      <c r="F263" s="22" t="s">
        <v>732</v>
      </c>
      <c r="G263" s="32" t="str">
        <f>IFERROR(VLOOKUP(F263,Productos!$A$2:$D$258,2,0)," ")</f>
        <v>Electric Standing Desk  PRO Negro circular</v>
      </c>
      <c r="H263" s="7">
        <v>1</v>
      </c>
      <c r="I263" s="32" t="str">
        <f>IFERROR(VLOOKUP(F263,Productos!$A$2:$D$258,3,0)," ")</f>
        <v>Standing Desk</v>
      </c>
      <c r="J263" s="135" t="s">
        <v>24</v>
      </c>
      <c r="K263" s="135" t="s">
        <v>25</v>
      </c>
      <c r="L263" s="26" t="str">
        <f>IF(O263&gt;0,"Despachado","En alistamiento")</f>
        <v>Despachado</v>
      </c>
      <c r="M263" s="56" t="s">
        <v>238</v>
      </c>
      <c r="N263" s="139" t="s">
        <v>780</v>
      </c>
      <c r="O263" s="150">
        <v>45743</v>
      </c>
      <c r="P263" s="151">
        <v>45744</v>
      </c>
      <c r="Q263" s="24" t="str">
        <f t="shared" si="27"/>
        <v>Entregado</v>
      </c>
      <c r="R263" s="25">
        <f>IF(L263="Despachado",NETWORKDAYS.INTL(A263,O263,11,Valores!$A$2:$A$18)-1,"PTE")</f>
        <v>1</v>
      </c>
      <c r="S263" s="25">
        <f>IF(Q263="Entregado",NETWORKDAYS.INTL(A263,P263,11,Valores!$A$2:$A$18)-1,"PTE")</f>
        <v>2</v>
      </c>
      <c r="T263" s="25"/>
      <c r="U263" s="25"/>
      <c r="V263" s="25" t="str">
        <f>IF(Q263="Entregado",IF(S263&lt;=VLOOKUP(K263,Valores!E:F,2,0),"Cumple","No cumple"),"PTE")</f>
        <v>Cumple</v>
      </c>
      <c r="W263" s="25"/>
      <c r="X263" s="29">
        <v>42921</v>
      </c>
      <c r="Y263" s="224"/>
      <c r="Z263" s="28"/>
    </row>
    <row r="264" spans="1:26" hidden="1" x14ac:dyDescent="0.3">
      <c r="A264" s="34">
        <v>45742</v>
      </c>
      <c r="B264" s="7" t="str">
        <f t="shared" si="26"/>
        <v>marzo</v>
      </c>
      <c r="C264" s="27">
        <v>2495</v>
      </c>
      <c r="D264" s="23" t="s">
        <v>20</v>
      </c>
      <c r="E264" s="137" t="s">
        <v>755</v>
      </c>
      <c r="F264" s="22" t="s">
        <v>290</v>
      </c>
      <c r="G264" s="32" t="str">
        <f>IFERROR(VLOOKUP(F264,Productos!$A$2:$D$258,2,0)," ")</f>
        <v>Superficie  Music Caramelo</v>
      </c>
      <c r="H264" s="7">
        <v>1</v>
      </c>
      <c r="I264" s="32" t="str">
        <f>IFERROR(VLOOKUP(F264,Productos!$A$2:$D$258,3,0)," ")</f>
        <v>Superficie</v>
      </c>
      <c r="J264" s="135" t="s">
        <v>24</v>
      </c>
      <c r="K264" s="135" t="s">
        <v>25</v>
      </c>
      <c r="L264" s="26" t="str">
        <f>IF(O264&gt;0,"Despachado","En alistamiento")</f>
        <v>Despachado</v>
      </c>
      <c r="M264" s="56" t="s">
        <v>238</v>
      </c>
      <c r="N264" s="139" t="s">
        <v>781</v>
      </c>
      <c r="O264" s="150">
        <v>45743</v>
      </c>
      <c r="P264" s="151">
        <v>45744</v>
      </c>
      <c r="Q264" s="24" t="str">
        <f t="shared" si="27"/>
        <v>Entregado</v>
      </c>
      <c r="R264" s="25">
        <f>IF(L264="Despachado",NETWORKDAYS.INTL(A264,O264,11,Valores!$A$2:$A$18)-1,"PTE")</f>
        <v>1</v>
      </c>
      <c r="S264" s="25">
        <f>IF(Q264="Entregado",NETWORKDAYS.INTL(A264,P264,11,Valores!$A$2:$A$18)-1,"PTE")</f>
        <v>2</v>
      </c>
      <c r="T264" s="25"/>
      <c r="U264" s="25"/>
      <c r="V264" s="25" t="str">
        <f>IF(Q264="Entregado",IF(S264&lt;=VLOOKUP(K264,Valores!E:F,2,0),"Cumple","No cumple"),"PTE")</f>
        <v>Cumple</v>
      </c>
      <c r="W264" s="25"/>
      <c r="X264" s="29">
        <v>24093</v>
      </c>
      <c r="Y264" s="224"/>
      <c r="Z264" s="28"/>
    </row>
    <row r="265" spans="1:26" hidden="1" x14ac:dyDescent="0.3">
      <c r="A265" s="34">
        <v>45742</v>
      </c>
      <c r="B265" s="7" t="str">
        <f t="shared" si="26"/>
        <v>marzo</v>
      </c>
      <c r="C265" s="27">
        <v>2496</v>
      </c>
      <c r="D265" s="23" t="s">
        <v>20</v>
      </c>
      <c r="E265" s="137" t="s">
        <v>756</v>
      </c>
      <c r="F265" s="40" t="s">
        <v>123</v>
      </c>
      <c r="G265" s="32" t="str">
        <f>IFERROR(VLOOKUP(F265,Productos!$A$2:$D$258,2,0)," ")</f>
        <v>Electric Standing Desk GO Negro</v>
      </c>
      <c r="H265" s="7">
        <v>1</v>
      </c>
      <c r="I265" s="32" t="str">
        <f>IFERROR(VLOOKUP(F265,Productos!$A$2:$D$258,3,0)," ")</f>
        <v>Standing Desk</v>
      </c>
      <c r="J265" s="135" t="s">
        <v>24</v>
      </c>
      <c r="K265" s="138" t="s">
        <v>185</v>
      </c>
      <c r="L265" s="26" t="str">
        <f>IF(O265&gt;0,"Despachado","En alistamiento")</f>
        <v>Despachado</v>
      </c>
      <c r="M265" s="56" t="s">
        <v>238</v>
      </c>
      <c r="N265" s="139" t="s">
        <v>782</v>
      </c>
      <c r="O265" s="150">
        <v>45747</v>
      </c>
      <c r="P265" s="151">
        <v>45748</v>
      </c>
      <c r="Q265" s="24" t="str">
        <f t="shared" si="27"/>
        <v>Entregado</v>
      </c>
      <c r="R265" s="25">
        <f>IF(L265="Despachado",NETWORKDAYS.INTL(A265,O265,11,Valores!$A$2:$A$18)-1,"PTE")</f>
        <v>4</v>
      </c>
      <c r="S265" s="25">
        <f>IF(Q265="Entregado",NETWORKDAYS.INTL(A265,P265,11,Valores!$A$2:$A$18)-1,"PTE")</f>
        <v>5</v>
      </c>
      <c r="T265" s="25"/>
      <c r="U265" s="25"/>
      <c r="V265" s="25" t="str">
        <f>IF(Q265="Entregado",IF(S265&lt;=VLOOKUP(K265,Valores!E:F,2,0),"Cumple","No cumple"),"PTE")</f>
        <v>No cumple</v>
      </c>
      <c r="W265" s="25"/>
      <c r="X265" s="29">
        <v>41593</v>
      </c>
      <c r="Y265" s="224"/>
      <c r="Z265" s="28"/>
    </row>
    <row r="266" spans="1:26" hidden="1" x14ac:dyDescent="0.3">
      <c r="A266" s="34">
        <v>45742</v>
      </c>
      <c r="B266" s="7" t="str">
        <f t="shared" si="26"/>
        <v>marzo</v>
      </c>
      <c r="C266" s="27">
        <v>2496</v>
      </c>
      <c r="D266" s="23" t="s">
        <v>20</v>
      </c>
      <c r="E266" s="137" t="s">
        <v>756</v>
      </c>
      <c r="F266" s="22" t="s">
        <v>303</v>
      </c>
      <c r="G266" s="32" t="str">
        <f>IFERROR(VLOOKUP(F266,Productos!$A$2:$D$258,2,0)," ")</f>
        <v>Superficie  Fresno Europeo 140x70 Clasico</v>
      </c>
      <c r="H266" s="7">
        <v>1</v>
      </c>
      <c r="I266" s="32" t="str">
        <f>IFERROR(VLOOKUP(F266,Productos!$A$2:$D$258,3,0)," ")</f>
        <v>Superficie</v>
      </c>
      <c r="J266" s="135" t="s">
        <v>24</v>
      </c>
      <c r="K266" s="138" t="s">
        <v>185</v>
      </c>
      <c r="L266" s="26" t="str">
        <f>IF(O266&gt;0,"Despachado","En alistamiento")</f>
        <v>Despachado</v>
      </c>
      <c r="M266" s="56" t="s">
        <v>238</v>
      </c>
      <c r="N266" s="139" t="s">
        <v>783</v>
      </c>
      <c r="O266" s="150">
        <v>45747</v>
      </c>
      <c r="P266" s="151">
        <v>45748</v>
      </c>
      <c r="Q266" s="24" t="str">
        <f t="shared" si="27"/>
        <v>Entregado</v>
      </c>
      <c r="R266" s="25">
        <f>IF(L266="Despachado",NETWORKDAYS.INTL(A266,O266,11,Valores!$A$2:$A$18)-1,"PTE")</f>
        <v>4</v>
      </c>
      <c r="S266" s="25">
        <f>IF(Q266="Entregado",NETWORKDAYS.INTL(A266,P266,11,Valores!$A$2:$A$18)-1,"PTE")</f>
        <v>5</v>
      </c>
      <c r="T266" s="25"/>
      <c r="U266" s="25"/>
      <c r="V266" s="25" t="str">
        <f>IF(Q266="Entregado",IF(S266&lt;=VLOOKUP(K266,Valores!E:F,2,0),"Cumple","No cumple"),"PTE")</f>
        <v>No cumple</v>
      </c>
      <c r="W266" s="25"/>
      <c r="X266" s="29">
        <v>24093</v>
      </c>
      <c r="Y266" s="224"/>
      <c r="Z266" s="28"/>
    </row>
    <row r="267" spans="1:26" hidden="1" x14ac:dyDescent="0.3">
      <c r="A267" s="34">
        <v>45742</v>
      </c>
      <c r="B267" s="7" t="str">
        <f t="shared" si="26"/>
        <v>marzo</v>
      </c>
      <c r="C267" s="27">
        <v>2496</v>
      </c>
      <c r="D267" s="23" t="s">
        <v>20</v>
      </c>
      <c r="E267" s="137" t="s">
        <v>756</v>
      </c>
      <c r="F267" s="22" t="s">
        <v>280</v>
      </c>
      <c r="G267" s="32" t="str">
        <f>IFERROR(VLOOKUP(F267,Productos!$A$2:$D$258,2,0)," ")</f>
        <v>Rodachines con freno para Standing desk x 4 UN</v>
      </c>
      <c r="H267" s="7">
        <v>1</v>
      </c>
      <c r="I267" s="32" t="str">
        <f>IFERROR(VLOOKUP(F267,Productos!$A$2:$D$258,3,0)," ")</f>
        <v>Ruedas</v>
      </c>
      <c r="J267" s="135" t="s">
        <v>24</v>
      </c>
      <c r="K267" s="138" t="s">
        <v>185</v>
      </c>
      <c r="L267" s="26" t="str">
        <f>IF(O267&gt;0,"Despachado","En alistamiento")</f>
        <v>Despachado</v>
      </c>
      <c r="M267" s="56" t="s">
        <v>238</v>
      </c>
      <c r="N267" s="139" t="s">
        <v>784</v>
      </c>
      <c r="O267" s="150">
        <v>45747</v>
      </c>
      <c r="P267" s="151">
        <v>45748</v>
      </c>
      <c r="Q267" s="24" t="str">
        <f t="shared" si="27"/>
        <v>Entregado</v>
      </c>
      <c r="R267" s="25">
        <f>IF(L267="Despachado",NETWORKDAYS.INTL(A267,O267,11,Valores!$A$2:$A$18)-1,"PTE")</f>
        <v>4</v>
      </c>
      <c r="S267" s="25">
        <f>IF(Q267="Entregado",NETWORKDAYS.INTL(A267,P267,11,Valores!$A$2:$A$18)-1,"PTE")</f>
        <v>5</v>
      </c>
      <c r="T267" s="25"/>
      <c r="U267" s="25"/>
      <c r="V267" s="25" t="str">
        <f>IF(Q267="Entregado",IF(S267&lt;=VLOOKUP(K267,Valores!E:F,2,0),"Cumple","No cumple"),"PTE")</f>
        <v>No cumple</v>
      </c>
      <c r="W267" s="25"/>
      <c r="X267" s="29">
        <v>23875</v>
      </c>
      <c r="Y267" s="224"/>
      <c r="Z267" s="28"/>
    </row>
    <row r="268" spans="1:26" hidden="1" x14ac:dyDescent="0.3">
      <c r="A268" s="34">
        <v>45742</v>
      </c>
      <c r="B268" s="7" t="str">
        <f t="shared" si="26"/>
        <v>marzo</v>
      </c>
      <c r="C268" s="27">
        <v>2496</v>
      </c>
      <c r="D268" s="23" t="s">
        <v>20</v>
      </c>
      <c r="E268" s="137" t="s">
        <v>756</v>
      </c>
      <c r="F268" s="22"/>
      <c r="G268" s="32" t="s">
        <v>1796</v>
      </c>
      <c r="H268" s="7">
        <v>1</v>
      </c>
      <c r="I268" s="32" t="s">
        <v>327</v>
      </c>
      <c r="J268" s="135" t="s">
        <v>24</v>
      </c>
      <c r="K268" s="138" t="s">
        <v>185</v>
      </c>
      <c r="L268" s="26" t="s">
        <v>327</v>
      </c>
      <c r="M268" s="56" t="s">
        <v>241</v>
      </c>
      <c r="N268" s="139" t="s">
        <v>241</v>
      </c>
      <c r="O268" s="150" t="s">
        <v>241</v>
      </c>
      <c r="P268" s="151" t="s">
        <v>241</v>
      </c>
      <c r="Q268" s="24"/>
      <c r="R268" s="25"/>
      <c r="S268" s="25"/>
      <c r="T268" s="25"/>
      <c r="U268" s="25"/>
      <c r="V268" s="25"/>
      <c r="W268" s="25"/>
      <c r="X268" s="29">
        <v>0</v>
      </c>
      <c r="Y268" s="224"/>
      <c r="Z268" s="28"/>
    </row>
    <row r="269" spans="1:26" hidden="1" x14ac:dyDescent="0.3">
      <c r="A269" s="34">
        <v>45743</v>
      </c>
      <c r="B269" s="7" t="str">
        <f t="shared" ref="B269:B276" si="28">TEXT(A269,"mmmm")</f>
        <v>marzo</v>
      </c>
      <c r="C269" s="27">
        <v>2497</v>
      </c>
      <c r="D269" s="23" t="s">
        <v>20</v>
      </c>
      <c r="E269" s="137" t="s">
        <v>755</v>
      </c>
      <c r="F269" s="22" t="s">
        <v>240</v>
      </c>
      <c r="G269" s="32" t="str">
        <f>IFERROR(VLOOKUP(F269,Productos!$A$2:$D$258,2,0)," ")</f>
        <v>Bandeja de cables</v>
      </c>
      <c r="H269" s="7">
        <v>1</v>
      </c>
      <c r="I269" s="32" t="str">
        <f>IFERROR(VLOOKUP(F269,Productos!$A$2:$D$258,3,0)," ")</f>
        <v>Accesorio</v>
      </c>
      <c r="J269" s="135" t="s">
        <v>24</v>
      </c>
      <c r="K269" s="135" t="s">
        <v>25</v>
      </c>
      <c r="L269" s="26" t="str">
        <f t="shared" ref="L269:L303" si="29">IF(O269&gt;0,"Despachado","En alistamiento")</f>
        <v>Despachado</v>
      </c>
      <c r="M269" s="56" t="s">
        <v>238</v>
      </c>
      <c r="N269" s="139" t="s">
        <v>785</v>
      </c>
      <c r="O269" s="150">
        <v>45743</v>
      </c>
      <c r="P269" s="151">
        <v>45744</v>
      </c>
      <c r="Q269" s="24" t="str">
        <f t="shared" si="27"/>
        <v>Entregado</v>
      </c>
      <c r="R269" s="25">
        <f>IF(L269="Despachado",NETWORKDAYS.INTL(A269,O269,11,Valores!$A$2:$A$18)-1,"PTE")</f>
        <v>0</v>
      </c>
      <c r="S269" s="25">
        <f>IF(Q269="Entregado",NETWORKDAYS.INTL(A269,P269,11,Valores!$A$2:$A$18)-1,"PTE")</f>
        <v>1</v>
      </c>
      <c r="T269" s="25"/>
      <c r="U269" s="25"/>
      <c r="V269" s="25" t="str">
        <f>IF(Q269="Entregado",IF(S269&lt;=VLOOKUP(K269,Valores!E:F,2,0),"Cumple","No cumple"),"PTE")</f>
        <v>Cumple</v>
      </c>
      <c r="W269" s="25"/>
      <c r="X269" s="29">
        <v>24885</v>
      </c>
      <c r="Y269" s="224"/>
      <c r="Z269" s="28"/>
    </row>
    <row r="270" spans="1:26" hidden="1" x14ac:dyDescent="0.3">
      <c r="A270" s="34">
        <v>45743</v>
      </c>
      <c r="B270" s="7" t="str">
        <f t="shared" si="28"/>
        <v>marzo</v>
      </c>
      <c r="C270" s="27">
        <v>2498</v>
      </c>
      <c r="D270" s="23" t="s">
        <v>20</v>
      </c>
      <c r="E270" s="137" t="s">
        <v>757</v>
      </c>
      <c r="F270" s="22" t="s">
        <v>129</v>
      </c>
      <c r="G270" s="32" t="str">
        <f>IFERROR(VLOOKUP(F270,Productos!$A$2:$D$258,2,0)," ")</f>
        <v>Electric Standing Desk  PRO Negro</v>
      </c>
      <c r="H270" s="7">
        <v>1</v>
      </c>
      <c r="I270" s="32" t="str">
        <f>IFERROR(VLOOKUP(F270,Productos!$A$2:$D$258,3,0)," ")</f>
        <v>Standing Desk</v>
      </c>
      <c r="J270" s="138" t="s">
        <v>37</v>
      </c>
      <c r="K270" s="138" t="s">
        <v>206</v>
      </c>
      <c r="L270" s="26" t="str">
        <f t="shared" si="29"/>
        <v>Despachado</v>
      </c>
      <c r="M270" s="56" t="s">
        <v>238</v>
      </c>
      <c r="N270" s="139" t="s">
        <v>786</v>
      </c>
      <c r="O270" s="150">
        <v>45744</v>
      </c>
      <c r="P270" s="151">
        <v>45745</v>
      </c>
      <c r="Q270" s="24" t="str">
        <f t="shared" si="27"/>
        <v>Entregado</v>
      </c>
      <c r="R270" s="25">
        <f>IF(L270="Despachado",NETWORKDAYS.INTL(A270,O270,11,Valores!$A$2:$A$18)-1,"PTE")</f>
        <v>1</v>
      </c>
      <c r="S270" s="25">
        <f>IF(Q270="Entregado",NETWORKDAYS.INTL(A270,P270,11,Valores!$A$2:$A$18)-1,"PTE")</f>
        <v>2</v>
      </c>
      <c r="T270" s="25"/>
      <c r="U270" s="25"/>
      <c r="V270" s="25" t="str">
        <f>IF(Q270="Entregado",IF(S270&lt;=VLOOKUP(K270,Valores!E:F,2,0),"Cumple","No cumple"),"PTE")</f>
        <v>Cumple</v>
      </c>
      <c r="W270" s="25"/>
      <c r="X270" s="29">
        <v>34953</v>
      </c>
      <c r="Y270" s="224"/>
      <c r="Z270" s="28"/>
    </row>
    <row r="271" spans="1:26" hidden="1" x14ac:dyDescent="0.3">
      <c r="A271" s="34">
        <v>45743</v>
      </c>
      <c r="B271" s="7" t="str">
        <f t="shared" si="28"/>
        <v>marzo</v>
      </c>
      <c r="C271" s="27">
        <v>2498</v>
      </c>
      <c r="D271" s="23" t="s">
        <v>20</v>
      </c>
      <c r="E271" s="137" t="s">
        <v>757</v>
      </c>
      <c r="F271" s="22" t="s">
        <v>143</v>
      </c>
      <c r="G271" s="32" t="str">
        <f>IFERROR(VLOOKUP(F271,Productos!$A$2:$D$258,2,0)," ")</f>
        <v>Superficie  Caramelo 160x70 Clasico</v>
      </c>
      <c r="H271" s="7">
        <v>1</v>
      </c>
      <c r="I271" s="32" t="str">
        <f>IFERROR(VLOOKUP(F271,Productos!$A$2:$D$258,3,0)," ")</f>
        <v>Superficie</v>
      </c>
      <c r="J271" s="138" t="s">
        <v>37</v>
      </c>
      <c r="K271" s="138" t="s">
        <v>206</v>
      </c>
      <c r="L271" s="26" t="str">
        <f t="shared" si="29"/>
        <v>Despachado</v>
      </c>
      <c r="M271" s="56" t="s">
        <v>238</v>
      </c>
      <c r="N271" s="139" t="s">
        <v>787</v>
      </c>
      <c r="O271" s="150">
        <v>45744</v>
      </c>
      <c r="P271" s="151">
        <v>45745</v>
      </c>
      <c r="Q271" s="24" t="str">
        <f t="shared" si="27"/>
        <v>Entregado</v>
      </c>
      <c r="R271" s="25">
        <f>IF(L271="Despachado",NETWORKDAYS.INTL(A271,O271,11,Valores!$A$2:$A$18)-1,"PTE")</f>
        <v>1</v>
      </c>
      <c r="S271" s="25">
        <f>IF(Q271="Entregado",NETWORKDAYS.INTL(A271,P271,11,Valores!$A$2:$A$18)-1,"PTE")</f>
        <v>2</v>
      </c>
      <c r="T271" s="25"/>
      <c r="U271" s="25"/>
      <c r="V271" s="25" t="str">
        <f>IF(Q271="Entregado",IF(S271&lt;=VLOOKUP(K271,Valores!E:F,2,0),"Cumple","No cumple"),"PTE")</f>
        <v>Cumple</v>
      </c>
      <c r="W271" s="25"/>
      <c r="X271" s="29">
        <v>15194</v>
      </c>
      <c r="Y271" s="224"/>
      <c r="Z271" s="28"/>
    </row>
    <row r="272" spans="1:26" hidden="1" x14ac:dyDescent="0.3">
      <c r="A272" s="34">
        <v>45743</v>
      </c>
      <c r="B272" s="7" t="str">
        <f t="shared" si="28"/>
        <v>marzo</v>
      </c>
      <c r="C272" s="27">
        <v>2498</v>
      </c>
      <c r="D272" s="23" t="s">
        <v>20</v>
      </c>
      <c r="E272" s="137" t="s">
        <v>757</v>
      </c>
      <c r="F272" s="22" t="s">
        <v>133</v>
      </c>
      <c r="G272" s="32" t="str">
        <f>IFERROR(VLOOKUP(F272,Productos!$A$2:$D$258,2,0)," ")</f>
        <v>Electric Standing Desk  PRO Blanco</v>
      </c>
      <c r="H272" s="7">
        <v>1</v>
      </c>
      <c r="I272" s="32" t="str">
        <f>IFERROR(VLOOKUP(F272,Productos!$A$2:$D$258,3,0)," ")</f>
        <v>Standing Desk</v>
      </c>
      <c r="J272" s="138" t="s">
        <v>37</v>
      </c>
      <c r="K272" s="138" t="s">
        <v>206</v>
      </c>
      <c r="L272" s="26" t="str">
        <f t="shared" si="29"/>
        <v>Despachado</v>
      </c>
      <c r="M272" s="56" t="s">
        <v>238</v>
      </c>
      <c r="N272" s="139" t="s">
        <v>788</v>
      </c>
      <c r="O272" s="150">
        <v>45744</v>
      </c>
      <c r="P272" s="151">
        <v>45745</v>
      </c>
      <c r="Q272" s="24" t="str">
        <f t="shared" si="27"/>
        <v>Entregado</v>
      </c>
      <c r="R272" s="25">
        <f>IF(L272="Despachado",NETWORKDAYS.INTL(A272,O272,11,Valores!$A$2:$A$18)-1,"PTE")</f>
        <v>1</v>
      </c>
      <c r="S272" s="25">
        <f>IF(Q272="Entregado",NETWORKDAYS.INTL(A272,P272,11,Valores!$A$2:$A$18)-1,"PTE")</f>
        <v>2</v>
      </c>
      <c r="T272" s="25"/>
      <c r="U272" s="25"/>
      <c r="V272" s="25" t="str">
        <f>IF(Q272="Entregado",IF(S272&lt;=VLOOKUP(K272,Valores!E:F,2,0),"Cumple","No cumple"),"PTE")</f>
        <v>Cumple</v>
      </c>
      <c r="W272" s="25"/>
      <c r="X272" s="29">
        <v>34953</v>
      </c>
      <c r="Y272" s="224"/>
      <c r="Z272" s="28"/>
    </row>
    <row r="273" spans="1:27" hidden="1" x14ac:dyDescent="0.3">
      <c r="A273" s="34">
        <v>45743</v>
      </c>
      <c r="B273" s="7" t="str">
        <f t="shared" si="28"/>
        <v>marzo</v>
      </c>
      <c r="C273" s="27">
        <v>2498</v>
      </c>
      <c r="D273" s="23" t="s">
        <v>20</v>
      </c>
      <c r="E273" s="137" t="s">
        <v>757</v>
      </c>
      <c r="F273" s="22" t="s">
        <v>156</v>
      </c>
      <c r="G273" s="32" t="str">
        <f>IFERROR(VLOOKUP(F273,Productos!$A$2:$D$258,2,0)," ")</f>
        <v>Superficie  Roble Negro 170x70 Clasico</v>
      </c>
      <c r="H273" s="7">
        <v>1</v>
      </c>
      <c r="I273" s="32" t="str">
        <f>IFERROR(VLOOKUP(F273,Productos!$A$2:$D$258,3,0)," ")</f>
        <v>Superficie</v>
      </c>
      <c r="J273" s="138" t="s">
        <v>37</v>
      </c>
      <c r="K273" s="138" t="s">
        <v>206</v>
      </c>
      <c r="L273" s="26" t="str">
        <f t="shared" si="29"/>
        <v>Despachado</v>
      </c>
      <c r="M273" s="56" t="s">
        <v>238</v>
      </c>
      <c r="N273" s="139" t="s">
        <v>789</v>
      </c>
      <c r="O273" s="150">
        <v>45744</v>
      </c>
      <c r="P273" s="151">
        <v>45745</v>
      </c>
      <c r="Q273" s="24" t="str">
        <f t="shared" si="27"/>
        <v>Entregado</v>
      </c>
      <c r="R273" s="25">
        <f>IF(L273="Despachado",NETWORKDAYS.INTL(A273,O273,11,Valores!$A$2:$A$18)-1,"PTE")</f>
        <v>1</v>
      </c>
      <c r="S273" s="25">
        <f>IF(Q273="Entregado",NETWORKDAYS.INTL(A273,P273,11,Valores!$A$2:$A$18)-1,"PTE")</f>
        <v>2</v>
      </c>
      <c r="T273" s="25"/>
      <c r="U273" s="25"/>
      <c r="V273" s="25" t="str">
        <f>IF(Q273="Entregado",IF(S273&lt;=VLOOKUP(K273,Valores!E:F,2,0),"Cumple","No cumple"),"PTE")</f>
        <v>Cumple</v>
      </c>
      <c r="W273" s="25"/>
      <c r="X273" s="29">
        <v>15194</v>
      </c>
      <c r="Y273" s="224"/>
      <c r="Z273" s="28"/>
    </row>
    <row r="274" spans="1:27" hidden="1" x14ac:dyDescent="0.3">
      <c r="A274" s="34">
        <v>45743</v>
      </c>
      <c r="B274" s="7" t="str">
        <f t="shared" si="28"/>
        <v>marzo</v>
      </c>
      <c r="C274" s="27">
        <v>2499</v>
      </c>
      <c r="D274" s="23" t="s">
        <v>20</v>
      </c>
      <c r="E274" s="137" t="s">
        <v>758</v>
      </c>
      <c r="F274" s="22" t="s">
        <v>150</v>
      </c>
      <c r="G274" s="32" t="str">
        <f>IFERROR(VLOOKUP(F274,Productos!$A$2:$D$258,2,0)," ")</f>
        <v>Superficie Niebla 170x70 Clasico</v>
      </c>
      <c r="H274" s="7">
        <v>1</v>
      </c>
      <c r="I274" s="32" t="str">
        <f>IFERROR(VLOOKUP(F274,Productos!$A$2:$D$258,3,0)," ")</f>
        <v>Superficie</v>
      </c>
      <c r="J274" s="138" t="s">
        <v>189</v>
      </c>
      <c r="K274" s="138" t="s">
        <v>45</v>
      </c>
      <c r="L274" s="26" t="str">
        <f t="shared" si="29"/>
        <v>Despachado</v>
      </c>
      <c r="M274" s="56" t="s">
        <v>238</v>
      </c>
      <c r="N274" s="139" t="s">
        <v>790</v>
      </c>
      <c r="O274" s="150">
        <v>45744</v>
      </c>
      <c r="P274" s="151">
        <v>45747</v>
      </c>
      <c r="Q274" s="24" t="str">
        <f t="shared" si="27"/>
        <v>Entregado</v>
      </c>
      <c r="R274" s="25">
        <f>IF(L274="Despachado",NETWORKDAYS.INTL(A274,O274,11,Valores!$A$2:$A$18)-1,"PTE")</f>
        <v>1</v>
      </c>
      <c r="S274" s="25">
        <f>IF(Q274="Entregado",NETWORKDAYS.INTL(A274,P274,11,Valores!$A$2:$A$18)-1,"PTE")</f>
        <v>3</v>
      </c>
      <c r="T274" s="25"/>
      <c r="U274" s="25"/>
      <c r="V274" s="25" t="str">
        <f>IF(Q274="Entregado",IF(S274&lt;=VLOOKUP(K274,Valores!E:F,2,0),"Cumple","No cumple"),"PTE")</f>
        <v>Cumple</v>
      </c>
      <c r="W274" s="25"/>
      <c r="X274" s="29">
        <v>39078</v>
      </c>
      <c r="Y274" s="224"/>
      <c r="Z274" s="28"/>
    </row>
    <row r="275" spans="1:27" hidden="1" x14ac:dyDescent="0.3">
      <c r="A275" s="34">
        <v>45744</v>
      </c>
      <c r="B275" s="7" t="str">
        <f t="shared" si="28"/>
        <v>marzo</v>
      </c>
      <c r="C275" s="27">
        <v>2500</v>
      </c>
      <c r="D275" s="23" t="s">
        <v>793</v>
      </c>
      <c r="E275" s="137" t="s">
        <v>759</v>
      </c>
      <c r="F275" s="40" t="s">
        <v>57</v>
      </c>
      <c r="G275" s="32" t="str">
        <f>IFERROR(VLOOKUP(F275,Productos!$A$2:$D$258,2,0)," ")</f>
        <v>Electric Standing Desk  En L Frame Negro 2.0</v>
      </c>
      <c r="H275" s="7">
        <v>1</v>
      </c>
      <c r="I275" s="32" t="str">
        <f>IFERROR(VLOOKUP(F275,Productos!$A$2:$D$258,3,0)," ")</f>
        <v>Standing Desk</v>
      </c>
      <c r="J275" s="54" t="s">
        <v>21</v>
      </c>
      <c r="K275" s="139" t="s">
        <v>760</v>
      </c>
      <c r="L275" s="26" t="str">
        <f t="shared" si="29"/>
        <v>Despachado</v>
      </c>
      <c r="M275" s="56" t="s">
        <v>238</v>
      </c>
      <c r="N275" s="139" t="s">
        <v>791</v>
      </c>
      <c r="O275" s="150">
        <v>45745</v>
      </c>
      <c r="P275" s="151">
        <v>45755</v>
      </c>
      <c r="Q275" s="24" t="str">
        <f t="shared" si="27"/>
        <v>Entregado</v>
      </c>
      <c r="R275" s="25">
        <f>IF(L275="Despachado",NETWORKDAYS.INTL(A275,O275,11,Valores!$A$2:$A$18)-1,"PTE")</f>
        <v>1</v>
      </c>
      <c r="S275" s="25">
        <f>IF(Q275="Entregado",NETWORKDAYS.INTL(A275,P275,11,Valores!$A$2:$A$18)-1,"PTE")</f>
        <v>9</v>
      </c>
      <c r="T275" s="25"/>
      <c r="U275" s="25"/>
      <c r="V275" s="25" t="e">
        <f>IF(Q275="Entregado",IF(S275&lt;=VLOOKUP(K275,Valores!E:F,2,0),"Cumple","No cumple"),"PTE")</f>
        <v>#N/A</v>
      </c>
      <c r="W275" s="25"/>
      <c r="X275" s="29"/>
      <c r="Y275" s="224"/>
      <c r="Z275" s="28" t="s">
        <v>922</v>
      </c>
      <c r="AA275" s="141" t="s">
        <v>792</v>
      </c>
    </row>
    <row r="276" spans="1:27" hidden="1" x14ac:dyDescent="0.3">
      <c r="A276" s="34">
        <v>45744</v>
      </c>
      <c r="B276" s="7" t="str">
        <f t="shared" si="28"/>
        <v>marzo</v>
      </c>
      <c r="C276" s="27">
        <v>2500</v>
      </c>
      <c r="D276" s="23" t="s">
        <v>793</v>
      </c>
      <c r="E276" s="137" t="s">
        <v>759</v>
      </c>
      <c r="F276" s="22" t="s">
        <v>47</v>
      </c>
      <c r="G276" s="32" t="str">
        <f>IFERROR(VLOOKUP(F276,Productos!$A$2:$D$258,2,0)," ")</f>
        <v>Superficie  en L Niebla 180x150cm x 70</v>
      </c>
      <c r="H276" s="7">
        <v>1</v>
      </c>
      <c r="I276" s="32" t="str">
        <f>IFERROR(VLOOKUP(F276,Productos!$A$2:$D$258,3,0)," ")</f>
        <v>Superficie</v>
      </c>
      <c r="J276" s="54" t="s">
        <v>21</v>
      </c>
      <c r="K276" s="139" t="s">
        <v>760</v>
      </c>
      <c r="L276" s="26" t="str">
        <f t="shared" si="29"/>
        <v>Despachado</v>
      </c>
      <c r="M276" s="56" t="s">
        <v>238</v>
      </c>
      <c r="N276" s="139" t="s">
        <v>794</v>
      </c>
      <c r="O276" s="150">
        <v>45745</v>
      </c>
      <c r="P276" s="151">
        <v>45755</v>
      </c>
      <c r="Q276" s="24" t="str">
        <f t="shared" si="27"/>
        <v>Entregado</v>
      </c>
      <c r="R276" s="25">
        <f>IF(L276="Despachado",NETWORKDAYS.INTL(A276,O276,11,Valores!$A$2:$A$18)-1,"PTE")</f>
        <v>1</v>
      </c>
      <c r="S276" s="25">
        <f>IF(Q276="Entregado",NETWORKDAYS.INTL(A276,P276,11,Valores!$A$2:$A$18)-1,"PTE")</f>
        <v>9</v>
      </c>
      <c r="T276" s="25"/>
      <c r="U276" s="25"/>
      <c r="V276" s="25" t="e">
        <f>IF(Q276="Entregado",IF(S276&lt;=VLOOKUP(K276,Valores!E:F,2,0),"Cumple","No cumple"),"PTE")</f>
        <v>#N/A</v>
      </c>
      <c r="W276" s="25"/>
      <c r="X276" s="29"/>
      <c r="Y276" s="224"/>
      <c r="Z276" s="28" t="s">
        <v>922</v>
      </c>
      <c r="AA276" s="141" t="s">
        <v>792</v>
      </c>
    </row>
    <row r="277" spans="1:27" hidden="1" x14ac:dyDescent="0.3">
      <c r="A277" s="34">
        <v>45744</v>
      </c>
      <c r="B277" s="7" t="str">
        <f t="shared" ref="B277:B296" si="30">TEXT(A277,"mmmm")</f>
        <v>marzo</v>
      </c>
      <c r="C277" s="27">
        <v>2500</v>
      </c>
      <c r="D277" s="23" t="s">
        <v>20</v>
      </c>
      <c r="E277" s="137" t="s">
        <v>759</v>
      </c>
      <c r="F277" s="40" t="s">
        <v>57</v>
      </c>
      <c r="G277" s="32" t="str">
        <f>IFERROR(VLOOKUP(F277,Productos!$A$2:$D$258,2,0)," ")</f>
        <v>Electric Standing Desk  En L Frame Negro 2.0</v>
      </c>
      <c r="H277" s="7">
        <v>1</v>
      </c>
      <c r="I277" s="32" t="str">
        <f>IFERROR(VLOOKUP(F277,Productos!$A$2:$D$258,3,0)," ")</f>
        <v>Standing Desk</v>
      </c>
      <c r="J277" s="54" t="s">
        <v>21</v>
      </c>
      <c r="K277" s="139" t="s">
        <v>760</v>
      </c>
      <c r="L277" s="26" t="str">
        <f t="shared" si="29"/>
        <v>Despachado</v>
      </c>
      <c r="M277" s="56" t="s">
        <v>238</v>
      </c>
      <c r="N277" s="139" t="s">
        <v>795</v>
      </c>
      <c r="O277" s="150">
        <v>45749</v>
      </c>
      <c r="P277" s="151">
        <v>45750</v>
      </c>
      <c r="Q277" s="24" t="str">
        <f t="shared" si="27"/>
        <v>Entregado</v>
      </c>
      <c r="R277" s="25">
        <f>IF(L277="Despachado",NETWORKDAYS.INTL(A277,O277,11,Valores!$A$2:$A$18)-1,"PTE")</f>
        <v>4</v>
      </c>
      <c r="S277" s="25">
        <f>IF(Q277="Entregado",NETWORKDAYS.INTL(A277,P277,11,Valores!$A$2:$A$18)-1,"PTE")</f>
        <v>5</v>
      </c>
      <c r="T277" s="25"/>
      <c r="U277" s="25"/>
      <c r="V277" s="25" t="e">
        <f>IF(Q277="Entregado",IF(S277&lt;=VLOOKUP(K277,Valores!E:F,2,0),"Cumple","No cumple"),"PTE")</f>
        <v>#N/A</v>
      </c>
      <c r="W277" s="25"/>
      <c r="X277" s="29">
        <v>54562</v>
      </c>
      <c r="Y277" s="224"/>
      <c r="Z277" s="28"/>
      <c r="AA277" s="141"/>
    </row>
    <row r="278" spans="1:27" hidden="1" x14ac:dyDescent="0.3">
      <c r="A278" s="34">
        <v>45744</v>
      </c>
      <c r="B278" s="7" t="str">
        <f t="shared" si="30"/>
        <v>marzo</v>
      </c>
      <c r="C278" s="27">
        <v>2500</v>
      </c>
      <c r="D278" s="23" t="s">
        <v>20</v>
      </c>
      <c r="E278" s="137" t="s">
        <v>759</v>
      </c>
      <c r="F278" s="22" t="s">
        <v>47</v>
      </c>
      <c r="G278" s="32" t="str">
        <f>IFERROR(VLOOKUP(F278,Productos!$A$2:$D$258,2,0)," ")</f>
        <v>Superficie  en L Niebla 180x150cm x 70</v>
      </c>
      <c r="H278" s="7">
        <v>1</v>
      </c>
      <c r="I278" s="32" t="str">
        <f>IFERROR(VLOOKUP(F278,Productos!$A$2:$D$258,3,0)," ")</f>
        <v>Superficie</v>
      </c>
      <c r="J278" s="54" t="s">
        <v>21</v>
      </c>
      <c r="K278" s="139" t="s">
        <v>760</v>
      </c>
      <c r="L278" s="26" t="str">
        <f t="shared" si="29"/>
        <v>Despachado</v>
      </c>
      <c r="M278" s="56" t="s">
        <v>238</v>
      </c>
      <c r="N278" s="139" t="s">
        <v>796</v>
      </c>
      <c r="O278" s="150">
        <v>45749</v>
      </c>
      <c r="P278" s="151">
        <v>45750</v>
      </c>
      <c r="Q278" s="24" t="str">
        <f t="shared" si="27"/>
        <v>Entregado</v>
      </c>
      <c r="R278" s="25">
        <f>IF(L278="Despachado",NETWORKDAYS.INTL(A278,O278,11,Valores!$A$2:$A$18)-1,"PTE")</f>
        <v>4</v>
      </c>
      <c r="S278" s="25">
        <f>IF(Q278="Entregado",NETWORKDAYS.INTL(A278,P278,11,Valores!$A$2:$A$18)-1,"PTE")</f>
        <v>5</v>
      </c>
      <c r="T278" s="25"/>
      <c r="U278" s="25"/>
      <c r="V278" s="25" t="e">
        <f>IF(Q278="Entregado",IF(S278&lt;=VLOOKUP(K278,Valores!E:F,2,0),"Cumple","No cumple"),"PTE")</f>
        <v>#N/A</v>
      </c>
      <c r="W278" s="25"/>
      <c r="X278" s="29">
        <v>33241</v>
      </c>
      <c r="Y278" s="224"/>
      <c r="Z278" s="28"/>
      <c r="AA278" s="141"/>
    </row>
    <row r="279" spans="1:27" hidden="1" x14ac:dyDescent="0.3">
      <c r="A279" s="34">
        <v>45744</v>
      </c>
      <c r="B279" s="7" t="str">
        <f t="shared" si="30"/>
        <v>marzo</v>
      </c>
      <c r="C279" s="27">
        <v>2501</v>
      </c>
      <c r="D279" s="23" t="s">
        <v>20</v>
      </c>
      <c r="E279" s="140" t="s">
        <v>761</v>
      </c>
      <c r="F279" s="22" t="s">
        <v>129</v>
      </c>
      <c r="G279" s="32" t="str">
        <f>IFERROR(VLOOKUP(F279,Productos!$A$2:$D$258,2,0)," ")</f>
        <v>Electric Standing Desk  PRO Negro</v>
      </c>
      <c r="H279" s="7">
        <v>1</v>
      </c>
      <c r="I279" s="32" t="str">
        <f>IFERROR(VLOOKUP(F279,Productos!$A$2:$D$258,3,0)," ")</f>
        <v>Standing Desk</v>
      </c>
      <c r="J279" s="139" t="s">
        <v>24</v>
      </c>
      <c r="K279" s="139" t="s">
        <v>27</v>
      </c>
      <c r="L279" s="26" t="str">
        <f t="shared" si="29"/>
        <v>Despachado</v>
      </c>
      <c r="M279" s="56" t="s">
        <v>238</v>
      </c>
      <c r="N279" s="139" t="s">
        <v>797</v>
      </c>
      <c r="O279" s="150">
        <v>45747</v>
      </c>
      <c r="P279" s="151">
        <v>45748</v>
      </c>
      <c r="Q279" s="24" t="str">
        <f t="shared" si="27"/>
        <v>Entregado</v>
      </c>
      <c r="R279" s="25">
        <f>IF(L279="Despachado",NETWORKDAYS.INTL(A279,O279,11,Valores!$A$2:$A$18)-1,"PTE")</f>
        <v>2</v>
      </c>
      <c r="S279" s="25">
        <f>IF(Q279="Entregado",NETWORKDAYS.INTL(A279,P279,11,Valores!$A$2:$A$18)-1,"PTE")</f>
        <v>3</v>
      </c>
      <c r="T279" s="25"/>
      <c r="U279" s="25"/>
      <c r="V279" s="25" t="str">
        <f>IF(Q279="Entregado",IF(S279&lt;=VLOOKUP(K279,Valores!E:F,2,0),"Cumple","No cumple"),"PTE")</f>
        <v>Cumple</v>
      </c>
      <c r="W279" s="25"/>
      <c r="X279" s="29">
        <v>42921</v>
      </c>
      <c r="Y279" s="224"/>
      <c r="Z279" s="28"/>
    </row>
    <row r="280" spans="1:27" hidden="1" x14ac:dyDescent="0.3">
      <c r="A280" s="34">
        <v>45744</v>
      </c>
      <c r="B280" s="7" t="str">
        <f t="shared" si="30"/>
        <v>marzo</v>
      </c>
      <c r="C280" s="27">
        <v>2501</v>
      </c>
      <c r="D280" s="23" t="s">
        <v>20</v>
      </c>
      <c r="E280" s="140" t="s">
        <v>761</v>
      </c>
      <c r="F280" s="22" t="s">
        <v>146</v>
      </c>
      <c r="G280" s="32" t="str">
        <f>IFERROR(VLOOKUP(F280,Productos!$A$2:$D$258,2,0)," ")</f>
        <v>Superficie  Caramelo 200x70 Clasico</v>
      </c>
      <c r="H280" s="7">
        <v>1</v>
      </c>
      <c r="I280" s="32" t="str">
        <f>IFERROR(VLOOKUP(F280,Productos!$A$2:$D$258,3,0)," ")</f>
        <v>Superficie</v>
      </c>
      <c r="J280" s="139" t="s">
        <v>24</v>
      </c>
      <c r="K280" s="139" t="s">
        <v>27</v>
      </c>
      <c r="L280" s="26" t="str">
        <f t="shared" si="29"/>
        <v>Despachado</v>
      </c>
      <c r="M280" s="56" t="s">
        <v>238</v>
      </c>
      <c r="N280" s="139" t="s">
        <v>798</v>
      </c>
      <c r="O280" s="150">
        <v>45747</v>
      </c>
      <c r="P280" s="151">
        <v>45748</v>
      </c>
      <c r="Q280" s="24" t="str">
        <f t="shared" si="27"/>
        <v>Entregado</v>
      </c>
      <c r="R280" s="25">
        <f>IF(L280="Despachado",NETWORKDAYS.INTL(A280,O280,11,Valores!$A$2:$A$18)-1,"PTE")</f>
        <v>2</v>
      </c>
      <c r="S280" s="25">
        <f>IF(Q280="Entregado",NETWORKDAYS.INTL(A280,P280,11,Valores!$A$2:$A$18)-1,"PTE")</f>
        <v>3</v>
      </c>
      <c r="T280" s="25"/>
      <c r="U280" s="25"/>
      <c r="V280" s="25" t="str">
        <f>IF(Q280="Entregado",IF(S280&lt;=VLOOKUP(K280,Valores!E:F,2,0),"Cumple","No cumple"),"PTE")</f>
        <v>Cumple</v>
      </c>
      <c r="W280" s="25"/>
      <c r="X280" s="29">
        <v>26749</v>
      </c>
      <c r="Y280" s="224"/>
      <c r="Z280" s="28"/>
    </row>
    <row r="281" spans="1:27" hidden="1" x14ac:dyDescent="0.3">
      <c r="A281" s="34">
        <v>45744</v>
      </c>
      <c r="B281" s="7" t="str">
        <f t="shared" si="30"/>
        <v>marzo</v>
      </c>
      <c r="C281" s="27">
        <v>2502</v>
      </c>
      <c r="D281" s="23" t="s">
        <v>20</v>
      </c>
      <c r="E281" s="140" t="s">
        <v>762</v>
      </c>
      <c r="F281" s="40" t="s">
        <v>57</v>
      </c>
      <c r="G281" s="32" t="str">
        <f>IFERROR(VLOOKUP(F281,Productos!$A$2:$D$258,2,0)," ")</f>
        <v>Electric Standing Desk  En L Frame Negro 2.0</v>
      </c>
      <c r="H281" s="7">
        <v>1</v>
      </c>
      <c r="I281" s="32" t="str">
        <f>IFERROR(VLOOKUP(F281,Productos!$A$2:$D$258,3,0)," ")</f>
        <v>Standing Desk</v>
      </c>
      <c r="J281" s="54" t="s">
        <v>21</v>
      </c>
      <c r="K281" s="139" t="s">
        <v>22</v>
      </c>
      <c r="L281" s="26" t="str">
        <f t="shared" si="29"/>
        <v>Despachado</v>
      </c>
      <c r="M281" s="56" t="s">
        <v>238</v>
      </c>
      <c r="N281" s="139" t="s">
        <v>799</v>
      </c>
      <c r="O281" s="150">
        <v>45747</v>
      </c>
      <c r="P281" s="151">
        <v>45750</v>
      </c>
      <c r="Q281" s="24" t="str">
        <f t="shared" si="27"/>
        <v>Entregado</v>
      </c>
      <c r="R281" s="25">
        <f>IF(L281="Despachado",NETWORKDAYS.INTL(A281,O281,11,Valores!$A$2:$A$18)-1,"PTE")</f>
        <v>2</v>
      </c>
      <c r="S281" s="25">
        <f>IF(Q281="Entregado",NETWORKDAYS.INTL(A281,P281,11,Valores!$A$2:$A$18)-1,"PTE")</f>
        <v>5</v>
      </c>
      <c r="T281" s="25"/>
      <c r="U281" s="25"/>
      <c r="V281" s="25" t="str">
        <f>IF(Q281="Entregado",IF(S281&lt;=VLOOKUP(K281,Valores!E:F,2,0),"Cumple","No cumple"),"PTE")</f>
        <v>No cumple</v>
      </c>
      <c r="W281" s="25"/>
      <c r="X281" s="29">
        <v>62530</v>
      </c>
      <c r="Y281" s="224"/>
      <c r="Z281" s="28"/>
    </row>
    <row r="282" spans="1:27" hidden="1" x14ac:dyDescent="0.3">
      <c r="A282" s="34">
        <v>45744</v>
      </c>
      <c r="B282" s="7" t="str">
        <f t="shared" si="30"/>
        <v>marzo</v>
      </c>
      <c r="C282" s="27">
        <v>2502</v>
      </c>
      <c r="D282" s="23" t="s">
        <v>20</v>
      </c>
      <c r="E282" s="140" t="s">
        <v>762</v>
      </c>
      <c r="F282" s="22" t="s">
        <v>300</v>
      </c>
      <c r="G282" s="32" t="str">
        <f>IFERROR(VLOOKUP(F282,Productos!$A$2:$D$258,2,0)," ")</f>
        <v>Superficie en L Fresno 180x150cm x 70</v>
      </c>
      <c r="H282" s="7">
        <v>1</v>
      </c>
      <c r="I282" s="32" t="str">
        <f>IFERROR(VLOOKUP(F282,Productos!$A$2:$D$258,3,0)," ")</f>
        <v>Superficie</v>
      </c>
      <c r="J282" s="54" t="s">
        <v>21</v>
      </c>
      <c r="K282" s="139" t="s">
        <v>22</v>
      </c>
      <c r="L282" s="26" t="str">
        <f t="shared" si="29"/>
        <v>Despachado</v>
      </c>
      <c r="M282" s="56" t="s">
        <v>238</v>
      </c>
      <c r="N282" s="139" t="s">
        <v>800</v>
      </c>
      <c r="O282" s="150">
        <v>45747</v>
      </c>
      <c r="P282" s="151">
        <v>45749</v>
      </c>
      <c r="Q282" s="24" t="str">
        <f t="shared" si="27"/>
        <v>Entregado</v>
      </c>
      <c r="R282" s="25">
        <f>IF(L282="Despachado",NETWORKDAYS.INTL(A282,O282,11,Valores!$A$2:$A$18)-1,"PTE")</f>
        <v>2</v>
      </c>
      <c r="S282" s="25">
        <f>IF(Q282="Entregado",NETWORKDAYS.INTL(A282,P282,11,Valores!$A$2:$A$18)-1,"PTE")</f>
        <v>4</v>
      </c>
      <c r="T282" s="25"/>
      <c r="U282" s="25"/>
      <c r="V282" s="25" t="str">
        <f>IF(Q282="Entregado",IF(S282&lt;=VLOOKUP(K282,Valores!E:F,2,0),"Cumple","No cumple"),"PTE")</f>
        <v>No cumple</v>
      </c>
      <c r="W282" s="25"/>
      <c r="X282" s="29">
        <v>26749</v>
      </c>
      <c r="Y282" s="224"/>
      <c r="Z282" s="28"/>
    </row>
    <row r="283" spans="1:27" hidden="1" x14ac:dyDescent="0.3">
      <c r="A283" s="34">
        <v>45744</v>
      </c>
      <c r="B283" s="7" t="str">
        <f t="shared" si="30"/>
        <v>marzo</v>
      </c>
      <c r="C283" s="27">
        <v>2503</v>
      </c>
      <c r="D283" s="23" t="s">
        <v>20</v>
      </c>
      <c r="E283" s="140" t="s">
        <v>763</v>
      </c>
      <c r="F283" s="22" t="s">
        <v>74</v>
      </c>
      <c r="G283" s="32" t="str">
        <f>IFERROR(VLOOKUP(F283,Productos!$A$2:$D$258,2,0)," ")</f>
        <v>Repisa Caramelo</v>
      </c>
      <c r="H283" s="7">
        <v>1</v>
      </c>
      <c r="I283" s="32" t="str">
        <f>IFERROR(VLOOKUP(F283,Productos!$A$2:$D$258,3,0)," ")</f>
        <v>Repisa</v>
      </c>
      <c r="J283" s="139" t="s">
        <v>24</v>
      </c>
      <c r="K283" s="139" t="s">
        <v>48</v>
      </c>
      <c r="L283" s="26" t="str">
        <f t="shared" si="29"/>
        <v>Despachado</v>
      </c>
      <c r="M283" s="56" t="s">
        <v>238</v>
      </c>
      <c r="N283" s="139" t="s">
        <v>801</v>
      </c>
      <c r="O283" s="150">
        <v>45747</v>
      </c>
      <c r="P283" s="151">
        <v>45748</v>
      </c>
      <c r="Q283" s="24" t="str">
        <f t="shared" si="27"/>
        <v>Entregado</v>
      </c>
      <c r="R283" s="25">
        <f>IF(L283="Despachado",NETWORKDAYS.INTL(A283,O283,11,Valores!$A$2:$A$18)-1,"PTE")</f>
        <v>2</v>
      </c>
      <c r="S283" s="25">
        <f>IF(Q283="Entregado",NETWORKDAYS.INTL(A283,P283,11,Valores!$A$2:$A$18)-1,"PTE")</f>
        <v>3</v>
      </c>
      <c r="T283" s="25"/>
      <c r="U283" s="25"/>
      <c r="V283" s="25" t="str">
        <f>IF(Q283="Entregado",IF(S283&lt;=VLOOKUP(K283,Valores!E:F,2,0),"Cumple","No cumple"),"PTE")</f>
        <v>Cumple</v>
      </c>
      <c r="W283" s="25"/>
      <c r="X283" s="29">
        <v>23429</v>
      </c>
      <c r="Y283" s="224"/>
      <c r="Z283" s="28"/>
    </row>
    <row r="284" spans="1:27" hidden="1" x14ac:dyDescent="0.3">
      <c r="A284" s="34">
        <v>45746</v>
      </c>
      <c r="B284" s="7" t="str">
        <f t="shared" si="30"/>
        <v>marzo</v>
      </c>
      <c r="C284" s="27">
        <v>2504</v>
      </c>
      <c r="D284" s="23" t="s">
        <v>20</v>
      </c>
      <c r="E284" s="140" t="s">
        <v>764</v>
      </c>
      <c r="F284" s="22" t="s">
        <v>73</v>
      </c>
      <c r="G284" s="32" t="str">
        <f>IFERROR(VLOOKUP(F284,Productos!$A$2:$D$258,2,0)," ")</f>
        <v>Repisa Miel</v>
      </c>
      <c r="H284" s="7">
        <v>1</v>
      </c>
      <c r="I284" s="32" t="str">
        <f>IFERROR(VLOOKUP(F284,Productos!$A$2:$D$258,3,0)," ")</f>
        <v>Repisa</v>
      </c>
      <c r="J284" s="139" t="s">
        <v>192</v>
      </c>
      <c r="K284" s="139" t="s">
        <v>213</v>
      </c>
      <c r="L284" s="26" t="str">
        <f t="shared" si="29"/>
        <v>Despachado</v>
      </c>
      <c r="M284" s="56" t="s">
        <v>238</v>
      </c>
      <c r="N284" s="139" t="s">
        <v>802</v>
      </c>
      <c r="O284" s="150">
        <v>45747</v>
      </c>
      <c r="P284" s="151">
        <v>45749</v>
      </c>
      <c r="Q284" s="24" t="str">
        <f t="shared" si="27"/>
        <v>Entregado</v>
      </c>
      <c r="R284" s="25">
        <f>IF(L284="Despachado",NETWORKDAYS.INTL(A284,O284,11,Valores!$A$2:$A$18)-1,"PTE")</f>
        <v>0</v>
      </c>
      <c r="S284" s="25">
        <f>IF(Q284="Entregado",NETWORKDAYS.INTL(A284,P284,11,Valores!$A$2:$A$18)-1,"PTE")</f>
        <v>2</v>
      </c>
      <c r="T284" s="25"/>
      <c r="U284" s="25"/>
      <c r="V284" s="25" t="str">
        <f>IF(Q284="Entregado",IF(S284&lt;=VLOOKUP(K284,Valores!E:F,2,0),"Cumple","No cumple"),"PTE")</f>
        <v>Cumple</v>
      </c>
      <c r="W284" s="25"/>
      <c r="X284" s="29">
        <v>37762</v>
      </c>
      <c r="Y284" s="224"/>
      <c r="Z284" s="28"/>
    </row>
    <row r="285" spans="1:27" hidden="1" x14ac:dyDescent="0.3">
      <c r="A285" s="34">
        <v>45747</v>
      </c>
      <c r="B285" s="7" t="str">
        <f t="shared" si="30"/>
        <v>marzo</v>
      </c>
      <c r="C285" s="27">
        <v>2505</v>
      </c>
      <c r="D285" s="23" t="s">
        <v>20</v>
      </c>
      <c r="E285" s="140" t="s">
        <v>765</v>
      </c>
      <c r="F285" s="22" t="s">
        <v>127</v>
      </c>
      <c r="G285" s="32" t="str">
        <f>IFERROR(VLOOKUP(F285,Productos!$A$2:$D$258,2,0)," ")</f>
        <v>Electric Standing Desk GO Blanco</v>
      </c>
      <c r="H285" s="7">
        <v>1</v>
      </c>
      <c r="I285" s="32" t="str">
        <f>IFERROR(VLOOKUP(F285,Productos!$A$2:$D$258,3,0)," ")</f>
        <v>Standing Desk</v>
      </c>
      <c r="J285" s="139" t="s">
        <v>21</v>
      </c>
      <c r="K285" s="139" t="s">
        <v>22</v>
      </c>
      <c r="L285" s="26" t="str">
        <f t="shared" si="29"/>
        <v>Despachado</v>
      </c>
      <c r="M285" s="56" t="s">
        <v>238</v>
      </c>
      <c r="N285" s="139" t="s">
        <v>803</v>
      </c>
      <c r="O285" s="150">
        <v>45748</v>
      </c>
      <c r="P285" s="151">
        <v>45749</v>
      </c>
      <c r="Q285" s="24" t="str">
        <f t="shared" si="27"/>
        <v>Entregado</v>
      </c>
      <c r="R285" s="25">
        <f>IF(L285="Despachado",NETWORKDAYS.INTL(A285,O285,11,Valores!$A$2:$A$18)-1,"PTE")</f>
        <v>1</v>
      </c>
      <c r="S285" s="25">
        <f>IF(Q285="Entregado",NETWORKDAYS.INTL(A285,P285,11,Valores!$A$2:$A$18)-1,"PTE")</f>
        <v>2</v>
      </c>
      <c r="T285" s="25"/>
      <c r="U285" s="25"/>
      <c r="V285" s="25" t="str">
        <f>IF(Q285="Entregado",IF(S285&lt;=VLOOKUP(K285,Valores!E:F,2,0),"Cumple","No cumple"),"PTE")</f>
        <v>Cumple</v>
      </c>
      <c r="W285" s="25"/>
      <c r="X285" s="29">
        <v>41593</v>
      </c>
      <c r="Y285" s="224"/>
      <c r="Z285" s="28"/>
    </row>
    <row r="286" spans="1:27" hidden="1" x14ac:dyDescent="0.3">
      <c r="A286" s="34">
        <v>45747</v>
      </c>
      <c r="B286" s="7" t="str">
        <f t="shared" si="30"/>
        <v>marzo</v>
      </c>
      <c r="C286" s="27">
        <v>2505</v>
      </c>
      <c r="D286" s="23" t="s">
        <v>20</v>
      </c>
      <c r="E286" s="140" t="s">
        <v>765</v>
      </c>
      <c r="F286" s="22" t="s">
        <v>305</v>
      </c>
      <c r="G286" s="32" t="str">
        <f>IFERROR(VLOOKUP(F286,Productos!$A$2:$D$258,2,0)," ")</f>
        <v>Superficie  Fresno Europeo 160x70 Clasico</v>
      </c>
      <c r="H286" s="7">
        <v>1</v>
      </c>
      <c r="I286" s="32" t="str">
        <f>IFERROR(VLOOKUP(F286,Productos!$A$2:$D$258,3,0)," ")</f>
        <v>Superficie</v>
      </c>
      <c r="J286" s="139" t="s">
        <v>21</v>
      </c>
      <c r="K286" s="139" t="s">
        <v>22</v>
      </c>
      <c r="L286" s="26" t="str">
        <f t="shared" si="29"/>
        <v>Despachado</v>
      </c>
      <c r="M286" s="56" t="s">
        <v>238</v>
      </c>
      <c r="N286" s="139" t="s">
        <v>804</v>
      </c>
      <c r="O286" s="150">
        <v>45748</v>
      </c>
      <c r="P286" s="151">
        <v>45749</v>
      </c>
      <c r="Q286" s="24" t="str">
        <f t="shared" si="27"/>
        <v>Entregado</v>
      </c>
      <c r="R286" s="25">
        <f>IF(L286="Despachado",NETWORKDAYS.INTL(A286,O286,11,Valores!$A$2:$A$18)-1,"PTE")</f>
        <v>1</v>
      </c>
      <c r="S286" s="25">
        <f>IF(Q286="Entregado",NETWORKDAYS.INTL(A286,P286,11,Valores!$A$2:$A$18)-1,"PTE")</f>
        <v>2</v>
      </c>
      <c r="T286" s="25"/>
      <c r="U286" s="25"/>
      <c r="V286" s="25" t="str">
        <f>IF(Q286="Entregado",IF(S286&lt;=VLOOKUP(K286,Valores!E:F,2,0),"Cumple","No cumple"),"PTE")</f>
        <v>Cumple</v>
      </c>
      <c r="W286" s="25"/>
      <c r="X286" s="29">
        <v>24093</v>
      </c>
      <c r="Y286" s="224"/>
      <c r="Z286" s="28"/>
    </row>
    <row r="287" spans="1:27" hidden="1" x14ac:dyDescent="0.3">
      <c r="A287" s="34">
        <v>45729</v>
      </c>
      <c r="B287" s="7" t="str">
        <f t="shared" si="30"/>
        <v>marzo</v>
      </c>
      <c r="C287" s="27">
        <v>2461</v>
      </c>
      <c r="D287" s="23" t="s">
        <v>35</v>
      </c>
      <c r="E287" s="140" t="s">
        <v>639</v>
      </c>
      <c r="F287" s="22" t="s">
        <v>264</v>
      </c>
      <c r="G287" s="32" t="str">
        <f>IFERROR(VLOOKUP(F287,Productos!$A$2:$D$258,2,0)," ")</f>
        <v>Superficie Roble Miel 180x70 Clasico</v>
      </c>
      <c r="H287" s="7">
        <v>1</v>
      </c>
      <c r="I287" s="32" t="str">
        <f>IFERROR(VLOOKUP(F287,Productos!$A$2:$D$258,3,0)," ")</f>
        <v>Superficie</v>
      </c>
      <c r="J287" s="139" t="s">
        <v>194</v>
      </c>
      <c r="K287" s="139" t="s">
        <v>46</v>
      </c>
      <c r="L287" s="26" t="str">
        <f t="shared" si="29"/>
        <v>Despachado</v>
      </c>
      <c r="M287" s="56" t="s">
        <v>238</v>
      </c>
      <c r="N287" s="168" t="s">
        <v>981</v>
      </c>
      <c r="O287" s="150">
        <v>45738</v>
      </c>
      <c r="P287" s="151">
        <v>45741</v>
      </c>
      <c r="Q287" s="24" t="str">
        <f t="shared" si="27"/>
        <v>Entregado</v>
      </c>
      <c r="R287" s="25">
        <f>IF(L287="Despachado",NETWORKDAYS.INTL(A287,O287,11,Valores!$A$2:$A$18)-1,"PTE")</f>
        <v>8</v>
      </c>
      <c r="S287" s="25">
        <f>IF(Q287="Entregado",NETWORKDAYS.INTL(A287,P287,11,Valores!$A$2:$A$18)-1,"PTE")</f>
        <v>9</v>
      </c>
      <c r="T287" s="25"/>
      <c r="U287" s="25"/>
      <c r="V287" s="25" t="str">
        <f>IF(Q287="Entregado",IF(S287&lt;=VLOOKUP(K287,Valores!E:F,2,0),"Cumple","No cumple"),"PTE")</f>
        <v>No cumple</v>
      </c>
      <c r="W287" s="25"/>
      <c r="X287" s="29">
        <v>43089</v>
      </c>
      <c r="Y287" s="224"/>
      <c r="Z287" s="28"/>
    </row>
    <row r="288" spans="1:27" hidden="1" x14ac:dyDescent="0.3">
      <c r="A288" s="34">
        <v>45748</v>
      </c>
      <c r="B288" s="7" t="str">
        <f t="shared" si="30"/>
        <v>abril</v>
      </c>
      <c r="C288" s="27">
        <v>2506</v>
      </c>
      <c r="D288" s="23" t="s">
        <v>20</v>
      </c>
      <c r="E288" s="140" t="s">
        <v>805</v>
      </c>
      <c r="F288" s="40" t="s">
        <v>123</v>
      </c>
      <c r="G288" s="32" t="str">
        <f>IFERROR(VLOOKUP(F288,Productos!$A$2:$D$258,2,0)," ")</f>
        <v>Electric Standing Desk GO Negro</v>
      </c>
      <c r="H288" s="7">
        <v>1</v>
      </c>
      <c r="I288" s="32" t="str">
        <f>IFERROR(VLOOKUP(F288,Productos!$A$2:$D$258,3,0)," ")</f>
        <v>Standing Desk</v>
      </c>
      <c r="J288" s="139" t="s">
        <v>24</v>
      </c>
      <c r="K288" s="139" t="s">
        <v>27</v>
      </c>
      <c r="L288" s="26" t="str">
        <f t="shared" si="29"/>
        <v>Despachado</v>
      </c>
      <c r="M288" s="56" t="s">
        <v>238</v>
      </c>
      <c r="N288" s="139" t="s">
        <v>806</v>
      </c>
      <c r="O288" s="150">
        <v>45748</v>
      </c>
      <c r="P288" s="151">
        <v>45749</v>
      </c>
      <c r="Q288" s="24" t="str">
        <f t="shared" si="27"/>
        <v>Entregado</v>
      </c>
      <c r="R288" s="25">
        <f>IF(L288="Despachado",NETWORKDAYS.INTL(A288,O288,11,Valores!$A$2:$A$18)-1,"PTE")</f>
        <v>0</v>
      </c>
      <c r="S288" s="25">
        <f>IF(Q288="Entregado",NETWORKDAYS.INTL(A288,P288,11,Valores!$A$2:$A$18)-1,"PTE")</f>
        <v>1</v>
      </c>
      <c r="T288" s="25"/>
      <c r="U288" s="25"/>
      <c r="V288" s="25" t="str">
        <f>IF(Q288="Entregado",IF(S288&lt;=VLOOKUP(K288,Valores!E:F,2,0),"Cumple","No cumple"),"PTE")</f>
        <v>Cumple</v>
      </c>
      <c r="W288" s="25"/>
      <c r="X288" s="29">
        <v>41593</v>
      </c>
      <c r="Y288" s="224"/>
      <c r="Z288" s="28"/>
    </row>
    <row r="289" spans="1:26" hidden="1" x14ac:dyDescent="0.3">
      <c r="A289" s="34">
        <v>45748</v>
      </c>
      <c r="B289" s="7" t="str">
        <f t="shared" si="30"/>
        <v>abril</v>
      </c>
      <c r="C289" s="27">
        <v>2506</v>
      </c>
      <c r="D289" s="23" t="s">
        <v>20</v>
      </c>
      <c r="E289" s="140" t="s">
        <v>805</v>
      </c>
      <c r="F289" s="22" t="s">
        <v>143</v>
      </c>
      <c r="G289" s="32" t="str">
        <f>IFERROR(VLOOKUP(F289,Productos!$A$2:$D$258,2,0)," ")</f>
        <v>Superficie  Caramelo 160x70 Clasico</v>
      </c>
      <c r="H289" s="7">
        <v>1</v>
      </c>
      <c r="I289" s="32" t="str">
        <f>IFERROR(VLOOKUP(F289,Productos!$A$2:$D$258,3,0)," ")</f>
        <v>Superficie</v>
      </c>
      <c r="J289" s="139" t="s">
        <v>24</v>
      </c>
      <c r="K289" s="139" t="s">
        <v>27</v>
      </c>
      <c r="L289" s="26" t="str">
        <f t="shared" si="29"/>
        <v>Despachado</v>
      </c>
      <c r="M289" s="56" t="s">
        <v>238</v>
      </c>
      <c r="N289" s="139" t="s">
        <v>807</v>
      </c>
      <c r="O289" s="150">
        <v>45748</v>
      </c>
      <c r="P289" s="151">
        <v>45749</v>
      </c>
      <c r="Q289" s="24" t="str">
        <f t="shared" si="27"/>
        <v>Entregado</v>
      </c>
      <c r="R289" s="25">
        <f>IF(L289="Despachado",NETWORKDAYS.INTL(A289,O289,11,Valores!$A$2:$A$18)-1,"PTE")</f>
        <v>0</v>
      </c>
      <c r="S289" s="25">
        <f>IF(Q289="Entregado",NETWORKDAYS.INTL(A289,P289,11,Valores!$A$2:$A$18)-1,"PTE")</f>
        <v>1</v>
      </c>
      <c r="T289" s="25"/>
      <c r="U289" s="25"/>
      <c r="V289" s="25" t="str">
        <f>IF(Q289="Entregado",IF(S289&lt;=VLOOKUP(K289,Valores!E:F,2,0),"Cumple","No cumple"),"PTE")</f>
        <v>Cumple</v>
      </c>
      <c r="W289" s="25"/>
      <c r="X289" s="29">
        <v>24093</v>
      </c>
      <c r="Y289" s="224"/>
      <c r="Z289" s="28"/>
    </row>
    <row r="290" spans="1:26" hidden="1" x14ac:dyDescent="0.3">
      <c r="A290" s="34">
        <v>45748</v>
      </c>
      <c r="B290" s="7" t="str">
        <f t="shared" si="30"/>
        <v>abril</v>
      </c>
      <c r="C290" s="27">
        <v>2506</v>
      </c>
      <c r="D290" s="23" t="s">
        <v>20</v>
      </c>
      <c r="E290" s="140" t="s">
        <v>805</v>
      </c>
      <c r="F290" s="22" t="s">
        <v>68</v>
      </c>
      <c r="G290" s="32" t="str">
        <f>IFERROR(VLOOKUP(F290,Productos!$A$2:$D$258,2,0)," ")</f>
        <v>Archivador TECU  Caramelo</v>
      </c>
      <c r="H290" s="7">
        <v>1</v>
      </c>
      <c r="I290" s="32" t="str">
        <f>IFERROR(VLOOKUP(F290,Productos!$A$2:$D$258,3,0)," ")</f>
        <v>Archivador</v>
      </c>
      <c r="J290" s="139" t="s">
        <v>24</v>
      </c>
      <c r="K290" s="139" t="s">
        <v>27</v>
      </c>
      <c r="L290" s="26" t="str">
        <f t="shared" si="29"/>
        <v>Despachado</v>
      </c>
      <c r="M290" s="56" t="s">
        <v>239</v>
      </c>
      <c r="N290" s="139" t="s">
        <v>808</v>
      </c>
      <c r="O290" s="150">
        <v>45748</v>
      </c>
      <c r="P290" s="151">
        <v>45751</v>
      </c>
      <c r="Q290" s="24" t="str">
        <f t="shared" si="27"/>
        <v>Entregado</v>
      </c>
      <c r="R290" s="25">
        <f>IF(L290="Despachado",NETWORKDAYS.INTL(A290,O290,11,Valores!$A$2:$A$18)-1,"PTE")</f>
        <v>0</v>
      </c>
      <c r="S290" s="25">
        <f>IF(Q290="Entregado",NETWORKDAYS.INTL(A290,P290,11,Valores!$A$2:$A$18)-1,"PTE")</f>
        <v>3</v>
      </c>
      <c r="T290" s="25"/>
      <c r="U290" s="25"/>
      <c r="V290" s="25" t="str">
        <f>IF(Q290="Entregado",IF(S290&lt;=VLOOKUP(K290,Valores!E:F,2,0),"Cumple","No cumple"),"PTE")</f>
        <v>Cumple</v>
      </c>
      <c r="W290" s="25"/>
      <c r="X290" s="29">
        <v>65582</v>
      </c>
      <c r="Y290" s="224"/>
      <c r="Z290" s="28"/>
    </row>
    <row r="291" spans="1:26" hidden="1" x14ac:dyDescent="0.3">
      <c r="A291" s="34">
        <v>45748</v>
      </c>
      <c r="B291" s="7" t="str">
        <f t="shared" si="30"/>
        <v>abril</v>
      </c>
      <c r="C291" s="27">
        <v>2506</v>
      </c>
      <c r="D291" s="23" t="s">
        <v>20</v>
      </c>
      <c r="E291" s="140" t="s">
        <v>805</v>
      </c>
      <c r="F291" s="22" t="s">
        <v>240</v>
      </c>
      <c r="G291" s="32" t="str">
        <f>IFERROR(VLOOKUP(F291,Productos!$A$2:$D$258,2,0)," ")</f>
        <v>Bandeja de cables</v>
      </c>
      <c r="H291" s="7">
        <v>1</v>
      </c>
      <c r="I291" s="32" t="str">
        <f>IFERROR(VLOOKUP(F291,Productos!$A$2:$D$258,3,0)," ")</f>
        <v>Accesorio</v>
      </c>
      <c r="J291" s="139" t="s">
        <v>24</v>
      </c>
      <c r="K291" s="139" t="s">
        <v>27</v>
      </c>
      <c r="L291" s="26" t="str">
        <f t="shared" si="29"/>
        <v>Despachado</v>
      </c>
      <c r="M291" s="56" t="s">
        <v>238</v>
      </c>
      <c r="N291" s="139" t="s">
        <v>809</v>
      </c>
      <c r="O291" s="150">
        <v>45748</v>
      </c>
      <c r="P291" s="151">
        <v>45749</v>
      </c>
      <c r="Q291" s="24" t="str">
        <f t="shared" si="27"/>
        <v>Entregado</v>
      </c>
      <c r="R291" s="25">
        <f>IF(L291="Despachado",NETWORKDAYS.INTL(A291,O291,11,Valores!$A$2:$A$18)-1,"PTE")</f>
        <v>0</v>
      </c>
      <c r="S291" s="25">
        <f>IF(Q291="Entregado",NETWORKDAYS.INTL(A291,P291,11,Valores!$A$2:$A$18)-1,"PTE")</f>
        <v>1</v>
      </c>
      <c r="T291" s="25"/>
      <c r="U291" s="25"/>
      <c r="V291" s="25" t="str">
        <f>IF(Q291="Entregado",IF(S291&lt;=VLOOKUP(K291,Valores!E:F,2,0),"Cumple","No cumple"),"PTE")</f>
        <v>Cumple</v>
      </c>
      <c r="W291" s="25"/>
      <c r="X291" s="29">
        <v>24885</v>
      </c>
      <c r="Y291" s="224"/>
      <c r="Z291" s="28"/>
    </row>
    <row r="292" spans="1:26" hidden="1" x14ac:dyDescent="0.3">
      <c r="A292" s="34">
        <v>45749</v>
      </c>
      <c r="B292" s="7" t="str">
        <f t="shared" si="30"/>
        <v>abril</v>
      </c>
      <c r="C292" s="27">
        <v>2507</v>
      </c>
      <c r="D292" s="23" t="s">
        <v>20</v>
      </c>
      <c r="E292" s="140" t="s">
        <v>810</v>
      </c>
      <c r="F292" s="22" t="s">
        <v>89</v>
      </c>
      <c r="G292" s="32" t="str">
        <f>IFERROR(VLOOKUP(F292,Productos!$A$2:$D$258,2,0)," ")</f>
        <v>Desk Stool Gris Silla ajustable</v>
      </c>
      <c r="H292" s="7">
        <v>1</v>
      </c>
      <c r="I292" s="32" t="str">
        <f>IFERROR(VLOOKUP(F292,Productos!$A$2:$D$258,3,0)," ")</f>
        <v>Silla</v>
      </c>
      <c r="J292" s="139" t="s">
        <v>21</v>
      </c>
      <c r="K292" s="139" t="s">
        <v>22</v>
      </c>
      <c r="L292" s="26" t="str">
        <f t="shared" si="29"/>
        <v>Despachado</v>
      </c>
      <c r="M292" s="56" t="s">
        <v>238</v>
      </c>
      <c r="N292" s="139" t="s">
        <v>811</v>
      </c>
      <c r="O292" s="150">
        <v>45749</v>
      </c>
      <c r="P292" s="151">
        <v>45750</v>
      </c>
      <c r="Q292" s="24" t="str">
        <f t="shared" si="27"/>
        <v>Entregado</v>
      </c>
      <c r="R292" s="25">
        <f>IF(L292="Despachado",NETWORKDAYS.INTL(A292,O292,11,Valores!$A$2:$A$18)-1,"PTE")</f>
        <v>0</v>
      </c>
      <c r="S292" s="25">
        <f>IF(Q292="Entregado",NETWORKDAYS.INTL(A292,P292,11,Valores!$A$2:$A$18)-1,"PTE")</f>
        <v>1</v>
      </c>
      <c r="T292" s="25"/>
      <c r="U292" s="25"/>
      <c r="V292" s="25" t="str">
        <f>IF(Q292="Entregado",IF(S292&lt;=VLOOKUP(K292,Valores!E:F,2,0),"Cumple","No cumple"),"PTE")</f>
        <v>Cumple</v>
      </c>
      <c r="W292" s="25"/>
      <c r="X292" s="29">
        <v>26609</v>
      </c>
      <c r="Y292" s="224"/>
      <c r="Z292" s="28"/>
    </row>
    <row r="293" spans="1:26" hidden="1" x14ac:dyDescent="0.3">
      <c r="A293" s="34">
        <v>45751</v>
      </c>
      <c r="B293" s="7" t="str">
        <f t="shared" si="30"/>
        <v>abril</v>
      </c>
      <c r="C293" s="27">
        <v>2508</v>
      </c>
      <c r="D293" s="23" t="s">
        <v>20</v>
      </c>
      <c r="E293" s="140" t="s">
        <v>812</v>
      </c>
      <c r="F293" s="22" t="s">
        <v>129</v>
      </c>
      <c r="G293" s="32" t="str">
        <f>IFERROR(VLOOKUP(F293,Productos!$A$2:$D$258,2,0)," ")</f>
        <v>Electric Standing Desk  PRO Negro</v>
      </c>
      <c r="H293" s="7">
        <v>1</v>
      </c>
      <c r="I293" s="32" t="str">
        <f>IFERROR(VLOOKUP(F293,Productos!$A$2:$D$258,3,0)," ")</f>
        <v>Standing Desk</v>
      </c>
      <c r="J293" s="139" t="s">
        <v>24</v>
      </c>
      <c r="K293" s="139" t="s">
        <v>644</v>
      </c>
      <c r="L293" s="26" t="str">
        <f t="shared" si="29"/>
        <v>Despachado</v>
      </c>
      <c r="M293" s="56" t="s">
        <v>238</v>
      </c>
      <c r="N293" s="139" t="s">
        <v>813</v>
      </c>
      <c r="O293" s="150">
        <v>45751</v>
      </c>
      <c r="P293" s="151">
        <v>45754</v>
      </c>
      <c r="Q293" s="24" t="str">
        <f t="shared" si="27"/>
        <v>Entregado</v>
      </c>
      <c r="R293" s="25">
        <f>IF(L293="Despachado",NETWORKDAYS.INTL(A293,O293,11,Valores!$A$2:$A$18)-1,"PTE")</f>
        <v>0</v>
      </c>
      <c r="S293" s="25">
        <f>IF(Q293="Entregado",NETWORKDAYS.INTL(A293,P293,11,Valores!$A$2:$A$18)-1,"PTE")</f>
        <v>2</v>
      </c>
      <c r="T293" s="25"/>
      <c r="U293" s="25"/>
      <c r="V293" s="25" t="str">
        <f>IF(Q293="Entregado",IF(S293&lt;=VLOOKUP(K293,Valores!E:F,2,0),"Cumple","No cumple"),"PTE")</f>
        <v>Cumple</v>
      </c>
      <c r="W293" s="25"/>
      <c r="X293" s="29">
        <v>42921</v>
      </c>
      <c r="Y293" s="224"/>
      <c r="Z293" s="28"/>
    </row>
    <row r="294" spans="1:26" hidden="1" x14ac:dyDescent="0.3">
      <c r="A294" s="34">
        <v>45751</v>
      </c>
      <c r="B294" s="7" t="str">
        <f t="shared" si="30"/>
        <v>abril</v>
      </c>
      <c r="C294" s="27">
        <v>2508</v>
      </c>
      <c r="D294" s="23" t="s">
        <v>20</v>
      </c>
      <c r="E294" s="140" t="s">
        <v>812</v>
      </c>
      <c r="F294" s="22" t="s">
        <v>307</v>
      </c>
      <c r="G294" s="32" t="str">
        <f>IFERROR(VLOOKUP(F294,Productos!$A$2:$D$258,2,0)," ")</f>
        <v>Superficie  Fresno Europeo 180x70 Clasico</v>
      </c>
      <c r="H294" s="7">
        <v>1</v>
      </c>
      <c r="I294" s="32" t="str">
        <f>IFERROR(VLOOKUP(F294,Productos!$A$2:$D$258,3,0)," ")</f>
        <v>Superficie</v>
      </c>
      <c r="J294" s="139" t="s">
        <v>24</v>
      </c>
      <c r="K294" s="139" t="s">
        <v>644</v>
      </c>
      <c r="L294" s="26" t="str">
        <f t="shared" si="29"/>
        <v>Despachado</v>
      </c>
      <c r="M294" s="56" t="s">
        <v>238</v>
      </c>
      <c r="N294" s="139" t="s">
        <v>814</v>
      </c>
      <c r="O294" s="150">
        <v>45751</v>
      </c>
      <c r="P294" s="151">
        <v>45753</v>
      </c>
      <c r="Q294" s="24" t="str">
        <f t="shared" si="27"/>
        <v>Entregado</v>
      </c>
      <c r="R294" s="25">
        <f>IF(L294="Despachado",NETWORKDAYS.INTL(A294,O294,11,Valores!$A$2:$A$18)-1,"PTE")</f>
        <v>0</v>
      </c>
      <c r="S294" s="25">
        <f>IF(Q294="Entregado",NETWORKDAYS.INTL(A294,P294,11,Valores!$A$2:$A$18)-1,"PTE")</f>
        <v>1</v>
      </c>
      <c r="T294" s="25"/>
      <c r="U294" s="25"/>
      <c r="V294" s="25" t="str">
        <f>IF(Q294="Entregado",IF(S294&lt;=VLOOKUP(K294,Valores!E:F,2,0),"Cumple","No cumple"),"PTE")</f>
        <v>Cumple</v>
      </c>
      <c r="W294" s="25"/>
      <c r="X294" s="29">
        <v>26749</v>
      </c>
      <c r="Y294" s="224"/>
      <c r="Z294" s="28"/>
    </row>
    <row r="295" spans="1:26" hidden="1" x14ac:dyDescent="0.3">
      <c r="A295" s="34">
        <v>45751</v>
      </c>
      <c r="B295" s="7" t="str">
        <f t="shared" si="30"/>
        <v>abril</v>
      </c>
      <c r="C295" s="27">
        <v>2509</v>
      </c>
      <c r="D295" s="23" t="s">
        <v>20</v>
      </c>
      <c r="E295" s="140" t="s">
        <v>815</v>
      </c>
      <c r="F295" s="40" t="s">
        <v>123</v>
      </c>
      <c r="G295" s="32" t="str">
        <f>IFERROR(VLOOKUP(F295,Productos!$A$2:$D$258,2,0)," ")</f>
        <v>Electric Standing Desk GO Negro</v>
      </c>
      <c r="H295" s="7">
        <v>1</v>
      </c>
      <c r="I295" s="32" t="str">
        <f>IFERROR(VLOOKUP(F295,Productos!$A$2:$D$258,3,0)," ")</f>
        <v>Standing Desk</v>
      </c>
      <c r="J295" s="139" t="s">
        <v>21</v>
      </c>
      <c r="K295" s="139" t="s">
        <v>22</v>
      </c>
      <c r="L295" s="26" t="str">
        <f t="shared" si="29"/>
        <v>Despachado</v>
      </c>
      <c r="M295" s="56" t="s">
        <v>238</v>
      </c>
      <c r="N295" s="139" t="s">
        <v>816</v>
      </c>
      <c r="O295" s="150">
        <v>45751</v>
      </c>
      <c r="P295" s="151">
        <v>45754</v>
      </c>
      <c r="Q295" s="24" t="str">
        <f t="shared" si="27"/>
        <v>Entregado</v>
      </c>
      <c r="R295" s="25">
        <f>IF(L295="Despachado",NETWORKDAYS.INTL(A295,O295,11,Valores!$A$2:$A$18)-1,"PTE")</f>
        <v>0</v>
      </c>
      <c r="S295" s="25">
        <f>IF(Q295="Entregado",NETWORKDAYS.INTL(A295,P295,11,Valores!$A$2:$A$18)-1,"PTE")</f>
        <v>2</v>
      </c>
      <c r="T295" s="25"/>
      <c r="U295" s="25"/>
      <c r="V295" s="25" t="str">
        <f>IF(Q295="Entregado",IF(S295&lt;=VLOOKUP(K295,Valores!E:F,2,0),"Cumple","No cumple"),"PTE")</f>
        <v>Cumple</v>
      </c>
      <c r="W295" s="25"/>
      <c r="X295" s="29">
        <v>41593</v>
      </c>
      <c r="Y295" s="224"/>
      <c r="Z295" s="28"/>
    </row>
    <row r="296" spans="1:26" hidden="1" x14ac:dyDescent="0.3">
      <c r="A296" s="34">
        <v>45751</v>
      </c>
      <c r="B296" s="7" t="str">
        <f t="shared" si="30"/>
        <v>abril</v>
      </c>
      <c r="C296" s="27">
        <v>2509</v>
      </c>
      <c r="D296" s="23" t="s">
        <v>20</v>
      </c>
      <c r="E296" s="140" t="s">
        <v>815</v>
      </c>
      <c r="F296" s="40" t="s">
        <v>304</v>
      </c>
      <c r="G296" s="32" t="str">
        <f>IFERROR(VLOOKUP(F296,Productos!$A$2:$D$258,2,0)," ")</f>
        <v>Superficie  Fresno Europeo 150x70 Clasico</v>
      </c>
      <c r="H296" s="7">
        <v>1</v>
      </c>
      <c r="I296" s="32" t="str">
        <f>IFERROR(VLOOKUP(F296,Productos!$A$2:$D$258,3,0)," ")</f>
        <v>Superficie</v>
      </c>
      <c r="J296" s="139" t="s">
        <v>21</v>
      </c>
      <c r="K296" s="139" t="s">
        <v>22</v>
      </c>
      <c r="L296" s="26" t="str">
        <f t="shared" si="29"/>
        <v>Despachado</v>
      </c>
      <c r="M296" s="56" t="s">
        <v>238</v>
      </c>
      <c r="N296" s="139" t="s">
        <v>817</v>
      </c>
      <c r="O296" s="150">
        <v>45751</v>
      </c>
      <c r="P296" s="151">
        <v>45754</v>
      </c>
      <c r="Q296" s="24" t="str">
        <f t="shared" si="27"/>
        <v>Entregado</v>
      </c>
      <c r="R296" s="25">
        <f>IF(L296="Despachado",NETWORKDAYS.INTL(A296,O296,11,Valores!$A$2:$A$18)-1,"PTE")</f>
        <v>0</v>
      </c>
      <c r="S296" s="25">
        <f>IF(Q296="Entregado",NETWORKDAYS.INTL(A296,P296,11,Valores!$A$2:$A$18)-1,"PTE")</f>
        <v>2</v>
      </c>
      <c r="T296" s="25"/>
      <c r="U296" s="25"/>
      <c r="V296" s="25" t="str">
        <f>IF(Q296="Entregado",IF(S296&lt;=VLOOKUP(K296,Valores!E:F,2,0),"Cumple","No cumple"),"PTE")</f>
        <v>Cumple</v>
      </c>
      <c r="W296" s="25"/>
      <c r="X296" s="29">
        <v>24093</v>
      </c>
      <c r="Y296" s="224"/>
      <c r="Z296" s="28"/>
    </row>
    <row r="297" spans="1:26" hidden="1" x14ac:dyDescent="0.3">
      <c r="A297" s="34">
        <v>45751</v>
      </c>
      <c r="B297" s="7" t="str">
        <f t="shared" ref="B297:B305" si="31">TEXT(A297,"mmmm")</f>
        <v>abril</v>
      </c>
      <c r="C297" s="27">
        <v>2510</v>
      </c>
      <c r="D297" s="23" t="s">
        <v>20</v>
      </c>
      <c r="E297" s="140" t="s">
        <v>818</v>
      </c>
      <c r="F297" s="40" t="s">
        <v>129</v>
      </c>
      <c r="G297" s="32" t="str">
        <f>IFERROR(VLOOKUP(F297,Productos!$A$2:$D$258,2,0)," ")</f>
        <v>Electric Standing Desk  PRO Negro</v>
      </c>
      <c r="H297" s="7">
        <v>1</v>
      </c>
      <c r="I297" s="32" t="str">
        <f>IFERROR(VLOOKUP(F297,Productos!$A$2:$D$258,3,0)," ")</f>
        <v>Standing Desk</v>
      </c>
      <c r="J297" s="139" t="s">
        <v>40</v>
      </c>
      <c r="K297" s="139" t="s">
        <v>40</v>
      </c>
      <c r="L297" s="26" t="str">
        <f t="shared" si="29"/>
        <v>Despachado</v>
      </c>
      <c r="M297" s="56" t="s">
        <v>238</v>
      </c>
      <c r="N297" s="139" t="s">
        <v>848</v>
      </c>
      <c r="O297" s="150">
        <v>45756.637002314812</v>
      </c>
      <c r="P297" s="151">
        <v>45758.608784722222</v>
      </c>
      <c r="Q297" s="24" t="str">
        <f t="shared" si="27"/>
        <v>Entregado</v>
      </c>
      <c r="R297" s="25">
        <f>IF(L297="Despachado",NETWORKDAYS.INTL(A297,O297,11,Valores!$A$2:$A$18)-1,"PTE")</f>
        <v>4</v>
      </c>
      <c r="S297" s="25">
        <f>IF(Q297="Entregado",NETWORKDAYS.INTL(A297,P297,11,Valores!$A$2:$A$18)-1,"PTE")</f>
        <v>6</v>
      </c>
      <c r="T297" s="25"/>
      <c r="U297" s="25"/>
      <c r="V297" s="25" t="str">
        <f>IF(Q297="Entregado",IF(S297&lt;=VLOOKUP(K297,Valores!E:F,2,0),"Cumple","No cumple"),"PTE")</f>
        <v>No cumple</v>
      </c>
      <c r="W297" s="25"/>
      <c r="X297" s="29">
        <f>VLOOKUP(N297,[2]Sheet1!$Z:$AN,15,0)</f>
        <v>47787</v>
      </c>
      <c r="Y297" s="224"/>
      <c r="Z297" s="28"/>
    </row>
    <row r="298" spans="1:26" hidden="1" x14ac:dyDescent="0.3">
      <c r="A298" s="34">
        <v>45751</v>
      </c>
      <c r="B298" s="7" t="str">
        <f t="shared" si="31"/>
        <v>abril</v>
      </c>
      <c r="C298" s="27">
        <v>2510</v>
      </c>
      <c r="D298" s="23" t="s">
        <v>20</v>
      </c>
      <c r="E298" s="140" t="s">
        <v>818</v>
      </c>
      <c r="F298" s="40" t="s">
        <v>262</v>
      </c>
      <c r="G298" s="32" t="str">
        <f>IFERROR(VLOOKUP(F298,Productos!$A$2:$D$258,2,0)," ")</f>
        <v>Superficie Roble Miel 150x70 Clasico</v>
      </c>
      <c r="H298" s="7">
        <v>1</v>
      </c>
      <c r="I298" s="32" t="str">
        <f>IFERROR(VLOOKUP(F298,Productos!$A$2:$D$258,3,0)," ")</f>
        <v>Superficie</v>
      </c>
      <c r="J298" s="139" t="s">
        <v>40</v>
      </c>
      <c r="K298" s="139" t="s">
        <v>40</v>
      </c>
      <c r="L298" s="26" t="str">
        <f t="shared" si="29"/>
        <v>Despachado</v>
      </c>
      <c r="M298" s="56" t="s">
        <v>238</v>
      </c>
      <c r="N298" s="139" t="s">
        <v>849</v>
      </c>
      <c r="O298" s="150">
        <v>45756.637002314812</v>
      </c>
      <c r="P298" s="151">
        <v>45758.608784722222</v>
      </c>
      <c r="Q298" s="24" t="str">
        <f t="shared" si="27"/>
        <v>Entregado</v>
      </c>
      <c r="R298" s="25">
        <f>IF(L298="Despachado",NETWORKDAYS.INTL(A298,O298,11,Valores!$A$2:$A$18)-1,"PTE")</f>
        <v>4</v>
      </c>
      <c r="S298" s="25">
        <f>IF(Q298="Entregado",NETWORKDAYS.INTL(A298,P298,11,Valores!$A$2:$A$18)-1,"PTE")</f>
        <v>6</v>
      </c>
      <c r="T298" s="25"/>
      <c r="U298" s="25"/>
      <c r="V298" s="25" t="str">
        <f>IF(Q298="Entregado",IF(S298&lt;=VLOOKUP(K298,Valores!E:F,2,0),"Cumple","No cumple"),"PTE")</f>
        <v>No cumple</v>
      </c>
      <c r="W298" s="25"/>
      <c r="X298" s="29">
        <v>38578</v>
      </c>
      <c r="Y298" s="224"/>
      <c r="Z298" s="28"/>
    </row>
    <row r="299" spans="1:26" hidden="1" x14ac:dyDescent="0.3">
      <c r="A299" s="34">
        <v>45751</v>
      </c>
      <c r="B299" s="7" t="str">
        <f t="shared" si="31"/>
        <v>abril</v>
      </c>
      <c r="C299" s="27">
        <v>2510</v>
      </c>
      <c r="D299" s="23" t="s">
        <v>20</v>
      </c>
      <c r="E299" s="140" t="s">
        <v>818</v>
      </c>
      <c r="F299" s="40" t="s">
        <v>240</v>
      </c>
      <c r="G299" s="32" t="str">
        <f>IFERROR(VLOOKUP(F299,Productos!$A$2:$D$258,2,0)," ")</f>
        <v>Bandeja de cables</v>
      </c>
      <c r="H299" s="7">
        <v>1</v>
      </c>
      <c r="I299" s="32" t="str">
        <f>IFERROR(VLOOKUP(F299,Productos!$A$2:$D$258,3,0)," ")</f>
        <v>Accesorio</v>
      </c>
      <c r="J299" s="139" t="s">
        <v>40</v>
      </c>
      <c r="K299" s="139" t="s">
        <v>40</v>
      </c>
      <c r="L299" s="26" t="str">
        <f t="shared" si="29"/>
        <v>Despachado</v>
      </c>
      <c r="M299" s="56" t="s">
        <v>238</v>
      </c>
      <c r="N299" s="139" t="s">
        <v>850</v>
      </c>
      <c r="O299" s="150">
        <v>45756.637002314812</v>
      </c>
      <c r="P299" s="151">
        <v>45758.608784722222</v>
      </c>
      <c r="Q299" s="24" t="str">
        <f t="shared" si="27"/>
        <v>Entregado</v>
      </c>
      <c r="R299" s="25">
        <f>IF(L299="Despachado",NETWORKDAYS.INTL(A299,O299,11,Valores!$A$2:$A$18)-1,"PTE")</f>
        <v>4</v>
      </c>
      <c r="S299" s="25">
        <f>IF(Q299="Entregado",NETWORKDAYS.INTL(A299,P299,11,Valores!$A$2:$A$18)-1,"PTE")</f>
        <v>6</v>
      </c>
      <c r="T299" s="25"/>
      <c r="U299" s="25"/>
      <c r="V299" s="25" t="str">
        <f>IF(Q299="Entregado",IF(S299&lt;=VLOOKUP(K299,Valores!E:F,2,0),"Cumple","No cumple"),"PTE")</f>
        <v>No cumple</v>
      </c>
      <c r="W299" s="25"/>
      <c r="X299" s="29">
        <v>22920</v>
      </c>
      <c r="Y299" s="224"/>
      <c r="Z299" s="28"/>
    </row>
    <row r="300" spans="1:26" hidden="1" x14ac:dyDescent="0.3">
      <c r="A300" s="34">
        <v>45752</v>
      </c>
      <c r="B300" s="7" t="str">
        <f t="shared" si="31"/>
        <v>abril</v>
      </c>
      <c r="C300" s="27">
        <v>2511</v>
      </c>
      <c r="D300" s="23" t="s">
        <v>20</v>
      </c>
      <c r="E300" s="140" t="s">
        <v>819</v>
      </c>
      <c r="F300" s="22" t="s">
        <v>129</v>
      </c>
      <c r="G300" s="32" t="str">
        <f>IFERROR(VLOOKUP(F300,Productos!$A$2:$D$258,2,0)," ")</f>
        <v>Electric Standing Desk  PRO Negro</v>
      </c>
      <c r="H300" s="7">
        <v>1</v>
      </c>
      <c r="I300" s="32" t="str">
        <f>IFERROR(VLOOKUP(F300,Productos!$A$2:$D$258,3,0)," ")</f>
        <v>Standing Desk</v>
      </c>
      <c r="J300" s="139" t="s">
        <v>222</v>
      </c>
      <c r="K300" s="139" t="s">
        <v>223</v>
      </c>
      <c r="L300" s="26" t="str">
        <f t="shared" si="29"/>
        <v>Despachado</v>
      </c>
      <c r="M300" s="56" t="s">
        <v>238</v>
      </c>
      <c r="N300" s="139" t="s">
        <v>851</v>
      </c>
      <c r="O300" s="150">
        <v>45754.678553240738</v>
      </c>
      <c r="P300" s="151">
        <v>45756.725949074083</v>
      </c>
      <c r="Q300" s="24" t="str">
        <f t="shared" si="27"/>
        <v>Entregado</v>
      </c>
      <c r="R300" s="25">
        <f>IF(L300="Despachado",NETWORKDAYS.INTL(A300,O300,11,Valores!$A$2:$A$18)-1,"PTE")</f>
        <v>1</v>
      </c>
      <c r="S300" s="25">
        <f>IF(Q300="Entregado",NETWORKDAYS.INTL(A300,P300,11,Valores!$A$2:$A$18)-1,"PTE")</f>
        <v>3</v>
      </c>
      <c r="T300" s="25"/>
      <c r="U300" s="25"/>
      <c r="V300" s="25" t="str">
        <f>IF(Q300="Entregado",IF(S300&lt;=VLOOKUP(K300,Valores!E:F,2,0),"Cumple","No cumple"),"PTE")</f>
        <v>Cumple</v>
      </c>
      <c r="W300" s="25"/>
      <c r="X300" s="29">
        <v>47787</v>
      </c>
      <c r="Y300" s="224"/>
      <c r="Z300" s="28"/>
    </row>
    <row r="301" spans="1:26" hidden="1" x14ac:dyDescent="0.3">
      <c r="A301" s="34">
        <v>45752</v>
      </c>
      <c r="B301" s="7" t="str">
        <f t="shared" si="31"/>
        <v>abril</v>
      </c>
      <c r="C301" s="27">
        <v>2511</v>
      </c>
      <c r="D301" s="23" t="s">
        <v>20</v>
      </c>
      <c r="E301" s="140" t="s">
        <v>819</v>
      </c>
      <c r="F301" s="22" t="s">
        <v>310</v>
      </c>
      <c r="G301" s="32" t="str">
        <f>IFERROR(VLOOKUP(F301,Productos!$A$2:$D$258,2,0)," ")</f>
        <v>Superficie  Fresno Europeo 160x70 Moderno</v>
      </c>
      <c r="H301" s="7">
        <v>1</v>
      </c>
      <c r="I301" s="32" t="str">
        <f>IFERROR(VLOOKUP(F301,Productos!$A$2:$D$258,3,0)," ")</f>
        <v>Superficie</v>
      </c>
      <c r="J301" s="139" t="s">
        <v>222</v>
      </c>
      <c r="K301" s="139" t="s">
        <v>223</v>
      </c>
      <c r="L301" s="26" t="str">
        <f t="shared" si="29"/>
        <v>Despachado</v>
      </c>
      <c r="M301" s="56" t="s">
        <v>238</v>
      </c>
      <c r="N301" s="139" t="s">
        <v>852</v>
      </c>
      <c r="O301" s="150">
        <v>45754.677256944437</v>
      </c>
      <c r="P301" s="151">
        <v>45756.748182870368</v>
      </c>
      <c r="Q301" s="24" t="str">
        <f t="shared" si="27"/>
        <v>Entregado</v>
      </c>
      <c r="R301" s="25">
        <f>IF(L301="Despachado",NETWORKDAYS.INTL(A301,O301,11,Valores!$A$2:$A$18)-1,"PTE")</f>
        <v>1</v>
      </c>
      <c r="S301" s="25">
        <f>IF(Q301="Entregado",NETWORKDAYS.INTL(A301,P301,11,Valores!$A$2:$A$18)-1,"PTE")</f>
        <v>3</v>
      </c>
      <c r="T301" s="25"/>
      <c r="U301" s="25"/>
      <c r="V301" s="25" t="str">
        <f>IF(Q301="Entregado",IF(S301&lt;=VLOOKUP(K301,Valores!E:F,2,0),"Cumple","No cumple"),"PTE")</f>
        <v>Cumple</v>
      </c>
      <c r="W301" s="25"/>
      <c r="X301" s="29">
        <v>38578</v>
      </c>
      <c r="Y301" s="224"/>
      <c r="Z301" s="28"/>
    </row>
    <row r="302" spans="1:26" hidden="1" x14ac:dyDescent="0.3">
      <c r="A302" s="34">
        <v>45752</v>
      </c>
      <c r="B302" s="7" t="str">
        <f t="shared" si="31"/>
        <v>abril</v>
      </c>
      <c r="C302" s="27">
        <v>2512</v>
      </c>
      <c r="D302" s="23" t="s">
        <v>20</v>
      </c>
      <c r="E302" s="140" t="s">
        <v>820</v>
      </c>
      <c r="F302" s="40" t="s">
        <v>133</v>
      </c>
      <c r="G302" s="32" t="str">
        <f>IFERROR(VLOOKUP(F302,Productos!$A$2:$D$258,2,0)," ")</f>
        <v>Electric Standing Desk  PRO Blanco</v>
      </c>
      <c r="H302" s="7">
        <v>1</v>
      </c>
      <c r="I302" s="32" t="str">
        <f>IFERROR(VLOOKUP(F302,Productos!$A$2:$D$258,3,0)," ")</f>
        <v>Standing Desk</v>
      </c>
      <c r="J302" s="139" t="s">
        <v>21</v>
      </c>
      <c r="K302" s="139" t="s">
        <v>22</v>
      </c>
      <c r="L302" s="26" t="str">
        <f t="shared" si="29"/>
        <v>Despachado</v>
      </c>
      <c r="M302" s="56" t="s">
        <v>238</v>
      </c>
      <c r="N302" s="139" t="s">
        <v>853</v>
      </c>
      <c r="O302" s="150">
        <v>45754.678553240738</v>
      </c>
      <c r="P302" s="151">
        <v>45756.650266203702</v>
      </c>
      <c r="Q302" s="24" t="str">
        <f t="shared" si="27"/>
        <v>Entregado</v>
      </c>
      <c r="R302" s="25">
        <f>IF(L302="Despachado",NETWORKDAYS.INTL(A302,O302,11,Valores!$A$2:$A$18)-1,"PTE")</f>
        <v>1</v>
      </c>
      <c r="S302" s="25">
        <f>IF(Q302="Entregado",NETWORKDAYS.INTL(A302,P302,11,Valores!$A$2:$A$18)-1,"PTE")</f>
        <v>3</v>
      </c>
      <c r="T302" s="25"/>
      <c r="U302" s="25"/>
      <c r="V302" s="25" t="str">
        <f>IF(Q302="Entregado",IF(S302&lt;=VLOOKUP(K302,Valores!E:F,2,0),"Cumple","No cumple"),"PTE")</f>
        <v>Cumple</v>
      </c>
      <c r="W302" s="25"/>
      <c r="X302" s="29">
        <v>28241</v>
      </c>
      <c r="Y302" s="224"/>
      <c r="Z302" s="28"/>
    </row>
    <row r="303" spans="1:26" hidden="1" x14ac:dyDescent="0.3">
      <c r="A303" s="34">
        <v>45752</v>
      </c>
      <c r="B303" s="7" t="str">
        <f t="shared" si="31"/>
        <v>abril</v>
      </c>
      <c r="C303" s="27">
        <v>2512</v>
      </c>
      <c r="D303" s="23" t="s">
        <v>20</v>
      </c>
      <c r="E303" s="140" t="s">
        <v>820</v>
      </c>
      <c r="F303" s="40" t="s">
        <v>155</v>
      </c>
      <c r="G303" s="32" t="str">
        <f>IFERROR(VLOOKUP(F303,Productos!$A$2:$D$258,2,0)," ")</f>
        <v>Superficie  Roble Negro 160x70 Clasico</v>
      </c>
      <c r="H303" s="7">
        <v>1</v>
      </c>
      <c r="I303" s="32" t="str">
        <f>IFERROR(VLOOKUP(F303,Productos!$A$2:$D$258,3,0)," ")</f>
        <v>Superficie</v>
      </c>
      <c r="J303" s="139" t="s">
        <v>21</v>
      </c>
      <c r="K303" s="139" t="s">
        <v>22</v>
      </c>
      <c r="L303" s="26" t="str">
        <f t="shared" si="29"/>
        <v>Despachado</v>
      </c>
      <c r="M303" s="56" t="s">
        <v>238</v>
      </c>
      <c r="N303" s="139" t="s">
        <v>854</v>
      </c>
      <c r="O303" s="150">
        <v>45754.677256944437</v>
      </c>
      <c r="P303" s="151">
        <v>45756.650266203702</v>
      </c>
      <c r="Q303" s="24" t="str">
        <f t="shared" si="27"/>
        <v>Entregado</v>
      </c>
      <c r="R303" s="25">
        <f>IF(L303="Despachado",NETWORKDAYS.INTL(A303,O303,11,Valores!$A$2:$A$18)-1,"PTE")</f>
        <v>1</v>
      </c>
      <c r="S303" s="25">
        <f>IF(Q303="Entregado",NETWORKDAYS.INTL(A303,P303,11,Valores!$A$2:$A$18)-1,"PTE")</f>
        <v>3</v>
      </c>
      <c r="T303" s="25"/>
      <c r="U303" s="25"/>
      <c r="V303" s="25" t="str">
        <f>IF(Q303="Entregado",IF(S303&lt;=VLOOKUP(K303,Valores!E:F,2,0),"Cumple","No cumple"),"PTE")</f>
        <v>Cumple</v>
      </c>
      <c r="W303" s="25"/>
      <c r="X303" s="29">
        <v>23593</v>
      </c>
      <c r="Y303" s="224"/>
      <c r="Z303" s="28"/>
    </row>
    <row r="304" spans="1:26" hidden="1" x14ac:dyDescent="0.3">
      <c r="A304" s="34">
        <v>45754</v>
      </c>
      <c r="B304" s="7" t="str">
        <f t="shared" si="31"/>
        <v>abril</v>
      </c>
      <c r="C304" s="27">
        <v>2513</v>
      </c>
      <c r="D304" s="23" t="s">
        <v>20</v>
      </c>
      <c r="E304" s="140" t="s">
        <v>821</v>
      </c>
      <c r="F304" s="40" t="s">
        <v>127</v>
      </c>
      <c r="G304" s="32" t="str">
        <f>IFERROR(VLOOKUP(F304,Productos!$A$2:$D$258,2,0)," ")</f>
        <v>Electric Standing Desk GO Blanco</v>
      </c>
      <c r="H304" s="7">
        <v>1</v>
      </c>
      <c r="I304" s="32" t="str">
        <f>IFERROR(VLOOKUP(F304,Productos!$A$2:$D$258,3,0)," ")</f>
        <v>Standing Desk</v>
      </c>
      <c r="J304" s="139" t="s">
        <v>21</v>
      </c>
      <c r="K304" s="139" t="s">
        <v>201</v>
      </c>
      <c r="L304" s="26" t="str">
        <f t="shared" ref="L304:L310" si="32">IF(O304&gt;0,"Despachado","En alistamiento")</f>
        <v>Despachado</v>
      </c>
      <c r="M304" s="56" t="s">
        <v>238</v>
      </c>
      <c r="N304" s="139" t="s">
        <v>855</v>
      </c>
      <c r="O304" s="150">
        <v>45754.678553240738</v>
      </c>
      <c r="P304" s="151">
        <v>45756.803506944438</v>
      </c>
      <c r="Q304" s="24" t="str">
        <f t="shared" si="27"/>
        <v>Entregado</v>
      </c>
      <c r="R304" s="25">
        <f>IF(L304="Despachado",NETWORKDAYS.INTL(A304,O304,11,Valores!$A$2:$A$18)-1,"PTE")</f>
        <v>0</v>
      </c>
      <c r="S304" s="25">
        <f>IF(Q304="Entregado",NETWORKDAYS.INTL(A304,P304,11,Valores!$A$2:$A$18)-1,"PTE")</f>
        <v>2</v>
      </c>
      <c r="T304" s="25"/>
      <c r="U304" s="25"/>
      <c r="V304" s="25" t="str">
        <f>IF(Q304="Entregado",IF(S304&lt;=VLOOKUP(K304,Valores!E:F,2,0),"Cumple","No cumple"),"PTE")</f>
        <v>Cumple</v>
      </c>
      <c r="W304" s="25"/>
      <c r="X304" s="29">
        <v>39191</v>
      </c>
      <c r="Y304" s="224"/>
      <c r="Z304" s="28"/>
    </row>
    <row r="305" spans="1:26" hidden="1" x14ac:dyDescent="0.3">
      <c r="A305" s="34">
        <v>45754</v>
      </c>
      <c r="B305" s="7" t="str">
        <f t="shared" si="31"/>
        <v>abril</v>
      </c>
      <c r="C305" s="27">
        <v>2513</v>
      </c>
      <c r="D305" s="23" t="s">
        <v>20</v>
      </c>
      <c r="E305" s="140" t="s">
        <v>821</v>
      </c>
      <c r="F305" s="40" t="s">
        <v>301</v>
      </c>
      <c r="G305" s="32" t="str">
        <f>IFERROR(VLOOKUP(F305,Productos!$A$2:$D$258,2,0)," ")</f>
        <v>Superficie  Fresno Europeo 120x70 Clasico Small</v>
      </c>
      <c r="H305" s="7">
        <v>1</v>
      </c>
      <c r="I305" s="32" t="str">
        <f>IFERROR(VLOOKUP(F305,Productos!$A$2:$D$258,3,0)," ")</f>
        <v>Superficie</v>
      </c>
      <c r="J305" s="139" t="s">
        <v>21</v>
      </c>
      <c r="K305" s="139" t="s">
        <v>201</v>
      </c>
      <c r="L305" s="26" t="str">
        <f t="shared" si="32"/>
        <v>Despachado</v>
      </c>
      <c r="M305" s="56" t="s">
        <v>238</v>
      </c>
      <c r="N305" s="139" t="s">
        <v>856</v>
      </c>
      <c r="O305" s="150">
        <v>45754.677256944437</v>
      </c>
      <c r="P305" s="151">
        <v>45756.803506944438</v>
      </c>
      <c r="Q305" s="24" t="str">
        <f t="shared" si="27"/>
        <v>Entregado</v>
      </c>
      <c r="R305" s="25">
        <f>IF(L305="Despachado",NETWORKDAYS.INTL(A305,O305,11,Valores!$A$2:$A$18)-1,"PTE")</f>
        <v>0</v>
      </c>
      <c r="S305" s="25">
        <f>IF(Q305="Entregado",NETWORKDAYS.INTL(A305,P305,11,Valores!$A$2:$A$18)-1,"PTE")</f>
        <v>2</v>
      </c>
      <c r="T305" s="25"/>
      <c r="U305" s="25"/>
      <c r="V305" s="25" t="str">
        <f>IF(Q305="Entregado",IF(S305&lt;=VLOOKUP(K305,Valores!E:F,2,0),"Cumple","No cumple"),"PTE")</f>
        <v>Cumple</v>
      </c>
      <c r="W305" s="25"/>
      <c r="X305" s="29">
        <v>33679</v>
      </c>
      <c r="Y305" s="224"/>
      <c r="Z305" s="28"/>
    </row>
    <row r="306" spans="1:26" hidden="1" x14ac:dyDescent="0.3">
      <c r="A306" s="34">
        <v>45754</v>
      </c>
      <c r="B306" s="7" t="str">
        <f t="shared" ref="B306:B320" si="33">TEXT(A306,"mmmm")</f>
        <v>abril</v>
      </c>
      <c r="C306" s="27">
        <v>2514</v>
      </c>
      <c r="D306" s="23" t="s">
        <v>20</v>
      </c>
      <c r="E306" s="140" t="s">
        <v>822</v>
      </c>
      <c r="F306" s="40" t="s">
        <v>123</v>
      </c>
      <c r="G306" s="32" t="str">
        <f>IFERROR(VLOOKUP(F306,Productos!$A$2:$D$258,2,0)," ")</f>
        <v>Electric Standing Desk GO Negro</v>
      </c>
      <c r="H306" s="7">
        <v>1</v>
      </c>
      <c r="I306" s="32" t="str">
        <f>IFERROR(VLOOKUP(F306,Productos!$A$2:$D$258,3,0)," ")</f>
        <v>Standing Desk</v>
      </c>
      <c r="J306" s="139" t="s">
        <v>21</v>
      </c>
      <c r="K306" s="139" t="s">
        <v>22</v>
      </c>
      <c r="L306" s="26" t="str">
        <f t="shared" si="32"/>
        <v>Despachado</v>
      </c>
      <c r="M306" s="56" t="s">
        <v>238</v>
      </c>
      <c r="N306" s="139" t="s">
        <v>860</v>
      </c>
      <c r="O306" s="150">
        <v>45754.678553240738</v>
      </c>
      <c r="P306" s="151">
        <v>45757.472893518519</v>
      </c>
      <c r="Q306" s="24" t="str">
        <f t="shared" si="27"/>
        <v>Entregado</v>
      </c>
      <c r="R306" s="25">
        <f>IF(L306="Despachado",NETWORKDAYS.INTL(A306,O306,11,Valores!$A$2:$A$18)-1,"PTE")</f>
        <v>0</v>
      </c>
      <c r="S306" s="25">
        <f>IF(Q306="Entregado",NETWORKDAYS.INTL(A306,P306,11,Valores!$A$2:$A$18)-1,"PTE")</f>
        <v>3</v>
      </c>
      <c r="T306" s="25"/>
      <c r="U306" s="25"/>
      <c r="V306" s="25" t="str">
        <f>IF(Q306="Entregado",IF(S306&lt;=VLOOKUP(K306,Valores!E:F,2,0),"Cumple","No cumple"),"PTE")</f>
        <v>Cumple</v>
      </c>
      <c r="W306" s="25"/>
      <c r="X306" s="29">
        <v>26913</v>
      </c>
      <c r="Y306" s="224"/>
      <c r="Z306" s="28"/>
    </row>
    <row r="307" spans="1:26" hidden="1" x14ac:dyDescent="0.3">
      <c r="A307" s="34">
        <v>45754</v>
      </c>
      <c r="B307" s="7" t="str">
        <f t="shared" si="33"/>
        <v>abril</v>
      </c>
      <c r="C307" s="27">
        <v>2514</v>
      </c>
      <c r="D307" s="23" t="s">
        <v>20</v>
      </c>
      <c r="E307" s="140" t="s">
        <v>822</v>
      </c>
      <c r="F307" s="40" t="s">
        <v>107</v>
      </c>
      <c r="G307" s="32" t="str">
        <f>IFERROR(VLOOKUP(F307,Productos!$A$2:$D$258,2,0)," ")</f>
        <v>Superficie  Caramelo 120x70 Clasico Small</v>
      </c>
      <c r="H307" s="7">
        <v>1</v>
      </c>
      <c r="I307" s="32" t="str">
        <f>IFERROR(VLOOKUP(F307,Productos!$A$2:$D$258,3,0)," ")</f>
        <v>Superficie</v>
      </c>
      <c r="J307" s="139" t="s">
        <v>21</v>
      </c>
      <c r="K307" s="139" t="s">
        <v>22</v>
      </c>
      <c r="L307" s="26" t="str">
        <f t="shared" si="32"/>
        <v>Despachado</v>
      </c>
      <c r="M307" s="56" t="s">
        <v>238</v>
      </c>
      <c r="N307" s="139" t="s">
        <v>861</v>
      </c>
      <c r="O307" s="150">
        <v>45754.677256944437</v>
      </c>
      <c r="P307" s="151">
        <v>45757.472881944443</v>
      </c>
      <c r="Q307" s="24" t="str">
        <f t="shared" si="27"/>
        <v>Entregado</v>
      </c>
      <c r="R307" s="25">
        <f>IF(L307="Despachado",NETWORKDAYS.INTL(A307,O307,11,Valores!$A$2:$A$18)-1,"PTE")</f>
        <v>0</v>
      </c>
      <c r="S307" s="25">
        <f>IF(Q307="Entregado",NETWORKDAYS.INTL(A307,P307,11,Valores!$A$2:$A$18)-1,"PTE")</f>
        <v>3</v>
      </c>
      <c r="T307" s="25"/>
      <c r="U307" s="25"/>
      <c r="V307" s="25" t="str">
        <f>IF(Q307="Entregado",IF(S307&lt;=VLOOKUP(K307,Valores!E:F,2,0),"Cumple","No cumple"),"PTE")</f>
        <v>Cumple</v>
      </c>
      <c r="W307" s="25"/>
      <c r="X307" s="29">
        <v>23593</v>
      </c>
      <c r="Y307" s="224"/>
      <c r="Z307" s="28"/>
    </row>
    <row r="308" spans="1:26" hidden="1" x14ac:dyDescent="0.3">
      <c r="A308" s="34">
        <v>45754</v>
      </c>
      <c r="B308" s="7" t="str">
        <f t="shared" si="33"/>
        <v>abril</v>
      </c>
      <c r="C308" s="27">
        <v>2514</v>
      </c>
      <c r="D308" s="23" t="s">
        <v>20</v>
      </c>
      <c r="E308" s="140" t="s">
        <v>822</v>
      </c>
      <c r="F308" s="22" t="s">
        <v>68</v>
      </c>
      <c r="G308" s="32" t="str">
        <f>IFERROR(VLOOKUP(F308,Productos!$A$2:$D$258,2,0)," ")</f>
        <v>Archivador TECU  Caramelo</v>
      </c>
      <c r="H308" s="7">
        <v>1</v>
      </c>
      <c r="I308" s="32" t="str">
        <f>IFERROR(VLOOKUP(F308,Productos!$A$2:$D$258,3,0)," ")</f>
        <v>Archivador</v>
      </c>
      <c r="J308" s="139" t="s">
        <v>21</v>
      </c>
      <c r="K308" s="139" t="s">
        <v>22</v>
      </c>
      <c r="L308" s="26" t="str">
        <f t="shared" si="32"/>
        <v>Despachado</v>
      </c>
      <c r="M308" s="56" t="s">
        <v>239</v>
      </c>
      <c r="N308" s="139" t="s">
        <v>857</v>
      </c>
      <c r="O308" s="150">
        <v>45755.720833333333</v>
      </c>
      <c r="P308" s="151">
        <v>45756.688888888893</v>
      </c>
      <c r="Q308" s="24" t="str">
        <f t="shared" si="27"/>
        <v>Entregado</v>
      </c>
      <c r="R308" s="25">
        <f>IF(L308="Despachado",NETWORKDAYS.INTL(A308,O308,11,Valores!$A$2:$A$18)-1,"PTE")</f>
        <v>1</v>
      </c>
      <c r="S308" s="25">
        <f>IF(Q308="Entregado",NETWORKDAYS.INTL(A308,P308,11,Valores!$A$2:$A$18)-1,"PTE")</f>
        <v>2</v>
      </c>
      <c r="T308" s="25"/>
      <c r="U308" s="25"/>
      <c r="V308" s="25" t="str">
        <f>IF(Q308="Entregado",IF(S308&lt;=VLOOKUP(K308,Valores!E:F,2,0),"Cumple","No cumple"),"PTE")</f>
        <v>Cumple</v>
      </c>
      <c r="W308" s="25"/>
      <c r="X308" s="29">
        <v>54929</v>
      </c>
      <c r="Y308" s="224"/>
      <c r="Z308" s="28"/>
    </row>
    <row r="309" spans="1:26" hidden="1" x14ac:dyDescent="0.3">
      <c r="A309" s="34">
        <v>45754</v>
      </c>
      <c r="B309" s="7" t="str">
        <f t="shared" si="33"/>
        <v>abril</v>
      </c>
      <c r="C309" s="27">
        <v>2514</v>
      </c>
      <c r="D309" s="23" t="s">
        <v>20</v>
      </c>
      <c r="E309" s="140" t="s">
        <v>822</v>
      </c>
      <c r="F309" s="22" t="s">
        <v>74</v>
      </c>
      <c r="G309" s="32" t="str">
        <f>IFERROR(VLOOKUP(F309,Productos!$A$2:$D$258,2,0)," ")</f>
        <v>Repisa Caramelo</v>
      </c>
      <c r="H309" s="7">
        <v>1</v>
      </c>
      <c r="I309" s="32" t="str">
        <f>IFERROR(VLOOKUP(F309,Productos!$A$2:$D$258,3,0)," ")</f>
        <v>Repisa</v>
      </c>
      <c r="J309" s="139" t="s">
        <v>21</v>
      </c>
      <c r="K309" s="139" t="s">
        <v>22</v>
      </c>
      <c r="L309" s="26" t="str">
        <f t="shared" si="32"/>
        <v>Despachado</v>
      </c>
      <c r="M309" s="56" t="s">
        <v>238</v>
      </c>
      <c r="N309" s="139" t="s">
        <v>858</v>
      </c>
      <c r="O309" s="150">
        <v>45754.678553240738</v>
      </c>
      <c r="P309" s="151">
        <v>45756.454664351862</v>
      </c>
      <c r="Q309" s="24" t="str">
        <f t="shared" si="27"/>
        <v>Entregado</v>
      </c>
      <c r="R309" s="25">
        <f>IF(L309="Despachado",NETWORKDAYS.INTL(A309,O309,11,Valores!$A$2:$A$18)-1,"PTE")</f>
        <v>0</v>
      </c>
      <c r="S309" s="25">
        <f>IF(Q309="Entregado",NETWORKDAYS.INTL(A309,P309,11,Valores!$A$2:$A$18)-1,"PTE")</f>
        <v>2</v>
      </c>
      <c r="T309" s="25"/>
      <c r="U309" s="25"/>
      <c r="V309" s="25" t="str">
        <f>IF(Q309="Entregado",IF(S309&lt;=VLOOKUP(K309,Valores!E:F,2,0),"Cumple","No cumple"),"PTE")</f>
        <v>Cumple</v>
      </c>
      <c r="W309" s="25"/>
      <c r="X309" s="29">
        <v>22929</v>
      </c>
      <c r="Y309" s="224"/>
      <c r="Z309" s="28"/>
    </row>
    <row r="310" spans="1:26" hidden="1" x14ac:dyDescent="0.3">
      <c r="A310" s="34">
        <v>45754</v>
      </c>
      <c r="B310" s="7" t="str">
        <f t="shared" si="33"/>
        <v>abril</v>
      </c>
      <c r="C310" s="27">
        <v>2514</v>
      </c>
      <c r="D310" s="23" t="s">
        <v>20</v>
      </c>
      <c r="E310" s="140" t="s">
        <v>822</v>
      </c>
      <c r="F310" s="40" t="s">
        <v>240</v>
      </c>
      <c r="G310" s="32" t="str">
        <f>IFERROR(VLOOKUP(F310,Productos!$A$2:$D$258,2,0)," ")</f>
        <v>Bandeja de cables</v>
      </c>
      <c r="H310" s="7">
        <v>1</v>
      </c>
      <c r="I310" s="32" t="str">
        <f>IFERROR(VLOOKUP(F310,Productos!$A$2:$D$258,3,0)," ")</f>
        <v>Accesorio</v>
      </c>
      <c r="J310" s="139" t="s">
        <v>21</v>
      </c>
      <c r="K310" s="139" t="s">
        <v>22</v>
      </c>
      <c r="L310" s="26" t="str">
        <f t="shared" si="32"/>
        <v>Despachado</v>
      </c>
      <c r="M310" s="56" t="s">
        <v>238</v>
      </c>
      <c r="N310" s="139" t="s">
        <v>859</v>
      </c>
      <c r="O310" s="150">
        <v>45754.678553240738</v>
      </c>
      <c r="P310" s="151">
        <v>45756.454664351862</v>
      </c>
      <c r="Q310" s="24" t="str">
        <f t="shared" si="27"/>
        <v>Entregado</v>
      </c>
      <c r="R310" s="25">
        <f>IF(L310="Despachado",NETWORKDAYS.INTL(A310,O310,11,Valores!$A$2:$A$18)-1,"PTE")</f>
        <v>0</v>
      </c>
      <c r="S310" s="25">
        <f>IF(Q310="Entregado",NETWORKDAYS.INTL(A310,P310,11,Valores!$A$2:$A$18)-1,"PTE")</f>
        <v>2</v>
      </c>
      <c r="T310" s="25"/>
      <c r="U310" s="25"/>
      <c r="V310" s="25" t="str">
        <f>IF(Q310="Entregado",IF(S310&lt;=VLOOKUP(K310,Valores!E:F,2,0),"Cumple","No cumple"),"PTE")</f>
        <v>Cumple</v>
      </c>
      <c r="W310" s="25"/>
      <c r="X310" s="29">
        <v>22920</v>
      </c>
      <c r="Y310" s="224"/>
      <c r="Z310" s="28"/>
    </row>
    <row r="311" spans="1:26" hidden="1" x14ac:dyDescent="0.3">
      <c r="A311" s="34">
        <v>45755</v>
      </c>
      <c r="B311" s="7" t="str">
        <f t="shared" si="33"/>
        <v>abril</v>
      </c>
      <c r="C311" s="27">
        <v>2515</v>
      </c>
      <c r="D311" s="23" t="s">
        <v>20</v>
      </c>
      <c r="E311" s="142" t="s">
        <v>823</v>
      </c>
      <c r="F311" s="40" t="s">
        <v>732</v>
      </c>
      <c r="G311" s="32" t="str">
        <f>IFERROR(VLOOKUP(F311,Productos!$A$2:$D$258,2,0)," ")</f>
        <v>Electric Standing Desk  PRO Negro circular</v>
      </c>
      <c r="H311" s="7">
        <v>1</v>
      </c>
      <c r="I311" s="32" t="str">
        <f>IFERROR(VLOOKUP(F311,Productos!$A$2:$D$258,3,0)," ")</f>
        <v>Standing Desk</v>
      </c>
      <c r="J311" s="139" t="s">
        <v>21</v>
      </c>
      <c r="K311" s="139" t="s">
        <v>22</v>
      </c>
      <c r="L311" s="26" t="str">
        <f>IF(O311&gt;0,"Despachado","En alistamiento")</f>
        <v>Despachado</v>
      </c>
      <c r="M311" s="56" t="s">
        <v>238</v>
      </c>
      <c r="N311" s="139" t="s">
        <v>862</v>
      </c>
      <c r="O311" s="150">
        <v>45755.718148148153</v>
      </c>
      <c r="P311" s="151">
        <v>45757.456134259257</v>
      </c>
      <c r="Q311" s="24" t="str">
        <f t="shared" si="27"/>
        <v>Entregado</v>
      </c>
      <c r="R311" s="25">
        <f>IF(L311="Despachado",NETWORKDAYS.INTL(A311,O311,11,Valores!$A$2:$A$18)-1,"PTE")</f>
        <v>0</v>
      </c>
      <c r="S311" s="25">
        <f>IF(Q311="Entregado",NETWORKDAYS.INTL(A311,P311,11,Valores!$A$2:$A$18)-1,"PTE")</f>
        <v>2</v>
      </c>
      <c r="T311" s="25"/>
      <c r="U311" s="25"/>
      <c r="V311" s="25" t="str">
        <f>IF(Q311="Entregado",IF(S311&lt;=VLOOKUP(K311,Valores!E:F,2,0),"Cumple","No cumple"),"PTE")</f>
        <v>Cumple</v>
      </c>
      <c r="W311" s="25"/>
      <c r="X311" s="29">
        <v>28241</v>
      </c>
      <c r="Y311" s="224"/>
      <c r="Z311" s="28"/>
    </row>
    <row r="312" spans="1:26" hidden="1" x14ac:dyDescent="0.3">
      <c r="A312" s="34">
        <v>45755</v>
      </c>
      <c r="B312" s="7" t="str">
        <f t="shared" si="33"/>
        <v>abril</v>
      </c>
      <c r="C312" s="27">
        <v>2515</v>
      </c>
      <c r="D312" s="23" t="s">
        <v>20</v>
      </c>
      <c r="E312" s="142" t="s">
        <v>823</v>
      </c>
      <c r="F312" s="40" t="s">
        <v>305</v>
      </c>
      <c r="G312" s="32" t="str">
        <f>IFERROR(VLOOKUP(F312,Productos!$A$2:$D$258,2,0)," ")</f>
        <v>Superficie  Fresno Europeo 160x70 Clasico</v>
      </c>
      <c r="H312" s="7">
        <v>1</v>
      </c>
      <c r="I312" s="32" t="str">
        <f>IFERROR(VLOOKUP(F312,Productos!$A$2:$D$258,3,0)," ")</f>
        <v>Superficie</v>
      </c>
      <c r="J312" s="139" t="s">
        <v>21</v>
      </c>
      <c r="K312" s="139" t="s">
        <v>22</v>
      </c>
      <c r="L312" s="26" t="str">
        <f>IF(O312&gt;0,"Despachado","En alistamiento")</f>
        <v>Despachado</v>
      </c>
      <c r="M312" s="56" t="s">
        <v>238</v>
      </c>
      <c r="N312" s="139" t="s">
        <v>863</v>
      </c>
      <c r="O312" s="150">
        <v>45755.718148148153</v>
      </c>
      <c r="P312" s="151">
        <v>45758.444675925923</v>
      </c>
      <c r="Q312" s="24" t="str">
        <f t="shared" si="27"/>
        <v>Entregado</v>
      </c>
      <c r="R312" s="25">
        <f>IF(L312="Despachado",NETWORKDAYS.INTL(A312,O312,11,Valores!$A$2:$A$18)-1,"PTE")</f>
        <v>0</v>
      </c>
      <c r="S312" s="25">
        <f>IF(Q312="Entregado",NETWORKDAYS.INTL(A312,P312,11,Valores!$A$2:$A$18)-1,"PTE")</f>
        <v>3</v>
      </c>
      <c r="T312" s="25"/>
      <c r="U312" s="25"/>
      <c r="V312" s="25" t="str">
        <f>IF(Q312="Entregado",IF(S312&lt;=VLOOKUP(K312,Valores!E:F,2,0),"Cumple","No cumple"),"PTE")</f>
        <v>Cumple</v>
      </c>
      <c r="W312" s="25"/>
      <c r="X312" s="29">
        <v>23593</v>
      </c>
      <c r="Y312" s="224"/>
      <c r="Z312" s="28"/>
    </row>
    <row r="313" spans="1:26" hidden="1" x14ac:dyDescent="0.3">
      <c r="A313" s="34">
        <v>45755</v>
      </c>
      <c r="B313" s="7" t="str">
        <f t="shared" si="33"/>
        <v>abril</v>
      </c>
      <c r="C313" s="27">
        <v>2515</v>
      </c>
      <c r="D313" s="23" t="s">
        <v>20</v>
      </c>
      <c r="E313" s="142" t="s">
        <v>823</v>
      </c>
      <c r="F313" s="40"/>
      <c r="G313" s="32" t="s">
        <v>1796</v>
      </c>
      <c r="H313" s="7">
        <v>1</v>
      </c>
      <c r="I313" s="32" t="s">
        <v>327</v>
      </c>
      <c r="J313" s="139" t="s">
        <v>21</v>
      </c>
      <c r="K313" s="139" t="s">
        <v>22</v>
      </c>
      <c r="L313" s="26" t="s">
        <v>327</v>
      </c>
      <c r="M313" s="56" t="s">
        <v>241</v>
      </c>
      <c r="N313" s="159" t="s">
        <v>241</v>
      </c>
      <c r="O313" s="150" t="s">
        <v>241</v>
      </c>
      <c r="P313" s="151" t="s">
        <v>241</v>
      </c>
      <c r="Q313" s="24" t="str">
        <f t="shared" si="27"/>
        <v>Entregado</v>
      </c>
      <c r="R313" s="25" t="str">
        <f>IF(L313="Despachado",NETWORKDAYS.INTL(A313,O313,11,Valores!$A$2:$A$18)-1,"PTE")</f>
        <v>PTE</v>
      </c>
      <c r="S313" s="25" t="e">
        <f>IF(Q313="Entregado",NETWORKDAYS.INTL(A313,P313,11,Valores!$A$2:$A$18)-1,"PTE")</f>
        <v>#VALUE!</v>
      </c>
      <c r="T313" s="25"/>
      <c r="U313" s="25"/>
      <c r="V313" s="25" t="e">
        <f>IF(Q313="Entregado",IF(S313&lt;=VLOOKUP(K313,Valores!E:F,2,0),"Cumple","No cumple"),"PTE")</f>
        <v>#VALUE!</v>
      </c>
      <c r="W313" s="25"/>
      <c r="X313" s="29">
        <v>0</v>
      </c>
      <c r="Y313" s="224"/>
      <c r="Z313" s="28"/>
    </row>
    <row r="314" spans="1:26" hidden="1" x14ac:dyDescent="0.3">
      <c r="A314" s="34">
        <v>45755</v>
      </c>
      <c r="B314" s="7" t="str">
        <f t="shared" si="33"/>
        <v>abril</v>
      </c>
      <c r="C314" s="27">
        <v>2516</v>
      </c>
      <c r="D314" s="23" t="s">
        <v>20</v>
      </c>
      <c r="E314" s="142" t="s">
        <v>824</v>
      </c>
      <c r="F314" s="22" t="s">
        <v>129</v>
      </c>
      <c r="G314" s="32" t="str">
        <f>IFERROR(VLOOKUP(F314,Productos!$A$2:$D$258,2,0)," ")</f>
        <v>Electric Standing Desk  PRO Negro</v>
      </c>
      <c r="H314" s="7">
        <v>1</v>
      </c>
      <c r="I314" s="32" t="str">
        <f>IFERROR(VLOOKUP(F314,Productos!$A$2:$D$258,3,0)," ")</f>
        <v>Standing Desk</v>
      </c>
      <c r="J314" s="139" t="s">
        <v>21</v>
      </c>
      <c r="K314" s="139" t="s">
        <v>22</v>
      </c>
      <c r="L314" s="26" t="str">
        <f t="shared" ref="L314:L324" si="34">IF(O314&gt;0,"Despachado","En alistamiento")</f>
        <v>Despachado</v>
      </c>
      <c r="M314" s="56" t="s">
        <v>238</v>
      </c>
      <c r="N314" s="157" t="s">
        <v>959</v>
      </c>
      <c r="O314" s="150">
        <v>45779</v>
      </c>
      <c r="P314" s="151">
        <v>45782</v>
      </c>
      <c r="Q314" s="24" t="str">
        <f t="shared" si="27"/>
        <v>Entregado</v>
      </c>
      <c r="R314" s="25">
        <f>IF(L314="Despachado",NETWORKDAYS.INTL(A314,O314,11,Valores!$A$2:$A$18)-1,"PTE")</f>
        <v>18</v>
      </c>
      <c r="S314" s="25">
        <f>IF(Q314="Entregado",NETWORKDAYS.INTL(A314,P314,11,Valores!$A$2:$A$18)-1,"PTE")</f>
        <v>20</v>
      </c>
      <c r="T314" s="25"/>
      <c r="U314" s="25"/>
      <c r="V314" s="25" t="str">
        <f>IF(Q314="Entregado",IF(S314&lt;=VLOOKUP(K314,Valores!E:F,2,0),"Cumple","No cumple"),"PTE")</f>
        <v>No cumple</v>
      </c>
      <c r="W314" s="25"/>
      <c r="X314" s="29">
        <v>42921</v>
      </c>
      <c r="Y314" s="224"/>
      <c r="Z314" s="28">
        <v>42921</v>
      </c>
    </row>
    <row r="315" spans="1:26" hidden="1" x14ac:dyDescent="0.3">
      <c r="A315" s="34">
        <v>45755</v>
      </c>
      <c r="B315" s="7" t="str">
        <f>TEXT(A315,"mmmm")</f>
        <v>abril</v>
      </c>
      <c r="C315" s="27">
        <v>2516</v>
      </c>
      <c r="D315" s="23" t="s">
        <v>20</v>
      </c>
      <c r="E315" s="142" t="s">
        <v>824</v>
      </c>
      <c r="F315" s="22" t="s">
        <v>129</v>
      </c>
      <c r="G315" s="32" t="str">
        <f>IFERROR(VLOOKUP(F315,Productos!$A$2:$D$258,2,0)," ")</f>
        <v>Electric Standing Desk  PRO Negro</v>
      </c>
      <c r="H315" s="7">
        <v>1</v>
      </c>
      <c r="I315" s="32" t="str">
        <f>IFERROR(VLOOKUP(F315,Productos!$A$2:$D$258,3,0)," ")</f>
        <v>Standing Desk</v>
      </c>
      <c r="J315" s="139" t="s">
        <v>21</v>
      </c>
      <c r="K315" s="139" t="s">
        <v>22</v>
      </c>
      <c r="L315" s="26" t="str">
        <f t="shared" si="34"/>
        <v>Despachado</v>
      </c>
      <c r="M315" s="56" t="s">
        <v>238</v>
      </c>
      <c r="N315" s="157" t="s">
        <v>963</v>
      </c>
      <c r="O315" s="150">
        <v>45779</v>
      </c>
      <c r="P315" s="151">
        <v>45782</v>
      </c>
      <c r="Q315" s="24" t="str">
        <f t="shared" si="27"/>
        <v>Entregado</v>
      </c>
      <c r="R315" s="25">
        <f>IF(L315="Despachado",NETWORKDAYS.INTL(A315,O315,11,Valores!$A$2:$A$18)-1,"PTE")</f>
        <v>18</v>
      </c>
      <c r="S315" s="25">
        <f>IF(Q315="Entregado",NETWORKDAYS.INTL(A315,P315,11,Valores!$A$2:$A$18)-1,"PTE")</f>
        <v>20</v>
      </c>
      <c r="T315" s="25"/>
      <c r="U315" s="25"/>
      <c r="V315" s="25" t="str">
        <f>IF(Q315="Entregado",IF(S315&lt;=VLOOKUP(K315,Valores!E:F,2,0),"Cumple","No cumple"),"PTE")</f>
        <v>No cumple</v>
      </c>
      <c r="W315" s="25"/>
      <c r="X315" s="29">
        <v>42921</v>
      </c>
      <c r="Y315" s="224"/>
      <c r="Z315" s="28">
        <v>42921</v>
      </c>
    </row>
    <row r="316" spans="1:26" hidden="1" x14ac:dyDescent="0.3">
      <c r="A316" s="34">
        <v>45755</v>
      </c>
      <c r="B316" s="7" t="str">
        <f t="shared" si="33"/>
        <v>abril</v>
      </c>
      <c r="C316" s="27">
        <v>2516</v>
      </c>
      <c r="D316" s="23" t="s">
        <v>20</v>
      </c>
      <c r="E316" s="142" t="s">
        <v>824</v>
      </c>
      <c r="F316" s="22" t="s">
        <v>26</v>
      </c>
      <c r="G316" s="32" t="str">
        <f>IFERROR(VLOOKUP(F316,Productos!$A$2:$D$258,2,0)," ")</f>
        <v>Superficie Caramelo 150x70 Clasico</v>
      </c>
      <c r="H316" s="7">
        <v>1</v>
      </c>
      <c r="I316" s="32" t="str">
        <f>IFERROR(VLOOKUP(F316,Productos!$A$2:$D$258,3,0)," ")</f>
        <v>Superficie</v>
      </c>
      <c r="J316" s="139" t="s">
        <v>21</v>
      </c>
      <c r="K316" s="139" t="s">
        <v>22</v>
      </c>
      <c r="L316" s="26" t="str">
        <f t="shared" si="34"/>
        <v>Despachado</v>
      </c>
      <c r="M316" s="56" t="s">
        <v>238</v>
      </c>
      <c r="N316" s="139" t="s">
        <v>960</v>
      </c>
      <c r="O316" s="150">
        <v>45779</v>
      </c>
      <c r="P316" s="151">
        <v>45782</v>
      </c>
      <c r="Q316" s="24" t="str">
        <f t="shared" si="27"/>
        <v>Entregado</v>
      </c>
      <c r="R316" s="25">
        <f>IF(L316="Despachado",NETWORKDAYS.INTL(A316,O316,11,Valores!$A$2:$A$18)-1,"PTE")</f>
        <v>18</v>
      </c>
      <c r="S316" s="25">
        <f>IF(Q316="Entregado",NETWORKDAYS.INTL(A316,P316,11,Valores!$A$2:$A$18)-1,"PTE")</f>
        <v>20</v>
      </c>
      <c r="T316" s="25"/>
      <c r="U316" s="25"/>
      <c r="V316" s="25" t="str">
        <f>IF(Q316="Entregado",IF(S316&lt;=VLOOKUP(K316,Valores!E:F,2,0),"Cumple","No cumple"),"PTE")</f>
        <v>No cumple</v>
      </c>
      <c r="W316" s="25"/>
      <c r="X316" s="29">
        <v>24093</v>
      </c>
      <c r="Y316" s="224"/>
      <c r="Z316" s="28">
        <v>24093</v>
      </c>
    </row>
    <row r="317" spans="1:26" hidden="1" x14ac:dyDescent="0.3">
      <c r="A317" s="34">
        <v>45755</v>
      </c>
      <c r="B317" s="7" t="str">
        <f t="shared" si="33"/>
        <v>abril</v>
      </c>
      <c r="C317" s="27">
        <v>2516</v>
      </c>
      <c r="D317" s="23" t="s">
        <v>20</v>
      </c>
      <c r="E317" s="142" t="s">
        <v>824</v>
      </c>
      <c r="F317" s="22" t="s">
        <v>107</v>
      </c>
      <c r="G317" s="32" t="str">
        <f>IFERROR(VLOOKUP(F317,Productos!$A$2:$D$258,2,0)," ")</f>
        <v>Superficie  Caramelo 120x70 Clasico Small</v>
      </c>
      <c r="H317" s="7">
        <v>1</v>
      </c>
      <c r="I317" s="32" t="str">
        <f>IFERROR(VLOOKUP(F317,Productos!$A$2:$D$258,3,0)," ")</f>
        <v>Superficie</v>
      </c>
      <c r="J317" s="139" t="s">
        <v>21</v>
      </c>
      <c r="K317" s="139" t="s">
        <v>22</v>
      </c>
      <c r="L317" s="26" t="str">
        <f t="shared" si="34"/>
        <v>Despachado</v>
      </c>
      <c r="M317" s="56" t="s">
        <v>238</v>
      </c>
      <c r="N317" s="139" t="s">
        <v>961</v>
      </c>
      <c r="O317" s="150">
        <v>45779</v>
      </c>
      <c r="P317" s="151">
        <v>45782</v>
      </c>
      <c r="Q317" s="24" t="str">
        <f t="shared" si="27"/>
        <v>Entregado</v>
      </c>
      <c r="R317" s="25">
        <f>IF(L317="Despachado",NETWORKDAYS.INTL(A317,O317,11,Valores!$A$2:$A$18)-1,"PTE")</f>
        <v>18</v>
      </c>
      <c r="S317" s="25">
        <f>IF(Q317="Entregado",NETWORKDAYS.INTL(A317,P317,11,Valores!$A$2:$A$18)-1,"PTE")</f>
        <v>20</v>
      </c>
      <c r="T317" s="25"/>
      <c r="U317" s="25"/>
      <c r="V317" s="25" t="str">
        <f>IF(Q317="Entregado",IF(S317&lt;=VLOOKUP(K317,Valores!E:F,2,0),"Cumple","No cumple"),"PTE")</f>
        <v>No cumple</v>
      </c>
      <c r="W317" s="25"/>
      <c r="X317" s="29">
        <v>54929</v>
      </c>
      <c r="Y317" s="224"/>
      <c r="Z317" s="28">
        <v>54929</v>
      </c>
    </row>
    <row r="318" spans="1:26" hidden="1" x14ac:dyDescent="0.3">
      <c r="A318" s="34">
        <v>45755</v>
      </c>
      <c r="B318" s="7" t="str">
        <f t="shared" si="33"/>
        <v>abril</v>
      </c>
      <c r="C318" s="27">
        <v>2516</v>
      </c>
      <c r="D318" s="23" t="s">
        <v>20</v>
      </c>
      <c r="E318" s="142" t="s">
        <v>824</v>
      </c>
      <c r="F318" s="22" t="s">
        <v>68</v>
      </c>
      <c r="G318" s="32" t="str">
        <f>IFERROR(VLOOKUP(F318,Productos!$A$2:$D$258,2,0)," ")</f>
        <v>Archivador TECU  Caramelo</v>
      </c>
      <c r="H318" s="7">
        <v>1</v>
      </c>
      <c r="I318" s="32" t="str">
        <f>IFERROR(VLOOKUP(F318,Productos!$A$2:$D$258,3,0)," ")</f>
        <v>Archivador</v>
      </c>
      <c r="J318" s="139" t="s">
        <v>21</v>
      </c>
      <c r="K318" s="139" t="s">
        <v>22</v>
      </c>
      <c r="L318" s="26" t="str">
        <f t="shared" si="34"/>
        <v>Despachado</v>
      </c>
      <c r="M318" s="56" t="s">
        <v>239</v>
      </c>
      <c r="N318" s="157" t="s">
        <v>962</v>
      </c>
      <c r="O318" s="150">
        <v>45775</v>
      </c>
      <c r="P318" s="151">
        <v>45776</v>
      </c>
      <c r="Q318" s="24" t="str">
        <f t="shared" si="27"/>
        <v>Entregado</v>
      </c>
      <c r="R318" s="25">
        <f>IF(L318="Despachado",NETWORKDAYS.INTL(A318,O318,11,Valores!$A$2:$A$18)-1,"PTE")</f>
        <v>15</v>
      </c>
      <c r="S318" s="25">
        <f>IF(Q318="Entregado",NETWORKDAYS.INTL(A318,P318,11,Valores!$A$2:$A$18)-1,"PTE")</f>
        <v>16</v>
      </c>
      <c r="T318" s="25"/>
      <c r="U318" s="25"/>
      <c r="V318" s="25" t="str">
        <f>IF(Q318="Entregado",IF(S318&lt;=VLOOKUP(K318,Valores!E:F,2,0),"Cumple","No cumple"),"PTE")</f>
        <v>No cumple</v>
      </c>
      <c r="W318" s="25"/>
      <c r="X318" s="29">
        <v>54929</v>
      </c>
      <c r="Y318" s="224"/>
      <c r="Z318" s="28">
        <v>54929</v>
      </c>
    </row>
    <row r="319" spans="1:26" hidden="1" x14ac:dyDescent="0.3">
      <c r="A319" s="34">
        <v>45758</v>
      </c>
      <c r="B319" s="7" t="str">
        <f t="shared" si="33"/>
        <v>abril</v>
      </c>
      <c r="C319" s="27">
        <v>2517</v>
      </c>
      <c r="D319" s="23" t="s">
        <v>20</v>
      </c>
      <c r="E319" s="142" t="s">
        <v>825</v>
      </c>
      <c r="F319" s="40" t="s">
        <v>732</v>
      </c>
      <c r="G319" s="32" t="str">
        <f>IFERROR(VLOOKUP(F319,Productos!$A$2:$D$258,2,0)," ")</f>
        <v>Electric Standing Desk  PRO Negro circular</v>
      </c>
      <c r="H319" s="7">
        <v>1</v>
      </c>
      <c r="I319" s="32" t="str">
        <f>IFERROR(VLOOKUP(F319,Productos!$A$2:$D$258,3,0)," ")</f>
        <v>Standing Desk</v>
      </c>
      <c r="J319" s="144" t="s">
        <v>194</v>
      </c>
      <c r="K319" s="144" t="s">
        <v>46</v>
      </c>
      <c r="L319" s="26" t="str">
        <f t="shared" si="34"/>
        <v>Despachado</v>
      </c>
      <c r="M319" s="56" t="s">
        <v>238</v>
      </c>
      <c r="N319" s="139" t="s">
        <v>918</v>
      </c>
      <c r="O319" s="150">
        <v>45761.665590277778</v>
      </c>
      <c r="P319" s="151">
        <v>45766.62909722222</v>
      </c>
      <c r="Q319" s="24" t="str">
        <f t="shared" si="27"/>
        <v>Entregado</v>
      </c>
      <c r="R319" s="25">
        <f>IF(L319="Despachado",NETWORKDAYS.INTL(A319,O319,11,Valores!$A$2:$A$18)-1,"PTE")</f>
        <v>2</v>
      </c>
      <c r="S319" s="25">
        <f>IF(Q319="Entregado",NETWORKDAYS.INTL(A319,P319,11,Valores!$A$2:$A$18)-1,"PTE")</f>
        <v>5</v>
      </c>
      <c r="T319" s="25"/>
      <c r="U319" s="25"/>
      <c r="V319" s="25" t="str">
        <f>IF(Q319="Entregado",IF(S319&lt;=VLOOKUP(K319,Valores!E:F,2,0),"Cumple","No cumple"),"PTE")</f>
        <v>No cumple</v>
      </c>
      <c r="W319" s="25"/>
      <c r="X319" s="29">
        <v>41397</v>
      </c>
      <c r="Y319" s="224"/>
      <c r="Z319" s="28"/>
    </row>
    <row r="320" spans="1:26" hidden="1" x14ac:dyDescent="0.3">
      <c r="A320" s="34">
        <v>45758</v>
      </c>
      <c r="B320" s="7" t="str">
        <f t="shared" si="33"/>
        <v>abril</v>
      </c>
      <c r="C320" s="27">
        <v>2517</v>
      </c>
      <c r="D320" s="23" t="s">
        <v>20</v>
      </c>
      <c r="E320" s="142" t="s">
        <v>825</v>
      </c>
      <c r="F320" s="22" t="s">
        <v>33</v>
      </c>
      <c r="G320" s="32" t="str">
        <f>IFERROR(VLOOKUP(F320,Productos!$A$2:$D$258,2,0)," ")</f>
        <v>Superficie  Caramelo 180x70 Clasico</v>
      </c>
      <c r="H320" s="7">
        <v>1</v>
      </c>
      <c r="I320" s="32" t="str">
        <f>IFERROR(VLOOKUP(F320,Productos!$A$2:$D$258,3,0)," ")</f>
        <v>Superficie</v>
      </c>
      <c r="J320" s="144" t="s">
        <v>194</v>
      </c>
      <c r="K320" s="144" t="s">
        <v>46</v>
      </c>
      <c r="L320" s="26" t="str">
        <f t="shared" si="34"/>
        <v>Despachado</v>
      </c>
      <c r="M320" s="56" t="s">
        <v>238</v>
      </c>
      <c r="N320" s="139" t="s">
        <v>919</v>
      </c>
      <c r="O320" s="150">
        <v>45761.665590277778</v>
      </c>
      <c r="P320" s="151">
        <v>45766.62908564815</v>
      </c>
      <c r="Q320" s="24" t="str">
        <f t="shared" si="27"/>
        <v>Entregado</v>
      </c>
      <c r="R320" s="25">
        <f>IF(L320="Despachado",NETWORKDAYS.INTL(A320,O320,11,Valores!$A$2:$A$18)-1,"PTE")</f>
        <v>2</v>
      </c>
      <c r="S320" s="25">
        <f>IF(Q320="Entregado",NETWORKDAYS.INTL(A320,P320,11,Valores!$A$2:$A$18)-1,"PTE")</f>
        <v>5</v>
      </c>
      <c r="T320" s="25"/>
      <c r="U320" s="25"/>
      <c r="V320" s="25" t="str">
        <f>IF(Q320="Entregado",IF(S320&lt;=VLOOKUP(K320,Valores!E:F,2,0),"Cumple","No cumple"),"PTE")</f>
        <v>No cumple</v>
      </c>
      <c r="W320" s="25"/>
      <c r="X320" s="29">
        <v>38089</v>
      </c>
      <c r="Y320" s="224"/>
      <c r="Z320" s="28"/>
    </row>
    <row r="321" spans="1:26" hidden="1" x14ac:dyDescent="0.3">
      <c r="A321" s="34">
        <v>45758</v>
      </c>
      <c r="B321" s="7" t="str">
        <f t="shared" ref="B321:B328" si="35">TEXT(A321,"mmmm")</f>
        <v>abril</v>
      </c>
      <c r="C321" s="27">
        <v>2517</v>
      </c>
      <c r="D321" s="23" t="s">
        <v>20</v>
      </c>
      <c r="E321" s="142" t="s">
        <v>825</v>
      </c>
      <c r="F321" s="40" t="s">
        <v>85</v>
      </c>
      <c r="G321" s="32" t="str">
        <f>IFERROR(VLOOKUP(F321,Productos!$A$2:$D$258,2,0)," ")</f>
        <v>Desk Pad B Negro Café Miel</v>
      </c>
      <c r="H321" s="7">
        <v>1</v>
      </c>
      <c r="I321" s="32" t="str">
        <f>IFERROR(VLOOKUP(F321,Productos!$A$2:$D$258,3,0)," ")</f>
        <v>Accesorio</v>
      </c>
      <c r="J321" s="144" t="s">
        <v>194</v>
      </c>
      <c r="K321" s="144" t="s">
        <v>46</v>
      </c>
      <c r="L321" s="26" t="str">
        <f t="shared" si="34"/>
        <v>Despachado</v>
      </c>
      <c r="M321" s="56" t="s">
        <v>238</v>
      </c>
      <c r="N321" s="139" t="s">
        <v>920</v>
      </c>
      <c r="O321" s="150">
        <v>45761.665590277778</v>
      </c>
      <c r="P321" s="151">
        <v>45766.62908564815</v>
      </c>
      <c r="Q321" s="24" t="str">
        <f t="shared" si="27"/>
        <v>Entregado</v>
      </c>
      <c r="R321" s="25">
        <f>IF(L321="Despachado",NETWORKDAYS.INTL(A321,O321,11,Valores!$A$2:$A$18)-1,"PTE")</f>
        <v>2</v>
      </c>
      <c r="S321" s="25">
        <f>IF(Q321="Entregado",NETWORKDAYS.INTL(A321,P321,11,Valores!$A$2:$A$18)-1,"PTE")</f>
        <v>5</v>
      </c>
      <c r="T321" s="25"/>
      <c r="U321" s="25"/>
      <c r="V321" s="25" t="str">
        <f>IF(Q321="Entregado",IF(S321&lt;=VLOOKUP(K321,Valores!E:F,2,0),"Cumple","No cumple"),"PTE")</f>
        <v>No cumple</v>
      </c>
      <c r="W321" s="25"/>
      <c r="X321" s="29">
        <v>15152</v>
      </c>
      <c r="Y321" s="224"/>
      <c r="Z321" s="28"/>
    </row>
    <row r="322" spans="1:26" hidden="1" x14ac:dyDescent="0.3">
      <c r="A322" s="34">
        <v>45758</v>
      </c>
      <c r="B322" s="7" t="str">
        <f t="shared" si="35"/>
        <v>abril</v>
      </c>
      <c r="C322" s="27">
        <v>2517</v>
      </c>
      <c r="D322" s="23" t="s">
        <v>20</v>
      </c>
      <c r="E322" s="142" t="s">
        <v>825</v>
      </c>
      <c r="F322" s="40" t="s">
        <v>240</v>
      </c>
      <c r="G322" s="32" t="str">
        <f>IFERROR(VLOOKUP(F322,Productos!$A$2:$D$258,2,0)," ")</f>
        <v>Bandeja de cables</v>
      </c>
      <c r="H322" s="7">
        <v>1</v>
      </c>
      <c r="I322" s="32" t="str">
        <f>IFERROR(VLOOKUP(F322,Productos!$A$2:$D$258,3,0)," ")</f>
        <v>Accesorio</v>
      </c>
      <c r="J322" s="144" t="s">
        <v>194</v>
      </c>
      <c r="K322" s="144" t="s">
        <v>46</v>
      </c>
      <c r="L322" s="26" t="str">
        <f t="shared" si="34"/>
        <v>Despachado</v>
      </c>
      <c r="M322" s="56" t="s">
        <v>238</v>
      </c>
      <c r="N322" s="139" t="s">
        <v>921</v>
      </c>
      <c r="O322" s="150">
        <v>45761.665590277778</v>
      </c>
      <c r="P322" s="151">
        <v>45766.62909722222</v>
      </c>
      <c r="Q322" s="24" t="str">
        <f t="shared" si="27"/>
        <v>Entregado</v>
      </c>
      <c r="R322" s="25">
        <f>IF(L322="Despachado",NETWORKDAYS.INTL(A322,O322,11,Valores!$A$2:$A$18)-1,"PTE")</f>
        <v>2</v>
      </c>
      <c r="S322" s="25">
        <f>IF(Q322="Entregado",NETWORKDAYS.INTL(A322,P322,11,Valores!$A$2:$A$18)-1,"PTE")</f>
        <v>5</v>
      </c>
      <c r="T322" s="25"/>
      <c r="U322" s="25"/>
      <c r="V322" s="25" t="str">
        <f>IF(Q322="Entregado",IF(S322&lt;=VLOOKUP(K322,Valores!E:F,2,0),"Cumple","No cumple"),"PTE")</f>
        <v>No cumple</v>
      </c>
      <c r="W322" s="25"/>
      <c r="X322" s="29">
        <v>22920</v>
      </c>
      <c r="Y322" s="224"/>
      <c r="Z322" s="28"/>
    </row>
    <row r="323" spans="1:26" hidden="1" x14ac:dyDescent="0.3">
      <c r="A323" s="34">
        <v>45759</v>
      </c>
      <c r="B323" s="7" t="str">
        <f t="shared" si="35"/>
        <v>abril</v>
      </c>
      <c r="C323" s="27">
        <v>2518</v>
      </c>
      <c r="D323" s="23" t="s">
        <v>20</v>
      </c>
      <c r="E323" s="142" t="s">
        <v>826</v>
      </c>
      <c r="F323" s="22" t="s">
        <v>129</v>
      </c>
      <c r="G323" s="32" t="str">
        <f>IFERROR(VLOOKUP(F323,Productos!$A$2:$D$258,2,0)," ")</f>
        <v>Electric Standing Desk  PRO Negro</v>
      </c>
      <c r="H323" s="7">
        <v>1</v>
      </c>
      <c r="I323" s="32" t="str">
        <f>IFERROR(VLOOKUP(F323,Productos!$A$2:$D$258,3,0)," ")</f>
        <v>Standing Desk</v>
      </c>
      <c r="J323" s="144" t="s">
        <v>24</v>
      </c>
      <c r="K323" s="144" t="s">
        <v>27</v>
      </c>
      <c r="L323" s="26" t="str">
        <f t="shared" si="34"/>
        <v>Despachado</v>
      </c>
      <c r="M323" s="56" t="s">
        <v>238</v>
      </c>
      <c r="N323" s="139" t="s">
        <v>864</v>
      </c>
      <c r="O323" s="150">
        <v>45762.668171296304</v>
      </c>
      <c r="P323" s="151">
        <v>45766.39707175926</v>
      </c>
      <c r="Q323" s="24" t="str">
        <f t="shared" si="27"/>
        <v>Entregado</v>
      </c>
      <c r="R323" s="25">
        <f>IF(L323="Despachado",NETWORKDAYS.INTL(A323,O323,11,Valores!$A$2:$A$18)-1,"PTE")</f>
        <v>2</v>
      </c>
      <c r="S323" s="25">
        <f>IF(Q323="Entregado",NETWORKDAYS.INTL(A323,P323,11,Valores!$A$2:$A$18)-1,"PTE")</f>
        <v>4</v>
      </c>
      <c r="T323" s="25"/>
      <c r="U323" s="25"/>
      <c r="V323" s="25" t="str">
        <f>IF(Q323="Entregado",IF(S323&lt;=VLOOKUP(K323,Valores!E:F,2,0),"Cumple","No cumple"),"PTE")</f>
        <v>No cumple</v>
      </c>
      <c r="W323" s="25"/>
      <c r="X323" s="29">
        <v>28241</v>
      </c>
      <c r="Y323" s="224"/>
      <c r="Z323" s="28"/>
    </row>
    <row r="324" spans="1:26" hidden="1" x14ac:dyDescent="0.3">
      <c r="A324" s="34">
        <v>45759</v>
      </c>
      <c r="B324" s="7" t="str">
        <f t="shared" si="35"/>
        <v>abril</v>
      </c>
      <c r="C324" s="27">
        <v>2518</v>
      </c>
      <c r="D324" s="23" t="s">
        <v>20</v>
      </c>
      <c r="E324" s="142" t="s">
        <v>826</v>
      </c>
      <c r="F324" s="22" t="s">
        <v>158</v>
      </c>
      <c r="G324" s="32" t="str">
        <f>IFERROR(VLOOKUP(F324,Productos!$A$2:$D$258,2,0)," ")</f>
        <v>Superficie  Roble Negro 200x70 Clasico</v>
      </c>
      <c r="H324" s="7">
        <v>1</v>
      </c>
      <c r="I324" s="32" t="str">
        <f>IFERROR(VLOOKUP(F324,Productos!$A$2:$D$258,3,0)," ")</f>
        <v>Superficie</v>
      </c>
      <c r="J324" s="144" t="s">
        <v>24</v>
      </c>
      <c r="K324" s="144" t="s">
        <v>27</v>
      </c>
      <c r="L324" s="26" t="str">
        <f t="shared" si="34"/>
        <v>Despachado</v>
      </c>
      <c r="M324" s="56" t="s">
        <v>238</v>
      </c>
      <c r="N324" s="139" t="s">
        <v>865</v>
      </c>
      <c r="O324" s="150">
        <v>45762.668171296304</v>
      </c>
      <c r="P324" s="151">
        <v>45766.39707175926</v>
      </c>
      <c r="Q324" s="24" t="str">
        <f t="shared" si="27"/>
        <v>Entregado</v>
      </c>
      <c r="R324" s="25">
        <f>IF(L324="Despachado",NETWORKDAYS.INTL(A324,O324,11,Valores!$A$2:$A$18)-1,"PTE")</f>
        <v>2</v>
      </c>
      <c r="S324" s="25">
        <f>IF(Q324="Entregado",NETWORKDAYS.INTL(A324,P324,11,Valores!$A$2:$A$18)-1,"PTE")</f>
        <v>4</v>
      </c>
      <c r="T324" s="25"/>
      <c r="U324" s="25"/>
      <c r="V324" s="25" t="str">
        <f>IF(Q324="Entregado",IF(S324&lt;=VLOOKUP(K324,Valores!E:F,2,0),"Cumple","No cumple"),"PTE")</f>
        <v>No cumple</v>
      </c>
      <c r="W324" s="25"/>
      <c r="X324" s="29">
        <v>26249</v>
      </c>
      <c r="Y324" s="224"/>
      <c r="Z324" s="28"/>
    </row>
    <row r="325" spans="1:26" hidden="1" x14ac:dyDescent="0.3">
      <c r="A325" s="34">
        <v>45759</v>
      </c>
      <c r="B325" s="7" t="str">
        <f t="shared" si="35"/>
        <v>abril</v>
      </c>
      <c r="C325" s="27">
        <v>2519</v>
      </c>
      <c r="D325" s="23" t="s">
        <v>20</v>
      </c>
      <c r="E325" s="142" t="s">
        <v>827</v>
      </c>
      <c r="F325" s="40" t="s">
        <v>127</v>
      </c>
      <c r="G325" s="32" t="str">
        <f>IFERROR(VLOOKUP(F325,Productos!$A$2:$D$258,2,0)," ")</f>
        <v>Electric Standing Desk GO Blanco</v>
      </c>
      <c r="H325" s="7">
        <v>1</v>
      </c>
      <c r="I325" s="32" t="str">
        <f>IFERROR(VLOOKUP(F325,Productos!$A$2:$D$258,3,0)," ")</f>
        <v>Standing Desk</v>
      </c>
      <c r="J325" s="144" t="s">
        <v>24</v>
      </c>
      <c r="K325" s="144" t="s">
        <v>27</v>
      </c>
      <c r="L325" s="26" t="str">
        <f t="shared" ref="L325:L331" si="36">IF(O325&gt;0,"Despachado","En alistamiento")</f>
        <v>Despachado</v>
      </c>
      <c r="M325" s="56" t="s">
        <v>238</v>
      </c>
      <c r="N325" s="139" t="s">
        <v>866</v>
      </c>
      <c r="O325" s="150">
        <v>45761.665590277778</v>
      </c>
      <c r="P325" s="151">
        <v>45762.316701388889</v>
      </c>
      <c r="Q325" s="24" t="str">
        <f t="shared" si="27"/>
        <v>Entregado</v>
      </c>
      <c r="R325" s="25">
        <f>IF(L325="Despachado",NETWORKDAYS.INTL(A325,O325,11,Valores!$A$2:$A$18)-1,"PTE")</f>
        <v>1</v>
      </c>
      <c r="S325" s="25">
        <f>IF(Q325="Entregado",NETWORKDAYS.INTL(A325,P325,11,Valores!$A$2:$A$18)-1,"PTE")</f>
        <v>2</v>
      </c>
      <c r="T325" s="25"/>
      <c r="U325" s="25"/>
      <c r="V325" s="25" t="str">
        <f>IF(Q325="Entregado",IF(S325&lt;=VLOOKUP(K325,Valores!E:F,2,0),"Cumple","No cumple"),"PTE")</f>
        <v>Cumple</v>
      </c>
      <c r="W325" s="25"/>
      <c r="X325" s="29">
        <v>26913</v>
      </c>
      <c r="Y325" s="224"/>
      <c r="Z325" s="28"/>
    </row>
    <row r="326" spans="1:26" hidden="1" x14ac:dyDescent="0.3">
      <c r="A326" s="34">
        <v>45759</v>
      </c>
      <c r="B326" s="7" t="str">
        <f t="shared" si="35"/>
        <v>abril</v>
      </c>
      <c r="C326" s="27">
        <v>2519</v>
      </c>
      <c r="D326" s="23" t="s">
        <v>20</v>
      </c>
      <c r="E326" s="142" t="s">
        <v>827</v>
      </c>
      <c r="F326" s="40" t="s">
        <v>304</v>
      </c>
      <c r="G326" s="32" t="str">
        <f>IFERROR(VLOOKUP(F326,Productos!$A$2:$D$258,2,0)," ")</f>
        <v>Superficie  Fresno Europeo 150x70 Clasico</v>
      </c>
      <c r="H326" s="7">
        <v>1</v>
      </c>
      <c r="I326" s="32" t="str">
        <f>IFERROR(VLOOKUP(F326,Productos!$A$2:$D$258,3,0)," ")</f>
        <v>Superficie</v>
      </c>
      <c r="J326" s="144" t="s">
        <v>24</v>
      </c>
      <c r="K326" s="144" t="s">
        <v>27</v>
      </c>
      <c r="L326" s="26" t="str">
        <f t="shared" si="36"/>
        <v>Despachado</v>
      </c>
      <c r="M326" s="56" t="s">
        <v>238</v>
      </c>
      <c r="N326" s="139" t="s">
        <v>867</v>
      </c>
      <c r="O326" s="150">
        <v>45761.665590277778</v>
      </c>
      <c r="P326" s="151">
        <v>45762.316701388889</v>
      </c>
      <c r="Q326" s="24" t="str">
        <f t="shared" ref="Q326:Q389" si="37">IF(P326&gt;0,"Entregado","En transito")</f>
        <v>Entregado</v>
      </c>
      <c r="R326" s="25">
        <f>IF(L326="Despachado",NETWORKDAYS.INTL(A326,O326,11,Valores!$A$2:$A$18)-1,"PTE")</f>
        <v>1</v>
      </c>
      <c r="S326" s="25">
        <f>IF(Q326="Entregado",NETWORKDAYS.INTL(A326,P326,11,Valores!$A$2:$A$18)-1,"PTE")</f>
        <v>2</v>
      </c>
      <c r="T326" s="25"/>
      <c r="U326" s="25"/>
      <c r="V326" s="25" t="str">
        <f>IF(Q326="Entregado",IF(S326&lt;=VLOOKUP(K326,Valores!E:F,2,0),"Cumple","No cumple"),"PTE")</f>
        <v>Cumple</v>
      </c>
      <c r="W326" s="25"/>
      <c r="X326" s="29">
        <v>23593</v>
      </c>
      <c r="Y326" s="224"/>
      <c r="Z326" s="28"/>
    </row>
    <row r="327" spans="1:26" hidden="1" x14ac:dyDescent="0.3">
      <c r="A327" s="34">
        <v>45759</v>
      </c>
      <c r="B327" s="7" t="str">
        <f t="shared" si="35"/>
        <v>abril</v>
      </c>
      <c r="C327" s="27">
        <v>2519</v>
      </c>
      <c r="D327" s="23" t="s">
        <v>20</v>
      </c>
      <c r="E327" s="142" t="s">
        <v>827</v>
      </c>
      <c r="F327" s="40" t="s">
        <v>280</v>
      </c>
      <c r="G327" s="32" t="str">
        <f>IFERROR(VLOOKUP(F327,Productos!$A$2:$D$258,2,0)," ")</f>
        <v>Rodachines con freno para Standing desk x 4 UN</v>
      </c>
      <c r="H327" s="7">
        <v>1</v>
      </c>
      <c r="I327" s="32" t="str">
        <f>IFERROR(VLOOKUP(F327,Productos!$A$2:$D$258,3,0)," ")</f>
        <v>Ruedas</v>
      </c>
      <c r="J327" s="144" t="s">
        <v>24</v>
      </c>
      <c r="K327" s="144" t="s">
        <v>27</v>
      </c>
      <c r="L327" s="26" t="str">
        <f t="shared" si="36"/>
        <v>Despachado</v>
      </c>
      <c r="M327" s="56" t="s">
        <v>238</v>
      </c>
      <c r="N327" s="139" t="s">
        <v>868</v>
      </c>
      <c r="O327" s="150">
        <v>45761.665590277778</v>
      </c>
      <c r="P327" s="151">
        <v>45762.316701388889</v>
      </c>
      <c r="Q327" s="24" t="str">
        <f t="shared" si="37"/>
        <v>Entregado</v>
      </c>
      <c r="R327" s="25">
        <f>IF(L327="Despachado",NETWORKDAYS.INTL(A327,O327,11,Valores!$A$2:$A$18)-1,"PTE")</f>
        <v>1</v>
      </c>
      <c r="S327" s="25">
        <f>IF(Q327="Entregado",NETWORKDAYS.INTL(A327,P327,11,Valores!$A$2:$A$18)-1,"PTE")</f>
        <v>2</v>
      </c>
      <c r="T327" s="25"/>
      <c r="U327" s="25"/>
      <c r="V327" s="25" t="str">
        <f>IF(Q327="Entregado",IF(S327&lt;=VLOOKUP(K327,Valores!E:F,2,0),"Cumple","No cumple"),"PTE")</f>
        <v>Cumple</v>
      </c>
      <c r="W327" s="25"/>
      <c r="X327" s="29">
        <v>22920</v>
      </c>
      <c r="Y327" s="224"/>
      <c r="Z327" s="28"/>
    </row>
    <row r="328" spans="1:26" hidden="1" x14ac:dyDescent="0.3">
      <c r="A328" s="34">
        <v>45759</v>
      </c>
      <c r="B328" s="7" t="str">
        <f t="shared" si="35"/>
        <v>abril</v>
      </c>
      <c r="C328" s="27">
        <v>2519</v>
      </c>
      <c r="D328" s="23" t="s">
        <v>20</v>
      </c>
      <c r="E328" s="142" t="s">
        <v>827</v>
      </c>
      <c r="F328" s="40" t="s">
        <v>240</v>
      </c>
      <c r="G328" s="32" t="str">
        <f>IFERROR(VLOOKUP(F328,Productos!$A$2:$D$258,2,0)," ")</f>
        <v>Bandeja de cables</v>
      </c>
      <c r="H328" s="7">
        <v>1</v>
      </c>
      <c r="I328" s="32" t="str">
        <f>IFERROR(VLOOKUP(F328,Productos!$A$2:$D$258,3,0)," ")</f>
        <v>Accesorio</v>
      </c>
      <c r="J328" s="144" t="s">
        <v>24</v>
      </c>
      <c r="K328" s="144" t="s">
        <v>27</v>
      </c>
      <c r="L328" s="26" t="str">
        <f t="shared" si="36"/>
        <v>Despachado</v>
      </c>
      <c r="M328" s="56" t="s">
        <v>238</v>
      </c>
      <c r="N328" s="139" t="s">
        <v>871</v>
      </c>
      <c r="O328" s="150">
        <v>45761.665590277778</v>
      </c>
      <c r="P328" s="151">
        <v>45762.316701388889</v>
      </c>
      <c r="Q328" s="24" t="str">
        <f t="shared" si="37"/>
        <v>Entregado</v>
      </c>
      <c r="R328" s="25">
        <f>IF(L328="Despachado",NETWORKDAYS.INTL(A328,O328,11,Valores!$A$2:$A$18)-1,"PTE")</f>
        <v>1</v>
      </c>
      <c r="S328" s="25">
        <f>IF(Q328="Entregado",NETWORKDAYS.INTL(A328,P328,11,Valores!$A$2:$A$18)-1,"PTE")</f>
        <v>2</v>
      </c>
      <c r="T328" s="25"/>
      <c r="U328" s="25"/>
      <c r="V328" s="25" t="str">
        <f>IF(Q328="Entregado",IF(S328&lt;=VLOOKUP(K328,Valores!E:F,2,0),"Cumple","No cumple"),"PTE")</f>
        <v>Cumple</v>
      </c>
      <c r="W328" s="25"/>
      <c r="X328" s="29">
        <v>22920</v>
      </c>
      <c r="Y328" s="224"/>
      <c r="Z328" s="28"/>
    </row>
    <row r="329" spans="1:26" hidden="1" x14ac:dyDescent="0.3">
      <c r="A329" s="34">
        <v>45759</v>
      </c>
      <c r="B329" s="7" t="str">
        <f t="shared" ref="B329:B344" si="38">TEXT(A329,"mmmm")</f>
        <v>abril</v>
      </c>
      <c r="C329" s="27">
        <v>2519</v>
      </c>
      <c r="D329" s="23" t="s">
        <v>20</v>
      </c>
      <c r="E329" s="142" t="s">
        <v>827</v>
      </c>
      <c r="F329" s="40" t="s">
        <v>89</v>
      </c>
      <c r="G329" s="32" t="str">
        <f>IFERROR(VLOOKUP(F329,Productos!$A$2:$D$258,2,0)," ")</f>
        <v>Desk Stool Gris Silla ajustable</v>
      </c>
      <c r="H329" s="7">
        <v>1</v>
      </c>
      <c r="I329" s="32" t="str">
        <f>IFERROR(VLOOKUP(F329,Productos!$A$2:$D$258,3,0)," ")</f>
        <v>Silla</v>
      </c>
      <c r="J329" s="144" t="s">
        <v>24</v>
      </c>
      <c r="K329" s="144" t="s">
        <v>27</v>
      </c>
      <c r="L329" s="26" t="str">
        <f t="shared" si="36"/>
        <v>Despachado</v>
      </c>
      <c r="M329" s="56" t="s">
        <v>238</v>
      </c>
      <c r="N329" s="139" t="s">
        <v>870</v>
      </c>
      <c r="O329" s="150">
        <v>45761.665590277778</v>
      </c>
      <c r="P329" s="151">
        <v>45762.316701388889</v>
      </c>
      <c r="Q329" s="24" t="str">
        <f t="shared" si="37"/>
        <v>Entregado</v>
      </c>
      <c r="R329" s="25">
        <f>IF(L329="Despachado",NETWORKDAYS.INTL(A329,O329,11,Valores!$A$2:$A$18)-1,"PTE")</f>
        <v>1</v>
      </c>
      <c r="S329" s="25">
        <f>IF(Q329="Entregado",NETWORKDAYS.INTL(A329,P329,11,Valores!$A$2:$A$18)-1,"PTE")</f>
        <v>2</v>
      </c>
      <c r="T329" s="25"/>
      <c r="U329" s="25"/>
      <c r="V329" s="25" t="str">
        <f>IF(Q329="Entregado",IF(S329&lt;=VLOOKUP(K329,Valores!E:F,2,0),"Cumple","No cumple"),"PTE")</f>
        <v>Cumple</v>
      </c>
      <c r="W329" s="25"/>
      <c r="X329" s="29">
        <v>22929</v>
      </c>
      <c r="Y329" s="224"/>
      <c r="Z329" s="28"/>
    </row>
    <row r="330" spans="1:26" hidden="1" x14ac:dyDescent="0.3">
      <c r="A330" s="34">
        <v>45759</v>
      </c>
      <c r="B330" s="7" t="str">
        <f t="shared" si="38"/>
        <v>abril</v>
      </c>
      <c r="C330" s="160">
        <v>2519</v>
      </c>
      <c r="D330" s="23" t="s">
        <v>20</v>
      </c>
      <c r="E330" s="142" t="s">
        <v>827</v>
      </c>
      <c r="F330" s="40" t="s">
        <v>73</v>
      </c>
      <c r="G330" s="32" t="str">
        <f>IFERROR(VLOOKUP(F330,Productos!$A$2:$D$258,2,0)," ")</f>
        <v>Repisa Miel</v>
      </c>
      <c r="H330" s="7">
        <v>1</v>
      </c>
      <c r="I330" s="32" t="str">
        <f>IFERROR(VLOOKUP(F330,Productos!$A$2:$D$258,3,0)," ")</f>
        <v>Repisa</v>
      </c>
      <c r="J330" s="144" t="s">
        <v>24</v>
      </c>
      <c r="K330" s="144" t="s">
        <v>27</v>
      </c>
      <c r="L330" s="26" t="str">
        <f t="shared" si="36"/>
        <v>Despachado</v>
      </c>
      <c r="M330" s="56" t="s">
        <v>238</v>
      </c>
      <c r="N330" s="145" t="s">
        <v>241</v>
      </c>
      <c r="O330" s="150">
        <v>45761.665590277778</v>
      </c>
      <c r="P330" s="151">
        <v>45762.316701388889</v>
      </c>
      <c r="Q330" s="24" t="str">
        <f t="shared" si="37"/>
        <v>Entregado</v>
      </c>
      <c r="R330" s="25">
        <f>IF(L330="Despachado",NETWORKDAYS.INTL(A330,O330,11,Valores!$A$2:$A$18)-1,"PTE")</f>
        <v>1</v>
      </c>
      <c r="S330" s="25">
        <f>IF(Q330="Entregado",NETWORKDAYS.INTL(A330,P330,11,Valores!$A$2:$A$18)-1,"PTE")</f>
        <v>2</v>
      </c>
      <c r="T330" s="25"/>
      <c r="U330" s="25"/>
      <c r="V330" s="25" t="str">
        <f>IF(Q330="Entregado",IF(S330&lt;=VLOOKUP(K330,Valores!E:F,2,0),"Cumple","No cumple"),"PTE")</f>
        <v>Cumple</v>
      </c>
      <c r="W330" s="25"/>
      <c r="X330" s="29">
        <v>0</v>
      </c>
      <c r="Y330" s="224"/>
      <c r="Z330" s="28"/>
    </row>
    <row r="331" spans="1:26" hidden="1" x14ac:dyDescent="0.3">
      <c r="A331" s="34">
        <v>45759</v>
      </c>
      <c r="B331" s="7" t="str">
        <f t="shared" si="38"/>
        <v>abril</v>
      </c>
      <c r="C331" s="27">
        <v>2519</v>
      </c>
      <c r="D331" s="23" t="s">
        <v>20</v>
      </c>
      <c r="E331" s="142" t="s">
        <v>827</v>
      </c>
      <c r="F331" s="40" t="s">
        <v>85</v>
      </c>
      <c r="G331" s="32" t="str">
        <f>IFERROR(VLOOKUP(F331,Productos!$A$2:$D$258,2,0)," ")</f>
        <v>Desk Pad B Negro Café Miel</v>
      </c>
      <c r="H331" s="7">
        <v>1</v>
      </c>
      <c r="I331" s="32" t="str">
        <f>IFERROR(VLOOKUP(F331,Productos!$A$2:$D$258,3,0)," ")</f>
        <v>Accesorio</v>
      </c>
      <c r="J331" s="144" t="s">
        <v>24</v>
      </c>
      <c r="K331" s="144" t="s">
        <v>27</v>
      </c>
      <c r="L331" s="26" t="str">
        <f t="shared" si="36"/>
        <v>Despachado</v>
      </c>
      <c r="M331" s="56" t="s">
        <v>238</v>
      </c>
      <c r="N331" s="139" t="s">
        <v>869</v>
      </c>
      <c r="O331" s="150">
        <v>45761.665590277778</v>
      </c>
      <c r="P331" s="151">
        <v>45762.316701388889</v>
      </c>
      <c r="Q331" s="24" t="str">
        <f t="shared" si="37"/>
        <v>Entregado</v>
      </c>
      <c r="R331" s="25">
        <f>IF(L331="Despachado",NETWORKDAYS.INTL(A331,O331,11,Valores!$A$2:$A$18)-1,"PTE")</f>
        <v>1</v>
      </c>
      <c r="S331" s="25">
        <f>IF(Q331="Entregado",NETWORKDAYS.INTL(A331,P331,11,Valores!$A$2:$A$18)-1,"PTE")</f>
        <v>2</v>
      </c>
      <c r="T331" s="25"/>
      <c r="U331" s="25"/>
      <c r="V331" s="25" t="str">
        <f>IF(Q331="Entregado",IF(S331&lt;=VLOOKUP(K331,Valores!E:F,2,0),"Cumple","No cumple"),"PTE")</f>
        <v>Cumple</v>
      </c>
      <c r="W331" s="25"/>
      <c r="X331" s="29">
        <v>15152</v>
      </c>
      <c r="Y331" s="224"/>
      <c r="Z331" s="28"/>
    </row>
    <row r="332" spans="1:26" hidden="1" x14ac:dyDescent="0.3">
      <c r="A332" s="34">
        <v>45759</v>
      </c>
      <c r="B332" s="7" t="str">
        <f t="shared" si="38"/>
        <v>abril</v>
      </c>
      <c r="C332" s="27">
        <v>2520</v>
      </c>
      <c r="D332" s="23" t="s">
        <v>20</v>
      </c>
      <c r="E332" s="142" t="s">
        <v>828</v>
      </c>
      <c r="F332" s="22" t="s">
        <v>129</v>
      </c>
      <c r="G332" s="32" t="str">
        <f>IFERROR(VLOOKUP(F332,Productos!$A$2:$D$258,2,0)," ")</f>
        <v>Electric Standing Desk  PRO Negro</v>
      </c>
      <c r="H332" s="7">
        <v>1</v>
      </c>
      <c r="I332" s="32" t="str">
        <f>IFERROR(VLOOKUP(F332,Productos!$A$2:$D$258,3,0)," ")</f>
        <v>Standing Desk</v>
      </c>
      <c r="J332" s="144" t="s">
        <v>24</v>
      </c>
      <c r="K332" s="144" t="s">
        <v>209</v>
      </c>
      <c r="L332" s="26" t="str">
        <f>IF(O332&gt;0,"Despachado","En alistamiento")</f>
        <v>Despachado</v>
      </c>
      <c r="M332" s="56" t="s">
        <v>238</v>
      </c>
      <c r="N332" s="139" t="s">
        <v>872</v>
      </c>
      <c r="O332" s="150">
        <v>45761.665590277778</v>
      </c>
      <c r="P332" s="151">
        <v>45762.685127314813</v>
      </c>
      <c r="Q332" s="24" t="str">
        <f t="shared" si="37"/>
        <v>Entregado</v>
      </c>
      <c r="R332" s="25">
        <f>IF(L332="Despachado",NETWORKDAYS.INTL(A332,O332,11,Valores!$A$2:$A$18)-1,"PTE")</f>
        <v>1</v>
      </c>
      <c r="S332" s="25">
        <f>IF(Q332="Entregado",NETWORKDAYS.INTL(A332,P332,11,Valores!$A$2:$A$18)-1,"PTE")</f>
        <v>2</v>
      </c>
      <c r="T332" s="25"/>
      <c r="U332" s="25"/>
      <c r="V332" s="25" t="str">
        <f>IF(Q332="Entregado",IF(S332&lt;=VLOOKUP(K332,Valores!E:F,2,0),"Cumple","No cumple"),"PTE")</f>
        <v>Cumple</v>
      </c>
      <c r="W332" s="25"/>
      <c r="X332" s="29">
        <v>28241</v>
      </c>
      <c r="Y332" s="224"/>
      <c r="Z332" s="28"/>
    </row>
    <row r="333" spans="1:26" hidden="1" x14ac:dyDescent="0.3">
      <c r="A333" s="34">
        <v>45759</v>
      </c>
      <c r="B333" s="7" t="str">
        <f t="shared" si="38"/>
        <v>abril</v>
      </c>
      <c r="C333" s="27">
        <v>2520</v>
      </c>
      <c r="D333" s="23" t="s">
        <v>20</v>
      </c>
      <c r="E333" s="142" t="s">
        <v>828</v>
      </c>
      <c r="F333" s="22" t="s">
        <v>33</v>
      </c>
      <c r="G333" s="32" t="str">
        <f>IFERROR(VLOOKUP(F333,Productos!$A$2:$D$258,2,0)," ")</f>
        <v>Superficie  Caramelo 180x70 Clasico</v>
      </c>
      <c r="H333" s="7">
        <v>1</v>
      </c>
      <c r="I333" s="32" t="str">
        <f>IFERROR(VLOOKUP(F333,Productos!$A$2:$D$258,3,0)," ")</f>
        <v>Superficie</v>
      </c>
      <c r="J333" s="144" t="s">
        <v>24</v>
      </c>
      <c r="K333" s="144" t="s">
        <v>209</v>
      </c>
      <c r="L333" s="26" t="str">
        <f>IF(O333&gt;0,"Despachado","En alistamiento")</f>
        <v>Despachado</v>
      </c>
      <c r="M333" s="56" t="s">
        <v>238</v>
      </c>
      <c r="N333" s="139" t="s">
        <v>873</v>
      </c>
      <c r="O333" s="150">
        <v>45761.665590277778</v>
      </c>
      <c r="P333" s="151">
        <v>45762.685127314813</v>
      </c>
      <c r="Q333" s="24" t="str">
        <f t="shared" si="37"/>
        <v>Entregado</v>
      </c>
      <c r="R333" s="25">
        <f>IF(L333="Despachado",NETWORKDAYS.INTL(A333,O333,11,Valores!$A$2:$A$18)-1,"PTE")</f>
        <v>1</v>
      </c>
      <c r="S333" s="25">
        <f>IF(Q333="Entregado",NETWORKDAYS.INTL(A333,P333,11,Valores!$A$2:$A$18)-1,"PTE")</f>
        <v>2</v>
      </c>
      <c r="T333" s="25"/>
      <c r="U333" s="25"/>
      <c r="V333" s="25" t="str">
        <f>IF(Q333="Entregado",IF(S333&lt;=VLOOKUP(K333,Valores!E:F,2,0),"Cumple","No cumple"),"PTE")</f>
        <v>Cumple</v>
      </c>
      <c r="W333" s="25"/>
      <c r="X333" s="29">
        <v>26249</v>
      </c>
      <c r="Y333" s="224"/>
      <c r="Z333" s="28"/>
    </row>
    <row r="334" spans="1:26" hidden="1" x14ac:dyDescent="0.3">
      <c r="A334" s="34">
        <v>45759</v>
      </c>
      <c r="B334" s="7" t="str">
        <f t="shared" si="38"/>
        <v>abril</v>
      </c>
      <c r="C334" s="27">
        <v>2520</v>
      </c>
      <c r="D334" s="23" t="s">
        <v>20</v>
      </c>
      <c r="E334" s="142" t="s">
        <v>828</v>
      </c>
      <c r="F334" s="40"/>
      <c r="G334" s="32" t="s">
        <v>1796</v>
      </c>
      <c r="H334" s="7">
        <v>1</v>
      </c>
      <c r="I334" s="32" t="s">
        <v>327</v>
      </c>
      <c r="J334" s="144" t="s">
        <v>24</v>
      </c>
      <c r="K334" s="144" t="s">
        <v>209</v>
      </c>
      <c r="L334" s="26" t="s">
        <v>327</v>
      </c>
      <c r="M334" s="56" t="s">
        <v>241</v>
      </c>
      <c r="N334" s="157" t="s">
        <v>241</v>
      </c>
      <c r="O334" s="150" t="s">
        <v>241</v>
      </c>
      <c r="P334" s="151" t="s">
        <v>241</v>
      </c>
      <c r="Q334" s="24" t="str">
        <f t="shared" si="37"/>
        <v>Entregado</v>
      </c>
      <c r="R334" s="25" t="str">
        <f>IF(L334="Despachado",NETWORKDAYS.INTL(A334,O334,11,Valores!$A$2:$A$18)-1,"PTE")</f>
        <v>PTE</v>
      </c>
      <c r="S334" s="25" t="e">
        <f>IF(Q334="Entregado",NETWORKDAYS.INTL(A334,P334,11,Valores!$A$2:$A$18)-1,"PTE")</f>
        <v>#VALUE!</v>
      </c>
      <c r="T334" s="25"/>
      <c r="U334" s="25"/>
      <c r="V334" s="25" t="e">
        <f>IF(Q334="Entregado",IF(S334&lt;=VLOOKUP(K334,Valores!E:F,2,0),"Cumple","No cumple"),"PTE")</f>
        <v>#VALUE!</v>
      </c>
      <c r="W334" s="25"/>
      <c r="X334" s="29">
        <v>0</v>
      </c>
      <c r="Y334" s="224"/>
      <c r="Z334" s="28"/>
    </row>
    <row r="335" spans="1:26" hidden="1" x14ac:dyDescent="0.3">
      <c r="A335" s="34">
        <v>45761</v>
      </c>
      <c r="B335" s="7" t="str">
        <f t="shared" si="38"/>
        <v>abril</v>
      </c>
      <c r="C335" s="160">
        <v>2521</v>
      </c>
      <c r="D335" s="23" t="s">
        <v>20</v>
      </c>
      <c r="E335" s="142" t="s">
        <v>828</v>
      </c>
      <c r="F335" s="40" t="s">
        <v>74</v>
      </c>
      <c r="G335" s="32" t="str">
        <f>IFERROR(VLOOKUP(F335,Productos!$A$2:$D$258,2,0)," ")</f>
        <v>Repisa Caramelo</v>
      </c>
      <c r="H335" s="7">
        <v>1</v>
      </c>
      <c r="I335" s="32" t="str">
        <f>IFERROR(VLOOKUP(F335,Productos!$A$2:$D$258,3,0)," ")</f>
        <v>Repisa</v>
      </c>
      <c r="J335" s="144" t="s">
        <v>24</v>
      </c>
      <c r="K335" s="144" t="s">
        <v>209</v>
      </c>
      <c r="L335" s="26" t="str">
        <f>IF(O335&gt;0,"Despachado","En alistamiento")</f>
        <v>Despachado</v>
      </c>
      <c r="M335" s="56" t="s">
        <v>238</v>
      </c>
      <c r="N335" s="145" t="s">
        <v>241</v>
      </c>
      <c r="O335" s="150">
        <v>45761.665590277778</v>
      </c>
      <c r="P335" s="151">
        <v>45762.685127314813</v>
      </c>
      <c r="Q335" s="24" t="str">
        <f t="shared" si="37"/>
        <v>Entregado</v>
      </c>
      <c r="R335" s="25">
        <f>IF(L335="Despachado",NETWORKDAYS.INTL(A335,O335,11,Valores!$A$2:$A$18)-1,"PTE")</f>
        <v>0</v>
      </c>
      <c r="S335" s="25">
        <f>IF(Q335="Entregado",NETWORKDAYS.INTL(A335,P335,11,Valores!$A$2:$A$18)-1,"PTE")</f>
        <v>1</v>
      </c>
      <c r="T335" s="25"/>
      <c r="U335" s="25"/>
      <c r="V335" s="25" t="str">
        <f>IF(Q335="Entregado",IF(S335&lt;=VLOOKUP(K335,Valores!E:F,2,0),"Cumple","No cumple"),"PTE")</f>
        <v>Cumple</v>
      </c>
      <c r="W335" s="25"/>
      <c r="X335" s="29">
        <v>0</v>
      </c>
      <c r="Y335" s="224"/>
      <c r="Z335" s="28"/>
    </row>
    <row r="336" spans="1:26" hidden="1" x14ac:dyDescent="0.3">
      <c r="A336" s="34">
        <v>45761</v>
      </c>
      <c r="B336" s="7" t="str">
        <f t="shared" si="38"/>
        <v>abril</v>
      </c>
      <c r="C336" s="27">
        <v>2522</v>
      </c>
      <c r="D336" s="23" t="s">
        <v>20</v>
      </c>
      <c r="E336" s="142" t="s">
        <v>829</v>
      </c>
      <c r="F336" s="22" t="s">
        <v>129</v>
      </c>
      <c r="G336" s="32" t="str">
        <f>IFERROR(VLOOKUP(F336,Productos!$A$2:$D$258,2,0)," ")</f>
        <v>Electric Standing Desk  PRO Negro</v>
      </c>
      <c r="H336" s="7">
        <v>1</v>
      </c>
      <c r="I336" s="32" t="str">
        <f>IFERROR(VLOOKUP(F336,Productos!$A$2:$D$258,3,0)," ")</f>
        <v>Standing Desk</v>
      </c>
      <c r="J336" s="139" t="s">
        <v>21</v>
      </c>
      <c r="K336" s="139" t="s">
        <v>22</v>
      </c>
      <c r="L336" s="26" t="str">
        <f>IF(O336&gt;0,"Despachado","En alistamiento")</f>
        <v>Despachado</v>
      </c>
      <c r="M336" s="56" t="s">
        <v>238</v>
      </c>
      <c r="N336" s="139" t="s">
        <v>874</v>
      </c>
      <c r="O336" s="150">
        <v>45762.668171296304</v>
      </c>
      <c r="P336" s="151">
        <v>45766.461423611108</v>
      </c>
      <c r="Q336" s="24" t="str">
        <f t="shared" si="37"/>
        <v>Entregado</v>
      </c>
      <c r="R336" s="25">
        <f>IF(L336="Despachado",NETWORKDAYS.INTL(A336,O336,11,Valores!$A$2:$A$18)-1,"PTE")</f>
        <v>1</v>
      </c>
      <c r="S336" s="25">
        <f>IF(Q336="Entregado",NETWORKDAYS.INTL(A336,P336,11,Valores!$A$2:$A$18)-1,"PTE")</f>
        <v>3</v>
      </c>
      <c r="T336" s="25"/>
      <c r="U336" s="25"/>
      <c r="V336" s="25" t="str">
        <f>IF(Q336="Entregado",IF(S336&lt;=VLOOKUP(K336,Valores!E:F,2,0),"Cumple","No cumple"),"PTE")</f>
        <v>Cumple</v>
      </c>
      <c r="W336" s="25"/>
      <c r="X336" s="29">
        <v>28241</v>
      </c>
      <c r="Y336" s="224"/>
      <c r="Z336" s="28"/>
    </row>
    <row r="337" spans="1:26" hidden="1" x14ac:dyDescent="0.3">
      <c r="A337" s="34">
        <v>45761</v>
      </c>
      <c r="B337" s="7" t="str">
        <f t="shared" si="38"/>
        <v>abril</v>
      </c>
      <c r="C337" s="27">
        <v>2522</v>
      </c>
      <c r="D337" s="23" t="s">
        <v>20</v>
      </c>
      <c r="E337" s="142" t="s">
        <v>829</v>
      </c>
      <c r="F337" s="22" t="s">
        <v>312</v>
      </c>
      <c r="G337" s="32" t="str">
        <f>IFERROR(VLOOKUP(F337,Productos!$A$2:$D$258,2,0)," ")</f>
        <v>Superficie  Fresno Europeo 180x70 Moderno</v>
      </c>
      <c r="H337" s="7">
        <v>1</v>
      </c>
      <c r="I337" s="32" t="str">
        <f>IFERROR(VLOOKUP(F337,Productos!$A$2:$D$258,3,0)," ")</f>
        <v>Superficie</v>
      </c>
      <c r="J337" s="139" t="s">
        <v>21</v>
      </c>
      <c r="K337" s="139" t="s">
        <v>22</v>
      </c>
      <c r="L337" s="26" t="str">
        <f>IF(O337&gt;0,"Despachado","En alistamiento")</f>
        <v>Despachado</v>
      </c>
      <c r="M337" s="56" t="s">
        <v>238</v>
      </c>
      <c r="N337" s="139" t="s">
        <v>875</v>
      </c>
      <c r="O337" s="150">
        <v>45762.668171296304</v>
      </c>
      <c r="P337" s="151">
        <v>45766.461423611108</v>
      </c>
      <c r="Q337" s="24" t="str">
        <f t="shared" si="37"/>
        <v>Entregado</v>
      </c>
      <c r="R337" s="25">
        <f>IF(L337="Despachado",NETWORKDAYS.INTL(A337,O337,11,Valores!$A$2:$A$18)-1,"PTE")</f>
        <v>1</v>
      </c>
      <c r="S337" s="25">
        <f>IF(Q337="Entregado",NETWORKDAYS.INTL(A337,P337,11,Valores!$A$2:$A$18)-1,"PTE")</f>
        <v>3</v>
      </c>
      <c r="T337" s="25"/>
      <c r="U337" s="25"/>
      <c r="V337" s="25" t="str">
        <f>IF(Q337="Entregado",IF(S337&lt;=VLOOKUP(K337,Valores!E:F,2,0),"Cumple","No cumple"),"PTE")</f>
        <v>Cumple</v>
      </c>
      <c r="W337" s="25"/>
      <c r="X337" s="29">
        <v>26249</v>
      </c>
      <c r="Y337" s="224"/>
      <c r="Z337" s="28"/>
    </row>
    <row r="338" spans="1:26" hidden="1" x14ac:dyDescent="0.3">
      <c r="A338" s="34">
        <v>45761</v>
      </c>
      <c r="B338" s="7" t="str">
        <f>TEXT(A338,"mmmm")</f>
        <v>abril</v>
      </c>
      <c r="C338" s="27">
        <v>2522</v>
      </c>
      <c r="D338" s="23" t="s">
        <v>20</v>
      </c>
      <c r="E338" s="142" t="s">
        <v>829</v>
      </c>
      <c r="F338" s="40" t="s">
        <v>240</v>
      </c>
      <c r="G338" s="32" t="str">
        <f>IFERROR(VLOOKUP(F338,Productos!$A$2:$D$258,2,0)," ")</f>
        <v>Bandeja de cables</v>
      </c>
      <c r="H338" s="7">
        <v>1</v>
      </c>
      <c r="I338" s="32" t="str">
        <f>IFERROR(VLOOKUP(F338,Productos!$A$2:$D$258,3,0)," ")</f>
        <v>Accesorio</v>
      </c>
      <c r="J338" s="139" t="s">
        <v>21</v>
      </c>
      <c r="K338" s="139" t="s">
        <v>22</v>
      </c>
      <c r="L338" s="26" t="str">
        <f>IF(O338&gt;0,"Despachado","En alistamiento")</f>
        <v>Despachado</v>
      </c>
      <c r="M338" s="56" t="s">
        <v>238</v>
      </c>
      <c r="N338" s="139" t="s">
        <v>876</v>
      </c>
      <c r="O338" s="150">
        <v>45762.668171296304</v>
      </c>
      <c r="P338" s="151">
        <v>45766.461423611108</v>
      </c>
      <c r="Q338" s="24" t="str">
        <f t="shared" si="37"/>
        <v>Entregado</v>
      </c>
      <c r="R338" s="25">
        <f>IF(L338="Despachado",NETWORKDAYS.INTL(A338,O338,11,Valores!$A$2:$A$18)-1,"PTE")</f>
        <v>1</v>
      </c>
      <c r="S338" s="25">
        <f>IF(Q338="Entregado",NETWORKDAYS.INTL(A338,P338,11,Valores!$A$2:$A$18)-1,"PTE")</f>
        <v>3</v>
      </c>
      <c r="T338" s="25"/>
      <c r="U338" s="25"/>
      <c r="V338" s="25" t="str">
        <f>IF(Q338="Entregado",IF(S338&lt;=VLOOKUP(K338,Valores!E:F,2,0),"Cumple","No cumple"),"PTE")</f>
        <v>Cumple</v>
      </c>
      <c r="W338" s="25"/>
      <c r="X338" s="29">
        <v>22920</v>
      </c>
      <c r="Y338" s="224"/>
      <c r="Z338" s="28"/>
    </row>
    <row r="339" spans="1:26" hidden="1" x14ac:dyDescent="0.3">
      <c r="A339" s="34">
        <v>45761</v>
      </c>
      <c r="B339" s="7" t="str">
        <f t="shared" si="38"/>
        <v>abril</v>
      </c>
      <c r="C339" s="27">
        <v>2522</v>
      </c>
      <c r="D339" s="23" t="s">
        <v>20</v>
      </c>
      <c r="E339" s="142" t="s">
        <v>829</v>
      </c>
      <c r="F339" s="40"/>
      <c r="G339" s="32" t="s">
        <v>1796</v>
      </c>
      <c r="H339" s="7">
        <v>1</v>
      </c>
      <c r="I339" s="32" t="s">
        <v>327</v>
      </c>
      <c r="J339" s="139" t="s">
        <v>21</v>
      </c>
      <c r="K339" s="139" t="s">
        <v>22</v>
      </c>
      <c r="L339" s="26" t="s">
        <v>327</v>
      </c>
      <c r="M339" s="56" t="s">
        <v>241</v>
      </c>
      <c r="N339" s="157" t="s">
        <v>241</v>
      </c>
      <c r="O339" s="150" t="s">
        <v>241</v>
      </c>
      <c r="P339" s="151" t="s">
        <v>241</v>
      </c>
      <c r="Q339" s="24" t="str">
        <f t="shared" si="37"/>
        <v>Entregado</v>
      </c>
      <c r="R339" s="25" t="str">
        <f>IF(L339="Despachado",NETWORKDAYS.INTL(A339,O339,11,Valores!$A$2:$A$18)-1,"PTE")</f>
        <v>PTE</v>
      </c>
      <c r="S339" s="25" t="e">
        <f>IF(Q339="Entregado",NETWORKDAYS.INTL(A339,P339,11,Valores!$A$2:$A$18)-1,"PTE")</f>
        <v>#VALUE!</v>
      </c>
      <c r="T339" s="25"/>
      <c r="U339" s="25"/>
      <c r="V339" s="25" t="e">
        <f>IF(Q339="Entregado",IF(S339&lt;=VLOOKUP(K339,Valores!E:F,2,0),"Cumple","No cumple"),"PTE")</f>
        <v>#VALUE!</v>
      </c>
      <c r="W339" s="25"/>
      <c r="X339" s="29">
        <v>0</v>
      </c>
      <c r="Y339" s="224"/>
      <c r="Z339" s="28"/>
    </row>
    <row r="340" spans="1:26" hidden="1" x14ac:dyDescent="0.3">
      <c r="A340" s="34">
        <v>45761</v>
      </c>
      <c r="B340" s="7" t="str">
        <f>TEXT(A340,"mmmm")</f>
        <v>abril</v>
      </c>
      <c r="C340" s="27">
        <v>2522</v>
      </c>
      <c r="D340" s="23" t="s">
        <v>35</v>
      </c>
      <c r="E340" s="142" t="s">
        <v>829</v>
      </c>
      <c r="F340" s="22" t="s">
        <v>312</v>
      </c>
      <c r="G340" s="32" t="str">
        <f>IFERROR(VLOOKUP(F340,Productos!$A$2:$D$258,2,0)," ")</f>
        <v>Superficie  Fresno Europeo 180x70 Moderno</v>
      </c>
      <c r="H340" s="7">
        <v>1</v>
      </c>
      <c r="I340" s="32" t="str">
        <f>IFERROR(VLOOKUP(F340,Productos!$A$2:$D$258,3,0)," ")</f>
        <v>Superficie</v>
      </c>
      <c r="J340" s="139" t="s">
        <v>21</v>
      </c>
      <c r="K340" s="139" t="s">
        <v>22</v>
      </c>
      <c r="L340" s="26" t="str">
        <f t="shared" ref="L340:L347" si="39">IF(O340&gt;0,"Despachado","En alistamiento")</f>
        <v>Despachado</v>
      </c>
      <c r="M340" s="56" t="s">
        <v>238</v>
      </c>
      <c r="N340" s="139" t="s">
        <v>877</v>
      </c>
      <c r="O340" s="150">
        <v>45768.665092592593</v>
      </c>
      <c r="P340" s="151">
        <v>45769.694837962961</v>
      </c>
      <c r="Q340" s="24" t="str">
        <f t="shared" si="37"/>
        <v>Entregado</v>
      </c>
      <c r="R340" s="25">
        <f>IF(L340="Despachado",NETWORKDAYS.INTL(A340,O340,11,Valores!$A$2:$A$18)-1,"PTE")</f>
        <v>4</v>
      </c>
      <c r="S340" s="25">
        <f>IF(Q340="Entregado",NETWORKDAYS.INTL(A340,P340,11,Valores!$A$2:$A$18)-1,"PTE")</f>
        <v>5</v>
      </c>
      <c r="T340" s="25"/>
      <c r="U340" s="25"/>
      <c r="V340" s="25" t="str">
        <f>IF(Q340="Entregado",IF(S340&lt;=VLOOKUP(K340,Valores!E:F,2,0),"Cumple","No cumple"),"PTE")</f>
        <v>No cumple</v>
      </c>
      <c r="W340" s="25"/>
      <c r="X340" s="29">
        <v>26249</v>
      </c>
      <c r="Y340" s="224"/>
      <c r="Z340" s="28"/>
    </row>
    <row r="341" spans="1:26" hidden="1" x14ac:dyDescent="0.3">
      <c r="A341" s="34">
        <v>45761</v>
      </c>
      <c r="B341" s="7" t="str">
        <f>TEXT(A341,"mmmm")</f>
        <v>abril</v>
      </c>
      <c r="C341" s="27">
        <v>2522</v>
      </c>
      <c r="D341" s="23" t="s">
        <v>35</v>
      </c>
      <c r="E341" s="142" t="s">
        <v>829</v>
      </c>
      <c r="F341" s="22" t="s">
        <v>129</v>
      </c>
      <c r="G341" s="32" t="str">
        <f>IFERROR(VLOOKUP(F341,Productos!$A$2:$D$258,2,0)," ")</f>
        <v>Electric Standing Desk  PRO Negro</v>
      </c>
      <c r="H341" s="7">
        <v>1</v>
      </c>
      <c r="I341" s="32" t="str">
        <f>IFERROR(VLOOKUP(F341,Productos!$A$2:$D$258,3,0)," ")</f>
        <v>Standing Desk</v>
      </c>
      <c r="J341" s="139" t="s">
        <v>21</v>
      </c>
      <c r="K341" s="139" t="s">
        <v>22</v>
      </c>
      <c r="L341" s="26" t="str">
        <f t="shared" si="39"/>
        <v>Despachado</v>
      </c>
      <c r="M341" s="56" t="s">
        <v>238</v>
      </c>
      <c r="N341" s="139" t="s">
        <v>878</v>
      </c>
      <c r="O341" s="150">
        <v>45775.637094907397</v>
      </c>
      <c r="P341" s="151">
        <v>45776</v>
      </c>
      <c r="Q341" s="24" t="str">
        <f t="shared" si="37"/>
        <v>Entregado</v>
      </c>
      <c r="R341" s="25">
        <f>IF(L341="Despachado",NETWORKDAYS.INTL(A341,O341,11,Valores!$A$2:$A$18)-1,"PTE")</f>
        <v>10</v>
      </c>
      <c r="S341" s="25">
        <f>IF(Q341="Entregado",NETWORKDAYS.INTL(A341,P341,11,Valores!$A$2:$A$18)-1,"PTE")</f>
        <v>11</v>
      </c>
      <c r="T341" s="25"/>
      <c r="U341" s="25"/>
      <c r="V341" s="25" t="str">
        <f>IF(Q341="Entregado",IF(S341&lt;=VLOOKUP(K341,Valores!E:F,2,0),"Cumple","No cumple"),"PTE")</f>
        <v>No cumple</v>
      </c>
      <c r="W341" s="25"/>
      <c r="X341" s="29">
        <v>28241</v>
      </c>
      <c r="Y341" s="224"/>
      <c r="Z341" s="28"/>
    </row>
    <row r="342" spans="1:26" hidden="1" x14ac:dyDescent="0.3">
      <c r="A342" s="34">
        <v>45762</v>
      </c>
      <c r="B342" s="7" t="str">
        <f t="shared" si="38"/>
        <v>abril</v>
      </c>
      <c r="C342" s="27">
        <v>2523</v>
      </c>
      <c r="D342" s="23" t="s">
        <v>20</v>
      </c>
      <c r="E342" s="142" t="s">
        <v>831</v>
      </c>
      <c r="F342" s="40" t="s">
        <v>280</v>
      </c>
      <c r="G342" s="32" t="str">
        <f>IFERROR(VLOOKUP(F342,Productos!$A$2:$D$258,2,0)," ")</f>
        <v>Rodachines con freno para Standing desk x 4 UN</v>
      </c>
      <c r="H342" s="7">
        <v>1</v>
      </c>
      <c r="I342" s="32" t="str">
        <f>IFERROR(VLOOKUP(F342,Productos!$A$2:$D$258,3,0)," ")</f>
        <v>Ruedas</v>
      </c>
      <c r="J342" s="139" t="s">
        <v>21</v>
      </c>
      <c r="K342" s="144" t="s">
        <v>830</v>
      </c>
      <c r="L342" s="26" t="str">
        <f t="shared" si="39"/>
        <v>Despachado</v>
      </c>
      <c r="M342" s="56" t="s">
        <v>238</v>
      </c>
      <c r="N342" s="139" t="s">
        <v>879</v>
      </c>
      <c r="O342" s="150">
        <v>45762.668171296304</v>
      </c>
      <c r="P342" s="151">
        <v>45766.478275462963</v>
      </c>
      <c r="Q342" s="24" t="str">
        <f t="shared" si="37"/>
        <v>Entregado</v>
      </c>
      <c r="R342" s="25">
        <f>IF(L342="Despachado",NETWORKDAYS.INTL(A342,O342,11,Valores!$A$2:$A$18)-1,"PTE")</f>
        <v>0</v>
      </c>
      <c r="S342" s="25">
        <f>IF(Q342="Entregado",NETWORKDAYS.INTL(A342,P342,11,Valores!$A$2:$A$18)-1,"PTE")</f>
        <v>2</v>
      </c>
      <c r="T342" s="25"/>
      <c r="U342" s="25"/>
      <c r="V342" s="25" t="e">
        <f>IF(Q342="Entregado",IF(S342&lt;=VLOOKUP(K342,Valores!E:F,2,0),"Cumple","No cumple"),"PTE")</f>
        <v>#N/A</v>
      </c>
      <c r="W342" s="25"/>
      <c r="X342" s="29">
        <v>22920</v>
      </c>
      <c r="Y342" s="224"/>
      <c r="Z342" s="28"/>
    </row>
    <row r="343" spans="1:26" hidden="1" x14ac:dyDescent="0.3">
      <c r="A343" s="34">
        <v>45762</v>
      </c>
      <c r="B343" s="7" t="str">
        <f t="shared" si="38"/>
        <v>abril</v>
      </c>
      <c r="C343" s="27">
        <v>2524</v>
      </c>
      <c r="D343" s="23" t="s">
        <v>20</v>
      </c>
      <c r="E343" s="142" t="s">
        <v>832</v>
      </c>
      <c r="F343" s="40" t="s">
        <v>123</v>
      </c>
      <c r="G343" s="32" t="str">
        <f>IFERROR(VLOOKUP(F343,Productos!$A$2:$D$258,2,0)," ")</f>
        <v>Electric Standing Desk GO Negro</v>
      </c>
      <c r="H343" s="7">
        <v>1</v>
      </c>
      <c r="I343" s="32" t="str">
        <f>IFERROR(VLOOKUP(F343,Productos!$A$2:$D$258,3,0)," ")</f>
        <v>Standing Desk</v>
      </c>
      <c r="J343" s="144" t="s">
        <v>24</v>
      </c>
      <c r="K343" s="144" t="s">
        <v>27</v>
      </c>
      <c r="L343" s="26" t="str">
        <f t="shared" si="39"/>
        <v>Despachado</v>
      </c>
      <c r="M343" s="56" t="s">
        <v>238</v>
      </c>
      <c r="N343" s="139" t="s">
        <v>880</v>
      </c>
      <c r="O343" s="150">
        <v>45762.668171296304</v>
      </c>
      <c r="P343" s="151">
        <v>45763.341828703713</v>
      </c>
      <c r="Q343" s="24" t="str">
        <f t="shared" si="37"/>
        <v>Entregado</v>
      </c>
      <c r="R343" s="25">
        <f>IF(L343="Despachado",NETWORKDAYS.INTL(A343,O343,11,Valores!$A$2:$A$18)-1,"PTE")</f>
        <v>0</v>
      </c>
      <c r="S343" s="25">
        <f>IF(Q343="Entregado",NETWORKDAYS.INTL(A343,P343,11,Valores!$A$2:$A$18)-1,"PTE")</f>
        <v>1</v>
      </c>
      <c r="T343" s="25"/>
      <c r="U343" s="25"/>
      <c r="V343" s="25" t="str">
        <f>IF(Q343="Entregado",IF(S343&lt;=VLOOKUP(K343,Valores!E:F,2,0),"Cumple","No cumple"),"PTE")</f>
        <v>Cumple</v>
      </c>
      <c r="W343" s="25"/>
      <c r="X343" s="29">
        <v>26913</v>
      </c>
      <c r="Y343" s="224"/>
      <c r="Z343" s="28"/>
    </row>
    <row r="344" spans="1:26" hidden="1" x14ac:dyDescent="0.3">
      <c r="A344" s="34">
        <v>45762</v>
      </c>
      <c r="B344" s="7" t="str">
        <f t="shared" si="38"/>
        <v>abril</v>
      </c>
      <c r="C344" s="27">
        <v>2524</v>
      </c>
      <c r="D344" s="23" t="s">
        <v>20</v>
      </c>
      <c r="E344" s="142" t="s">
        <v>832</v>
      </c>
      <c r="F344" s="22" t="s">
        <v>143</v>
      </c>
      <c r="G344" s="32" t="str">
        <f>IFERROR(VLOOKUP(F344,Productos!$A$2:$D$258,2,0)," ")</f>
        <v>Superficie  Caramelo 160x70 Clasico</v>
      </c>
      <c r="H344" s="7">
        <v>1</v>
      </c>
      <c r="I344" s="32" t="str">
        <f>IFERROR(VLOOKUP(F344,Productos!$A$2:$D$258,3,0)," ")</f>
        <v>Superficie</v>
      </c>
      <c r="J344" s="144" t="s">
        <v>24</v>
      </c>
      <c r="K344" s="144" t="s">
        <v>27</v>
      </c>
      <c r="L344" s="26" t="str">
        <f t="shared" si="39"/>
        <v>Despachado</v>
      </c>
      <c r="M344" s="56" t="s">
        <v>238</v>
      </c>
      <c r="N344" s="139" t="s">
        <v>881</v>
      </c>
      <c r="O344" s="150">
        <v>45762.668171296304</v>
      </c>
      <c r="P344" s="151">
        <v>45763.341828703713</v>
      </c>
      <c r="Q344" s="24" t="str">
        <f t="shared" si="37"/>
        <v>Entregado</v>
      </c>
      <c r="R344" s="25">
        <f>IF(L344="Despachado",NETWORKDAYS.INTL(A344,O344,11,Valores!$A$2:$A$18)-1,"PTE")</f>
        <v>0</v>
      </c>
      <c r="S344" s="25">
        <f>IF(Q344="Entregado",NETWORKDAYS.INTL(A344,P344,11,Valores!$A$2:$A$18)-1,"PTE")</f>
        <v>1</v>
      </c>
      <c r="T344" s="25"/>
      <c r="U344" s="25"/>
      <c r="V344" s="25" t="str">
        <f>IF(Q344="Entregado",IF(S344&lt;=VLOOKUP(K344,Valores!E:F,2,0),"Cumple","No cumple"),"PTE")</f>
        <v>Cumple</v>
      </c>
      <c r="W344" s="25"/>
      <c r="X344" s="29">
        <v>23593</v>
      </c>
      <c r="Y344" s="224"/>
      <c r="Z344" s="28"/>
    </row>
    <row r="345" spans="1:26" hidden="1" x14ac:dyDescent="0.3">
      <c r="A345" s="34">
        <v>45762</v>
      </c>
      <c r="B345" s="7" t="str">
        <f t="shared" ref="B345:B362" si="40">TEXT(A345,"mmmm")</f>
        <v>abril</v>
      </c>
      <c r="C345" s="27">
        <v>2525</v>
      </c>
      <c r="D345" s="23" t="s">
        <v>20</v>
      </c>
      <c r="E345" s="142" t="s">
        <v>833</v>
      </c>
      <c r="F345" s="40" t="s">
        <v>127</v>
      </c>
      <c r="G345" s="32" t="str">
        <f>IFERROR(VLOOKUP(F345,Productos!$A$2:$D$258,2,0)," ")</f>
        <v>Electric Standing Desk GO Blanco</v>
      </c>
      <c r="H345" s="7">
        <v>1</v>
      </c>
      <c r="I345" s="32" t="str">
        <f>IFERROR(VLOOKUP(F345,Productos!$A$2:$D$258,3,0)," ")</f>
        <v>Standing Desk</v>
      </c>
      <c r="J345" s="139" t="s">
        <v>21</v>
      </c>
      <c r="K345" s="139" t="s">
        <v>22</v>
      </c>
      <c r="L345" s="26" t="str">
        <f t="shared" si="39"/>
        <v>Despachado</v>
      </c>
      <c r="M345" s="56" t="s">
        <v>238</v>
      </c>
      <c r="N345" s="139" t="s">
        <v>882</v>
      </c>
      <c r="O345" s="150">
        <v>45762.668171296304</v>
      </c>
      <c r="P345" s="151">
        <v>45769.639606481483</v>
      </c>
      <c r="Q345" s="24" t="str">
        <f t="shared" si="37"/>
        <v>Entregado</v>
      </c>
      <c r="R345" s="25">
        <f>IF(L345="Despachado",NETWORKDAYS.INTL(A345,O345,11,Valores!$A$2:$A$18)-1,"PTE")</f>
        <v>0</v>
      </c>
      <c r="S345" s="25">
        <f>IF(Q345="Entregado",NETWORKDAYS.INTL(A345,P345,11,Valores!$A$2:$A$18)-1,"PTE")</f>
        <v>4</v>
      </c>
      <c r="T345" s="25"/>
      <c r="U345" s="25"/>
      <c r="V345" s="25" t="str">
        <f>IF(Q345="Entregado",IF(S345&lt;=VLOOKUP(K345,Valores!E:F,2,0),"Cumple","No cumple"),"PTE")</f>
        <v>No cumple</v>
      </c>
      <c r="W345" s="25"/>
      <c r="X345" s="29">
        <v>26913</v>
      </c>
      <c r="Y345" s="224"/>
      <c r="Z345" s="28"/>
    </row>
    <row r="346" spans="1:26" hidden="1" x14ac:dyDescent="0.3">
      <c r="A346" s="34">
        <v>45762</v>
      </c>
      <c r="B346" s="7" t="str">
        <f t="shared" si="40"/>
        <v>abril</v>
      </c>
      <c r="C346" s="27">
        <v>2525</v>
      </c>
      <c r="D346" s="23" t="s">
        <v>20</v>
      </c>
      <c r="E346" s="142" t="s">
        <v>833</v>
      </c>
      <c r="F346" s="40" t="s">
        <v>301</v>
      </c>
      <c r="G346" s="32" t="str">
        <f>IFERROR(VLOOKUP(F346,Productos!$A$2:$D$258,2,0)," ")</f>
        <v>Superficie  Fresno Europeo 120x70 Clasico Small</v>
      </c>
      <c r="H346" s="7">
        <v>1</v>
      </c>
      <c r="I346" s="32" t="str">
        <f>IFERROR(VLOOKUP(F346,Productos!$A$2:$D$258,3,0)," ")</f>
        <v>Superficie</v>
      </c>
      <c r="J346" s="139" t="s">
        <v>21</v>
      </c>
      <c r="K346" s="139" t="s">
        <v>22</v>
      </c>
      <c r="L346" s="26" t="str">
        <f t="shared" si="39"/>
        <v>Despachado</v>
      </c>
      <c r="M346" s="56" t="s">
        <v>238</v>
      </c>
      <c r="N346" s="139" t="s">
        <v>883</v>
      </c>
      <c r="O346" s="150">
        <v>45762.668171296304</v>
      </c>
      <c r="P346" s="151">
        <v>45769.639606481483</v>
      </c>
      <c r="Q346" s="24" t="str">
        <f t="shared" si="37"/>
        <v>Entregado</v>
      </c>
      <c r="R346" s="25">
        <f>IF(L346="Despachado",NETWORKDAYS.INTL(A346,O346,11,Valores!$A$2:$A$18)-1,"PTE")</f>
        <v>0</v>
      </c>
      <c r="S346" s="25">
        <f>IF(Q346="Entregado",NETWORKDAYS.INTL(A346,P346,11,Valores!$A$2:$A$18)-1,"PTE")</f>
        <v>4</v>
      </c>
      <c r="T346" s="25"/>
      <c r="U346" s="25"/>
      <c r="V346" s="25" t="str">
        <f>IF(Q346="Entregado",IF(S346&lt;=VLOOKUP(K346,Valores!E:F,2,0),"Cumple","No cumple"),"PTE")</f>
        <v>No cumple</v>
      </c>
      <c r="W346" s="25"/>
      <c r="X346" s="29">
        <v>23593</v>
      </c>
      <c r="Y346" s="224"/>
      <c r="Z346" s="28"/>
    </row>
    <row r="347" spans="1:26" hidden="1" x14ac:dyDescent="0.3">
      <c r="A347" s="34">
        <v>45762</v>
      </c>
      <c r="B347" s="7" t="str">
        <f t="shared" si="40"/>
        <v>abril</v>
      </c>
      <c r="C347" s="27">
        <v>2526</v>
      </c>
      <c r="D347" s="23" t="s">
        <v>20</v>
      </c>
      <c r="E347" s="142" t="s">
        <v>834</v>
      </c>
      <c r="F347" s="22" t="s">
        <v>129</v>
      </c>
      <c r="G347" s="32" t="str">
        <f>IFERROR(VLOOKUP(F347,Productos!$A$2:$D$258,2,0)," ")</f>
        <v>Electric Standing Desk  PRO Negro</v>
      </c>
      <c r="H347" s="7">
        <v>1</v>
      </c>
      <c r="I347" s="32" t="str">
        <f>IFERROR(VLOOKUP(F347,Productos!$A$2:$D$258,3,0)," ")</f>
        <v>Standing Desk</v>
      </c>
      <c r="J347" s="144" t="s">
        <v>42</v>
      </c>
      <c r="K347" s="144" t="s">
        <v>41</v>
      </c>
      <c r="L347" s="26" t="str">
        <f t="shared" si="39"/>
        <v>Despachado</v>
      </c>
      <c r="M347" s="56" t="s">
        <v>238</v>
      </c>
      <c r="N347" s="139" t="s">
        <v>884</v>
      </c>
      <c r="O347" s="150">
        <v>45762.668171296304</v>
      </c>
      <c r="P347" s="151">
        <v>45768.645613425928</v>
      </c>
      <c r="Q347" s="24" t="str">
        <f t="shared" si="37"/>
        <v>Entregado</v>
      </c>
      <c r="R347" s="25">
        <f>IF(L347="Despachado",NETWORKDAYS.INTL(A347,O347,11,Valores!$A$2:$A$18)-1,"PTE")</f>
        <v>0</v>
      </c>
      <c r="S347" s="25">
        <f>IF(Q347="Entregado",NETWORKDAYS.INTL(A347,P347,11,Valores!$A$2:$A$18)-1,"PTE")</f>
        <v>3</v>
      </c>
      <c r="T347" s="25"/>
      <c r="U347" s="25"/>
      <c r="V347" s="25" t="str">
        <f>IF(Q347="Entregado",IF(S347&lt;=VLOOKUP(K347,Valores!E:F,2,0),"Cumple","No cumple"),"PTE")</f>
        <v>Cumple</v>
      </c>
      <c r="W347" s="25"/>
      <c r="X347" s="29">
        <v>28241</v>
      </c>
      <c r="Y347" s="224"/>
      <c r="Z347" s="28"/>
    </row>
    <row r="348" spans="1:26" hidden="1" x14ac:dyDescent="0.3">
      <c r="A348" s="34">
        <v>45762</v>
      </c>
      <c r="B348" s="7" t="str">
        <f t="shared" si="40"/>
        <v>abril</v>
      </c>
      <c r="C348" s="27">
        <v>2527</v>
      </c>
      <c r="D348" s="23" t="s">
        <v>20</v>
      </c>
      <c r="E348" s="142" t="s">
        <v>835</v>
      </c>
      <c r="F348" s="40" t="s">
        <v>123</v>
      </c>
      <c r="G348" s="32" t="str">
        <f>IFERROR(VLOOKUP(F348,Productos!$A$2:$D$258,2,0)," ")</f>
        <v>Electric Standing Desk GO Negro</v>
      </c>
      <c r="H348" s="7">
        <v>1</v>
      </c>
      <c r="I348" s="32" t="str">
        <f>IFERROR(VLOOKUP(F348,Productos!$A$2:$D$258,3,0)," ")</f>
        <v>Standing Desk</v>
      </c>
      <c r="J348" s="144" t="s">
        <v>24</v>
      </c>
      <c r="K348" s="144" t="s">
        <v>27</v>
      </c>
      <c r="L348" s="26" t="str">
        <f t="shared" ref="L348:L357" si="41">IF(O348&gt;0,"Despachado","En alistamiento")</f>
        <v>Despachado</v>
      </c>
      <c r="M348" s="56" t="s">
        <v>238</v>
      </c>
      <c r="N348" s="139" t="s">
        <v>885</v>
      </c>
      <c r="O348" s="150">
        <v>45769.660370370373</v>
      </c>
      <c r="P348" s="151">
        <v>45771.544733796298</v>
      </c>
      <c r="Q348" s="24" t="str">
        <f t="shared" si="37"/>
        <v>Entregado</v>
      </c>
      <c r="R348" s="25">
        <f>IF(L348="Despachado",NETWORKDAYS.INTL(A348,O348,11,Valores!$A$2:$A$18)-1,"PTE")</f>
        <v>4</v>
      </c>
      <c r="S348" s="25">
        <f>IF(Q348="Entregado",NETWORKDAYS.INTL(A348,P348,11,Valores!$A$2:$A$18)-1,"PTE")</f>
        <v>6</v>
      </c>
      <c r="T348" s="25"/>
      <c r="U348" s="25"/>
      <c r="V348" s="25" t="str">
        <f>IF(Q348="Entregado",IF(S348&lt;=VLOOKUP(K348,Valores!E:F,2,0),"Cumple","No cumple"),"PTE")</f>
        <v>No cumple</v>
      </c>
      <c r="W348" s="25"/>
      <c r="X348" s="29">
        <v>26913</v>
      </c>
      <c r="Y348" s="224"/>
      <c r="Z348" s="28"/>
    </row>
    <row r="349" spans="1:26" hidden="1" x14ac:dyDescent="0.3">
      <c r="A349" s="34">
        <v>45762</v>
      </c>
      <c r="B349" s="7" t="str">
        <f t="shared" si="40"/>
        <v>abril</v>
      </c>
      <c r="C349" s="27">
        <v>2527</v>
      </c>
      <c r="D349" s="23" t="s">
        <v>20</v>
      </c>
      <c r="E349" s="142" t="s">
        <v>835</v>
      </c>
      <c r="F349" s="22" t="s">
        <v>155</v>
      </c>
      <c r="G349" s="32" t="str">
        <f>IFERROR(VLOOKUP(F349,Productos!$A$2:$D$258,2,0)," ")</f>
        <v>Superficie  Roble Negro 160x70 Clasico</v>
      </c>
      <c r="H349" s="7">
        <v>1</v>
      </c>
      <c r="I349" s="32" t="str">
        <f>IFERROR(VLOOKUP(F349,Productos!$A$2:$D$258,3,0)," ")</f>
        <v>Superficie</v>
      </c>
      <c r="J349" s="144" t="s">
        <v>24</v>
      </c>
      <c r="K349" s="144" t="s">
        <v>27</v>
      </c>
      <c r="L349" s="26" t="str">
        <f t="shared" si="41"/>
        <v>Despachado</v>
      </c>
      <c r="M349" s="56" t="s">
        <v>238</v>
      </c>
      <c r="N349" s="139" t="s">
        <v>886</v>
      </c>
      <c r="O349" s="150">
        <v>45769.660370370373</v>
      </c>
      <c r="P349" s="151">
        <v>45770.539571759262</v>
      </c>
      <c r="Q349" s="24" t="str">
        <f t="shared" si="37"/>
        <v>Entregado</v>
      </c>
      <c r="R349" s="25">
        <f>IF(L349="Despachado",NETWORKDAYS.INTL(A349,O349,11,Valores!$A$2:$A$18)-1,"PTE")</f>
        <v>4</v>
      </c>
      <c r="S349" s="25">
        <f>IF(Q349="Entregado",NETWORKDAYS.INTL(A349,P349,11,Valores!$A$2:$A$18)-1,"PTE")</f>
        <v>5</v>
      </c>
      <c r="T349" s="25"/>
      <c r="U349" s="25"/>
      <c r="V349" s="25" t="str">
        <f>IF(Q349="Entregado",IF(S349&lt;=VLOOKUP(K349,Valores!E:F,2,0),"Cumple","No cumple"),"PTE")</f>
        <v>No cumple</v>
      </c>
      <c r="W349" s="25"/>
      <c r="X349" s="29">
        <v>23593</v>
      </c>
      <c r="Y349" s="224"/>
      <c r="Z349" s="28"/>
    </row>
    <row r="350" spans="1:26" hidden="1" x14ac:dyDescent="0.3">
      <c r="A350" s="34">
        <v>45762</v>
      </c>
      <c r="B350" s="7" t="str">
        <f t="shared" si="40"/>
        <v>abril</v>
      </c>
      <c r="C350" s="27">
        <v>2527</v>
      </c>
      <c r="D350" s="23" t="s">
        <v>20</v>
      </c>
      <c r="E350" s="142" t="s">
        <v>835</v>
      </c>
      <c r="F350" s="40" t="s">
        <v>87</v>
      </c>
      <c r="G350" s="32" t="str">
        <f>IFERROR(VLOOKUP(F350,Productos!$A$2:$D$258,2,0)," ")</f>
        <v>Desk Stool Negra Silla ajustable</v>
      </c>
      <c r="H350" s="7">
        <v>1</v>
      </c>
      <c r="I350" s="32" t="str">
        <f>IFERROR(VLOOKUP(F350,Productos!$A$2:$D$258,3,0)," ")</f>
        <v>Silla</v>
      </c>
      <c r="J350" s="144" t="s">
        <v>24</v>
      </c>
      <c r="K350" s="144" t="s">
        <v>27</v>
      </c>
      <c r="L350" s="26" t="str">
        <f t="shared" si="41"/>
        <v>Despachado</v>
      </c>
      <c r="M350" s="56" t="s">
        <v>238</v>
      </c>
      <c r="N350" s="139" t="s">
        <v>889</v>
      </c>
      <c r="O350" s="150">
        <v>45769.660370370373</v>
      </c>
      <c r="P350" s="151">
        <v>45770.535474537042</v>
      </c>
      <c r="Q350" s="24" t="str">
        <f t="shared" si="37"/>
        <v>Entregado</v>
      </c>
      <c r="R350" s="25">
        <f>IF(L350="Despachado",NETWORKDAYS.INTL(A350,O350,11,Valores!$A$2:$A$18)-1,"PTE")</f>
        <v>4</v>
      </c>
      <c r="S350" s="25">
        <f>IF(Q350="Entregado",NETWORKDAYS.INTL(A350,P350,11,Valores!$A$2:$A$18)-1,"PTE")</f>
        <v>5</v>
      </c>
      <c r="T350" s="25"/>
      <c r="U350" s="25"/>
      <c r="V350" s="25" t="str">
        <f>IF(Q350="Entregado",IF(S350&lt;=VLOOKUP(K350,Valores!E:F,2,0),"Cumple","No cumple"),"PTE")</f>
        <v>No cumple</v>
      </c>
      <c r="W350" s="25"/>
      <c r="X350" s="29">
        <v>22929</v>
      </c>
      <c r="Y350" s="224"/>
      <c r="Z350" s="28"/>
    </row>
    <row r="351" spans="1:26" hidden="1" x14ac:dyDescent="0.3">
      <c r="A351" s="34">
        <v>45762</v>
      </c>
      <c r="B351" s="7" t="str">
        <f t="shared" si="40"/>
        <v>abril</v>
      </c>
      <c r="C351" s="27">
        <v>2527</v>
      </c>
      <c r="D351" s="23" t="s">
        <v>20</v>
      </c>
      <c r="E351" s="142" t="s">
        <v>835</v>
      </c>
      <c r="F351" s="40" t="s">
        <v>123</v>
      </c>
      <c r="G351" s="32" t="str">
        <f>IFERROR(VLOOKUP(F351,Productos!$A$2:$D$258,2,0)," ")</f>
        <v>Electric Standing Desk GO Negro</v>
      </c>
      <c r="H351" s="7">
        <v>1</v>
      </c>
      <c r="I351" s="32" t="str">
        <f>IFERROR(VLOOKUP(F351,Productos!$A$2:$D$258,3,0)," ")</f>
        <v>Standing Desk</v>
      </c>
      <c r="J351" s="144" t="s">
        <v>24</v>
      </c>
      <c r="K351" s="144" t="s">
        <v>27</v>
      </c>
      <c r="L351" s="26" t="str">
        <f>IF(O351&gt;0,"Despachado","En alistamiento")</f>
        <v>Despachado</v>
      </c>
      <c r="M351" s="56" t="s">
        <v>238</v>
      </c>
      <c r="N351" s="139" t="s">
        <v>887</v>
      </c>
      <c r="O351" s="150">
        <v>45769.660370370373</v>
      </c>
      <c r="P351" s="151">
        <v>45770.535474537042</v>
      </c>
      <c r="Q351" s="24" t="str">
        <f t="shared" si="37"/>
        <v>Entregado</v>
      </c>
      <c r="R351" s="25">
        <f>IF(L351="Despachado",NETWORKDAYS.INTL(A351,O351,11,Valores!$A$2:$A$18)-1,"PTE")</f>
        <v>4</v>
      </c>
      <c r="S351" s="25">
        <f>IF(Q351="Entregado",NETWORKDAYS.INTL(A351,P351,11,Valores!$A$2:$A$18)-1,"PTE")</f>
        <v>5</v>
      </c>
      <c r="T351" s="25"/>
      <c r="U351" s="25"/>
      <c r="V351" s="25" t="str">
        <f>IF(Q351="Entregado",IF(S351&lt;=VLOOKUP(K351,Valores!E:F,2,0),"Cumple","No cumple"),"PTE")</f>
        <v>No cumple</v>
      </c>
      <c r="W351" s="25"/>
      <c r="X351" s="29">
        <v>26913</v>
      </c>
      <c r="Y351" s="224"/>
      <c r="Z351" s="28"/>
    </row>
    <row r="352" spans="1:26" hidden="1" x14ac:dyDescent="0.3">
      <c r="A352" s="34">
        <v>45762</v>
      </c>
      <c r="B352" s="7" t="str">
        <f t="shared" si="40"/>
        <v>abril</v>
      </c>
      <c r="C352" s="27">
        <v>2527</v>
      </c>
      <c r="D352" s="23" t="s">
        <v>20</v>
      </c>
      <c r="E352" s="142" t="s">
        <v>835</v>
      </c>
      <c r="F352" s="22" t="s">
        <v>155</v>
      </c>
      <c r="G352" s="32" t="str">
        <f>IFERROR(VLOOKUP(F352,Productos!$A$2:$D$258,2,0)," ")</f>
        <v>Superficie  Roble Negro 160x70 Clasico</v>
      </c>
      <c r="H352" s="7">
        <v>1</v>
      </c>
      <c r="I352" s="32" t="str">
        <f>IFERROR(VLOOKUP(F352,Productos!$A$2:$D$258,3,0)," ")</f>
        <v>Superficie</v>
      </c>
      <c r="J352" s="144" t="s">
        <v>24</v>
      </c>
      <c r="K352" s="144" t="s">
        <v>27</v>
      </c>
      <c r="L352" s="26" t="str">
        <f>IF(O352&gt;0,"Despachado","En alistamiento")</f>
        <v>Despachado</v>
      </c>
      <c r="M352" s="56" t="s">
        <v>238</v>
      </c>
      <c r="N352" s="139" t="s">
        <v>888</v>
      </c>
      <c r="O352" s="150">
        <v>45769.660370370373</v>
      </c>
      <c r="P352" s="151">
        <v>45770.539571759262</v>
      </c>
      <c r="Q352" s="24" t="str">
        <f t="shared" si="37"/>
        <v>Entregado</v>
      </c>
      <c r="R352" s="25">
        <f>IF(L352="Despachado",NETWORKDAYS.INTL(A352,O352,11,Valores!$A$2:$A$18)-1,"PTE")</f>
        <v>4</v>
      </c>
      <c r="S352" s="25">
        <f>IF(Q352="Entregado",NETWORKDAYS.INTL(A352,P352,11,Valores!$A$2:$A$18)-1,"PTE")</f>
        <v>5</v>
      </c>
      <c r="T352" s="25"/>
      <c r="U352" s="25"/>
      <c r="V352" s="25" t="str">
        <f>IF(Q352="Entregado",IF(S352&lt;=VLOOKUP(K352,Valores!E:F,2,0),"Cumple","No cumple"),"PTE")</f>
        <v>No cumple</v>
      </c>
      <c r="W352" s="25"/>
      <c r="X352" s="29">
        <v>23593</v>
      </c>
      <c r="Y352" s="224"/>
      <c r="Z352" s="28"/>
    </row>
    <row r="353" spans="1:26" hidden="1" x14ac:dyDescent="0.3">
      <c r="A353" s="34">
        <v>45762</v>
      </c>
      <c r="B353" s="7" t="str">
        <f t="shared" si="40"/>
        <v>abril</v>
      </c>
      <c r="C353" s="27">
        <v>2527</v>
      </c>
      <c r="D353" s="23" t="s">
        <v>20</v>
      </c>
      <c r="E353" s="142" t="s">
        <v>835</v>
      </c>
      <c r="F353" s="40" t="s">
        <v>87</v>
      </c>
      <c r="G353" s="32" t="str">
        <f>IFERROR(VLOOKUP(F353,Productos!$A$2:$D$258,2,0)," ")</f>
        <v>Desk Stool Negra Silla ajustable</v>
      </c>
      <c r="H353" s="7">
        <v>1</v>
      </c>
      <c r="I353" s="32" t="str">
        <f>IFERROR(VLOOKUP(F353,Productos!$A$2:$D$258,3,0)," ")</f>
        <v>Silla</v>
      </c>
      <c r="J353" s="144" t="s">
        <v>24</v>
      </c>
      <c r="K353" s="144" t="s">
        <v>27</v>
      </c>
      <c r="L353" s="26" t="str">
        <f>IF(O353&gt;0,"Despachado","En alistamiento")</f>
        <v>Despachado</v>
      </c>
      <c r="M353" s="56" t="s">
        <v>238</v>
      </c>
      <c r="N353" s="139" t="s">
        <v>890</v>
      </c>
      <c r="O353" s="150">
        <v>45769.660370370373</v>
      </c>
      <c r="P353" s="151">
        <v>45770.535474537042</v>
      </c>
      <c r="Q353" s="24" t="str">
        <f t="shared" si="37"/>
        <v>Entregado</v>
      </c>
      <c r="R353" s="25">
        <f>IF(L353="Despachado",NETWORKDAYS.INTL(A353,O353,11,Valores!$A$2:$A$18)-1,"PTE")</f>
        <v>4</v>
      </c>
      <c r="S353" s="25">
        <f>IF(Q353="Entregado",NETWORKDAYS.INTL(A353,P353,11,Valores!$A$2:$A$18)-1,"PTE")</f>
        <v>5</v>
      </c>
      <c r="T353" s="25"/>
      <c r="U353" s="25"/>
      <c r="V353" s="25" t="str">
        <f>IF(Q353="Entregado",IF(S353&lt;=VLOOKUP(K353,Valores!E:F,2,0),"Cumple","No cumple"),"PTE")</f>
        <v>No cumple</v>
      </c>
      <c r="W353" s="25"/>
      <c r="X353" s="29">
        <v>22929</v>
      </c>
      <c r="Y353" s="224"/>
      <c r="Z353" s="28"/>
    </row>
    <row r="354" spans="1:26" hidden="1" x14ac:dyDescent="0.3">
      <c r="A354" s="34">
        <v>45762</v>
      </c>
      <c r="B354" s="7" t="str">
        <f t="shared" si="40"/>
        <v>abril</v>
      </c>
      <c r="C354" s="27">
        <v>2527</v>
      </c>
      <c r="D354" s="23" t="s">
        <v>20</v>
      </c>
      <c r="E354" s="142" t="s">
        <v>835</v>
      </c>
      <c r="F354" s="40"/>
      <c r="G354" s="32" t="s">
        <v>1796</v>
      </c>
      <c r="H354" s="7">
        <v>1</v>
      </c>
      <c r="I354" s="32" t="s">
        <v>327</v>
      </c>
      <c r="J354" s="144" t="s">
        <v>24</v>
      </c>
      <c r="K354" s="144" t="s">
        <v>27</v>
      </c>
      <c r="L354" s="26" t="s">
        <v>327</v>
      </c>
      <c r="M354" s="56" t="s">
        <v>241</v>
      </c>
      <c r="N354" s="157" t="s">
        <v>241</v>
      </c>
      <c r="O354" s="150" t="s">
        <v>241</v>
      </c>
      <c r="P354" s="151" t="s">
        <v>241</v>
      </c>
      <c r="Q354" s="24" t="str">
        <f t="shared" si="37"/>
        <v>Entregado</v>
      </c>
      <c r="R354" s="25" t="str">
        <f>IF(L354="Despachado",NETWORKDAYS.INTL(A354,O354,11,Valores!$A$2:$A$18)-1,"PTE")</f>
        <v>PTE</v>
      </c>
      <c r="S354" s="25" t="e">
        <f>IF(Q354="Entregado",NETWORKDAYS.INTL(A354,P354,11,Valores!$A$2:$A$18)-1,"PTE")</f>
        <v>#VALUE!</v>
      </c>
      <c r="T354" s="25"/>
      <c r="U354" s="25"/>
      <c r="V354" s="25" t="e">
        <f>IF(Q354="Entregado",IF(S354&lt;=VLOOKUP(K354,Valores!E:F,2,0),"Cumple","No cumple"),"PTE")</f>
        <v>#VALUE!</v>
      </c>
      <c r="W354" s="25"/>
      <c r="X354" s="29">
        <v>0</v>
      </c>
      <c r="Y354" s="224"/>
      <c r="Z354" s="28"/>
    </row>
    <row r="355" spans="1:26" hidden="1" x14ac:dyDescent="0.3">
      <c r="A355" s="34">
        <v>45763</v>
      </c>
      <c r="B355" s="7" t="str">
        <f t="shared" si="40"/>
        <v>abril</v>
      </c>
      <c r="C355" s="27">
        <v>2528</v>
      </c>
      <c r="D355" s="23" t="s">
        <v>20</v>
      </c>
      <c r="E355" s="142" t="s">
        <v>836</v>
      </c>
      <c r="F355" s="22" t="s">
        <v>129</v>
      </c>
      <c r="G355" s="32" t="str">
        <f>IFERROR(VLOOKUP(F355,Productos!$A$2:$D$258,2,0)," ")</f>
        <v>Electric Standing Desk  PRO Negro</v>
      </c>
      <c r="H355" s="7">
        <v>1</v>
      </c>
      <c r="I355" s="32" t="str">
        <f>IFERROR(VLOOKUP(F355,Productos!$A$2:$D$258,3,0)," ")</f>
        <v>Standing Desk</v>
      </c>
      <c r="J355" s="139" t="s">
        <v>21</v>
      </c>
      <c r="K355" s="139" t="s">
        <v>22</v>
      </c>
      <c r="L355" s="26" t="str">
        <f t="shared" si="41"/>
        <v>Despachado</v>
      </c>
      <c r="M355" s="56" t="s">
        <v>238</v>
      </c>
      <c r="N355" s="139" t="s">
        <v>891</v>
      </c>
      <c r="O355" s="150">
        <v>45772.624432870369</v>
      </c>
      <c r="P355" s="151">
        <v>45773.656180555547</v>
      </c>
      <c r="Q355" s="24" t="str">
        <f t="shared" si="37"/>
        <v>Entregado</v>
      </c>
      <c r="R355" s="25">
        <f>IF(L355="Despachado",NETWORKDAYS.INTL(A355,O355,11,Valores!$A$2:$A$18)-1,"PTE")</f>
        <v>6</v>
      </c>
      <c r="S355" s="25">
        <f>IF(Q355="Entregado",NETWORKDAYS.INTL(A355,P355,11,Valores!$A$2:$A$18)-1,"PTE")</f>
        <v>7</v>
      </c>
      <c r="T355" s="25"/>
      <c r="U355" s="25"/>
      <c r="V355" s="25" t="str">
        <f>IF(Q355="Entregado",IF(S355&lt;=VLOOKUP(K355,Valores!E:F,2,0),"Cumple","No cumple"),"PTE")</f>
        <v>No cumple</v>
      </c>
      <c r="W355" s="25"/>
      <c r="X355" s="29">
        <v>28241</v>
      </c>
      <c r="Y355" s="224"/>
      <c r="Z355" s="28"/>
    </row>
    <row r="356" spans="1:26" hidden="1" x14ac:dyDescent="0.3">
      <c r="A356" s="34">
        <v>45763</v>
      </c>
      <c r="B356" s="7" t="str">
        <f t="shared" si="40"/>
        <v>abril</v>
      </c>
      <c r="C356" s="27">
        <v>2528</v>
      </c>
      <c r="D356" s="23" t="s">
        <v>20</v>
      </c>
      <c r="E356" s="142" t="s">
        <v>836</v>
      </c>
      <c r="F356" s="40" t="s">
        <v>262</v>
      </c>
      <c r="G356" s="32" t="str">
        <f>IFERROR(VLOOKUP(F356,Productos!$A$2:$D$258,2,0)," ")</f>
        <v>Superficie Roble Miel 150x70 Clasico</v>
      </c>
      <c r="H356" s="7">
        <v>1</v>
      </c>
      <c r="I356" s="32" t="str">
        <f>IFERROR(VLOOKUP(F356,Productos!$A$2:$D$258,3,0)," ")</f>
        <v>Superficie</v>
      </c>
      <c r="J356" s="139" t="s">
        <v>21</v>
      </c>
      <c r="K356" s="139" t="s">
        <v>22</v>
      </c>
      <c r="L356" s="26" t="str">
        <f t="shared" si="41"/>
        <v>Despachado</v>
      </c>
      <c r="M356" s="56" t="s">
        <v>238</v>
      </c>
      <c r="N356" s="139" t="s">
        <v>892</v>
      </c>
      <c r="O356" s="150">
        <v>45772.624432870369</v>
      </c>
      <c r="P356" s="151">
        <v>45773.656180555547</v>
      </c>
      <c r="Q356" s="24" t="str">
        <f t="shared" si="37"/>
        <v>Entregado</v>
      </c>
      <c r="R356" s="25">
        <f>IF(L356="Despachado",NETWORKDAYS.INTL(A356,O356,11,Valores!$A$2:$A$18)-1,"PTE")</f>
        <v>6</v>
      </c>
      <c r="S356" s="25">
        <f>IF(Q356="Entregado",NETWORKDAYS.INTL(A356,P356,11,Valores!$A$2:$A$18)-1,"PTE")</f>
        <v>7</v>
      </c>
      <c r="T356" s="25"/>
      <c r="U356" s="25"/>
      <c r="V356" s="25" t="str">
        <f>IF(Q356="Entregado",IF(S356&lt;=VLOOKUP(K356,Valores!E:F,2,0),"Cumple","No cumple"),"PTE")</f>
        <v>No cumple</v>
      </c>
      <c r="W356" s="25"/>
      <c r="X356" s="29">
        <v>23593</v>
      </c>
      <c r="Y356" s="224"/>
      <c r="Z356" s="28"/>
    </row>
    <row r="357" spans="1:26" hidden="1" x14ac:dyDescent="0.3">
      <c r="A357" s="34">
        <v>45763</v>
      </c>
      <c r="B357" s="7" t="str">
        <f t="shared" si="40"/>
        <v>abril</v>
      </c>
      <c r="C357" s="27">
        <v>2528</v>
      </c>
      <c r="D357" s="23" t="s">
        <v>20</v>
      </c>
      <c r="E357" s="142" t="s">
        <v>836</v>
      </c>
      <c r="F357" s="40" t="s">
        <v>240</v>
      </c>
      <c r="G357" s="32" t="str">
        <f>IFERROR(VLOOKUP(F357,Productos!$A$2:$D$258,2,0)," ")</f>
        <v>Bandeja de cables</v>
      </c>
      <c r="H357" s="7">
        <v>1</v>
      </c>
      <c r="I357" s="32" t="str">
        <f>IFERROR(VLOOKUP(F357,Productos!$A$2:$D$258,3,0)," ")</f>
        <v>Accesorio</v>
      </c>
      <c r="J357" s="139" t="s">
        <v>21</v>
      </c>
      <c r="K357" s="139" t="s">
        <v>22</v>
      </c>
      <c r="L357" s="26" t="str">
        <f t="shared" si="41"/>
        <v>Despachado</v>
      </c>
      <c r="M357" s="56" t="s">
        <v>238</v>
      </c>
      <c r="N357" s="139" t="s">
        <v>893</v>
      </c>
      <c r="O357" s="150">
        <v>45772.624432870369</v>
      </c>
      <c r="P357" s="151">
        <v>45773.656180555547</v>
      </c>
      <c r="Q357" s="24" t="str">
        <f t="shared" si="37"/>
        <v>Entregado</v>
      </c>
      <c r="R357" s="25">
        <f>IF(L357="Despachado",NETWORKDAYS.INTL(A357,O357,11,Valores!$A$2:$A$18)-1,"PTE")</f>
        <v>6</v>
      </c>
      <c r="S357" s="25">
        <f>IF(Q357="Entregado",NETWORKDAYS.INTL(A357,P357,11,Valores!$A$2:$A$18)-1,"PTE")</f>
        <v>7</v>
      </c>
      <c r="T357" s="25"/>
      <c r="U357" s="25"/>
      <c r="V357" s="25" t="str">
        <f>IF(Q357="Entregado",IF(S357&lt;=VLOOKUP(K357,Valores!E:F,2,0),"Cumple","No cumple"),"PTE")</f>
        <v>No cumple</v>
      </c>
      <c r="W357" s="25"/>
      <c r="X357" s="29">
        <v>22920</v>
      </c>
      <c r="Y357" s="224"/>
      <c r="Z357" s="28"/>
    </row>
    <row r="358" spans="1:26" hidden="1" x14ac:dyDescent="0.3">
      <c r="A358" s="34">
        <v>45763</v>
      </c>
      <c r="B358" s="7" t="str">
        <f t="shared" si="40"/>
        <v>abril</v>
      </c>
      <c r="C358" s="27">
        <v>2528</v>
      </c>
      <c r="D358" s="23" t="s">
        <v>20</v>
      </c>
      <c r="E358" s="142" t="s">
        <v>836</v>
      </c>
      <c r="F358" s="40"/>
      <c r="G358" s="32" t="s">
        <v>1796</v>
      </c>
      <c r="H358" s="7">
        <v>1</v>
      </c>
      <c r="I358" s="32" t="s">
        <v>327</v>
      </c>
      <c r="J358" s="139" t="s">
        <v>21</v>
      </c>
      <c r="K358" s="139" t="s">
        <v>22</v>
      </c>
      <c r="L358" s="26" t="s">
        <v>327</v>
      </c>
      <c r="M358" s="56" t="s">
        <v>241</v>
      </c>
      <c r="N358" s="157" t="s">
        <v>241</v>
      </c>
      <c r="O358" s="150" t="s">
        <v>241</v>
      </c>
      <c r="P358" s="151" t="s">
        <v>241</v>
      </c>
      <c r="Q358" s="24" t="str">
        <f t="shared" si="37"/>
        <v>Entregado</v>
      </c>
      <c r="R358" s="25" t="str">
        <f>IF(L358="Despachado",NETWORKDAYS.INTL(A358,O358,11,Valores!$A$2:$A$18)-1,"PTE")</f>
        <v>PTE</v>
      </c>
      <c r="S358" s="25" t="e">
        <f>IF(Q358="Entregado",NETWORKDAYS.INTL(A358,P358,11,Valores!$A$2:$A$18)-1,"PTE")</f>
        <v>#VALUE!</v>
      </c>
      <c r="T358" s="25"/>
      <c r="U358" s="25"/>
      <c r="V358" s="25" t="e">
        <f>IF(Q358="Entregado",IF(S358&lt;=VLOOKUP(K358,Valores!E:F,2,0),"Cumple","No cumple"),"PTE")</f>
        <v>#VALUE!</v>
      </c>
      <c r="W358" s="25"/>
      <c r="X358" s="29">
        <v>0</v>
      </c>
      <c r="Y358" s="224"/>
      <c r="Z358" s="28"/>
    </row>
    <row r="359" spans="1:26" hidden="1" x14ac:dyDescent="0.3">
      <c r="A359" s="34">
        <v>45766</v>
      </c>
      <c r="B359" s="7" t="str">
        <f t="shared" si="40"/>
        <v>abril</v>
      </c>
      <c r="C359" s="27">
        <v>2529</v>
      </c>
      <c r="D359" s="23" t="s">
        <v>20</v>
      </c>
      <c r="E359" s="142" t="s">
        <v>837</v>
      </c>
      <c r="F359" s="40" t="s">
        <v>730</v>
      </c>
      <c r="G359" s="32" t="str">
        <f>IFERROR(VLOOKUP(F359,Productos!$A$2:$D$258,2,0)," ")</f>
        <v>Electric Standing Desk  PRO Blanco circular</v>
      </c>
      <c r="H359" s="7">
        <v>1</v>
      </c>
      <c r="I359" s="32" t="str">
        <f>IFERROR(VLOOKUP(F359,Productos!$A$2:$D$258,3,0)," ")</f>
        <v>Standing Desk</v>
      </c>
      <c r="J359" s="139" t="s">
        <v>21</v>
      </c>
      <c r="K359" s="139" t="s">
        <v>22</v>
      </c>
      <c r="L359" s="26" t="str">
        <f>IF(O359&gt;0,"Despachado","En alistamiento")</f>
        <v>Despachado</v>
      </c>
      <c r="M359" s="56" t="s">
        <v>238</v>
      </c>
      <c r="N359" s="139" t="s">
        <v>894</v>
      </c>
      <c r="O359" s="150">
        <v>45768.665092592593</v>
      </c>
      <c r="P359" s="151">
        <v>45769.675011574072</v>
      </c>
      <c r="Q359" s="24" t="str">
        <f t="shared" si="37"/>
        <v>Entregado</v>
      </c>
      <c r="R359" s="25">
        <f>IF(L359="Despachado",NETWORKDAYS.INTL(A359,O359,11,Valores!$A$2:$A$18)-1,"PTE")</f>
        <v>1</v>
      </c>
      <c r="S359" s="25">
        <f>IF(Q359="Entregado",NETWORKDAYS.INTL(A359,P359,11,Valores!$A$2:$A$18)-1,"PTE")</f>
        <v>2</v>
      </c>
      <c r="T359" s="25"/>
      <c r="U359" s="25"/>
      <c r="V359" s="25" t="str">
        <f>IF(Q359="Entregado",IF(S359&lt;=VLOOKUP(K359,Valores!E:F,2,0),"Cumple","No cumple"),"PTE")</f>
        <v>Cumple</v>
      </c>
      <c r="W359" s="25"/>
      <c r="X359" s="29">
        <v>28241</v>
      </c>
      <c r="Y359" s="224"/>
      <c r="Z359" s="28"/>
    </row>
    <row r="360" spans="1:26" hidden="1" x14ac:dyDescent="0.3">
      <c r="A360" s="34">
        <v>45766</v>
      </c>
      <c r="B360" s="7" t="str">
        <f t="shared" si="40"/>
        <v>abril</v>
      </c>
      <c r="C360" s="27">
        <v>2529</v>
      </c>
      <c r="D360" s="23" t="s">
        <v>20</v>
      </c>
      <c r="E360" s="142" t="s">
        <v>837</v>
      </c>
      <c r="F360" s="40" t="s">
        <v>304</v>
      </c>
      <c r="G360" s="32" t="str">
        <f>IFERROR(VLOOKUP(F360,Productos!$A$2:$D$258,2,0)," ")</f>
        <v>Superficie  Fresno Europeo 150x70 Clasico</v>
      </c>
      <c r="H360" s="7">
        <v>1</v>
      </c>
      <c r="I360" s="32" t="str">
        <f>IFERROR(VLOOKUP(F360,Productos!$A$2:$D$258,3,0)," ")</f>
        <v>Superficie</v>
      </c>
      <c r="J360" s="139" t="s">
        <v>21</v>
      </c>
      <c r="K360" s="139" t="s">
        <v>22</v>
      </c>
      <c r="L360" s="26" t="str">
        <f>IF(O360&gt;0,"Despachado","En alistamiento")</f>
        <v>Despachado</v>
      </c>
      <c r="M360" s="56" t="s">
        <v>238</v>
      </c>
      <c r="N360" s="139" t="s">
        <v>895</v>
      </c>
      <c r="O360" s="150">
        <v>45768.665092592593</v>
      </c>
      <c r="P360" s="151">
        <v>45769.675011574072</v>
      </c>
      <c r="Q360" s="24" t="str">
        <f t="shared" si="37"/>
        <v>Entregado</v>
      </c>
      <c r="R360" s="25">
        <f>IF(L360="Despachado",NETWORKDAYS.INTL(A360,O360,11,Valores!$A$2:$A$18)-1,"PTE")</f>
        <v>1</v>
      </c>
      <c r="S360" s="25">
        <f>IF(Q360="Entregado",NETWORKDAYS.INTL(A360,P360,11,Valores!$A$2:$A$18)-1,"PTE")</f>
        <v>2</v>
      </c>
      <c r="T360" s="25"/>
      <c r="U360" s="25"/>
      <c r="V360" s="25" t="str">
        <f>IF(Q360="Entregado",IF(S360&lt;=VLOOKUP(K360,Valores!E:F,2,0),"Cumple","No cumple"),"PTE")</f>
        <v>Cumple</v>
      </c>
      <c r="W360" s="25"/>
      <c r="X360" s="29">
        <v>23593</v>
      </c>
      <c r="Y360" s="224"/>
      <c r="Z360" s="28"/>
    </row>
    <row r="361" spans="1:26" hidden="1" x14ac:dyDescent="0.3">
      <c r="A361" s="34">
        <v>45766</v>
      </c>
      <c r="B361" s="7" t="str">
        <f t="shared" si="40"/>
        <v>abril</v>
      </c>
      <c r="C361" s="27">
        <v>2529</v>
      </c>
      <c r="D361" s="23" t="s">
        <v>20</v>
      </c>
      <c r="E361" s="142" t="s">
        <v>837</v>
      </c>
      <c r="F361" s="40"/>
      <c r="G361" s="32" t="s">
        <v>1796</v>
      </c>
      <c r="H361" s="7">
        <v>1</v>
      </c>
      <c r="I361" s="32" t="s">
        <v>327</v>
      </c>
      <c r="J361" s="139" t="s">
        <v>21</v>
      </c>
      <c r="K361" s="139" t="s">
        <v>22</v>
      </c>
      <c r="L361" s="26" t="s">
        <v>327</v>
      </c>
      <c r="M361" s="56" t="s">
        <v>241</v>
      </c>
      <c r="N361" s="157" t="s">
        <v>241</v>
      </c>
      <c r="O361" s="150" t="s">
        <v>241</v>
      </c>
      <c r="P361" s="151" t="s">
        <v>241</v>
      </c>
      <c r="Q361" s="24" t="str">
        <f t="shared" si="37"/>
        <v>Entregado</v>
      </c>
      <c r="R361" s="25" t="str">
        <f>IF(L361="Despachado",NETWORKDAYS.INTL(A361,O361,11,Valores!$A$2:$A$18)-1,"PTE")</f>
        <v>PTE</v>
      </c>
      <c r="S361" s="25" t="e">
        <f>IF(Q361="Entregado",NETWORKDAYS.INTL(A361,P361,11,Valores!$A$2:$A$18)-1,"PTE")</f>
        <v>#VALUE!</v>
      </c>
      <c r="T361" s="25"/>
      <c r="U361" s="25"/>
      <c r="V361" s="25" t="e">
        <f>IF(Q361="Entregado",IF(S361&lt;=VLOOKUP(K361,Valores!E:F,2,0),"Cumple","No cumple"),"PTE")</f>
        <v>#VALUE!</v>
      </c>
      <c r="W361" s="25"/>
      <c r="X361" s="29">
        <v>0</v>
      </c>
      <c r="Y361" s="224"/>
      <c r="Z361" s="28"/>
    </row>
    <row r="362" spans="1:26" hidden="1" x14ac:dyDescent="0.3">
      <c r="A362" s="34">
        <v>45768</v>
      </c>
      <c r="B362" s="7" t="str">
        <f t="shared" si="40"/>
        <v>abril</v>
      </c>
      <c r="C362" s="27">
        <v>2530</v>
      </c>
      <c r="D362" s="23" t="s">
        <v>20</v>
      </c>
      <c r="E362" s="142" t="s">
        <v>838</v>
      </c>
      <c r="F362" s="40" t="s">
        <v>87</v>
      </c>
      <c r="G362" s="32" t="str">
        <f>IFERROR(VLOOKUP(F362,Productos!$A$2:$D$258,2,0)," ")</f>
        <v>Desk Stool Negra Silla ajustable</v>
      </c>
      <c r="H362" s="7">
        <v>1</v>
      </c>
      <c r="I362" s="32" t="str">
        <f>IFERROR(VLOOKUP(F362,Productos!$A$2:$D$258,3,0)," ")</f>
        <v>Silla</v>
      </c>
      <c r="J362" s="144" t="s">
        <v>24</v>
      </c>
      <c r="K362" s="144" t="s">
        <v>209</v>
      </c>
      <c r="L362" s="26" t="str">
        <f>IF(O362&gt;0,"Despachado","En alistamiento")</f>
        <v>Despachado</v>
      </c>
      <c r="M362" s="56" t="s">
        <v>238</v>
      </c>
      <c r="N362" s="139" t="s">
        <v>896</v>
      </c>
      <c r="O362" s="150">
        <v>45768.665092592593</v>
      </c>
      <c r="P362" s="151">
        <v>45769.478530092587</v>
      </c>
      <c r="Q362" s="24" t="str">
        <f t="shared" si="37"/>
        <v>Entregado</v>
      </c>
      <c r="R362" s="25">
        <f>IF(L362="Despachado",NETWORKDAYS.INTL(A362,O362,11,Valores!$A$2:$A$18)-1,"PTE")</f>
        <v>0</v>
      </c>
      <c r="S362" s="25">
        <f>IF(Q362="Entregado",NETWORKDAYS.INTL(A362,P362,11,Valores!$A$2:$A$18)-1,"PTE")</f>
        <v>1</v>
      </c>
      <c r="T362" s="25"/>
      <c r="U362" s="25"/>
      <c r="V362" s="25" t="str">
        <f>IF(Q362="Entregado",IF(S362&lt;=VLOOKUP(K362,Valores!E:F,2,0),"Cumple","No cumple"),"PTE")</f>
        <v>Cumple</v>
      </c>
      <c r="W362" s="25"/>
      <c r="X362" s="29">
        <v>22929</v>
      </c>
      <c r="Y362" s="224"/>
      <c r="Z362" s="28"/>
    </row>
    <row r="363" spans="1:26" hidden="1" x14ac:dyDescent="0.3">
      <c r="A363" s="34">
        <v>45768</v>
      </c>
      <c r="B363" s="7" t="str">
        <f t="shared" ref="B363:B374" si="42">TEXT(A363,"mmmm")</f>
        <v>abril</v>
      </c>
      <c r="C363" s="27">
        <v>2531</v>
      </c>
      <c r="D363" s="23" t="s">
        <v>20</v>
      </c>
      <c r="E363" s="142" t="s">
        <v>839</v>
      </c>
      <c r="F363" s="40" t="s">
        <v>123</v>
      </c>
      <c r="G363" s="32" t="str">
        <f>IFERROR(VLOOKUP(F363,Productos!$A$2:$D$258,2,0)," ")</f>
        <v>Electric Standing Desk GO Negro</v>
      </c>
      <c r="H363" s="7">
        <v>1</v>
      </c>
      <c r="I363" s="32" t="str">
        <f>IFERROR(VLOOKUP(F363,Productos!$A$2:$D$258,3,0)," ")</f>
        <v>Standing Desk</v>
      </c>
      <c r="J363" s="144" t="s">
        <v>194</v>
      </c>
      <c r="K363" s="144" t="s">
        <v>210</v>
      </c>
      <c r="L363" s="26" t="str">
        <f>IF(O363&gt;0,"Despachado","En alistamiento")</f>
        <v>Despachado</v>
      </c>
      <c r="M363" s="56" t="s">
        <v>238</v>
      </c>
      <c r="N363" s="139" t="s">
        <v>897</v>
      </c>
      <c r="O363" s="150">
        <v>45768.665092592593</v>
      </c>
      <c r="P363" s="151">
        <v>45769.756956018522</v>
      </c>
      <c r="Q363" s="24" t="str">
        <f t="shared" si="37"/>
        <v>Entregado</v>
      </c>
      <c r="R363" s="25">
        <f>IF(L363="Despachado",NETWORKDAYS.INTL(A363,O363,11,Valores!$A$2:$A$18)-1,"PTE")</f>
        <v>0</v>
      </c>
      <c r="S363" s="25">
        <f>IF(Q363="Entregado",NETWORKDAYS.INTL(A363,P363,11,Valores!$A$2:$A$18)-1,"PTE")</f>
        <v>1</v>
      </c>
      <c r="T363" s="25"/>
      <c r="U363" s="25"/>
      <c r="V363" s="25" t="str">
        <f>IF(Q363="Entregado",IF(S363&lt;=VLOOKUP(K363,Valores!E:F,2,0),"Cumple","No cumple"),"PTE")</f>
        <v>Cumple</v>
      </c>
      <c r="W363" s="25"/>
      <c r="X363" s="29">
        <v>39191</v>
      </c>
      <c r="Y363" s="224"/>
      <c r="Z363" s="28"/>
    </row>
    <row r="364" spans="1:26" hidden="1" x14ac:dyDescent="0.3">
      <c r="A364" s="34">
        <v>45768</v>
      </c>
      <c r="B364" s="7" t="str">
        <f t="shared" si="42"/>
        <v>abril</v>
      </c>
      <c r="C364" s="27">
        <v>2531</v>
      </c>
      <c r="D364" s="23" t="s">
        <v>20</v>
      </c>
      <c r="E364" s="142" t="s">
        <v>839</v>
      </c>
      <c r="F364" s="22" t="s">
        <v>153</v>
      </c>
      <c r="G364" s="32" t="str">
        <f>IFERROR(VLOOKUP(F364,Productos!$A$2:$D$258,2,0)," ")</f>
        <v>Superficie  Roble Negro 130x70 Clasico</v>
      </c>
      <c r="H364" s="7">
        <v>1</v>
      </c>
      <c r="I364" s="32" t="str">
        <f>IFERROR(VLOOKUP(F364,Productos!$A$2:$D$258,3,0)," ")</f>
        <v>Superficie</v>
      </c>
      <c r="J364" s="144" t="s">
        <v>194</v>
      </c>
      <c r="K364" s="144" t="s">
        <v>210</v>
      </c>
      <c r="L364" s="26" t="str">
        <f>IF(O364&gt;0,"Despachado","En alistamiento")</f>
        <v>Despachado</v>
      </c>
      <c r="M364" s="56" t="s">
        <v>238</v>
      </c>
      <c r="N364" s="139" t="s">
        <v>898</v>
      </c>
      <c r="O364" s="150">
        <v>45768.665092592593</v>
      </c>
      <c r="P364" s="151">
        <v>45769.756956018522</v>
      </c>
      <c r="Q364" s="24" t="str">
        <f t="shared" si="37"/>
        <v>Entregado</v>
      </c>
      <c r="R364" s="25">
        <f>IF(L364="Despachado",NETWORKDAYS.INTL(A364,O364,11,Valores!$A$2:$A$18)-1,"PTE")</f>
        <v>0</v>
      </c>
      <c r="S364" s="25">
        <f>IF(Q364="Entregado",NETWORKDAYS.INTL(A364,P364,11,Valores!$A$2:$A$18)-1,"PTE")</f>
        <v>1</v>
      </c>
      <c r="T364" s="25"/>
      <c r="U364" s="25"/>
      <c r="V364" s="25" t="str">
        <f>IF(Q364="Entregado",IF(S364&lt;=VLOOKUP(K364,Valores!E:F,2,0),"Cumple","No cumple"),"PTE")</f>
        <v>Cumple</v>
      </c>
      <c r="W364" s="25"/>
      <c r="X364" s="29">
        <v>33679</v>
      </c>
      <c r="Y364" s="224"/>
      <c r="Z364" s="28"/>
    </row>
    <row r="365" spans="1:26" hidden="1" x14ac:dyDescent="0.3">
      <c r="A365" s="34">
        <v>45769</v>
      </c>
      <c r="B365" s="7" t="str">
        <f t="shared" si="42"/>
        <v>abril</v>
      </c>
      <c r="C365" s="27">
        <v>2532</v>
      </c>
      <c r="D365" s="23" t="s">
        <v>20</v>
      </c>
      <c r="E365" s="142" t="s">
        <v>840</v>
      </c>
      <c r="F365" s="22" t="s">
        <v>129</v>
      </c>
      <c r="G365" s="32" t="str">
        <f>IFERROR(VLOOKUP(F365,Productos!$A$2:$D$258,2,0)," ")</f>
        <v>Electric Standing Desk  PRO Negro</v>
      </c>
      <c r="H365" s="7">
        <v>1</v>
      </c>
      <c r="I365" s="32" t="str">
        <f>IFERROR(VLOOKUP(F365,Productos!$A$2:$D$258,3,0)," ")</f>
        <v>Standing Desk</v>
      </c>
      <c r="J365" s="139" t="s">
        <v>21</v>
      </c>
      <c r="K365" s="139" t="s">
        <v>22</v>
      </c>
      <c r="L365" s="26" t="str">
        <f>IF(O365&gt;0,"Despachado","En alistamiento")</f>
        <v>Despachado</v>
      </c>
      <c r="M365" s="56" t="s">
        <v>238</v>
      </c>
      <c r="N365" s="139" t="s">
        <v>899</v>
      </c>
      <c r="O365" s="150">
        <v>45769.660370370373</v>
      </c>
      <c r="P365" s="151">
        <v>45770.65996527778</v>
      </c>
      <c r="Q365" s="24" t="str">
        <f t="shared" si="37"/>
        <v>Entregado</v>
      </c>
      <c r="R365" s="25">
        <f>IF(L365="Despachado",NETWORKDAYS.INTL(A365,O365,11,Valores!$A$2:$A$18)-1,"PTE")</f>
        <v>0</v>
      </c>
      <c r="S365" s="25">
        <f>IF(Q365="Entregado",NETWORKDAYS.INTL(A365,P365,11,Valores!$A$2:$A$18)-1,"PTE")</f>
        <v>1</v>
      </c>
      <c r="T365" s="25"/>
      <c r="U365" s="25"/>
      <c r="V365" s="25" t="str">
        <f>IF(Q365="Entregado",IF(S365&lt;=VLOOKUP(K365,Valores!E:F,2,0),"Cumple","No cumple"),"PTE")</f>
        <v>Cumple</v>
      </c>
      <c r="W365" s="25"/>
      <c r="X365" s="29">
        <v>28241</v>
      </c>
      <c r="Y365" s="224"/>
      <c r="Z365" s="28"/>
    </row>
    <row r="366" spans="1:26" hidden="1" x14ac:dyDescent="0.3">
      <c r="A366" s="34">
        <v>45769</v>
      </c>
      <c r="B366" s="7" t="str">
        <f t="shared" si="42"/>
        <v>abril</v>
      </c>
      <c r="C366" s="27">
        <v>2532</v>
      </c>
      <c r="D366" s="23" t="s">
        <v>20</v>
      </c>
      <c r="E366" s="142" t="s">
        <v>840</v>
      </c>
      <c r="F366" s="22"/>
      <c r="G366" s="32" t="s">
        <v>1796</v>
      </c>
      <c r="H366" s="7">
        <v>1</v>
      </c>
      <c r="I366" s="32" t="s">
        <v>327</v>
      </c>
      <c r="J366" s="139" t="s">
        <v>21</v>
      </c>
      <c r="K366" s="139" t="s">
        <v>22</v>
      </c>
      <c r="L366" s="26" t="s">
        <v>327</v>
      </c>
      <c r="M366" s="56" t="s">
        <v>241</v>
      </c>
      <c r="N366" s="157" t="s">
        <v>241</v>
      </c>
      <c r="O366" s="150" t="s">
        <v>241</v>
      </c>
      <c r="P366" s="151" t="s">
        <v>241</v>
      </c>
      <c r="Q366" s="24" t="str">
        <f t="shared" si="37"/>
        <v>Entregado</v>
      </c>
      <c r="R366" s="25" t="str">
        <f>IF(L366="Despachado",NETWORKDAYS.INTL(A366,O366,11,Valores!$A$2:$A$18)-1,"PTE")</f>
        <v>PTE</v>
      </c>
      <c r="S366" s="25" t="e">
        <f>IF(Q366="Entregado",NETWORKDAYS.INTL(A366,P366,11,Valores!$A$2:$A$18)-1,"PTE")</f>
        <v>#VALUE!</v>
      </c>
      <c r="T366" s="25"/>
      <c r="U366" s="25"/>
      <c r="V366" s="25" t="e">
        <f>IF(Q366="Entregado",IF(S366&lt;=VLOOKUP(K366,Valores!E:F,2,0),"Cumple","No cumple"),"PTE")</f>
        <v>#VALUE!</v>
      </c>
      <c r="W366" s="25"/>
      <c r="X366" s="29">
        <v>0</v>
      </c>
      <c r="Y366" s="224"/>
      <c r="Z366" s="28"/>
    </row>
    <row r="367" spans="1:26" hidden="1" x14ac:dyDescent="0.3">
      <c r="A367" s="34">
        <v>45770</v>
      </c>
      <c r="B367" s="7" t="str">
        <f t="shared" si="42"/>
        <v>abril</v>
      </c>
      <c r="C367" s="27">
        <v>2533</v>
      </c>
      <c r="D367" s="23" t="s">
        <v>20</v>
      </c>
      <c r="E367" s="142" t="s">
        <v>841</v>
      </c>
      <c r="F367" s="40" t="s">
        <v>730</v>
      </c>
      <c r="G367" s="32" t="str">
        <f>IFERROR(VLOOKUP(F367,Productos!$A$2:$D$258,2,0)," ")</f>
        <v>Electric Standing Desk  PRO Blanco circular</v>
      </c>
      <c r="H367" s="7">
        <v>1</v>
      </c>
      <c r="I367" s="32" t="str">
        <f>IFERROR(VLOOKUP(F367,Productos!$A$2:$D$258,3,0)," ")</f>
        <v>Standing Desk</v>
      </c>
      <c r="J367" s="139" t="s">
        <v>21</v>
      </c>
      <c r="K367" s="139" t="s">
        <v>22</v>
      </c>
      <c r="L367" s="26" t="str">
        <f>IF(O367&gt;0,"Despachado","En alistamiento")</f>
        <v>Despachado</v>
      </c>
      <c r="M367" s="56" t="s">
        <v>238</v>
      </c>
      <c r="N367" s="139" t="s">
        <v>900</v>
      </c>
      <c r="O367" s="150">
        <v>45770.645289351851</v>
      </c>
      <c r="P367" s="151">
        <v>45772.644375000003</v>
      </c>
      <c r="Q367" s="24" t="str">
        <f t="shared" si="37"/>
        <v>Entregado</v>
      </c>
      <c r="R367" s="25">
        <f>IF(L367="Despachado",NETWORKDAYS.INTL(A367,O367,11,Valores!$A$2:$A$18)-1,"PTE")</f>
        <v>0</v>
      </c>
      <c r="S367" s="25">
        <f>IF(Q367="Entregado",NETWORKDAYS.INTL(A367,P367,11,Valores!$A$2:$A$18)-1,"PTE")</f>
        <v>2</v>
      </c>
      <c r="T367" s="25"/>
      <c r="U367" s="25"/>
      <c r="V367" s="25" t="str">
        <f>IF(Q367="Entregado",IF(S367&lt;=VLOOKUP(K367,Valores!E:F,2,0),"Cumple","No cumple"),"PTE")</f>
        <v>Cumple</v>
      </c>
      <c r="W367" s="25"/>
      <c r="X367" s="29">
        <v>28241</v>
      </c>
      <c r="Y367" s="224"/>
      <c r="Z367" s="28"/>
    </row>
    <row r="368" spans="1:26" hidden="1" x14ac:dyDescent="0.3">
      <c r="A368" s="34">
        <v>45770</v>
      </c>
      <c r="B368" s="7" t="str">
        <f t="shared" si="42"/>
        <v>abril</v>
      </c>
      <c r="C368" s="27">
        <v>2533</v>
      </c>
      <c r="D368" s="23" t="s">
        <v>20</v>
      </c>
      <c r="E368" s="142" t="s">
        <v>841</v>
      </c>
      <c r="F368" s="22" t="s">
        <v>301</v>
      </c>
      <c r="G368" s="32" t="str">
        <f>IFERROR(VLOOKUP(F368,Productos!$A$2:$D$258,2,0)," ")</f>
        <v>Superficie  Fresno Europeo 120x70 Clasico Small</v>
      </c>
      <c r="H368" s="7">
        <v>1</v>
      </c>
      <c r="I368" s="32" t="str">
        <f>IFERROR(VLOOKUP(F368,Productos!$A$2:$D$258,3,0)," ")</f>
        <v>Superficie</v>
      </c>
      <c r="J368" s="139" t="s">
        <v>21</v>
      </c>
      <c r="K368" s="139" t="s">
        <v>22</v>
      </c>
      <c r="L368" s="26" t="str">
        <f>IF(O368&gt;0,"Despachado","En alistamiento")</f>
        <v>Despachado</v>
      </c>
      <c r="M368" s="56" t="s">
        <v>238</v>
      </c>
      <c r="N368" s="139" t="s">
        <v>901</v>
      </c>
      <c r="O368" s="150">
        <v>45770.645289351851</v>
      </c>
      <c r="P368" s="151">
        <v>45772.644375000003</v>
      </c>
      <c r="Q368" s="24" t="str">
        <f t="shared" si="37"/>
        <v>Entregado</v>
      </c>
      <c r="R368" s="25">
        <f>IF(L368="Despachado",NETWORKDAYS.INTL(A368,O368,11,Valores!$A$2:$A$18)-1,"PTE")</f>
        <v>0</v>
      </c>
      <c r="S368" s="25">
        <f>IF(Q368="Entregado",NETWORKDAYS.INTL(A368,P368,11,Valores!$A$2:$A$18)-1,"PTE")</f>
        <v>2</v>
      </c>
      <c r="T368" s="25"/>
      <c r="U368" s="25"/>
      <c r="V368" s="25" t="str">
        <f>IF(Q368="Entregado",IF(S368&lt;=VLOOKUP(K368,Valores!E:F,2,0),"Cumple","No cumple"),"PTE")</f>
        <v>Cumple</v>
      </c>
      <c r="W368" s="25"/>
      <c r="X368" s="29">
        <v>28241</v>
      </c>
      <c r="Y368" s="224"/>
      <c r="Z368" s="28"/>
    </row>
    <row r="369" spans="1:26" hidden="1" x14ac:dyDescent="0.3">
      <c r="A369" s="34">
        <v>45771</v>
      </c>
      <c r="B369" s="7" t="str">
        <f t="shared" si="42"/>
        <v>abril</v>
      </c>
      <c r="C369" s="27">
        <v>2534</v>
      </c>
      <c r="D369" s="23" t="s">
        <v>20</v>
      </c>
      <c r="E369" s="142" t="s">
        <v>842</v>
      </c>
      <c r="F369" s="40" t="s">
        <v>730</v>
      </c>
      <c r="G369" s="32" t="str">
        <f>IFERROR(VLOOKUP(F369,Productos!$A$2:$D$258,2,0)," ")</f>
        <v>Electric Standing Desk  PRO Blanco circular</v>
      </c>
      <c r="H369" s="7">
        <v>1</v>
      </c>
      <c r="I369" s="32" t="str">
        <f>IFERROR(VLOOKUP(F369,Productos!$A$2:$D$258,3,0)," ")</f>
        <v>Standing Desk</v>
      </c>
      <c r="J369" s="139" t="s">
        <v>21</v>
      </c>
      <c r="K369" s="139" t="s">
        <v>22</v>
      </c>
      <c r="L369" s="26" t="str">
        <f t="shared" ref="L369:L374" si="43">IF(O369&gt;0,"Despachado","En alistamiento")</f>
        <v>Despachado</v>
      </c>
      <c r="M369" s="56" t="s">
        <v>238</v>
      </c>
      <c r="N369" s="139" t="s">
        <v>902</v>
      </c>
      <c r="O369" s="150">
        <v>45771.702002314807</v>
      </c>
      <c r="P369" s="151">
        <v>45773.464247685188</v>
      </c>
      <c r="Q369" s="24" t="str">
        <f t="shared" si="37"/>
        <v>Entregado</v>
      </c>
      <c r="R369" s="25">
        <f>IF(L369="Despachado",NETWORKDAYS.INTL(A369,O369,11,Valores!$A$2:$A$18)-1,"PTE")</f>
        <v>0</v>
      </c>
      <c r="S369" s="25">
        <f>IF(Q369="Entregado",NETWORKDAYS.INTL(A369,P369,11,Valores!$A$2:$A$18)-1,"PTE")</f>
        <v>2</v>
      </c>
      <c r="T369" s="25"/>
      <c r="U369" s="25"/>
      <c r="V369" s="25" t="str">
        <f>IF(Q369="Entregado",IF(S369&lt;=VLOOKUP(K369,Valores!E:F,2,0),"Cumple","No cumple"),"PTE")</f>
        <v>Cumple</v>
      </c>
      <c r="W369" s="25"/>
      <c r="X369" s="29">
        <v>28241</v>
      </c>
      <c r="Y369" s="224"/>
      <c r="Z369" s="28"/>
    </row>
    <row r="370" spans="1:26" hidden="1" x14ac:dyDescent="0.3">
      <c r="A370" s="34">
        <v>45771</v>
      </c>
      <c r="B370" s="7" t="str">
        <f t="shared" si="42"/>
        <v>abril</v>
      </c>
      <c r="C370" s="27">
        <v>2534</v>
      </c>
      <c r="D370" s="23" t="s">
        <v>20</v>
      </c>
      <c r="E370" s="142" t="s">
        <v>842</v>
      </c>
      <c r="F370" s="40" t="s">
        <v>108</v>
      </c>
      <c r="G370" s="32" t="str">
        <f>IFERROR(VLOOKUP(F370,Productos!$A$2:$D$258,2,0)," ")</f>
        <v>Superficie Niebla 120x70 Clasico Small</v>
      </c>
      <c r="H370" s="7">
        <v>1</v>
      </c>
      <c r="I370" s="32" t="str">
        <f>IFERROR(VLOOKUP(F370,Productos!$A$2:$D$258,3,0)," ")</f>
        <v>Superficie</v>
      </c>
      <c r="J370" s="139" t="s">
        <v>21</v>
      </c>
      <c r="K370" s="139" t="s">
        <v>22</v>
      </c>
      <c r="L370" s="26" t="str">
        <f t="shared" si="43"/>
        <v>Despachado</v>
      </c>
      <c r="M370" s="56" t="s">
        <v>238</v>
      </c>
      <c r="N370" s="139" t="s">
        <v>903</v>
      </c>
      <c r="O370" s="150">
        <v>45771.701331018521</v>
      </c>
      <c r="P370" s="151">
        <v>45773.478634259263</v>
      </c>
      <c r="Q370" s="24" t="str">
        <f t="shared" si="37"/>
        <v>Entregado</v>
      </c>
      <c r="R370" s="25">
        <f>IF(L370="Despachado",NETWORKDAYS.INTL(A370,O370,11,Valores!$A$2:$A$18)-1,"PTE")</f>
        <v>0</v>
      </c>
      <c r="S370" s="25">
        <f>IF(Q370="Entregado",NETWORKDAYS.INTL(A370,P370,11,Valores!$A$2:$A$18)-1,"PTE")</f>
        <v>2</v>
      </c>
      <c r="T370" s="25"/>
      <c r="U370" s="25"/>
      <c r="V370" s="25" t="str">
        <f>IF(Q370="Entregado",IF(S370&lt;=VLOOKUP(K370,Valores!E:F,2,0),"Cumple","No cumple"),"PTE")</f>
        <v>Cumple</v>
      </c>
      <c r="W370" s="25"/>
      <c r="X370" s="29">
        <v>28241</v>
      </c>
      <c r="Y370" s="224"/>
      <c r="Z370" s="28"/>
    </row>
    <row r="371" spans="1:26" hidden="1" x14ac:dyDescent="0.3">
      <c r="A371" s="34">
        <v>45771</v>
      </c>
      <c r="B371" s="7" t="str">
        <f t="shared" si="42"/>
        <v>abril</v>
      </c>
      <c r="C371" s="27">
        <v>2534</v>
      </c>
      <c r="D371" s="23" t="s">
        <v>20</v>
      </c>
      <c r="E371" s="142" t="s">
        <v>842</v>
      </c>
      <c r="F371" s="40" t="s">
        <v>240</v>
      </c>
      <c r="G371" s="32" t="str">
        <f>IFERROR(VLOOKUP(F371,Productos!$A$2:$D$258,2,0)," ")</f>
        <v>Bandeja de cables</v>
      </c>
      <c r="H371" s="7">
        <v>1</v>
      </c>
      <c r="I371" s="32" t="str">
        <f>IFERROR(VLOOKUP(F371,Productos!$A$2:$D$258,3,0)," ")</f>
        <v>Accesorio</v>
      </c>
      <c r="J371" s="139" t="s">
        <v>21</v>
      </c>
      <c r="K371" s="139" t="s">
        <v>22</v>
      </c>
      <c r="L371" s="26" t="str">
        <f t="shared" si="43"/>
        <v>Despachado</v>
      </c>
      <c r="M371" s="56" t="s">
        <v>238</v>
      </c>
      <c r="N371" s="139" t="s">
        <v>906</v>
      </c>
      <c r="O371" s="150">
        <v>45771.702002314807</v>
      </c>
      <c r="P371" s="151">
        <v>45772.750567129631</v>
      </c>
      <c r="Q371" s="24" t="str">
        <f t="shared" si="37"/>
        <v>Entregado</v>
      </c>
      <c r="R371" s="25">
        <f>IF(L371="Despachado",NETWORKDAYS.INTL(A371,O371,11,Valores!$A$2:$A$18)-1,"PTE")</f>
        <v>0</v>
      </c>
      <c r="S371" s="25">
        <f>IF(Q371="Entregado",NETWORKDAYS.INTL(A371,P371,11,Valores!$A$2:$A$18)-1,"PTE")</f>
        <v>1</v>
      </c>
      <c r="T371" s="25"/>
      <c r="U371" s="25"/>
      <c r="V371" s="25" t="str">
        <f>IF(Q371="Entregado",IF(S371&lt;=VLOOKUP(K371,Valores!E:F,2,0),"Cumple","No cumple"),"PTE")</f>
        <v>Cumple</v>
      </c>
      <c r="W371" s="25"/>
      <c r="X371" s="29">
        <v>22920</v>
      </c>
      <c r="Y371" s="224"/>
      <c r="Z371" s="28"/>
    </row>
    <row r="372" spans="1:26" hidden="1" x14ac:dyDescent="0.3">
      <c r="A372" s="34">
        <v>45771</v>
      </c>
      <c r="B372" s="7" t="str">
        <f t="shared" si="42"/>
        <v>abril</v>
      </c>
      <c r="C372" s="27">
        <v>2534</v>
      </c>
      <c r="D372" s="23" t="s">
        <v>20</v>
      </c>
      <c r="E372" s="142" t="s">
        <v>842</v>
      </c>
      <c r="F372" s="40" t="s">
        <v>730</v>
      </c>
      <c r="G372" s="32" t="str">
        <f>IFERROR(VLOOKUP(F372,Productos!$A$2:$D$258,2,0)," ")</f>
        <v>Electric Standing Desk  PRO Blanco circular</v>
      </c>
      <c r="H372" s="7">
        <v>1</v>
      </c>
      <c r="I372" s="32" t="str">
        <f>IFERROR(VLOOKUP(F372,Productos!$A$2:$D$258,3,0)," ")</f>
        <v>Standing Desk</v>
      </c>
      <c r="J372" s="139" t="s">
        <v>21</v>
      </c>
      <c r="K372" s="139" t="s">
        <v>22</v>
      </c>
      <c r="L372" s="26" t="str">
        <f t="shared" si="43"/>
        <v>Despachado</v>
      </c>
      <c r="M372" s="56" t="s">
        <v>238</v>
      </c>
      <c r="N372" s="139" t="s">
        <v>904</v>
      </c>
      <c r="O372" s="150">
        <v>45771.702002314807</v>
      </c>
      <c r="P372" s="151">
        <v>45773.479942129627</v>
      </c>
      <c r="Q372" s="24" t="str">
        <f t="shared" si="37"/>
        <v>Entregado</v>
      </c>
      <c r="R372" s="25">
        <f>IF(L372="Despachado",NETWORKDAYS.INTL(A372,O372,11,Valores!$A$2:$A$18)-1,"PTE")</f>
        <v>0</v>
      </c>
      <c r="S372" s="25">
        <f>IF(Q372="Entregado",NETWORKDAYS.INTL(A372,P372,11,Valores!$A$2:$A$18)-1,"PTE")</f>
        <v>2</v>
      </c>
      <c r="T372" s="25"/>
      <c r="U372" s="25"/>
      <c r="V372" s="25" t="str">
        <f>IF(Q372="Entregado",IF(S372&lt;=VLOOKUP(K372,Valores!E:F,2,0),"Cumple","No cumple"),"PTE")</f>
        <v>Cumple</v>
      </c>
      <c r="W372" s="25"/>
      <c r="X372" s="29">
        <v>28241</v>
      </c>
      <c r="Y372" s="224"/>
      <c r="Z372" s="28"/>
    </row>
    <row r="373" spans="1:26" hidden="1" x14ac:dyDescent="0.3">
      <c r="A373" s="34">
        <v>45771</v>
      </c>
      <c r="B373" s="7" t="str">
        <f t="shared" si="42"/>
        <v>abril</v>
      </c>
      <c r="C373" s="27">
        <v>2534</v>
      </c>
      <c r="D373" s="23" t="s">
        <v>20</v>
      </c>
      <c r="E373" s="142" t="s">
        <v>842</v>
      </c>
      <c r="F373" s="40" t="s">
        <v>108</v>
      </c>
      <c r="G373" s="32" t="str">
        <f>IFERROR(VLOOKUP(F373,Productos!$A$2:$D$258,2,0)," ")</f>
        <v>Superficie Niebla 120x70 Clasico Small</v>
      </c>
      <c r="H373" s="7">
        <v>1</v>
      </c>
      <c r="I373" s="32" t="str">
        <f>IFERROR(VLOOKUP(F373,Productos!$A$2:$D$258,3,0)," ")</f>
        <v>Superficie</v>
      </c>
      <c r="J373" s="139" t="s">
        <v>21</v>
      </c>
      <c r="K373" s="139" t="s">
        <v>22</v>
      </c>
      <c r="L373" s="26" t="str">
        <f t="shared" si="43"/>
        <v>Despachado</v>
      </c>
      <c r="M373" s="56" t="s">
        <v>238</v>
      </c>
      <c r="N373" s="139" t="s">
        <v>905</v>
      </c>
      <c r="O373" s="150">
        <v>45771.701331018521</v>
      </c>
      <c r="P373" s="151">
        <v>45773.464247685188</v>
      </c>
      <c r="Q373" s="24" t="str">
        <f t="shared" si="37"/>
        <v>Entregado</v>
      </c>
      <c r="R373" s="25">
        <f>IF(L373="Despachado",NETWORKDAYS.INTL(A373,O373,11,Valores!$A$2:$A$18)-1,"PTE")</f>
        <v>0</v>
      </c>
      <c r="S373" s="25">
        <f>IF(Q373="Entregado",NETWORKDAYS.INTL(A373,P373,11,Valores!$A$2:$A$18)-1,"PTE")</f>
        <v>2</v>
      </c>
      <c r="T373" s="25"/>
      <c r="U373" s="25"/>
      <c r="V373" s="25" t="str">
        <f>IF(Q373="Entregado",IF(S373&lt;=VLOOKUP(K373,Valores!E:F,2,0),"Cumple","No cumple"),"PTE")</f>
        <v>Cumple</v>
      </c>
      <c r="W373" s="25"/>
      <c r="X373" s="29">
        <v>28241</v>
      </c>
      <c r="Y373" s="224"/>
      <c r="Z373" s="28"/>
    </row>
    <row r="374" spans="1:26" hidden="1" x14ac:dyDescent="0.3">
      <c r="A374" s="34">
        <v>45771</v>
      </c>
      <c r="B374" s="7" t="str">
        <f t="shared" si="42"/>
        <v>abril</v>
      </c>
      <c r="C374" s="27">
        <v>2534</v>
      </c>
      <c r="D374" s="23" t="s">
        <v>20</v>
      </c>
      <c r="E374" s="142" t="s">
        <v>842</v>
      </c>
      <c r="F374" s="40" t="s">
        <v>240</v>
      </c>
      <c r="G374" s="32" t="str">
        <f>IFERROR(VLOOKUP(F374,Productos!$A$2:$D$258,2,0)," ")</f>
        <v>Bandeja de cables</v>
      </c>
      <c r="H374" s="7">
        <v>1</v>
      </c>
      <c r="I374" s="32" t="str">
        <f>IFERROR(VLOOKUP(F374,Productos!$A$2:$D$258,3,0)," ")</f>
        <v>Accesorio</v>
      </c>
      <c r="J374" s="139" t="s">
        <v>21</v>
      </c>
      <c r="K374" s="139" t="s">
        <v>22</v>
      </c>
      <c r="L374" s="26" t="str">
        <f t="shared" si="43"/>
        <v>Despachado</v>
      </c>
      <c r="M374" s="56" t="s">
        <v>238</v>
      </c>
      <c r="N374" s="139" t="s">
        <v>907</v>
      </c>
      <c r="O374" s="150">
        <v>45771.702002314807</v>
      </c>
      <c r="P374" s="151">
        <v>45772.749027777783</v>
      </c>
      <c r="Q374" s="24" t="str">
        <f t="shared" si="37"/>
        <v>Entregado</v>
      </c>
      <c r="R374" s="25">
        <f>IF(L374="Despachado",NETWORKDAYS.INTL(A374,O374,11,Valores!$A$2:$A$18)-1,"PTE")</f>
        <v>0</v>
      </c>
      <c r="S374" s="25">
        <f>IF(Q374="Entregado",NETWORKDAYS.INTL(A374,P374,11,Valores!$A$2:$A$18)-1,"PTE")</f>
        <v>1</v>
      </c>
      <c r="T374" s="25"/>
      <c r="U374" s="25"/>
      <c r="V374" s="25" t="str">
        <f>IF(Q374="Entregado",IF(S374&lt;=VLOOKUP(K374,Valores!E:F,2,0),"Cumple","No cumple"),"PTE")</f>
        <v>Cumple</v>
      </c>
      <c r="W374" s="25"/>
      <c r="X374" s="29">
        <v>22920</v>
      </c>
      <c r="Y374" s="224"/>
      <c r="Z374" s="28"/>
    </row>
    <row r="375" spans="1:26" hidden="1" x14ac:dyDescent="0.3">
      <c r="A375" s="34">
        <v>45771</v>
      </c>
      <c r="B375" s="7" t="str">
        <f t="shared" ref="B375:B381" si="44">TEXT(A375,"mmmm")</f>
        <v>abril</v>
      </c>
      <c r="C375" s="27">
        <v>2535</v>
      </c>
      <c r="D375" s="23" t="s">
        <v>20</v>
      </c>
      <c r="E375" s="142" t="s">
        <v>843</v>
      </c>
      <c r="F375" s="40" t="s">
        <v>730</v>
      </c>
      <c r="G375" s="32" t="str">
        <f>IFERROR(VLOOKUP(F375,Productos!$A$2:$D$258,2,0)," ")</f>
        <v>Electric Standing Desk  PRO Blanco circular</v>
      </c>
      <c r="H375" s="7">
        <v>1</v>
      </c>
      <c r="I375" s="32" t="str">
        <f>IFERROR(VLOOKUP(F375,Productos!$A$2:$D$258,3,0)," ")</f>
        <v>Standing Desk</v>
      </c>
      <c r="J375" s="139" t="s">
        <v>21</v>
      </c>
      <c r="K375" s="139" t="s">
        <v>22</v>
      </c>
      <c r="L375" s="26" t="str">
        <f t="shared" ref="L375:L381" si="45">IF(O375&gt;0,"Despachado","En alistamiento")</f>
        <v>Despachado</v>
      </c>
      <c r="M375" s="56" t="s">
        <v>238</v>
      </c>
      <c r="N375" s="139" t="s">
        <v>908</v>
      </c>
      <c r="O375" s="150">
        <v>45771.702002314807</v>
      </c>
      <c r="P375" s="151">
        <v>45773.509826388887</v>
      </c>
      <c r="Q375" s="24" t="str">
        <f t="shared" si="37"/>
        <v>Entregado</v>
      </c>
      <c r="R375" s="25">
        <f>IF(L375="Despachado",NETWORKDAYS.INTL(A375,O375,11,Valores!$A$2:$A$18)-1,"PTE")</f>
        <v>0</v>
      </c>
      <c r="S375" s="25">
        <f>IF(Q375="Entregado",NETWORKDAYS.INTL(A375,P375,11,Valores!$A$2:$A$18)-1,"PTE")</f>
        <v>2</v>
      </c>
      <c r="T375" s="25"/>
      <c r="U375" s="25"/>
      <c r="V375" s="25" t="str">
        <f>IF(Q375="Entregado",IF(S375&lt;=VLOOKUP(K375,Valores!E:F,2,0),"Cumple","No cumple"),"PTE")</f>
        <v>Cumple</v>
      </c>
      <c r="W375" s="25"/>
      <c r="X375" s="29">
        <v>28241</v>
      </c>
      <c r="Y375" s="224"/>
      <c r="Z375" s="28"/>
    </row>
    <row r="376" spans="1:26" hidden="1" x14ac:dyDescent="0.3">
      <c r="A376" s="34">
        <v>45771</v>
      </c>
      <c r="B376" s="7" t="str">
        <f t="shared" si="44"/>
        <v>abril</v>
      </c>
      <c r="C376" s="27">
        <v>2535</v>
      </c>
      <c r="D376" s="23" t="s">
        <v>20</v>
      </c>
      <c r="E376" s="142" t="s">
        <v>843</v>
      </c>
      <c r="F376" s="40" t="s">
        <v>108</v>
      </c>
      <c r="G376" s="32" t="str">
        <f>IFERROR(VLOOKUP(F376,Productos!$A$2:$D$258,2,0)," ")</f>
        <v>Superficie Niebla 120x70 Clasico Small</v>
      </c>
      <c r="H376" s="7">
        <v>1</v>
      </c>
      <c r="I376" s="32" t="str">
        <f>IFERROR(VLOOKUP(F376,Productos!$A$2:$D$258,3,0)," ")</f>
        <v>Superficie</v>
      </c>
      <c r="J376" s="139" t="s">
        <v>21</v>
      </c>
      <c r="K376" s="139" t="s">
        <v>22</v>
      </c>
      <c r="L376" s="26" t="str">
        <f t="shared" si="45"/>
        <v>Despachado</v>
      </c>
      <c r="M376" s="56" t="s">
        <v>238</v>
      </c>
      <c r="N376" s="139" t="s">
        <v>909</v>
      </c>
      <c r="O376" s="150">
        <v>45771.701331018521</v>
      </c>
      <c r="P376" s="151">
        <v>45773.54347222222</v>
      </c>
      <c r="Q376" s="24" t="str">
        <f t="shared" si="37"/>
        <v>Entregado</v>
      </c>
      <c r="R376" s="25">
        <f>IF(L376="Despachado",NETWORKDAYS.INTL(A376,O376,11,Valores!$A$2:$A$18)-1,"PTE")</f>
        <v>0</v>
      </c>
      <c r="S376" s="25">
        <f>IF(Q376="Entregado",NETWORKDAYS.INTL(A376,P376,11,Valores!$A$2:$A$18)-1,"PTE")</f>
        <v>2</v>
      </c>
      <c r="T376" s="25"/>
      <c r="U376" s="25"/>
      <c r="V376" s="25" t="str">
        <f>IF(Q376="Entregado",IF(S376&lt;=VLOOKUP(K376,Valores!E:F,2,0),"Cumple","No cumple"),"PTE")</f>
        <v>Cumple</v>
      </c>
      <c r="W376" s="25"/>
      <c r="X376" s="29">
        <v>23593</v>
      </c>
      <c r="Y376" s="224"/>
      <c r="Z376" s="28"/>
    </row>
    <row r="377" spans="1:26" hidden="1" x14ac:dyDescent="0.3">
      <c r="A377" s="34">
        <v>45771</v>
      </c>
      <c r="B377" s="7" t="str">
        <f t="shared" si="44"/>
        <v>abril</v>
      </c>
      <c r="C377" s="27">
        <v>2535</v>
      </c>
      <c r="D377" s="23" t="s">
        <v>20</v>
      </c>
      <c r="E377" s="142" t="s">
        <v>843</v>
      </c>
      <c r="F377" s="40" t="s">
        <v>240</v>
      </c>
      <c r="G377" s="32" t="str">
        <f>IFERROR(VLOOKUP(F377,Productos!$A$2:$D$258,2,0)," ")</f>
        <v>Bandeja de cables</v>
      </c>
      <c r="H377" s="7">
        <v>1</v>
      </c>
      <c r="I377" s="32" t="str">
        <f>IFERROR(VLOOKUP(F377,Productos!$A$2:$D$258,3,0)," ")</f>
        <v>Accesorio</v>
      </c>
      <c r="J377" s="139" t="s">
        <v>21</v>
      </c>
      <c r="K377" s="139" t="s">
        <v>22</v>
      </c>
      <c r="L377" s="26" t="str">
        <f t="shared" si="45"/>
        <v>Despachado</v>
      </c>
      <c r="M377" s="56" t="s">
        <v>238</v>
      </c>
      <c r="N377" s="139" t="s">
        <v>910</v>
      </c>
      <c r="O377" s="150">
        <v>45771.702002314807</v>
      </c>
      <c r="P377" s="151">
        <v>45772.564664351848</v>
      </c>
      <c r="Q377" s="24" t="str">
        <f t="shared" si="37"/>
        <v>Entregado</v>
      </c>
      <c r="R377" s="25">
        <f>IF(L377="Despachado",NETWORKDAYS.INTL(A377,O377,11,Valores!$A$2:$A$18)-1,"PTE")</f>
        <v>0</v>
      </c>
      <c r="S377" s="25">
        <f>IF(Q377="Entregado",NETWORKDAYS.INTL(A377,P377,11,Valores!$A$2:$A$18)-1,"PTE")</f>
        <v>1</v>
      </c>
      <c r="T377" s="25"/>
      <c r="U377" s="25"/>
      <c r="V377" s="25" t="str">
        <f>IF(Q377="Entregado",IF(S377&lt;=VLOOKUP(K377,Valores!E:F,2,0),"Cumple","No cumple"),"PTE")</f>
        <v>Cumple</v>
      </c>
      <c r="W377" s="25"/>
      <c r="X377" s="29">
        <v>22920</v>
      </c>
      <c r="Y377" s="224"/>
      <c r="Z377" s="28"/>
    </row>
    <row r="378" spans="1:26" hidden="1" x14ac:dyDescent="0.3">
      <c r="A378" s="34">
        <v>45773</v>
      </c>
      <c r="B378" s="7" t="str">
        <f t="shared" si="44"/>
        <v>abril</v>
      </c>
      <c r="C378" s="27">
        <v>2536</v>
      </c>
      <c r="D378" s="23" t="s">
        <v>20</v>
      </c>
      <c r="E378" s="142" t="s">
        <v>844</v>
      </c>
      <c r="F378" s="40" t="s">
        <v>133</v>
      </c>
      <c r="G378" s="32" t="str">
        <f>IFERROR(VLOOKUP(F378,Productos!$A$2:$D$258,2,0)," ")</f>
        <v>Electric Standing Desk  PRO Blanco</v>
      </c>
      <c r="H378" s="7">
        <v>1</v>
      </c>
      <c r="I378" s="32" t="str">
        <f>IFERROR(VLOOKUP(F378,Productos!$A$2:$D$258,3,0)," ")</f>
        <v>Standing Desk</v>
      </c>
      <c r="J378" s="139" t="s">
        <v>21</v>
      </c>
      <c r="K378" s="139" t="s">
        <v>22</v>
      </c>
      <c r="L378" s="26" t="str">
        <f t="shared" si="45"/>
        <v>Despachado</v>
      </c>
      <c r="M378" s="56" t="s">
        <v>238</v>
      </c>
      <c r="N378" s="139" t="s">
        <v>911</v>
      </c>
      <c r="O378" s="150">
        <v>45775.637094907397</v>
      </c>
      <c r="P378" s="151">
        <v>45776</v>
      </c>
      <c r="Q378" s="24" t="str">
        <f t="shared" si="37"/>
        <v>Entregado</v>
      </c>
      <c r="R378" s="25">
        <f>IF(L378="Despachado",NETWORKDAYS.INTL(A378,O378,11,Valores!$A$2:$A$18)-1,"PTE")</f>
        <v>1</v>
      </c>
      <c r="S378" s="25">
        <f>IF(Q378="Entregado",NETWORKDAYS.INTL(A378,P378,11,Valores!$A$2:$A$18)-1,"PTE")</f>
        <v>2</v>
      </c>
      <c r="T378" s="25"/>
      <c r="U378" s="25"/>
      <c r="V378" s="25" t="str">
        <f>IF(Q378="Entregado",IF(S378&lt;=VLOOKUP(K378,Valores!E:F,2,0),"Cumple","No cumple"),"PTE")</f>
        <v>Cumple</v>
      </c>
      <c r="W378" s="25"/>
      <c r="X378" s="29">
        <v>28241</v>
      </c>
      <c r="Y378" s="224"/>
      <c r="Z378" s="28"/>
    </row>
    <row r="379" spans="1:26" hidden="1" x14ac:dyDescent="0.3">
      <c r="A379" s="34">
        <v>45773</v>
      </c>
      <c r="B379" s="7" t="str">
        <f t="shared" si="44"/>
        <v>abril</v>
      </c>
      <c r="C379" s="27">
        <v>2536</v>
      </c>
      <c r="D379" s="23" t="s">
        <v>20</v>
      </c>
      <c r="E379" s="142" t="s">
        <v>844</v>
      </c>
      <c r="F379" s="40" t="s">
        <v>306</v>
      </c>
      <c r="G379" s="32" t="str">
        <f>IFERROR(VLOOKUP(F379,Productos!$A$2:$D$258,2,0)," ")</f>
        <v>Superficie  Fresno Europeo 170x70 Clasico</v>
      </c>
      <c r="H379" s="7">
        <v>1</v>
      </c>
      <c r="I379" s="32" t="str">
        <f>IFERROR(VLOOKUP(F379,Productos!$A$2:$D$258,3,0)," ")</f>
        <v>Superficie</v>
      </c>
      <c r="J379" s="139" t="s">
        <v>21</v>
      </c>
      <c r="K379" s="139" t="s">
        <v>22</v>
      </c>
      <c r="L379" s="26" t="str">
        <f t="shared" si="45"/>
        <v>Despachado</v>
      </c>
      <c r="M379" s="56" t="s">
        <v>238</v>
      </c>
      <c r="N379" s="139" t="s">
        <v>912</v>
      </c>
      <c r="O379" s="150">
        <v>45775.637094907397</v>
      </c>
      <c r="P379" s="151">
        <v>45777</v>
      </c>
      <c r="Q379" s="24" t="str">
        <f t="shared" si="37"/>
        <v>Entregado</v>
      </c>
      <c r="R379" s="25">
        <f>IF(L379="Despachado",NETWORKDAYS.INTL(A379,O379,11,Valores!$A$2:$A$18)-1,"PTE")</f>
        <v>1</v>
      </c>
      <c r="S379" s="25">
        <f>IF(Q379="Entregado",NETWORKDAYS.INTL(A379,P379,11,Valores!$A$2:$A$18)-1,"PTE")</f>
        <v>3</v>
      </c>
      <c r="T379" s="25"/>
      <c r="U379" s="25"/>
      <c r="V379" s="25" t="str">
        <f>IF(Q379="Entregado",IF(S379&lt;=VLOOKUP(K379,Valores!E:F,2,0),"Cumple","No cumple"),"PTE")</f>
        <v>Cumple</v>
      </c>
      <c r="W379" s="25"/>
      <c r="X379" s="29">
        <v>23593</v>
      </c>
      <c r="Y379" s="224"/>
      <c r="Z379" s="28"/>
    </row>
    <row r="380" spans="1:26" hidden="1" x14ac:dyDescent="0.3">
      <c r="A380" s="34">
        <v>45773</v>
      </c>
      <c r="B380" s="7" t="str">
        <f t="shared" si="44"/>
        <v>abril</v>
      </c>
      <c r="C380" s="27">
        <v>2537</v>
      </c>
      <c r="D380" s="23" t="s">
        <v>20</v>
      </c>
      <c r="E380" s="142" t="s">
        <v>845</v>
      </c>
      <c r="F380" s="40" t="s">
        <v>123</v>
      </c>
      <c r="G380" s="32" t="str">
        <f>IFERROR(VLOOKUP(F380,Productos!$A$2:$D$258,2,0)," ")</f>
        <v>Electric Standing Desk GO Negro</v>
      </c>
      <c r="H380" s="7">
        <v>1</v>
      </c>
      <c r="I380" s="32" t="str">
        <f>IFERROR(VLOOKUP(F380,Productos!$A$2:$D$258,3,0)," ")</f>
        <v>Standing Desk</v>
      </c>
      <c r="J380" s="139" t="s">
        <v>21</v>
      </c>
      <c r="K380" s="139" t="s">
        <v>22</v>
      </c>
      <c r="L380" s="26" t="str">
        <f t="shared" si="45"/>
        <v>Despachado</v>
      </c>
      <c r="M380" s="56" t="s">
        <v>238</v>
      </c>
      <c r="N380" s="139" t="s">
        <v>913</v>
      </c>
      <c r="O380" s="150">
        <v>45775.637094907397</v>
      </c>
      <c r="P380" s="151">
        <v>45776</v>
      </c>
      <c r="Q380" s="24" t="str">
        <f t="shared" si="37"/>
        <v>Entregado</v>
      </c>
      <c r="R380" s="25">
        <f>IF(L380="Despachado",NETWORKDAYS.INTL(A380,O380,11,Valores!$A$2:$A$18)-1,"PTE")</f>
        <v>1</v>
      </c>
      <c r="S380" s="25">
        <f>IF(Q380="Entregado",NETWORKDAYS.INTL(A380,P380,11,Valores!$A$2:$A$18)-1,"PTE")</f>
        <v>2</v>
      </c>
      <c r="T380" s="25"/>
      <c r="U380" s="25"/>
      <c r="V380" s="25" t="str">
        <f>IF(Q380="Entregado",IF(S380&lt;=VLOOKUP(K380,Valores!E:F,2,0),"Cumple","No cumple"),"PTE")</f>
        <v>Cumple</v>
      </c>
      <c r="W380" s="25"/>
      <c r="X380" s="29">
        <v>26913</v>
      </c>
      <c r="Y380" s="224"/>
      <c r="Z380" s="28"/>
    </row>
    <row r="381" spans="1:26" hidden="1" x14ac:dyDescent="0.3">
      <c r="A381" s="34">
        <v>45773</v>
      </c>
      <c r="B381" s="7" t="str">
        <f t="shared" si="44"/>
        <v>abril</v>
      </c>
      <c r="C381" s="27">
        <v>2537</v>
      </c>
      <c r="D381" s="23" t="s">
        <v>20</v>
      </c>
      <c r="E381" s="142" t="s">
        <v>845</v>
      </c>
      <c r="F381" s="40" t="s">
        <v>26</v>
      </c>
      <c r="G381" s="32" t="str">
        <f>IFERROR(VLOOKUP(F381,Productos!$A$2:$D$258,2,0)," ")</f>
        <v>Superficie Caramelo 150x70 Clasico</v>
      </c>
      <c r="H381" s="7">
        <v>1</v>
      </c>
      <c r="I381" s="32" t="str">
        <f>IFERROR(VLOOKUP(F381,Productos!$A$2:$D$258,3,0)," ")</f>
        <v>Superficie</v>
      </c>
      <c r="J381" s="139" t="s">
        <v>21</v>
      </c>
      <c r="K381" s="139" t="s">
        <v>22</v>
      </c>
      <c r="L381" s="26" t="str">
        <f t="shared" si="45"/>
        <v>Despachado</v>
      </c>
      <c r="M381" s="56" t="s">
        <v>238</v>
      </c>
      <c r="N381" s="139" t="s">
        <v>914</v>
      </c>
      <c r="O381" s="150">
        <v>45775.637094907397</v>
      </c>
      <c r="P381" s="151">
        <v>45776</v>
      </c>
      <c r="Q381" s="24" t="str">
        <f t="shared" si="37"/>
        <v>Entregado</v>
      </c>
      <c r="R381" s="25">
        <f>IF(L381="Despachado",NETWORKDAYS.INTL(A381,O381,11,Valores!$A$2:$A$18)-1,"PTE")</f>
        <v>1</v>
      </c>
      <c r="S381" s="25">
        <f>IF(Q381="Entregado",NETWORKDAYS.INTL(A381,P381,11,Valores!$A$2:$A$18)-1,"PTE")</f>
        <v>2</v>
      </c>
      <c r="T381" s="25"/>
      <c r="U381" s="25"/>
      <c r="V381" s="25" t="str">
        <f>IF(Q381="Entregado",IF(S381&lt;=VLOOKUP(K381,Valores!E:F,2,0),"Cumple","No cumple"),"PTE")</f>
        <v>Cumple</v>
      </c>
      <c r="W381" s="25"/>
      <c r="X381" s="29">
        <v>23593</v>
      </c>
      <c r="Y381" s="224"/>
      <c r="Z381" s="28"/>
    </row>
    <row r="382" spans="1:26" hidden="1" x14ac:dyDescent="0.3">
      <c r="A382" s="34">
        <v>45775</v>
      </c>
      <c r="B382" s="7" t="str">
        <f t="shared" ref="B382:B402" si="46">TEXT(A382,"mmmm")</f>
        <v>abril</v>
      </c>
      <c r="C382" s="27">
        <v>2538</v>
      </c>
      <c r="D382" s="23" t="s">
        <v>20</v>
      </c>
      <c r="E382" s="142" t="s">
        <v>846</v>
      </c>
      <c r="F382" s="40" t="s">
        <v>123</v>
      </c>
      <c r="G382" s="32" t="str">
        <f>IFERROR(VLOOKUP(F382,Productos!$A$2:$D$258,2,0)," ")</f>
        <v>Electric Standing Desk GO Negro</v>
      </c>
      <c r="H382" s="7">
        <v>1</v>
      </c>
      <c r="I382" s="32" t="str">
        <f>IFERROR(VLOOKUP(F382,Productos!$A$2:$D$258,3,0)," ")</f>
        <v>Standing Desk</v>
      </c>
      <c r="J382" s="144" t="s">
        <v>194</v>
      </c>
      <c r="K382" s="144" t="s">
        <v>847</v>
      </c>
      <c r="L382" s="26" t="str">
        <f t="shared" ref="L382:L389" si="47">IF(O382&gt;0,"Despachado","En alistamiento")</f>
        <v>Despachado</v>
      </c>
      <c r="M382" s="56" t="s">
        <v>238</v>
      </c>
      <c r="N382" s="139" t="s">
        <v>915</v>
      </c>
      <c r="O382" s="150">
        <v>45775.637094907397</v>
      </c>
      <c r="P382" s="151">
        <v>45777</v>
      </c>
      <c r="Q382" s="24" t="str">
        <f t="shared" si="37"/>
        <v>Entregado</v>
      </c>
      <c r="R382" s="25">
        <f>IF(L382="Despachado",NETWORKDAYS.INTL(A382,O382,11,Valores!$A$2:$A$18)-1,"PTE")</f>
        <v>0</v>
      </c>
      <c r="S382" s="25">
        <f>IF(Q382="Entregado",NETWORKDAYS.INTL(A382,P382,11,Valores!$A$2:$A$18)-1,"PTE")</f>
        <v>2</v>
      </c>
      <c r="T382" s="25"/>
      <c r="U382" s="25"/>
      <c r="V382" s="25" t="str">
        <f>IF(Q382="Entregado",IF(S382&lt;=VLOOKUP(K382,Valores!E:F,2,0),"Cumple","No cumple"),"PTE")</f>
        <v>Cumple</v>
      </c>
      <c r="W382" s="25"/>
      <c r="X382" s="29">
        <v>39191</v>
      </c>
      <c r="Y382" s="224"/>
      <c r="Z382" s="28"/>
    </row>
    <row r="383" spans="1:26" hidden="1" x14ac:dyDescent="0.3">
      <c r="A383" s="34">
        <v>45775</v>
      </c>
      <c r="B383" s="7" t="str">
        <f t="shared" si="46"/>
        <v>abril</v>
      </c>
      <c r="C383" s="27">
        <v>2538</v>
      </c>
      <c r="D383" s="23" t="s">
        <v>20</v>
      </c>
      <c r="E383" s="142" t="s">
        <v>846</v>
      </c>
      <c r="F383" s="22" t="s">
        <v>303</v>
      </c>
      <c r="G383" s="32" t="str">
        <f>IFERROR(VLOOKUP(F383,Productos!$A$2:$D$258,2,0)," ")</f>
        <v>Superficie  Fresno Europeo 140x70 Clasico</v>
      </c>
      <c r="H383" s="7">
        <v>1</v>
      </c>
      <c r="I383" s="32" t="str">
        <f>IFERROR(VLOOKUP(F383,Productos!$A$2:$D$258,3,0)," ")</f>
        <v>Superficie</v>
      </c>
      <c r="J383" s="144" t="s">
        <v>194</v>
      </c>
      <c r="K383" s="144" t="s">
        <v>847</v>
      </c>
      <c r="L383" s="26" t="str">
        <f t="shared" si="47"/>
        <v>Despachado</v>
      </c>
      <c r="M383" s="56" t="s">
        <v>238</v>
      </c>
      <c r="N383" s="139" t="s">
        <v>916</v>
      </c>
      <c r="O383" s="150">
        <v>45775.637094907397</v>
      </c>
      <c r="P383" s="151">
        <v>45777</v>
      </c>
      <c r="Q383" s="24" t="str">
        <f t="shared" si="37"/>
        <v>Entregado</v>
      </c>
      <c r="R383" s="25">
        <f>IF(L383="Despachado",NETWORKDAYS.INTL(A383,O383,11,Valores!$A$2:$A$18)-1,"PTE")</f>
        <v>0</v>
      </c>
      <c r="S383" s="25">
        <f>IF(Q383="Entregado",NETWORKDAYS.INTL(A383,P383,11,Valores!$A$2:$A$18)-1,"PTE")</f>
        <v>2</v>
      </c>
      <c r="T383" s="25"/>
      <c r="U383" s="25"/>
      <c r="V383" s="25" t="str">
        <f>IF(Q383="Entregado",IF(S383&lt;=VLOOKUP(K383,Valores!E:F,2,0),"Cumple","No cumple"),"PTE")</f>
        <v>Cumple</v>
      </c>
      <c r="W383" s="25"/>
      <c r="X383" s="29">
        <v>33679</v>
      </c>
      <c r="Y383" s="224"/>
      <c r="Z383" s="28"/>
    </row>
    <row r="384" spans="1:26" hidden="1" x14ac:dyDescent="0.3">
      <c r="A384" s="34">
        <v>45775</v>
      </c>
      <c r="B384" s="7" t="str">
        <f t="shared" si="46"/>
        <v>abril</v>
      </c>
      <c r="C384" s="27">
        <v>2538</v>
      </c>
      <c r="D384" s="23" t="s">
        <v>20</v>
      </c>
      <c r="E384" s="142" t="s">
        <v>846</v>
      </c>
      <c r="F384" s="40" t="s">
        <v>240</v>
      </c>
      <c r="G384" s="32" t="str">
        <f>IFERROR(VLOOKUP(F384,Productos!$A$2:$D$258,2,0)," ")</f>
        <v>Bandeja de cables</v>
      </c>
      <c r="H384" s="7">
        <v>1</v>
      </c>
      <c r="I384" s="32" t="str">
        <f>IFERROR(VLOOKUP(F384,Productos!$A$2:$D$258,3,0)," ")</f>
        <v>Accesorio</v>
      </c>
      <c r="J384" s="144" t="s">
        <v>194</v>
      </c>
      <c r="K384" s="144" t="s">
        <v>847</v>
      </c>
      <c r="L384" s="26" t="str">
        <f t="shared" si="47"/>
        <v>Despachado</v>
      </c>
      <c r="M384" s="56" t="s">
        <v>238</v>
      </c>
      <c r="N384" s="139" t="s">
        <v>917</v>
      </c>
      <c r="O384" s="150">
        <v>45775.637094907397</v>
      </c>
      <c r="P384" s="151">
        <v>45777</v>
      </c>
      <c r="Q384" s="24" t="str">
        <f t="shared" si="37"/>
        <v>Entregado</v>
      </c>
      <c r="R384" s="25">
        <f>IF(L384="Despachado",NETWORKDAYS.INTL(A384,O384,11,Valores!$A$2:$A$18)-1,"PTE")</f>
        <v>0</v>
      </c>
      <c r="S384" s="25">
        <f>IF(Q384="Entregado",NETWORKDAYS.INTL(A384,P384,11,Valores!$A$2:$A$18)-1,"PTE")</f>
        <v>2</v>
      </c>
      <c r="T384" s="25"/>
      <c r="U384" s="25"/>
      <c r="V384" s="25" t="str">
        <f>IF(Q384="Entregado",IF(S384&lt;=VLOOKUP(K384,Valores!E:F,2,0),"Cumple","No cumple"),"PTE")</f>
        <v>Cumple</v>
      </c>
      <c r="W384" s="25"/>
      <c r="X384" s="29">
        <v>22920</v>
      </c>
      <c r="Y384" s="224"/>
      <c r="Z384" s="28"/>
    </row>
    <row r="385" spans="1:26" hidden="1" x14ac:dyDescent="0.3">
      <c r="A385" s="34">
        <v>45776</v>
      </c>
      <c r="B385" s="7" t="str">
        <f t="shared" si="46"/>
        <v>abril</v>
      </c>
      <c r="C385" s="27">
        <v>2539</v>
      </c>
      <c r="D385" s="23" t="s">
        <v>20</v>
      </c>
      <c r="E385" s="146" t="s">
        <v>923</v>
      </c>
      <c r="F385" s="40" t="s">
        <v>57</v>
      </c>
      <c r="G385" s="32" t="str">
        <f>IFERROR(VLOOKUP(F385,Productos!$A$2:$D$258,2,0)," ")</f>
        <v>Electric Standing Desk  En L Frame Negro 2.0</v>
      </c>
      <c r="H385" s="7">
        <v>1</v>
      </c>
      <c r="I385" s="32" t="str">
        <f>IFERROR(VLOOKUP(F385,Productos!$A$2:$D$258,3,0)," ")</f>
        <v>Standing Desk</v>
      </c>
      <c r="J385" s="139" t="s">
        <v>21</v>
      </c>
      <c r="K385" s="139" t="s">
        <v>22</v>
      </c>
      <c r="L385" s="26" t="str">
        <f t="shared" si="47"/>
        <v>Despachado</v>
      </c>
      <c r="M385" s="56" t="s">
        <v>238</v>
      </c>
      <c r="N385" s="147" t="s">
        <v>926</v>
      </c>
      <c r="O385" s="150">
        <v>45776</v>
      </c>
      <c r="P385" s="151">
        <v>45777</v>
      </c>
      <c r="Q385" s="24" t="str">
        <f t="shared" si="37"/>
        <v>Entregado</v>
      </c>
      <c r="R385" s="25">
        <f>IF(L385="Despachado",NETWORKDAYS.INTL(A385,O385,11,Valores!$A$2:$A$18)-1,"PTE")</f>
        <v>0</v>
      </c>
      <c r="S385" s="25">
        <f>IF(Q385="Entregado",NETWORKDAYS.INTL(A385,P385,11,Valores!$A$2:$A$18)-1,"PTE")</f>
        <v>1</v>
      </c>
      <c r="T385" s="25"/>
      <c r="U385" s="25"/>
      <c r="V385" s="25" t="str">
        <f>IF(Q385="Entregado",IF(S385&lt;=VLOOKUP(K385,Valores!E:F,2,0),"Cumple","No cumple"),"PTE")</f>
        <v>Cumple</v>
      </c>
      <c r="W385" s="25"/>
      <c r="X385" s="29">
        <v>62530</v>
      </c>
      <c r="Y385" s="224"/>
      <c r="Z385" s="28"/>
    </row>
    <row r="386" spans="1:26" hidden="1" x14ac:dyDescent="0.3">
      <c r="A386" s="34">
        <v>45776</v>
      </c>
      <c r="B386" s="7" t="str">
        <f t="shared" si="46"/>
        <v>abril</v>
      </c>
      <c r="C386" s="27">
        <v>2539</v>
      </c>
      <c r="D386" s="23" t="s">
        <v>20</v>
      </c>
      <c r="E386" s="146" t="s">
        <v>923</v>
      </c>
      <c r="F386" s="40" t="s">
        <v>47</v>
      </c>
      <c r="G386" s="32" t="str">
        <f>IFERROR(VLOOKUP(F386,Productos!$A$2:$D$258,2,0)," ")</f>
        <v>Superficie  en L Niebla 180x150cm x 70</v>
      </c>
      <c r="H386" s="7">
        <v>1</v>
      </c>
      <c r="I386" s="32" t="str">
        <f>IFERROR(VLOOKUP(F386,Productos!$A$2:$D$258,3,0)," ")</f>
        <v>Superficie</v>
      </c>
      <c r="J386" s="139" t="s">
        <v>21</v>
      </c>
      <c r="K386" s="139" t="s">
        <v>22</v>
      </c>
      <c r="L386" s="26" t="str">
        <f t="shared" si="47"/>
        <v>Despachado</v>
      </c>
      <c r="M386" s="56" t="s">
        <v>238</v>
      </c>
      <c r="N386" s="147" t="s">
        <v>927</v>
      </c>
      <c r="O386" s="150">
        <v>45776</v>
      </c>
      <c r="P386" s="151">
        <v>45777</v>
      </c>
      <c r="Q386" s="24" t="str">
        <f t="shared" si="37"/>
        <v>Entregado</v>
      </c>
      <c r="R386" s="25">
        <f>IF(L386="Despachado",NETWORKDAYS.INTL(A386,O386,11,Valores!$A$2:$A$18)-1,"PTE")</f>
        <v>0</v>
      </c>
      <c r="S386" s="25">
        <f>IF(Q386="Entregado",NETWORKDAYS.INTL(A386,P386,11,Valores!$A$2:$A$18)-1,"PTE")</f>
        <v>1</v>
      </c>
      <c r="T386" s="25"/>
      <c r="U386" s="25"/>
      <c r="V386" s="25" t="str">
        <f>IF(Q386="Entregado",IF(S386&lt;=VLOOKUP(K386,Valores!E:F,2,0),"Cumple","No cumple"),"PTE")</f>
        <v>Cumple</v>
      </c>
      <c r="W386" s="25"/>
      <c r="X386" s="29">
        <v>26749</v>
      </c>
      <c r="Y386" s="224"/>
      <c r="Z386" s="28"/>
    </row>
    <row r="387" spans="1:26" hidden="1" x14ac:dyDescent="0.3">
      <c r="A387" s="34">
        <v>45776</v>
      </c>
      <c r="B387" s="7" t="str">
        <f t="shared" si="46"/>
        <v>abril</v>
      </c>
      <c r="C387" s="27">
        <v>2539</v>
      </c>
      <c r="D387" s="23" t="s">
        <v>20</v>
      </c>
      <c r="E387" s="146" t="s">
        <v>923</v>
      </c>
      <c r="F387" s="40" t="s">
        <v>240</v>
      </c>
      <c r="G387" s="32" t="str">
        <f>IFERROR(VLOOKUP(F387,Productos!$A$2:$D$258,2,0)," ")</f>
        <v>Bandeja de cables</v>
      </c>
      <c r="H387" s="7">
        <v>1</v>
      </c>
      <c r="I387" s="32" t="str">
        <f>IFERROR(VLOOKUP(F387,Productos!$A$2:$D$258,3,0)," ")</f>
        <v>Accesorio</v>
      </c>
      <c r="J387" s="139" t="s">
        <v>21</v>
      </c>
      <c r="K387" s="139" t="s">
        <v>22</v>
      </c>
      <c r="L387" s="26" t="str">
        <f t="shared" si="47"/>
        <v>Despachado</v>
      </c>
      <c r="M387" s="56" t="s">
        <v>238</v>
      </c>
      <c r="N387" s="147" t="s">
        <v>928</v>
      </c>
      <c r="O387" s="150">
        <v>45776</v>
      </c>
      <c r="P387" s="151">
        <v>45777</v>
      </c>
      <c r="Q387" s="24" t="str">
        <f t="shared" si="37"/>
        <v>Entregado</v>
      </c>
      <c r="R387" s="25">
        <f>IF(L387="Despachado",NETWORKDAYS.INTL(A387,O387,11,Valores!$A$2:$A$18)-1,"PTE")</f>
        <v>0</v>
      </c>
      <c r="S387" s="25">
        <f>IF(Q387="Entregado",NETWORKDAYS.INTL(A387,P387,11,Valores!$A$2:$A$18)-1,"PTE")</f>
        <v>1</v>
      </c>
      <c r="T387" s="25"/>
      <c r="U387" s="25"/>
      <c r="V387" s="25" t="str">
        <f>IF(Q387="Entregado",IF(S387&lt;=VLOOKUP(K387,Valores!E:F,2,0),"Cumple","No cumple"),"PTE")</f>
        <v>Cumple</v>
      </c>
      <c r="W387" s="25"/>
      <c r="X387" s="29">
        <v>24885</v>
      </c>
      <c r="Y387" s="224"/>
      <c r="Z387" s="28"/>
    </row>
    <row r="388" spans="1:26" hidden="1" x14ac:dyDescent="0.3">
      <c r="A388" s="34">
        <v>45776</v>
      </c>
      <c r="B388" s="7" t="str">
        <f t="shared" si="46"/>
        <v>abril</v>
      </c>
      <c r="C388" s="27">
        <v>2539</v>
      </c>
      <c r="D388" s="23" t="s">
        <v>20</v>
      </c>
      <c r="E388" s="146" t="s">
        <v>923</v>
      </c>
      <c r="F388" s="40" t="s">
        <v>342</v>
      </c>
      <c r="G388" s="32" t="str">
        <f>IFERROR(VLOOKUP(F388,Productos!$A$2:$D$258,2,0)," ")</f>
        <v>Rodachines con freno para Standing desk x 6 UN</v>
      </c>
      <c r="H388" s="7">
        <v>1</v>
      </c>
      <c r="I388" s="32" t="str">
        <f>IFERROR(VLOOKUP(F388,Productos!$A$2:$D$258,3,0)," ")</f>
        <v>Ruedas</v>
      </c>
      <c r="J388" s="139" t="s">
        <v>21</v>
      </c>
      <c r="K388" s="139" t="s">
        <v>22</v>
      </c>
      <c r="L388" s="26" t="str">
        <f t="shared" si="47"/>
        <v>Despachado</v>
      </c>
      <c r="M388" s="56" t="s">
        <v>238</v>
      </c>
      <c r="N388" s="147" t="s">
        <v>929</v>
      </c>
      <c r="O388" s="150">
        <v>45776</v>
      </c>
      <c r="P388" s="151">
        <v>45777</v>
      </c>
      <c r="Q388" s="24" t="str">
        <f t="shared" si="37"/>
        <v>Entregado</v>
      </c>
      <c r="R388" s="25">
        <f>IF(L388="Despachado",NETWORKDAYS.INTL(A388,O388,11,Valores!$A$2:$A$18)-1,"PTE")</f>
        <v>0</v>
      </c>
      <c r="S388" s="25">
        <f>IF(Q388="Entregado",NETWORKDAYS.INTL(A388,P388,11,Valores!$A$2:$A$18)-1,"PTE")</f>
        <v>1</v>
      </c>
      <c r="T388" s="25"/>
      <c r="U388" s="25"/>
      <c r="V388" s="25" t="str">
        <f>IF(Q388="Entregado",IF(S388&lt;=VLOOKUP(K388,Valores!E:F,2,0),"Cumple","No cumple"),"PTE")</f>
        <v>Cumple</v>
      </c>
      <c r="W388" s="25"/>
      <c r="X388" s="29">
        <v>23875</v>
      </c>
      <c r="Y388" s="224"/>
      <c r="Z388" s="28"/>
    </row>
    <row r="389" spans="1:26" hidden="1" x14ac:dyDescent="0.3">
      <c r="A389" s="34">
        <v>45776</v>
      </c>
      <c r="B389" s="7" t="str">
        <f t="shared" si="46"/>
        <v>abril</v>
      </c>
      <c r="C389" s="27">
        <v>2539</v>
      </c>
      <c r="D389" s="23" t="s">
        <v>20</v>
      </c>
      <c r="E389" s="146" t="s">
        <v>923</v>
      </c>
      <c r="F389" s="22" t="s">
        <v>315</v>
      </c>
      <c r="G389" s="32" t="str">
        <f>IFERROR(VLOOKUP(F389,Productos!$A$2:$D$258,2,0)," ")</f>
        <v>Bandeja de teclado</v>
      </c>
      <c r="H389" s="7">
        <v>1</v>
      </c>
      <c r="I389" s="32" t="str">
        <f>IFERROR(VLOOKUP(F389,Productos!$A$2:$D$258,3,0)," ")</f>
        <v>Accesorio</v>
      </c>
      <c r="J389" s="139" t="s">
        <v>21</v>
      </c>
      <c r="K389" s="139" t="s">
        <v>22</v>
      </c>
      <c r="L389" s="26" t="str">
        <f t="shared" si="47"/>
        <v>Despachado</v>
      </c>
      <c r="M389" s="56" t="s">
        <v>238</v>
      </c>
      <c r="N389" s="147" t="s">
        <v>930</v>
      </c>
      <c r="O389" s="150">
        <v>45776</v>
      </c>
      <c r="P389" s="151">
        <v>45777</v>
      </c>
      <c r="Q389" s="24" t="str">
        <f t="shared" si="37"/>
        <v>Entregado</v>
      </c>
      <c r="R389" s="25">
        <f>IF(L389="Despachado",NETWORKDAYS.INTL(A389,O389,11,Valores!$A$2:$A$18)-1,"PTE")</f>
        <v>0</v>
      </c>
      <c r="S389" s="25">
        <f>IF(Q389="Entregado",NETWORKDAYS.INTL(A389,P389,11,Valores!$A$2:$A$18)-1,"PTE")</f>
        <v>1</v>
      </c>
      <c r="T389" s="25"/>
      <c r="U389" s="25"/>
      <c r="V389" s="25" t="str">
        <f>IF(Q389="Entregado",IF(S389&lt;=VLOOKUP(K389,Valores!E:F,2,0),"Cumple","No cumple"),"PTE")</f>
        <v>Cumple</v>
      </c>
      <c r="W389" s="25"/>
      <c r="X389" s="29">
        <v>27929</v>
      </c>
      <c r="Y389" s="224"/>
      <c r="Z389" s="28"/>
    </row>
    <row r="390" spans="1:26" hidden="1" x14ac:dyDescent="0.3">
      <c r="A390" s="34">
        <v>45777</v>
      </c>
      <c r="B390" s="7" t="str">
        <f t="shared" si="46"/>
        <v>abril</v>
      </c>
      <c r="C390" s="27">
        <v>2540</v>
      </c>
      <c r="D390" s="23" t="s">
        <v>20</v>
      </c>
      <c r="E390" s="146" t="s">
        <v>924</v>
      </c>
      <c r="F390" s="40" t="s">
        <v>123</v>
      </c>
      <c r="G390" s="32" t="str">
        <f>IFERROR(VLOOKUP(F390,Productos!$A$2:$D$258,2,0)," ")</f>
        <v>Electric Standing Desk GO Negro</v>
      </c>
      <c r="H390" s="7">
        <v>1</v>
      </c>
      <c r="I390" s="32" t="str">
        <f>IFERROR(VLOOKUP(F390,Productos!$A$2:$D$258,3,0)," ")</f>
        <v>Standing Desk</v>
      </c>
      <c r="J390" s="139" t="s">
        <v>21</v>
      </c>
      <c r="K390" s="139" t="s">
        <v>22</v>
      </c>
      <c r="L390" s="26" t="str">
        <f t="shared" ref="L390:L397" si="48">IF(O390&gt;0,"Despachado","En alistamiento")</f>
        <v>Despachado</v>
      </c>
      <c r="M390" s="56" t="s">
        <v>238</v>
      </c>
      <c r="N390" s="157" t="s">
        <v>931</v>
      </c>
      <c r="O390" s="150">
        <v>45777</v>
      </c>
      <c r="P390" s="151">
        <v>45779</v>
      </c>
      <c r="Q390" s="24" t="str">
        <f t="shared" ref="Q390:Q453" si="49">IF(P390&gt;0,"Entregado","En transito")</f>
        <v>Entregado</v>
      </c>
      <c r="R390" s="25">
        <f>IF(L390="Despachado",NETWORKDAYS.INTL(A390,O390,11,Valores!$A$2:$A$18)-1,"PTE")</f>
        <v>0</v>
      </c>
      <c r="S390" s="25">
        <f>IF(Q390="Entregado",NETWORKDAYS.INTL(A390,P390,11,Valores!$A$2:$A$18)-1,"PTE")</f>
        <v>1</v>
      </c>
      <c r="T390" s="25"/>
      <c r="U390" s="25"/>
      <c r="V390" s="25" t="str">
        <f>IF(Q390="Entregado",IF(S390&lt;=VLOOKUP(K390,Valores!E:F,2,0),"Cumple","No cumple"),"PTE")</f>
        <v>Cumple</v>
      </c>
      <c r="W390" s="25"/>
      <c r="X390" s="29">
        <v>41593</v>
      </c>
      <c r="Y390" s="224"/>
      <c r="Z390" s="28"/>
    </row>
    <row r="391" spans="1:26" hidden="1" x14ac:dyDescent="0.3">
      <c r="A391" s="34">
        <v>45777</v>
      </c>
      <c r="B391" s="7" t="str">
        <f t="shared" si="46"/>
        <v>abril</v>
      </c>
      <c r="C391" s="27">
        <v>2540</v>
      </c>
      <c r="D391" s="23" t="s">
        <v>20</v>
      </c>
      <c r="E391" s="146" t="s">
        <v>924</v>
      </c>
      <c r="F391" s="40" t="s">
        <v>107</v>
      </c>
      <c r="G391" s="32" t="str">
        <f>IFERROR(VLOOKUP(F391,Productos!$A$2:$D$258,2,0)," ")</f>
        <v>Superficie  Caramelo 120x70 Clasico Small</v>
      </c>
      <c r="H391" s="7">
        <v>1</v>
      </c>
      <c r="I391" s="32" t="str">
        <f>IFERROR(VLOOKUP(F391,Productos!$A$2:$D$258,3,0)," ")</f>
        <v>Superficie</v>
      </c>
      <c r="J391" s="139" t="s">
        <v>21</v>
      </c>
      <c r="K391" s="139" t="s">
        <v>22</v>
      </c>
      <c r="L391" s="26" t="str">
        <f t="shared" si="48"/>
        <v>Despachado</v>
      </c>
      <c r="M391" s="56" t="s">
        <v>238</v>
      </c>
      <c r="N391" s="147" t="s">
        <v>932</v>
      </c>
      <c r="O391" s="150">
        <v>45777</v>
      </c>
      <c r="P391" s="151">
        <v>45779</v>
      </c>
      <c r="Q391" s="24" t="str">
        <f t="shared" si="49"/>
        <v>Entregado</v>
      </c>
      <c r="R391" s="25">
        <f>IF(L391="Despachado",NETWORKDAYS.INTL(A391,O391,11,Valores!$A$2:$A$18)-1,"PTE")</f>
        <v>0</v>
      </c>
      <c r="S391" s="25">
        <f>IF(Q391="Entregado",NETWORKDAYS.INTL(A391,P392,11,Valores!$A$2:$A$18)-1,"PTE")</f>
        <v>1</v>
      </c>
      <c r="T391" s="25"/>
      <c r="U391" s="25"/>
      <c r="V391" s="25" t="str">
        <f>IF(Q391="Entregado",IF(S391&lt;=VLOOKUP(K391,Valores!E:F,2,0),"Cumple","No cumple"),"PTE")</f>
        <v>Cumple</v>
      </c>
      <c r="W391" s="25"/>
      <c r="X391" s="29">
        <v>24093</v>
      </c>
      <c r="Y391" s="224"/>
      <c r="Z391" s="28"/>
    </row>
    <row r="392" spans="1:26" hidden="1" x14ac:dyDescent="0.3">
      <c r="A392" s="34">
        <v>45777</v>
      </c>
      <c r="B392" s="7" t="str">
        <f t="shared" si="46"/>
        <v>abril</v>
      </c>
      <c r="C392" s="27">
        <v>2540</v>
      </c>
      <c r="D392" s="23" t="s">
        <v>20</v>
      </c>
      <c r="E392" s="146" t="s">
        <v>924</v>
      </c>
      <c r="F392" s="40" t="s">
        <v>123</v>
      </c>
      <c r="G392" s="32" t="str">
        <f>IFERROR(VLOOKUP(F392,Productos!$A$2:$D$258,2,0)," ")</f>
        <v>Electric Standing Desk GO Negro</v>
      </c>
      <c r="H392" s="7">
        <v>1</v>
      </c>
      <c r="I392" s="32" t="str">
        <f>IFERROR(VLOOKUP(F392,Productos!$A$2:$D$258,3,0)," ")</f>
        <v>Standing Desk</v>
      </c>
      <c r="J392" s="139" t="s">
        <v>21</v>
      </c>
      <c r="K392" s="139" t="s">
        <v>22</v>
      </c>
      <c r="L392" s="26" t="str">
        <f t="shared" si="48"/>
        <v>Despachado</v>
      </c>
      <c r="M392" s="56" t="s">
        <v>238</v>
      </c>
      <c r="N392" s="147" t="s">
        <v>933</v>
      </c>
      <c r="O392" s="150">
        <v>45777</v>
      </c>
      <c r="P392" s="151">
        <v>45779</v>
      </c>
      <c r="Q392" s="24" t="str">
        <f t="shared" si="49"/>
        <v>Entregado</v>
      </c>
      <c r="R392" s="25">
        <f>IF(L392="Despachado",NETWORKDAYS.INTL(A392,O392,11,Valores!$A$2:$A$18)-1,"PTE")</f>
        <v>0</v>
      </c>
      <c r="S392" s="25">
        <f>IF(Q392="Entregado",NETWORKDAYS.INTL(A392,P393,11,Valores!$A$2:$A$18)-1,"PTE")</f>
        <v>1</v>
      </c>
      <c r="T392" s="25"/>
      <c r="U392" s="25"/>
      <c r="V392" s="25" t="str">
        <f>IF(Q392="Entregado",IF(S392&lt;=VLOOKUP(K392,Valores!E:F,2,0),"Cumple","No cumple"),"PTE")</f>
        <v>Cumple</v>
      </c>
      <c r="W392" s="25"/>
      <c r="X392" s="29">
        <v>41593</v>
      </c>
      <c r="Y392" s="224"/>
      <c r="Z392" s="28"/>
    </row>
    <row r="393" spans="1:26" hidden="1" x14ac:dyDescent="0.3">
      <c r="A393" s="34">
        <v>45777</v>
      </c>
      <c r="B393" s="7" t="str">
        <f t="shared" si="46"/>
        <v>abril</v>
      </c>
      <c r="C393" s="27">
        <v>2540</v>
      </c>
      <c r="D393" s="23" t="s">
        <v>20</v>
      </c>
      <c r="E393" s="146" t="s">
        <v>924</v>
      </c>
      <c r="F393" s="40" t="s">
        <v>26</v>
      </c>
      <c r="G393" s="32" t="str">
        <f>IFERROR(VLOOKUP(F393,Productos!$A$2:$D$258,2,0)," ")</f>
        <v>Superficie Caramelo 150x70 Clasico</v>
      </c>
      <c r="H393" s="7">
        <v>1</v>
      </c>
      <c r="I393" s="32" t="str">
        <f>IFERROR(VLOOKUP(F393,Productos!$A$2:$D$258,3,0)," ")</f>
        <v>Superficie</v>
      </c>
      <c r="J393" s="139" t="s">
        <v>21</v>
      </c>
      <c r="K393" s="139" t="s">
        <v>22</v>
      </c>
      <c r="L393" s="26" t="str">
        <f t="shared" si="48"/>
        <v>Despachado</v>
      </c>
      <c r="M393" s="56" t="s">
        <v>238</v>
      </c>
      <c r="N393" s="147" t="s">
        <v>934</v>
      </c>
      <c r="O393" s="150">
        <v>45777</v>
      </c>
      <c r="P393" s="151">
        <v>45779</v>
      </c>
      <c r="Q393" s="24" t="str">
        <f t="shared" si="49"/>
        <v>Entregado</v>
      </c>
      <c r="R393" s="25">
        <f>IF(L393="Despachado",NETWORKDAYS.INTL(A393,O393,11,Valores!$A$2:$A$18)-1,"PTE")</f>
        <v>0</v>
      </c>
      <c r="S393" s="25">
        <f>IF(Q393="Entregado",NETWORKDAYS.INTL(A393,P393,11,Valores!$A$2:$A$18)-1,"PTE")</f>
        <v>1</v>
      </c>
      <c r="T393" s="25"/>
      <c r="U393" s="25"/>
      <c r="V393" s="25" t="str">
        <f>IF(Q393="Entregado",IF(S393&lt;=VLOOKUP(K393,Valores!E:F,2,0),"Cumple","No cumple"),"PTE")</f>
        <v>Cumple</v>
      </c>
      <c r="W393" s="25"/>
      <c r="X393" s="29">
        <v>24093</v>
      </c>
      <c r="Y393" s="224"/>
      <c r="Z393" s="28"/>
    </row>
    <row r="394" spans="1:26" hidden="1" x14ac:dyDescent="0.3">
      <c r="A394" s="34">
        <v>45777</v>
      </c>
      <c r="B394" s="7" t="str">
        <f t="shared" si="46"/>
        <v>abril</v>
      </c>
      <c r="C394" s="27">
        <v>2540</v>
      </c>
      <c r="D394" s="23" t="s">
        <v>20</v>
      </c>
      <c r="E394" s="146" t="s">
        <v>924</v>
      </c>
      <c r="F394" s="40" t="s">
        <v>240</v>
      </c>
      <c r="G394" s="32" t="str">
        <f>IFERROR(VLOOKUP(F394,Productos!$A$2:$D$258,2,0)," ")</f>
        <v>Bandeja de cables</v>
      </c>
      <c r="H394" s="7">
        <v>1</v>
      </c>
      <c r="I394" s="32" t="str">
        <f>IFERROR(VLOOKUP(F394,Productos!$A$2:$D$258,3,0)," ")</f>
        <v>Accesorio</v>
      </c>
      <c r="J394" s="139" t="s">
        <v>21</v>
      </c>
      <c r="K394" s="139" t="s">
        <v>22</v>
      </c>
      <c r="L394" s="26" t="str">
        <f t="shared" si="48"/>
        <v>Despachado</v>
      </c>
      <c r="M394" s="56" t="s">
        <v>238</v>
      </c>
      <c r="N394" s="147" t="s">
        <v>935</v>
      </c>
      <c r="O394" s="150">
        <v>45777</v>
      </c>
      <c r="P394" s="151">
        <v>45779</v>
      </c>
      <c r="Q394" s="24" t="str">
        <f t="shared" si="49"/>
        <v>Entregado</v>
      </c>
      <c r="R394" s="25">
        <f>IF(L394="Despachado",NETWORKDAYS.INTL(A394,O394,11,Valores!$A$2:$A$18)-1,"PTE")</f>
        <v>0</v>
      </c>
      <c r="S394" s="25">
        <f>IF(Q394="Entregado",NETWORKDAYS.INTL(A394,P394,11,Valores!$A$2:$A$18)-1,"PTE")</f>
        <v>1</v>
      </c>
      <c r="T394" s="25"/>
      <c r="U394" s="25"/>
      <c r="V394" s="25" t="str">
        <f>IF(Q394="Entregado",IF(S394&lt;=VLOOKUP(K394,Valores!E:F,2,0),"Cumple","No cumple"),"PTE")</f>
        <v>Cumple</v>
      </c>
      <c r="W394" s="25"/>
      <c r="X394" s="29">
        <v>24885</v>
      </c>
      <c r="Y394" s="224"/>
      <c r="Z394" s="28"/>
    </row>
    <row r="395" spans="1:26" hidden="1" x14ac:dyDescent="0.3">
      <c r="A395" s="34">
        <v>45779</v>
      </c>
      <c r="B395" s="7" t="str">
        <f t="shared" si="46"/>
        <v>mayo</v>
      </c>
      <c r="C395" s="27">
        <v>2541</v>
      </c>
      <c r="D395" s="23" t="s">
        <v>20</v>
      </c>
      <c r="E395" s="146" t="s">
        <v>925</v>
      </c>
      <c r="F395" s="40" t="s">
        <v>732</v>
      </c>
      <c r="G395" s="32" t="str">
        <f>IFERROR(VLOOKUP(F395,Productos!$A$2:$D$258,2,0)," ")</f>
        <v>Electric Standing Desk  PRO Negro circular</v>
      </c>
      <c r="H395" s="7">
        <v>1</v>
      </c>
      <c r="I395" s="32" t="str">
        <f>IFERROR(VLOOKUP(F395,Productos!$A$2:$D$258,3,0)," ")</f>
        <v>Standing Desk</v>
      </c>
      <c r="J395" s="147" t="s">
        <v>42</v>
      </c>
      <c r="K395" s="147" t="s">
        <v>41</v>
      </c>
      <c r="L395" s="26" t="str">
        <f t="shared" si="48"/>
        <v>Despachado</v>
      </c>
      <c r="M395" s="56" t="s">
        <v>238</v>
      </c>
      <c r="N395" s="147" t="s">
        <v>936</v>
      </c>
      <c r="O395" s="150">
        <v>45779</v>
      </c>
      <c r="P395" s="151">
        <v>45780</v>
      </c>
      <c r="Q395" s="24" t="str">
        <f t="shared" si="49"/>
        <v>Entregado</v>
      </c>
      <c r="R395" s="25">
        <f>IF(L395="Despachado",NETWORKDAYS.INTL(A395,O395,11,Valores!$A$2:$A$18)-1,"PTE")</f>
        <v>0</v>
      </c>
      <c r="S395" s="25">
        <f>IF(Q395="Entregado",NETWORKDAYS.INTL(A395,P395,11,Valores!$A$2:$A$18)-1,"PTE")</f>
        <v>1</v>
      </c>
      <c r="T395" s="25"/>
      <c r="U395" s="25"/>
      <c r="V395" s="25" t="str">
        <f>IF(Q395="Entregado",IF(S395&lt;=VLOOKUP(K395,Valores!E:F,2,0),"Cumple","No cumple"),"PTE")</f>
        <v>Cumple</v>
      </c>
      <c r="W395" s="25"/>
      <c r="X395" s="29">
        <v>42921</v>
      </c>
      <c r="Y395" s="224"/>
      <c r="Z395" s="28"/>
    </row>
    <row r="396" spans="1:26" hidden="1" x14ac:dyDescent="0.3">
      <c r="A396" s="34">
        <v>45779</v>
      </c>
      <c r="B396" s="7" t="str">
        <f t="shared" si="46"/>
        <v>mayo</v>
      </c>
      <c r="C396" s="27">
        <v>2541</v>
      </c>
      <c r="D396" s="23" t="s">
        <v>20</v>
      </c>
      <c r="E396" s="146" t="s">
        <v>925</v>
      </c>
      <c r="F396" s="40" t="s">
        <v>142</v>
      </c>
      <c r="G396" s="32" t="str">
        <f>IFERROR(VLOOKUP(F396,Productos!$A$2:$D$258,2,0)," ")</f>
        <v>Superficie Caramelo 140x70 Clasico</v>
      </c>
      <c r="H396" s="7">
        <v>1</v>
      </c>
      <c r="I396" s="32" t="str">
        <f>IFERROR(VLOOKUP(F396,Productos!$A$2:$D$258,3,0)," ")</f>
        <v>Superficie</v>
      </c>
      <c r="J396" s="147" t="s">
        <v>42</v>
      </c>
      <c r="K396" s="147" t="s">
        <v>41</v>
      </c>
      <c r="L396" s="26" t="str">
        <f t="shared" si="48"/>
        <v>Despachado</v>
      </c>
      <c r="M396" s="56" t="s">
        <v>238</v>
      </c>
      <c r="N396" s="147" t="s">
        <v>937</v>
      </c>
      <c r="O396" s="150">
        <v>45779</v>
      </c>
      <c r="P396" s="151">
        <v>45780</v>
      </c>
      <c r="Q396" s="24" t="str">
        <f t="shared" si="49"/>
        <v>Entregado</v>
      </c>
      <c r="R396" s="25">
        <f>IF(L396="Despachado",NETWORKDAYS.INTL(A396,O396,11,Valores!$A$2:$A$18)-1,"PTE")</f>
        <v>0</v>
      </c>
      <c r="S396" s="25">
        <f>IF(Q396="Entregado",NETWORKDAYS.INTL(A396,P396,11,Valores!$A$2:$A$18)-1,"PTE")</f>
        <v>1</v>
      </c>
      <c r="T396" s="25"/>
      <c r="U396" s="25"/>
      <c r="V396" s="25" t="str">
        <f>IF(Q396="Entregado",IF(S396&lt;=VLOOKUP(K396,Valores!E:F,2,0),"Cumple","No cumple"),"PTE")</f>
        <v>Cumple</v>
      </c>
      <c r="W396" s="25"/>
      <c r="X396" s="29">
        <v>24093</v>
      </c>
      <c r="Y396" s="224"/>
      <c r="Z396" s="28"/>
    </row>
    <row r="397" spans="1:26" hidden="1" x14ac:dyDescent="0.3">
      <c r="A397" s="34">
        <v>45777</v>
      </c>
      <c r="B397" s="7" t="str">
        <f t="shared" si="46"/>
        <v>abril</v>
      </c>
      <c r="C397" s="27">
        <v>2522</v>
      </c>
      <c r="D397" s="23" t="s">
        <v>938</v>
      </c>
      <c r="E397" s="142" t="s">
        <v>829</v>
      </c>
      <c r="F397" s="40" t="s">
        <v>83</v>
      </c>
      <c r="G397" s="32" t="str">
        <f>IFERROR(VLOOKUP(F397,Productos!$A$2:$D$258,2,0)," ")</f>
        <v>Desk Pad B Negro Azul</v>
      </c>
      <c r="H397" s="7">
        <v>1</v>
      </c>
      <c r="I397" s="32" t="str">
        <f>IFERROR(VLOOKUP(F397,Productos!$A$2:$D$258,3,0)," ")</f>
        <v>Accesorio</v>
      </c>
      <c r="J397" s="139" t="s">
        <v>21</v>
      </c>
      <c r="K397" s="139" t="s">
        <v>22</v>
      </c>
      <c r="L397" s="26" t="str">
        <f t="shared" si="48"/>
        <v>Despachado</v>
      </c>
      <c r="M397" s="56" t="s">
        <v>939</v>
      </c>
      <c r="N397" s="157" t="s">
        <v>940</v>
      </c>
      <c r="O397" s="150">
        <v>45777</v>
      </c>
      <c r="P397" s="151">
        <v>45778</v>
      </c>
      <c r="Q397" s="24" t="str">
        <f t="shared" si="49"/>
        <v>Entregado</v>
      </c>
      <c r="R397" s="25">
        <f>IF(L397="Despachado",NETWORKDAYS.INTL(A397,O397,11,Valores!$A$2:$A$18)-1,"PTE")</f>
        <v>0</v>
      </c>
      <c r="S397" s="25">
        <f>IF(Q397="Entregado",NETWORKDAYS.INTL(A397,P397,11,Valores!$A$2:$A$18)-1,"PTE")</f>
        <v>0</v>
      </c>
      <c r="T397" s="25"/>
      <c r="U397" s="25"/>
      <c r="V397" s="25" t="str">
        <f>IF(Q397="Entregado",IF(S397&lt;=VLOOKUP(K397,Valores!E:F,2,0),"Cumple","No cumple"),"PTE")</f>
        <v>Cumple</v>
      </c>
      <c r="W397" s="25"/>
      <c r="X397" s="29">
        <v>28241</v>
      </c>
      <c r="Y397" s="224"/>
      <c r="Z397" s="28"/>
    </row>
    <row r="398" spans="1:26" hidden="1" x14ac:dyDescent="0.3">
      <c r="A398" s="34">
        <v>45780</v>
      </c>
      <c r="B398" s="7" t="str">
        <f t="shared" si="46"/>
        <v>mayo</v>
      </c>
      <c r="C398" s="27">
        <v>2542</v>
      </c>
      <c r="D398" s="23" t="s">
        <v>20</v>
      </c>
      <c r="E398" s="158" t="s">
        <v>941</v>
      </c>
      <c r="F398" s="22" t="s">
        <v>129</v>
      </c>
      <c r="G398" s="32" t="str">
        <f>IFERROR(VLOOKUP(F398,Productos!$A$2:$D$258,2,0)," ")</f>
        <v>Electric Standing Desk  PRO Negro</v>
      </c>
      <c r="H398" s="7">
        <v>1</v>
      </c>
      <c r="I398" s="32" t="str">
        <f>IFERROR(VLOOKUP(F398,Productos!$A$2:$D$258,3,0)," ")</f>
        <v>Standing Desk</v>
      </c>
      <c r="J398" s="139" t="s">
        <v>21</v>
      </c>
      <c r="K398" s="139" t="s">
        <v>22</v>
      </c>
      <c r="L398" s="26" t="str">
        <f>IF(O398&gt;0,"Despachado","En alistamiento")</f>
        <v>Despachado</v>
      </c>
      <c r="M398" s="56" t="s">
        <v>238</v>
      </c>
      <c r="N398" s="139" t="s">
        <v>949</v>
      </c>
      <c r="O398" s="150">
        <v>45782</v>
      </c>
      <c r="P398" s="151">
        <v>45783</v>
      </c>
      <c r="Q398" s="24" t="str">
        <f t="shared" si="49"/>
        <v>Entregado</v>
      </c>
      <c r="R398" s="25">
        <f>IF(L398="Despachado",NETWORKDAYS.INTL(A398,O398,11,Valores!$A$2:$A$18)-1,"PTE")</f>
        <v>1</v>
      </c>
      <c r="S398" s="25">
        <f>IF(Q398="Entregado",NETWORKDAYS.INTL(A398,P398,11,Valores!$A$2:$A$18)-1,"PTE")</f>
        <v>2</v>
      </c>
      <c r="T398" s="25"/>
      <c r="U398" s="25"/>
      <c r="V398" s="25" t="str">
        <f>IF(Q398="Entregado",IF(S398&lt;=VLOOKUP(K398,Valores!E:F,2,0),"Cumple","No cumple"),"PTE")</f>
        <v>Cumple</v>
      </c>
      <c r="W398" s="25"/>
      <c r="X398" s="29">
        <v>42921</v>
      </c>
      <c r="Y398" s="224"/>
      <c r="Z398" s="28"/>
    </row>
    <row r="399" spans="1:26" hidden="1" x14ac:dyDescent="0.3">
      <c r="A399" s="34">
        <v>45782</v>
      </c>
      <c r="B399" s="7" t="str">
        <f t="shared" si="46"/>
        <v>mayo</v>
      </c>
      <c r="C399" s="27">
        <v>2543</v>
      </c>
      <c r="D399" s="23" t="s">
        <v>20</v>
      </c>
      <c r="E399" s="158" t="s">
        <v>942</v>
      </c>
      <c r="F399" s="22" t="s">
        <v>129</v>
      </c>
      <c r="G399" s="32" t="str">
        <f>IFERROR(VLOOKUP(F399,Productos!$A$2:$D$258,2,0)," ")</f>
        <v>Electric Standing Desk  PRO Negro</v>
      </c>
      <c r="H399" s="7">
        <v>1</v>
      </c>
      <c r="I399" s="32" t="str">
        <f>IFERROR(VLOOKUP(F399,Productos!$A$2:$D$258,3,0)," ")</f>
        <v>Standing Desk</v>
      </c>
      <c r="J399" s="139" t="s">
        <v>21</v>
      </c>
      <c r="K399" s="139" t="s">
        <v>22</v>
      </c>
      <c r="L399" s="26" t="str">
        <f>IF(O399&gt;0,"Despachado","En alistamiento")</f>
        <v>Despachado</v>
      </c>
      <c r="M399" s="56" t="s">
        <v>238</v>
      </c>
      <c r="N399" s="139" t="s">
        <v>950</v>
      </c>
      <c r="O399" s="150">
        <v>45783</v>
      </c>
      <c r="P399" s="151">
        <v>45784</v>
      </c>
      <c r="Q399" s="24" t="str">
        <f t="shared" si="49"/>
        <v>Entregado</v>
      </c>
      <c r="R399" s="25">
        <f>IF(L399="Despachado",NETWORKDAYS.INTL(A399,O399,11,Valores!$A$2:$A$18)-1,"PTE")</f>
        <v>1</v>
      </c>
      <c r="S399" s="25">
        <f>IF(Q399="Entregado",NETWORKDAYS.INTL(A399,P399,11,Valores!$A$2:$A$18)-1,"PTE")</f>
        <v>2</v>
      </c>
      <c r="T399" s="25"/>
      <c r="U399" s="25"/>
      <c r="V399" s="25" t="str">
        <f>IF(Q399="Entregado",IF(S399&lt;=VLOOKUP(K399,Valores!E:F,2,0),"Cumple","No cumple"),"PTE")</f>
        <v>Cumple</v>
      </c>
      <c r="W399" s="25"/>
      <c r="X399" s="29">
        <v>42921</v>
      </c>
      <c r="Y399" s="224"/>
      <c r="Z399" s="28"/>
    </row>
    <row r="400" spans="1:26" hidden="1" x14ac:dyDescent="0.3">
      <c r="A400" s="34">
        <v>45782</v>
      </c>
      <c r="B400" s="7" t="str">
        <f t="shared" si="46"/>
        <v>mayo</v>
      </c>
      <c r="C400" s="27">
        <v>2543</v>
      </c>
      <c r="D400" s="23" t="s">
        <v>20</v>
      </c>
      <c r="E400" s="158" t="s">
        <v>942</v>
      </c>
      <c r="F400" s="22" t="s">
        <v>303</v>
      </c>
      <c r="G400" s="32" t="str">
        <f>IFERROR(VLOOKUP(F400,Productos!$A$2:$D$258,2,0)," ")</f>
        <v>Superficie  Fresno Europeo 140x70 Clasico</v>
      </c>
      <c r="H400" s="7">
        <v>1</v>
      </c>
      <c r="I400" s="32" t="str">
        <f>IFERROR(VLOOKUP(F400,Productos!$A$2:$D$258,3,0)," ")</f>
        <v>Superficie</v>
      </c>
      <c r="J400" s="139" t="s">
        <v>21</v>
      </c>
      <c r="K400" s="139" t="s">
        <v>22</v>
      </c>
      <c r="L400" s="26" t="str">
        <f>IF(O400&gt;0,"Despachado","En alistamiento")</f>
        <v>Despachado</v>
      </c>
      <c r="M400" s="56" t="s">
        <v>238</v>
      </c>
      <c r="N400" s="139" t="s">
        <v>951</v>
      </c>
      <c r="O400" s="150">
        <v>45783</v>
      </c>
      <c r="P400" s="151">
        <v>45785</v>
      </c>
      <c r="Q400" s="24" t="str">
        <f t="shared" si="49"/>
        <v>Entregado</v>
      </c>
      <c r="R400" s="25">
        <f>IF(L400="Despachado",NETWORKDAYS.INTL(A400,O400,11,Valores!$A$2:$A$18)-1,"PTE")</f>
        <v>1</v>
      </c>
      <c r="S400" s="25">
        <f>IF(Q400="Entregado",NETWORKDAYS.INTL(A400,P400,11,Valores!$A$2:$A$18)-1,"PTE")</f>
        <v>3</v>
      </c>
      <c r="T400" s="25"/>
      <c r="U400" s="25"/>
      <c r="V400" s="25" t="str">
        <f>IF(Q400="Entregado",IF(S400&lt;=VLOOKUP(K400,Valores!E:F,2,0),"Cumple","No cumple"),"PTE")</f>
        <v>Cumple</v>
      </c>
      <c r="W400" s="25"/>
      <c r="X400" s="29">
        <v>24093</v>
      </c>
      <c r="Y400" s="224"/>
      <c r="Z400" s="28"/>
    </row>
    <row r="401" spans="1:26" hidden="1" x14ac:dyDescent="0.3">
      <c r="A401" s="34">
        <v>45782</v>
      </c>
      <c r="B401" s="7" t="str">
        <f t="shared" si="46"/>
        <v>mayo</v>
      </c>
      <c r="C401" s="27">
        <v>2543</v>
      </c>
      <c r="D401" s="23" t="s">
        <v>20</v>
      </c>
      <c r="E401" s="158" t="s">
        <v>942</v>
      </c>
      <c r="F401" s="40" t="s">
        <v>85</v>
      </c>
      <c r="G401" s="32" t="str">
        <f>IFERROR(VLOOKUP(F401,Productos!$A$2:$D$258,2,0)," ")</f>
        <v>Desk Pad B Negro Café Miel</v>
      </c>
      <c r="H401" s="7">
        <v>1</v>
      </c>
      <c r="I401" s="32" t="str">
        <f>IFERROR(VLOOKUP(F401,Productos!$A$2:$D$258,3,0)," ")</f>
        <v>Accesorio</v>
      </c>
      <c r="J401" s="139" t="s">
        <v>21</v>
      </c>
      <c r="K401" s="139" t="s">
        <v>22</v>
      </c>
      <c r="L401" s="26" t="str">
        <f>IF(O401&gt;0,"Despachado","En alistamiento")</f>
        <v>Despachado</v>
      </c>
      <c r="M401" s="56" t="s">
        <v>238</v>
      </c>
      <c r="N401" s="139" t="s">
        <v>952</v>
      </c>
      <c r="O401" s="150">
        <v>45783</v>
      </c>
      <c r="P401" s="151">
        <v>45784</v>
      </c>
      <c r="Q401" s="24" t="str">
        <f t="shared" si="49"/>
        <v>Entregado</v>
      </c>
      <c r="R401" s="25">
        <f>IF(L401="Despachado",NETWORKDAYS.INTL(A401,O401,11,Valores!$A$2:$A$18)-1,"PTE")</f>
        <v>1</v>
      </c>
      <c r="S401" s="25">
        <f>IF(Q401="Entregado",NETWORKDAYS.INTL(A401,P401,11,Valores!$A$2:$A$18)-1,"PTE")</f>
        <v>2</v>
      </c>
      <c r="T401" s="25"/>
      <c r="U401" s="25"/>
      <c r="V401" s="25" t="str">
        <f>IF(Q401="Entregado",IF(S401&lt;=VLOOKUP(K401,Valores!E:F,2,0),"Cumple","No cumple"),"PTE")</f>
        <v>Cumple</v>
      </c>
      <c r="W401" s="25"/>
      <c r="X401" s="29">
        <v>16617</v>
      </c>
      <c r="Y401" s="224"/>
      <c r="Z401" s="28"/>
    </row>
    <row r="402" spans="1:26" hidden="1" x14ac:dyDescent="0.3">
      <c r="A402" s="34">
        <v>45782</v>
      </c>
      <c r="B402" s="7" t="str">
        <f t="shared" si="46"/>
        <v>mayo</v>
      </c>
      <c r="C402" s="27">
        <v>2543</v>
      </c>
      <c r="D402" s="23" t="s">
        <v>20</v>
      </c>
      <c r="E402" s="158" t="s">
        <v>942</v>
      </c>
      <c r="F402" s="22" t="s">
        <v>567</v>
      </c>
      <c r="G402" s="32" t="str">
        <f>IFERROR(VLOOKUP(F402,Productos!$A$2:$D$258,2,0)," ")</f>
        <v>Archivador TECU Fresno Europeo</v>
      </c>
      <c r="H402" s="7">
        <v>1</v>
      </c>
      <c r="I402" s="32" t="str">
        <f>IFERROR(VLOOKUP(F402,Productos!$A$2:$D$258,3,0)," ")</f>
        <v>Archivador</v>
      </c>
      <c r="J402" s="139" t="s">
        <v>21</v>
      </c>
      <c r="K402" s="139" t="s">
        <v>22</v>
      </c>
      <c r="L402" s="26" t="str">
        <f>IF(O402&gt;0,"Despachado","En alistamiento")</f>
        <v>Despachado</v>
      </c>
      <c r="M402" s="56" t="s">
        <v>239</v>
      </c>
      <c r="N402" s="139" t="s">
        <v>953</v>
      </c>
      <c r="O402" s="150">
        <v>45783</v>
      </c>
      <c r="P402" s="151">
        <v>45785</v>
      </c>
      <c r="Q402" s="24" t="str">
        <f t="shared" si="49"/>
        <v>Entregado</v>
      </c>
      <c r="R402" s="25">
        <f>IF(L402="Despachado",NETWORKDAYS.INTL(A402,O402,11,Valores!$A$2:$A$18)-1,"PTE")</f>
        <v>1</v>
      </c>
      <c r="S402" s="25">
        <f>IF(Q402="Entregado",NETWORKDAYS.INTL(A402,P402,11,Valores!$A$2:$A$18)-1,"PTE")</f>
        <v>3</v>
      </c>
      <c r="T402" s="25"/>
      <c r="U402" s="25"/>
      <c r="V402" s="25" t="str">
        <f>IF(Q402="Entregado",IF(S402&lt;=VLOOKUP(K402,Valores!E:F,2,0),"Cumple","No cumple"),"PTE")</f>
        <v>Cumple</v>
      </c>
      <c r="W402" s="25"/>
      <c r="X402" s="29">
        <v>54929</v>
      </c>
      <c r="Y402" s="224"/>
      <c r="Z402" s="28"/>
    </row>
    <row r="403" spans="1:26" hidden="1" x14ac:dyDescent="0.3">
      <c r="A403" s="34">
        <v>45782</v>
      </c>
      <c r="B403" s="7" t="str">
        <f t="shared" ref="B403:B419" si="50">TEXT(A403,"mmmm")</f>
        <v>mayo</v>
      </c>
      <c r="C403" s="27">
        <v>2543</v>
      </c>
      <c r="D403" s="23" t="s">
        <v>20</v>
      </c>
      <c r="E403" s="158" t="s">
        <v>942</v>
      </c>
      <c r="F403" s="40"/>
      <c r="G403" s="32" t="s">
        <v>1796</v>
      </c>
      <c r="H403" s="7">
        <v>1</v>
      </c>
      <c r="I403" s="32" t="s">
        <v>327</v>
      </c>
      <c r="J403" s="139" t="s">
        <v>21</v>
      </c>
      <c r="K403" s="139" t="s">
        <v>22</v>
      </c>
      <c r="L403" s="26" t="s">
        <v>327</v>
      </c>
      <c r="M403" s="56" t="s">
        <v>241</v>
      </c>
      <c r="N403" s="157" t="s">
        <v>241</v>
      </c>
      <c r="O403" s="150" t="s">
        <v>241</v>
      </c>
      <c r="P403" s="151" t="s">
        <v>241</v>
      </c>
      <c r="Q403" s="24" t="str">
        <f t="shared" si="49"/>
        <v>Entregado</v>
      </c>
      <c r="R403" s="25" t="str">
        <f>IF(L403="Despachado",NETWORKDAYS.INTL(A403,O403,11,Valores!$A$2:$A$18)-1,"PTE")</f>
        <v>PTE</v>
      </c>
      <c r="S403" s="25" t="e">
        <f>IF(Q403="Entregado",NETWORKDAYS.INTL(A403,P403,11,Valores!$A$2:$A$18)-1,"PTE")</f>
        <v>#VALUE!</v>
      </c>
      <c r="T403" s="25"/>
      <c r="U403" s="25"/>
      <c r="V403" s="25" t="e">
        <f>IF(Q403="Entregado",IF(S403&lt;=VLOOKUP(K403,Valores!E:F,2,0),"Cumple","No cumple"),"PTE")</f>
        <v>#VALUE!</v>
      </c>
      <c r="W403" s="25"/>
      <c r="X403" s="29">
        <v>0</v>
      </c>
      <c r="Y403" s="224"/>
      <c r="Z403" s="28"/>
    </row>
    <row r="404" spans="1:26" hidden="1" x14ac:dyDescent="0.3">
      <c r="A404" s="34">
        <v>45783</v>
      </c>
      <c r="B404" s="7" t="str">
        <f t="shared" si="50"/>
        <v>mayo</v>
      </c>
      <c r="C404" s="27">
        <v>2544</v>
      </c>
      <c r="D404" s="23" t="s">
        <v>20</v>
      </c>
      <c r="E404" s="158" t="s">
        <v>943</v>
      </c>
      <c r="F404" s="40" t="s">
        <v>133</v>
      </c>
      <c r="G404" s="32" t="str">
        <f>IFERROR(VLOOKUP(F404,Productos!$A$2:$D$258,2,0)," ")</f>
        <v>Electric Standing Desk  PRO Blanco</v>
      </c>
      <c r="H404" s="7">
        <v>1</v>
      </c>
      <c r="I404" s="32" t="str">
        <f>IFERROR(VLOOKUP(F404,Productos!$A$2:$D$258,3,0)," ")</f>
        <v>Standing Desk</v>
      </c>
      <c r="J404" s="157" t="s">
        <v>24</v>
      </c>
      <c r="K404" s="157" t="s">
        <v>27</v>
      </c>
      <c r="L404" s="26" t="str">
        <f>IF(O404&gt;0,"Despachado","En alistamiento")</f>
        <v>Despachado</v>
      </c>
      <c r="M404" s="56" t="s">
        <v>238</v>
      </c>
      <c r="N404" s="139" t="s">
        <v>954</v>
      </c>
      <c r="O404" s="150">
        <v>45783</v>
      </c>
      <c r="P404" s="151">
        <v>45784</v>
      </c>
      <c r="Q404" s="24" t="str">
        <f t="shared" si="49"/>
        <v>Entregado</v>
      </c>
      <c r="R404" s="25">
        <f>IF(L404="Despachado",NETWORKDAYS.INTL(A404,O404,11,Valores!$A$2:$A$18)-1,"PTE")</f>
        <v>0</v>
      </c>
      <c r="S404" s="25">
        <f>IF(Q404="Entregado",NETWORKDAYS.INTL(A404,P404,11,Valores!$A$2:$A$18)-1,"PTE")</f>
        <v>1</v>
      </c>
      <c r="T404" s="25"/>
      <c r="U404" s="25"/>
      <c r="V404" s="25" t="str">
        <f>IF(Q404="Entregado",IF(S404&lt;=VLOOKUP(K404,Valores!E:F,2,0),"Cumple","No cumple"),"PTE")</f>
        <v>Cumple</v>
      </c>
      <c r="W404" s="25"/>
      <c r="X404" s="29">
        <v>42921</v>
      </c>
      <c r="Y404" s="224"/>
      <c r="Z404" s="28"/>
    </row>
    <row r="405" spans="1:26" hidden="1" x14ac:dyDescent="0.3">
      <c r="A405" s="34">
        <v>45783</v>
      </c>
      <c r="B405" s="7" t="str">
        <f t="shared" si="50"/>
        <v>mayo</v>
      </c>
      <c r="C405" s="27">
        <v>2544</v>
      </c>
      <c r="D405" s="23" t="s">
        <v>20</v>
      </c>
      <c r="E405" s="158" t="s">
        <v>943</v>
      </c>
      <c r="F405" s="40" t="s">
        <v>307</v>
      </c>
      <c r="G405" s="32" t="str">
        <f>IFERROR(VLOOKUP(F405,Productos!$A$2:$D$258,2,0)," ")</f>
        <v>Superficie  Fresno Europeo 180x70 Clasico</v>
      </c>
      <c r="H405" s="7">
        <v>1</v>
      </c>
      <c r="I405" s="32" t="str">
        <f>IFERROR(VLOOKUP(F405,Productos!$A$2:$D$258,3,0)," ")</f>
        <v>Superficie</v>
      </c>
      <c r="J405" s="157" t="s">
        <v>24</v>
      </c>
      <c r="K405" s="157" t="s">
        <v>27</v>
      </c>
      <c r="L405" s="26" t="str">
        <f>IF(O405&gt;0,"Despachado","En alistamiento")</f>
        <v>Despachado</v>
      </c>
      <c r="M405" s="56" t="s">
        <v>238</v>
      </c>
      <c r="N405" s="174" t="s">
        <v>955</v>
      </c>
      <c r="O405" s="150">
        <v>45783</v>
      </c>
      <c r="P405" s="151">
        <v>45784</v>
      </c>
      <c r="Q405" s="24" t="str">
        <f t="shared" si="49"/>
        <v>Entregado</v>
      </c>
      <c r="R405" s="25">
        <f>IF(L405="Despachado",NETWORKDAYS.INTL(A405,O405,11,Valores!$A$2:$A$18)-1,"PTE")</f>
        <v>0</v>
      </c>
      <c r="S405" s="25">
        <f>IF(Q405="Entregado",NETWORKDAYS.INTL(A405,P405,11,Valores!$A$2:$A$18)-1,"PTE")</f>
        <v>1</v>
      </c>
      <c r="T405" s="25"/>
      <c r="U405" s="25"/>
      <c r="V405" s="25" t="str">
        <f>IF(Q405="Entregado",IF(S405&lt;=VLOOKUP(K405,Valores!E:F,2,0),"Cumple","No cumple"),"PTE")</f>
        <v>Cumple</v>
      </c>
      <c r="W405" s="25"/>
      <c r="X405" s="29">
        <v>26749</v>
      </c>
      <c r="Y405" s="224"/>
      <c r="Z405" s="28"/>
    </row>
    <row r="406" spans="1:26" hidden="1" x14ac:dyDescent="0.3">
      <c r="A406" s="34">
        <v>45783</v>
      </c>
      <c r="B406" s="7" t="str">
        <f t="shared" si="50"/>
        <v>mayo</v>
      </c>
      <c r="C406" s="27">
        <v>2544</v>
      </c>
      <c r="D406" s="23" t="s">
        <v>20</v>
      </c>
      <c r="E406" s="158" t="s">
        <v>943</v>
      </c>
      <c r="F406" s="40"/>
      <c r="G406" s="32" t="s">
        <v>1796</v>
      </c>
      <c r="H406" s="7">
        <v>1</v>
      </c>
      <c r="I406" s="32" t="s">
        <v>327</v>
      </c>
      <c r="J406" s="157" t="s">
        <v>24</v>
      </c>
      <c r="K406" s="157" t="s">
        <v>27</v>
      </c>
      <c r="L406" s="26" t="s">
        <v>327</v>
      </c>
      <c r="M406" s="56" t="s">
        <v>241</v>
      </c>
      <c r="N406" s="157" t="s">
        <v>241</v>
      </c>
      <c r="O406" s="150" t="s">
        <v>241</v>
      </c>
      <c r="P406" s="151" t="s">
        <v>241</v>
      </c>
      <c r="Q406" s="24" t="str">
        <f t="shared" si="49"/>
        <v>Entregado</v>
      </c>
      <c r="R406" s="25" t="str">
        <f>IF(L406="Despachado",NETWORKDAYS.INTL(A406,O406,11,Valores!$A$2:$A$18)-1,"PTE")</f>
        <v>PTE</v>
      </c>
      <c r="S406" s="25" t="e">
        <f>IF(Q406="Entregado",NETWORKDAYS.INTL(A406,P406,11,Valores!$A$2:$A$18)-1,"PTE")</f>
        <v>#VALUE!</v>
      </c>
      <c r="T406" s="25"/>
      <c r="U406" s="25"/>
      <c r="V406" s="25" t="e">
        <f>IF(Q406="Entregado",IF(S406&lt;=VLOOKUP(K406,Valores!E:F,2,0),"Cumple","No cumple"),"PTE")</f>
        <v>#VALUE!</v>
      </c>
      <c r="W406" s="25"/>
      <c r="X406" s="29">
        <v>0</v>
      </c>
      <c r="Y406" s="224"/>
      <c r="Z406" s="28"/>
    </row>
    <row r="407" spans="1:26" hidden="1" x14ac:dyDescent="0.3">
      <c r="A407" s="34">
        <v>45783</v>
      </c>
      <c r="B407" s="7" t="str">
        <f t="shared" si="50"/>
        <v>mayo</v>
      </c>
      <c r="C407" s="27">
        <v>2545</v>
      </c>
      <c r="D407" s="23" t="s">
        <v>20</v>
      </c>
      <c r="E407" s="158" t="s">
        <v>944</v>
      </c>
      <c r="F407" s="22" t="s">
        <v>129</v>
      </c>
      <c r="G407" s="32" t="str">
        <f>IFERROR(VLOOKUP(F407,Productos!$A$2:$D$258,2,0)," ")</f>
        <v>Electric Standing Desk  PRO Negro</v>
      </c>
      <c r="H407" s="7">
        <v>1</v>
      </c>
      <c r="I407" s="32" t="str">
        <f>IFERROR(VLOOKUP(F407,Productos!$A$2:$D$258,3,0)," ")</f>
        <v>Standing Desk</v>
      </c>
      <c r="J407" s="139" t="s">
        <v>21</v>
      </c>
      <c r="K407" s="139" t="s">
        <v>22</v>
      </c>
      <c r="L407" s="26" t="str">
        <f>IF(O407&gt;0,"Despachado","En alistamiento")</f>
        <v>Despachado</v>
      </c>
      <c r="M407" s="56" t="s">
        <v>238</v>
      </c>
      <c r="N407" s="174" t="s">
        <v>956</v>
      </c>
      <c r="O407" s="150">
        <v>45783</v>
      </c>
      <c r="P407" s="151">
        <v>45784</v>
      </c>
      <c r="Q407" s="24" t="str">
        <f t="shared" si="49"/>
        <v>Entregado</v>
      </c>
      <c r="R407" s="25">
        <f>IF(L407="Despachado",NETWORKDAYS.INTL(A407,O407,11,Valores!$A$2:$A$18)-1,"PTE")</f>
        <v>0</v>
      </c>
      <c r="S407" s="25">
        <f>IF(Q407="Entregado",NETWORKDAYS.INTL(A407,P407,11,Valores!$A$2:$A$18)-1,"PTE")</f>
        <v>1</v>
      </c>
      <c r="T407" s="25"/>
      <c r="U407" s="25"/>
      <c r="V407" s="25" t="str">
        <f>IF(Q407="Entregado",IF(S407&lt;=VLOOKUP(K407,Valores!E:F,2,0),"Cumple","No cumple"),"PTE")</f>
        <v>Cumple</v>
      </c>
      <c r="W407" s="25"/>
      <c r="X407" s="29">
        <v>42921</v>
      </c>
      <c r="Y407" s="224"/>
      <c r="Z407" s="28"/>
    </row>
    <row r="408" spans="1:26" hidden="1" x14ac:dyDescent="0.3">
      <c r="A408" s="34">
        <v>45783</v>
      </c>
      <c r="B408" s="7" t="str">
        <f t="shared" si="50"/>
        <v>mayo</v>
      </c>
      <c r="C408" s="27">
        <v>2545</v>
      </c>
      <c r="D408" s="23" t="s">
        <v>20</v>
      </c>
      <c r="E408" s="158" t="s">
        <v>944</v>
      </c>
      <c r="F408" s="40" t="s">
        <v>142</v>
      </c>
      <c r="G408" s="32" t="str">
        <f>IFERROR(VLOOKUP(F408,Productos!$A$2:$D$258,2,0)," ")</f>
        <v>Superficie Caramelo 140x70 Clasico</v>
      </c>
      <c r="H408" s="7">
        <v>1</v>
      </c>
      <c r="I408" s="32" t="str">
        <f>IFERROR(VLOOKUP(F408,Productos!$A$2:$D$258,3,0)," ")</f>
        <v>Superficie</v>
      </c>
      <c r="J408" s="139" t="s">
        <v>21</v>
      </c>
      <c r="K408" s="139" t="s">
        <v>22</v>
      </c>
      <c r="L408" s="26" t="str">
        <f>IF(O408&gt;0,"Despachado","En alistamiento")</f>
        <v>Despachado</v>
      </c>
      <c r="M408" s="56" t="s">
        <v>238</v>
      </c>
      <c r="N408" s="139" t="s">
        <v>957</v>
      </c>
      <c r="O408" s="150">
        <v>45783</v>
      </c>
      <c r="P408" s="151">
        <v>45784</v>
      </c>
      <c r="Q408" s="24" t="str">
        <f t="shared" si="49"/>
        <v>Entregado</v>
      </c>
      <c r="R408" s="25">
        <f>IF(L408="Despachado",NETWORKDAYS.INTL(A408,O408,11,Valores!$A$2:$A$18)-1,"PTE")</f>
        <v>0</v>
      </c>
      <c r="S408" s="25">
        <f>IF(Q408="Entregado",NETWORKDAYS.INTL(A408,P408,11,Valores!$A$2:$A$18)-1,"PTE")</f>
        <v>1</v>
      </c>
      <c r="T408" s="25"/>
      <c r="U408" s="25"/>
      <c r="V408" s="25" t="str">
        <f>IF(Q408="Entregado",IF(S408&lt;=VLOOKUP(K408,Valores!E:F,2,0),"Cumple","No cumple"),"PTE")</f>
        <v>Cumple</v>
      </c>
      <c r="W408" s="25"/>
      <c r="X408" s="29">
        <v>26749</v>
      </c>
      <c r="Y408" s="224"/>
      <c r="Z408" s="28"/>
    </row>
    <row r="409" spans="1:26" hidden="1" x14ac:dyDescent="0.3">
      <c r="A409" s="34">
        <v>45783</v>
      </c>
      <c r="B409" s="7" t="str">
        <f t="shared" si="50"/>
        <v>mayo</v>
      </c>
      <c r="C409" s="27">
        <v>2545</v>
      </c>
      <c r="D409" s="23" t="s">
        <v>20</v>
      </c>
      <c r="E409" s="158" t="s">
        <v>944</v>
      </c>
      <c r="F409" s="40" t="s">
        <v>280</v>
      </c>
      <c r="G409" s="32" t="str">
        <f>IFERROR(VLOOKUP(F409,Productos!$A$2:$D$258,2,0)," ")</f>
        <v>Rodachines con freno para Standing desk x 4 UN</v>
      </c>
      <c r="H409" s="7">
        <v>1</v>
      </c>
      <c r="I409" s="32" t="str">
        <f>IFERROR(VLOOKUP(F409,Productos!$A$2:$D$258,3,0)," ")</f>
        <v>Ruedas</v>
      </c>
      <c r="J409" s="139" t="s">
        <v>21</v>
      </c>
      <c r="K409" s="139" t="s">
        <v>22</v>
      </c>
      <c r="L409" s="26" t="str">
        <f>IF(O409&gt;0,"Despachado","En alistamiento")</f>
        <v>Despachado</v>
      </c>
      <c r="M409" s="56" t="s">
        <v>238</v>
      </c>
      <c r="N409" s="139" t="s">
        <v>958</v>
      </c>
      <c r="O409" s="150">
        <v>45783</v>
      </c>
      <c r="P409" s="151">
        <v>45784</v>
      </c>
      <c r="Q409" s="24" t="str">
        <f t="shared" si="49"/>
        <v>Entregado</v>
      </c>
      <c r="R409" s="25">
        <f>IF(L409="Despachado",NETWORKDAYS.INTL(A409,O409,11,Valores!$A$2:$A$18)-1,"PTE")</f>
        <v>0</v>
      </c>
      <c r="S409" s="25">
        <f>IF(Q409="Entregado",NETWORKDAYS.INTL(A409,P409,11,Valores!$A$2:$A$18)-1,"PTE")</f>
        <v>1</v>
      </c>
      <c r="T409" s="25"/>
      <c r="U409" s="25"/>
      <c r="V409" s="25" t="str">
        <f>IF(Q409="Entregado",IF(S409&lt;=VLOOKUP(K409,Valores!E:F,2,0),"Cumple","No cumple"),"PTE")</f>
        <v>Cumple</v>
      </c>
      <c r="W409" s="25"/>
      <c r="X409" s="29">
        <v>23875</v>
      </c>
      <c r="Y409" s="224"/>
      <c r="Z409" s="28"/>
    </row>
    <row r="410" spans="1:26" hidden="1" x14ac:dyDescent="0.3">
      <c r="A410" s="34">
        <v>45783</v>
      </c>
      <c r="B410" s="7" t="str">
        <f t="shared" si="50"/>
        <v>mayo</v>
      </c>
      <c r="C410" s="27">
        <v>2546</v>
      </c>
      <c r="D410" s="23" t="s">
        <v>20</v>
      </c>
      <c r="E410" s="158" t="s">
        <v>945</v>
      </c>
      <c r="F410" s="40" t="s">
        <v>133</v>
      </c>
      <c r="G410" s="32" t="str">
        <f>IFERROR(VLOOKUP(F410,Productos!$A$2:$D$258,2,0)," ")</f>
        <v>Electric Standing Desk  PRO Blanco</v>
      </c>
      <c r="H410" s="7">
        <v>1</v>
      </c>
      <c r="I410" s="32" t="str">
        <f>IFERROR(VLOOKUP(F410,Productos!$A$2:$D$258,3,0)," ")</f>
        <v>Standing Desk</v>
      </c>
      <c r="J410" s="139" t="s">
        <v>21</v>
      </c>
      <c r="K410" s="139" t="s">
        <v>22</v>
      </c>
      <c r="L410" s="26" t="str">
        <f>IF(O410&gt;0,"Despachado","En alistamiento")</f>
        <v>Despachado</v>
      </c>
      <c r="M410" s="56" t="s">
        <v>238</v>
      </c>
      <c r="N410" s="139" t="s">
        <v>997</v>
      </c>
      <c r="O410" s="150">
        <v>45783</v>
      </c>
      <c r="P410" s="151">
        <v>45784</v>
      </c>
      <c r="Q410" s="24" t="str">
        <f t="shared" si="49"/>
        <v>Entregado</v>
      </c>
      <c r="R410" s="25">
        <f>IF(L410="Despachado",NETWORKDAYS.INTL(A410,O410,11,Valores!$A$2:$A$18)-1,"PTE")</f>
        <v>0</v>
      </c>
      <c r="S410" s="25">
        <f>IF(Q410="Entregado",NETWORKDAYS.INTL(A410,P410,11,Valores!$A$2:$A$18)-1,"PTE")</f>
        <v>1</v>
      </c>
      <c r="T410" s="25"/>
      <c r="U410" s="25"/>
      <c r="V410" s="25" t="str">
        <f>IF(Q410="Entregado",IF(S410&lt;=VLOOKUP(K410,Valores!E:F,2,0),"Cumple","No cumple"),"PTE")</f>
        <v>Cumple</v>
      </c>
      <c r="W410" s="25"/>
      <c r="X410" s="29">
        <v>42921</v>
      </c>
      <c r="Y410" s="224"/>
      <c r="Z410" s="28"/>
    </row>
    <row r="411" spans="1:26" hidden="1" x14ac:dyDescent="0.3">
      <c r="A411" s="34">
        <v>45783</v>
      </c>
      <c r="B411" s="7" t="str">
        <f t="shared" si="50"/>
        <v>mayo</v>
      </c>
      <c r="C411" s="27">
        <v>2546</v>
      </c>
      <c r="D411" s="23" t="s">
        <v>20</v>
      </c>
      <c r="E411" s="158" t="s">
        <v>945</v>
      </c>
      <c r="F411" s="40" t="s">
        <v>108</v>
      </c>
      <c r="G411" s="32" t="str">
        <f>IFERROR(VLOOKUP(F411,Productos!$A$2:$D$258,2,0)," ")</f>
        <v>Superficie Niebla 120x70 Clasico Small</v>
      </c>
      <c r="H411" s="7">
        <v>1</v>
      </c>
      <c r="I411" s="32" t="str">
        <f>IFERROR(VLOOKUP(F411,Productos!$A$2:$D$258,3,0)," ")</f>
        <v>Superficie</v>
      </c>
      <c r="J411" s="139" t="s">
        <v>21</v>
      </c>
      <c r="K411" s="139" t="s">
        <v>22</v>
      </c>
      <c r="L411" s="26" t="str">
        <f>IF(O411&gt;0,"Despachado","En alistamiento")</f>
        <v>Despachado</v>
      </c>
      <c r="M411" s="56" t="s">
        <v>238</v>
      </c>
      <c r="N411" s="139" t="s">
        <v>998</v>
      </c>
      <c r="O411" s="150">
        <v>45783</v>
      </c>
      <c r="P411" s="151">
        <v>45784</v>
      </c>
      <c r="Q411" s="24" t="str">
        <f t="shared" si="49"/>
        <v>Entregado</v>
      </c>
      <c r="R411" s="25">
        <f>IF(L411="Despachado",NETWORKDAYS.INTL(A411,O411,11,Valores!$A$2:$A$18)-1,"PTE")</f>
        <v>0</v>
      </c>
      <c r="S411" s="25">
        <f>IF(Q411="Entregado",NETWORKDAYS.INTL(A411,P411,11,Valores!$A$2:$A$18)-1,"PTE")</f>
        <v>1</v>
      </c>
      <c r="T411" s="25"/>
      <c r="U411" s="25"/>
      <c r="V411" s="25" t="str">
        <f>IF(Q411="Entregado",IF(S411&lt;=VLOOKUP(K411,Valores!E:F,2,0),"Cumple","No cumple"),"PTE")</f>
        <v>Cumple</v>
      </c>
      <c r="W411" s="25"/>
      <c r="X411" s="29">
        <v>28741</v>
      </c>
      <c r="Y411" s="224"/>
      <c r="Z411" s="28"/>
    </row>
    <row r="412" spans="1:26" hidden="1" x14ac:dyDescent="0.3">
      <c r="A412" s="34">
        <v>45783</v>
      </c>
      <c r="B412" s="7" t="str">
        <f t="shared" si="50"/>
        <v>mayo</v>
      </c>
      <c r="C412" s="27">
        <v>2547</v>
      </c>
      <c r="D412" s="23" t="s">
        <v>20</v>
      </c>
      <c r="E412" s="158" t="s">
        <v>946</v>
      </c>
      <c r="F412" s="40" t="s">
        <v>57</v>
      </c>
      <c r="G412" s="32" t="str">
        <f>IFERROR(VLOOKUP(F412,Productos!$A$2:$D$258,2,0)," ")</f>
        <v>Electric Standing Desk  En L Frame Negro 2.0</v>
      </c>
      <c r="H412" s="7">
        <v>1</v>
      </c>
      <c r="I412" s="32" t="str">
        <f>IFERROR(VLOOKUP(F412,Productos!$A$2:$D$258,3,0)," ")</f>
        <v>Standing Desk</v>
      </c>
      <c r="J412" s="139" t="s">
        <v>21</v>
      </c>
      <c r="K412" s="157" t="s">
        <v>947</v>
      </c>
      <c r="L412" s="26" t="str">
        <f t="shared" ref="L412:L419" si="51">IF(O412&gt;0,"Despachado","En alistamiento")</f>
        <v>Despachado</v>
      </c>
      <c r="M412" s="56" t="s">
        <v>238</v>
      </c>
      <c r="N412" s="139" t="s">
        <v>999</v>
      </c>
      <c r="O412" s="150">
        <v>45784</v>
      </c>
      <c r="P412" s="151">
        <v>45787</v>
      </c>
      <c r="Q412" s="24" t="str">
        <f t="shared" si="49"/>
        <v>Entregado</v>
      </c>
      <c r="R412" s="25">
        <f>IF(L412="Despachado",NETWORKDAYS.INTL(A412,O412,11,Valores!$A$2:$A$18)-1,"PTE")</f>
        <v>1</v>
      </c>
      <c r="S412" s="25">
        <f>IF(Q412="Entregado",NETWORKDAYS.INTL(A412,P412,11,Valores!$A$2:$A$18)-1,"PTE")</f>
        <v>4</v>
      </c>
      <c r="T412" s="25"/>
      <c r="U412" s="25"/>
      <c r="V412" s="25" t="str">
        <f>IF(Q412="Entregado",IF(S412&lt;=VLOOKUP(K412,Valores!E:F,2,0),"Cumple","No cumple"),"PTE")</f>
        <v>Cumple</v>
      </c>
      <c r="W412" s="25"/>
      <c r="X412" s="29">
        <v>62530</v>
      </c>
      <c r="Y412" s="224"/>
      <c r="Z412" s="28"/>
    </row>
    <row r="413" spans="1:26" hidden="1" x14ac:dyDescent="0.3">
      <c r="A413" s="34">
        <v>45783</v>
      </c>
      <c r="B413" s="7" t="str">
        <f t="shared" si="50"/>
        <v>mayo</v>
      </c>
      <c r="C413" s="27">
        <v>2547</v>
      </c>
      <c r="D413" s="23" t="s">
        <v>20</v>
      </c>
      <c r="E413" s="158" t="s">
        <v>946</v>
      </c>
      <c r="F413" s="22" t="s">
        <v>29</v>
      </c>
      <c r="G413" s="32" t="str">
        <f>IFERROR(VLOOKUP(F413,Productos!$A$2:$D$258,2,0)," ")</f>
        <v>Superficie  en L Caramelo 180x150cm x 70</v>
      </c>
      <c r="H413" s="7">
        <v>1</v>
      </c>
      <c r="I413" s="32" t="str">
        <f>IFERROR(VLOOKUP(F413,Productos!$A$2:$D$258,3,0)," ")</f>
        <v>Superficie</v>
      </c>
      <c r="J413" s="139" t="s">
        <v>21</v>
      </c>
      <c r="K413" s="157" t="s">
        <v>947</v>
      </c>
      <c r="L413" s="26" t="str">
        <f t="shared" si="51"/>
        <v>Despachado</v>
      </c>
      <c r="M413" s="56" t="s">
        <v>238</v>
      </c>
      <c r="N413" s="139" t="s">
        <v>1000</v>
      </c>
      <c r="O413" s="150">
        <v>45784</v>
      </c>
      <c r="P413" s="151">
        <v>45786</v>
      </c>
      <c r="Q413" s="24" t="str">
        <f t="shared" si="49"/>
        <v>Entregado</v>
      </c>
      <c r="R413" s="25">
        <f>IF(L413="Despachado",NETWORKDAYS.INTL(A413,O413,11,Valores!$A$2:$A$18)-1,"PTE")</f>
        <v>1</v>
      </c>
      <c r="S413" s="25">
        <f>IF(Q413="Entregado",NETWORKDAYS.INTL(A413,P413,11,Valores!$A$2:$A$18)-1,"PTE")</f>
        <v>3</v>
      </c>
      <c r="T413" s="25"/>
      <c r="U413" s="25"/>
      <c r="V413" s="25" t="str">
        <f>IF(Q413="Entregado",IF(S413&lt;=VLOOKUP(K413,Valores!E:F,2,0),"Cumple","No cumple"),"PTE")</f>
        <v>Cumple</v>
      </c>
      <c r="W413" s="25"/>
      <c r="X413" s="29">
        <v>26749</v>
      </c>
      <c r="Y413" s="224"/>
      <c r="Z413" s="28"/>
    </row>
    <row r="414" spans="1:26" hidden="1" x14ac:dyDescent="0.3">
      <c r="A414" s="34">
        <v>45784</v>
      </c>
      <c r="B414" s="7" t="str">
        <f t="shared" si="50"/>
        <v>mayo</v>
      </c>
      <c r="C414" s="27">
        <v>2548</v>
      </c>
      <c r="D414" s="23" t="s">
        <v>20</v>
      </c>
      <c r="E414" s="158" t="s">
        <v>948</v>
      </c>
      <c r="F414" s="40" t="s">
        <v>123</v>
      </c>
      <c r="G414" s="32" t="str">
        <f>IFERROR(VLOOKUP(F414,Productos!$A$2:$D$258,2,0)," ")</f>
        <v>Electric Standing Desk GO Negro</v>
      </c>
      <c r="H414" s="7">
        <v>1</v>
      </c>
      <c r="I414" s="32" t="str">
        <f>IFERROR(VLOOKUP(F414,Productos!$A$2:$D$258,3,0)," ")</f>
        <v>Standing Desk</v>
      </c>
      <c r="J414" s="139" t="s">
        <v>21</v>
      </c>
      <c r="K414" s="139" t="s">
        <v>22</v>
      </c>
      <c r="L414" s="26" t="str">
        <f t="shared" si="51"/>
        <v>Despachado</v>
      </c>
      <c r="M414" s="56" t="s">
        <v>238</v>
      </c>
      <c r="N414" s="139" t="s">
        <v>1001</v>
      </c>
      <c r="O414" s="150">
        <v>45784</v>
      </c>
      <c r="P414" s="151">
        <v>45785</v>
      </c>
      <c r="Q414" s="24" t="str">
        <f t="shared" si="49"/>
        <v>Entregado</v>
      </c>
      <c r="R414" s="25">
        <f>IF(L414="Despachado",NETWORKDAYS.INTL(A414,O414,11,Valores!$A$2:$A$18)-1,"PTE")</f>
        <v>0</v>
      </c>
      <c r="S414" s="25">
        <f>IF(Q414="Entregado",NETWORKDAYS.INTL(A414,P414,11,Valores!$A$2:$A$18)-1,"PTE")</f>
        <v>1</v>
      </c>
      <c r="T414" s="25"/>
      <c r="U414" s="25"/>
      <c r="V414" s="25" t="str">
        <f>IF(Q414="Entregado",IF(S414&lt;=VLOOKUP(K414,Valores!E:F,2,0),"Cumple","No cumple"),"PTE")</f>
        <v>Cumple</v>
      </c>
      <c r="W414" s="25"/>
      <c r="X414" s="29">
        <v>41593</v>
      </c>
      <c r="Y414" s="224"/>
      <c r="Z414" s="28"/>
    </row>
    <row r="415" spans="1:26" hidden="1" x14ac:dyDescent="0.3">
      <c r="A415" s="34">
        <v>45784</v>
      </c>
      <c r="B415" s="7" t="str">
        <f t="shared" si="50"/>
        <v>mayo</v>
      </c>
      <c r="C415" s="27">
        <v>2548</v>
      </c>
      <c r="D415" s="23" t="s">
        <v>20</v>
      </c>
      <c r="E415" s="158" t="s">
        <v>948</v>
      </c>
      <c r="F415" s="40" t="s">
        <v>107</v>
      </c>
      <c r="G415" s="32" t="str">
        <f>IFERROR(VLOOKUP(F415,Productos!$A$2:$D$258,2,0)," ")</f>
        <v>Superficie  Caramelo 120x70 Clasico Small</v>
      </c>
      <c r="H415" s="7">
        <v>1</v>
      </c>
      <c r="I415" s="32" t="str">
        <f>IFERROR(VLOOKUP(F415,Productos!$A$2:$D$258,3,0)," ")</f>
        <v>Superficie</v>
      </c>
      <c r="J415" s="139" t="s">
        <v>21</v>
      </c>
      <c r="K415" s="139" t="s">
        <v>22</v>
      </c>
      <c r="L415" s="26" t="str">
        <f t="shared" si="51"/>
        <v>Despachado</v>
      </c>
      <c r="M415" s="56" t="s">
        <v>238</v>
      </c>
      <c r="N415" s="139" t="s">
        <v>1002</v>
      </c>
      <c r="O415" s="150">
        <v>45784</v>
      </c>
      <c r="P415" s="151">
        <v>45787</v>
      </c>
      <c r="Q415" s="24" t="str">
        <f t="shared" si="49"/>
        <v>Entregado</v>
      </c>
      <c r="R415" s="25">
        <f>IF(L415="Despachado",NETWORKDAYS.INTL(A415,O415,11,Valores!$A$2:$A$18)-1,"PTE")</f>
        <v>0</v>
      </c>
      <c r="S415" s="25">
        <f>IF(Q415="Entregado",NETWORKDAYS.INTL(A415,P415,11,Valores!$A$2:$A$18)-1,"PTE")</f>
        <v>3</v>
      </c>
      <c r="T415" s="25"/>
      <c r="U415" s="25"/>
      <c r="V415" s="25" t="str">
        <f>IF(Q415="Entregado",IF(S415&lt;=VLOOKUP(K415,Valores!E:F,2,0),"Cumple","No cumple"),"PTE")</f>
        <v>Cumple</v>
      </c>
      <c r="W415" s="25"/>
      <c r="X415" s="29">
        <v>24093</v>
      </c>
      <c r="Y415" s="224"/>
      <c r="Z415" s="28"/>
    </row>
    <row r="416" spans="1:26" hidden="1" x14ac:dyDescent="0.3">
      <c r="A416" s="34">
        <v>45784</v>
      </c>
      <c r="B416" s="7" t="str">
        <f t="shared" si="50"/>
        <v>mayo</v>
      </c>
      <c r="C416" s="27">
        <v>2548</v>
      </c>
      <c r="D416" s="23" t="s">
        <v>20</v>
      </c>
      <c r="E416" s="158" t="s">
        <v>948</v>
      </c>
      <c r="F416" s="40"/>
      <c r="G416" s="32" t="s">
        <v>1796</v>
      </c>
      <c r="H416" s="7">
        <v>1</v>
      </c>
      <c r="I416" s="32" t="s">
        <v>327</v>
      </c>
      <c r="J416" s="139" t="s">
        <v>21</v>
      </c>
      <c r="K416" s="139" t="s">
        <v>22</v>
      </c>
      <c r="L416" s="26" t="s">
        <v>327</v>
      </c>
      <c r="M416" s="56" t="s">
        <v>241</v>
      </c>
      <c r="N416" s="157" t="s">
        <v>241</v>
      </c>
      <c r="O416" s="150" t="s">
        <v>241</v>
      </c>
      <c r="P416" s="151" t="s">
        <v>241</v>
      </c>
      <c r="Q416" s="24" t="str">
        <f t="shared" si="49"/>
        <v>Entregado</v>
      </c>
      <c r="R416" s="25" t="str">
        <f>IF(L416="Despachado",NETWORKDAYS.INTL(A416,O416,11,Valores!$A$2:$A$18)-1,"PTE")</f>
        <v>PTE</v>
      </c>
      <c r="S416" s="25" t="e">
        <f>IF(Q416="Entregado",NETWORKDAYS.INTL(A416,P416,11,Valores!$A$2:$A$18)-1,"PTE")</f>
        <v>#VALUE!</v>
      </c>
      <c r="T416" s="25"/>
      <c r="U416" s="25"/>
      <c r="V416" s="25" t="e">
        <f>IF(Q416="Entregado",IF(S416&lt;=VLOOKUP(K416,Valores!E:F,2,0),"Cumple","No cumple"),"PTE")</f>
        <v>#VALUE!</v>
      </c>
      <c r="W416" s="25"/>
      <c r="X416" s="29">
        <v>0</v>
      </c>
      <c r="Y416" s="224"/>
      <c r="Z416" s="28"/>
    </row>
    <row r="417" spans="1:26" hidden="1" x14ac:dyDescent="0.3">
      <c r="A417" s="34">
        <v>45784</v>
      </c>
      <c r="B417" s="7" t="str">
        <f t="shared" si="50"/>
        <v>mayo</v>
      </c>
      <c r="C417" s="27">
        <v>2549</v>
      </c>
      <c r="D417" s="23" t="s">
        <v>20</v>
      </c>
      <c r="E417" s="161" t="s">
        <v>524</v>
      </c>
      <c r="F417" s="40" t="s">
        <v>87</v>
      </c>
      <c r="G417" s="32" t="str">
        <f>IFERROR(VLOOKUP(F417,Productos!$A$2:$D$258,2,0)," ")</f>
        <v>Desk Stool Negra Silla ajustable</v>
      </c>
      <c r="H417" s="7">
        <v>1</v>
      </c>
      <c r="I417" s="32" t="str">
        <f>IFERROR(VLOOKUP(F417,Productos!$A$2:$D$258,3,0)," ")</f>
        <v>Silla</v>
      </c>
      <c r="J417" s="162" t="s">
        <v>189</v>
      </c>
      <c r="K417" s="26" t="s">
        <v>45</v>
      </c>
      <c r="L417" s="26" t="str">
        <f t="shared" si="51"/>
        <v>Despachado</v>
      </c>
      <c r="M417" s="56" t="s">
        <v>238</v>
      </c>
      <c r="N417" s="139" t="s">
        <v>1005</v>
      </c>
      <c r="O417" s="150">
        <v>45784</v>
      </c>
      <c r="P417" s="151">
        <v>45786</v>
      </c>
      <c r="Q417" s="24" t="str">
        <f t="shared" si="49"/>
        <v>Entregado</v>
      </c>
      <c r="R417" s="25">
        <f>IF(L417="Despachado",NETWORKDAYS.INTL(A417,O417,11,Valores!$A$2:$A$18)-1,"PTE")</f>
        <v>0</v>
      </c>
      <c r="S417" s="25">
        <f>IF(Q417="Entregado",NETWORKDAYS.INTL(A417,P417,11,Valores!$A$2:$A$18)-1,"PTE")</f>
        <v>2</v>
      </c>
      <c r="T417" s="25"/>
      <c r="U417" s="25"/>
      <c r="V417" s="25" t="str">
        <f>IF(Q417="Entregado",IF(S417&lt;=VLOOKUP(K417,Valores!E:F,2,0),"Cumple","No cumple"),"PTE")</f>
        <v>Cumple</v>
      </c>
      <c r="W417" s="25"/>
      <c r="X417" s="29">
        <v>40942</v>
      </c>
      <c r="Y417" s="224"/>
      <c r="Z417" s="28"/>
    </row>
    <row r="418" spans="1:26" hidden="1" x14ac:dyDescent="0.3">
      <c r="A418" s="34">
        <v>45784</v>
      </c>
      <c r="B418" s="7" t="str">
        <f t="shared" si="50"/>
        <v>mayo</v>
      </c>
      <c r="C418" s="27">
        <v>2549</v>
      </c>
      <c r="D418" s="23" t="s">
        <v>20</v>
      </c>
      <c r="E418" s="161" t="s">
        <v>524</v>
      </c>
      <c r="F418" s="40" t="s">
        <v>89</v>
      </c>
      <c r="G418" s="32" t="str">
        <f>IFERROR(VLOOKUP(F418,Productos!$A$2:$D$258,2,0)," ")</f>
        <v>Desk Stool Gris Silla ajustable</v>
      </c>
      <c r="H418" s="7">
        <v>1</v>
      </c>
      <c r="I418" s="32" t="str">
        <f>IFERROR(VLOOKUP(F418,Productos!$A$2:$D$258,3,0)," ")</f>
        <v>Silla</v>
      </c>
      <c r="J418" s="162" t="s">
        <v>189</v>
      </c>
      <c r="K418" s="26" t="s">
        <v>45</v>
      </c>
      <c r="L418" s="26" t="str">
        <f t="shared" si="51"/>
        <v>Despachado</v>
      </c>
      <c r="M418" s="56" t="s">
        <v>238</v>
      </c>
      <c r="N418" s="139" t="s">
        <v>1003</v>
      </c>
      <c r="O418" s="150">
        <v>45784</v>
      </c>
      <c r="P418" s="151">
        <v>45786</v>
      </c>
      <c r="Q418" s="24" t="str">
        <f t="shared" si="49"/>
        <v>Entregado</v>
      </c>
      <c r="R418" s="25">
        <f>IF(L418="Despachado",NETWORKDAYS.INTL(A418,O418,11,Valores!$A$2:$A$18)-1,"PTE")</f>
        <v>0</v>
      </c>
      <c r="S418" s="25">
        <f>IF(Q418="Entregado",NETWORKDAYS.INTL(A418,P418,11,Valores!$A$2:$A$18)-1,"PTE")</f>
        <v>2</v>
      </c>
      <c r="T418" s="25"/>
      <c r="U418" s="25"/>
      <c r="V418" s="25" t="str">
        <f>IF(Q418="Entregado",IF(S418&lt;=VLOOKUP(K418,Valores!E:F,2,0),"Cumple","No cumple"),"PTE")</f>
        <v>Cumple</v>
      </c>
      <c r="W418" s="25"/>
      <c r="X418" s="29">
        <v>40942</v>
      </c>
      <c r="Y418" s="224"/>
      <c r="Z418" s="28"/>
    </row>
    <row r="419" spans="1:26" hidden="1" x14ac:dyDescent="0.3">
      <c r="A419" s="34">
        <v>45784</v>
      </c>
      <c r="B419" s="7" t="str">
        <f t="shared" si="50"/>
        <v>mayo</v>
      </c>
      <c r="C419" s="27">
        <v>2549</v>
      </c>
      <c r="D419" s="23" t="s">
        <v>20</v>
      </c>
      <c r="E419" s="161" t="s">
        <v>524</v>
      </c>
      <c r="F419" s="40" t="s">
        <v>240</v>
      </c>
      <c r="G419" s="32" t="str">
        <f>IFERROR(VLOOKUP(F419,Productos!$A$2:$D$258,2,0)," ")</f>
        <v>Bandeja de cables</v>
      </c>
      <c r="H419" s="7">
        <v>1</v>
      </c>
      <c r="I419" s="32" t="str">
        <f>IFERROR(VLOOKUP(F419,Productos!$A$2:$D$258,3,0)," ")</f>
        <v>Accesorio</v>
      </c>
      <c r="J419" s="162" t="s">
        <v>189</v>
      </c>
      <c r="K419" s="26" t="s">
        <v>45</v>
      </c>
      <c r="L419" s="26" t="str">
        <f t="shared" si="51"/>
        <v>Despachado</v>
      </c>
      <c r="M419" s="56" t="s">
        <v>238</v>
      </c>
      <c r="N419" s="139" t="s">
        <v>1004</v>
      </c>
      <c r="O419" s="150">
        <v>45784</v>
      </c>
      <c r="P419" s="151">
        <v>45786</v>
      </c>
      <c r="Q419" s="24" t="str">
        <f t="shared" si="49"/>
        <v>Entregado</v>
      </c>
      <c r="R419" s="25">
        <f>IF(L419="Despachado",NETWORKDAYS.INTL(A419,O419,11,Valores!$A$2:$A$18)-1,"PTE")</f>
        <v>0</v>
      </c>
      <c r="S419" s="25">
        <f>IF(Q419="Entregado",NETWORKDAYS.INTL(A419,P419,11,Valores!$A$2:$A$18)-1,"PTE")</f>
        <v>2</v>
      </c>
      <c r="T419" s="25"/>
      <c r="U419" s="25"/>
      <c r="V419" s="25" t="str">
        <f>IF(Q419="Entregado",IF(S419&lt;=VLOOKUP(K419,Valores!E:F,2,0),"Cumple","No cumple"),"PTE")</f>
        <v>Cumple</v>
      </c>
      <c r="W419" s="25"/>
      <c r="X419" s="29">
        <v>24885</v>
      </c>
      <c r="Y419" s="224"/>
      <c r="Z419" s="28"/>
    </row>
    <row r="420" spans="1:26" hidden="1" x14ac:dyDescent="0.3">
      <c r="A420" s="34">
        <v>45784</v>
      </c>
      <c r="B420" s="7" t="str">
        <f t="shared" ref="B420:B432" si="52">TEXT(A420,"mmmm")</f>
        <v>mayo</v>
      </c>
      <c r="C420" s="27">
        <v>2550</v>
      </c>
      <c r="D420" s="23" t="s">
        <v>20</v>
      </c>
      <c r="E420" s="161" t="s">
        <v>964</v>
      </c>
      <c r="F420" s="22" t="s">
        <v>129</v>
      </c>
      <c r="G420" s="32" t="str">
        <f>IFERROR(VLOOKUP(F420,Productos!$A$2:$D$258,2,0)," ")</f>
        <v>Electric Standing Desk  PRO Negro</v>
      </c>
      <c r="H420" s="7">
        <v>1</v>
      </c>
      <c r="I420" s="32" t="str">
        <f>IFERROR(VLOOKUP(F420,Productos!$A$2:$D$258,3,0)," ")</f>
        <v>Standing Desk</v>
      </c>
      <c r="J420" s="162" t="s">
        <v>24</v>
      </c>
      <c r="K420" s="162" t="s">
        <v>221</v>
      </c>
      <c r="L420" s="26" t="str">
        <f t="shared" ref="L420:L432" si="53">IF(O420&gt;0,"Despachado","En alistamiento")</f>
        <v>Despachado</v>
      </c>
      <c r="M420" s="56" t="s">
        <v>238</v>
      </c>
      <c r="N420" s="139" t="s">
        <v>1006</v>
      </c>
      <c r="O420" s="150">
        <v>45786</v>
      </c>
      <c r="P420" s="151">
        <v>45787</v>
      </c>
      <c r="Q420" s="24" t="str">
        <f t="shared" si="49"/>
        <v>Entregado</v>
      </c>
      <c r="R420" s="25">
        <f>IF(L420="Despachado",NETWORKDAYS.INTL(A420,O420,11,Valores!$A$2:$A$18)-1,"PTE")</f>
        <v>2</v>
      </c>
      <c r="S420" s="25">
        <f>IF(Q420="Entregado",NETWORKDAYS.INTL(A420,P420,11,Valores!$A$2:$A$18)-1,"PTE")</f>
        <v>3</v>
      </c>
      <c r="T420" s="25"/>
      <c r="U420" s="25"/>
      <c r="V420" s="25" t="str">
        <f>IF(Q420="Entregado",IF(S420&lt;=VLOOKUP(K420,Valores!E:F,2,0),"Cumple","No cumple"),"PTE")</f>
        <v>Cumple</v>
      </c>
      <c r="W420" s="25"/>
      <c r="X420" s="29">
        <v>42921</v>
      </c>
      <c r="Y420" s="224"/>
      <c r="Z420" s="28"/>
    </row>
    <row r="421" spans="1:26" hidden="1" x14ac:dyDescent="0.3">
      <c r="A421" s="34">
        <v>45784</v>
      </c>
      <c r="B421" s="7" t="str">
        <f t="shared" si="52"/>
        <v>mayo</v>
      </c>
      <c r="C421" s="27">
        <v>2550</v>
      </c>
      <c r="D421" s="23" t="s">
        <v>20</v>
      </c>
      <c r="E421" s="161" t="s">
        <v>964</v>
      </c>
      <c r="F421" s="22" t="s">
        <v>292</v>
      </c>
      <c r="G421" s="32" t="str">
        <f>IFERROR(VLOOKUP(F421,Productos!$A$2:$D$258,2,0)," ")</f>
        <v>Superficie  Music Roble Negro</v>
      </c>
      <c r="H421" s="7">
        <v>1</v>
      </c>
      <c r="I421" s="32" t="str">
        <f>IFERROR(VLOOKUP(F421,Productos!$A$2:$D$258,3,0)," ")</f>
        <v>Superficie</v>
      </c>
      <c r="J421" s="162" t="s">
        <v>24</v>
      </c>
      <c r="K421" s="162" t="s">
        <v>221</v>
      </c>
      <c r="L421" s="26" t="str">
        <f t="shared" si="53"/>
        <v>Despachado</v>
      </c>
      <c r="M421" s="56" t="s">
        <v>238</v>
      </c>
      <c r="N421" s="139" t="s">
        <v>1007</v>
      </c>
      <c r="O421" s="150">
        <v>45786</v>
      </c>
      <c r="P421" s="151">
        <v>45787</v>
      </c>
      <c r="Q421" s="24" t="str">
        <f t="shared" si="49"/>
        <v>Entregado</v>
      </c>
      <c r="R421" s="25">
        <f>IF(L421="Despachado",NETWORKDAYS.INTL(A421,O421,11,Valores!$A$2:$A$18)-1,"PTE")</f>
        <v>2</v>
      </c>
      <c r="S421" s="25">
        <f>IF(Q421="Entregado",NETWORKDAYS.INTL(A421,P421,11,Valores!$A$2:$A$18)-1,"PTE")</f>
        <v>3</v>
      </c>
      <c r="T421" s="25"/>
      <c r="U421" s="25"/>
      <c r="V421" s="25" t="str">
        <f>IF(Q421="Entregado",IF(S421&lt;=VLOOKUP(K421,Valores!E:F,2,0),"Cumple","No cumple"),"PTE")</f>
        <v>Cumple</v>
      </c>
      <c r="W421" s="25"/>
      <c r="X421" s="29">
        <v>26749</v>
      </c>
      <c r="Y421" s="224"/>
      <c r="Z421" s="28"/>
    </row>
    <row r="422" spans="1:26" hidden="1" x14ac:dyDescent="0.3">
      <c r="A422" s="34">
        <v>45785</v>
      </c>
      <c r="B422" s="7" t="str">
        <f t="shared" si="52"/>
        <v>mayo</v>
      </c>
      <c r="C422" s="27">
        <v>2551</v>
      </c>
      <c r="D422" s="23" t="s">
        <v>20</v>
      </c>
      <c r="E422" s="161" t="s">
        <v>943</v>
      </c>
      <c r="F422" s="40" t="s">
        <v>240</v>
      </c>
      <c r="G422" s="32" t="str">
        <f>IFERROR(VLOOKUP(F422,Productos!$A$2:$D$258,2,0)," ")</f>
        <v>Bandeja de cables</v>
      </c>
      <c r="H422" s="7">
        <v>1</v>
      </c>
      <c r="I422" s="32" t="str">
        <f>IFERROR(VLOOKUP(F422,Productos!$A$2:$D$258,3,0)," ")</f>
        <v>Accesorio</v>
      </c>
      <c r="J422" s="162" t="s">
        <v>24</v>
      </c>
      <c r="K422" s="162" t="s">
        <v>27</v>
      </c>
      <c r="L422" s="26" t="str">
        <f t="shared" si="53"/>
        <v>Despachado</v>
      </c>
      <c r="M422" s="56" t="s">
        <v>238</v>
      </c>
      <c r="N422" s="139" t="s">
        <v>1008</v>
      </c>
      <c r="O422" s="150">
        <v>45786</v>
      </c>
      <c r="P422" s="151">
        <v>45787</v>
      </c>
      <c r="Q422" s="24" t="str">
        <f t="shared" si="49"/>
        <v>Entregado</v>
      </c>
      <c r="R422" s="25">
        <f>IF(L422="Despachado",NETWORKDAYS.INTL(A422,O422,11,Valores!$A$2:$A$18)-1,"PTE")</f>
        <v>1</v>
      </c>
      <c r="S422" s="25">
        <f>IF(Q422="Entregado",NETWORKDAYS.INTL(A422,P422,11,Valores!$A$2:$A$18)-1,"PTE")</f>
        <v>2</v>
      </c>
      <c r="T422" s="25"/>
      <c r="U422" s="25"/>
      <c r="V422" s="25" t="str">
        <f>IF(Q422="Entregado",IF(S422&lt;=VLOOKUP(K422,Valores!E:F,2,0),"Cumple","No cumple"),"PTE")</f>
        <v>Cumple</v>
      </c>
      <c r="W422" s="25"/>
      <c r="X422" s="29">
        <v>27929</v>
      </c>
      <c r="Y422" s="224"/>
      <c r="Z422" s="28"/>
    </row>
    <row r="423" spans="1:26" hidden="1" x14ac:dyDescent="0.3">
      <c r="A423" s="34">
        <v>45786</v>
      </c>
      <c r="B423" s="7" t="str">
        <f t="shared" si="52"/>
        <v>mayo</v>
      </c>
      <c r="C423" s="27">
        <v>2552</v>
      </c>
      <c r="D423" s="23" t="s">
        <v>20</v>
      </c>
      <c r="E423" s="163" t="s">
        <v>965</v>
      </c>
      <c r="F423" s="22" t="s">
        <v>129</v>
      </c>
      <c r="G423" s="32" t="str">
        <f>IFERROR(VLOOKUP(F423,Productos!$A$2:$D$258,2,0)," ")</f>
        <v>Electric Standing Desk  PRO Negro</v>
      </c>
      <c r="H423" s="7">
        <v>1</v>
      </c>
      <c r="I423" s="32" t="str">
        <f>IFERROR(VLOOKUP(F423,Productos!$A$2:$D$258,3,0)," ")</f>
        <v>Standing Desk</v>
      </c>
      <c r="J423" s="139" t="s">
        <v>21</v>
      </c>
      <c r="K423" s="139" t="s">
        <v>22</v>
      </c>
      <c r="L423" s="26" t="str">
        <f t="shared" si="53"/>
        <v>Despachado</v>
      </c>
      <c r="M423" s="56" t="s">
        <v>238</v>
      </c>
      <c r="N423" s="139" t="s">
        <v>1009</v>
      </c>
      <c r="O423" s="150">
        <v>45786</v>
      </c>
      <c r="P423" s="151">
        <v>45787</v>
      </c>
      <c r="Q423" s="24" t="str">
        <f t="shared" si="49"/>
        <v>Entregado</v>
      </c>
      <c r="R423" s="25">
        <f>IF(L423="Despachado",NETWORKDAYS.INTL(A423,O423,11,Valores!$A$2:$A$18)-1,"PTE")</f>
        <v>0</v>
      </c>
      <c r="S423" s="25">
        <f>IF(Q423="Entregado",NETWORKDAYS.INTL(A423,P423,11,Valores!$A$2:$A$18)-1,"PTE")</f>
        <v>1</v>
      </c>
      <c r="T423" s="25"/>
      <c r="U423" s="25"/>
      <c r="V423" s="25" t="str">
        <f>IF(Q423="Entregado",IF(S423&lt;=VLOOKUP(K423,Valores!E:F,2,0),"Cumple","No cumple"),"PTE")</f>
        <v>Cumple</v>
      </c>
      <c r="W423" s="25"/>
      <c r="X423" s="29">
        <v>42921</v>
      </c>
      <c r="Y423" s="224"/>
      <c r="Z423" s="28"/>
    </row>
    <row r="424" spans="1:26" hidden="1" x14ac:dyDescent="0.3">
      <c r="A424" s="34">
        <v>45786</v>
      </c>
      <c r="B424" s="7" t="str">
        <f t="shared" si="52"/>
        <v>mayo</v>
      </c>
      <c r="C424" s="27">
        <v>2552</v>
      </c>
      <c r="D424" s="23" t="s">
        <v>20</v>
      </c>
      <c r="E424" s="163" t="s">
        <v>965</v>
      </c>
      <c r="F424" s="40" t="s">
        <v>305</v>
      </c>
      <c r="G424" s="32" t="str">
        <f>IFERROR(VLOOKUP(F424,Productos!$A$2:$D$258,2,0)," ")</f>
        <v>Superficie  Fresno Europeo 160x70 Clasico</v>
      </c>
      <c r="H424" s="7">
        <v>1</v>
      </c>
      <c r="I424" s="32" t="str">
        <f>IFERROR(VLOOKUP(F424,Productos!$A$2:$D$258,3,0)," ")</f>
        <v>Superficie</v>
      </c>
      <c r="J424" s="139" t="s">
        <v>21</v>
      </c>
      <c r="K424" s="139" t="s">
        <v>22</v>
      </c>
      <c r="L424" s="26" t="str">
        <f t="shared" si="53"/>
        <v>Despachado</v>
      </c>
      <c r="M424" s="56" t="s">
        <v>238</v>
      </c>
      <c r="N424" s="139" t="s">
        <v>1010</v>
      </c>
      <c r="O424" s="150">
        <v>45786</v>
      </c>
      <c r="P424" s="151">
        <v>45789</v>
      </c>
      <c r="Q424" s="24" t="str">
        <f t="shared" si="49"/>
        <v>Entregado</v>
      </c>
      <c r="R424" s="25">
        <f>IF(L424="Despachado",NETWORKDAYS.INTL(A424,O424,11,Valores!$A$2:$A$18)-1,"PTE")</f>
        <v>0</v>
      </c>
      <c r="S424" s="25">
        <f>IF(Q424="Entregado",NETWORKDAYS.INTL(A424,P424,11,Valores!$A$2:$A$18)-1,"PTE")</f>
        <v>2</v>
      </c>
      <c r="T424" s="25"/>
      <c r="U424" s="25"/>
      <c r="V424" s="25" t="str">
        <f>IF(Q424="Entregado",IF(S424&lt;=VLOOKUP(K424,Valores!E:F,2,0),"Cumple","No cumple"),"PTE")</f>
        <v>Cumple</v>
      </c>
      <c r="W424" s="25"/>
      <c r="X424" s="29">
        <v>24093</v>
      </c>
      <c r="Y424" s="224"/>
      <c r="Z424" s="28"/>
    </row>
    <row r="425" spans="1:26" hidden="1" x14ac:dyDescent="0.3">
      <c r="A425" s="34">
        <v>45786</v>
      </c>
      <c r="B425" s="7" t="str">
        <f t="shared" si="52"/>
        <v>mayo</v>
      </c>
      <c r="C425" s="27">
        <v>2552</v>
      </c>
      <c r="D425" s="23" t="s">
        <v>20</v>
      </c>
      <c r="E425" s="163" t="s">
        <v>965</v>
      </c>
      <c r="F425" s="40" t="s">
        <v>567</v>
      </c>
      <c r="G425" s="32" t="str">
        <f>IFERROR(VLOOKUP(F425,Productos!$A$2:$D$258,2,0)," ")</f>
        <v>Archivador TECU Fresno Europeo</v>
      </c>
      <c r="H425" s="7">
        <v>1</v>
      </c>
      <c r="I425" s="32" t="str">
        <f>IFERROR(VLOOKUP(F425,Productos!$A$2:$D$258,3,0)," ")</f>
        <v>Archivador</v>
      </c>
      <c r="J425" s="139" t="s">
        <v>21</v>
      </c>
      <c r="K425" s="139" t="s">
        <v>22</v>
      </c>
      <c r="L425" s="26" t="str">
        <f t="shared" si="53"/>
        <v>Despachado</v>
      </c>
      <c r="M425" s="56" t="s">
        <v>239</v>
      </c>
      <c r="N425" s="139" t="s">
        <v>1012</v>
      </c>
      <c r="O425" s="150">
        <v>45791</v>
      </c>
      <c r="P425" s="151">
        <v>45792</v>
      </c>
      <c r="Q425" s="24" t="str">
        <f t="shared" si="49"/>
        <v>Entregado</v>
      </c>
      <c r="R425" s="25">
        <f>IF(L425="Despachado",NETWORKDAYS.INTL(A425,O425,11,Valores!$A$2:$A$18)-1,"PTE")</f>
        <v>4</v>
      </c>
      <c r="S425" s="25">
        <f>IF(Q425="Entregado",NETWORKDAYS.INTL(A425,P425,11,Valores!$A$2:$A$18)-1,"PTE")</f>
        <v>5</v>
      </c>
      <c r="T425" s="25"/>
      <c r="U425" s="25"/>
      <c r="V425" s="25" t="str">
        <f>IF(Q425="Entregado",IF(S425&lt;=VLOOKUP(K425,Valores!E:F,2,0),"Cumple","No cumple"),"PTE")</f>
        <v>No cumple</v>
      </c>
      <c r="W425" s="25"/>
      <c r="X425" s="29">
        <v>54929</v>
      </c>
      <c r="Y425" s="224"/>
      <c r="Z425" s="28"/>
    </row>
    <row r="426" spans="1:26" hidden="1" x14ac:dyDescent="0.3">
      <c r="A426" s="34">
        <v>45786</v>
      </c>
      <c r="B426" s="7" t="str">
        <f t="shared" si="52"/>
        <v>mayo</v>
      </c>
      <c r="C426" s="27">
        <v>2552</v>
      </c>
      <c r="D426" s="23" t="s">
        <v>20</v>
      </c>
      <c r="E426" s="163" t="s">
        <v>965</v>
      </c>
      <c r="F426" s="40" t="s">
        <v>240</v>
      </c>
      <c r="G426" s="32" t="str">
        <f>IFERROR(VLOOKUP(F426,Productos!$A$2:$D$258,2,0)," ")</f>
        <v>Bandeja de cables</v>
      </c>
      <c r="H426" s="7">
        <v>1</v>
      </c>
      <c r="I426" s="32" t="str">
        <f>IFERROR(VLOOKUP(F426,Productos!$A$2:$D$258,3,0)," ")</f>
        <v>Accesorio</v>
      </c>
      <c r="J426" s="139" t="s">
        <v>21</v>
      </c>
      <c r="K426" s="139" t="s">
        <v>22</v>
      </c>
      <c r="L426" s="26" t="str">
        <f t="shared" si="53"/>
        <v>Despachado</v>
      </c>
      <c r="M426" s="56" t="s">
        <v>238</v>
      </c>
      <c r="N426" s="139" t="s">
        <v>1011</v>
      </c>
      <c r="O426" s="150">
        <v>45786</v>
      </c>
      <c r="P426" s="151">
        <v>45787</v>
      </c>
      <c r="Q426" s="24" t="str">
        <f t="shared" si="49"/>
        <v>Entregado</v>
      </c>
      <c r="R426" s="25">
        <f>IF(L426="Despachado",NETWORKDAYS.INTL(A426,O426,11,Valores!$A$2:$A$18)-1,"PTE")</f>
        <v>0</v>
      </c>
      <c r="S426" s="25">
        <f>IF(Q426="Entregado",NETWORKDAYS.INTL(A426,P426,11,Valores!$A$2:$A$18)-1,"PTE")</f>
        <v>1</v>
      </c>
      <c r="T426" s="25"/>
      <c r="U426" s="25"/>
      <c r="V426" s="25" t="str">
        <f>IF(Q426="Entregado",IF(S426&lt;=VLOOKUP(K426,Valores!E:F,2,0),"Cumple","No cumple"),"PTE")</f>
        <v>Cumple</v>
      </c>
      <c r="W426" s="25"/>
      <c r="X426" s="29">
        <v>24885</v>
      </c>
      <c r="Y426" s="224"/>
      <c r="Z426" s="28"/>
    </row>
    <row r="427" spans="1:26" hidden="1" x14ac:dyDescent="0.3">
      <c r="A427" s="34">
        <v>45787</v>
      </c>
      <c r="B427" s="7" t="str">
        <f t="shared" si="52"/>
        <v>mayo</v>
      </c>
      <c r="C427" s="27">
        <v>2553</v>
      </c>
      <c r="D427" s="23" t="s">
        <v>20</v>
      </c>
      <c r="E427" s="164" t="s">
        <v>966</v>
      </c>
      <c r="F427" s="22" t="s">
        <v>129</v>
      </c>
      <c r="G427" s="32" t="str">
        <f>IFERROR(VLOOKUP(F427,Productos!$A$2:$D$258,2,0)," ")</f>
        <v>Electric Standing Desk  PRO Negro</v>
      </c>
      <c r="H427" s="7">
        <v>1</v>
      </c>
      <c r="I427" s="32" t="str">
        <f>IFERROR(VLOOKUP(F427,Productos!$A$2:$D$258,3,0)," ")</f>
        <v>Standing Desk</v>
      </c>
      <c r="J427" s="139" t="s">
        <v>21</v>
      </c>
      <c r="K427" s="139" t="s">
        <v>22</v>
      </c>
      <c r="L427" s="26" t="str">
        <f t="shared" si="53"/>
        <v>Despachado</v>
      </c>
      <c r="M427" s="56" t="s">
        <v>238</v>
      </c>
      <c r="N427" s="139" t="s">
        <v>1013</v>
      </c>
      <c r="O427" s="150">
        <v>45789</v>
      </c>
      <c r="P427" s="151">
        <v>45790</v>
      </c>
      <c r="Q427" s="24" t="str">
        <f t="shared" si="49"/>
        <v>Entregado</v>
      </c>
      <c r="R427" s="25">
        <f>IF(L427="Despachado",NETWORKDAYS.INTL(A427,O427,11,Valores!$A$2:$A$18)-1,"PTE")</f>
        <v>1</v>
      </c>
      <c r="S427" s="25">
        <f>IF(Q427="Entregado",NETWORKDAYS.INTL(A427,P427,11,Valores!$A$2:$A$18)-1,"PTE")</f>
        <v>2</v>
      </c>
      <c r="T427" s="25"/>
      <c r="U427" s="25"/>
      <c r="V427" s="25" t="str">
        <f>IF(Q427="Entregado",IF(S427&lt;=VLOOKUP(K427,Valores!E:F,2,0),"Cumple","No cumple"),"PTE")</f>
        <v>Cumple</v>
      </c>
      <c r="W427" s="25"/>
      <c r="X427" s="29">
        <v>42921</v>
      </c>
      <c r="Y427" s="224"/>
      <c r="Z427" s="28"/>
    </row>
    <row r="428" spans="1:26" hidden="1" x14ac:dyDescent="0.3">
      <c r="A428" s="34">
        <v>45787</v>
      </c>
      <c r="B428" s="7" t="str">
        <f t="shared" si="52"/>
        <v>mayo</v>
      </c>
      <c r="C428" s="27">
        <v>2553</v>
      </c>
      <c r="D428" s="23" t="s">
        <v>20</v>
      </c>
      <c r="E428" s="164" t="s">
        <v>966</v>
      </c>
      <c r="F428" s="40" t="s">
        <v>144</v>
      </c>
      <c r="G428" s="32" t="str">
        <f>IFERROR(VLOOKUP(F428,Productos!$A$2:$D$258,2,0)," ")</f>
        <v>Superficie  Caramelo 170x70 Clasico</v>
      </c>
      <c r="H428" s="7">
        <v>1</v>
      </c>
      <c r="I428" s="32" t="str">
        <f>IFERROR(VLOOKUP(F428,Productos!$A$2:$D$258,3,0)," ")</f>
        <v>Superficie</v>
      </c>
      <c r="J428" s="139" t="s">
        <v>21</v>
      </c>
      <c r="K428" s="139" t="s">
        <v>22</v>
      </c>
      <c r="L428" s="26" t="str">
        <f t="shared" si="53"/>
        <v>Despachado</v>
      </c>
      <c r="M428" s="56" t="s">
        <v>238</v>
      </c>
      <c r="N428" s="139" t="s">
        <v>1014</v>
      </c>
      <c r="O428" s="150">
        <v>45789</v>
      </c>
      <c r="P428" s="151">
        <v>45790</v>
      </c>
      <c r="Q428" s="24" t="str">
        <f t="shared" si="49"/>
        <v>Entregado</v>
      </c>
      <c r="R428" s="25">
        <f>IF(L428="Despachado",NETWORKDAYS.INTL(A428,O428,11,Valores!$A$2:$A$18)-1,"PTE")</f>
        <v>1</v>
      </c>
      <c r="S428" s="25">
        <f>IF(Q428="Entregado",NETWORKDAYS.INTL(A428,P428,11,Valores!$A$2:$A$18)-1,"PTE")</f>
        <v>2</v>
      </c>
      <c r="T428" s="25"/>
      <c r="U428" s="25"/>
      <c r="V428" s="25" t="str">
        <f>IF(Q428="Entregado",IF(S428&lt;=VLOOKUP(K428,Valores!E:F,2,0),"Cumple","No cumple"),"PTE")</f>
        <v>Cumple</v>
      </c>
      <c r="W428" s="25"/>
      <c r="X428" s="29">
        <v>24093</v>
      </c>
      <c r="Y428" s="224"/>
      <c r="Z428" s="28"/>
    </row>
    <row r="429" spans="1:26" hidden="1" x14ac:dyDescent="0.3">
      <c r="A429" s="34">
        <v>45787</v>
      </c>
      <c r="B429" s="7" t="str">
        <f t="shared" si="52"/>
        <v>mayo</v>
      </c>
      <c r="C429" s="27">
        <v>2554</v>
      </c>
      <c r="D429" s="23" t="s">
        <v>20</v>
      </c>
      <c r="E429" s="163" t="s">
        <v>967</v>
      </c>
      <c r="F429" s="40" t="s">
        <v>123</v>
      </c>
      <c r="G429" s="32" t="str">
        <f>IFERROR(VLOOKUP(F429,Productos!$A$2:$D$258,2,0)," ")</f>
        <v>Electric Standing Desk GO Negro</v>
      </c>
      <c r="H429" s="7">
        <v>1</v>
      </c>
      <c r="I429" s="32" t="str">
        <f>IFERROR(VLOOKUP(F429,Productos!$A$2:$D$258,3,0)," ")</f>
        <v>Standing Desk</v>
      </c>
      <c r="J429" s="139" t="s">
        <v>21</v>
      </c>
      <c r="K429" s="139" t="s">
        <v>22</v>
      </c>
      <c r="L429" s="26" t="str">
        <f t="shared" si="53"/>
        <v>Despachado</v>
      </c>
      <c r="M429" s="56" t="s">
        <v>238</v>
      </c>
      <c r="N429" s="139" t="s">
        <v>1015</v>
      </c>
      <c r="O429" s="150">
        <v>45789</v>
      </c>
      <c r="P429" s="151">
        <v>45790</v>
      </c>
      <c r="Q429" s="24" t="str">
        <f t="shared" si="49"/>
        <v>Entregado</v>
      </c>
      <c r="R429" s="25">
        <f>IF(L429="Despachado",NETWORKDAYS.INTL(A429,O429,11,Valores!$A$2:$A$18)-1,"PTE")</f>
        <v>1</v>
      </c>
      <c r="S429" s="25">
        <f>IF(Q429="Entregado",NETWORKDAYS.INTL(A429,P429,11,Valores!$A$2:$A$18)-1,"PTE")</f>
        <v>2</v>
      </c>
      <c r="T429" s="25"/>
      <c r="U429" s="25"/>
      <c r="V429" s="25" t="str">
        <f>IF(Q429="Entregado",IF(S429&lt;=VLOOKUP(K429,Valores!E:F,2,0),"Cumple","No cumple"),"PTE")</f>
        <v>Cumple</v>
      </c>
      <c r="W429" s="25"/>
      <c r="X429" s="29">
        <v>41593</v>
      </c>
      <c r="Y429" s="224"/>
      <c r="Z429" s="28"/>
    </row>
    <row r="430" spans="1:26" hidden="1" x14ac:dyDescent="0.3">
      <c r="A430" s="34">
        <v>45787</v>
      </c>
      <c r="B430" s="7" t="str">
        <f t="shared" si="52"/>
        <v>mayo</v>
      </c>
      <c r="C430" s="27">
        <v>2554</v>
      </c>
      <c r="D430" s="23" t="s">
        <v>20</v>
      </c>
      <c r="E430" s="163" t="s">
        <v>967</v>
      </c>
      <c r="F430" s="40" t="s">
        <v>107</v>
      </c>
      <c r="G430" s="32" t="str">
        <f>IFERROR(VLOOKUP(F430,Productos!$A$2:$D$258,2,0)," ")</f>
        <v>Superficie  Caramelo 120x70 Clasico Small</v>
      </c>
      <c r="H430" s="7">
        <v>1</v>
      </c>
      <c r="I430" s="32" t="str">
        <f>IFERROR(VLOOKUP(F430,Productos!$A$2:$D$258,3,0)," ")</f>
        <v>Superficie</v>
      </c>
      <c r="J430" s="139" t="s">
        <v>21</v>
      </c>
      <c r="K430" s="139" t="s">
        <v>22</v>
      </c>
      <c r="L430" s="26" t="str">
        <f t="shared" si="53"/>
        <v>Despachado</v>
      </c>
      <c r="M430" s="56" t="s">
        <v>238</v>
      </c>
      <c r="N430" s="139" t="s">
        <v>1016</v>
      </c>
      <c r="O430" s="150">
        <v>45789</v>
      </c>
      <c r="P430" s="151">
        <v>45791</v>
      </c>
      <c r="Q430" s="24" t="str">
        <f t="shared" si="49"/>
        <v>Entregado</v>
      </c>
      <c r="R430" s="25">
        <f>IF(L430="Despachado",NETWORKDAYS.INTL(A430,O430,11,Valores!$A$2:$A$18)-1,"PTE")</f>
        <v>1</v>
      </c>
      <c r="S430" s="25">
        <f>IF(Q430="Entregado",NETWORKDAYS.INTL(A430,P430,11,Valores!$A$2:$A$18)-1,"PTE")</f>
        <v>3</v>
      </c>
      <c r="T430" s="25"/>
      <c r="U430" s="25"/>
      <c r="V430" s="25" t="str">
        <f>IF(Q430="Entregado",IF(S430&lt;=VLOOKUP(K430,Valores!E:F,2,0),"Cumple","No cumple"),"PTE")</f>
        <v>Cumple</v>
      </c>
      <c r="W430" s="25"/>
      <c r="X430" s="29">
        <v>24093</v>
      </c>
      <c r="Y430" s="224"/>
      <c r="Z430" s="28"/>
    </row>
    <row r="431" spans="1:26" hidden="1" x14ac:dyDescent="0.3">
      <c r="A431" s="34">
        <v>45788</v>
      </c>
      <c r="B431" s="7" t="str">
        <f t="shared" si="52"/>
        <v>mayo</v>
      </c>
      <c r="C431" s="27">
        <v>2555</v>
      </c>
      <c r="D431" s="23" t="s">
        <v>20</v>
      </c>
      <c r="E431" s="163" t="s">
        <v>968</v>
      </c>
      <c r="F431" s="40" t="s">
        <v>127</v>
      </c>
      <c r="G431" s="32" t="str">
        <f>IFERROR(VLOOKUP(F431,Productos!$A$2:$D$258,2,0)," ")</f>
        <v>Electric Standing Desk GO Blanco</v>
      </c>
      <c r="H431" s="7">
        <v>1</v>
      </c>
      <c r="I431" s="32" t="str">
        <f>IFERROR(VLOOKUP(F431,Productos!$A$2:$D$258,3,0)," ")</f>
        <v>Standing Desk</v>
      </c>
      <c r="J431" s="139" t="s">
        <v>21</v>
      </c>
      <c r="K431" s="139" t="s">
        <v>22</v>
      </c>
      <c r="L431" s="26" t="str">
        <f t="shared" si="53"/>
        <v>Despachado</v>
      </c>
      <c r="M431" s="56" t="s">
        <v>238</v>
      </c>
      <c r="N431" s="139" t="s">
        <v>1017</v>
      </c>
      <c r="O431" s="150">
        <v>45789</v>
      </c>
      <c r="P431" s="151">
        <v>45790</v>
      </c>
      <c r="Q431" s="24" t="str">
        <f t="shared" si="49"/>
        <v>Entregado</v>
      </c>
      <c r="R431" s="25">
        <f>IF(L431="Despachado",NETWORKDAYS.INTL(A431,O431,11,Valores!$A$2:$A$18)-1,"PTE")</f>
        <v>0</v>
      </c>
      <c r="S431" s="25">
        <f>IF(Q431="Entregado",NETWORKDAYS.INTL(A431,P431,11,Valores!$A$2:$A$18)-1,"PTE")</f>
        <v>1</v>
      </c>
      <c r="T431" s="25"/>
      <c r="U431" s="25"/>
      <c r="V431" s="25" t="str">
        <f>IF(Q431="Entregado",IF(S431&lt;=VLOOKUP(K431,Valores!E:F,2,0),"Cumple","No cumple"),"PTE")</f>
        <v>Cumple</v>
      </c>
      <c r="W431" s="25"/>
      <c r="X431" s="29">
        <v>41593</v>
      </c>
      <c r="Y431" s="224"/>
      <c r="Z431" s="28"/>
    </row>
    <row r="432" spans="1:26" hidden="1" x14ac:dyDescent="0.3">
      <c r="A432" s="34">
        <v>45788</v>
      </c>
      <c r="B432" s="7" t="str">
        <f t="shared" si="52"/>
        <v>mayo</v>
      </c>
      <c r="C432" s="27">
        <v>2555</v>
      </c>
      <c r="D432" s="23" t="s">
        <v>20</v>
      </c>
      <c r="E432" s="163" t="s">
        <v>968</v>
      </c>
      <c r="F432" s="40" t="s">
        <v>108</v>
      </c>
      <c r="G432" s="32" t="str">
        <f>IFERROR(VLOOKUP(F432,Productos!$A$2:$D$258,2,0)," ")</f>
        <v>Superficie Niebla 120x70 Clasico Small</v>
      </c>
      <c r="H432" s="7">
        <v>1</v>
      </c>
      <c r="I432" s="32" t="str">
        <f>IFERROR(VLOOKUP(F432,Productos!$A$2:$D$258,3,0)," ")</f>
        <v>Superficie</v>
      </c>
      <c r="J432" s="139" t="s">
        <v>21</v>
      </c>
      <c r="K432" s="139" t="s">
        <v>22</v>
      </c>
      <c r="L432" s="26" t="str">
        <f t="shared" si="53"/>
        <v>Despachado</v>
      </c>
      <c r="M432" s="56" t="s">
        <v>238</v>
      </c>
      <c r="N432" s="139" t="s">
        <v>1018</v>
      </c>
      <c r="O432" s="150">
        <v>45789</v>
      </c>
      <c r="P432" s="151">
        <v>45791</v>
      </c>
      <c r="Q432" s="24" t="str">
        <f t="shared" si="49"/>
        <v>Entregado</v>
      </c>
      <c r="R432" s="25">
        <f>IF(L432="Despachado",NETWORKDAYS.INTL(A432,O432,11,Valores!$A$2:$A$18)-1,"PTE")</f>
        <v>0</v>
      </c>
      <c r="S432" s="25">
        <f>IF(Q432="Entregado",NETWORKDAYS.INTL(A432,P432,11,Valores!$A$2:$A$18)-1,"PTE")</f>
        <v>2</v>
      </c>
      <c r="T432" s="25"/>
      <c r="U432" s="25"/>
      <c r="V432" s="25" t="str">
        <f>IF(Q432="Entregado",IF(S432&lt;=VLOOKUP(K432,Valores!E:F,2,0),"Cumple","No cumple"),"PTE")</f>
        <v>Cumple</v>
      </c>
      <c r="W432" s="25"/>
      <c r="X432" s="29">
        <v>24093</v>
      </c>
      <c r="Y432" s="224"/>
      <c r="Z432" s="28"/>
    </row>
    <row r="433" spans="1:26" hidden="1" x14ac:dyDescent="0.3">
      <c r="A433" s="34">
        <v>45788</v>
      </c>
      <c r="B433" s="7" t="str">
        <f>TEXT(A433,"mmmm")</f>
        <v>mayo</v>
      </c>
      <c r="C433" s="27">
        <v>2555</v>
      </c>
      <c r="D433" s="23" t="s">
        <v>20</v>
      </c>
      <c r="E433" s="163" t="s">
        <v>968</v>
      </c>
      <c r="F433" s="40"/>
      <c r="G433" s="32" t="s">
        <v>1796</v>
      </c>
      <c r="H433" s="166">
        <v>1</v>
      </c>
      <c r="I433" s="143" t="s">
        <v>327</v>
      </c>
      <c r="J433" s="139" t="s">
        <v>21</v>
      </c>
      <c r="K433" s="139" t="s">
        <v>22</v>
      </c>
      <c r="L433" s="26" t="s">
        <v>327</v>
      </c>
      <c r="M433" s="56" t="s">
        <v>241</v>
      </c>
      <c r="N433" s="171" t="s">
        <v>241</v>
      </c>
      <c r="O433" s="172" t="s">
        <v>241</v>
      </c>
      <c r="P433" s="173" t="s">
        <v>241</v>
      </c>
      <c r="Q433" s="24" t="str">
        <f t="shared" si="49"/>
        <v>Entregado</v>
      </c>
      <c r="R433" s="25" t="str">
        <f>IF(L433="Despachado",NETWORKDAYS.INTL(A433,O433,11,Valores!$A$2:$A$18)-1,"PTE")</f>
        <v>PTE</v>
      </c>
      <c r="S433" s="25" t="e">
        <f>IF(Q433="Entregado",NETWORKDAYS.INTL(A433,P433,11,Valores!$A$2:$A$18)-1,"PTE")</f>
        <v>#VALUE!</v>
      </c>
      <c r="T433" s="25"/>
      <c r="U433" s="25"/>
      <c r="V433" s="25" t="e">
        <f>IF(Q433="Entregado",IF(S433&lt;=VLOOKUP(K433,Valores!E:F,2,0),"Cumple","No cumple"),"PTE")</f>
        <v>#VALUE!</v>
      </c>
      <c r="W433" s="25"/>
      <c r="X433" s="29">
        <v>0</v>
      </c>
      <c r="Y433" s="224"/>
      <c r="Z433" s="28"/>
    </row>
    <row r="434" spans="1:26" hidden="1" x14ac:dyDescent="0.3">
      <c r="A434" s="34">
        <v>45789</v>
      </c>
      <c r="B434" s="7" t="str">
        <f>TEXT(A434,"mmmm")</f>
        <v>mayo</v>
      </c>
      <c r="C434" s="27">
        <v>2556</v>
      </c>
      <c r="D434" s="23" t="s">
        <v>20</v>
      </c>
      <c r="E434" s="163" t="s">
        <v>969</v>
      </c>
      <c r="F434" s="22" t="s">
        <v>133</v>
      </c>
      <c r="G434" s="32" t="str">
        <f>IFERROR(VLOOKUP(F434,Productos!$A$2:$D$258,2,0)," ")</f>
        <v>Electric Standing Desk  PRO Blanco</v>
      </c>
      <c r="H434" s="7">
        <v>1</v>
      </c>
      <c r="I434" s="32" t="str">
        <f>IFERROR(VLOOKUP(F434,Productos!$A$2:$D$258,3,0)," ")</f>
        <v>Standing Desk</v>
      </c>
      <c r="J434" s="165" t="s">
        <v>24</v>
      </c>
      <c r="K434" s="165" t="s">
        <v>217</v>
      </c>
      <c r="L434" s="26" t="str">
        <f>IF(O434&gt;0,"Despachado","En alistamiento")</f>
        <v>Despachado</v>
      </c>
      <c r="M434" s="56" t="s">
        <v>238</v>
      </c>
      <c r="N434" s="139" t="s">
        <v>1019</v>
      </c>
      <c r="O434" s="150">
        <v>45789</v>
      </c>
      <c r="P434" s="151">
        <v>45790</v>
      </c>
      <c r="Q434" s="24" t="str">
        <f t="shared" si="49"/>
        <v>Entregado</v>
      </c>
      <c r="R434" s="25">
        <f>IF(L434="Despachado",NETWORKDAYS.INTL(A434,O434,11,Valores!$A$2:$A$18)-1,"PTE")</f>
        <v>0</v>
      </c>
      <c r="S434" s="25">
        <f>IF(Q434="Entregado",NETWORKDAYS.INTL(A434,P434,11,Valores!$A$2:$A$18)-1,"PTE")</f>
        <v>1</v>
      </c>
      <c r="T434" s="25"/>
      <c r="U434" s="25"/>
      <c r="V434" s="25" t="str">
        <f>IF(Q434="Entregado",IF(S434&lt;=VLOOKUP(K434,Valores!E:F,2,0),"Cumple","No cumple"),"PTE")</f>
        <v>Cumple</v>
      </c>
      <c r="W434" s="25"/>
      <c r="X434" s="29">
        <v>47921</v>
      </c>
      <c r="Y434" s="224"/>
      <c r="Z434" s="28"/>
    </row>
    <row r="435" spans="1:26" hidden="1" x14ac:dyDescent="0.3">
      <c r="A435" s="34">
        <v>45789</v>
      </c>
      <c r="B435" s="7" t="str">
        <f>TEXT(A435,"mmmm")</f>
        <v>mayo</v>
      </c>
      <c r="C435" s="27">
        <v>2556</v>
      </c>
      <c r="D435" s="23" t="s">
        <v>20</v>
      </c>
      <c r="E435" s="163" t="s">
        <v>969</v>
      </c>
      <c r="F435" s="40" t="s">
        <v>302</v>
      </c>
      <c r="G435" s="32" t="str">
        <f>IFERROR(VLOOKUP(F435,Productos!$A$2:$D$258,2,0)," ")</f>
        <v>Superficie  Fresno Europeo 130x70 Clasico</v>
      </c>
      <c r="H435" s="7">
        <v>1</v>
      </c>
      <c r="I435" s="32" t="str">
        <f>IFERROR(VLOOKUP(F435,Productos!$A$2:$D$258,3,0)," ")</f>
        <v>Superficie</v>
      </c>
      <c r="J435" s="165" t="s">
        <v>24</v>
      </c>
      <c r="K435" s="165" t="s">
        <v>217</v>
      </c>
      <c r="L435" s="26" t="str">
        <f>IF(O435&gt;0,"Despachado","En alistamiento")</f>
        <v>Despachado</v>
      </c>
      <c r="M435" s="56" t="s">
        <v>238</v>
      </c>
      <c r="N435" s="139" t="s">
        <v>1020</v>
      </c>
      <c r="O435" s="150">
        <v>45789</v>
      </c>
      <c r="P435" s="151">
        <v>45790</v>
      </c>
      <c r="Q435" s="24" t="str">
        <f t="shared" si="49"/>
        <v>Entregado</v>
      </c>
      <c r="R435" s="25">
        <f>IF(L435="Despachado",NETWORKDAYS.INTL(A435,O435,11,Valores!$A$2:$A$18)-1,"PTE")</f>
        <v>0</v>
      </c>
      <c r="S435" s="25">
        <f>IF(Q435="Entregado",NETWORKDAYS.INTL(A435,P435,11,Valores!$A$2:$A$18)-1,"PTE")</f>
        <v>1</v>
      </c>
      <c r="T435" s="25"/>
      <c r="U435" s="25"/>
      <c r="V435" s="25" t="str">
        <f>IF(Q435="Entregado",IF(S435&lt;=VLOOKUP(K435,Valores!E:F,2,0),"Cumple","No cumple"),"PTE")</f>
        <v>Cumple</v>
      </c>
      <c r="W435" s="25"/>
      <c r="X435" s="29">
        <v>27929</v>
      </c>
      <c r="Y435" s="224"/>
      <c r="Z435" s="28"/>
    </row>
    <row r="436" spans="1:26" hidden="1" x14ac:dyDescent="0.3">
      <c r="A436" s="34">
        <v>45789</v>
      </c>
      <c r="B436" s="7" t="str">
        <f>TEXT(A436,"mmmm")</f>
        <v>mayo</v>
      </c>
      <c r="C436" s="27">
        <v>2557</v>
      </c>
      <c r="D436" s="23" t="s">
        <v>20</v>
      </c>
      <c r="E436" s="163" t="s">
        <v>970</v>
      </c>
      <c r="F436" s="22" t="s">
        <v>133</v>
      </c>
      <c r="G436" s="32" t="str">
        <f>IFERROR(VLOOKUP(F436,Productos!$A$2:$D$258,2,0)," ")</f>
        <v>Electric Standing Desk  PRO Blanco</v>
      </c>
      <c r="H436" s="7">
        <v>1</v>
      </c>
      <c r="I436" s="32" t="str">
        <f>IFERROR(VLOOKUP(F436,Productos!$A$2:$D$258,3,0)," ")</f>
        <v>Standing Desk</v>
      </c>
      <c r="J436" s="165" t="s">
        <v>24</v>
      </c>
      <c r="K436" s="165" t="s">
        <v>27</v>
      </c>
      <c r="L436" s="26" t="str">
        <f>IF(O436&gt;0,"Despachado","En alistamiento")</f>
        <v>Despachado</v>
      </c>
      <c r="M436" s="56" t="s">
        <v>238</v>
      </c>
      <c r="N436" s="139" t="s">
        <v>1021</v>
      </c>
      <c r="O436" s="150">
        <v>45789</v>
      </c>
      <c r="P436" s="151">
        <v>45790</v>
      </c>
      <c r="Q436" s="24" t="str">
        <f t="shared" si="49"/>
        <v>Entregado</v>
      </c>
      <c r="R436" s="25">
        <f>IF(L436="Despachado",NETWORKDAYS.INTL(A436,O436,11,Valores!$A$2:$A$18)-1,"PTE")</f>
        <v>0</v>
      </c>
      <c r="S436" s="25">
        <f>IF(Q436="Entregado",NETWORKDAYS.INTL(A436,P436,11,Valores!$A$2:$A$18)-1,"PTE")</f>
        <v>1</v>
      </c>
      <c r="T436" s="25"/>
      <c r="U436" s="25"/>
      <c r="V436" s="25" t="str">
        <f>IF(Q436="Entregado",IF(S436&lt;=VLOOKUP(K436,Valores!E:F,2,0),"Cumple","No cumple"),"PTE")</f>
        <v>Cumple</v>
      </c>
      <c r="W436" s="25"/>
      <c r="X436" s="29">
        <v>42921</v>
      </c>
      <c r="Y436" s="224"/>
      <c r="Z436" s="28"/>
    </row>
    <row r="437" spans="1:26" hidden="1" x14ac:dyDescent="0.3">
      <c r="A437" s="34">
        <v>45789</v>
      </c>
      <c r="B437" s="7" t="str">
        <f>TEXT(A437,"mmmm")</f>
        <v>mayo</v>
      </c>
      <c r="C437" s="27">
        <v>2557</v>
      </c>
      <c r="D437" s="23" t="s">
        <v>20</v>
      </c>
      <c r="E437" s="163" t="s">
        <v>970</v>
      </c>
      <c r="F437" s="40"/>
      <c r="G437" s="32" t="s">
        <v>1796</v>
      </c>
      <c r="H437" s="166">
        <v>1</v>
      </c>
      <c r="I437" s="143" t="s">
        <v>327</v>
      </c>
      <c r="J437" s="165" t="s">
        <v>24</v>
      </c>
      <c r="K437" s="165" t="s">
        <v>27</v>
      </c>
      <c r="L437" s="26" t="s">
        <v>327</v>
      </c>
      <c r="M437" s="56" t="s">
        <v>241</v>
      </c>
      <c r="N437" s="171" t="s">
        <v>241</v>
      </c>
      <c r="O437" s="172" t="s">
        <v>241</v>
      </c>
      <c r="P437" s="173" t="s">
        <v>241</v>
      </c>
      <c r="Q437" s="24" t="str">
        <f t="shared" si="49"/>
        <v>Entregado</v>
      </c>
      <c r="R437" s="25" t="str">
        <f>IF(L437="Despachado",NETWORKDAYS.INTL(A437,O437,11,Valores!$A$2:$A$18)-1,"PTE")</f>
        <v>PTE</v>
      </c>
      <c r="S437" s="25" t="e">
        <f>IF(Q437="Entregado",NETWORKDAYS.INTL(A437,P437,11,Valores!$A$2:$A$18)-1,"PTE")</f>
        <v>#VALUE!</v>
      </c>
      <c r="T437" s="25"/>
      <c r="U437" s="25"/>
      <c r="V437" s="25" t="e">
        <f>IF(Q437="Entregado",IF(S437&lt;=VLOOKUP(K437,Valores!E:F,2,0),"Cumple","No cumple"),"PTE")</f>
        <v>#VALUE!</v>
      </c>
      <c r="W437" s="25"/>
      <c r="X437" s="29">
        <v>0</v>
      </c>
      <c r="Y437" s="224"/>
      <c r="Z437" s="28"/>
    </row>
    <row r="438" spans="1:26" hidden="1" x14ac:dyDescent="0.3">
      <c r="A438" s="34">
        <v>45789</v>
      </c>
      <c r="B438" s="7" t="str">
        <f t="shared" ref="B438:B444" si="54">TEXT(A438,"mmmm")</f>
        <v>mayo</v>
      </c>
      <c r="C438" s="27">
        <v>2558</v>
      </c>
      <c r="D438" s="23" t="s">
        <v>20</v>
      </c>
      <c r="E438" s="163" t="s">
        <v>971</v>
      </c>
      <c r="F438" s="22" t="s">
        <v>732</v>
      </c>
      <c r="G438" s="32" t="str">
        <f>IFERROR(VLOOKUP(F438,Productos!$A$2:$D$258,2,0)," ")</f>
        <v>Electric Standing Desk  PRO Negro circular</v>
      </c>
      <c r="H438" s="7">
        <v>1</v>
      </c>
      <c r="I438" s="32" t="str">
        <f>IFERROR(VLOOKUP(F438,Productos!$A$2:$D$258,3,0)," ")</f>
        <v>Standing Desk</v>
      </c>
      <c r="J438" s="139" t="s">
        <v>21</v>
      </c>
      <c r="K438" s="139" t="s">
        <v>22</v>
      </c>
      <c r="L438" s="26" t="str">
        <f>IF(O438&gt;0,"Despachado","En alistamiento")</f>
        <v>Despachado</v>
      </c>
      <c r="M438" s="56" t="s">
        <v>238</v>
      </c>
      <c r="N438" s="139" t="s">
        <v>1022</v>
      </c>
      <c r="O438" s="150">
        <v>45791</v>
      </c>
      <c r="P438" s="151">
        <v>45793</v>
      </c>
      <c r="Q438" s="24" t="str">
        <f t="shared" si="49"/>
        <v>Entregado</v>
      </c>
      <c r="R438" s="25">
        <f>IF(L438="Despachado",NETWORKDAYS.INTL(A438,O438,11,Valores!$A$2:$A$18)-1,"PTE")</f>
        <v>2</v>
      </c>
      <c r="S438" s="25">
        <f>IF(Q438="Entregado",NETWORKDAYS.INTL(A438,P438,11,Valores!$A$2:$A$18)-1,"PTE")</f>
        <v>4</v>
      </c>
      <c r="T438" s="25"/>
      <c r="U438" s="25"/>
      <c r="V438" s="25" t="str">
        <f>IF(Q438="Entregado",IF(S438&lt;=VLOOKUP(K438,Valores!E:F,2,0),"Cumple","No cumple"),"PTE")</f>
        <v>No cumple</v>
      </c>
      <c r="W438" s="25"/>
      <c r="X438" s="29">
        <v>42921</v>
      </c>
      <c r="Y438" s="224"/>
      <c r="Z438" s="28"/>
    </row>
    <row r="439" spans="1:26" hidden="1" x14ac:dyDescent="0.3">
      <c r="A439" s="34">
        <v>45789</v>
      </c>
      <c r="B439" s="7" t="str">
        <f t="shared" si="54"/>
        <v>mayo</v>
      </c>
      <c r="C439" s="27">
        <v>2558</v>
      </c>
      <c r="D439" s="23" t="s">
        <v>20</v>
      </c>
      <c r="E439" s="163" t="s">
        <v>971</v>
      </c>
      <c r="F439" s="40" t="s">
        <v>26</v>
      </c>
      <c r="G439" s="32" t="str">
        <f>IFERROR(VLOOKUP(F439,Productos!$A$2:$D$258,2,0)," ")</f>
        <v>Superficie Caramelo 150x70 Clasico</v>
      </c>
      <c r="H439" s="7">
        <v>1</v>
      </c>
      <c r="I439" s="32" t="str">
        <f>IFERROR(VLOOKUP(F439,Productos!$A$2:$D$258,3,0)," ")</f>
        <v>Superficie</v>
      </c>
      <c r="J439" s="139" t="s">
        <v>21</v>
      </c>
      <c r="K439" s="139" t="s">
        <v>22</v>
      </c>
      <c r="L439" s="26" t="str">
        <f>IF(O439&gt;0,"Despachado","En alistamiento")</f>
        <v>Despachado</v>
      </c>
      <c r="M439" s="56" t="s">
        <v>238</v>
      </c>
      <c r="N439" s="139" t="s">
        <v>1023</v>
      </c>
      <c r="O439" s="150">
        <v>45791</v>
      </c>
      <c r="P439" s="151">
        <v>45793</v>
      </c>
      <c r="Q439" s="24" t="str">
        <f t="shared" si="49"/>
        <v>Entregado</v>
      </c>
      <c r="R439" s="25">
        <f>IF(L439="Despachado",NETWORKDAYS.INTL(A439,O439,11,Valores!$A$2:$A$18)-1,"PTE")</f>
        <v>2</v>
      </c>
      <c r="S439" s="25">
        <f>IF(Q439="Entregado",NETWORKDAYS.INTL(A439,P439,11,Valores!$A$2:$A$18)-1,"PTE")</f>
        <v>4</v>
      </c>
      <c r="T439" s="25"/>
      <c r="U439" s="25"/>
      <c r="V439" s="25" t="str">
        <f>IF(Q439="Entregado",IF(S439&lt;=VLOOKUP(K439,Valores!E:F,2,0),"Cumple","No cumple"),"PTE")</f>
        <v>No cumple</v>
      </c>
      <c r="W439" s="25"/>
      <c r="X439" s="29">
        <v>24093</v>
      </c>
      <c r="Y439" s="224"/>
      <c r="Z439" s="28"/>
    </row>
    <row r="440" spans="1:26" hidden="1" x14ac:dyDescent="0.3">
      <c r="A440" s="34">
        <v>45789</v>
      </c>
      <c r="B440" s="7" t="str">
        <f t="shared" si="54"/>
        <v>mayo</v>
      </c>
      <c r="C440" s="27">
        <v>2558</v>
      </c>
      <c r="D440" s="23" t="s">
        <v>20</v>
      </c>
      <c r="E440" s="158" t="s">
        <v>971</v>
      </c>
      <c r="F440" s="40" t="s">
        <v>86</v>
      </c>
      <c r="G440" s="32" t="str">
        <f>IFERROR(VLOOKUP(F440,Productos!$A$2:$D$258,2,0)," ")</f>
        <v>Laptop Stand B</v>
      </c>
      <c r="H440" s="7">
        <v>1</v>
      </c>
      <c r="I440" s="32" t="str">
        <f>IFERROR(VLOOKUP(F440,Productos!$A$2:$D$258,3,0)," ")</f>
        <v>Accesorio</v>
      </c>
      <c r="J440" s="139" t="s">
        <v>21</v>
      </c>
      <c r="K440" s="139" t="s">
        <v>22</v>
      </c>
      <c r="L440" s="26" t="str">
        <f>IF(O440&gt;0,"Despachado","En alistamiento")</f>
        <v>Despachado</v>
      </c>
      <c r="M440" s="56" t="s">
        <v>238</v>
      </c>
      <c r="N440" s="139" t="s">
        <v>1024</v>
      </c>
      <c r="O440" s="150">
        <v>45791</v>
      </c>
      <c r="P440" s="151">
        <v>45792</v>
      </c>
      <c r="Q440" s="24" t="str">
        <f t="shared" si="49"/>
        <v>Entregado</v>
      </c>
      <c r="R440" s="25">
        <f>IF(L440="Despachado",NETWORKDAYS.INTL(A440,O440,11,Valores!$A$2:$A$18)-1,"PTE")</f>
        <v>2</v>
      </c>
      <c r="S440" s="25">
        <f>IF(Q440="Entregado",NETWORKDAYS.INTL(A440,P440,11,Valores!$A$2:$A$18)-1,"PTE")</f>
        <v>3</v>
      </c>
      <c r="T440" s="25"/>
      <c r="U440" s="25"/>
      <c r="V440" s="25" t="str">
        <f>IF(Q440="Entregado",IF(S440&lt;=VLOOKUP(K440,Valores!E:F,2,0),"Cumple","No cumple"),"PTE")</f>
        <v>Cumple</v>
      </c>
      <c r="W440" s="25"/>
      <c r="X440" s="29">
        <v>24885</v>
      </c>
      <c r="Y440" s="224"/>
      <c r="Z440" s="28"/>
    </row>
    <row r="441" spans="1:26" hidden="1" x14ac:dyDescent="0.3">
      <c r="A441" s="34">
        <v>45789</v>
      </c>
      <c r="B441" s="7" t="str">
        <f t="shared" si="54"/>
        <v>mayo</v>
      </c>
      <c r="C441" s="27">
        <v>2558</v>
      </c>
      <c r="D441" s="23" t="s">
        <v>20</v>
      </c>
      <c r="E441" s="158" t="s">
        <v>971</v>
      </c>
      <c r="F441" s="40"/>
      <c r="G441" s="32" t="s">
        <v>1796</v>
      </c>
      <c r="H441" s="166">
        <v>1</v>
      </c>
      <c r="I441" s="143" t="s">
        <v>327</v>
      </c>
      <c r="J441" s="139" t="s">
        <v>21</v>
      </c>
      <c r="K441" s="139" t="s">
        <v>22</v>
      </c>
      <c r="L441" s="26" t="s">
        <v>327</v>
      </c>
      <c r="M441" s="56" t="s">
        <v>241</v>
      </c>
      <c r="N441" s="171" t="s">
        <v>241</v>
      </c>
      <c r="O441" s="172" t="s">
        <v>241</v>
      </c>
      <c r="P441" s="173" t="s">
        <v>241</v>
      </c>
      <c r="Q441" s="24" t="str">
        <f t="shared" si="49"/>
        <v>Entregado</v>
      </c>
      <c r="R441" s="25" t="str">
        <f>IF(L441="Despachado",NETWORKDAYS.INTL(A441,O441,11,Valores!$A$2:$A$18)-1,"PTE")</f>
        <v>PTE</v>
      </c>
      <c r="S441" s="25" t="e">
        <f>IF(Q441="Entregado",NETWORKDAYS.INTL(A441,P441,11,Valores!$A$2:$A$18)-1,"PTE")</f>
        <v>#VALUE!</v>
      </c>
      <c r="T441" s="25"/>
      <c r="U441" s="25"/>
      <c r="V441" s="25" t="e">
        <f>IF(Q441="Entregado",IF(S441&lt;=VLOOKUP(K441,Valores!E:F,2,0),"Cumple","No cumple"),"PTE")</f>
        <v>#VALUE!</v>
      </c>
      <c r="W441" s="25"/>
      <c r="X441" s="29">
        <v>0</v>
      </c>
      <c r="Y441" s="224"/>
      <c r="Z441" s="28"/>
    </row>
    <row r="442" spans="1:26" hidden="1" x14ac:dyDescent="0.3">
      <c r="A442" s="34">
        <v>45790</v>
      </c>
      <c r="B442" s="7" t="str">
        <f t="shared" si="54"/>
        <v>mayo</v>
      </c>
      <c r="C442" s="27">
        <v>2559</v>
      </c>
      <c r="D442" s="23" t="s">
        <v>20</v>
      </c>
      <c r="E442" s="163" t="s">
        <v>972</v>
      </c>
      <c r="F442" s="22" t="s">
        <v>732</v>
      </c>
      <c r="G442" s="32" t="str">
        <f>IFERROR(VLOOKUP(F442,Productos!$A$2:$D$258,2,0)," ")</f>
        <v>Electric Standing Desk  PRO Negro circular</v>
      </c>
      <c r="H442" s="7">
        <v>1</v>
      </c>
      <c r="I442" s="32" t="str">
        <f>IFERROR(VLOOKUP(F442,Productos!$A$2:$D$258,3,0)," ")</f>
        <v>Standing Desk</v>
      </c>
      <c r="J442" s="139" t="s">
        <v>21</v>
      </c>
      <c r="K442" s="139" t="s">
        <v>22</v>
      </c>
      <c r="L442" s="26" t="str">
        <f>IF(O442&gt;0,"Despachado","En alistamiento")</f>
        <v>Despachado</v>
      </c>
      <c r="M442" s="56" t="s">
        <v>238</v>
      </c>
      <c r="N442" s="139" t="s">
        <v>1025</v>
      </c>
      <c r="O442" s="150">
        <v>45791</v>
      </c>
      <c r="P442" s="151">
        <v>45792</v>
      </c>
      <c r="Q442" s="24" t="str">
        <f t="shared" si="49"/>
        <v>Entregado</v>
      </c>
      <c r="R442" s="25">
        <f>IF(L442="Despachado",NETWORKDAYS.INTL(A442,O442,11,Valores!$A$2:$A$18)-1,"PTE")</f>
        <v>1</v>
      </c>
      <c r="S442" s="25">
        <f>IF(Q442="Entregado",NETWORKDAYS.INTL(A442,P442,11,Valores!$A$2:$A$18)-1,"PTE")</f>
        <v>2</v>
      </c>
      <c r="T442" s="25"/>
      <c r="U442" s="25"/>
      <c r="V442" s="25" t="str">
        <f>IF(Q442="Entregado",IF(S442&lt;=VLOOKUP(K442,Valores!E:F,2,0),"Cumple","No cumple"),"PTE")</f>
        <v>Cumple</v>
      </c>
      <c r="W442" s="25"/>
      <c r="X442" s="29">
        <v>42921</v>
      </c>
      <c r="Y442" s="224"/>
      <c r="Z442" s="28"/>
    </row>
    <row r="443" spans="1:26" hidden="1" x14ac:dyDescent="0.3">
      <c r="A443" s="34">
        <v>45790</v>
      </c>
      <c r="B443" s="7" t="str">
        <f t="shared" si="54"/>
        <v>mayo</v>
      </c>
      <c r="C443" s="27">
        <v>2559</v>
      </c>
      <c r="D443" s="23" t="s">
        <v>20</v>
      </c>
      <c r="E443" s="163" t="s">
        <v>972</v>
      </c>
      <c r="F443" s="22" t="s">
        <v>33</v>
      </c>
      <c r="G443" s="32" t="str">
        <f>IFERROR(VLOOKUP(F443,Productos!$A$2:$D$258,2,0)," ")</f>
        <v>Superficie  Caramelo 180x70 Clasico</v>
      </c>
      <c r="H443" s="7">
        <v>1</v>
      </c>
      <c r="I443" s="32" t="str">
        <f>IFERROR(VLOOKUP(F443,Productos!$A$2:$D$258,3,0)," ")</f>
        <v>Superficie</v>
      </c>
      <c r="J443" s="139" t="s">
        <v>21</v>
      </c>
      <c r="K443" s="139" t="s">
        <v>22</v>
      </c>
      <c r="L443" s="26" t="str">
        <f>IF(O443&gt;0,"Despachado","En alistamiento")</f>
        <v>Despachado</v>
      </c>
      <c r="M443" s="56" t="s">
        <v>238</v>
      </c>
      <c r="N443" s="139" t="s">
        <v>1026</v>
      </c>
      <c r="O443" s="150">
        <v>45791</v>
      </c>
      <c r="P443" s="151">
        <v>45793</v>
      </c>
      <c r="Q443" s="24" t="str">
        <f t="shared" si="49"/>
        <v>Entregado</v>
      </c>
      <c r="R443" s="25">
        <f>IF(L443="Despachado",NETWORKDAYS.INTL(A443,O443,11,Valores!$A$2:$A$18)-1,"PTE")</f>
        <v>1</v>
      </c>
      <c r="S443" s="25">
        <f>IF(Q443="Entregado",NETWORKDAYS.INTL(A443,P443,11,Valores!$A$2:$A$18)-1,"PTE")</f>
        <v>3</v>
      </c>
      <c r="T443" s="25"/>
      <c r="U443" s="25"/>
      <c r="V443" s="25" t="str">
        <f>IF(Q443="Entregado",IF(S443&lt;=VLOOKUP(K443,Valores!E:F,2,0),"Cumple","No cumple"),"PTE")</f>
        <v>Cumple</v>
      </c>
      <c r="W443" s="25"/>
      <c r="X443" s="29">
        <v>26749</v>
      </c>
      <c r="Y443" s="224"/>
      <c r="Z443" s="28"/>
    </row>
    <row r="444" spans="1:26" hidden="1" x14ac:dyDescent="0.3">
      <c r="A444" s="34">
        <v>45790</v>
      </c>
      <c r="B444" s="7" t="str">
        <f t="shared" si="54"/>
        <v>mayo</v>
      </c>
      <c r="C444" s="27">
        <v>2559</v>
      </c>
      <c r="D444" s="23" t="s">
        <v>20</v>
      </c>
      <c r="E444" s="163" t="s">
        <v>972</v>
      </c>
      <c r="F444" s="40" t="s">
        <v>240</v>
      </c>
      <c r="G444" s="32" t="str">
        <f>IFERROR(VLOOKUP(F444,Productos!$A$2:$D$258,2,0)," ")</f>
        <v>Bandeja de cables</v>
      </c>
      <c r="H444" s="7">
        <v>1</v>
      </c>
      <c r="I444" s="32" t="str">
        <f>IFERROR(VLOOKUP(F444,Productos!$A$2:$D$258,3,0)," ")</f>
        <v>Accesorio</v>
      </c>
      <c r="J444" s="139" t="s">
        <v>21</v>
      </c>
      <c r="K444" s="139" t="s">
        <v>22</v>
      </c>
      <c r="L444" s="26" t="str">
        <f>IF(O444&gt;0,"Despachado","En alistamiento")</f>
        <v>Despachado</v>
      </c>
      <c r="M444" s="56" t="s">
        <v>238</v>
      </c>
      <c r="N444" s="139" t="s">
        <v>1027</v>
      </c>
      <c r="O444" s="150">
        <v>45791</v>
      </c>
      <c r="P444" s="151">
        <v>45792</v>
      </c>
      <c r="Q444" s="24" t="str">
        <f t="shared" si="49"/>
        <v>Entregado</v>
      </c>
      <c r="R444" s="25">
        <f>IF(L444="Despachado",NETWORKDAYS.INTL(A444,O444,11,Valores!$A$2:$A$18)-1,"PTE")</f>
        <v>1</v>
      </c>
      <c r="S444" s="25">
        <f>IF(Q444="Entregado",NETWORKDAYS.INTL(A444,P444,11,Valores!$A$2:$A$18)-1,"PTE")</f>
        <v>2</v>
      </c>
      <c r="T444" s="25"/>
      <c r="U444" s="25"/>
      <c r="V444" s="25" t="str">
        <f>IF(Q444="Entregado",IF(S444&lt;=VLOOKUP(K444,Valores!E:F,2,0),"Cumple","No cumple"),"PTE")</f>
        <v>Cumple</v>
      </c>
      <c r="W444" s="25"/>
      <c r="X444" s="29">
        <v>24885</v>
      </c>
      <c r="Y444" s="224"/>
      <c r="Z444" s="28"/>
    </row>
    <row r="445" spans="1:26" hidden="1" x14ac:dyDescent="0.3">
      <c r="A445" s="34">
        <v>45790</v>
      </c>
      <c r="B445" s="7" t="str">
        <f t="shared" ref="B445:B452" si="55">TEXT(A445,"mmmm")</f>
        <v>mayo</v>
      </c>
      <c r="C445" s="27">
        <v>2560</v>
      </c>
      <c r="D445" s="23" t="s">
        <v>20</v>
      </c>
      <c r="E445" s="163" t="s">
        <v>973</v>
      </c>
      <c r="F445" s="22" t="s">
        <v>129</v>
      </c>
      <c r="G445" s="32" t="str">
        <f>IFERROR(VLOOKUP(F445,Productos!$A$2:$D$258,2,0)," ")</f>
        <v>Electric Standing Desk  PRO Negro</v>
      </c>
      <c r="H445" s="7">
        <v>1</v>
      </c>
      <c r="I445" s="32" t="str">
        <f>IFERROR(VLOOKUP(F445,Productos!$A$2:$D$258,3,0)," ")</f>
        <v>Standing Desk</v>
      </c>
      <c r="J445" s="139" t="s">
        <v>21</v>
      </c>
      <c r="K445" s="139" t="s">
        <v>22</v>
      </c>
      <c r="L445" s="26" t="str">
        <f t="shared" ref="L445:L451" si="56">IF(O445&gt;0,"Despachado","En alistamiento")</f>
        <v>En alistamiento</v>
      </c>
      <c r="M445" s="56" t="s">
        <v>238</v>
      </c>
      <c r="N445" s="139"/>
      <c r="O445" s="150"/>
      <c r="P445" s="151"/>
      <c r="Q445" s="24" t="str">
        <f t="shared" si="49"/>
        <v>En transito</v>
      </c>
      <c r="R445" s="25" t="str">
        <f>IF(L445="Despachado",NETWORKDAYS.INTL(A445,O445,11,Valores!$A$2:$A$18)-1,"PTE")</f>
        <v>PTE</v>
      </c>
      <c r="S445" s="25"/>
      <c r="T445" s="25"/>
      <c r="U445" s="25"/>
      <c r="V445" s="25" t="str">
        <f>IF(Q445="Entregado",IF(S445&lt;=VLOOKUP(K445,Valores!E:F,2,0),"Cumple","No cumple"),"PTE")</f>
        <v>PTE</v>
      </c>
      <c r="W445" s="25"/>
      <c r="X445" s="29"/>
      <c r="Y445" s="224"/>
      <c r="Z445" s="28"/>
    </row>
    <row r="446" spans="1:26" hidden="1" x14ac:dyDescent="0.3">
      <c r="A446" s="34">
        <v>45790</v>
      </c>
      <c r="B446" s="7" t="str">
        <f t="shared" si="55"/>
        <v>mayo</v>
      </c>
      <c r="C446" s="27">
        <v>2560</v>
      </c>
      <c r="D446" s="23" t="s">
        <v>20</v>
      </c>
      <c r="E446" s="163" t="s">
        <v>973</v>
      </c>
      <c r="F446" s="22" t="s">
        <v>264</v>
      </c>
      <c r="G446" s="32" t="str">
        <f>IFERROR(VLOOKUP(F446,Productos!$A$2:$D$258,2,0)," ")</f>
        <v>Superficie Roble Miel 180x70 Clasico</v>
      </c>
      <c r="H446" s="7">
        <v>1</v>
      </c>
      <c r="I446" s="32" t="str">
        <f>IFERROR(VLOOKUP(F446,Productos!$A$2:$D$258,3,0)," ")</f>
        <v>Superficie</v>
      </c>
      <c r="J446" s="139" t="s">
        <v>21</v>
      </c>
      <c r="K446" s="139" t="s">
        <v>22</v>
      </c>
      <c r="L446" s="26" t="str">
        <f t="shared" si="56"/>
        <v>En alistamiento</v>
      </c>
      <c r="M446" s="56" t="s">
        <v>238</v>
      </c>
      <c r="N446" s="139"/>
      <c r="O446" s="150"/>
      <c r="P446" s="151"/>
      <c r="Q446" s="24" t="str">
        <f t="shared" si="49"/>
        <v>En transito</v>
      </c>
      <c r="R446" s="25" t="str">
        <f>IF(L446="Despachado",NETWORKDAYS.INTL(A446,O446,11,Valores!$A$2:$A$18)-1,"PTE")</f>
        <v>PTE</v>
      </c>
      <c r="S446" s="25"/>
      <c r="T446" s="25"/>
      <c r="U446" s="25"/>
      <c r="V446" s="25" t="str">
        <f>IF(Q446="Entregado",IF(S446&lt;=VLOOKUP(K446,Valores!E:F,2,0),"Cumple","No cumple"),"PTE")</f>
        <v>PTE</v>
      </c>
      <c r="W446" s="25"/>
      <c r="X446" s="29"/>
      <c r="Y446" s="224"/>
      <c r="Z446" s="28"/>
    </row>
    <row r="447" spans="1:26" hidden="1" x14ac:dyDescent="0.3">
      <c r="A447" s="34">
        <v>45790</v>
      </c>
      <c r="B447" s="7" t="str">
        <f t="shared" si="55"/>
        <v>mayo</v>
      </c>
      <c r="C447" s="27">
        <v>2560</v>
      </c>
      <c r="D447" s="23" t="s">
        <v>20</v>
      </c>
      <c r="E447" s="163" t="s">
        <v>973</v>
      </c>
      <c r="F447" s="40" t="s">
        <v>240</v>
      </c>
      <c r="G447" s="32" t="str">
        <f>IFERROR(VLOOKUP(F447,Productos!$A$2:$D$258,2,0)," ")</f>
        <v>Bandeja de cables</v>
      </c>
      <c r="H447" s="7">
        <v>1</v>
      </c>
      <c r="I447" s="32" t="str">
        <f>IFERROR(VLOOKUP(F447,Productos!$A$2:$D$258,3,0)," ")</f>
        <v>Accesorio</v>
      </c>
      <c r="J447" s="139" t="s">
        <v>21</v>
      </c>
      <c r="K447" s="139" t="s">
        <v>22</v>
      </c>
      <c r="L447" s="26" t="str">
        <f t="shared" si="56"/>
        <v>En alistamiento</v>
      </c>
      <c r="M447" s="56" t="s">
        <v>238</v>
      </c>
      <c r="N447" s="139"/>
      <c r="O447" s="150"/>
      <c r="P447" s="151"/>
      <c r="Q447" s="24" t="str">
        <f t="shared" si="49"/>
        <v>En transito</v>
      </c>
      <c r="R447" s="25" t="str">
        <f>IF(L447="Despachado",NETWORKDAYS.INTL(A447,O447,11,Valores!$A$2:$A$18)-1,"PTE")</f>
        <v>PTE</v>
      </c>
      <c r="S447" s="25"/>
      <c r="T447" s="25"/>
      <c r="U447" s="25"/>
      <c r="V447" s="25" t="str">
        <f>IF(Q447="Entregado",IF(S447&lt;=VLOOKUP(K447,Valores!E:F,2,0),"Cumple","No cumple"),"PTE")</f>
        <v>PTE</v>
      </c>
      <c r="W447" s="25"/>
      <c r="X447" s="29"/>
      <c r="Y447" s="224"/>
      <c r="Z447" s="28"/>
    </row>
    <row r="448" spans="1:26" hidden="1" x14ac:dyDescent="0.3">
      <c r="A448" s="34">
        <v>45790</v>
      </c>
      <c r="B448" s="7" t="str">
        <f t="shared" si="55"/>
        <v>mayo</v>
      </c>
      <c r="C448" s="27">
        <v>2560</v>
      </c>
      <c r="D448" s="23" t="s">
        <v>20</v>
      </c>
      <c r="E448" s="163" t="s">
        <v>973</v>
      </c>
      <c r="F448" s="40" t="s">
        <v>280</v>
      </c>
      <c r="G448" s="32" t="str">
        <f>IFERROR(VLOOKUP(F448,Productos!$A$2:$D$258,2,0)," ")</f>
        <v>Rodachines con freno para Standing desk x 4 UN</v>
      </c>
      <c r="H448" s="7">
        <v>1</v>
      </c>
      <c r="I448" s="32" t="str">
        <f>IFERROR(VLOOKUP(F448,Productos!$A$2:$D$258,3,0)," ")</f>
        <v>Ruedas</v>
      </c>
      <c r="J448" s="139" t="s">
        <v>21</v>
      </c>
      <c r="K448" s="139" t="s">
        <v>22</v>
      </c>
      <c r="L448" s="26" t="str">
        <f t="shared" si="56"/>
        <v>En alistamiento</v>
      </c>
      <c r="M448" s="56" t="s">
        <v>238</v>
      </c>
      <c r="N448" s="139"/>
      <c r="O448" s="150"/>
      <c r="P448" s="151"/>
      <c r="Q448" s="24" t="str">
        <f t="shared" si="49"/>
        <v>En transito</v>
      </c>
      <c r="R448" s="25" t="str">
        <f>IF(L448="Despachado",NETWORKDAYS.INTL(A448,O448,11,Valores!$A$2:$A$18)-1,"PTE")</f>
        <v>PTE</v>
      </c>
      <c r="S448" s="25"/>
      <c r="T448" s="25"/>
      <c r="U448" s="25"/>
      <c r="V448" s="25" t="str">
        <f>IF(Q448="Entregado",IF(S448&lt;=VLOOKUP(K448,Valores!E:F,2,0),"Cumple","No cumple"),"PTE")</f>
        <v>PTE</v>
      </c>
      <c r="W448" s="25"/>
      <c r="X448" s="29"/>
      <c r="Y448" s="224"/>
      <c r="Z448" s="28"/>
    </row>
    <row r="449" spans="1:26" hidden="1" x14ac:dyDescent="0.3">
      <c r="A449" s="34">
        <v>45790</v>
      </c>
      <c r="B449" s="7" t="str">
        <f t="shared" si="55"/>
        <v>mayo</v>
      </c>
      <c r="C449" s="27">
        <v>2560</v>
      </c>
      <c r="D449" s="23" t="s">
        <v>20</v>
      </c>
      <c r="E449" s="163" t="s">
        <v>973</v>
      </c>
      <c r="F449" s="40" t="s">
        <v>83</v>
      </c>
      <c r="G449" s="32" t="str">
        <f>IFERROR(VLOOKUP(F449,Productos!$A$2:$D$258,2,0)," ")</f>
        <v>Desk Pad B Negro Azul</v>
      </c>
      <c r="H449" s="7">
        <v>1</v>
      </c>
      <c r="I449" s="32" t="str">
        <f>IFERROR(VLOOKUP(F449,Productos!$A$2:$D$258,3,0)," ")</f>
        <v>Accesorio</v>
      </c>
      <c r="J449" s="139" t="s">
        <v>21</v>
      </c>
      <c r="K449" s="139" t="s">
        <v>22</v>
      </c>
      <c r="L449" s="26" t="str">
        <f t="shared" si="56"/>
        <v>En alistamiento</v>
      </c>
      <c r="M449" s="56" t="s">
        <v>238</v>
      </c>
      <c r="N449" s="139"/>
      <c r="O449" s="150"/>
      <c r="P449" s="151"/>
      <c r="Q449" s="24" t="str">
        <f t="shared" si="49"/>
        <v>En transito</v>
      </c>
      <c r="R449" s="25" t="str">
        <f>IF(L449="Despachado",NETWORKDAYS.INTL(A449,O449,11,Valores!$A$2:$A$18)-1,"PTE")</f>
        <v>PTE</v>
      </c>
      <c r="S449" s="25"/>
      <c r="T449" s="25"/>
      <c r="U449" s="25"/>
      <c r="V449" s="25" t="str">
        <f>IF(Q449="Entregado",IF(S449&lt;=VLOOKUP(K449,Valores!E:F,2,0),"Cumple","No cumple"),"PTE")</f>
        <v>PTE</v>
      </c>
      <c r="W449" s="25"/>
      <c r="X449" s="29"/>
      <c r="Y449" s="224"/>
      <c r="Z449" s="28"/>
    </row>
    <row r="450" spans="1:26" hidden="1" x14ac:dyDescent="0.3">
      <c r="A450" s="34">
        <v>45790</v>
      </c>
      <c r="B450" s="7" t="str">
        <f t="shared" si="55"/>
        <v>mayo</v>
      </c>
      <c r="C450" s="27">
        <v>2560</v>
      </c>
      <c r="D450" s="23" t="s">
        <v>20</v>
      </c>
      <c r="E450" s="163" t="s">
        <v>973</v>
      </c>
      <c r="F450" s="40" t="s">
        <v>86</v>
      </c>
      <c r="G450" s="32" t="str">
        <f>IFERROR(VLOOKUP(F450,Productos!$A$2:$D$258,2,0)," ")</f>
        <v>Laptop Stand B</v>
      </c>
      <c r="H450" s="7">
        <v>1</v>
      </c>
      <c r="I450" s="32" t="str">
        <f>IFERROR(VLOOKUP(F450,Productos!$A$2:$D$258,3,0)," ")</f>
        <v>Accesorio</v>
      </c>
      <c r="J450" s="139" t="s">
        <v>21</v>
      </c>
      <c r="K450" s="139" t="s">
        <v>22</v>
      </c>
      <c r="L450" s="26" t="str">
        <f t="shared" si="56"/>
        <v>En alistamiento</v>
      </c>
      <c r="M450" s="56" t="s">
        <v>238</v>
      </c>
      <c r="N450" s="139"/>
      <c r="O450" s="150"/>
      <c r="P450" s="151"/>
      <c r="Q450" s="24" t="str">
        <f t="shared" si="49"/>
        <v>En transito</v>
      </c>
      <c r="R450" s="25" t="str">
        <f>IF(L450="Despachado",NETWORKDAYS.INTL(A450,O450,11,Valores!$A$2:$A$18)-1,"PTE")</f>
        <v>PTE</v>
      </c>
      <c r="S450" s="25"/>
      <c r="T450" s="25"/>
      <c r="U450" s="25"/>
      <c r="V450" s="25" t="str">
        <f>IF(Q450="Entregado",IF(S450&lt;=VLOOKUP(K450,Valores!E:F,2,0),"Cumple","No cumple"),"PTE")</f>
        <v>PTE</v>
      </c>
      <c r="W450" s="25"/>
      <c r="X450" s="29"/>
      <c r="Y450" s="224"/>
      <c r="Z450" s="28"/>
    </row>
    <row r="451" spans="1:26" hidden="1" x14ac:dyDescent="0.3">
      <c r="A451" s="34">
        <v>45790</v>
      </c>
      <c r="B451" s="7" t="str">
        <f t="shared" si="55"/>
        <v>mayo</v>
      </c>
      <c r="C451" s="27">
        <v>2560</v>
      </c>
      <c r="D451" s="23" t="s">
        <v>20</v>
      </c>
      <c r="E451" s="163" t="s">
        <v>973</v>
      </c>
      <c r="F451" s="22" t="s">
        <v>65</v>
      </c>
      <c r="G451" s="32" t="str">
        <f>IFERROR(VLOOKUP(F451,Productos!$A$2:$D$258,2,0)," ")</f>
        <v>Archivador TECU  Negro</v>
      </c>
      <c r="H451" s="7">
        <v>1</v>
      </c>
      <c r="I451" s="32" t="str">
        <f>IFERROR(VLOOKUP(F451,Productos!$A$2:$D$258,3,0)," ")</f>
        <v>Archivador</v>
      </c>
      <c r="J451" s="139" t="s">
        <v>21</v>
      </c>
      <c r="K451" s="139" t="s">
        <v>22</v>
      </c>
      <c r="L451" s="26" t="str">
        <f t="shared" si="56"/>
        <v>En alistamiento</v>
      </c>
      <c r="M451" s="56" t="s">
        <v>239</v>
      </c>
      <c r="N451" s="139"/>
      <c r="O451" s="150"/>
      <c r="P451" s="151"/>
      <c r="Q451" s="24" t="str">
        <f t="shared" si="49"/>
        <v>En transito</v>
      </c>
      <c r="R451" s="25" t="str">
        <f>IF(L451="Despachado",NETWORKDAYS.INTL(A451,O451,11,Valores!$A$2:$A$18)-1,"PTE")</f>
        <v>PTE</v>
      </c>
      <c r="S451" s="25"/>
      <c r="T451" s="25"/>
      <c r="U451" s="25"/>
      <c r="V451" s="25" t="str">
        <f>IF(Q451="Entregado",IF(S451&lt;=VLOOKUP(K451,Valores!E:F,2,0),"Cumple","No cumple"),"PTE")</f>
        <v>PTE</v>
      </c>
      <c r="W451" s="25"/>
      <c r="X451" s="29"/>
      <c r="Y451" s="224"/>
      <c r="Z451" s="28"/>
    </row>
    <row r="452" spans="1:26" hidden="1" x14ac:dyDescent="0.3">
      <c r="A452" s="34">
        <v>45791</v>
      </c>
      <c r="B452" s="7" t="str">
        <f t="shared" si="55"/>
        <v>mayo</v>
      </c>
      <c r="C452" s="27">
        <v>2561</v>
      </c>
      <c r="D452" s="23" t="s">
        <v>20</v>
      </c>
      <c r="E452" s="163" t="s">
        <v>966</v>
      </c>
      <c r="F452" s="40" t="s">
        <v>87</v>
      </c>
      <c r="G452" s="32" t="str">
        <f>IFERROR(VLOOKUP(F452,Productos!$A$2:$D$258,2,0)," ")</f>
        <v>Desk Stool Negra Silla ajustable</v>
      </c>
      <c r="H452" s="7">
        <v>1</v>
      </c>
      <c r="I452" s="32" t="str">
        <f>IFERROR(VLOOKUP(F452,Productos!$A$2:$D$258,3,0)," ")</f>
        <v>Silla</v>
      </c>
      <c r="J452" s="139" t="s">
        <v>21</v>
      </c>
      <c r="K452" s="139" t="s">
        <v>22</v>
      </c>
      <c r="L452" s="26" t="str">
        <f t="shared" ref="L452:L472" si="57">IF(O452&gt;0,"Despachado","En alistamiento")</f>
        <v>Despachado</v>
      </c>
      <c r="M452" s="56" t="s">
        <v>238</v>
      </c>
      <c r="N452" s="139" t="s">
        <v>1028</v>
      </c>
      <c r="O452" s="150">
        <v>45791</v>
      </c>
      <c r="P452" s="151">
        <v>45792</v>
      </c>
      <c r="Q452" s="24" t="str">
        <f t="shared" si="49"/>
        <v>Entregado</v>
      </c>
      <c r="R452" s="25">
        <f>IF(L452="Despachado",NETWORKDAYS.INTL(A452,O452,11,Valores!$A$2:$A$18)-1,"PTE")</f>
        <v>0</v>
      </c>
      <c r="S452" s="25">
        <f>IF(Q452="Entregado",NETWORKDAYS.INTL(A452,P452,11,Valores!$A$2:$A$18)-1,"PTE")</f>
        <v>1</v>
      </c>
      <c r="T452" s="25"/>
      <c r="U452" s="25"/>
      <c r="V452" s="25" t="str">
        <f>IF(Q452="Entregado",IF(S452&lt;=VLOOKUP(K452,Valores!E:F,2,0),"Cumple","No cumple"),"PTE")</f>
        <v>Cumple</v>
      </c>
      <c r="W452" s="25"/>
      <c r="X452" s="29">
        <v>26609</v>
      </c>
      <c r="Y452" s="224"/>
      <c r="Z452" s="28"/>
    </row>
    <row r="453" spans="1:26" hidden="1" x14ac:dyDescent="0.3">
      <c r="A453" s="34">
        <v>45791</v>
      </c>
      <c r="B453" s="7" t="str">
        <f t="shared" ref="B453:B468" si="58">TEXT(A453,"mmmm")</f>
        <v>mayo</v>
      </c>
      <c r="C453" s="27">
        <v>2562</v>
      </c>
      <c r="D453" s="23" t="s">
        <v>20</v>
      </c>
      <c r="E453" s="163" t="s">
        <v>974</v>
      </c>
      <c r="F453" s="22" t="s">
        <v>129</v>
      </c>
      <c r="G453" s="32" t="str">
        <f>IFERROR(VLOOKUP(F453,Productos!$A$2:$D$258,2,0)," ")</f>
        <v>Electric Standing Desk  PRO Negro</v>
      </c>
      <c r="H453" s="7">
        <v>1</v>
      </c>
      <c r="I453" s="32" t="str">
        <f>IFERROR(VLOOKUP(F453,Productos!$A$2:$D$258,3,0)," ")</f>
        <v>Standing Desk</v>
      </c>
      <c r="J453" s="165" t="s">
        <v>37</v>
      </c>
      <c r="K453" s="165" t="s">
        <v>206</v>
      </c>
      <c r="L453" s="26" t="str">
        <f t="shared" si="57"/>
        <v>Despachado</v>
      </c>
      <c r="M453" s="56" t="s">
        <v>238</v>
      </c>
      <c r="N453" s="139" t="s">
        <v>1029</v>
      </c>
      <c r="O453" s="150">
        <v>45792</v>
      </c>
      <c r="P453" s="151">
        <v>45803</v>
      </c>
      <c r="Q453" s="24" t="str">
        <f t="shared" si="49"/>
        <v>Entregado</v>
      </c>
      <c r="R453" s="25">
        <f>IF(L453="Despachado",NETWORKDAYS.INTL(A453,O453,11,Valores!$A$2:$A$18)-1,"PTE")</f>
        <v>1</v>
      </c>
      <c r="S453" s="25">
        <f>IF(Q453="Entregado",NETWORKDAYS.INTL(A453,P453,11,Valores!$A$2:$A$18)-1,"PTE")</f>
        <v>10</v>
      </c>
      <c r="T453" s="25"/>
      <c r="U453" s="25"/>
      <c r="V453" s="25" t="str">
        <f>IF(Q453="Entregado",IF(S453&lt;=VLOOKUP(K453,Valores!E:F,2,0),"Cumple","No cumple"),"PTE")</f>
        <v>No cumple</v>
      </c>
      <c r="W453" s="25"/>
      <c r="X453" s="29">
        <v>34953</v>
      </c>
      <c r="Y453" s="224"/>
      <c r="Z453" s="28"/>
    </row>
    <row r="454" spans="1:26" hidden="1" x14ac:dyDescent="0.3">
      <c r="A454" s="34">
        <v>45791</v>
      </c>
      <c r="B454" s="7" t="str">
        <f t="shared" si="58"/>
        <v>mayo</v>
      </c>
      <c r="C454" s="27">
        <v>2562</v>
      </c>
      <c r="D454" s="23" t="s">
        <v>20</v>
      </c>
      <c r="E454" s="163" t="s">
        <v>974</v>
      </c>
      <c r="F454" s="40" t="s">
        <v>304</v>
      </c>
      <c r="G454" s="32" t="str">
        <f>IFERROR(VLOOKUP(F454,Productos!$A$2:$D$258,2,0)," ")</f>
        <v>Superficie  Fresno Europeo 150x70 Clasico</v>
      </c>
      <c r="H454" s="7">
        <v>1</v>
      </c>
      <c r="I454" s="32" t="str">
        <f>IFERROR(VLOOKUP(F454,Productos!$A$2:$D$258,3,0)," ")</f>
        <v>Superficie</v>
      </c>
      <c r="J454" s="165" t="s">
        <v>37</v>
      </c>
      <c r="K454" s="165" t="s">
        <v>206</v>
      </c>
      <c r="L454" s="26" t="str">
        <f t="shared" si="57"/>
        <v>Despachado</v>
      </c>
      <c r="M454" s="56" t="s">
        <v>238</v>
      </c>
      <c r="N454" s="139" t="s">
        <v>1030</v>
      </c>
      <c r="O454" s="150">
        <v>45792</v>
      </c>
      <c r="P454" s="151">
        <v>45804</v>
      </c>
      <c r="Q454" s="24" t="str">
        <f t="shared" ref="Q454:Q517" si="59">IF(P454&gt;0,"Entregado","En transito")</f>
        <v>Entregado</v>
      </c>
      <c r="R454" s="25">
        <f>IF(L454="Despachado",NETWORKDAYS.INTL(A454,O454,11,Valores!$A$2:$A$18)-1,"PTE")</f>
        <v>1</v>
      </c>
      <c r="S454" s="25">
        <f>IF(Q454="Entregado",NETWORKDAYS.INTL(A454,P454,11,Valores!$A$2:$A$18)-1,"PTE")</f>
        <v>11</v>
      </c>
      <c r="T454" s="25"/>
      <c r="U454" s="25"/>
      <c r="V454" s="25" t="str">
        <f>IF(Q454="Entregado",IF(S454&lt;=VLOOKUP(K454,Valores!E:F,2,0),"Cumple","No cumple"),"PTE")</f>
        <v>No cumple</v>
      </c>
      <c r="W454" s="25"/>
      <c r="X454" s="29">
        <v>15194</v>
      </c>
      <c r="Y454" s="224"/>
      <c r="Z454" s="28"/>
    </row>
    <row r="455" spans="1:26" hidden="1" x14ac:dyDescent="0.3">
      <c r="A455" s="34">
        <v>45792</v>
      </c>
      <c r="B455" s="7" t="str">
        <f t="shared" si="58"/>
        <v>mayo</v>
      </c>
      <c r="C455" s="27">
        <v>2563</v>
      </c>
      <c r="D455" s="23" t="s">
        <v>20</v>
      </c>
      <c r="E455" s="163" t="s">
        <v>975</v>
      </c>
      <c r="F455" s="40" t="s">
        <v>83</v>
      </c>
      <c r="G455" s="32" t="str">
        <f>IFERROR(VLOOKUP(F455,Productos!$A$2:$D$258,2,0)," ")</f>
        <v>Desk Pad B Negro Azul</v>
      </c>
      <c r="H455" s="7">
        <v>1</v>
      </c>
      <c r="I455" s="32" t="str">
        <f>IFERROR(VLOOKUP(F455,Productos!$A$2:$D$258,3,0)," ")</f>
        <v>Accesorio</v>
      </c>
      <c r="J455" s="139" t="s">
        <v>21</v>
      </c>
      <c r="K455" s="165" t="s">
        <v>198</v>
      </c>
      <c r="L455" s="26" t="str">
        <f t="shared" si="57"/>
        <v>Despachado</v>
      </c>
      <c r="M455" s="56" t="s">
        <v>238</v>
      </c>
      <c r="N455" s="139" t="s">
        <v>1031</v>
      </c>
      <c r="O455" s="150">
        <v>45792</v>
      </c>
      <c r="P455" s="151">
        <v>45794</v>
      </c>
      <c r="Q455" s="24" t="str">
        <f t="shared" si="59"/>
        <v>Entregado</v>
      </c>
      <c r="R455" s="25">
        <f>IF(L455="Despachado",NETWORKDAYS.INTL(A455,O455,11,Valores!$A$2:$A$18)-1,"PTE")</f>
        <v>0</v>
      </c>
      <c r="S455" s="25">
        <f>IF(Q455="Entregado",NETWORKDAYS.INTL(A455,P455,11,Valores!$A$2:$A$18)-1,"PTE")</f>
        <v>2</v>
      </c>
      <c r="T455" s="25"/>
      <c r="U455" s="25"/>
      <c r="V455" s="25" t="str">
        <f>IF(Q455="Entregado",IF(S455&lt;=VLOOKUP(K455,Valores!E:F,2,0),"Cumple","No cumple"),"PTE")</f>
        <v>Cumple</v>
      </c>
      <c r="W455" s="25"/>
      <c r="X455" s="29">
        <v>16617</v>
      </c>
      <c r="Y455" s="224"/>
      <c r="Z455" s="28"/>
    </row>
    <row r="456" spans="1:26" hidden="1" x14ac:dyDescent="0.3">
      <c r="A456" s="34">
        <v>45792</v>
      </c>
      <c r="B456" s="7" t="str">
        <f t="shared" si="58"/>
        <v>mayo</v>
      </c>
      <c r="C456" s="27">
        <v>2563</v>
      </c>
      <c r="D456" s="23" t="s">
        <v>20</v>
      </c>
      <c r="E456" s="163" t="s">
        <v>975</v>
      </c>
      <c r="F456" s="40" t="s">
        <v>308</v>
      </c>
      <c r="G456" s="32" t="str">
        <f>IFERROR(VLOOKUP(F456,Productos!$A$2:$D$258,2,0)," ")</f>
        <v>Repisa TECU Fresno Europeo</v>
      </c>
      <c r="H456" s="7">
        <v>1</v>
      </c>
      <c r="I456" s="32" t="str">
        <f>IFERROR(VLOOKUP(F456,Productos!$A$2:$D$258,3,0)," ")</f>
        <v>Repisa</v>
      </c>
      <c r="J456" s="139" t="s">
        <v>21</v>
      </c>
      <c r="K456" s="165" t="s">
        <v>198</v>
      </c>
      <c r="L456" s="26" t="str">
        <f t="shared" si="57"/>
        <v>Despachado</v>
      </c>
      <c r="M456" s="56" t="s">
        <v>238</v>
      </c>
      <c r="N456" s="139" t="s">
        <v>1032</v>
      </c>
      <c r="O456" s="150">
        <v>45792</v>
      </c>
      <c r="P456" s="151">
        <v>45794</v>
      </c>
      <c r="Q456" s="24" t="str">
        <f t="shared" si="59"/>
        <v>Entregado</v>
      </c>
      <c r="R456" s="25">
        <f>IF(L456="Despachado",NETWORKDAYS.INTL(A456,O456,11,Valores!$A$2:$A$18)-1,"PTE")</f>
        <v>0</v>
      </c>
      <c r="S456" s="25">
        <f>IF(Q456="Entregado",NETWORKDAYS.INTL(A456,P456,11,Valores!$A$2:$A$18)-1,"PTE")</f>
        <v>2</v>
      </c>
      <c r="T456" s="25"/>
      <c r="U456" s="25"/>
      <c r="V456" s="25" t="str">
        <f>IF(Q456="Entregado",IF(S456&lt;=VLOOKUP(K456,Valores!E:F,2,0),"Cumple","No cumple"),"PTE")</f>
        <v>Cumple</v>
      </c>
      <c r="W456" s="25"/>
      <c r="X456" s="29">
        <v>23429</v>
      </c>
      <c r="Y456" s="224"/>
      <c r="Z456" s="28"/>
    </row>
    <row r="457" spans="1:26" hidden="1" x14ac:dyDescent="0.3">
      <c r="A457" s="34">
        <v>45795</v>
      </c>
      <c r="B457" s="7" t="str">
        <f t="shared" si="58"/>
        <v>mayo</v>
      </c>
      <c r="C457" s="27">
        <v>2564</v>
      </c>
      <c r="D457" s="23" t="s">
        <v>20</v>
      </c>
      <c r="E457" s="163" t="s">
        <v>976</v>
      </c>
      <c r="F457" s="22" t="s">
        <v>133</v>
      </c>
      <c r="G457" s="32" t="str">
        <f>IFERROR(VLOOKUP(F457,Productos!$A$2:$D$258,2,0)," ")</f>
        <v>Electric Standing Desk  PRO Blanco</v>
      </c>
      <c r="H457" s="7">
        <v>1</v>
      </c>
      <c r="I457" s="32" t="str">
        <f>IFERROR(VLOOKUP(F457,Productos!$A$2:$D$258,3,0)," ")</f>
        <v>Standing Desk</v>
      </c>
      <c r="J457" s="165" t="s">
        <v>42</v>
      </c>
      <c r="K457" s="165" t="s">
        <v>41</v>
      </c>
      <c r="L457" s="26" t="str">
        <f t="shared" si="57"/>
        <v>Despachado</v>
      </c>
      <c r="M457" s="56" t="s">
        <v>238</v>
      </c>
      <c r="N457" s="139" t="s">
        <v>1033</v>
      </c>
      <c r="O457" s="150">
        <v>45796</v>
      </c>
      <c r="P457" s="151">
        <v>45797</v>
      </c>
      <c r="Q457" s="24" t="str">
        <f t="shared" si="59"/>
        <v>Entregado</v>
      </c>
      <c r="R457" s="25">
        <f>IF(L457="Despachado",NETWORKDAYS.INTL(A457,O457,11,Valores!$A$2:$A$18)-1,"PTE")</f>
        <v>0</v>
      </c>
      <c r="S457" s="25">
        <f>IF(Q457="Entregado",NETWORKDAYS.INTL(A457,P457,11,Valores!$A$2:$A$18)-1,"PTE")</f>
        <v>1</v>
      </c>
      <c r="T457" s="25"/>
      <c r="U457" s="25"/>
      <c r="V457" s="25" t="str">
        <f>IF(Q457="Entregado",IF(S457&lt;=VLOOKUP(K457,Valores!E:F,2,0),"Cumple","No cumple"),"PTE")</f>
        <v>Cumple</v>
      </c>
      <c r="W457" s="25"/>
      <c r="X457" s="29">
        <v>42921</v>
      </c>
      <c r="Y457" s="224"/>
      <c r="Z457" s="28"/>
    </row>
    <row r="458" spans="1:26" hidden="1" x14ac:dyDescent="0.3">
      <c r="A458" s="34">
        <v>45795</v>
      </c>
      <c r="B458" s="7" t="str">
        <f t="shared" si="58"/>
        <v>mayo</v>
      </c>
      <c r="C458" s="27">
        <v>2564</v>
      </c>
      <c r="D458" s="23" t="s">
        <v>20</v>
      </c>
      <c r="E458" s="163" t="s">
        <v>976</v>
      </c>
      <c r="F458" s="22" t="s">
        <v>149</v>
      </c>
      <c r="G458" s="32" t="str">
        <f>IFERROR(VLOOKUP(F458,Productos!$A$2:$D$258,2,0)," ")</f>
        <v>Superficie Niebla 160x70 Clasico</v>
      </c>
      <c r="H458" s="7">
        <v>1</v>
      </c>
      <c r="I458" s="32" t="str">
        <f>IFERROR(VLOOKUP(F458,Productos!$A$2:$D$258,3,0)," ")</f>
        <v>Superficie</v>
      </c>
      <c r="J458" s="165" t="s">
        <v>42</v>
      </c>
      <c r="K458" s="165" t="s">
        <v>41</v>
      </c>
      <c r="L458" s="26" t="str">
        <f t="shared" si="57"/>
        <v>Despachado</v>
      </c>
      <c r="M458" s="56" t="s">
        <v>238</v>
      </c>
      <c r="N458" s="139" t="s">
        <v>1034</v>
      </c>
      <c r="O458" s="150">
        <v>45796</v>
      </c>
      <c r="P458" s="151">
        <v>45797</v>
      </c>
      <c r="Q458" s="24" t="str">
        <f t="shared" si="59"/>
        <v>Entregado</v>
      </c>
      <c r="R458" s="25">
        <f>IF(L458="Despachado",NETWORKDAYS.INTL(A458,O458,11,Valores!$A$2:$A$18)-1,"PTE")</f>
        <v>0</v>
      </c>
      <c r="S458" s="25">
        <f>IF(Q458="Entregado",NETWORKDAYS.INTL(A458,P458,11,Valores!$A$2:$A$18)-1,"PTE")</f>
        <v>1</v>
      </c>
      <c r="T458" s="25"/>
      <c r="U458" s="25"/>
      <c r="V458" s="25" t="str">
        <f>IF(Q458="Entregado",IF(S458&lt;=VLOOKUP(K458,Valores!E:F,2,0),"Cumple","No cumple"),"PTE")</f>
        <v>Cumple</v>
      </c>
      <c r="W458" s="25"/>
      <c r="X458" s="29">
        <v>24093</v>
      </c>
      <c r="Y458" s="224"/>
      <c r="Z458" s="28"/>
    </row>
    <row r="459" spans="1:26" hidden="1" x14ac:dyDescent="0.3">
      <c r="A459" s="34">
        <v>45796</v>
      </c>
      <c r="B459" s="7" t="str">
        <f t="shared" si="58"/>
        <v>mayo</v>
      </c>
      <c r="C459" s="27">
        <v>2565</v>
      </c>
      <c r="D459" s="23" t="s">
        <v>20</v>
      </c>
      <c r="E459" s="163" t="s">
        <v>977</v>
      </c>
      <c r="F459" s="22" t="s">
        <v>732</v>
      </c>
      <c r="G459" s="32" t="str">
        <f>IFERROR(VLOOKUP(F459,Productos!$A$2:$D$258,2,0)," ")</f>
        <v>Electric Standing Desk  PRO Negro circular</v>
      </c>
      <c r="H459" s="7">
        <v>1</v>
      </c>
      <c r="I459" s="32" t="str">
        <f>IFERROR(VLOOKUP(F459,Productos!$A$2:$D$258,3,0)," ")</f>
        <v>Standing Desk</v>
      </c>
      <c r="J459" s="139" t="s">
        <v>21</v>
      </c>
      <c r="K459" s="139" t="s">
        <v>22</v>
      </c>
      <c r="L459" s="26" t="str">
        <f t="shared" si="57"/>
        <v>Despachado</v>
      </c>
      <c r="M459" s="56" t="s">
        <v>238</v>
      </c>
      <c r="N459" s="139" t="s">
        <v>1035</v>
      </c>
      <c r="O459" s="150">
        <v>45796</v>
      </c>
      <c r="P459" s="151">
        <v>45797</v>
      </c>
      <c r="Q459" s="24" t="str">
        <f t="shared" si="59"/>
        <v>Entregado</v>
      </c>
      <c r="R459" s="25">
        <f>IF(L459="Despachado",NETWORKDAYS.INTL(A459,O459,11,Valores!$A$2:$A$18)-1,"PTE")</f>
        <v>0</v>
      </c>
      <c r="S459" s="25">
        <f>IF(Q459="Entregado",NETWORKDAYS.INTL(A459,P459,11,Valores!$A$2:$A$18)-1,"PTE")</f>
        <v>1</v>
      </c>
      <c r="T459" s="25"/>
      <c r="U459" s="25"/>
      <c r="V459" s="25" t="str">
        <f>IF(Q459="Entregado",IF(S459&lt;=VLOOKUP(K459,Valores!E:F,2,0),"Cumple","No cumple"),"PTE")</f>
        <v>Cumple</v>
      </c>
      <c r="W459" s="25"/>
      <c r="X459" s="29">
        <v>42921</v>
      </c>
      <c r="Y459" s="224"/>
      <c r="Z459" s="28"/>
    </row>
    <row r="460" spans="1:26" hidden="1" x14ac:dyDescent="0.3">
      <c r="A460" s="34">
        <v>45796</v>
      </c>
      <c r="B460" s="7" t="str">
        <f t="shared" si="58"/>
        <v>mayo</v>
      </c>
      <c r="C460" s="27">
        <v>2565</v>
      </c>
      <c r="D460" s="23" t="s">
        <v>20</v>
      </c>
      <c r="E460" s="163" t="s">
        <v>977</v>
      </c>
      <c r="F460" s="22" t="s">
        <v>155</v>
      </c>
      <c r="G460" s="32" t="str">
        <f>IFERROR(VLOOKUP(F460,Productos!$A$2:$D$258,2,0)," ")</f>
        <v>Superficie  Roble Negro 160x70 Clasico</v>
      </c>
      <c r="H460" s="7">
        <v>1</v>
      </c>
      <c r="I460" s="32" t="str">
        <f>IFERROR(VLOOKUP(F460,Productos!$A$2:$D$258,3,0)," ")</f>
        <v>Superficie</v>
      </c>
      <c r="J460" s="139" t="s">
        <v>21</v>
      </c>
      <c r="K460" s="139" t="s">
        <v>22</v>
      </c>
      <c r="L460" s="26" t="str">
        <f t="shared" si="57"/>
        <v>Despachado</v>
      </c>
      <c r="M460" s="56" t="s">
        <v>238</v>
      </c>
      <c r="N460" s="139" t="s">
        <v>1036</v>
      </c>
      <c r="O460" s="150">
        <v>45796</v>
      </c>
      <c r="P460" s="151">
        <v>45798</v>
      </c>
      <c r="Q460" s="24" t="str">
        <f t="shared" si="59"/>
        <v>Entregado</v>
      </c>
      <c r="R460" s="25">
        <f>IF(L460="Despachado",NETWORKDAYS.INTL(A460,O460,11,Valores!$A$2:$A$18)-1,"PTE")</f>
        <v>0</v>
      </c>
      <c r="S460" s="25">
        <f>IF(Q460="Entregado",NETWORKDAYS.INTL(A460,P460,11,Valores!$A$2:$A$18)-1,"PTE")</f>
        <v>2</v>
      </c>
      <c r="T460" s="25"/>
      <c r="U460" s="25"/>
      <c r="V460" s="25" t="str">
        <f>IF(Q460="Entregado",IF(S460&lt;=VLOOKUP(K460,Valores!E:F,2,0),"Cumple","No cumple"),"PTE")</f>
        <v>Cumple</v>
      </c>
      <c r="W460" s="25"/>
      <c r="X460" s="29">
        <v>24093</v>
      </c>
      <c r="Y460" s="224"/>
      <c r="Z460" s="28"/>
    </row>
    <row r="461" spans="1:26" hidden="1" x14ac:dyDescent="0.3">
      <c r="A461" s="34">
        <v>45798</v>
      </c>
      <c r="B461" s="7" t="str">
        <f t="shared" si="58"/>
        <v>mayo</v>
      </c>
      <c r="C461" s="27">
        <v>2566</v>
      </c>
      <c r="D461" s="23" t="s">
        <v>20</v>
      </c>
      <c r="E461" s="163" t="s">
        <v>978</v>
      </c>
      <c r="F461" s="22" t="s">
        <v>732</v>
      </c>
      <c r="G461" s="32" t="str">
        <f>IFERROR(VLOOKUP(F461,Productos!$A$2:$D$258,2,0)," ")</f>
        <v>Electric Standing Desk  PRO Negro circular</v>
      </c>
      <c r="H461" s="7">
        <v>1</v>
      </c>
      <c r="I461" s="32" t="str">
        <f>IFERROR(VLOOKUP(F461,Productos!$A$2:$D$258,3,0)," ")</f>
        <v>Standing Desk</v>
      </c>
      <c r="J461" s="139" t="s">
        <v>21</v>
      </c>
      <c r="K461" s="139" t="s">
        <v>22</v>
      </c>
      <c r="L461" s="26" t="str">
        <f t="shared" si="57"/>
        <v>Despachado</v>
      </c>
      <c r="M461" s="56" t="s">
        <v>238</v>
      </c>
      <c r="N461" s="139" t="s">
        <v>1037</v>
      </c>
      <c r="O461" s="150">
        <v>45798</v>
      </c>
      <c r="P461" s="151">
        <v>45799</v>
      </c>
      <c r="Q461" s="24" t="str">
        <f t="shared" si="59"/>
        <v>Entregado</v>
      </c>
      <c r="R461" s="25">
        <f>IF(L461="Despachado",NETWORKDAYS.INTL(A461,O461,11,Valores!$A$2:$A$18)-1,"PTE")</f>
        <v>0</v>
      </c>
      <c r="S461" s="25">
        <f>IF(Q461="Entregado",NETWORKDAYS.INTL(A461,P461,11,Valores!$A$2:$A$18)-1,"PTE")</f>
        <v>1</v>
      </c>
      <c r="T461" s="25"/>
      <c r="U461" s="25"/>
      <c r="V461" s="25" t="str">
        <f>IF(Q461="Entregado",IF(S461&lt;=VLOOKUP(K461,Valores!E:F,2,0),"Cumple","No cumple"),"PTE")</f>
        <v>Cumple</v>
      </c>
      <c r="W461" s="25"/>
      <c r="X461" s="29">
        <v>42921</v>
      </c>
      <c r="Y461" s="224"/>
      <c r="Z461" s="28"/>
    </row>
    <row r="462" spans="1:26" hidden="1" x14ac:dyDescent="0.3">
      <c r="A462" s="34">
        <v>45798</v>
      </c>
      <c r="B462" s="7" t="str">
        <f t="shared" si="58"/>
        <v>mayo</v>
      </c>
      <c r="C462" s="27">
        <v>2566</v>
      </c>
      <c r="D462" s="23" t="s">
        <v>20</v>
      </c>
      <c r="E462" s="163" t="s">
        <v>978</v>
      </c>
      <c r="F462" s="22" t="s">
        <v>141</v>
      </c>
      <c r="G462" s="32" t="str">
        <f>IFERROR(VLOOKUP(F462,Productos!$A$2:$D$258,2,0)," ")</f>
        <v>Superficie Caramelo 130x70 Clasico</v>
      </c>
      <c r="H462" s="7">
        <v>1</v>
      </c>
      <c r="I462" s="32" t="str">
        <f>IFERROR(VLOOKUP(F462,Productos!$A$2:$D$258,3,0)," ")</f>
        <v>Superficie</v>
      </c>
      <c r="J462" s="139" t="s">
        <v>21</v>
      </c>
      <c r="K462" s="139" t="s">
        <v>22</v>
      </c>
      <c r="L462" s="26" t="str">
        <f t="shared" si="57"/>
        <v>Despachado</v>
      </c>
      <c r="M462" s="56" t="s">
        <v>238</v>
      </c>
      <c r="N462" s="139" t="s">
        <v>1038</v>
      </c>
      <c r="O462" s="150">
        <v>45798</v>
      </c>
      <c r="P462" s="151">
        <v>45799</v>
      </c>
      <c r="Q462" s="24" t="str">
        <f t="shared" si="59"/>
        <v>Entregado</v>
      </c>
      <c r="R462" s="25">
        <f>IF(L462="Despachado",NETWORKDAYS.INTL(A462,O462,11,Valores!$A$2:$A$18)-1,"PTE")</f>
        <v>0</v>
      </c>
      <c r="S462" s="25">
        <f>IF(Q462="Entregado",NETWORKDAYS.INTL(A462,P462,11,Valores!$A$2:$A$18)-1,"PTE")</f>
        <v>1</v>
      </c>
      <c r="T462" s="25"/>
      <c r="U462" s="25"/>
      <c r="V462" s="25" t="str">
        <f>IF(Q462="Entregado",IF(S462&lt;=VLOOKUP(K462,Valores!E:F,2,0),"Cumple","No cumple"),"PTE")</f>
        <v>Cumple</v>
      </c>
      <c r="W462" s="25"/>
      <c r="X462" s="29">
        <v>28741</v>
      </c>
      <c r="Y462" s="224"/>
      <c r="Z462" s="28"/>
    </row>
    <row r="463" spans="1:26" hidden="1" x14ac:dyDescent="0.3">
      <c r="A463" s="34">
        <v>45798</v>
      </c>
      <c r="B463" s="7" t="str">
        <f t="shared" si="58"/>
        <v>mayo</v>
      </c>
      <c r="C463" s="27">
        <v>2566</v>
      </c>
      <c r="D463" s="23" t="s">
        <v>20</v>
      </c>
      <c r="E463" s="163" t="s">
        <v>978</v>
      </c>
      <c r="F463" s="40" t="s">
        <v>87</v>
      </c>
      <c r="G463" s="32" t="str">
        <f>IFERROR(VLOOKUP(F463,Productos!$A$2:$D$258,2,0)," ")</f>
        <v>Desk Stool Negra Silla ajustable</v>
      </c>
      <c r="H463" s="7">
        <v>1</v>
      </c>
      <c r="I463" s="32" t="str">
        <f>IFERROR(VLOOKUP(F463,Productos!$A$2:$D$258,3,0)," ")</f>
        <v>Silla</v>
      </c>
      <c r="J463" s="139" t="s">
        <v>21</v>
      </c>
      <c r="K463" s="139" t="s">
        <v>22</v>
      </c>
      <c r="L463" s="26" t="str">
        <f t="shared" si="57"/>
        <v>Despachado</v>
      </c>
      <c r="M463" s="56" t="s">
        <v>238</v>
      </c>
      <c r="N463" s="139" t="s">
        <v>1039</v>
      </c>
      <c r="O463" s="150">
        <v>45798</v>
      </c>
      <c r="P463" s="151">
        <v>45799</v>
      </c>
      <c r="Q463" s="24" t="str">
        <f t="shared" si="59"/>
        <v>Entregado</v>
      </c>
      <c r="R463" s="25">
        <f>IF(L463="Despachado",NETWORKDAYS.INTL(A463,O463,11,Valores!$A$2:$A$18)-1,"PTE")</f>
        <v>0</v>
      </c>
      <c r="S463" s="25">
        <f>IF(Q463="Entregado",NETWORKDAYS.INTL(A463,P463,11,Valores!$A$2:$A$18)-1,"PTE")</f>
        <v>1</v>
      </c>
      <c r="T463" s="25"/>
      <c r="U463" s="25"/>
      <c r="V463" s="25" t="str">
        <f>IF(Q463="Entregado",IF(S463&lt;=VLOOKUP(K463,Valores!E:F,2,0),"Cumple","No cumple"),"PTE")</f>
        <v>Cumple</v>
      </c>
      <c r="W463" s="25"/>
      <c r="X463" s="29">
        <v>26609</v>
      </c>
      <c r="Y463" s="224"/>
      <c r="Z463" s="28"/>
    </row>
    <row r="464" spans="1:26" hidden="1" x14ac:dyDescent="0.3">
      <c r="A464" s="34">
        <v>45798</v>
      </c>
      <c r="B464" s="7" t="str">
        <f t="shared" si="58"/>
        <v>mayo</v>
      </c>
      <c r="C464" s="27">
        <v>2567</v>
      </c>
      <c r="D464" s="23" t="s">
        <v>20</v>
      </c>
      <c r="E464" s="163" t="s">
        <v>977</v>
      </c>
      <c r="F464" s="40" t="s">
        <v>240</v>
      </c>
      <c r="G464" s="32" t="str">
        <f>IFERROR(VLOOKUP(F464,Productos!$A$2:$D$258,2,0)," ")</f>
        <v>Bandeja de cables</v>
      </c>
      <c r="H464" s="7">
        <v>1</v>
      </c>
      <c r="I464" s="32" t="str">
        <f>IFERROR(VLOOKUP(F464,Productos!$A$2:$D$258,3,0)," ")</f>
        <v>Accesorio</v>
      </c>
      <c r="J464" s="139" t="s">
        <v>21</v>
      </c>
      <c r="K464" s="139" t="s">
        <v>22</v>
      </c>
      <c r="L464" s="26" t="str">
        <f t="shared" si="57"/>
        <v>Despachado</v>
      </c>
      <c r="M464" s="56" t="s">
        <v>238</v>
      </c>
      <c r="N464" s="139" t="s">
        <v>1040</v>
      </c>
      <c r="O464" s="150">
        <v>45799</v>
      </c>
      <c r="P464" s="151">
        <v>45801</v>
      </c>
      <c r="Q464" s="24" t="str">
        <f t="shared" si="59"/>
        <v>Entregado</v>
      </c>
      <c r="R464" s="25">
        <f>IF(L464="Despachado",NETWORKDAYS.INTL(A464,O464,11,Valores!$A$2:$A$18)-1,"PTE")</f>
        <v>1</v>
      </c>
      <c r="S464" s="25">
        <f>IF(Q464="Entregado",NETWORKDAYS.INTL(A464,P464,11,Valores!$A$2:$A$18)-1,"PTE")</f>
        <v>3</v>
      </c>
      <c r="T464" s="25"/>
      <c r="U464" s="25"/>
      <c r="V464" s="25" t="str">
        <f>IF(Q464="Entregado",IF(S464&lt;=VLOOKUP(K464,Valores!E:F,2,0),"Cumple","No cumple"),"PTE")</f>
        <v>Cumple</v>
      </c>
      <c r="W464" s="25"/>
      <c r="X464" s="29">
        <v>24885</v>
      </c>
      <c r="Y464" s="224"/>
      <c r="Z464" s="28"/>
    </row>
    <row r="465" spans="1:26" hidden="1" x14ac:dyDescent="0.3">
      <c r="A465" s="34">
        <v>45721</v>
      </c>
      <c r="B465" s="7" t="str">
        <f t="shared" si="58"/>
        <v>marzo</v>
      </c>
      <c r="C465" s="27">
        <v>2120</v>
      </c>
      <c r="D465" s="7" t="s">
        <v>35</v>
      </c>
      <c r="E465" s="167" t="s">
        <v>979</v>
      </c>
      <c r="F465" s="40" t="s">
        <v>280</v>
      </c>
      <c r="G465" s="32" t="str">
        <f>IFERROR(VLOOKUP(F465,Productos!$A$2:$D$258,2,0)," ")</f>
        <v>Rodachines con freno para Standing desk x 4 UN</v>
      </c>
      <c r="H465" s="7">
        <v>1</v>
      </c>
      <c r="I465" s="32" t="str">
        <f>IFERROR(VLOOKUP(F465,Productos!$A$2:$D$258,3,0)," ")</f>
        <v>Ruedas</v>
      </c>
      <c r="J465" s="139" t="s">
        <v>21</v>
      </c>
      <c r="K465" s="139" t="s">
        <v>22</v>
      </c>
      <c r="L465" s="26" t="str">
        <f t="shared" si="57"/>
        <v>Despachado</v>
      </c>
      <c r="M465" s="56" t="s">
        <v>239</v>
      </c>
      <c r="N465" s="139" t="s">
        <v>980</v>
      </c>
      <c r="O465" s="150">
        <v>45721</v>
      </c>
      <c r="P465" s="151">
        <v>45722</v>
      </c>
      <c r="Q465" s="24" t="str">
        <f t="shared" si="59"/>
        <v>Entregado</v>
      </c>
      <c r="R465" s="25">
        <f>IF(L465="Despachado",NETWORKDAYS.INTL(A465,O465,11,Valores!$A$2:$A$18)-1,"PTE")</f>
        <v>0</v>
      </c>
      <c r="S465" s="25"/>
      <c r="T465" s="25"/>
      <c r="U465" s="25"/>
      <c r="V465" s="25" t="str">
        <f>IF(Q465="Entregado",IF(S465&lt;=VLOOKUP(K465,Valores!E:F,2,0),"Cumple","No cumple"),"PTE")</f>
        <v>Cumple</v>
      </c>
      <c r="W465" s="25"/>
      <c r="X465" s="29">
        <v>18981</v>
      </c>
      <c r="Y465" s="224"/>
      <c r="Z465" s="28"/>
    </row>
    <row r="466" spans="1:26" hidden="1" x14ac:dyDescent="0.3">
      <c r="A466" s="34">
        <v>45800</v>
      </c>
      <c r="B466" s="7" t="str">
        <f t="shared" si="58"/>
        <v>mayo</v>
      </c>
      <c r="C466" s="27">
        <v>2568</v>
      </c>
      <c r="D466" s="23" t="s">
        <v>20</v>
      </c>
      <c r="E466" s="169" t="s">
        <v>982</v>
      </c>
      <c r="F466" s="22" t="s">
        <v>342</v>
      </c>
      <c r="G466" s="32" t="str">
        <f>IFERROR(VLOOKUP(F466,Productos!$A$2:$D$258,2,0)," ")</f>
        <v>Rodachines con freno para Standing desk x 6 UN</v>
      </c>
      <c r="H466" s="7">
        <v>2</v>
      </c>
      <c r="I466" s="32" t="str">
        <f>IFERROR(VLOOKUP(F466,Productos!$A$2:$D$258,3,0)," ")</f>
        <v>Ruedas</v>
      </c>
      <c r="J466" s="170" t="s">
        <v>24</v>
      </c>
      <c r="K466" s="170" t="s">
        <v>25</v>
      </c>
      <c r="L466" s="26" t="str">
        <f t="shared" si="57"/>
        <v>Despachado</v>
      </c>
      <c r="M466" s="56" t="s">
        <v>238</v>
      </c>
      <c r="N466" s="139" t="s">
        <v>1041</v>
      </c>
      <c r="O466" s="150">
        <v>45800</v>
      </c>
      <c r="P466" s="151">
        <v>45801</v>
      </c>
      <c r="Q466" s="24" t="str">
        <f t="shared" si="59"/>
        <v>Entregado</v>
      </c>
      <c r="R466" s="25">
        <f>IF(L466="Despachado",NETWORKDAYS.INTL(A466,O466,11,Valores!$A$2:$A$18)-1,"PTE")</f>
        <v>0</v>
      </c>
      <c r="S466" s="25">
        <f>IF(Q466="Entregado",NETWORKDAYS.INTL(A466,P466,11,Valores!$A$2:$A$18)-1,"PTE")</f>
        <v>1</v>
      </c>
      <c r="T466" s="25"/>
      <c r="U466" s="25"/>
      <c r="V466" s="25" t="str">
        <f>IF(Q466="Entregado",IF(S466&lt;=VLOOKUP(K466,Valores!E:F,2,0),"Cumple","No cumple"),"PTE")</f>
        <v>Cumple</v>
      </c>
      <c r="W466" s="25"/>
      <c r="X466" s="29">
        <v>23875</v>
      </c>
      <c r="Y466" s="224"/>
      <c r="Z466" s="28"/>
    </row>
    <row r="467" spans="1:26" hidden="1" x14ac:dyDescent="0.3">
      <c r="A467" s="34">
        <v>45800</v>
      </c>
      <c r="B467" s="7" t="str">
        <f t="shared" si="58"/>
        <v>mayo</v>
      </c>
      <c r="C467" s="27">
        <v>2569</v>
      </c>
      <c r="D467" s="23" t="s">
        <v>20</v>
      </c>
      <c r="E467" s="169" t="s">
        <v>983</v>
      </c>
      <c r="F467" s="40" t="s">
        <v>123</v>
      </c>
      <c r="G467" s="32" t="str">
        <f>IFERROR(VLOOKUP(F467,Productos!$A$2:$D$258,2,0)," ")</f>
        <v>Electric Standing Desk GO Negro</v>
      </c>
      <c r="H467" s="7">
        <v>1</v>
      </c>
      <c r="I467" s="32" t="str">
        <f>IFERROR(VLOOKUP(F467,Productos!$A$2:$D$258,3,0)," ")</f>
        <v>Standing Desk</v>
      </c>
      <c r="J467" s="170" t="s">
        <v>194</v>
      </c>
      <c r="K467" s="170" t="s">
        <v>46</v>
      </c>
      <c r="L467" s="26" t="str">
        <f t="shared" si="57"/>
        <v>Despachado</v>
      </c>
      <c r="M467" s="56" t="s">
        <v>238</v>
      </c>
      <c r="N467" s="139" t="s">
        <v>1042</v>
      </c>
      <c r="O467" s="150">
        <v>45800</v>
      </c>
      <c r="P467" s="151">
        <v>45803</v>
      </c>
      <c r="Q467" s="24" t="str">
        <f t="shared" si="59"/>
        <v>Entregado</v>
      </c>
      <c r="R467" s="25">
        <f>IF(L467="Despachado",NETWORKDAYS.INTL(A467,O467,11,Valores!$A$2:$A$18)-1,"PTE")</f>
        <v>0</v>
      </c>
      <c r="S467" s="25">
        <f>IF(Q467="Entregado",NETWORKDAYS.INTL(A467,P467,11,Valores!$A$2:$A$18)-1,"PTE")</f>
        <v>2</v>
      </c>
      <c r="T467" s="25"/>
      <c r="U467" s="25"/>
      <c r="V467" s="25" t="str">
        <f>IF(Q467="Entregado",IF(S467&lt;=VLOOKUP(K467,Valores!E:F,2,0),"Cumple","No cumple"),"PTE")</f>
        <v>Cumple</v>
      </c>
      <c r="W467" s="25"/>
      <c r="X467" s="29">
        <v>56077</v>
      </c>
      <c r="Y467" s="224"/>
      <c r="Z467" s="28"/>
    </row>
    <row r="468" spans="1:26" hidden="1" x14ac:dyDescent="0.3">
      <c r="A468" s="34">
        <v>45800</v>
      </c>
      <c r="B468" s="7" t="str">
        <f t="shared" si="58"/>
        <v>mayo</v>
      </c>
      <c r="C468" s="27">
        <v>2569</v>
      </c>
      <c r="D468" s="23" t="s">
        <v>20</v>
      </c>
      <c r="E468" s="169" t="s">
        <v>983</v>
      </c>
      <c r="F468" s="22" t="s">
        <v>114</v>
      </c>
      <c r="G468" s="32" t="str">
        <f>IFERROR(VLOOKUP(F468,Productos!$A$2:$D$258,2,0)," ")</f>
        <v>Superficie  Roble Negro 120x70 Clasico Small</v>
      </c>
      <c r="H468" s="7">
        <v>1</v>
      </c>
      <c r="I468" s="32" t="str">
        <f>IFERROR(VLOOKUP(F468,Productos!$A$2:$D$258,3,0)," ")</f>
        <v>Superficie</v>
      </c>
      <c r="J468" s="170" t="s">
        <v>194</v>
      </c>
      <c r="K468" s="170" t="s">
        <v>46</v>
      </c>
      <c r="L468" s="26" t="str">
        <f t="shared" si="57"/>
        <v>Despachado</v>
      </c>
      <c r="M468" s="56" t="s">
        <v>238</v>
      </c>
      <c r="N468" s="139" t="s">
        <v>1043</v>
      </c>
      <c r="O468" s="150">
        <v>45800</v>
      </c>
      <c r="P468" s="151">
        <v>45803</v>
      </c>
      <c r="Q468" s="24" t="str">
        <f t="shared" si="59"/>
        <v>Entregado</v>
      </c>
      <c r="R468" s="25">
        <f>IF(L468="Despachado",NETWORKDAYS.INTL(A468,O468,11,Valores!$A$2:$A$18)-1,"PTE")</f>
        <v>0</v>
      </c>
      <c r="S468" s="25">
        <f>IF(Q468="Entregado",NETWORKDAYS.INTL(A468,P468,11,Valores!$A$2:$A$18)-1,"PTE")</f>
        <v>2</v>
      </c>
      <c r="T468" s="25"/>
      <c r="U468" s="25"/>
      <c r="V468" s="25" t="str">
        <f>IF(Q468="Entregado",IF(S468&lt;=VLOOKUP(K468,Valores!E:F,2,0),"Cumple","No cumple"),"PTE")</f>
        <v>Cumple</v>
      </c>
      <c r="W468" s="25"/>
      <c r="X468" s="29">
        <v>41897</v>
      </c>
      <c r="Y468" s="224"/>
      <c r="Z468" s="28"/>
    </row>
    <row r="469" spans="1:26" hidden="1" x14ac:dyDescent="0.3">
      <c r="A469" s="34">
        <v>45800</v>
      </c>
      <c r="B469" s="7" t="str">
        <f t="shared" ref="B469:B482" si="60">TEXT(A469,"mmmm")</f>
        <v>mayo</v>
      </c>
      <c r="C469" s="27">
        <v>2570</v>
      </c>
      <c r="D469" s="23" t="s">
        <v>20</v>
      </c>
      <c r="E469" s="169" t="s">
        <v>984</v>
      </c>
      <c r="F469" s="22" t="s">
        <v>730</v>
      </c>
      <c r="G469" s="32" t="str">
        <f>IFERROR(VLOOKUP(F469,Productos!$A$2:$D$258,2,0)," ")</f>
        <v>Electric Standing Desk  PRO Blanco circular</v>
      </c>
      <c r="H469" s="7">
        <v>1</v>
      </c>
      <c r="I469" s="32" t="str">
        <f>IFERROR(VLOOKUP(F469,Productos!$A$2:$D$258,3,0)," ")</f>
        <v>Standing Desk</v>
      </c>
      <c r="J469" s="170" t="s">
        <v>42</v>
      </c>
      <c r="K469" s="170" t="s">
        <v>43</v>
      </c>
      <c r="L469" s="26" t="str">
        <f t="shared" si="57"/>
        <v>Despachado</v>
      </c>
      <c r="M469" s="56" t="s">
        <v>238</v>
      </c>
      <c r="N469" s="139" t="s">
        <v>1044</v>
      </c>
      <c r="O469" s="150">
        <v>45800</v>
      </c>
      <c r="P469" s="151">
        <v>45801</v>
      </c>
      <c r="Q469" s="24" t="str">
        <f t="shared" si="59"/>
        <v>Entregado</v>
      </c>
      <c r="R469" s="25">
        <f>IF(L469="Despachado",NETWORKDAYS.INTL(A469,O469,11,Valores!$A$2:$A$18)-1,"PTE")</f>
        <v>0</v>
      </c>
      <c r="S469" s="25">
        <f>IF(Q469="Entregado",NETWORKDAYS.INTL(A469,P469,11,Valores!$A$2:$A$18)-1,"PTE")</f>
        <v>1</v>
      </c>
      <c r="T469" s="25"/>
      <c r="U469" s="25"/>
      <c r="V469" s="25" t="str">
        <f>IF(Q469="Entregado",IF(S469&lt;=VLOOKUP(K469,Valores!E:F,2,0),"Cumple","No cumple"),"PTE")</f>
        <v>Cumple</v>
      </c>
      <c r="W469" s="25"/>
      <c r="X469" s="29">
        <v>42921</v>
      </c>
      <c r="Y469" s="224"/>
      <c r="Z469" s="28"/>
    </row>
    <row r="470" spans="1:26" hidden="1" x14ac:dyDescent="0.3">
      <c r="A470" s="34">
        <v>45800</v>
      </c>
      <c r="B470" s="7" t="str">
        <f t="shared" si="60"/>
        <v>mayo</v>
      </c>
      <c r="C470" s="27">
        <v>2570</v>
      </c>
      <c r="D470" s="23" t="s">
        <v>20</v>
      </c>
      <c r="E470" s="169" t="s">
        <v>984</v>
      </c>
      <c r="F470" s="22" t="s">
        <v>301</v>
      </c>
      <c r="G470" s="32" t="str">
        <f>IFERROR(VLOOKUP(F470,Productos!$A$2:$D$258,2,0)," ")</f>
        <v>Superficie  Fresno Europeo 120x70 Clasico Small</v>
      </c>
      <c r="H470" s="7">
        <v>1</v>
      </c>
      <c r="I470" s="32" t="str">
        <f>IFERROR(VLOOKUP(F470,Productos!$A$2:$D$258,3,0)," ")</f>
        <v>Superficie</v>
      </c>
      <c r="J470" s="170" t="s">
        <v>42</v>
      </c>
      <c r="K470" s="170" t="s">
        <v>43</v>
      </c>
      <c r="L470" s="26" t="str">
        <f t="shared" si="57"/>
        <v>Despachado</v>
      </c>
      <c r="M470" s="56" t="s">
        <v>238</v>
      </c>
      <c r="N470" s="139" t="s">
        <v>1045</v>
      </c>
      <c r="O470" s="150">
        <v>45800</v>
      </c>
      <c r="P470" s="151">
        <v>45801</v>
      </c>
      <c r="Q470" s="24" t="str">
        <f t="shared" si="59"/>
        <v>Entregado</v>
      </c>
      <c r="R470" s="25">
        <f>IF(L470="Despachado",NETWORKDAYS.INTL(A470,O470,11,Valores!$A$2:$A$18)-1,"PTE")</f>
        <v>0</v>
      </c>
      <c r="S470" s="25">
        <f>IF(Q470="Entregado",NETWORKDAYS.INTL(A470,P470,11,Valores!$A$2:$A$18)-1,"PTE")</f>
        <v>1</v>
      </c>
      <c r="T470" s="25"/>
      <c r="U470" s="25"/>
      <c r="V470" s="25" t="str">
        <f>IF(Q470="Entregado",IF(S470&lt;=VLOOKUP(K470,Valores!E:F,2,0),"Cumple","No cumple"),"PTE")</f>
        <v>Cumple</v>
      </c>
      <c r="W470" s="25"/>
      <c r="X470" s="29">
        <v>28741</v>
      </c>
      <c r="Y470" s="224"/>
      <c r="Z470" s="28"/>
    </row>
    <row r="471" spans="1:26" hidden="1" x14ac:dyDescent="0.3">
      <c r="A471" s="34">
        <v>45803</v>
      </c>
      <c r="B471" s="7" t="str">
        <f t="shared" si="60"/>
        <v>mayo</v>
      </c>
      <c r="C471" s="27">
        <v>2571</v>
      </c>
      <c r="D471" s="23" t="s">
        <v>20</v>
      </c>
      <c r="E471" s="169" t="s">
        <v>985</v>
      </c>
      <c r="F471" s="40" t="s">
        <v>57</v>
      </c>
      <c r="G471" s="32" t="str">
        <f>IFERROR(VLOOKUP(F471,Productos!$A$2:$D$258,2,0)," ")</f>
        <v>Electric Standing Desk  En L Frame Negro 2.0</v>
      </c>
      <c r="H471" s="7">
        <v>1</v>
      </c>
      <c r="I471" s="32" t="str">
        <f>IFERROR(VLOOKUP(F471,Productos!$A$2:$D$258,3,0)," ")</f>
        <v>Standing Desk</v>
      </c>
      <c r="J471" s="139" t="s">
        <v>21</v>
      </c>
      <c r="K471" s="170" t="s">
        <v>986</v>
      </c>
      <c r="L471" s="26" t="str">
        <f t="shared" si="57"/>
        <v>Despachado</v>
      </c>
      <c r="M471" s="56" t="s">
        <v>238</v>
      </c>
      <c r="N471" s="139" t="s">
        <v>1046</v>
      </c>
      <c r="O471" s="150">
        <v>45803</v>
      </c>
      <c r="P471" s="151">
        <v>45806</v>
      </c>
      <c r="Q471" s="24" t="str">
        <f t="shared" si="59"/>
        <v>Entregado</v>
      </c>
      <c r="R471" s="25">
        <f>IF(L471="Despachado",NETWORKDAYS.INTL(A471,O471,11,Valores!$A$2:$A$18)-1,"PTE")</f>
        <v>0</v>
      </c>
      <c r="S471" s="25">
        <f>IF(Q471="Entregado",NETWORKDAYS.INTL(A471,P471,11,Valores!$A$2:$A$18)-1,"PTE")</f>
        <v>3</v>
      </c>
      <c r="T471" s="25"/>
      <c r="U471" s="25"/>
      <c r="V471" s="25" t="str">
        <f>IF(Q471="Entregado",IF(S471&lt;=VLOOKUP(K471,Valores!E:F,2,0),"Cumple","No cumple"),"PTE")</f>
        <v>Cumple</v>
      </c>
      <c r="W471" s="25"/>
      <c r="X471" s="29">
        <v>62530</v>
      </c>
      <c r="Y471" s="224"/>
      <c r="Z471" s="28"/>
    </row>
    <row r="472" spans="1:26" hidden="1" x14ac:dyDescent="0.3">
      <c r="A472" s="34">
        <v>45803</v>
      </c>
      <c r="B472" s="7" t="str">
        <f t="shared" si="60"/>
        <v>mayo</v>
      </c>
      <c r="C472" s="27">
        <v>2571</v>
      </c>
      <c r="D472" s="23" t="s">
        <v>20</v>
      </c>
      <c r="E472" s="169" t="s">
        <v>985</v>
      </c>
      <c r="F472" s="22" t="s">
        <v>300</v>
      </c>
      <c r="G472" s="32" t="str">
        <f>IFERROR(VLOOKUP(F472,Productos!$A$2:$D$258,2,0)," ")</f>
        <v>Superficie en L Fresno 180x150cm x 70</v>
      </c>
      <c r="H472" s="7">
        <v>1</v>
      </c>
      <c r="I472" s="32" t="str">
        <f>IFERROR(VLOOKUP(F472,Productos!$A$2:$D$258,3,0)," ")</f>
        <v>Superficie</v>
      </c>
      <c r="J472" s="139" t="s">
        <v>21</v>
      </c>
      <c r="K472" s="170" t="s">
        <v>986</v>
      </c>
      <c r="L472" s="26" t="str">
        <f t="shared" si="57"/>
        <v>Despachado</v>
      </c>
      <c r="M472" s="56" t="s">
        <v>238</v>
      </c>
      <c r="N472" s="139" t="s">
        <v>1047</v>
      </c>
      <c r="O472" s="150">
        <v>45803</v>
      </c>
      <c r="P472" s="151">
        <v>45806</v>
      </c>
      <c r="Q472" s="24" t="str">
        <f t="shared" si="59"/>
        <v>Entregado</v>
      </c>
      <c r="R472" s="25">
        <f>IF(L472="Despachado",NETWORKDAYS.INTL(A472,O472,11,Valores!$A$2:$A$18)-1,"PTE")</f>
        <v>0</v>
      </c>
      <c r="S472" s="25">
        <f>IF(Q472="Entregado",NETWORKDAYS.INTL(A472,P472,11,Valores!$A$2:$A$18)-1,"PTE")</f>
        <v>3</v>
      </c>
      <c r="T472" s="25"/>
      <c r="U472" s="25"/>
      <c r="V472" s="25" t="str">
        <f>IF(Q472="Entregado",IF(S472&lt;=VLOOKUP(K472,Valores!E:F,2,0),"Cumple","No cumple"),"PTE")</f>
        <v>Cumple</v>
      </c>
      <c r="W472" s="25"/>
      <c r="X472" s="29">
        <v>26749</v>
      </c>
      <c r="Y472" s="224"/>
      <c r="Z472" s="28"/>
    </row>
    <row r="473" spans="1:26" hidden="1" x14ac:dyDescent="0.3">
      <c r="A473" s="34">
        <v>45807</v>
      </c>
      <c r="B473" s="7" t="str">
        <f t="shared" si="60"/>
        <v>mayo</v>
      </c>
      <c r="C473" s="27">
        <v>2572</v>
      </c>
      <c r="D473" s="23" t="s">
        <v>20</v>
      </c>
      <c r="E473" s="169" t="s">
        <v>987</v>
      </c>
      <c r="F473" s="40" t="s">
        <v>57</v>
      </c>
      <c r="G473" s="32" t="str">
        <f>IFERROR(VLOOKUP(F473,Productos!$A$2:$D$258,2,0)," ")</f>
        <v>Electric Standing Desk  En L Frame Negro 2.0</v>
      </c>
      <c r="H473" s="7">
        <v>1</v>
      </c>
      <c r="I473" s="32" t="str">
        <f>IFERROR(VLOOKUP(F473,Productos!$A$2:$D$258,3,0)," ")</f>
        <v>Standing Desk</v>
      </c>
      <c r="J473" s="139" t="s">
        <v>21</v>
      </c>
      <c r="K473" s="171" t="s">
        <v>121</v>
      </c>
      <c r="L473" s="26" t="str">
        <f t="shared" ref="L473:L478" si="61">IF(O473&gt;0,"Despachado","En alistamiento")</f>
        <v>Despachado</v>
      </c>
      <c r="M473" s="56" t="s">
        <v>238</v>
      </c>
      <c r="N473" s="139" t="s">
        <v>1050</v>
      </c>
      <c r="O473" s="150">
        <v>45811</v>
      </c>
      <c r="P473" s="151">
        <v>45813</v>
      </c>
      <c r="Q473" s="24" t="str">
        <f t="shared" si="59"/>
        <v>Entregado</v>
      </c>
      <c r="R473" s="25">
        <f>IF(L473="Despachado",NETWORKDAYS.INTL(A473,O473,11,Valores!$A$2:$A$18)-1,"PTE")</f>
        <v>2</v>
      </c>
      <c r="S473" s="25">
        <f>IF(Q473="Entregado",NETWORKDAYS.INTL(A473,P473,11,Valores!$A$2:$A$18)-1,"PTE")</f>
        <v>4</v>
      </c>
      <c r="T473" s="25"/>
      <c r="U473" s="25"/>
      <c r="V473" s="25" t="str">
        <f>IF(Q473="Entregado",IF(S473&lt;=VLOOKUP(K473,Valores!E:F,2,0),"Cumple","No cumple"),"PTE")</f>
        <v>Cumple</v>
      </c>
      <c r="W473" s="25"/>
      <c r="X473" s="29">
        <v>62530</v>
      </c>
      <c r="Y473" s="224"/>
      <c r="Z473" s="28"/>
    </row>
    <row r="474" spans="1:26" hidden="1" x14ac:dyDescent="0.3">
      <c r="A474" s="34">
        <v>45807</v>
      </c>
      <c r="B474" s="7" t="str">
        <f t="shared" si="60"/>
        <v>mayo</v>
      </c>
      <c r="C474" s="27">
        <v>2572</v>
      </c>
      <c r="D474" s="23" t="s">
        <v>20</v>
      </c>
      <c r="E474" s="169" t="s">
        <v>987</v>
      </c>
      <c r="F474" s="22" t="s">
        <v>47</v>
      </c>
      <c r="G474" s="32" t="str">
        <f>IFERROR(VLOOKUP(F474,Productos!$A$2:$D$258,2,0)," ")</f>
        <v>Superficie  en L Niebla 180x150cm x 70</v>
      </c>
      <c r="H474" s="7">
        <v>1</v>
      </c>
      <c r="I474" s="32" t="str">
        <f>IFERROR(VLOOKUP(F474,Productos!$A$2:$D$258,3,0)," ")</f>
        <v>Superficie</v>
      </c>
      <c r="J474" s="139" t="s">
        <v>21</v>
      </c>
      <c r="K474" s="171" t="s">
        <v>121</v>
      </c>
      <c r="L474" s="26" t="str">
        <f t="shared" si="61"/>
        <v>Despachado</v>
      </c>
      <c r="M474" s="56" t="s">
        <v>238</v>
      </c>
      <c r="N474" s="139" t="s">
        <v>1051</v>
      </c>
      <c r="O474" s="150">
        <v>45811</v>
      </c>
      <c r="P474" s="151">
        <v>45814</v>
      </c>
      <c r="Q474" s="24" t="str">
        <f t="shared" si="59"/>
        <v>Entregado</v>
      </c>
      <c r="R474" s="25">
        <f>IF(L474="Despachado",NETWORKDAYS.INTL(A474,O474,11,Valores!$A$2:$A$18)-1,"PTE")</f>
        <v>2</v>
      </c>
      <c r="S474" s="25">
        <f>IF(Q474="Entregado",NETWORKDAYS.INTL(A474,P474,11,Valores!$A$2:$A$18)-1,"PTE")</f>
        <v>5</v>
      </c>
      <c r="T474" s="25"/>
      <c r="U474" s="25"/>
      <c r="V474" s="25" t="str">
        <f>IF(Q474="Entregado",IF(S474&lt;=VLOOKUP(K474,Valores!E:F,2,0),"Cumple","No cumple"),"PTE")</f>
        <v>Cumple</v>
      </c>
      <c r="W474" s="25"/>
      <c r="X474" s="29">
        <v>26749</v>
      </c>
      <c r="Y474" s="224"/>
      <c r="Z474" s="28"/>
    </row>
    <row r="475" spans="1:26" hidden="1" x14ac:dyDescent="0.3">
      <c r="A475" s="34">
        <v>45807</v>
      </c>
      <c r="B475" s="7" t="str">
        <f t="shared" si="60"/>
        <v>mayo</v>
      </c>
      <c r="C475" s="27">
        <v>2572</v>
      </c>
      <c r="D475" s="23" t="s">
        <v>20</v>
      </c>
      <c r="E475" s="169" t="s">
        <v>987</v>
      </c>
      <c r="F475" s="22" t="s">
        <v>62</v>
      </c>
      <c r="G475" s="32" t="str">
        <f>IFERROR(VLOOKUP(F475,Productos!$A$2:$D$258,2,0)," ")</f>
        <v>Archivador TECU  Blanco (Niebla)</v>
      </c>
      <c r="H475" s="7">
        <v>1</v>
      </c>
      <c r="I475" s="32" t="str">
        <f>IFERROR(VLOOKUP(F475,Productos!$A$2:$D$258,3,0)," ")</f>
        <v>Archivador</v>
      </c>
      <c r="J475" s="139" t="s">
        <v>21</v>
      </c>
      <c r="K475" s="171" t="s">
        <v>121</v>
      </c>
      <c r="L475" s="26" t="str">
        <f t="shared" si="61"/>
        <v>Despachado</v>
      </c>
      <c r="M475" s="56" t="s">
        <v>239</v>
      </c>
      <c r="N475" s="33" t="s">
        <v>1053</v>
      </c>
      <c r="O475" s="150">
        <v>45812</v>
      </c>
      <c r="P475" s="151">
        <v>45813</v>
      </c>
      <c r="Q475" s="24" t="str">
        <f t="shared" si="59"/>
        <v>Entregado</v>
      </c>
      <c r="R475" s="25">
        <f>IF(L475="Despachado",NETWORKDAYS.INTL(A475,O475,11,Valores!$A$2:$A$18)-1,"PTE")</f>
        <v>3</v>
      </c>
      <c r="S475" s="25">
        <f>IF(Q475="Entregado",NETWORKDAYS.INTL(A475,P475,11,Valores!$A$2:$A$18)-1,"PTE")</f>
        <v>4</v>
      </c>
      <c r="T475" s="25"/>
      <c r="U475" s="25"/>
      <c r="V475" s="25" t="str">
        <f>IF(Q475="Entregado",IF(S475&lt;=VLOOKUP(K475,Valores!E:F,2,0),"Cumple","No cumple"),"PTE")</f>
        <v>Cumple</v>
      </c>
      <c r="W475" s="25"/>
      <c r="X475" s="29">
        <v>65682</v>
      </c>
      <c r="Y475" s="224"/>
      <c r="Z475" s="28"/>
    </row>
    <row r="476" spans="1:26" hidden="1" x14ac:dyDescent="0.3">
      <c r="A476" s="34">
        <v>45807</v>
      </c>
      <c r="B476" s="7" t="str">
        <f t="shared" si="60"/>
        <v>mayo</v>
      </c>
      <c r="C476" s="27">
        <v>2572</v>
      </c>
      <c r="D476" s="23" t="s">
        <v>20</v>
      </c>
      <c r="E476" s="169" t="s">
        <v>987</v>
      </c>
      <c r="F476" s="40" t="s">
        <v>240</v>
      </c>
      <c r="G476" s="32" t="str">
        <f>IFERROR(VLOOKUP(F476,Productos!$A$2:$D$258,2,0)," ")</f>
        <v>Bandeja de cables</v>
      </c>
      <c r="H476" s="7">
        <v>1</v>
      </c>
      <c r="I476" s="32" t="str">
        <f>IFERROR(VLOOKUP(F476,Productos!$A$2:$D$258,3,0)," ")</f>
        <v>Accesorio</v>
      </c>
      <c r="J476" s="139" t="s">
        <v>21</v>
      </c>
      <c r="K476" s="171" t="s">
        <v>121</v>
      </c>
      <c r="L476" s="26" t="str">
        <f t="shared" si="61"/>
        <v>Despachado</v>
      </c>
      <c r="M476" s="56" t="s">
        <v>238</v>
      </c>
      <c r="N476" s="139" t="s">
        <v>1052</v>
      </c>
      <c r="O476" s="150">
        <v>45811</v>
      </c>
      <c r="P476" s="151">
        <v>45813</v>
      </c>
      <c r="Q476" s="24" t="str">
        <f t="shared" si="59"/>
        <v>Entregado</v>
      </c>
      <c r="R476" s="25">
        <f>IF(L476="Despachado",NETWORKDAYS.INTL(A476,O476,11,Valores!$A$2:$A$18)-1,"PTE")</f>
        <v>2</v>
      </c>
      <c r="S476" s="25">
        <f>IF(Q476="Entregado",NETWORKDAYS.INTL(A476,P476,11,Valores!$A$2:$A$18)-1,"PTE")</f>
        <v>4</v>
      </c>
      <c r="T476" s="25"/>
      <c r="U476" s="25"/>
      <c r="V476" s="25" t="str">
        <f>IF(Q476="Entregado",IF(S476&lt;=VLOOKUP(K476,Valores!E:F,2,0),"Cumple","No cumple"),"PTE")</f>
        <v>Cumple</v>
      </c>
      <c r="W476" s="25"/>
      <c r="X476" s="29">
        <v>24885</v>
      </c>
      <c r="Y476" s="224"/>
      <c r="Z476" s="28"/>
    </row>
    <row r="477" spans="1:26" hidden="1" x14ac:dyDescent="0.3">
      <c r="A477" s="34">
        <v>45809</v>
      </c>
      <c r="B477" s="7" t="str">
        <f t="shared" si="60"/>
        <v>junio</v>
      </c>
      <c r="C477" s="27">
        <v>2573</v>
      </c>
      <c r="D477" s="23" t="s">
        <v>20</v>
      </c>
      <c r="E477" s="169" t="s">
        <v>988</v>
      </c>
      <c r="F477" s="22" t="s">
        <v>74</v>
      </c>
      <c r="G477" s="32" t="str">
        <f>IFERROR(VLOOKUP(F477,Productos!$A$2:$D$258,2,0)," ")</f>
        <v>Repisa Caramelo</v>
      </c>
      <c r="H477" s="7">
        <v>1</v>
      </c>
      <c r="I477" s="32" t="str">
        <f>IFERROR(VLOOKUP(F477,Productos!$A$2:$D$258,3,0)," ")</f>
        <v>Repisa</v>
      </c>
      <c r="J477" s="170" t="s">
        <v>194</v>
      </c>
      <c r="K477" s="170" t="s">
        <v>46</v>
      </c>
      <c r="L477" s="26" t="str">
        <f t="shared" si="61"/>
        <v>Despachado</v>
      </c>
      <c r="M477" s="56" t="s">
        <v>238</v>
      </c>
      <c r="N477" s="139" t="s">
        <v>1048</v>
      </c>
      <c r="O477" s="150">
        <v>45811</v>
      </c>
      <c r="P477" s="151">
        <v>45813</v>
      </c>
      <c r="Q477" s="24" t="str">
        <f t="shared" si="59"/>
        <v>Entregado</v>
      </c>
      <c r="R477" s="25">
        <f>IF(L477="Despachado",NETWORKDAYS.INTL(A477,O477,11,Valores!$A$2:$A$18)-1,"PTE")</f>
        <v>0</v>
      </c>
      <c r="S477" s="25">
        <f>IF(Q477="Entregado",NETWORKDAYS.INTL(A477,P477,11,Valores!$A$2:$A$18)-1,"PTE")</f>
        <v>2</v>
      </c>
      <c r="T477" s="25"/>
      <c r="U477" s="25"/>
      <c r="V477" s="25" t="str">
        <f>IF(Q477="Entregado",IF(S477&lt;=VLOOKUP(K477,Valores!E:F,2,0),"Cumple","No cumple"),"PTE")</f>
        <v>Cumple</v>
      </c>
      <c r="W477" s="25"/>
      <c r="X477" s="29">
        <v>16617</v>
      </c>
      <c r="Y477" s="224"/>
      <c r="Z477" s="28"/>
    </row>
    <row r="478" spans="1:26" hidden="1" x14ac:dyDescent="0.3">
      <c r="A478" s="34">
        <v>45809</v>
      </c>
      <c r="B478" s="7" t="str">
        <f t="shared" si="60"/>
        <v>junio</v>
      </c>
      <c r="C478" s="27">
        <v>2573</v>
      </c>
      <c r="D478" s="23" t="s">
        <v>20</v>
      </c>
      <c r="E478" s="169" t="s">
        <v>988</v>
      </c>
      <c r="F478" s="40" t="s">
        <v>83</v>
      </c>
      <c r="G478" s="32" t="str">
        <f>IFERROR(VLOOKUP(F478,Productos!$A$2:$D$258,2,0)," ")</f>
        <v>Desk Pad B Negro Azul</v>
      </c>
      <c r="H478" s="7">
        <v>1</v>
      </c>
      <c r="I478" s="32" t="str">
        <f>IFERROR(VLOOKUP(F478,Productos!$A$2:$D$258,3,0)," ")</f>
        <v>Accesorio</v>
      </c>
      <c r="J478" s="170" t="s">
        <v>194</v>
      </c>
      <c r="K478" s="170" t="s">
        <v>46</v>
      </c>
      <c r="L478" s="26" t="str">
        <f t="shared" si="61"/>
        <v>Despachado</v>
      </c>
      <c r="M478" s="56" t="s">
        <v>238</v>
      </c>
      <c r="N478" s="139" t="s">
        <v>1049</v>
      </c>
      <c r="O478" s="150">
        <v>45811</v>
      </c>
      <c r="P478" s="151">
        <v>45813</v>
      </c>
      <c r="Q478" s="24" t="str">
        <f t="shared" si="59"/>
        <v>Entregado</v>
      </c>
      <c r="R478" s="25">
        <f>IF(L478="Despachado",NETWORKDAYS.INTL(A478,O478,11,Valores!$A$2:$A$18)-1,"PTE")</f>
        <v>0</v>
      </c>
      <c r="S478" s="25">
        <f>IF(Q478="Entregado",NETWORKDAYS.INTL(A478,P478,11,Valores!$A$2:$A$18)-1,"PTE")</f>
        <v>2</v>
      </c>
      <c r="T478" s="25"/>
      <c r="U478" s="25"/>
      <c r="V478" s="25" t="str">
        <f>IF(Q478="Entregado",IF(S478&lt;=VLOOKUP(K478,Valores!E:F,2,0),"Cumple","No cumple"),"PTE")</f>
        <v>Cumple</v>
      </c>
      <c r="W478" s="25"/>
      <c r="X478" s="29">
        <v>33077</v>
      </c>
      <c r="Y478" s="224"/>
      <c r="Z478" s="28"/>
    </row>
    <row r="479" spans="1:26" hidden="1" x14ac:dyDescent="0.3">
      <c r="A479" s="34">
        <v>45810</v>
      </c>
      <c r="B479" s="7" t="str">
        <f t="shared" si="60"/>
        <v>junio</v>
      </c>
      <c r="C479" s="27">
        <v>2574</v>
      </c>
      <c r="D479" s="23" t="s">
        <v>20</v>
      </c>
      <c r="E479" s="169" t="s">
        <v>989</v>
      </c>
      <c r="F479" s="40" t="s">
        <v>123</v>
      </c>
      <c r="G479" s="32" t="str">
        <f>IFERROR(VLOOKUP(F479,Productos!$A$2:$D$258,2,0)," ")</f>
        <v>Electric Standing Desk GO Negro</v>
      </c>
      <c r="H479" s="7">
        <v>1</v>
      </c>
      <c r="I479" s="32" t="str">
        <f>IFERROR(VLOOKUP(F479,Productos!$A$2:$D$258,3,0)," ")</f>
        <v>Standing Desk</v>
      </c>
      <c r="J479" s="170" t="s">
        <v>42</v>
      </c>
      <c r="K479" s="170" t="s">
        <v>487</v>
      </c>
      <c r="L479" s="26" t="str">
        <f t="shared" ref="L479:L484" si="62">IF(O479&gt;0,"Despachado","En alistamiento")</f>
        <v>Despachado</v>
      </c>
      <c r="M479" s="56" t="s">
        <v>238</v>
      </c>
      <c r="N479" s="139" t="s">
        <v>1054</v>
      </c>
      <c r="O479" s="150">
        <v>45811</v>
      </c>
      <c r="P479" s="151">
        <v>45812</v>
      </c>
      <c r="Q479" s="24" t="str">
        <f t="shared" si="59"/>
        <v>Entregado</v>
      </c>
      <c r="R479" s="25">
        <f>IF(L479="Despachado",NETWORKDAYS.INTL(A479,O479,11,Valores!$A$2:$A$18)-1,"PTE")</f>
        <v>0</v>
      </c>
      <c r="S479" s="25">
        <f>IF(Q479="Entregado",NETWORKDAYS.INTL(A479,P479,11,Valores!$A$2:$A$18)-1,"PTE")</f>
        <v>1</v>
      </c>
      <c r="T479" s="25"/>
      <c r="U479" s="25"/>
      <c r="V479" s="25" t="e">
        <f>IF(Q479="Entregado",IF(S479&lt;=VLOOKUP(K479,Valores!E:F,2,0),"Cumple","No cumple"),"PTE")</f>
        <v>#N/A</v>
      </c>
      <c r="W479" s="25"/>
      <c r="X479" s="29">
        <v>41593</v>
      </c>
      <c r="Y479" s="224"/>
      <c r="Z479" s="28"/>
    </row>
    <row r="480" spans="1:26" hidden="1" x14ac:dyDescent="0.3">
      <c r="A480" s="34">
        <v>45810</v>
      </c>
      <c r="B480" s="7" t="str">
        <f t="shared" si="60"/>
        <v>junio</v>
      </c>
      <c r="C480" s="27">
        <v>2574</v>
      </c>
      <c r="D480" s="23" t="s">
        <v>20</v>
      </c>
      <c r="E480" s="169" t="s">
        <v>989</v>
      </c>
      <c r="F480" s="22" t="s">
        <v>302</v>
      </c>
      <c r="G480" s="32" t="str">
        <f>IFERROR(VLOOKUP(F480,Productos!$A$2:$D$258,2,0)," ")</f>
        <v>Superficie  Fresno Europeo 130x70 Clasico</v>
      </c>
      <c r="H480" s="7">
        <v>1</v>
      </c>
      <c r="I480" s="32" t="str">
        <f>IFERROR(VLOOKUP(F480,Productos!$A$2:$D$258,3,0)," ")</f>
        <v>Superficie</v>
      </c>
      <c r="J480" s="170" t="s">
        <v>42</v>
      </c>
      <c r="K480" s="170" t="s">
        <v>487</v>
      </c>
      <c r="L480" s="26" t="str">
        <f t="shared" si="62"/>
        <v>Despachado</v>
      </c>
      <c r="M480" s="56" t="s">
        <v>238</v>
      </c>
      <c r="N480" s="139" t="s">
        <v>1055</v>
      </c>
      <c r="O480" s="150">
        <v>45811</v>
      </c>
      <c r="P480" s="151">
        <v>45812</v>
      </c>
      <c r="Q480" s="24" t="str">
        <f t="shared" si="59"/>
        <v>Entregado</v>
      </c>
      <c r="R480" s="25">
        <f>IF(L480="Despachado",NETWORKDAYS.INTL(A480,O480,11,Valores!$A$2:$A$18)-1,"PTE")</f>
        <v>0</v>
      </c>
      <c r="S480" s="25">
        <f>IF(Q480="Entregado",NETWORKDAYS.INTL(A480,P480,11,Valores!$A$2:$A$18)-1,"PTE")</f>
        <v>1</v>
      </c>
      <c r="T480" s="25"/>
      <c r="U480" s="25"/>
      <c r="V480" s="25" t="e">
        <f>IF(Q480="Entregado",IF(S480&lt;=VLOOKUP(K480,Valores!E:F,2,0),"Cumple","No cumple"),"PTE")</f>
        <v>#N/A</v>
      </c>
      <c r="W480" s="25"/>
      <c r="X480" s="29">
        <v>24093</v>
      </c>
      <c r="Y480" s="224"/>
      <c r="Z480" s="28"/>
    </row>
    <row r="481" spans="1:26" hidden="1" x14ac:dyDescent="0.3">
      <c r="A481" s="34">
        <v>45810</v>
      </c>
      <c r="B481" s="7" t="str">
        <f t="shared" si="60"/>
        <v>junio</v>
      </c>
      <c r="C481" s="27">
        <v>2574</v>
      </c>
      <c r="D481" s="23" t="s">
        <v>20</v>
      </c>
      <c r="E481" s="169" t="s">
        <v>989</v>
      </c>
      <c r="F481" s="22" t="s">
        <v>308</v>
      </c>
      <c r="G481" s="32" t="str">
        <f>IFERROR(VLOOKUP(F481,Productos!$A$2:$D$258,2,0)," ")</f>
        <v>Repisa TECU Fresno Europeo</v>
      </c>
      <c r="H481" s="7">
        <v>1</v>
      </c>
      <c r="I481" s="32" t="str">
        <f>IFERROR(VLOOKUP(F481,Productos!$A$2:$D$258,3,0)," ")</f>
        <v>Repisa</v>
      </c>
      <c r="J481" s="170" t="s">
        <v>42</v>
      </c>
      <c r="K481" s="170" t="s">
        <v>487</v>
      </c>
      <c r="L481" s="26" t="str">
        <f t="shared" si="62"/>
        <v>Despachado</v>
      </c>
      <c r="M481" s="56" t="s">
        <v>238</v>
      </c>
      <c r="N481" s="171" t="s">
        <v>241</v>
      </c>
      <c r="O481" s="172" t="s">
        <v>241</v>
      </c>
      <c r="P481" s="173" t="s">
        <v>241</v>
      </c>
      <c r="Q481" s="24" t="str">
        <f t="shared" si="59"/>
        <v>Entregado</v>
      </c>
      <c r="R481" s="25" t="e">
        <f>IF(L481="Despachado",NETWORKDAYS.INTL(A481,O481,11,Valores!$A$2:$A$18)-1,"PTE")</f>
        <v>#VALUE!</v>
      </c>
      <c r="S481" s="25" t="e">
        <f>IF(Q481="Entregado",NETWORKDAYS.INTL(A481,P481,11,Valores!$A$2:$A$18)-1,"PTE")</f>
        <v>#VALUE!</v>
      </c>
      <c r="T481" s="25"/>
      <c r="U481" s="25"/>
      <c r="V481" s="25" t="e">
        <f>IF(Q481="Entregado",IF(S481&lt;=VLOOKUP(K481,Valores!E:F,2,0),"Cumple","No cumple"),"PTE")</f>
        <v>#VALUE!</v>
      </c>
      <c r="W481" s="25"/>
      <c r="X481" s="29"/>
      <c r="Y481" s="224"/>
      <c r="Z481" s="28"/>
    </row>
    <row r="482" spans="1:26" hidden="1" x14ac:dyDescent="0.3">
      <c r="A482" s="34">
        <v>45811</v>
      </c>
      <c r="B482" s="7" t="str">
        <f t="shared" si="60"/>
        <v>junio</v>
      </c>
      <c r="C482" s="27">
        <v>2575</v>
      </c>
      <c r="D482" s="23" t="s">
        <v>20</v>
      </c>
      <c r="E482" s="169" t="s">
        <v>987</v>
      </c>
      <c r="F482" s="40" t="s">
        <v>240</v>
      </c>
      <c r="G482" s="32" t="str">
        <f>IFERROR(VLOOKUP(F482,Productos!$A$2:$D$258,2,0)," ")</f>
        <v>Bandeja de cables</v>
      </c>
      <c r="H482" s="7">
        <v>1</v>
      </c>
      <c r="I482" s="32" t="str">
        <f>IFERROR(VLOOKUP(F482,Productos!$A$2:$D$258,3,0)," ")</f>
        <v>Accesorio</v>
      </c>
      <c r="J482" s="139" t="s">
        <v>21</v>
      </c>
      <c r="K482" s="171" t="s">
        <v>121</v>
      </c>
      <c r="L482" s="26" t="str">
        <f t="shared" si="62"/>
        <v>Despachado</v>
      </c>
      <c r="M482" s="56" t="s">
        <v>238</v>
      </c>
      <c r="N482" s="139" t="s">
        <v>1056</v>
      </c>
      <c r="O482" s="150">
        <v>45811</v>
      </c>
      <c r="P482" s="151">
        <v>45813</v>
      </c>
      <c r="Q482" s="24" t="str">
        <f t="shared" si="59"/>
        <v>Entregado</v>
      </c>
      <c r="R482" s="25">
        <f>IF(L482="Despachado",NETWORKDAYS.INTL(A482,O482,11,Valores!$A$2:$A$18)-1,"PTE")</f>
        <v>0</v>
      </c>
      <c r="S482" s="25">
        <f>IF(Q482="Entregado",NETWORKDAYS.INTL(A482,P482,11,Valores!$A$2:$A$18)-1,"PTE")</f>
        <v>2</v>
      </c>
      <c r="T482" s="25"/>
      <c r="U482" s="25"/>
      <c r="V482" s="25" t="str">
        <f>IF(Q482="Entregado",IF(S482&lt;=VLOOKUP(K482,Valores!E:F,2,0),"Cumple","No cumple"),"PTE")</f>
        <v>Cumple</v>
      </c>
      <c r="W482" s="25"/>
      <c r="X482" s="29">
        <v>24885</v>
      </c>
      <c r="Y482" s="224"/>
      <c r="Z482" s="28"/>
    </row>
    <row r="483" spans="1:26" hidden="1" x14ac:dyDescent="0.3">
      <c r="A483" s="34">
        <v>45811</v>
      </c>
      <c r="B483" s="7" t="str">
        <f>TEXT(A483,"mmmm")</f>
        <v>junio</v>
      </c>
      <c r="C483" s="27">
        <v>2576</v>
      </c>
      <c r="D483" s="23" t="s">
        <v>20</v>
      </c>
      <c r="E483" s="169" t="s">
        <v>990</v>
      </c>
      <c r="F483" s="40" t="s">
        <v>123</v>
      </c>
      <c r="G483" s="32" t="str">
        <f>IFERROR(VLOOKUP(F483,Productos!$A$2:$D$258,2,0)," ")</f>
        <v>Electric Standing Desk GO Negro</v>
      </c>
      <c r="H483" s="7">
        <v>1</v>
      </c>
      <c r="I483" s="32" t="str">
        <f>IFERROR(VLOOKUP(F483,Productos!$A$2:$D$258,3,0)," ")</f>
        <v>Standing Desk</v>
      </c>
      <c r="J483" s="170" t="s">
        <v>24</v>
      </c>
      <c r="K483" s="170" t="s">
        <v>27</v>
      </c>
      <c r="L483" s="26" t="str">
        <f t="shared" si="62"/>
        <v>Despachado</v>
      </c>
      <c r="M483" s="56" t="s">
        <v>238</v>
      </c>
      <c r="N483" s="139" t="s">
        <v>1057</v>
      </c>
      <c r="O483" s="150">
        <v>45812</v>
      </c>
      <c r="P483" s="151">
        <v>45813</v>
      </c>
      <c r="Q483" s="24" t="str">
        <f t="shared" si="59"/>
        <v>Entregado</v>
      </c>
      <c r="R483" s="25">
        <f>IF(L483="Despachado",NETWORKDAYS.INTL(A483,O483,11,Valores!$A$2:$A$18)-1,"PTE")</f>
        <v>1</v>
      </c>
      <c r="S483" s="25">
        <f>IF(Q483="Entregado",NETWORKDAYS.INTL(A483,P483,11,Valores!$A$2:$A$18)-1,"PTE")</f>
        <v>2</v>
      </c>
      <c r="T483" s="25"/>
      <c r="U483" s="25"/>
      <c r="V483" s="25" t="str">
        <f>IF(Q483="Entregado",IF(S483&lt;=VLOOKUP(K483,Valores!E:F,2,0),"Cumple","No cumple"),"PTE")</f>
        <v>Cumple</v>
      </c>
      <c r="W483" s="25"/>
      <c r="X483" s="29">
        <v>41593</v>
      </c>
      <c r="Y483" s="224"/>
      <c r="Z483" s="28"/>
    </row>
    <row r="484" spans="1:26" hidden="1" x14ac:dyDescent="0.3">
      <c r="A484" s="34">
        <v>45811</v>
      </c>
      <c r="B484" s="7" t="str">
        <f>TEXT(A484,"mmmm")</f>
        <v>junio</v>
      </c>
      <c r="C484" s="27">
        <v>2576</v>
      </c>
      <c r="D484" s="23" t="s">
        <v>20</v>
      </c>
      <c r="E484" s="169" t="s">
        <v>990</v>
      </c>
      <c r="F484" s="22" t="s">
        <v>155</v>
      </c>
      <c r="G484" s="32" t="str">
        <f>IFERROR(VLOOKUP(F484,Productos!$A$2:$D$258,2,0)," ")</f>
        <v>Superficie  Roble Negro 160x70 Clasico</v>
      </c>
      <c r="H484" s="7">
        <v>1</v>
      </c>
      <c r="I484" s="32" t="str">
        <f>IFERROR(VLOOKUP(F484,Productos!$A$2:$D$258,3,0)," ")</f>
        <v>Superficie</v>
      </c>
      <c r="J484" s="170" t="s">
        <v>24</v>
      </c>
      <c r="K484" s="170" t="s">
        <v>27</v>
      </c>
      <c r="L484" s="26" t="str">
        <f t="shared" si="62"/>
        <v>Despachado</v>
      </c>
      <c r="M484" s="56" t="s">
        <v>238</v>
      </c>
      <c r="N484" s="139" t="s">
        <v>1058</v>
      </c>
      <c r="O484" s="150">
        <v>45812</v>
      </c>
      <c r="P484" s="151">
        <v>45813</v>
      </c>
      <c r="Q484" s="24" t="str">
        <f t="shared" si="59"/>
        <v>Entregado</v>
      </c>
      <c r="R484" s="25">
        <f>IF(L484="Despachado",NETWORKDAYS.INTL(A484,O484,11,Valores!$A$2:$A$18)-1,"PTE")</f>
        <v>1</v>
      </c>
      <c r="S484" s="25">
        <f>IF(Q484="Entregado",NETWORKDAYS.INTL(A484,P484,11,Valores!$A$2:$A$18)-1,"PTE")</f>
        <v>2</v>
      </c>
      <c r="T484" s="25"/>
      <c r="U484" s="25"/>
      <c r="V484" s="25" t="str">
        <f>IF(Q484="Entregado",IF(S484&lt;=VLOOKUP(K484,Valores!E:F,2,0),"Cumple","No cumple"),"PTE")</f>
        <v>Cumple</v>
      </c>
      <c r="W484" s="25"/>
      <c r="X484" s="29">
        <v>24093</v>
      </c>
      <c r="Y484" s="224"/>
      <c r="Z484" s="28"/>
    </row>
    <row r="485" spans="1:26" hidden="1" x14ac:dyDescent="0.3">
      <c r="A485" s="34">
        <v>45811</v>
      </c>
      <c r="B485" s="7" t="str">
        <f>TEXT(A485,"mmmm")</f>
        <v>junio</v>
      </c>
      <c r="C485" s="27">
        <v>2576</v>
      </c>
      <c r="D485" s="23" t="s">
        <v>20</v>
      </c>
      <c r="E485" s="169" t="s">
        <v>990</v>
      </c>
      <c r="F485" s="40"/>
      <c r="G485" s="32" t="s">
        <v>1796</v>
      </c>
      <c r="H485" s="7">
        <v>1</v>
      </c>
      <c r="I485" s="32" t="s">
        <v>327</v>
      </c>
      <c r="J485" s="170" t="s">
        <v>24</v>
      </c>
      <c r="K485" s="170" t="s">
        <v>27</v>
      </c>
      <c r="L485" s="26" t="s">
        <v>327</v>
      </c>
      <c r="M485" s="56" t="s">
        <v>241</v>
      </c>
      <c r="N485" s="171" t="s">
        <v>241</v>
      </c>
      <c r="O485" s="172" t="s">
        <v>241</v>
      </c>
      <c r="P485" s="173" t="s">
        <v>241</v>
      </c>
      <c r="Q485" s="24" t="str">
        <f t="shared" si="59"/>
        <v>Entregado</v>
      </c>
      <c r="R485" s="25" t="str">
        <f>IF(L485="Despachado",NETWORKDAYS.INTL(A485,O485,11,Valores!$A$2:$A$18)-1,"PTE")</f>
        <v>PTE</v>
      </c>
      <c r="S485" s="25" t="e">
        <f>IF(Q485="Entregado",NETWORKDAYS.INTL(A485,P485,11,Valores!$A$2:$A$18)-1,"PTE")</f>
        <v>#VALUE!</v>
      </c>
      <c r="T485" s="25"/>
      <c r="U485" s="25"/>
      <c r="V485" s="25" t="e">
        <f>IF(Q485="Entregado",IF(S485&lt;=VLOOKUP(K485,Valores!E:F,2,0),"Cumple","No cumple"),"PTE")</f>
        <v>#VALUE!</v>
      </c>
      <c r="W485" s="25"/>
      <c r="X485" s="29">
        <v>0</v>
      </c>
      <c r="Y485" s="224"/>
      <c r="Z485" s="28"/>
    </row>
    <row r="486" spans="1:26" hidden="1" x14ac:dyDescent="0.3">
      <c r="A486" s="34">
        <v>45811</v>
      </c>
      <c r="B486" s="7" t="str">
        <f t="shared" ref="B486:B491" si="63">TEXT(A486,"mmmm")</f>
        <v>junio</v>
      </c>
      <c r="C486" s="27">
        <v>2577</v>
      </c>
      <c r="D486" s="23" t="s">
        <v>20</v>
      </c>
      <c r="E486" s="169" t="s">
        <v>991</v>
      </c>
      <c r="F486" s="22" t="s">
        <v>129</v>
      </c>
      <c r="G486" s="32" t="str">
        <f>IFERROR(VLOOKUP(F486,Productos!$A$2:$D$258,2,0)," ")</f>
        <v>Electric Standing Desk  PRO Negro</v>
      </c>
      <c r="H486" s="7">
        <v>1</v>
      </c>
      <c r="I486" s="32" t="str">
        <f>IFERROR(VLOOKUP(F486,Productos!$A$2:$D$258,3,0)," ")</f>
        <v>Standing Desk</v>
      </c>
      <c r="J486" s="139" t="s">
        <v>21</v>
      </c>
      <c r="K486" s="170" t="s">
        <v>22</v>
      </c>
      <c r="L486" s="26" t="str">
        <f t="shared" ref="L486:L497" si="64">IF(O486&gt;0,"Despachado","En alistamiento")</f>
        <v>Despachado</v>
      </c>
      <c r="M486" s="56" t="s">
        <v>238</v>
      </c>
      <c r="N486" s="139" t="s">
        <v>1059</v>
      </c>
      <c r="O486" s="150">
        <v>45812</v>
      </c>
      <c r="P486" s="151">
        <v>45814</v>
      </c>
      <c r="Q486" s="24" t="str">
        <f t="shared" si="59"/>
        <v>Entregado</v>
      </c>
      <c r="R486" s="25">
        <f>IF(L486="Despachado",NETWORKDAYS.INTL(A486,O486,11,Valores!$A$2:$A$18)-1,"PTE")</f>
        <v>1</v>
      </c>
      <c r="S486" s="25">
        <f>IF(Q486="Entregado",NETWORKDAYS.INTL(A486,P486,11,Valores!$A$2:$A$18)-1,"PTE")</f>
        <v>3</v>
      </c>
      <c r="T486" s="25"/>
      <c r="U486" s="25"/>
      <c r="V486" s="25" t="str">
        <f>IF(Q486="Entregado",IF(S486&lt;=VLOOKUP(K486,Valores!E:F,2,0),"Cumple","No cumple"),"PTE")</f>
        <v>Cumple</v>
      </c>
      <c r="W486" s="25"/>
      <c r="X486" s="29">
        <v>42921</v>
      </c>
      <c r="Y486" s="224"/>
      <c r="Z486" s="28"/>
    </row>
    <row r="487" spans="1:26" hidden="1" x14ac:dyDescent="0.3">
      <c r="A487" s="34">
        <v>45811</v>
      </c>
      <c r="B487" s="7" t="str">
        <f t="shared" si="63"/>
        <v>junio</v>
      </c>
      <c r="C487" s="27">
        <v>2577</v>
      </c>
      <c r="D487" s="23" t="s">
        <v>20</v>
      </c>
      <c r="E487" s="169" t="s">
        <v>991</v>
      </c>
      <c r="F487" s="22" t="s">
        <v>304</v>
      </c>
      <c r="G487" s="32" t="str">
        <f>IFERROR(VLOOKUP(F487,Productos!$A$2:$D$258,2,0)," ")</f>
        <v>Superficie  Fresno Europeo 150x70 Clasico</v>
      </c>
      <c r="H487" s="7">
        <v>1</v>
      </c>
      <c r="I487" s="32" t="str">
        <f>IFERROR(VLOOKUP(F487,Productos!$A$2:$D$258,3,0)," ")</f>
        <v>Superficie</v>
      </c>
      <c r="J487" s="139" t="s">
        <v>21</v>
      </c>
      <c r="K487" s="170" t="s">
        <v>22</v>
      </c>
      <c r="L487" s="26" t="str">
        <f t="shared" si="64"/>
        <v>Despachado</v>
      </c>
      <c r="M487" s="56" t="s">
        <v>238</v>
      </c>
      <c r="N487" s="139" t="s">
        <v>1060</v>
      </c>
      <c r="O487" s="150">
        <v>45812</v>
      </c>
      <c r="P487" s="151">
        <v>45814</v>
      </c>
      <c r="Q487" s="24" t="str">
        <f t="shared" si="59"/>
        <v>Entregado</v>
      </c>
      <c r="R487" s="25">
        <f>IF(L487="Despachado",NETWORKDAYS.INTL(A487,O487,11,Valores!$A$2:$A$18)-1,"PTE")</f>
        <v>1</v>
      </c>
      <c r="S487" s="25">
        <f>IF(Q487="Entregado",NETWORKDAYS.INTL(A487,P487,11,Valores!$A$2:$A$18)-1,"PTE")</f>
        <v>3</v>
      </c>
      <c r="T487" s="25"/>
      <c r="U487" s="25"/>
      <c r="V487" s="25" t="str">
        <f>IF(Q487="Entregado",IF(S487&lt;=VLOOKUP(K487,Valores!E:F,2,0),"Cumple","No cumple"),"PTE")</f>
        <v>Cumple</v>
      </c>
      <c r="W487" s="25"/>
      <c r="X487" s="29">
        <v>24093</v>
      </c>
      <c r="Y487" s="224"/>
      <c r="Z487" s="28"/>
    </row>
    <row r="488" spans="1:26" hidden="1" x14ac:dyDescent="0.3">
      <c r="A488" s="34">
        <v>45811</v>
      </c>
      <c r="B488" s="7" t="str">
        <f t="shared" si="63"/>
        <v>junio</v>
      </c>
      <c r="C488" s="27">
        <v>2577</v>
      </c>
      <c r="D488" s="23" t="s">
        <v>20</v>
      </c>
      <c r="E488" s="169" t="s">
        <v>991</v>
      </c>
      <c r="F488" s="40" t="s">
        <v>240</v>
      </c>
      <c r="G488" s="32" t="str">
        <f>IFERROR(VLOOKUP(F488,Productos!$A$2:$D$258,2,0)," ")</f>
        <v>Bandeja de cables</v>
      </c>
      <c r="H488" s="7">
        <v>1</v>
      </c>
      <c r="I488" s="32" t="str">
        <f>IFERROR(VLOOKUP(F488,Productos!$A$2:$D$258,3,0)," ")</f>
        <v>Accesorio</v>
      </c>
      <c r="J488" s="139" t="s">
        <v>21</v>
      </c>
      <c r="K488" s="170" t="s">
        <v>22</v>
      </c>
      <c r="L488" s="26" t="str">
        <f t="shared" si="64"/>
        <v>Despachado</v>
      </c>
      <c r="M488" s="56" t="s">
        <v>238</v>
      </c>
      <c r="N488" s="139" t="s">
        <v>1061</v>
      </c>
      <c r="O488" s="150">
        <v>45812</v>
      </c>
      <c r="P488" s="151">
        <v>45814</v>
      </c>
      <c r="Q488" s="24" t="str">
        <f t="shared" si="59"/>
        <v>Entregado</v>
      </c>
      <c r="R488" s="25">
        <f>IF(L488="Despachado",NETWORKDAYS.INTL(A488,O488,11,Valores!$A$2:$A$18)-1,"PTE")</f>
        <v>1</v>
      </c>
      <c r="S488" s="25">
        <f>IF(Q488="Entregado",NETWORKDAYS.INTL(A488,P488,11,Valores!$A$2:$A$18)-1,"PTE")</f>
        <v>3</v>
      </c>
      <c r="T488" s="25"/>
      <c r="U488" s="25"/>
      <c r="V488" s="25" t="str">
        <f>IF(Q488="Entregado",IF(S488&lt;=VLOOKUP(K488,Valores!E:F,2,0),"Cumple","No cumple"),"PTE")</f>
        <v>Cumple</v>
      </c>
      <c r="W488" s="25"/>
      <c r="X488" s="29">
        <v>24885</v>
      </c>
      <c r="Y488" s="224"/>
      <c r="Z488" s="28"/>
    </row>
    <row r="489" spans="1:26" hidden="1" x14ac:dyDescent="0.3">
      <c r="A489" s="34">
        <v>45812</v>
      </c>
      <c r="B489" s="7" t="str">
        <f t="shared" si="63"/>
        <v>junio</v>
      </c>
      <c r="C489" s="27">
        <v>2578</v>
      </c>
      <c r="D489" s="23" t="s">
        <v>20</v>
      </c>
      <c r="E489" s="169" t="s">
        <v>992</v>
      </c>
      <c r="F489" s="40" t="s">
        <v>57</v>
      </c>
      <c r="G489" s="32" t="str">
        <f>IFERROR(VLOOKUP(F489,Productos!$A$2:$D$258,2,0)," ")</f>
        <v>Electric Standing Desk  En L Frame Negro 2.0</v>
      </c>
      <c r="H489" s="7">
        <v>1</v>
      </c>
      <c r="I489" s="32" t="str">
        <f>IFERROR(VLOOKUP(F489,Productos!$A$2:$D$258,3,0)," ")</f>
        <v>Standing Desk</v>
      </c>
      <c r="J489" s="170" t="s">
        <v>194</v>
      </c>
      <c r="K489" s="170" t="s">
        <v>993</v>
      </c>
      <c r="L489" s="26" t="str">
        <f t="shared" si="64"/>
        <v>Despachado</v>
      </c>
      <c r="M489" s="56" t="s">
        <v>238</v>
      </c>
      <c r="N489" s="139" t="s">
        <v>1062</v>
      </c>
      <c r="O489" s="150">
        <v>45814</v>
      </c>
      <c r="P489" s="151">
        <v>45817</v>
      </c>
      <c r="Q489" s="24" t="str">
        <f t="shared" si="59"/>
        <v>Entregado</v>
      </c>
      <c r="R489" s="25">
        <f>IF(L489="Despachado",NETWORKDAYS.INTL(A489,O489,11,Valores!$A$2:$A$18)-1,"PTE")</f>
        <v>2</v>
      </c>
      <c r="S489" s="25">
        <f>IF(Q489="Entregado",NETWORKDAYS.INTL(A489,P489,11,Valores!$A$2:$A$18)-1,"PTE")</f>
        <v>4</v>
      </c>
      <c r="T489" s="25"/>
      <c r="U489" s="25"/>
      <c r="V489" s="25" t="e">
        <f>IF(Q489="Entregado",IF(S489&lt;=VLOOKUP(K489,Valores!E:F,2,0),"Cumple","No cumple"),"PTE")</f>
        <v>#N/A</v>
      </c>
      <c r="W489" s="25"/>
      <c r="X489" s="29">
        <v>153778</v>
      </c>
      <c r="Y489" s="224"/>
      <c r="Z489" s="28"/>
    </row>
    <row r="490" spans="1:26" hidden="1" x14ac:dyDescent="0.3">
      <c r="A490" s="34">
        <v>45812</v>
      </c>
      <c r="B490" s="7" t="str">
        <f t="shared" si="63"/>
        <v>junio</v>
      </c>
      <c r="C490" s="27">
        <v>2578</v>
      </c>
      <c r="D490" s="23" t="s">
        <v>20</v>
      </c>
      <c r="E490" s="169" t="s">
        <v>992</v>
      </c>
      <c r="F490" s="22" t="s">
        <v>115</v>
      </c>
      <c r="G490" s="32" t="str">
        <f>IFERROR(VLOOKUP(F490,Productos!$A$2:$D$258,2,0)," ")</f>
        <v>Superficie en L Roble Negro 180x150cm x 70</v>
      </c>
      <c r="H490" s="7">
        <v>1</v>
      </c>
      <c r="I490" s="32" t="str">
        <f>IFERROR(VLOOKUP(F490,Productos!$A$2:$D$258,3,0)," ")</f>
        <v>Superficie</v>
      </c>
      <c r="J490" s="170" t="s">
        <v>194</v>
      </c>
      <c r="K490" s="170" t="s">
        <v>993</v>
      </c>
      <c r="L490" s="26" t="str">
        <f t="shared" si="64"/>
        <v>Despachado</v>
      </c>
      <c r="M490" s="56" t="s">
        <v>238</v>
      </c>
      <c r="N490" s="139" t="s">
        <v>1063</v>
      </c>
      <c r="O490" s="150">
        <v>45814</v>
      </c>
      <c r="P490" s="151">
        <v>45817</v>
      </c>
      <c r="Q490" s="24" t="str">
        <f t="shared" si="59"/>
        <v>Entregado</v>
      </c>
      <c r="R490" s="25">
        <f>IF(L490="Despachado",NETWORKDAYS.INTL(A490,O490,11,Valores!$A$2:$A$18)-1,"PTE")</f>
        <v>2</v>
      </c>
      <c r="S490" s="25">
        <f>IF(Q490="Entregado",NETWORKDAYS.INTL(A490,P490,11,Valores!$A$2:$A$18)-1,"PTE")</f>
        <v>4</v>
      </c>
      <c r="T490" s="25"/>
      <c r="U490" s="25"/>
      <c r="V490" s="25" t="e">
        <f>IF(Q490="Entregado",IF(S490&lt;=VLOOKUP(K490,Valores!E:F,2,0),"Cumple","No cumple"),"PTE")</f>
        <v>#N/A</v>
      </c>
      <c r="W490" s="25"/>
      <c r="X490" s="29">
        <v>81384</v>
      </c>
      <c r="Y490" s="224"/>
      <c r="Z490" s="28"/>
    </row>
    <row r="491" spans="1:26" hidden="1" x14ac:dyDescent="0.3">
      <c r="A491" s="34">
        <v>45812</v>
      </c>
      <c r="B491" s="7" t="str">
        <f t="shared" si="63"/>
        <v>junio</v>
      </c>
      <c r="C491" s="27">
        <v>2578</v>
      </c>
      <c r="D491" s="23" t="s">
        <v>20</v>
      </c>
      <c r="E491" s="169" t="s">
        <v>992</v>
      </c>
      <c r="F491" s="40" t="s">
        <v>240</v>
      </c>
      <c r="G491" s="32" t="str">
        <f>IFERROR(VLOOKUP(F491,Productos!$A$2:$D$258,2,0)," ")</f>
        <v>Bandeja de cables</v>
      </c>
      <c r="H491" s="7">
        <v>1</v>
      </c>
      <c r="I491" s="32" t="str">
        <f>IFERROR(VLOOKUP(F491,Productos!$A$2:$D$258,3,0)," ")</f>
        <v>Accesorio</v>
      </c>
      <c r="J491" s="170" t="s">
        <v>194</v>
      </c>
      <c r="K491" s="170" t="s">
        <v>993</v>
      </c>
      <c r="L491" s="26" t="str">
        <f t="shared" si="64"/>
        <v>Despachado</v>
      </c>
      <c r="M491" s="56" t="s">
        <v>238</v>
      </c>
      <c r="N491" s="139" t="s">
        <v>1064</v>
      </c>
      <c r="O491" s="150">
        <v>45814</v>
      </c>
      <c r="P491" s="151">
        <v>45817</v>
      </c>
      <c r="Q491" s="24" t="str">
        <f t="shared" si="59"/>
        <v>Entregado</v>
      </c>
      <c r="R491" s="25">
        <f>IF(L491="Despachado",NETWORKDAYS.INTL(A491,O491,11,Valores!$A$2:$A$18)-1,"PTE")</f>
        <v>2</v>
      </c>
      <c r="S491" s="25">
        <f>IF(Q491="Entregado",NETWORKDAYS.INTL(A491,P491,11,Valores!$A$2:$A$18)-1,"PTE")</f>
        <v>4</v>
      </c>
      <c r="T491" s="25"/>
      <c r="U491" s="25"/>
      <c r="V491" s="25" t="e">
        <f>IF(Q491="Entregado",IF(S491&lt;=VLOOKUP(K491,Valores!E:F,2,0),"Cumple","No cumple"),"PTE")</f>
        <v>#N/A</v>
      </c>
      <c r="W491" s="25"/>
      <c r="X491" s="29">
        <v>34407</v>
      </c>
      <c r="Y491" s="224"/>
      <c r="Z491" s="28"/>
    </row>
    <row r="492" spans="1:26" hidden="1" x14ac:dyDescent="0.3">
      <c r="A492" s="34">
        <v>45812</v>
      </c>
      <c r="B492" s="7" t="str">
        <f t="shared" ref="B492:B499" si="65">TEXT(A492,"mmmm")</f>
        <v>junio</v>
      </c>
      <c r="C492" s="27">
        <v>2579</v>
      </c>
      <c r="D492" s="23" t="s">
        <v>20</v>
      </c>
      <c r="E492" s="169" t="s">
        <v>994</v>
      </c>
      <c r="F492" s="22" t="s">
        <v>74</v>
      </c>
      <c r="G492" s="32" t="str">
        <f>IFERROR(VLOOKUP(F492,Productos!$A$2:$D$258,2,0)," ")</f>
        <v>Repisa Caramelo</v>
      </c>
      <c r="H492" s="7">
        <v>1</v>
      </c>
      <c r="I492" s="32" t="str">
        <f>IFERROR(VLOOKUP(F492,Productos!$A$2:$D$258,3,0)," ")</f>
        <v>Repisa</v>
      </c>
      <c r="J492" s="170" t="s">
        <v>42</v>
      </c>
      <c r="K492" s="170" t="s">
        <v>995</v>
      </c>
      <c r="L492" s="26" t="str">
        <f t="shared" si="64"/>
        <v>Despachado</v>
      </c>
      <c r="M492" s="56" t="s">
        <v>238</v>
      </c>
      <c r="N492" s="139" t="s">
        <v>1065</v>
      </c>
      <c r="O492" s="150">
        <v>45814</v>
      </c>
      <c r="P492" s="151">
        <v>45815</v>
      </c>
      <c r="Q492" s="24" t="str">
        <f t="shared" si="59"/>
        <v>Entregado</v>
      </c>
      <c r="R492" s="25">
        <f>IF(L492="Despachado",NETWORKDAYS.INTL(A492,O492,11,Valores!$A$2:$A$18)-1,"PTE")</f>
        <v>2</v>
      </c>
      <c r="S492" s="25">
        <f>IF(Q492="Entregado",NETWORKDAYS.INTL(A492,P492,11,Valores!$A$2:$A$18)-1,"PTE")</f>
        <v>3</v>
      </c>
      <c r="T492" s="25"/>
      <c r="U492" s="25"/>
      <c r="V492" s="25" t="e">
        <f>IF(Q492="Entregado",IF(S492&lt;=VLOOKUP(K492,Valores!E:F,2,0),"Cumple","No cumple"),"PTE")</f>
        <v>#N/A</v>
      </c>
      <c r="W492" s="25"/>
      <c r="X492" s="29">
        <v>23429</v>
      </c>
      <c r="Y492" s="224"/>
      <c r="Z492" s="28"/>
    </row>
    <row r="493" spans="1:26" hidden="1" x14ac:dyDescent="0.3">
      <c r="A493" s="34">
        <v>45814</v>
      </c>
      <c r="B493" s="7" t="str">
        <f t="shared" si="65"/>
        <v>junio</v>
      </c>
      <c r="C493" s="27">
        <v>2580</v>
      </c>
      <c r="D493" s="23" t="s">
        <v>20</v>
      </c>
      <c r="E493" s="169" t="s">
        <v>996</v>
      </c>
      <c r="F493" s="22" t="s">
        <v>129</v>
      </c>
      <c r="G493" s="32" t="str">
        <f>IFERROR(VLOOKUP(F493,Productos!$A$2:$D$258,2,0)," ")</f>
        <v>Electric Standing Desk  PRO Negro</v>
      </c>
      <c r="H493" s="7">
        <v>1</v>
      </c>
      <c r="I493" s="32" t="str">
        <f>IFERROR(VLOOKUP(F493,Productos!$A$2:$D$258,3,0)," ")</f>
        <v>Standing Desk</v>
      </c>
      <c r="J493" s="139" t="s">
        <v>21</v>
      </c>
      <c r="K493" s="170" t="s">
        <v>22</v>
      </c>
      <c r="L493" s="26" t="str">
        <f t="shared" si="64"/>
        <v>Despachado</v>
      </c>
      <c r="M493" s="56" t="s">
        <v>238</v>
      </c>
      <c r="N493" s="139" t="s">
        <v>1066</v>
      </c>
      <c r="O493" s="150">
        <v>45817</v>
      </c>
      <c r="P493" s="151">
        <v>45819</v>
      </c>
      <c r="Q493" s="24" t="str">
        <f t="shared" si="59"/>
        <v>Entregado</v>
      </c>
      <c r="R493" s="25">
        <f>IF(L493="Despachado",NETWORKDAYS.INTL(A493,O493,11,Valores!$A$2:$A$18)-1,"PTE")</f>
        <v>2</v>
      </c>
      <c r="S493" s="25">
        <f>IF(Q493="Entregado",NETWORKDAYS.INTL(A493,P493,11,Valores!$A$2:$A$18)-1,"PTE")</f>
        <v>4</v>
      </c>
      <c r="T493" s="25"/>
      <c r="U493" s="25"/>
      <c r="V493" s="25" t="str">
        <f>IF(Q493="Entregado",IF(S493&lt;=VLOOKUP(K493,Valores!E:F,2,0),"Cumple","No cumple"),"PTE")</f>
        <v>No cumple</v>
      </c>
      <c r="W493" s="25"/>
      <c r="X493" s="29">
        <v>42921</v>
      </c>
      <c r="Y493" s="224"/>
      <c r="Z493" s="28"/>
    </row>
    <row r="494" spans="1:26" hidden="1" x14ac:dyDescent="0.3">
      <c r="A494" s="34">
        <v>45814</v>
      </c>
      <c r="B494" s="7" t="str">
        <f t="shared" si="65"/>
        <v>junio</v>
      </c>
      <c r="C494" s="27">
        <v>2580</v>
      </c>
      <c r="D494" s="23" t="s">
        <v>20</v>
      </c>
      <c r="E494" s="169" t="s">
        <v>996</v>
      </c>
      <c r="F494" s="40" t="s">
        <v>262</v>
      </c>
      <c r="G494" s="32" t="str">
        <f>IFERROR(VLOOKUP(F494,Productos!$A$2:$D$258,2,0)," ")</f>
        <v>Superficie Roble Miel 150x70 Clasico</v>
      </c>
      <c r="H494" s="7">
        <v>1</v>
      </c>
      <c r="I494" s="32" t="str">
        <f>IFERROR(VLOOKUP(F494,Productos!$A$2:$D$258,3,0)," ")</f>
        <v>Superficie</v>
      </c>
      <c r="J494" s="139" t="s">
        <v>21</v>
      </c>
      <c r="K494" s="170" t="s">
        <v>22</v>
      </c>
      <c r="L494" s="26" t="str">
        <f t="shared" si="64"/>
        <v>Despachado</v>
      </c>
      <c r="M494" s="56" t="s">
        <v>238</v>
      </c>
      <c r="N494" s="139" t="s">
        <v>1067</v>
      </c>
      <c r="O494" s="150">
        <v>45817</v>
      </c>
      <c r="P494" s="151">
        <v>45818</v>
      </c>
      <c r="Q494" s="24" t="str">
        <f t="shared" si="59"/>
        <v>Entregado</v>
      </c>
      <c r="R494" s="25">
        <f>IF(L494="Despachado",NETWORKDAYS.INTL(A494,O494,11,Valores!$A$2:$A$18)-1,"PTE")</f>
        <v>2</v>
      </c>
      <c r="S494" s="25">
        <f>IF(Q494="Entregado",NETWORKDAYS.INTL(A494,P494,11,Valores!$A$2:$A$18)-1,"PTE")</f>
        <v>3</v>
      </c>
      <c r="T494" s="25"/>
      <c r="U494" s="25"/>
      <c r="V494" s="25" t="str">
        <f>IF(Q494="Entregado",IF(S494&lt;=VLOOKUP(K494,Valores!E:F,2,0),"Cumple","No cumple"),"PTE")</f>
        <v>Cumple</v>
      </c>
      <c r="W494" s="25"/>
      <c r="X494" s="29">
        <v>24593</v>
      </c>
      <c r="Y494" s="224"/>
      <c r="Z494" s="28"/>
    </row>
    <row r="495" spans="1:26" hidden="1" x14ac:dyDescent="0.3">
      <c r="A495" s="34">
        <v>45814</v>
      </c>
      <c r="B495" s="7" t="str">
        <f t="shared" si="65"/>
        <v>junio</v>
      </c>
      <c r="C495" s="27">
        <v>2580</v>
      </c>
      <c r="D495" s="23" t="s">
        <v>20</v>
      </c>
      <c r="E495" s="169" t="s">
        <v>996</v>
      </c>
      <c r="F495" s="40" t="s">
        <v>240</v>
      </c>
      <c r="G495" s="32" t="str">
        <f>IFERROR(VLOOKUP(F495,Productos!$A$2:$D$258,2,0)," ")</f>
        <v>Bandeja de cables</v>
      </c>
      <c r="H495" s="7">
        <v>1</v>
      </c>
      <c r="I495" s="32" t="str">
        <f>IFERROR(VLOOKUP(F495,Productos!$A$2:$D$258,3,0)," ")</f>
        <v>Accesorio</v>
      </c>
      <c r="J495" s="139" t="s">
        <v>21</v>
      </c>
      <c r="K495" s="170" t="s">
        <v>22</v>
      </c>
      <c r="L495" s="26" t="str">
        <f t="shared" si="64"/>
        <v>Despachado</v>
      </c>
      <c r="M495" s="56" t="s">
        <v>238</v>
      </c>
      <c r="N495" s="139" t="s">
        <v>1068</v>
      </c>
      <c r="O495" s="150">
        <v>45817</v>
      </c>
      <c r="P495" s="151">
        <v>45818</v>
      </c>
      <c r="Q495" s="24" t="str">
        <f t="shared" si="59"/>
        <v>Entregado</v>
      </c>
      <c r="R495" s="25">
        <f>IF(L495="Despachado",NETWORKDAYS.INTL(A495,O495,11,Valores!$A$2:$A$18)-1,"PTE")</f>
        <v>2</v>
      </c>
      <c r="S495" s="25">
        <f>IF(Q495="Entregado",NETWORKDAYS.INTL(A495,P495,11,Valores!$A$2:$A$18)-1,"PTE")</f>
        <v>3</v>
      </c>
      <c r="T495" s="25"/>
      <c r="U495" s="25"/>
      <c r="V495" s="25" t="str">
        <f>IF(Q495="Entregado",IF(S495&lt;=VLOOKUP(K495,Valores!E:F,2,0),"Cumple","No cumple"),"PTE")</f>
        <v>Cumple</v>
      </c>
      <c r="W495" s="25"/>
      <c r="X495" s="29">
        <v>24885</v>
      </c>
      <c r="Y495" s="224"/>
      <c r="Z495" s="28"/>
    </row>
    <row r="496" spans="1:26" hidden="1" x14ac:dyDescent="0.3">
      <c r="A496" s="34">
        <v>45814</v>
      </c>
      <c r="B496" s="7" t="str">
        <f t="shared" si="65"/>
        <v>junio</v>
      </c>
      <c r="C496" s="27">
        <v>2580</v>
      </c>
      <c r="D496" s="23" t="s">
        <v>20</v>
      </c>
      <c r="E496" s="169" t="s">
        <v>996</v>
      </c>
      <c r="F496" s="22" t="s">
        <v>68</v>
      </c>
      <c r="G496" s="32" t="str">
        <f>IFERROR(VLOOKUP(F496,Productos!$A$2:$D$258,2,0)," ")</f>
        <v>Archivador TECU  Caramelo</v>
      </c>
      <c r="H496" s="7">
        <v>1</v>
      </c>
      <c r="I496" s="32" t="str">
        <f>IFERROR(VLOOKUP(F496,Productos!$A$2:$D$258,3,0)," ")</f>
        <v>Archivador</v>
      </c>
      <c r="J496" s="139" t="s">
        <v>21</v>
      </c>
      <c r="K496" s="170" t="s">
        <v>22</v>
      </c>
      <c r="L496" s="26" t="str">
        <f t="shared" si="64"/>
        <v>Despachado</v>
      </c>
      <c r="M496" s="56" t="s">
        <v>239</v>
      </c>
      <c r="N496" s="139" t="s">
        <v>1069</v>
      </c>
      <c r="O496" s="150">
        <v>45818</v>
      </c>
      <c r="P496" s="151">
        <v>45819</v>
      </c>
      <c r="Q496" s="24" t="str">
        <f t="shared" si="59"/>
        <v>Entregado</v>
      </c>
      <c r="R496" s="25">
        <f>IF(L496="Despachado",NETWORKDAYS.INTL(A496,O496,11,Valores!$A$2:$A$18)-1,"PTE")</f>
        <v>3</v>
      </c>
      <c r="S496" s="25">
        <f>IF(Q496="Entregado",NETWORKDAYS.INTL(A496,P496,11,Valores!$A$2:$A$18)-1,"PTE")</f>
        <v>4</v>
      </c>
      <c r="T496" s="25"/>
      <c r="U496" s="25"/>
      <c r="V496" s="25" t="str">
        <f>IF(Q496="Entregado",IF(S496&lt;=VLOOKUP(K496,Valores!E:F,2,0),"Cumple","No cumple"),"PTE")</f>
        <v>No cumple</v>
      </c>
      <c r="W496" s="25"/>
      <c r="X496" s="29">
        <v>54929</v>
      </c>
      <c r="Y496" s="224"/>
      <c r="Z496" s="28"/>
    </row>
    <row r="497" spans="1:27" hidden="1" x14ac:dyDescent="0.3">
      <c r="A497" s="34"/>
      <c r="B497" s="7" t="str">
        <f t="shared" si="65"/>
        <v>enero</v>
      </c>
      <c r="C497" s="27">
        <v>2516</v>
      </c>
      <c r="D497" s="23" t="s">
        <v>35</v>
      </c>
      <c r="E497" s="142" t="s">
        <v>824</v>
      </c>
      <c r="F497" s="22" t="s">
        <v>26</v>
      </c>
      <c r="G497" s="32" t="str">
        <f>IFERROR(VLOOKUP(F497,Productos!$A$2:$D$258,2,0)," ")</f>
        <v>Superficie Caramelo 150x70 Clasico</v>
      </c>
      <c r="H497" s="7">
        <v>1</v>
      </c>
      <c r="I497" s="32" t="str">
        <f>IFERROR(VLOOKUP(F497,Productos!$A$2:$D$258,3,0)," ")</f>
        <v>Superficie</v>
      </c>
      <c r="J497" s="139" t="s">
        <v>21</v>
      </c>
      <c r="K497" s="139" t="s">
        <v>22</v>
      </c>
      <c r="L497" s="26" t="str">
        <f t="shared" si="64"/>
        <v>Despachado</v>
      </c>
      <c r="M497" s="56" t="s">
        <v>238</v>
      </c>
      <c r="N497" s="175" t="s">
        <v>1070</v>
      </c>
      <c r="O497" s="150">
        <v>45811</v>
      </c>
      <c r="P497" s="151">
        <v>45813</v>
      </c>
      <c r="Q497" s="24" t="str">
        <f t="shared" si="59"/>
        <v>Entregado</v>
      </c>
      <c r="R497" s="25">
        <f>IF(L497="Despachado",NETWORKDAYS.INTL(A497,O497,11,Valores!$A$2:$A$18)-1,"PTE")</f>
        <v>39259</v>
      </c>
      <c r="S497" s="25">
        <f>IF(Q497="Entregado",NETWORKDAYS.INTL(A497,P497,11,Valores!$A$2:$A$18)-1,"PTE")</f>
        <v>39261</v>
      </c>
      <c r="T497" s="25"/>
      <c r="U497" s="25"/>
      <c r="V497" s="25" t="str">
        <f>IF(Q497="Entregado",IF(S497&lt;=VLOOKUP(K497,Valores!E:F,2,0),"Cumple","No cumple"),"PTE")</f>
        <v>No cumple</v>
      </c>
      <c r="W497" s="25"/>
      <c r="X497" s="29">
        <v>27929</v>
      </c>
      <c r="Y497" s="224"/>
      <c r="Z497" s="28">
        <v>24093</v>
      </c>
      <c r="AA497" t="s">
        <v>1071</v>
      </c>
    </row>
    <row r="498" spans="1:27" hidden="1" x14ac:dyDescent="0.3">
      <c r="A498" s="34">
        <v>45815</v>
      </c>
      <c r="B498" s="7" t="str">
        <f t="shared" si="65"/>
        <v>junio</v>
      </c>
      <c r="C498" s="27">
        <v>2581</v>
      </c>
      <c r="D498" s="23" t="s">
        <v>20</v>
      </c>
      <c r="E498" s="176" t="s">
        <v>1072</v>
      </c>
      <c r="F498" s="22" t="s">
        <v>68</v>
      </c>
      <c r="G498" s="32" t="str">
        <f>IFERROR(VLOOKUP(F498,Productos!$A$2:$D$258,2,0)," ")</f>
        <v>Archivador TECU  Caramelo</v>
      </c>
      <c r="H498" s="7">
        <v>1</v>
      </c>
      <c r="I498" s="32" t="str">
        <f>IFERROR(VLOOKUP(F498,Productos!$A$2:$D$258,3,0)," ")</f>
        <v>Archivador</v>
      </c>
      <c r="J498" s="175" t="s">
        <v>1073</v>
      </c>
      <c r="K498" s="175" t="s">
        <v>40</v>
      </c>
      <c r="L498" s="26" t="str">
        <f t="shared" ref="L498:L504" si="66">IF(O498&gt;0,"Despachado","En alistamiento")</f>
        <v>Despachado</v>
      </c>
      <c r="M498" s="56" t="s">
        <v>239</v>
      </c>
      <c r="N498" s="187" t="s">
        <v>1171</v>
      </c>
      <c r="O498" s="150">
        <v>45817</v>
      </c>
      <c r="P498" s="151">
        <v>45821</v>
      </c>
      <c r="Q498" s="24" t="str">
        <f t="shared" si="59"/>
        <v>Entregado</v>
      </c>
      <c r="R498" s="25">
        <f>IF(L498="Despachado",NETWORKDAYS.INTL(A498,O498,11,Valores!$A$2:$A$18)-1,"PTE")</f>
        <v>1</v>
      </c>
      <c r="S498" s="25">
        <f>IF(Q498="Entregado",NETWORKDAYS.INTL(A498,P498,11,Valores!$A$2:$A$18)-1,"PTE")</f>
        <v>5</v>
      </c>
      <c r="T498" s="25"/>
      <c r="U498" s="25"/>
      <c r="V498" s="25" t="str">
        <f>IF(Q498="Entregado",IF(S498&lt;=VLOOKUP(K498,Valores!E:F,2,0),"Cumple","No cumple"),"PTE")</f>
        <v>Cumple</v>
      </c>
      <c r="W498" s="25"/>
      <c r="X498" s="29">
        <v>113263</v>
      </c>
      <c r="Y498" s="224"/>
      <c r="Z498" s="28"/>
    </row>
    <row r="499" spans="1:27" hidden="1" x14ac:dyDescent="0.3">
      <c r="A499" s="34">
        <v>45815</v>
      </c>
      <c r="B499" s="7" t="str">
        <f t="shared" si="65"/>
        <v>junio</v>
      </c>
      <c r="C499" s="27">
        <v>2581</v>
      </c>
      <c r="D499" s="23" t="s">
        <v>20</v>
      </c>
      <c r="E499" s="176" t="s">
        <v>1072</v>
      </c>
      <c r="F499" s="22" t="s">
        <v>74</v>
      </c>
      <c r="G499" s="32" t="str">
        <f>IFERROR(VLOOKUP(F499,Productos!$A$2:$D$258,2,0)," ")</f>
        <v>Repisa Caramelo</v>
      </c>
      <c r="H499" s="7">
        <v>1</v>
      </c>
      <c r="I499" s="32" t="str">
        <f>IFERROR(VLOOKUP(F499,Productos!$A$2:$D$258,3,0)," ")</f>
        <v>Repisa</v>
      </c>
      <c r="J499" s="175" t="s">
        <v>1073</v>
      </c>
      <c r="K499" s="175" t="s">
        <v>40</v>
      </c>
      <c r="L499" s="26" t="str">
        <f t="shared" si="66"/>
        <v>Despachado</v>
      </c>
      <c r="M499" s="56" t="s">
        <v>238</v>
      </c>
      <c r="N499" s="187" t="s">
        <v>1172</v>
      </c>
      <c r="O499" s="150">
        <v>45817</v>
      </c>
      <c r="P499" s="151">
        <v>45819</v>
      </c>
      <c r="Q499" s="24" t="str">
        <f t="shared" si="59"/>
        <v>Entregado</v>
      </c>
      <c r="R499" s="25">
        <f>IF(L499="Despachado",NETWORKDAYS.INTL(A499,O499,11,Valores!$A$2:$A$18)-1,"PTE")</f>
        <v>1</v>
      </c>
      <c r="S499" s="25">
        <f>IF(Q499="Entregado",NETWORKDAYS.INTL(A499,P499,11,Valores!$A$2:$A$18)-1,"PTE")</f>
        <v>3</v>
      </c>
      <c r="T499" s="25"/>
      <c r="U499" s="25"/>
      <c r="V499" s="25" t="str">
        <f>IF(Q499="Entregado",IF(S499&lt;=VLOOKUP(K499,Valores!E:F,2,0),"Cumple","No cumple"),"PTE")</f>
        <v>Cumple</v>
      </c>
      <c r="W499" s="25"/>
      <c r="X499" s="29">
        <v>37762</v>
      </c>
      <c r="Y499" s="224"/>
      <c r="Z499" s="28"/>
    </row>
    <row r="500" spans="1:27" hidden="1" x14ac:dyDescent="0.3">
      <c r="A500" s="34">
        <v>45815</v>
      </c>
      <c r="B500" s="7" t="str">
        <f t="shared" ref="B500:B518" si="67">TEXT(A500,"mmmm")</f>
        <v>junio</v>
      </c>
      <c r="C500" s="27">
        <v>2582</v>
      </c>
      <c r="D500" s="23" t="s">
        <v>20</v>
      </c>
      <c r="E500" s="176" t="s">
        <v>1074</v>
      </c>
      <c r="F500" s="40" t="s">
        <v>732</v>
      </c>
      <c r="G500" s="32" t="str">
        <f>IFERROR(VLOOKUP(F500,Productos!$A$2:$D$258,2,0)," ")</f>
        <v>Electric Standing Desk  PRO Negro circular</v>
      </c>
      <c r="H500" s="7">
        <v>1</v>
      </c>
      <c r="I500" s="32" t="str">
        <f>IFERROR(VLOOKUP(F500,Productos!$A$2:$D$258,3,0)," ")</f>
        <v>Standing Desk</v>
      </c>
      <c r="J500" s="139" t="s">
        <v>21</v>
      </c>
      <c r="K500" s="139" t="s">
        <v>22</v>
      </c>
      <c r="L500" s="26" t="str">
        <f t="shared" si="66"/>
        <v>Despachado</v>
      </c>
      <c r="M500" s="56" t="s">
        <v>238</v>
      </c>
      <c r="N500" s="187" t="s">
        <v>1173</v>
      </c>
      <c r="O500" s="150">
        <v>45817</v>
      </c>
      <c r="P500" s="151">
        <v>45818</v>
      </c>
      <c r="Q500" s="24" t="str">
        <f t="shared" si="59"/>
        <v>Entregado</v>
      </c>
      <c r="R500" s="25">
        <f>IF(L500="Despachado",NETWORKDAYS.INTL(A500,O500,11,Valores!$A$2:$A$18)-1,"PTE")</f>
        <v>1</v>
      </c>
      <c r="S500" s="25">
        <f>IF(Q500="Entregado",NETWORKDAYS.INTL(A500,P500,11,Valores!$A$2:$A$18)-1,"PTE")</f>
        <v>2</v>
      </c>
      <c r="T500" s="25"/>
      <c r="U500" s="25"/>
      <c r="V500" s="25" t="str">
        <f>IF(Q500="Entregado",IF(S500&lt;=VLOOKUP(K500,Valores!E:F,2,0),"Cumple","No cumple"),"PTE")</f>
        <v>Cumple</v>
      </c>
      <c r="W500" s="25"/>
      <c r="X500" s="29">
        <v>42921</v>
      </c>
      <c r="Y500" s="224"/>
      <c r="Z500" s="28"/>
    </row>
    <row r="501" spans="1:27" hidden="1" x14ac:dyDescent="0.3">
      <c r="A501" s="34">
        <v>45815</v>
      </c>
      <c r="B501" s="7" t="str">
        <f t="shared" si="67"/>
        <v>junio</v>
      </c>
      <c r="C501" s="27">
        <v>2582</v>
      </c>
      <c r="D501" s="23" t="s">
        <v>20</v>
      </c>
      <c r="E501" s="176" t="s">
        <v>1074</v>
      </c>
      <c r="F501" s="40" t="s">
        <v>306</v>
      </c>
      <c r="G501" s="32" t="str">
        <f>IFERROR(VLOOKUP(F501,Productos!$A$2:$D$258,2,0)," ")</f>
        <v>Superficie  Fresno Europeo 170x70 Clasico</v>
      </c>
      <c r="H501" s="7">
        <v>1</v>
      </c>
      <c r="I501" s="32" t="str">
        <f>IFERROR(VLOOKUP(F501,Productos!$A$2:$D$258,3,0)," ")</f>
        <v>Superficie</v>
      </c>
      <c r="J501" s="139" t="s">
        <v>21</v>
      </c>
      <c r="K501" s="139" t="s">
        <v>22</v>
      </c>
      <c r="L501" s="26" t="str">
        <f t="shared" si="66"/>
        <v>Despachado</v>
      </c>
      <c r="M501" s="56" t="s">
        <v>238</v>
      </c>
      <c r="N501" s="187" t="s">
        <v>1174</v>
      </c>
      <c r="O501" s="150">
        <v>45817</v>
      </c>
      <c r="P501" s="151">
        <v>45818</v>
      </c>
      <c r="Q501" s="24" t="str">
        <f t="shared" si="59"/>
        <v>Entregado</v>
      </c>
      <c r="R501" s="25">
        <f>IF(L501="Despachado",NETWORKDAYS.INTL(A501,O501,11,Valores!$A$2:$A$18)-1,"PTE")</f>
        <v>1</v>
      </c>
      <c r="S501" s="25">
        <f>IF(Q501="Entregado",NETWORKDAYS.INTL(A501,P501,11,Valores!$A$2:$A$18)-1,"PTE")</f>
        <v>2</v>
      </c>
      <c r="T501" s="25"/>
      <c r="U501" s="25"/>
      <c r="V501" s="25" t="str">
        <f>IF(Q501="Entregado",IF(S501&lt;=VLOOKUP(K501,Valores!E:F,2,0),"Cumple","No cumple"),"PTE")</f>
        <v>Cumple</v>
      </c>
      <c r="W501" s="25"/>
      <c r="X501" s="29">
        <v>24093</v>
      </c>
      <c r="Y501" s="224"/>
      <c r="Z501" s="28"/>
    </row>
    <row r="502" spans="1:27" hidden="1" x14ac:dyDescent="0.3">
      <c r="A502" s="34">
        <v>45815</v>
      </c>
      <c r="B502" s="7" t="str">
        <f t="shared" si="67"/>
        <v>junio</v>
      </c>
      <c r="C502" s="27">
        <v>2582</v>
      </c>
      <c r="D502" s="23" t="s">
        <v>20</v>
      </c>
      <c r="E502" s="176" t="s">
        <v>1074</v>
      </c>
      <c r="F502" s="40" t="s">
        <v>308</v>
      </c>
      <c r="G502" s="32" t="str">
        <f>IFERROR(VLOOKUP(F502,Productos!$A$2:$D$258,2,0)," ")</f>
        <v>Repisa TECU Fresno Europeo</v>
      </c>
      <c r="H502" s="7">
        <v>1</v>
      </c>
      <c r="I502" s="32" t="str">
        <f>IFERROR(VLOOKUP(F502,Productos!$A$2:$D$258,3,0)," ")</f>
        <v>Repisa</v>
      </c>
      <c r="J502" s="139" t="s">
        <v>21</v>
      </c>
      <c r="K502" s="139" t="s">
        <v>22</v>
      </c>
      <c r="L502" s="26" t="str">
        <f t="shared" si="66"/>
        <v>Despachado</v>
      </c>
      <c r="M502" s="56" t="s">
        <v>238</v>
      </c>
      <c r="N502" s="187" t="s">
        <v>1175</v>
      </c>
      <c r="O502" s="150">
        <v>45817</v>
      </c>
      <c r="P502" s="151">
        <v>45818</v>
      </c>
      <c r="Q502" s="24" t="str">
        <f t="shared" si="59"/>
        <v>Entregado</v>
      </c>
      <c r="R502" s="25">
        <f>IF(L502="Despachado",NETWORKDAYS.INTL(A502,O502,11,Valores!$A$2:$A$18)-1,"PTE")</f>
        <v>1</v>
      </c>
      <c r="S502" s="25">
        <f>IF(Q502="Entregado",NETWORKDAYS.INTL(A502,P502,11,Valores!$A$2:$A$18)-1,"PTE")</f>
        <v>2</v>
      </c>
      <c r="T502" s="25"/>
      <c r="U502" s="25"/>
      <c r="V502" s="25" t="str">
        <f>IF(Q502="Entregado",IF(S502&lt;=VLOOKUP(K502,Valores!E:F,2,0),"Cumple","No cumple"),"PTE")</f>
        <v>Cumple</v>
      </c>
      <c r="W502" s="25"/>
      <c r="X502" s="29">
        <v>23429</v>
      </c>
      <c r="Y502" s="224"/>
      <c r="Z502" s="28"/>
    </row>
    <row r="503" spans="1:27" hidden="1" x14ac:dyDescent="0.3">
      <c r="A503" s="34">
        <v>45815</v>
      </c>
      <c r="B503" s="7" t="str">
        <f t="shared" si="67"/>
        <v>junio</v>
      </c>
      <c r="C503" s="27">
        <v>2582</v>
      </c>
      <c r="D503" s="23" t="s">
        <v>20</v>
      </c>
      <c r="E503" s="176" t="s">
        <v>1074</v>
      </c>
      <c r="F503" s="40" t="s">
        <v>567</v>
      </c>
      <c r="G503" s="32" t="str">
        <f>IFERROR(VLOOKUP(F503,Productos!$A$2:$D$258,2,0)," ")</f>
        <v>Archivador TECU Fresno Europeo</v>
      </c>
      <c r="H503" s="7">
        <v>1</v>
      </c>
      <c r="I503" s="32" t="str">
        <f>IFERROR(VLOOKUP(F503,Productos!$A$2:$D$258,3,0)," ")</f>
        <v>Archivador</v>
      </c>
      <c r="J503" s="139" t="s">
        <v>21</v>
      </c>
      <c r="K503" s="139" t="s">
        <v>22</v>
      </c>
      <c r="L503" s="26" t="str">
        <f t="shared" si="66"/>
        <v>Despachado</v>
      </c>
      <c r="M503" s="56" t="s">
        <v>239</v>
      </c>
      <c r="N503" s="187" t="s">
        <v>1176</v>
      </c>
      <c r="O503" s="150">
        <v>45817</v>
      </c>
      <c r="P503" s="151">
        <v>45818</v>
      </c>
      <c r="Q503" s="24" t="str">
        <f t="shared" si="59"/>
        <v>Entregado</v>
      </c>
      <c r="R503" s="25">
        <f>IF(L503="Despachado",NETWORKDAYS.INTL(A503,O503,11,Valores!$A$2:$A$18)-1,"PTE")</f>
        <v>1</v>
      </c>
      <c r="S503" s="25">
        <f>IF(Q503="Entregado",NETWORKDAYS.INTL(A503,P503,11,Valores!$A$2:$A$18)-1,"PTE")</f>
        <v>2</v>
      </c>
      <c r="T503" s="25"/>
      <c r="U503" s="25"/>
      <c r="V503" s="25" t="str">
        <f>IF(Q503="Entregado",IF(S503&lt;=VLOOKUP(K503,Valores!E:F,2,0),"Cumple","No cumple"),"PTE")</f>
        <v>Cumple</v>
      </c>
      <c r="W503" s="25"/>
      <c r="X503" s="29">
        <v>54929</v>
      </c>
      <c r="Y503" s="224"/>
      <c r="Z503" s="28"/>
    </row>
    <row r="504" spans="1:27" hidden="1" x14ac:dyDescent="0.3">
      <c r="A504" s="34">
        <v>45815</v>
      </c>
      <c r="B504" s="7" t="str">
        <f t="shared" si="67"/>
        <v>junio</v>
      </c>
      <c r="C504" s="27">
        <v>2582</v>
      </c>
      <c r="D504" s="23" t="s">
        <v>20</v>
      </c>
      <c r="E504" s="176" t="s">
        <v>1074</v>
      </c>
      <c r="F504" s="40"/>
      <c r="G504" s="32" t="s">
        <v>1796</v>
      </c>
      <c r="H504" s="7">
        <v>1</v>
      </c>
      <c r="I504" s="32" t="s">
        <v>327</v>
      </c>
      <c r="J504" s="139" t="s">
        <v>21</v>
      </c>
      <c r="K504" s="139" t="s">
        <v>22</v>
      </c>
      <c r="L504" s="26" t="str">
        <f t="shared" si="66"/>
        <v>Despachado</v>
      </c>
      <c r="M504" s="56" t="s">
        <v>241</v>
      </c>
      <c r="N504" s="175" t="s">
        <v>241</v>
      </c>
      <c r="O504" s="177" t="s">
        <v>241</v>
      </c>
      <c r="P504" s="178" t="s">
        <v>241</v>
      </c>
      <c r="Q504" s="24" t="str">
        <f t="shared" si="59"/>
        <v>Entregado</v>
      </c>
      <c r="R504" s="25" t="e">
        <f>IF(L504="Despachado",NETWORKDAYS.INTL(A504,O504,11,Valores!$A$2:$A$18)-1,"PTE")</f>
        <v>#VALUE!</v>
      </c>
      <c r="S504" s="25" t="e">
        <f>IF(Q504="Entregado",NETWORKDAYS.INTL(A504,P504,11,Valores!$A$2:$A$18)-1,"PTE")</f>
        <v>#VALUE!</v>
      </c>
      <c r="T504" s="25"/>
      <c r="U504" s="25"/>
      <c r="V504" s="25" t="e">
        <f>IF(Q504="Entregado",IF(S504&lt;=VLOOKUP(K504,Valores!E:F,2,0),"Cumple","No cumple"),"PTE")</f>
        <v>#VALUE!</v>
      </c>
      <c r="W504" s="25"/>
      <c r="X504" s="29"/>
      <c r="Y504" s="224"/>
      <c r="Z504" s="28"/>
    </row>
    <row r="505" spans="1:27" hidden="1" x14ac:dyDescent="0.3">
      <c r="A505" s="34">
        <v>45815</v>
      </c>
      <c r="B505" s="7" t="str">
        <f t="shared" si="67"/>
        <v>junio</v>
      </c>
      <c r="C505" s="27">
        <v>2583</v>
      </c>
      <c r="D505" s="23" t="s">
        <v>20</v>
      </c>
      <c r="E505" s="176" t="s">
        <v>1075</v>
      </c>
      <c r="F505" s="40" t="s">
        <v>129</v>
      </c>
      <c r="G505" s="32" t="str">
        <f>IFERROR(VLOOKUP(F505,Productos!$A$2:$D$258,2,0)," ")</f>
        <v>Electric Standing Desk  PRO Negro</v>
      </c>
      <c r="H505" s="7">
        <v>1</v>
      </c>
      <c r="I505" s="32" t="str">
        <f>IFERROR(VLOOKUP(F505,Productos!$A$2:$D$258,3,0)," ")</f>
        <v>Standing Desk</v>
      </c>
      <c r="J505" s="139" t="s">
        <v>21</v>
      </c>
      <c r="K505" s="139" t="s">
        <v>22</v>
      </c>
      <c r="L505" s="26" t="str">
        <f t="shared" ref="L505:L518" si="68">IF(O505&gt;0,"Despachado","En alistamiento")</f>
        <v>Despachado</v>
      </c>
      <c r="M505" s="56" t="s">
        <v>238</v>
      </c>
      <c r="N505" s="187" t="s">
        <v>1177</v>
      </c>
      <c r="O505" s="150">
        <v>45817</v>
      </c>
      <c r="P505" s="151">
        <v>45818</v>
      </c>
      <c r="Q505" s="24" t="str">
        <f t="shared" si="59"/>
        <v>Entregado</v>
      </c>
      <c r="R505" s="25">
        <f>IF(L505="Despachado",NETWORKDAYS.INTL(A505,O505,11,Valores!$A$2:$A$18)-1,"PTE")</f>
        <v>1</v>
      </c>
      <c r="S505" s="25">
        <f>IF(Q505="Entregado",NETWORKDAYS.INTL(A505,P505,11,Valores!$A$2:$A$18)-1,"PTE")</f>
        <v>2</v>
      </c>
      <c r="T505" s="25"/>
      <c r="U505" s="25"/>
      <c r="V505" s="25" t="str">
        <f>IF(Q505="Entregado",IF(S505&lt;=VLOOKUP(K505,Valores!E:F,2,0),"Cumple","No cumple"),"PTE")</f>
        <v>Cumple</v>
      </c>
      <c r="W505" s="25"/>
      <c r="X505" s="29">
        <v>42921</v>
      </c>
      <c r="Y505" s="224"/>
      <c r="Z505" s="28"/>
    </row>
    <row r="506" spans="1:27" hidden="1" x14ac:dyDescent="0.3">
      <c r="A506" s="34">
        <v>45815</v>
      </c>
      <c r="B506" s="7" t="str">
        <f t="shared" si="67"/>
        <v>junio</v>
      </c>
      <c r="C506" s="27">
        <v>2583</v>
      </c>
      <c r="D506" s="23" t="s">
        <v>20</v>
      </c>
      <c r="E506" s="176" t="s">
        <v>1075</v>
      </c>
      <c r="F506" s="40" t="s">
        <v>258</v>
      </c>
      <c r="G506" s="32" t="str">
        <f>IFERROR(VLOOKUP(F506,Productos!$A$2:$D$258,2,0)," ")</f>
        <v>Superficie  Caramelo 160x70 Moderno</v>
      </c>
      <c r="H506" s="7">
        <v>1</v>
      </c>
      <c r="I506" s="32" t="str">
        <f>IFERROR(VLOOKUP(F506,Productos!$A$2:$D$258,3,0)," ")</f>
        <v>Superficie</v>
      </c>
      <c r="J506" s="139" t="s">
        <v>21</v>
      </c>
      <c r="K506" s="139" t="s">
        <v>22</v>
      </c>
      <c r="L506" s="26" t="str">
        <f t="shared" si="68"/>
        <v>Despachado</v>
      </c>
      <c r="M506" s="56" t="s">
        <v>238</v>
      </c>
      <c r="N506" s="187" t="s">
        <v>1178</v>
      </c>
      <c r="O506" s="150">
        <v>45817</v>
      </c>
      <c r="P506" s="151">
        <v>45818</v>
      </c>
      <c r="Q506" s="24" t="str">
        <f t="shared" si="59"/>
        <v>Entregado</v>
      </c>
      <c r="R506" s="25">
        <f>IF(L506="Despachado",NETWORKDAYS.INTL(A506,O506,11,Valores!$A$2:$A$18)-1,"PTE")</f>
        <v>1</v>
      </c>
      <c r="S506" s="25">
        <f>IF(Q506="Entregado",NETWORKDAYS.INTL(A506,P506,11,Valores!$A$2:$A$18)-1,"PTE")</f>
        <v>2</v>
      </c>
      <c r="T506" s="25"/>
      <c r="U506" s="25"/>
      <c r="V506" s="25" t="str">
        <f>IF(Q506="Entregado",IF(S506&lt;=VLOOKUP(K506,Valores!E:F,2,0),"Cumple","No cumple"),"PTE")</f>
        <v>Cumple</v>
      </c>
      <c r="W506" s="25"/>
      <c r="X506" s="29">
        <v>24093</v>
      </c>
      <c r="Y506" s="224"/>
      <c r="Z506" s="28"/>
    </row>
    <row r="507" spans="1:27" hidden="1" x14ac:dyDescent="0.3">
      <c r="A507" s="34">
        <v>45815</v>
      </c>
      <c r="B507" s="7" t="str">
        <f t="shared" si="67"/>
        <v>junio</v>
      </c>
      <c r="C507" s="27">
        <v>2583</v>
      </c>
      <c r="D507" s="23" t="s">
        <v>20</v>
      </c>
      <c r="E507" s="176" t="s">
        <v>1075</v>
      </c>
      <c r="F507" s="40" t="s">
        <v>240</v>
      </c>
      <c r="G507" s="32" t="str">
        <f>IFERROR(VLOOKUP(F507,Productos!$A$2:$D$258,2,0)," ")</f>
        <v>Bandeja de cables</v>
      </c>
      <c r="H507" s="7">
        <v>1</v>
      </c>
      <c r="I507" s="32" t="str">
        <f>IFERROR(VLOOKUP(F507,Productos!$A$2:$D$258,3,0)," ")</f>
        <v>Accesorio</v>
      </c>
      <c r="J507" s="139" t="s">
        <v>21</v>
      </c>
      <c r="K507" s="139" t="s">
        <v>22</v>
      </c>
      <c r="L507" s="26" t="str">
        <f t="shared" si="68"/>
        <v>Despachado</v>
      </c>
      <c r="M507" s="56" t="s">
        <v>238</v>
      </c>
      <c r="N507" s="187" t="s">
        <v>1179</v>
      </c>
      <c r="O507" s="150">
        <v>45817</v>
      </c>
      <c r="P507" s="151">
        <v>45818</v>
      </c>
      <c r="Q507" s="24" t="str">
        <f t="shared" si="59"/>
        <v>Entregado</v>
      </c>
      <c r="R507" s="25">
        <f>IF(L507="Despachado",NETWORKDAYS.INTL(A507,O507,11,Valores!$A$2:$A$18)-1,"PTE")</f>
        <v>1</v>
      </c>
      <c r="S507" s="25">
        <f>IF(Q507="Entregado",NETWORKDAYS.INTL(A507,P507,11,Valores!$A$2:$A$18)-1,"PTE")</f>
        <v>2</v>
      </c>
      <c r="T507" s="25"/>
      <c r="U507" s="25"/>
      <c r="V507" s="25" t="str">
        <f>IF(Q507="Entregado",IF(S507&lt;=VLOOKUP(K507,Valores!E:F,2,0),"Cumple","No cumple"),"PTE")</f>
        <v>Cumple</v>
      </c>
      <c r="W507" s="25"/>
      <c r="X507" s="29">
        <v>24885</v>
      </c>
      <c r="Y507" s="224"/>
      <c r="Z507" s="28"/>
    </row>
    <row r="508" spans="1:27" hidden="1" x14ac:dyDescent="0.3">
      <c r="A508" s="34">
        <v>45815</v>
      </c>
      <c r="B508" s="7" t="str">
        <f t="shared" si="67"/>
        <v>junio</v>
      </c>
      <c r="C508" s="27">
        <v>2583</v>
      </c>
      <c r="D508" s="23" t="s">
        <v>20</v>
      </c>
      <c r="E508" s="176" t="s">
        <v>1075</v>
      </c>
      <c r="F508" s="40"/>
      <c r="G508" s="32" t="s">
        <v>1796</v>
      </c>
      <c r="H508" s="7">
        <v>2</v>
      </c>
      <c r="I508" s="32" t="s">
        <v>327</v>
      </c>
      <c r="J508" s="139" t="s">
        <v>21</v>
      </c>
      <c r="K508" s="139" t="s">
        <v>22</v>
      </c>
      <c r="L508" s="26" t="str">
        <f t="shared" si="68"/>
        <v>Despachado</v>
      </c>
      <c r="M508" s="56" t="s">
        <v>241</v>
      </c>
      <c r="N508" s="175" t="s">
        <v>241</v>
      </c>
      <c r="O508" s="177" t="s">
        <v>241</v>
      </c>
      <c r="P508" s="178" t="s">
        <v>241</v>
      </c>
      <c r="Q508" s="24" t="str">
        <f t="shared" si="59"/>
        <v>Entregado</v>
      </c>
      <c r="R508" s="25" t="e">
        <f>IF(L508="Despachado",NETWORKDAYS.INTL(A508,O508,11,Valores!$A$2:$A$18)-1,"PTE")</f>
        <v>#VALUE!</v>
      </c>
      <c r="S508" s="25" t="e">
        <f>IF(Q508="Entregado",NETWORKDAYS.INTL(A508,P508,11,Valores!$A$2:$A$18)-1,"PTE")</f>
        <v>#VALUE!</v>
      </c>
      <c r="T508" s="25"/>
      <c r="U508" s="25"/>
      <c r="V508" s="25" t="e">
        <f>IF(Q508="Entregado",IF(S508&lt;=VLOOKUP(K508,Valores!E:F,2,0),"Cumple","No cumple"),"PTE")</f>
        <v>#VALUE!</v>
      </c>
      <c r="W508" s="25"/>
      <c r="X508" s="29"/>
      <c r="Y508" s="224"/>
      <c r="Z508" s="28"/>
    </row>
    <row r="509" spans="1:27" hidden="1" x14ac:dyDescent="0.3">
      <c r="A509" s="34">
        <v>45815</v>
      </c>
      <c r="B509" s="7" t="str">
        <f t="shared" si="67"/>
        <v>junio</v>
      </c>
      <c r="C509" s="27">
        <v>2583</v>
      </c>
      <c r="D509" s="23" t="s">
        <v>20</v>
      </c>
      <c r="E509" s="176" t="s">
        <v>1075</v>
      </c>
      <c r="F509" s="40" t="s">
        <v>129</v>
      </c>
      <c r="G509" s="32" t="str">
        <f>IFERROR(VLOOKUP(F509,Productos!$A$2:$D$258,2,0)," ")</f>
        <v>Electric Standing Desk  PRO Negro</v>
      </c>
      <c r="H509" s="7">
        <v>1</v>
      </c>
      <c r="I509" s="32" t="str">
        <f>IFERROR(VLOOKUP(F509,Productos!$A$2:$D$258,3,0)," ")</f>
        <v>Standing Desk</v>
      </c>
      <c r="J509" s="139" t="s">
        <v>21</v>
      </c>
      <c r="K509" s="139" t="s">
        <v>22</v>
      </c>
      <c r="L509" s="26" t="str">
        <f t="shared" si="68"/>
        <v>Despachado</v>
      </c>
      <c r="M509" s="56" t="s">
        <v>238</v>
      </c>
      <c r="N509" s="187" t="s">
        <v>1180</v>
      </c>
      <c r="O509" s="150">
        <v>45817</v>
      </c>
      <c r="P509" s="151">
        <v>45818</v>
      </c>
      <c r="Q509" s="24" t="str">
        <f t="shared" si="59"/>
        <v>Entregado</v>
      </c>
      <c r="R509" s="25">
        <f>IF(L509="Despachado",NETWORKDAYS.INTL(A509,O509,11,Valores!$A$2:$A$18)-1,"PTE")</f>
        <v>1</v>
      </c>
      <c r="S509" s="25">
        <f>IF(Q509="Entregado",NETWORKDAYS.INTL(A509,P509,11,Valores!$A$2:$A$18)-1,"PTE")</f>
        <v>2</v>
      </c>
      <c r="T509" s="25"/>
      <c r="U509" s="25"/>
      <c r="V509" s="25" t="str">
        <f>IF(Q509="Entregado",IF(S509&lt;=VLOOKUP(K509,Valores!E:F,2,0),"Cumple","No cumple"),"PTE")</f>
        <v>Cumple</v>
      </c>
      <c r="W509" s="25"/>
      <c r="X509" s="29">
        <v>42921</v>
      </c>
      <c r="Y509" s="224"/>
      <c r="Z509" s="28"/>
    </row>
    <row r="510" spans="1:27" hidden="1" x14ac:dyDescent="0.3">
      <c r="A510" s="34">
        <v>45815</v>
      </c>
      <c r="B510" s="7" t="str">
        <f t="shared" si="67"/>
        <v>junio</v>
      </c>
      <c r="C510" s="27">
        <v>2583</v>
      </c>
      <c r="D510" s="23" t="s">
        <v>20</v>
      </c>
      <c r="E510" s="176" t="s">
        <v>1075</v>
      </c>
      <c r="F510" s="40" t="s">
        <v>258</v>
      </c>
      <c r="G510" s="32" t="str">
        <f>IFERROR(VLOOKUP(F510,Productos!$A$2:$D$258,2,0)," ")</f>
        <v>Superficie  Caramelo 160x70 Moderno</v>
      </c>
      <c r="H510" s="7">
        <v>1</v>
      </c>
      <c r="I510" s="32" t="str">
        <f>IFERROR(VLOOKUP(F510,Productos!$A$2:$D$258,3,0)," ")</f>
        <v>Superficie</v>
      </c>
      <c r="J510" s="139" t="s">
        <v>21</v>
      </c>
      <c r="K510" s="139" t="s">
        <v>22</v>
      </c>
      <c r="L510" s="26" t="str">
        <f t="shared" si="68"/>
        <v>Despachado</v>
      </c>
      <c r="M510" s="56" t="s">
        <v>238</v>
      </c>
      <c r="N510" s="187" t="s">
        <v>1181</v>
      </c>
      <c r="O510" s="150">
        <v>45817</v>
      </c>
      <c r="P510" s="151">
        <v>45818</v>
      </c>
      <c r="Q510" s="24" t="str">
        <f t="shared" si="59"/>
        <v>Entregado</v>
      </c>
      <c r="R510" s="25">
        <f>IF(L510="Despachado",NETWORKDAYS.INTL(A510,O510,11,Valores!$A$2:$A$18)-1,"PTE")</f>
        <v>1</v>
      </c>
      <c r="S510" s="25">
        <f>IF(Q510="Entregado",NETWORKDAYS.INTL(A510,P510,11,Valores!$A$2:$A$18)-1,"PTE")</f>
        <v>2</v>
      </c>
      <c r="T510" s="25"/>
      <c r="U510" s="25"/>
      <c r="V510" s="25" t="str">
        <f>IF(Q510="Entregado",IF(S510&lt;=VLOOKUP(K510,Valores!E:F,2,0),"Cumple","No cumple"),"PTE")</f>
        <v>Cumple</v>
      </c>
      <c r="W510" s="25"/>
      <c r="X510" s="29">
        <v>24093</v>
      </c>
      <c r="Y510" s="224"/>
      <c r="Z510" s="28"/>
    </row>
    <row r="511" spans="1:27" hidden="1" x14ac:dyDescent="0.3">
      <c r="A511" s="34">
        <v>45815</v>
      </c>
      <c r="B511" s="7" t="str">
        <f t="shared" si="67"/>
        <v>junio</v>
      </c>
      <c r="C511" s="27">
        <v>2583</v>
      </c>
      <c r="D511" s="23" t="s">
        <v>20</v>
      </c>
      <c r="E511" s="176" t="s">
        <v>1075</v>
      </c>
      <c r="F511" s="40" t="s">
        <v>240</v>
      </c>
      <c r="G511" s="32" t="str">
        <f>IFERROR(VLOOKUP(F511,Productos!$A$2:$D$258,2,0)," ")</f>
        <v>Bandeja de cables</v>
      </c>
      <c r="H511" s="7">
        <v>1</v>
      </c>
      <c r="I511" s="32" t="str">
        <f>IFERROR(VLOOKUP(F511,Productos!$A$2:$D$258,3,0)," ")</f>
        <v>Accesorio</v>
      </c>
      <c r="J511" s="139" t="s">
        <v>21</v>
      </c>
      <c r="K511" s="139" t="s">
        <v>22</v>
      </c>
      <c r="L511" s="26" t="str">
        <f t="shared" si="68"/>
        <v>Despachado</v>
      </c>
      <c r="M511" s="56" t="s">
        <v>238</v>
      </c>
      <c r="N511" s="187" t="s">
        <v>1182</v>
      </c>
      <c r="O511" s="150">
        <v>45817</v>
      </c>
      <c r="P511" s="151">
        <v>45818</v>
      </c>
      <c r="Q511" s="24" t="str">
        <f t="shared" si="59"/>
        <v>Entregado</v>
      </c>
      <c r="R511" s="25">
        <f>IF(L511="Despachado",NETWORKDAYS.INTL(A511,O511,11,Valores!$A$2:$A$18)-1,"PTE")</f>
        <v>1</v>
      </c>
      <c r="S511" s="25">
        <f>IF(Q511="Entregado",NETWORKDAYS.INTL(A511,P511,11,Valores!$A$2:$A$18)-1,"PTE")</f>
        <v>2</v>
      </c>
      <c r="T511" s="25"/>
      <c r="U511" s="25"/>
      <c r="V511" s="25" t="str">
        <f>IF(Q511="Entregado",IF(S511&lt;=VLOOKUP(K511,Valores!E:F,2,0),"Cumple","No cumple"),"PTE")</f>
        <v>Cumple</v>
      </c>
      <c r="W511" s="25"/>
      <c r="X511" s="29">
        <v>24885</v>
      </c>
      <c r="Y511" s="224"/>
      <c r="Z511" s="28"/>
    </row>
    <row r="512" spans="1:27" hidden="1" x14ac:dyDescent="0.3">
      <c r="A512" s="34">
        <v>45816</v>
      </c>
      <c r="B512" s="7" t="str">
        <f t="shared" si="67"/>
        <v>junio</v>
      </c>
      <c r="C512" s="27">
        <v>2584</v>
      </c>
      <c r="D512" s="23" t="s">
        <v>20</v>
      </c>
      <c r="E512" s="176" t="s">
        <v>1076</v>
      </c>
      <c r="F512" s="40" t="s">
        <v>129</v>
      </c>
      <c r="G512" s="32" t="str">
        <f>IFERROR(VLOOKUP(F512,Productos!$A$2:$D$258,2,0)," ")</f>
        <v>Electric Standing Desk  PRO Negro</v>
      </c>
      <c r="H512" s="7">
        <v>1</v>
      </c>
      <c r="I512" s="32" t="str">
        <f>IFERROR(VLOOKUP(F512,Productos!$A$2:$D$258,3,0)," ")</f>
        <v>Standing Desk</v>
      </c>
      <c r="J512" s="175" t="s">
        <v>206</v>
      </c>
      <c r="K512" s="175" t="s">
        <v>206</v>
      </c>
      <c r="L512" s="26" t="str">
        <f t="shared" si="68"/>
        <v>Despachado</v>
      </c>
      <c r="M512" s="56" t="s">
        <v>238</v>
      </c>
      <c r="N512" s="187" t="s">
        <v>1183</v>
      </c>
      <c r="O512" s="150">
        <v>45817</v>
      </c>
      <c r="P512" s="151">
        <v>45818</v>
      </c>
      <c r="Q512" s="24" t="str">
        <f t="shared" si="59"/>
        <v>Entregado</v>
      </c>
      <c r="R512" s="25">
        <f>IF(L512="Despachado",NETWORKDAYS.INTL(A512,O512,11,Valores!$A$2:$A$18)-1,"PTE")</f>
        <v>0</v>
      </c>
      <c r="S512" s="25">
        <f>IF(Q512="Entregado",NETWORKDAYS.INTL(A512,P512,11,Valores!$A$2:$A$18)-1,"PTE")</f>
        <v>1</v>
      </c>
      <c r="T512" s="25"/>
      <c r="U512" s="25"/>
      <c r="V512" s="25" t="str">
        <f>IF(Q512="Entregado",IF(S512&lt;=VLOOKUP(K512,Valores!E:F,2,0),"Cumple","No cumple"),"PTE")</f>
        <v>Cumple</v>
      </c>
      <c r="W512" s="25"/>
      <c r="X512" s="29">
        <v>34953</v>
      </c>
      <c r="Y512" s="224"/>
      <c r="Z512" s="28"/>
    </row>
    <row r="513" spans="1:26" hidden="1" x14ac:dyDescent="0.3">
      <c r="A513" s="34">
        <v>45816</v>
      </c>
      <c r="B513" s="7" t="str">
        <f t="shared" si="67"/>
        <v>junio</v>
      </c>
      <c r="C513" s="27">
        <v>2585</v>
      </c>
      <c r="D513" s="23" t="s">
        <v>20</v>
      </c>
      <c r="E513" s="176" t="s">
        <v>1077</v>
      </c>
      <c r="F513" s="40" t="s">
        <v>127</v>
      </c>
      <c r="G513" s="32" t="str">
        <f>IFERROR(VLOOKUP(F513,Productos!$A$2:$D$258,2,0)," ")</f>
        <v>Electric Standing Desk GO Blanco</v>
      </c>
      <c r="H513" s="7">
        <v>1</v>
      </c>
      <c r="I513" s="32" t="str">
        <f>IFERROR(VLOOKUP(F513,Productos!$A$2:$D$258,3,0)," ")</f>
        <v>Standing Desk</v>
      </c>
      <c r="J513" s="139" t="s">
        <v>21</v>
      </c>
      <c r="K513" s="139" t="s">
        <v>22</v>
      </c>
      <c r="L513" s="26" t="str">
        <f t="shared" si="68"/>
        <v>Despachado</v>
      </c>
      <c r="M513" s="56" t="s">
        <v>238</v>
      </c>
      <c r="N513" s="187" t="s">
        <v>1184</v>
      </c>
      <c r="O513" s="150">
        <v>45817</v>
      </c>
      <c r="P513" s="151">
        <v>45818</v>
      </c>
      <c r="Q513" s="24" t="str">
        <f t="shared" si="59"/>
        <v>Entregado</v>
      </c>
      <c r="R513" s="25">
        <f>IF(L513="Despachado",NETWORKDAYS.INTL(A513,O513,11,Valores!$A$2:$A$18)-1,"PTE")</f>
        <v>0</v>
      </c>
      <c r="S513" s="25">
        <f>IF(Q513="Entregado",NETWORKDAYS.INTL(A513,P513,11,Valores!$A$2:$A$18)-1,"PTE")</f>
        <v>1</v>
      </c>
      <c r="T513" s="25"/>
      <c r="U513" s="25"/>
      <c r="V513" s="25" t="str">
        <f>IF(Q513="Entregado",IF(S513&lt;=VLOOKUP(K513,Valores!E:F,2,0),"Cumple","No cumple"),"PTE")</f>
        <v>Cumple</v>
      </c>
      <c r="W513" s="25"/>
      <c r="X513" s="29">
        <v>41593</v>
      </c>
      <c r="Y513" s="224"/>
      <c r="Z513" s="28"/>
    </row>
    <row r="514" spans="1:26" hidden="1" x14ac:dyDescent="0.3">
      <c r="A514" s="34">
        <v>45816</v>
      </c>
      <c r="B514" s="7" t="str">
        <f t="shared" si="67"/>
        <v>junio</v>
      </c>
      <c r="C514" s="27">
        <v>2585</v>
      </c>
      <c r="D514" s="23" t="s">
        <v>20</v>
      </c>
      <c r="E514" s="176" t="s">
        <v>1077</v>
      </c>
      <c r="F514" s="22" t="s">
        <v>301</v>
      </c>
      <c r="G514" s="32" t="str">
        <f>IFERROR(VLOOKUP(F514,Productos!$A$2:$D$258,2,0)," ")</f>
        <v>Superficie  Fresno Europeo 120x70 Clasico Small</v>
      </c>
      <c r="H514" s="7">
        <v>1</v>
      </c>
      <c r="I514" s="32" t="str">
        <f>IFERROR(VLOOKUP(F514,Productos!$A$2:$D$258,3,0)," ")</f>
        <v>Superficie</v>
      </c>
      <c r="J514" s="139" t="s">
        <v>21</v>
      </c>
      <c r="K514" s="139" t="s">
        <v>22</v>
      </c>
      <c r="L514" s="26" t="str">
        <f t="shared" si="68"/>
        <v>Despachado</v>
      </c>
      <c r="M514" s="56" t="s">
        <v>238</v>
      </c>
      <c r="N514" s="187" t="s">
        <v>1185</v>
      </c>
      <c r="O514" s="150">
        <v>45817</v>
      </c>
      <c r="P514" s="151">
        <v>45818</v>
      </c>
      <c r="Q514" s="24" t="str">
        <f t="shared" si="59"/>
        <v>Entregado</v>
      </c>
      <c r="R514" s="25">
        <f>IF(L514="Despachado",NETWORKDAYS.INTL(A514,O514,11,Valores!$A$2:$A$18)-1,"PTE")</f>
        <v>0</v>
      </c>
      <c r="S514" s="25">
        <f>IF(Q514="Entregado",NETWORKDAYS.INTL(A514,P514,11,Valores!$A$2:$A$18)-1,"PTE")</f>
        <v>1</v>
      </c>
      <c r="T514" s="25"/>
      <c r="U514" s="25"/>
      <c r="V514" s="25" t="str">
        <f>IF(Q514="Entregado",IF(S514&lt;=VLOOKUP(K514,Valores!E:F,2,0),"Cumple","No cumple"),"PTE")</f>
        <v>Cumple</v>
      </c>
      <c r="W514" s="25"/>
      <c r="X514" s="29">
        <v>24093</v>
      </c>
      <c r="Y514" s="224"/>
      <c r="Z514" s="28"/>
    </row>
    <row r="515" spans="1:26" hidden="1" x14ac:dyDescent="0.3">
      <c r="A515" s="34">
        <v>45816</v>
      </c>
      <c r="B515" s="7" t="str">
        <f t="shared" si="67"/>
        <v>junio</v>
      </c>
      <c r="C515" s="27">
        <v>2585</v>
      </c>
      <c r="D515" s="23" t="s">
        <v>20</v>
      </c>
      <c r="E515" s="176" t="s">
        <v>1077</v>
      </c>
      <c r="F515" s="40"/>
      <c r="G515" s="32" t="s">
        <v>1796</v>
      </c>
      <c r="H515" s="7">
        <v>1</v>
      </c>
      <c r="I515" s="32" t="s">
        <v>327</v>
      </c>
      <c r="J515" s="139" t="s">
        <v>21</v>
      </c>
      <c r="K515" s="139" t="s">
        <v>22</v>
      </c>
      <c r="L515" s="26" t="str">
        <f t="shared" si="68"/>
        <v>Despachado</v>
      </c>
      <c r="M515" s="56" t="s">
        <v>241</v>
      </c>
      <c r="N515" s="187" t="s">
        <v>241</v>
      </c>
      <c r="O515" s="188" t="s">
        <v>241</v>
      </c>
      <c r="P515" s="189" t="s">
        <v>241</v>
      </c>
      <c r="Q515" s="24" t="str">
        <f t="shared" si="59"/>
        <v>Entregado</v>
      </c>
      <c r="R515" s="25" t="e">
        <f>IF(L515="Despachado",NETWORKDAYS.INTL(A515,O515,11,Valores!$A$2:$A$18)-1,"PTE")</f>
        <v>#VALUE!</v>
      </c>
      <c r="S515" s="25" t="e">
        <f>IF(Q515="Entregado",NETWORKDAYS.INTL(A515,P515,11,Valores!$A$2:$A$18)-1,"PTE")</f>
        <v>#VALUE!</v>
      </c>
      <c r="T515" s="25"/>
      <c r="U515" s="25"/>
      <c r="V515" s="25" t="e">
        <f>IF(Q515="Entregado",IF(S515&lt;=VLOOKUP(K515,Valores!E:F,2,0),"Cumple","No cumple"),"PTE")</f>
        <v>#VALUE!</v>
      </c>
      <c r="W515" s="25"/>
      <c r="X515" s="29"/>
      <c r="Y515" s="224"/>
      <c r="Z515" s="28"/>
    </row>
    <row r="516" spans="1:26" hidden="1" x14ac:dyDescent="0.3">
      <c r="A516" s="34">
        <v>45818</v>
      </c>
      <c r="B516" s="7" t="str">
        <f t="shared" si="67"/>
        <v>junio</v>
      </c>
      <c r="C516" s="27">
        <v>2586</v>
      </c>
      <c r="D516" s="23" t="s">
        <v>20</v>
      </c>
      <c r="E516" s="176" t="s">
        <v>1078</v>
      </c>
      <c r="F516" s="22" t="s">
        <v>74</v>
      </c>
      <c r="G516" s="32" t="str">
        <f>IFERROR(VLOOKUP(F516,Productos!$A$2:$D$258,2,0)," ")</f>
        <v>Repisa Caramelo</v>
      </c>
      <c r="H516" s="7">
        <v>1</v>
      </c>
      <c r="I516" s="32" t="str">
        <f>IFERROR(VLOOKUP(F516,Productos!$A$2:$D$258,3,0)," ")</f>
        <v>Repisa</v>
      </c>
      <c r="J516" s="175" t="s">
        <v>24</v>
      </c>
      <c r="K516" s="175" t="s">
        <v>39</v>
      </c>
      <c r="L516" s="26" t="str">
        <f t="shared" si="68"/>
        <v>Despachado</v>
      </c>
      <c r="M516" s="56" t="s">
        <v>238</v>
      </c>
      <c r="N516" s="187" t="s">
        <v>1186</v>
      </c>
      <c r="O516" s="150">
        <v>45818</v>
      </c>
      <c r="P516" s="151">
        <v>45819</v>
      </c>
      <c r="Q516" s="24" t="str">
        <f t="shared" si="59"/>
        <v>Entregado</v>
      </c>
      <c r="R516" s="25">
        <f>IF(L516="Despachado",NETWORKDAYS.INTL(A516,O516,11,Valores!$A$2:$A$18)-1,"PTE")</f>
        <v>0</v>
      </c>
      <c r="S516" s="25">
        <f>IF(Q516="Entregado",NETWORKDAYS.INTL(A516,P516,11,Valores!$A$2:$A$18)-1,"PTE")</f>
        <v>1</v>
      </c>
      <c r="T516" s="25"/>
      <c r="U516" s="25"/>
      <c r="V516" s="25" t="str">
        <f>IF(Q516="Entregado",IF(S516&lt;=VLOOKUP(K516,Valores!E:F,2,0),"Cumple","No cumple"),"PTE")</f>
        <v>Cumple</v>
      </c>
      <c r="W516" s="25"/>
      <c r="X516" s="29">
        <v>23429</v>
      </c>
      <c r="Y516" s="224"/>
      <c r="Z516" s="28"/>
    </row>
    <row r="517" spans="1:26" hidden="1" x14ac:dyDescent="0.3">
      <c r="A517" s="34">
        <v>45818</v>
      </c>
      <c r="B517" s="7" t="str">
        <f t="shared" si="67"/>
        <v>junio</v>
      </c>
      <c r="C517" s="27">
        <v>2587</v>
      </c>
      <c r="D517" s="23" t="s">
        <v>20</v>
      </c>
      <c r="E517" s="176" t="s">
        <v>1079</v>
      </c>
      <c r="F517" s="40" t="s">
        <v>129</v>
      </c>
      <c r="G517" s="32" t="str">
        <f>IFERROR(VLOOKUP(F517,Productos!$A$2:$D$258,2,0)," ")</f>
        <v>Electric Standing Desk  PRO Negro</v>
      </c>
      <c r="H517" s="7">
        <v>1</v>
      </c>
      <c r="I517" s="32" t="str">
        <f>IFERROR(VLOOKUP(F517,Productos!$A$2:$D$258,3,0)," ")</f>
        <v>Standing Desk</v>
      </c>
      <c r="J517" s="139" t="s">
        <v>21</v>
      </c>
      <c r="K517" s="139" t="s">
        <v>22</v>
      </c>
      <c r="L517" s="26" t="str">
        <f t="shared" si="68"/>
        <v>Despachado</v>
      </c>
      <c r="M517" s="56" t="s">
        <v>238</v>
      </c>
      <c r="N517" s="187" t="s">
        <v>1187</v>
      </c>
      <c r="O517" s="150">
        <v>45818</v>
      </c>
      <c r="P517" s="151">
        <v>45819</v>
      </c>
      <c r="Q517" s="24" t="str">
        <f t="shared" si="59"/>
        <v>Entregado</v>
      </c>
      <c r="R517" s="25">
        <f>IF(L517="Despachado",NETWORKDAYS.INTL(A517,O517,11,Valores!$A$2:$A$18)-1,"PTE")</f>
        <v>0</v>
      </c>
      <c r="S517" s="25">
        <f>IF(Q517="Entregado",NETWORKDAYS.INTL(A517,P517,11,Valores!$A$2:$A$18)-1,"PTE")</f>
        <v>1</v>
      </c>
      <c r="T517" s="25"/>
      <c r="U517" s="25"/>
      <c r="V517" s="25" t="str">
        <f>IF(Q517="Entregado",IF(S517&lt;=VLOOKUP(K517,Valores!E:F,2,0),"Cumple","No cumple"),"PTE")</f>
        <v>Cumple</v>
      </c>
      <c r="W517" s="25"/>
      <c r="X517" s="29">
        <v>42921</v>
      </c>
      <c r="Y517" s="224"/>
      <c r="Z517" s="28"/>
    </row>
    <row r="518" spans="1:26" hidden="1" x14ac:dyDescent="0.3">
      <c r="A518" s="34">
        <v>45818</v>
      </c>
      <c r="B518" s="7" t="str">
        <f t="shared" si="67"/>
        <v>junio</v>
      </c>
      <c r="C518" s="27">
        <v>2587</v>
      </c>
      <c r="D518" s="23" t="s">
        <v>20</v>
      </c>
      <c r="E518" s="176" t="s">
        <v>1079</v>
      </c>
      <c r="F518" s="22" t="s">
        <v>107</v>
      </c>
      <c r="G518" s="32" t="str">
        <f>IFERROR(VLOOKUP(F518,Productos!$A$2:$D$258,2,0)," ")</f>
        <v>Superficie  Caramelo 120x70 Clasico Small</v>
      </c>
      <c r="H518" s="7">
        <v>1</v>
      </c>
      <c r="I518" s="32" t="str">
        <f>IFERROR(VLOOKUP(F518,Productos!$A$2:$D$258,3,0)," ")</f>
        <v>Superficie</v>
      </c>
      <c r="J518" s="139" t="s">
        <v>21</v>
      </c>
      <c r="K518" s="139" t="s">
        <v>22</v>
      </c>
      <c r="L518" s="26" t="str">
        <f t="shared" si="68"/>
        <v>Despachado</v>
      </c>
      <c r="M518" s="56" t="s">
        <v>238</v>
      </c>
      <c r="N518" s="187" t="s">
        <v>1188</v>
      </c>
      <c r="O518" s="150">
        <v>45818</v>
      </c>
      <c r="P518" s="151">
        <v>45819</v>
      </c>
      <c r="Q518" s="24" t="str">
        <f t="shared" ref="Q518:Q543" si="69">IF(P518&gt;0,"Entregado","En transito")</f>
        <v>Entregado</v>
      </c>
      <c r="R518" s="25">
        <f>IF(L518="Despachado",NETWORKDAYS.INTL(A518,O518,11,Valores!$A$2:$A$18)-1,"PTE")</f>
        <v>0</v>
      </c>
      <c r="S518" s="25">
        <f>IF(Q518="Entregado",NETWORKDAYS.INTL(A518,P518,11,Valores!$A$2:$A$18)-1,"PTE")</f>
        <v>1</v>
      </c>
      <c r="T518" s="25"/>
      <c r="U518" s="25"/>
      <c r="V518" s="25" t="str">
        <f>IF(Q518="Entregado",IF(S518&lt;=VLOOKUP(K518,Valores!E:F,2,0),"Cumple","No cumple"),"PTE")</f>
        <v>Cumple</v>
      </c>
      <c r="W518" s="25"/>
      <c r="X518" s="29">
        <v>28741</v>
      </c>
      <c r="Y518" s="224"/>
      <c r="Z518" s="28"/>
    </row>
    <row r="519" spans="1:26" hidden="1" x14ac:dyDescent="0.3">
      <c r="A519" s="34">
        <v>45818</v>
      </c>
      <c r="B519" s="7" t="str">
        <f t="shared" ref="B519:B529" si="70">TEXT(A519,"mmmm")</f>
        <v>junio</v>
      </c>
      <c r="C519" s="27">
        <v>2588</v>
      </c>
      <c r="D519" s="23" t="s">
        <v>20</v>
      </c>
      <c r="E519" s="176" t="s">
        <v>1080</v>
      </c>
      <c r="F519" s="22" t="s">
        <v>732</v>
      </c>
      <c r="G519" s="32" t="str">
        <f>IFERROR(VLOOKUP(F519,Productos!$A$2:$D$258,2,0)," ")</f>
        <v>Electric Standing Desk  PRO Negro circular</v>
      </c>
      <c r="H519" s="7">
        <v>1</v>
      </c>
      <c r="I519" s="32" t="str">
        <f>IFERROR(VLOOKUP(F519,Productos!$A$2:$D$258,3,0)," ")</f>
        <v>Standing Desk</v>
      </c>
      <c r="J519" s="175" t="s">
        <v>42</v>
      </c>
      <c r="K519" s="175" t="s">
        <v>118</v>
      </c>
      <c r="L519" s="26" t="str">
        <f t="shared" ref="L519:L526" si="71">IF(O519&gt;0,"Despachado","En alistamiento")</f>
        <v>Despachado</v>
      </c>
      <c r="M519" s="56" t="s">
        <v>238</v>
      </c>
      <c r="N519" s="187" t="s">
        <v>1189</v>
      </c>
      <c r="O519" s="150">
        <v>45818</v>
      </c>
      <c r="P519" s="151">
        <v>45819</v>
      </c>
      <c r="Q519" s="24" t="str">
        <f t="shared" si="69"/>
        <v>Entregado</v>
      </c>
      <c r="R519" s="25">
        <f>IF(L519="Despachado",NETWORKDAYS.INTL(A519,O519,11,Valores!$A$2:$A$18)-1,"PTE")</f>
        <v>0</v>
      </c>
      <c r="S519" s="25">
        <f>IF(Q519="Entregado",NETWORKDAYS.INTL(A519,P519,11,Valores!$A$2:$A$18)-1,"PTE")</f>
        <v>1</v>
      </c>
      <c r="T519" s="25"/>
      <c r="U519" s="25"/>
      <c r="V519" s="25" t="str">
        <f>IF(Q519="Entregado",IF(S519&lt;=VLOOKUP(K519,Valores!E:F,2,0),"Cumple","No cumple"),"PTE")</f>
        <v>Cumple</v>
      </c>
      <c r="W519" s="25"/>
      <c r="X519" s="29">
        <v>42921</v>
      </c>
      <c r="Y519" s="224"/>
      <c r="Z519" s="28"/>
    </row>
    <row r="520" spans="1:26" hidden="1" x14ac:dyDescent="0.3">
      <c r="A520" s="34">
        <v>45818</v>
      </c>
      <c r="B520" s="7" t="str">
        <f t="shared" si="70"/>
        <v>junio</v>
      </c>
      <c r="C520" s="27">
        <v>2588</v>
      </c>
      <c r="D520" s="23" t="s">
        <v>20</v>
      </c>
      <c r="E520" s="176" t="s">
        <v>1080</v>
      </c>
      <c r="F520" s="22" t="s">
        <v>1081</v>
      </c>
      <c r="G520" s="32" t="str">
        <f>IFERROR(VLOOKUP(F520,Productos!$A$2:$D$258,2,0)," ")</f>
        <v>Superficie Roble Miel 180x70 Moderno</v>
      </c>
      <c r="H520" s="7">
        <v>1</v>
      </c>
      <c r="I520" s="32" t="str">
        <f>IFERROR(VLOOKUP(F520,Productos!$A$2:$D$258,3,0)," ")</f>
        <v>Superficie</v>
      </c>
      <c r="J520" s="175" t="s">
        <v>42</v>
      </c>
      <c r="K520" s="175" t="s">
        <v>118</v>
      </c>
      <c r="L520" s="26" t="str">
        <f t="shared" si="71"/>
        <v>Despachado</v>
      </c>
      <c r="M520" s="56" t="s">
        <v>238</v>
      </c>
      <c r="N520" s="187" t="s">
        <v>1190</v>
      </c>
      <c r="O520" s="150">
        <v>45818</v>
      </c>
      <c r="P520" s="151">
        <v>45820</v>
      </c>
      <c r="Q520" s="24" t="str">
        <f t="shared" si="69"/>
        <v>Entregado</v>
      </c>
      <c r="R520" s="25">
        <f>IF(L520="Despachado",NETWORKDAYS.INTL(A520,O520,11,Valores!$A$2:$A$18)-1,"PTE")</f>
        <v>0</v>
      </c>
      <c r="S520" s="25">
        <f>IF(Q520="Entregado",NETWORKDAYS.INTL(A520,P520,11,Valores!$A$2:$A$18)-1,"PTE")</f>
        <v>2</v>
      </c>
      <c r="T520" s="25"/>
      <c r="U520" s="25"/>
      <c r="V520" s="25" t="str">
        <f>IF(Q520="Entregado",IF(S520&lt;=VLOOKUP(K520,Valores!E:F,2,0),"Cumple","No cumple"),"PTE")</f>
        <v>Cumple</v>
      </c>
      <c r="W520" s="25"/>
      <c r="X520" s="29">
        <v>27249</v>
      </c>
      <c r="Y520" s="224"/>
      <c r="Z520" s="28"/>
    </row>
    <row r="521" spans="1:26" hidden="1" x14ac:dyDescent="0.3">
      <c r="A521" s="34">
        <v>45818</v>
      </c>
      <c r="B521" s="7" t="str">
        <f t="shared" si="70"/>
        <v>junio</v>
      </c>
      <c r="C521" s="27">
        <v>2588</v>
      </c>
      <c r="D521" s="23" t="s">
        <v>20</v>
      </c>
      <c r="E521" s="176" t="s">
        <v>1080</v>
      </c>
      <c r="F521" s="22" t="s">
        <v>68</v>
      </c>
      <c r="G521" s="32" t="str">
        <f>IFERROR(VLOOKUP(F521,Productos!$A$2:$D$258,2,0)," ")</f>
        <v>Archivador TECU  Caramelo</v>
      </c>
      <c r="H521" s="7">
        <v>1</v>
      </c>
      <c r="I521" s="32" t="str">
        <f>IFERROR(VLOOKUP(F521,Productos!$A$2:$D$258,3,0)," ")</f>
        <v>Archivador</v>
      </c>
      <c r="J521" s="175" t="s">
        <v>42</v>
      </c>
      <c r="K521" s="175" t="s">
        <v>118</v>
      </c>
      <c r="L521" s="26" t="str">
        <f t="shared" si="71"/>
        <v>Despachado</v>
      </c>
      <c r="M521" s="56" t="s">
        <v>239</v>
      </c>
      <c r="N521" s="187" t="s">
        <v>1191</v>
      </c>
      <c r="O521" s="150">
        <v>45818</v>
      </c>
      <c r="P521" s="151">
        <v>45820</v>
      </c>
      <c r="Q521" s="24" t="str">
        <f t="shared" si="69"/>
        <v>Entregado</v>
      </c>
      <c r="R521" s="25">
        <f>IF(L521="Despachado",NETWORKDAYS.INTL(A521,O521,11,Valores!$A$2:$A$18)-1,"PTE")</f>
        <v>0</v>
      </c>
      <c r="S521" s="25">
        <f>IF(Q521="Entregado",NETWORKDAYS.INTL(A521,P521,11,Valores!$A$2:$A$18)-1,"PTE")</f>
        <v>2</v>
      </c>
      <c r="T521" s="25"/>
      <c r="U521" s="25"/>
      <c r="V521" s="25" t="str">
        <f>IF(Q521="Entregado",IF(S521&lt;=VLOOKUP(K521,Valores!E:F,2,0),"Cumple","No cumple"),"PTE")</f>
        <v>Cumple</v>
      </c>
      <c r="W521" s="25"/>
      <c r="X521" s="29">
        <v>65682</v>
      </c>
      <c r="Y521" s="224"/>
      <c r="Z521" s="28"/>
    </row>
    <row r="522" spans="1:26" hidden="1" x14ac:dyDescent="0.3">
      <c r="A522" s="34">
        <v>45818</v>
      </c>
      <c r="B522" s="7" t="str">
        <f>TEXT(A522,"mmmm")</f>
        <v>junio</v>
      </c>
      <c r="C522" s="27">
        <v>2588</v>
      </c>
      <c r="D522" s="23" t="s">
        <v>20</v>
      </c>
      <c r="E522" s="176" t="s">
        <v>1080</v>
      </c>
      <c r="F522" s="40" t="s">
        <v>240</v>
      </c>
      <c r="G522" s="32" t="str">
        <f>IFERROR(VLOOKUP(F522,Productos!$A$2:$D$258,2,0)," ")</f>
        <v>Bandeja de cables</v>
      </c>
      <c r="H522" s="7">
        <v>1</v>
      </c>
      <c r="I522" s="32" t="str">
        <f>IFERROR(VLOOKUP(F522,Productos!$A$2:$D$258,3,0)," ")</f>
        <v>Accesorio</v>
      </c>
      <c r="J522" s="175" t="s">
        <v>42</v>
      </c>
      <c r="K522" s="175" t="s">
        <v>118</v>
      </c>
      <c r="L522" s="26" t="str">
        <f>IF(O522&gt;0,"Despachado","En alistamiento")</f>
        <v>Despachado</v>
      </c>
      <c r="M522" s="56" t="s">
        <v>238</v>
      </c>
      <c r="N522" s="187" t="s">
        <v>1192</v>
      </c>
      <c r="O522" s="150">
        <v>45818</v>
      </c>
      <c r="P522" s="151">
        <v>45819</v>
      </c>
      <c r="Q522" s="24" t="str">
        <f>IF(P522&gt;0,"Entregado","En transito")</f>
        <v>Entregado</v>
      </c>
      <c r="R522" s="25">
        <f>IF(L522="Despachado",NETWORKDAYS.INTL(A522,O522,11,Valores!$A$2:$A$18)-1,"PTE")</f>
        <v>0</v>
      </c>
      <c r="S522" s="25">
        <f>IF(Q522="Entregado",NETWORKDAYS.INTL(A522,P522,11,Valores!$A$2:$A$18)-1,"PTE")</f>
        <v>1</v>
      </c>
      <c r="T522" s="25"/>
      <c r="U522" s="25"/>
      <c r="V522" s="25" t="str">
        <f>IF(Q522="Entregado",IF(S522&lt;=VLOOKUP(K522,Valores!E:F,2,0),"Cumple","No cumple"),"PTE")</f>
        <v>Cumple</v>
      </c>
      <c r="W522" s="25"/>
      <c r="X522" s="29">
        <v>24885</v>
      </c>
      <c r="Y522" s="224"/>
      <c r="Z522" s="28"/>
    </row>
    <row r="523" spans="1:26" hidden="1" x14ac:dyDescent="0.3">
      <c r="A523" s="34">
        <v>45818</v>
      </c>
      <c r="B523" s="7" t="str">
        <f>TEXT(A523,"mmmm")</f>
        <v>junio</v>
      </c>
      <c r="C523" s="27">
        <v>2588</v>
      </c>
      <c r="D523" s="23" t="s">
        <v>20</v>
      </c>
      <c r="E523" s="176" t="s">
        <v>1080</v>
      </c>
      <c r="F523" s="40" t="s">
        <v>85</v>
      </c>
      <c r="G523" s="32" t="str">
        <f>IFERROR(VLOOKUP(F523,Productos!$A$2:$D$258,2,0)," ")</f>
        <v>Desk Pad B Negro Café Miel</v>
      </c>
      <c r="H523" s="7">
        <v>1</v>
      </c>
      <c r="I523" s="32" t="str">
        <f>IFERROR(VLOOKUP(F523,Productos!$A$2:$D$258,3,0)," ")</f>
        <v>Accesorio</v>
      </c>
      <c r="J523" s="175" t="s">
        <v>42</v>
      </c>
      <c r="K523" s="175" t="s">
        <v>118</v>
      </c>
      <c r="L523" s="26" t="str">
        <f>IF(O523&gt;0,"Despachado","En alistamiento")</f>
        <v>Despachado</v>
      </c>
      <c r="M523" s="56" t="s">
        <v>238</v>
      </c>
      <c r="N523" s="187" t="s">
        <v>1193</v>
      </c>
      <c r="O523" s="150">
        <v>45818</v>
      </c>
      <c r="P523" s="151">
        <v>45819</v>
      </c>
      <c r="Q523" s="24" t="str">
        <f>IF(P523&gt;0,"Entregado","En transito")</f>
        <v>Entregado</v>
      </c>
      <c r="R523" s="25">
        <f>IF(L523="Despachado",NETWORKDAYS.INTL(A523,O523,11,Valores!$A$2:$A$18)-1,"PTE")</f>
        <v>0</v>
      </c>
      <c r="S523" s="25">
        <f>IF(Q523="Entregado",NETWORKDAYS.INTL(A523,P523,11,Valores!$A$2:$A$18)-1,"PTE")</f>
        <v>1</v>
      </c>
      <c r="T523" s="25"/>
      <c r="U523" s="25"/>
      <c r="V523" s="25" t="str">
        <f>IF(Q523="Entregado",IF(S523&lt;=VLOOKUP(K523,Valores!E:F,2,0),"Cumple","No cumple"),"PTE")</f>
        <v>Cumple</v>
      </c>
      <c r="W523" s="25"/>
      <c r="X523" s="29">
        <v>16617</v>
      </c>
      <c r="Y523" s="224"/>
      <c r="Z523" s="28"/>
    </row>
    <row r="524" spans="1:26" hidden="1" x14ac:dyDescent="0.3">
      <c r="A524" s="34">
        <v>45819</v>
      </c>
      <c r="B524" s="7" t="str">
        <f t="shared" si="70"/>
        <v>junio</v>
      </c>
      <c r="C524" s="27">
        <v>2589</v>
      </c>
      <c r="D524" s="23" t="s">
        <v>20</v>
      </c>
      <c r="E524" s="176" t="s">
        <v>1083</v>
      </c>
      <c r="F524" s="40" t="s">
        <v>129</v>
      </c>
      <c r="G524" s="32" t="str">
        <f>IFERROR(VLOOKUP(F524,Productos!$A$2:$D$258,2,0)," ")</f>
        <v>Electric Standing Desk  PRO Negro</v>
      </c>
      <c r="H524" s="7">
        <v>1</v>
      </c>
      <c r="I524" s="32" t="str">
        <f>IFERROR(VLOOKUP(F524,Productos!$A$2:$D$258,3,0)," ")</f>
        <v>Standing Desk</v>
      </c>
      <c r="J524" s="139" t="s">
        <v>21</v>
      </c>
      <c r="K524" s="139" t="s">
        <v>22</v>
      </c>
      <c r="L524" s="26" t="str">
        <f t="shared" si="71"/>
        <v>Despachado</v>
      </c>
      <c r="M524" s="56" t="s">
        <v>238</v>
      </c>
      <c r="N524" s="187" t="s">
        <v>1194</v>
      </c>
      <c r="O524" s="150">
        <v>45819</v>
      </c>
      <c r="P524" s="151">
        <v>45820</v>
      </c>
      <c r="Q524" s="24" t="str">
        <f t="shared" si="69"/>
        <v>Entregado</v>
      </c>
      <c r="R524" s="25">
        <f>IF(L524="Despachado",NETWORKDAYS.INTL(A524,O524,11,Valores!$A$2:$A$18)-1,"PTE")</f>
        <v>0</v>
      </c>
      <c r="S524" s="25">
        <f>IF(Q524="Entregado",NETWORKDAYS.INTL(A524,P524,11,Valores!$A$2:$A$18)-1,"PTE")</f>
        <v>1</v>
      </c>
      <c r="T524" s="25"/>
      <c r="U524" s="25"/>
      <c r="V524" s="25" t="str">
        <f>IF(Q524="Entregado",IF(S524&lt;=VLOOKUP(K524,Valores!E:F,2,0),"Cumple","No cumple"),"PTE")</f>
        <v>Cumple</v>
      </c>
      <c r="W524" s="25"/>
      <c r="X524" s="29">
        <v>42921</v>
      </c>
      <c r="Y524" s="224"/>
      <c r="Z524" s="28"/>
    </row>
    <row r="525" spans="1:26" hidden="1" x14ac:dyDescent="0.3">
      <c r="A525" s="34">
        <v>45819</v>
      </c>
      <c r="B525" s="7" t="str">
        <f t="shared" si="70"/>
        <v>junio</v>
      </c>
      <c r="C525" s="27">
        <v>2589</v>
      </c>
      <c r="D525" s="23" t="s">
        <v>20</v>
      </c>
      <c r="E525" s="176" t="s">
        <v>1083</v>
      </c>
      <c r="F525" s="22" t="s">
        <v>311</v>
      </c>
      <c r="G525" s="32" t="str">
        <f>IFERROR(VLOOKUP(F525,Productos!$A$2:$D$258,2,0)," ")</f>
        <v>Superficie  Fresno Europeo 170x70 Moderno</v>
      </c>
      <c r="H525" s="7">
        <v>1</v>
      </c>
      <c r="I525" s="32" t="str">
        <f>IFERROR(VLOOKUP(F525,Productos!$A$2:$D$258,3,0)," ")</f>
        <v>Superficie</v>
      </c>
      <c r="J525" s="139" t="s">
        <v>21</v>
      </c>
      <c r="K525" s="139" t="s">
        <v>22</v>
      </c>
      <c r="L525" s="26" t="str">
        <f t="shared" si="71"/>
        <v>Despachado</v>
      </c>
      <c r="M525" s="56" t="s">
        <v>238</v>
      </c>
      <c r="N525" s="187" t="s">
        <v>1195</v>
      </c>
      <c r="O525" s="150">
        <v>45819</v>
      </c>
      <c r="P525" s="151">
        <v>45821</v>
      </c>
      <c r="Q525" s="24" t="str">
        <f t="shared" si="69"/>
        <v>Entregado</v>
      </c>
      <c r="R525" s="25">
        <f>IF(L525="Despachado",NETWORKDAYS.INTL(A525,O525,11,Valores!$A$2:$A$18)-1,"PTE")</f>
        <v>0</v>
      </c>
      <c r="S525" s="25">
        <f>IF(Q525="Entregado",NETWORKDAYS.INTL(A525,P525,11,Valores!$A$2:$A$18)-1,"PTE")</f>
        <v>2</v>
      </c>
      <c r="T525" s="25"/>
      <c r="U525" s="25"/>
      <c r="V525" s="25" t="str">
        <f>IF(Q525="Entregado",IF(S525&lt;=VLOOKUP(K525,Valores!E:F,2,0),"Cumple","No cumple"),"PTE")</f>
        <v>Cumple</v>
      </c>
      <c r="W525" s="25"/>
      <c r="X525" s="29">
        <v>24093</v>
      </c>
      <c r="Y525" s="224"/>
      <c r="Z525" s="28"/>
    </row>
    <row r="526" spans="1:26" hidden="1" x14ac:dyDescent="0.3">
      <c r="A526" s="34">
        <v>45819</v>
      </c>
      <c r="B526" s="7" t="str">
        <f t="shared" si="70"/>
        <v>junio</v>
      </c>
      <c r="C526" s="27">
        <v>2589</v>
      </c>
      <c r="D526" s="23" t="s">
        <v>20</v>
      </c>
      <c r="E526" s="176" t="s">
        <v>1083</v>
      </c>
      <c r="F526" s="40" t="s">
        <v>567</v>
      </c>
      <c r="G526" s="32" t="str">
        <f>IFERROR(VLOOKUP(F526,Productos!$A$2:$D$258,2,0)," ")</f>
        <v>Archivador TECU Fresno Europeo</v>
      </c>
      <c r="H526" s="7">
        <v>1</v>
      </c>
      <c r="I526" s="32" t="str">
        <f>IFERROR(VLOOKUP(F526,Productos!$A$2:$D$258,3,0)," ")</f>
        <v>Archivador</v>
      </c>
      <c r="J526" s="139" t="s">
        <v>21</v>
      </c>
      <c r="K526" s="139" t="s">
        <v>22</v>
      </c>
      <c r="L526" s="26" t="str">
        <f t="shared" si="71"/>
        <v>Despachado</v>
      </c>
      <c r="M526" s="56" t="s">
        <v>239</v>
      </c>
      <c r="N526" s="187" t="s">
        <v>1196</v>
      </c>
      <c r="O526" s="150">
        <v>45820</v>
      </c>
      <c r="P526" s="151">
        <v>45821</v>
      </c>
      <c r="Q526" s="24" t="str">
        <f t="shared" si="69"/>
        <v>Entregado</v>
      </c>
      <c r="R526" s="25">
        <f>IF(L526="Despachado",NETWORKDAYS.INTL(A526,O526,11,Valores!$A$2:$A$18)-1,"PTE")</f>
        <v>1</v>
      </c>
      <c r="S526" s="25">
        <f>IF(Q526="Entregado",NETWORKDAYS.INTL(A526,P526,11,Valores!$A$2:$A$18)-1,"PTE")</f>
        <v>2</v>
      </c>
      <c r="T526" s="25"/>
      <c r="U526" s="25"/>
      <c r="V526" s="25" t="str">
        <f>IF(Q526="Entregado",IF(S526&lt;=VLOOKUP(K526,Valores!E:F,2,0),"Cumple","No cumple"),"PTE")</f>
        <v>Cumple</v>
      </c>
      <c r="W526" s="25"/>
      <c r="X526" s="29">
        <v>54929</v>
      </c>
      <c r="Y526" s="224"/>
      <c r="Z526" s="28"/>
    </row>
    <row r="527" spans="1:26" hidden="1" x14ac:dyDescent="0.3">
      <c r="A527" s="34">
        <v>45820</v>
      </c>
      <c r="B527" s="7" t="str">
        <f t="shared" si="70"/>
        <v>junio</v>
      </c>
      <c r="C527" s="27">
        <v>2590</v>
      </c>
      <c r="D527" s="23" t="s">
        <v>20</v>
      </c>
      <c r="E527" s="176" t="s">
        <v>1084</v>
      </c>
      <c r="F527" s="40" t="s">
        <v>730</v>
      </c>
      <c r="G527" s="32" t="str">
        <f>IFERROR(VLOOKUP(F527,Productos!$A$2:$D$258,2,0)," ")</f>
        <v>Electric Standing Desk  PRO Blanco circular</v>
      </c>
      <c r="H527" s="7">
        <v>1</v>
      </c>
      <c r="I527" s="32" t="str">
        <f>IFERROR(VLOOKUP(F527,Productos!$A$2:$D$258,3,0)," ")</f>
        <v>Standing Desk</v>
      </c>
      <c r="J527" s="175" t="s">
        <v>24</v>
      </c>
      <c r="K527" s="175" t="s">
        <v>209</v>
      </c>
      <c r="L527" s="26" t="str">
        <f t="shared" ref="L527:L555" si="72">IF(O527&gt;0,"Despachado","En alistamiento")</f>
        <v>Despachado</v>
      </c>
      <c r="M527" s="56" t="s">
        <v>238</v>
      </c>
      <c r="N527" s="187" t="s">
        <v>1197</v>
      </c>
      <c r="O527" s="150">
        <v>45820</v>
      </c>
      <c r="P527" s="151">
        <v>45821</v>
      </c>
      <c r="Q527" s="24" t="str">
        <f t="shared" si="69"/>
        <v>Entregado</v>
      </c>
      <c r="R527" s="25">
        <f>IF(L527="Despachado",NETWORKDAYS.INTL(A527,O527,11,Valores!$A$2:$A$18)-1,"PTE")</f>
        <v>0</v>
      </c>
      <c r="S527" s="25">
        <f>IF(Q527="Entregado",NETWORKDAYS.INTL(A527,P527,11,Valores!$A$2:$A$18)-1,"PTE")</f>
        <v>1</v>
      </c>
      <c r="T527" s="25"/>
      <c r="U527" s="25"/>
      <c r="V527" s="25" t="str">
        <f>IF(Q527="Entregado",IF(S527&lt;=VLOOKUP(K527,Valores!E:F,2,0),"Cumple","No cumple"),"PTE")</f>
        <v>Cumple</v>
      </c>
      <c r="W527" s="25"/>
      <c r="X527" s="29">
        <v>42921</v>
      </c>
      <c r="Y527" s="224"/>
      <c r="Z527" s="28"/>
    </row>
    <row r="528" spans="1:26" hidden="1" x14ac:dyDescent="0.3">
      <c r="A528" s="34">
        <v>45820</v>
      </c>
      <c r="B528" s="7" t="str">
        <f t="shared" si="70"/>
        <v>junio</v>
      </c>
      <c r="C528" s="27">
        <v>2590</v>
      </c>
      <c r="D528" s="23" t="s">
        <v>20</v>
      </c>
      <c r="E528" s="176" t="s">
        <v>1084</v>
      </c>
      <c r="F528" s="22" t="s">
        <v>305</v>
      </c>
      <c r="G528" s="32" t="str">
        <f>IFERROR(VLOOKUP(F528,Productos!$A$2:$D$258,2,0)," ")</f>
        <v>Superficie  Fresno Europeo 160x70 Clasico</v>
      </c>
      <c r="H528" s="7">
        <v>1</v>
      </c>
      <c r="I528" s="32" t="str">
        <f>IFERROR(VLOOKUP(F528,Productos!$A$2:$D$258,3,0)," ")</f>
        <v>Superficie</v>
      </c>
      <c r="J528" s="175" t="s">
        <v>24</v>
      </c>
      <c r="K528" s="175" t="s">
        <v>209</v>
      </c>
      <c r="L528" s="26" t="str">
        <f t="shared" si="72"/>
        <v>Despachado</v>
      </c>
      <c r="M528" s="56" t="s">
        <v>238</v>
      </c>
      <c r="N528" s="187" t="s">
        <v>1198</v>
      </c>
      <c r="O528" s="150">
        <v>45820</v>
      </c>
      <c r="P528" s="151">
        <v>45821</v>
      </c>
      <c r="Q528" s="24" t="str">
        <f t="shared" si="69"/>
        <v>Entregado</v>
      </c>
      <c r="R528" s="25">
        <f>IF(L528="Despachado",NETWORKDAYS.INTL(A528,O528,11,Valores!$A$2:$A$18)-1,"PTE")</f>
        <v>0</v>
      </c>
      <c r="S528" s="25">
        <f>IF(Q528="Entregado",NETWORKDAYS.INTL(A528,P528,11,Valores!$A$2:$A$18)-1,"PTE")</f>
        <v>1</v>
      </c>
      <c r="T528" s="25"/>
      <c r="U528" s="25"/>
      <c r="V528" s="25" t="str">
        <f>IF(Q528="Entregado",IF(S528&lt;=VLOOKUP(K528,Valores!E:F,2,0),"Cumple","No cumple"),"PTE")</f>
        <v>Cumple</v>
      </c>
      <c r="W528" s="25"/>
      <c r="X528" s="29">
        <v>24093</v>
      </c>
      <c r="Y528" s="224"/>
      <c r="Z528" s="28"/>
    </row>
    <row r="529" spans="1:26" hidden="1" x14ac:dyDescent="0.3">
      <c r="A529" s="34">
        <v>45820</v>
      </c>
      <c r="B529" s="7" t="str">
        <f t="shared" si="70"/>
        <v>junio</v>
      </c>
      <c r="C529" s="27">
        <v>2590</v>
      </c>
      <c r="D529" s="23" t="s">
        <v>20</v>
      </c>
      <c r="E529" s="176" t="s">
        <v>1084</v>
      </c>
      <c r="F529" s="22" t="s">
        <v>89</v>
      </c>
      <c r="G529" s="32" t="str">
        <f>IFERROR(VLOOKUP(F529,Productos!$A$2:$D$258,2,0)," ")</f>
        <v>Desk Stool Gris Silla ajustable</v>
      </c>
      <c r="H529" s="7">
        <v>1</v>
      </c>
      <c r="I529" s="32" t="str">
        <f>IFERROR(VLOOKUP(F529,Productos!$A$2:$D$258,3,0)," ")</f>
        <v>Silla</v>
      </c>
      <c r="J529" s="175" t="s">
        <v>24</v>
      </c>
      <c r="K529" s="175" t="s">
        <v>209</v>
      </c>
      <c r="L529" s="26" t="str">
        <f t="shared" si="72"/>
        <v>Despachado</v>
      </c>
      <c r="M529" s="56" t="s">
        <v>238</v>
      </c>
      <c r="N529" s="187" t="s">
        <v>1199</v>
      </c>
      <c r="O529" s="150">
        <v>45820</v>
      </c>
      <c r="P529" s="151">
        <v>45821</v>
      </c>
      <c r="Q529" s="24" t="str">
        <f t="shared" si="69"/>
        <v>Entregado</v>
      </c>
      <c r="R529" s="25">
        <f>IF(L529="Despachado",NETWORKDAYS.INTL(A529,O529,11,Valores!$A$2:$A$18)-1,"PTE")</f>
        <v>0</v>
      </c>
      <c r="S529" s="25">
        <f>IF(Q529="Entregado",NETWORKDAYS.INTL(A529,P529,11,Valores!$A$2:$A$18)-1,"PTE")</f>
        <v>1</v>
      </c>
      <c r="T529" s="25"/>
      <c r="U529" s="25"/>
      <c r="V529" s="25" t="str">
        <f>IF(Q529="Entregado",IF(S529&lt;=VLOOKUP(K529,Valores!E:F,2,0),"Cumple","No cumple"),"PTE")</f>
        <v>Cumple</v>
      </c>
      <c r="W529" s="25"/>
      <c r="X529" s="29">
        <v>26609</v>
      </c>
      <c r="Y529" s="224"/>
      <c r="Z529" s="28"/>
    </row>
    <row r="530" spans="1:26" hidden="1" x14ac:dyDescent="0.3">
      <c r="A530" s="34">
        <v>45820</v>
      </c>
      <c r="B530" s="7" t="str">
        <f>TEXT(A530,"mmmm")</f>
        <v>junio</v>
      </c>
      <c r="C530" s="27">
        <v>2591</v>
      </c>
      <c r="D530" s="23" t="s">
        <v>20</v>
      </c>
      <c r="E530" s="176" t="s">
        <v>1085</v>
      </c>
      <c r="F530" s="40" t="s">
        <v>129</v>
      </c>
      <c r="G530" s="32" t="str">
        <f>IFERROR(VLOOKUP(F530,Productos!$A$2:$D$258,2,0)," ")</f>
        <v>Electric Standing Desk  PRO Negro</v>
      </c>
      <c r="H530" s="7">
        <v>1</v>
      </c>
      <c r="I530" s="32" t="str">
        <f>IFERROR(VLOOKUP(F530,Productos!$A$2:$D$258,3,0)," ")</f>
        <v>Standing Desk</v>
      </c>
      <c r="J530" s="175" t="s">
        <v>24</v>
      </c>
      <c r="K530" s="175" t="s">
        <v>1086</v>
      </c>
      <c r="L530" s="26" t="str">
        <f t="shared" si="72"/>
        <v>Despachado</v>
      </c>
      <c r="M530" s="56" t="s">
        <v>238</v>
      </c>
      <c r="N530" s="187" t="s">
        <v>1200</v>
      </c>
      <c r="O530" s="150">
        <v>45821</v>
      </c>
      <c r="P530" s="151">
        <v>45822</v>
      </c>
      <c r="Q530" s="24" t="str">
        <f t="shared" si="69"/>
        <v>Entregado</v>
      </c>
      <c r="R530" s="25">
        <f>IF(L530="Despachado",NETWORKDAYS.INTL(A530,O530,11,Valores!$A$2:$A$18)-1,"PTE")</f>
        <v>1</v>
      </c>
      <c r="S530" s="25">
        <f>IF(Q530="Entregado",NETWORKDAYS.INTL(A530,P530,11,Valores!$A$2:$A$18)-1,"PTE")</f>
        <v>2</v>
      </c>
      <c r="T530" s="25"/>
      <c r="U530" s="25"/>
      <c r="V530" s="25" t="e">
        <f>IF(Q530="Entregado",IF(S530&lt;=VLOOKUP(K530,Valores!E:F,2,0),"Cumple","No cumple"),"PTE")</f>
        <v>#N/A</v>
      </c>
      <c r="W530" s="25"/>
      <c r="X530" s="29">
        <v>42921</v>
      </c>
      <c r="Y530" s="224"/>
      <c r="Z530" s="28"/>
    </row>
    <row r="531" spans="1:26" hidden="1" x14ac:dyDescent="0.3">
      <c r="A531" s="34">
        <v>45820</v>
      </c>
      <c r="B531" s="7" t="str">
        <f>TEXT(A531,"mmmm")</f>
        <v>junio</v>
      </c>
      <c r="C531" s="27">
        <v>2591</v>
      </c>
      <c r="D531" s="23" t="s">
        <v>20</v>
      </c>
      <c r="E531" s="176" t="s">
        <v>1085</v>
      </c>
      <c r="F531" s="22" t="s">
        <v>107</v>
      </c>
      <c r="G531" s="32" t="str">
        <f>IFERROR(VLOOKUP(F531,Productos!$A$2:$D$258,2,0)," ")</f>
        <v>Superficie  Caramelo 120x70 Clasico Small</v>
      </c>
      <c r="H531" s="7">
        <v>1</v>
      </c>
      <c r="I531" s="32" t="str">
        <f>IFERROR(VLOOKUP(F531,Productos!$A$2:$D$258,3,0)," ")</f>
        <v>Superficie</v>
      </c>
      <c r="J531" s="175" t="s">
        <v>24</v>
      </c>
      <c r="K531" s="175" t="s">
        <v>1086</v>
      </c>
      <c r="L531" s="26" t="str">
        <f t="shared" si="72"/>
        <v>Despachado</v>
      </c>
      <c r="M531" s="56" t="s">
        <v>238</v>
      </c>
      <c r="N531" s="187" t="s">
        <v>1201</v>
      </c>
      <c r="O531" s="150">
        <v>45821</v>
      </c>
      <c r="P531" s="151">
        <v>45822</v>
      </c>
      <c r="Q531" s="24" t="str">
        <f t="shared" si="69"/>
        <v>Entregado</v>
      </c>
      <c r="R531" s="25">
        <f>IF(L531="Despachado",NETWORKDAYS.INTL(A531,O531,11,Valores!$A$2:$A$18)-1,"PTE")</f>
        <v>1</v>
      </c>
      <c r="S531" s="25">
        <f>IF(Q531="Entregado",NETWORKDAYS.INTL(A531,P531,11,Valores!$A$2:$A$18)-1,"PTE")</f>
        <v>2</v>
      </c>
      <c r="T531" s="25"/>
      <c r="U531" s="25"/>
      <c r="V531" s="25" t="e">
        <f>IF(Q531="Entregado",IF(S531&lt;=VLOOKUP(K531,Valores!E:F,2,0),"Cumple","No cumple"),"PTE")</f>
        <v>#N/A</v>
      </c>
      <c r="W531" s="25"/>
      <c r="X531" s="29">
        <v>28741</v>
      </c>
      <c r="Y531" s="224"/>
      <c r="Z531" s="28"/>
    </row>
    <row r="532" spans="1:26" hidden="1" x14ac:dyDescent="0.3">
      <c r="A532" s="34">
        <v>45821</v>
      </c>
      <c r="B532" s="7" t="str">
        <f>TEXT(A532,"mmmm")</f>
        <v>junio</v>
      </c>
      <c r="C532" s="27">
        <v>2592</v>
      </c>
      <c r="D532" s="23" t="s">
        <v>20</v>
      </c>
      <c r="E532" s="176" t="s">
        <v>1087</v>
      </c>
      <c r="F532" s="40" t="s">
        <v>129</v>
      </c>
      <c r="G532" s="32" t="str">
        <f>IFERROR(VLOOKUP(F532,Productos!$A$2:$D$258,2,0)," ")</f>
        <v>Electric Standing Desk  PRO Negro</v>
      </c>
      <c r="H532" s="7">
        <v>1</v>
      </c>
      <c r="I532" s="32" t="str">
        <f>IFERROR(VLOOKUP(F532,Productos!$A$2:$D$258,3,0)," ")</f>
        <v>Standing Desk</v>
      </c>
      <c r="J532" s="139" t="s">
        <v>21</v>
      </c>
      <c r="K532" s="139" t="s">
        <v>22</v>
      </c>
      <c r="L532" s="26" t="str">
        <f t="shared" si="72"/>
        <v>Despachado</v>
      </c>
      <c r="M532" s="56" t="s">
        <v>238</v>
      </c>
      <c r="N532" s="187" t="s">
        <v>1202</v>
      </c>
      <c r="O532" s="150">
        <v>45821</v>
      </c>
      <c r="P532" s="151">
        <v>45824</v>
      </c>
      <c r="Q532" s="24" t="str">
        <f t="shared" si="69"/>
        <v>Entregado</v>
      </c>
      <c r="R532" s="25">
        <f>IF(L532="Despachado",NETWORKDAYS.INTL(A532,O532,11,Valores!$A$2:$A$18)-1,"PTE")</f>
        <v>0</v>
      </c>
      <c r="S532" s="25">
        <f>IF(Q532="Entregado",NETWORKDAYS.INTL(A532,P532,11,Valores!$A$2:$A$18)-1,"PTE")</f>
        <v>2</v>
      </c>
      <c r="T532" s="25"/>
      <c r="U532" s="25"/>
      <c r="V532" s="25" t="str">
        <f>IF(Q532="Entregado",IF(S532&lt;=VLOOKUP(K532,Valores!E:F,2,0),"Cumple","No cumple"),"PTE")</f>
        <v>Cumple</v>
      </c>
      <c r="W532" s="25"/>
      <c r="X532" s="29">
        <v>42921</v>
      </c>
      <c r="Y532" s="224"/>
      <c r="Z532" s="28"/>
    </row>
    <row r="533" spans="1:26" hidden="1" x14ac:dyDescent="0.3">
      <c r="A533" s="34">
        <v>45821</v>
      </c>
      <c r="B533" s="7" t="str">
        <f>TEXT(A533,"mmmm")</f>
        <v>junio</v>
      </c>
      <c r="C533" s="27">
        <v>2592</v>
      </c>
      <c r="D533" s="23" t="s">
        <v>20</v>
      </c>
      <c r="E533" s="176" t="s">
        <v>1087</v>
      </c>
      <c r="F533" s="22" t="s">
        <v>111</v>
      </c>
      <c r="G533" s="32" t="str">
        <f>IFERROR(VLOOKUP(F533,Productos!$A$2:$D$258,2,0)," ")</f>
        <v>Superficie  Roble Negro 180x70 Clasico</v>
      </c>
      <c r="H533" s="7">
        <v>1</v>
      </c>
      <c r="I533" s="32" t="str">
        <f>IFERROR(VLOOKUP(F533,Productos!$A$2:$D$258,3,0)," ")</f>
        <v>Superficie</v>
      </c>
      <c r="J533" s="139" t="s">
        <v>21</v>
      </c>
      <c r="K533" s="139" t="s">
        <v>22</v>
      </c>
      <c r="L533" s="26" t="str">
        <f t="shared" si="72"/>
        <v>Despachado</v>
      </c>
      <c r="M533" s="56" t="s">
        <v>238</v>
      </c>
      <c r="N533" s="187" t="s">
        <v>1203</v>
      </c>
      <c r="O533" s="150">
        <v>45821</v>
      </c>
      <c r="P533" s="151">
        <v>45824</v>
      </c>
      <c r="Q533" s="24" t="str">
        <f t="shared" si="69"/>
        <v>Entregado</v>
      </c>
      <c r="R533" s="25">
        <f>IF(L533="Despachado",NETWORKDAYS.INTL(A533,O533,11,Valores!$A$2:$A$18)-1,"PTE")</f>
        <v>0</v>
      </c>
      <c r="S533" s="25">
        <f>IF(Q533="Entregado",NETWORKDAYS.INTL(A533,P533,11,Valores!$A$2:$A$18)-1,"PTE")</f>
        <v>2</v>
      </c>
      <c r="T533" s="25"/>
      <c r="U533" s="25"/>
      <c r="V533" s="25" t="str">
        <f>IF(Q533="Entregado",IF(S533&lt;=VLOOKUP(K533,Valores!E:F,2,0),"Cumple","No cumple"),"PTE")</f>
        <v>Cumple</v>
      </c>
      <c r="W533" s="25"/>
      <c r="X533" s="29">
        <v>26749</v>
      </c>
      <c r="Y533" s="224"/>
      <c r="Z533" s="28"/>
    </row>
    <row r="534" spans="1:26" hidden="1" x14ac:dyDescent="0.3">
      <c r="A534" s="34">
        <v>45821</v>
      </c>
      <c r="B534" s="7" t="str">
        <f>TEXT(A534,"mmmm")</f>
        <v>junio</v>
      </c>
      <c r="C534" s="27">
        <v>2592</v>
      </c>
      <c r="D534" s="23" t="s">
        <v>20</v>
      </c>
      <c r="E534" s="176" t="s">
        <v>1087</v>
      </c>
      <c r="F534" s="40" t="s">
        <v>240</v>
      </c>
      <c r="G534" s="32" t="str">
        <f>IFERROR(VLOOKUP(F534,Productos!$A$2:$D$258,2,0)," ")</f>
        <v>Bandeja de cables</v>
      </c>
      <c r="H534" s="7">
        <v>1</v>
      </c>
      <c r="I534" s="32" t="str">
        <f>IFERROR(VLOOKUP(F534,Productos!$A$2:$D$258,3,0)," ")</f>
        <v>Accesorio</v>
      </c>
      <c r="J534" s="139" t="s">
        <v>21</v>
      </c>
      <c r="K534" s="139" t="s">
        <v>22</v>
      </c>
      <c r="L534" s="26" t="str">
        <f t="shared" si="72"/>
        <v>Despachado</v>
      </c>
      <c r="M534" s="56" t="s">
        <v>238</v>
      </c>
      <c r="N534" s="187" t="s">
        <v>1204</v>
      </c>
      <c r="O534" s="150">
        <v>45821</v>
      </c>
      <c r="P534" s="151">
        <v>45824</v>
      </c>
      <c r="Q534" s="24" t="str">
        <f t="shared" si="69"/>
        <v>Entregado</v>
      </c>
      <c r="R534" s="25">
        <f>IF(L534="Despachado",NETWORKDAYS.INTL(A534,O534,11,Valores!$A$2:$A$18)-1,"PTE")</f>
        <v>0</v>
      </c>
      <c r="S534" s="25">
        <f>IF(Q534="Entregado",NETWORKDAYS.INTL(A534,P534,11,Valores!$A$2:$A$18)-1,"PTE")</f>
        <v>2</v>
      </c>
      <c r="T534" s="25"/>
      <c r="U534" s="25"/>
      <c r="V534" s="25" t="str">
        <f>IF(Q534="Entregado",IF(S534&lt;=VLOOKUP(K534,Valores!E:F,2,0),"Cumple","No cumple"),"PTE")</f>
        <v>Cumple</v>
      </c>
      <c r="W534" s="25"/>
      <c r="X534" s="29">
        <v>24885</v>
      </c>
      <c r="Y534" s="224"/>
      <c r="Z534" s="28"/>
    </row>
    <row r="535" spans="1:26" hidden="1" x14ac:dyDescent="0.3">
      <c r="A535" s="34">
        <v>45821</v>
      </c>
      <c r="B535" s="7" t="str">
        <f t="shared" ref="B535:B543" si="73">TEXT(A535,"mmmm")</f>
        <v>junio</v>
      </c>
      <c r="C535" s="27">
        <v>2593</v>
      </c>
      <c r="D535" s="23" t="s">
        <v>20</v>
      </c>
      <c r="E535" s="176" t="s">
        <v>1088</v>
      </c>
      <c r="F535" s="40" t="s">
        <v>123</v>
      </c>
      <c r="G535" s="32" t="str">
        <f>IFERROR(VLOOKUP(F535,Productos!$A$2:$D$258,2,0)," ")</f>
        <v>Electric Standing Desk GO Negro</v>
      </c>
      <c r="H535" s="7">
        <v>1</v>
      </c>
      <c r="I535" s="32" t="str">
        <f>IFERROR(VLOOKUP(F535,Productos!$A$2:$D$258,3,0)," ")</f>
        <v>Standing Desk</v>
      </c>
      <c r="J535" s="175" t="s">
        <v>216</v>
      </c>
      <c r="K535" s="175" t="s">
        <v>196</v>
      </c>
      <c r="L535" s="26" t="str">
        <f t="shared" si="72"/>
        <v>En alistamiento</v>
      </c>
      <c r="M535" s="56" t="s">
        <v>519</v>
      </c>
      <c r="N535" s="187" t="s">
        <v>241</v>
      </c>
      <c r="O535" s="150"/>
      <c r="P535" s="151"/>
      <c r="Q535" s="24" t="str">
        <f t="shared" si="69"/>
        <v>En transito</v>
      </c>
      <c r="R535" s="25" t="str">
        <f>IF(L535="Despachado",NETWORKDAYS.INTL(A535,O535,11,Valores!$A$2:$A$18)-1,"PTE")</f>
        <v>PTE</v>
      </c>
      <c r="S535" s="25" t="str">
        <f>IF(Q535="Entregado",NETWORKDAYS.INTL(A535,P535,11,Valores!$A$2:$A$18)-1,"PTE")</f>
        <v>PTE</v>
      </c>
      <c r="T535" s="25"/>
      <c r="U535" s="25"/>
      <c r="V535" s="25" t="str">
        <f>IF(Q535="Entregado",IF(S535&lt;=VLOOKUP(K535,Valores!E:F,2,0),"Cumple","No cumple"),"PTE")</f>
        <v>PTE</v>
      </c>
      <c r="W535" s="25"/>
      <c r="X535" s="29">
        <v>20000</v>
      </c>
      <c r="Y535" s="224"/>
      <c r="Z535" s="28"/>
    </row>
    <row r="536" spans="1:26" hidden="1" x14ac:dyDescent="0.3">
      <c r="A536" s="34">
        <v>45821</v>
      </c>
      <c r="B536" s="7" t="str">
        <f t="shared" si="73"/>
        <v>junio</v>
      </c>
      <c r="C536" s="27">
        <v>2593</v>
      </c>
      <c r="D536" s="23" t="s">
        <v>20</v>
      </c>
      <c r="E536" s="176" t="s">
        <v>1088</v>
      </c>
      <c r="F536" s="22" t="s">
        <v>155</v>
      </c>
      <c r="G536" s="32" t="str">
        <f>IFERROR(VLOOKUP(F536,Productos!$A$2:$D$258,2,0)," ")</f>
        <v>Superficie  Roble Negro 160x70 Clasico</v>
      </c>
      <c r="H536" s="7">
        <v>1</v>
      </c>
      <c r="I536" s="32" t="str">
        <f>IFERROR(VLOOKUP(F536,Productos!$A$2:$D$258,3,0)," ")</f>
        <v>Superficie</v>
      </c>
      <c r="J536" s="175" t="s">
        <v>216</v>
      </c>
      <c r="K536" s="175" t="s">
        <v>196</v>
      </c>
      <c r="L536" s="26" t="str">
        <f t="shared" si="72"/>
        <v>En alistamiento</v>
      </c>
      <c r="M536" s="56" t="s">
        <v>519</v>
      </c>
      <c r="N536" s="187" t="s">
        <v>241</v>
      </c>
      <c r="O536" s="150"/>
      <c r="P536" s="151"/>
      <c r="Q536" s="24" t="str">
        <f t="shared" si="69"/>
        <v>En transito</v>
      </c>
      <c r="R536" s="25" t="str">
        <f>IF(L536="Despachado",NETWORKDAYS.INTL(A536,O536,11,Valores!$A$2:$A$18)-1,"PTE")</f>
        <v>PTE</v>
      </c>
      <c r="S536" s="25" t="str">
        <f>IF(Q536="Entregado",NETWORKDAYS.INTL(A536,P536,11,Valores!$A$2:$A$18)-1,"PTE")</f>
        <v>PTE</v>
      </c>
      <c r="T536" s="25"/>
      <c r="U536" s="25"/>
      <c r="V536" s="25" t="str">
        <f>IF(Q536="Entregado",IF(S536&lt;=VLOOKUP(K536,Valores!E:F,2,0),"Cumple","No cumple"),"PTE")</f>
        <v>PTE</v>
      </c>
      <c r="W536" s="25"/>
      <c r="X536" s="29">
        <v>20000</v>
      </c>
      <c r="Y536" s="224"/>
      <c r="Z536" s="28"/>
    </row>
    <row r="537" spans="1:26" hidden="1" x14ac:dyDescent="0.3">
      <c r="A537" s="34">
        <v>45824</v>
      </c>
      <c r="B537" s="7" t="str">
        <f t="shared" si="73"/>
        <v>junio</v>
      </c>
      <c r="C537" s="27">
        <v>2594</v>
      </c>
      <c r="D537" s="23" t="s">
        <v>20</v>
      </c>
      <c r="E537" s="176" t="s">
        <v>1089</v>
      </c>
      <c r="F537" s="40" t="s">
        <v>123</v>
      </c>
      <c r="G537" s="32" t="str">
        <f>IFERROR(VLOOKUP(F537,Productos!$A$2:$D$258,2,0)," ")</f>
        <v>Electric Standing Desk GO Negro</v>
      </c>
      <c r="H537" s="7">
        <v>1</v>
      </c>
      <c r="I537" s="32" t="str">
        <f>IFERROR(VLOOKUP(F537,Productos!$A$2:$D$258,3,0)," ")</f>
        <v>Standing Desk</v>
      </c>
      <c r="J537" s="175" t="s">
        <v>194</v>
      </c>
      <c r="K537" s="175" t="s">
        <v>46</v>
      </c>
      <c r="L537" s="26" t="str">
        <f t="shared" si="72"/>
        <v>Despachado</v>
      </c>
      <c r="M537" s="56" t="s">
        <v>238</v>
      </c>
      <c r="N537" s="187" t="s">
        <v>1205</v>
      </c>
      <c r="O537" s="150">
        <v>45824</v>
      </c>
      <c r="P537" s="151">
        <v>45826</v>
      </c>
      <c r="Q537" s="24" t="str">
        <f t="shared" si="69"/>
        <v>Entregado</v>
      </c>
      <c r="R537" s="25">
        <f>IF(L537="Despachado",NETWORKDAYS.INTL(A537,O537,11,Valores!$A$2:$A$18)-1,"PTE")</f>
        <v>0</v>
      </c>
      <c r="S537" s="25">
        <f>IF(Q537="Entregado",NETWORKDAYS.INTL(A537,P537,11,Valores!$A$2:$A$18)-1,"PTE")</f>
        <v>2</v>
      </c>
      <c r="T537" s="25"/>
      <c r="U537" s="25"/>
      <c r="V537" s="25" t="str">
        <f>IF(Q537="Entregado",IF(S537&lt;=VLOOKUP(K537,Valores!E:F,2,0),"Cumple","No cumple"),"PTE")</f>
        <v>Cumple</v>
      </c>
      <c r="W537" s="25"/>
      <c r="X537" s="29">
        <v>53871</v>
      </c>
      <c r="Y537" s="224"/>
      <c r="Z537" s="28"/>
    </row>
    <row r="538" spans="1:26" hidden="1" x14ac:dyDescent="0.3">
      <c r="A538" s="34">
        <v>45824</v>
      </c>
      <c r="B538" s="7" t="str">
        <f t="shared" si="73"/>
        <v>junio</v>
      </c>
      <c r="C538" s="27">
        <v>2594</v>
      </c>
      <c r="D538" s="23" t="s">
        <v>20</v>
      </c>
      <c r="E538" s="176" t="s">
        <v>1089</v>
      </c>
      <c r="F538" s="22" t="s">
        <v>142</v>
      </c>
      <c r="G538" s="32" t="str">
        <f>IFERROR(VLOOKUP(F538,Productos!$A$2:$D$258,2,0)," ")</f>
        <v>Superficie Caramelo 140x70 Clasico</v>
      </c>
      <c r="H538" s="7">
        <v>1</v>
      </c>
      <c r="I538" s="32" t="str">
        <f>IFERROR(VLOOKUP(F538,Productos!$A$2:$D$258,3,0)," ")</f>
        <v>Superficie</v>
      </c>
      <c r="J538" s="175" t="s">
        <v>194</v>
      </c>
      <c r="K538" s="175" t="s">
        <v>46</v>
      </c>
      <c r="L538" s="26" t="str">
        <f t="shared" si="72"/>
        <v>Despachado</v>
      </c>
      <c r="M538" s="56" t="s">
        <v>238</v>
      </c>
      <c r="N538" s="187" t="s">
        <v>1206</v>
      </c>
      <c r="O538" s="150">
        <v>45824</v>
      </c>
      <c r="P538" s="151">
        <v>45826</v>
      </c>
      <c r="Q538" s="24" t="str">
        <f t="shared" si="69"/>
        <v>Entregado</v>
      </c>
      <c r="R538" s="25">
        <f>IF(L538="Despachado",NETWORKDAYS.INTL(A538,O538,11,Valores!$A$2:$A$18)-1,"PTE")</f>
        <v>0</v>
      </c>
      <c r="S538" s="25">
        <f>IF(Q538="Entregado",NETWORKDAYS.INTL(A538,P538,11,Valores!$A$2:$A$18)-1,"PTE")</f>
        <v>2</v>
      </c>
      <c r="T538" s="25"/>
      <c r="U538" s="25"/>
      <c r="V538" s="25" t="str">
        <f>IF(Q538="Entregado",IF(S538&lt;=VLOOKUP(K538,Valores!E:F,2,0),"Cumple","No cumple"),"PTE")</f>
        <v>Cumple</v>
      </c>
      <c r="W538" s="25"/>
      <c r="X538" s="29">
        <v>34179</v>
      </c>
      <c r="Y538" s="224"/>
      <c r="Z538" s="28"/>
    </row>
    <row r="539" spans="1:26" hidden="1" x14ac:dyDescent="0.3">
      <c r="A539" s="34">
        <v>45824</v>
      </c>
      <c r="B539" s="7" t="str">
        <f t="shared" si="73"/>
        <v>junio</v>
      </c>
      <c r="C539" s="27">
        <v>2594</v>
      </c>
      <c r="D539" s="23" t="s">
        <v>20</v>
      </c>
      <c r="E539" s="176" t="s">
        <v>1089</v>
      </c>
      <c r="F539" s="22" t="s">
        <v>83</v>
      </c>
      <c r="G539" s="32" t="str">
        <f>IFERROR(VLOOKUP(F539,Productos!$A$2:$D$258,2,0)," ")</f>
        <v>Desk Pad B Negro Azul</v>
      </c>
      <c r="H539" s="7">
        <v>1</v>
      </c>
      <c r="I539" s="32" t="str">
        <f>IFERROR(VLOOKUP(F539,Productos!$A$2:$D$258,3,0)," ")</f>
        <v>Accesorio</v>
      </c>
      <c r="J539" s="175" t="s">
        <v>194</v>
      </c>
      <c r="K539" s="175" t="s">
        <v>46</v>
      </c>
      <c r="L539" s="26" t="str">
        <f t="shared" si="72"/>
        <v>Despachado</v>
      </c>
      <c r="M539" s="56" t="s">
        <v>238</v>
      </c>
      <c r="N539" s="187" t="s">
        <v>1207</v>
      </c>
      <c r="O539" s="150">
        <v>45824</v>
      </c>
      <c r="P539" s="151">
        <v>45826</v>
      </c>
      <c r="Q539" s="24" t="str">
        <f t="shared" si="69"/>
        <v>Entregado</v>
      </c>
      <c r="R539" s="25">
        <f>IF(L539="Despachado",NETWORKDAYS.INTL(A539,O539,11,Valores!$A$2:$A$18)-1,"PTE")</f>
        <v>0</v>
      </c>
      <c r="S539" s="25">
        <f>IF(Q539="Entregado",NETWORKDAYS.INTL(A539,P539,11,Valores!$A$2:$A$18)-1,"PTE")</f>
        <v>2</v>
      </c>
      <c r="T539" s="25"/>
      <c r="U539" s="25"/>
      <c r="V539" s="25" t="str">
        <f>IF(Q539="Entregado",IF(S539&lt;=VLOOKUP(K539,Valores!E:F,2,0),"Cumple","No cumple"),"PTE")</f>
        <v>Cumple</v>
      </c>
      <c r="W539" s="25"/>
      <c r="X539" s="29">
        <v>16617</v>
      </c>
      <c r="Y539" s="224"/>
      <c r="Z539" s="28"/>
    </row>
    <row r="540" spans="1:26" hidden="1" x14ac:dyDescent="0.3">
      <c r="A540" s="34">
        <v>45824</v>
      </c>
      <c r="B540" s="7" t="str">
        <f t="shared" si="73"/>
        <v>junio</v>
      </c>
      <c r="C540" s="27">
        <v>2594</v>
      </c>
      <c r="D540" s="23" t="s">
        <v>20</v>
      </c>
      <c r="E540" s="176" t="s">
        <v>1089</v>
      </c>
      <c r="F540" s="22" t="s">
        <v>280</v>
      </c>
      <c r="G540" s="32" t="str">
        <f>IFERROR(VLOOKUP(F540,Productos!$A$2:$D$258,2,0)," ")</f>
        <v>Rodachines con freno para Standing desk x 4 UN</v>
      </c>
      <c r="H540" s="7">
        <v>1</v>
      </c>
      <c r="I540" s="32" t="str">
        <f>IFERROR(VLOOKUP(F540,Productos!$A$2:$D$258,3,0)," ")</f>
        <v>Ruedas</v>
      </c>
      <c r="J540" s="175" t="s">
        <v>194</v>
      </c>
      <c r="K540" s="175" t="s">
        <v>46</v>
      </c>
      <c r="L540" s="26" t="str">
        <f t="shared" si="72"/>
        <v>Despachado</v>
      </c>
      <c r="M540" s="56" t="s">
        <v>238</v>
      </c>
      <c r="N540" s="187" t="s">
        <v>1208</v>
      </c>
      <c r="O540" s="150">
        <v>45824</v>
      </c>
      <c r="P540" s="151">
        <v>45826</v>
      </c>
      <c r="Q540" s="24" t="str">
        <f t="shared" si="69"/>
        <v>Entregado</v>
      </c>
      <c r="R540" s="25">
        <f>IF(L540="Despachado",NETWORKDAYS.INTL(A540,O540,11,Valores!$A$2:$A$18)-1,"PTE")</f>
        <v>0</v>
      </c>
      <c r="S540" s="25">
        <f>IF(Q540="Entregado",NETWORKDAYS.INTL(A540,P540,11,Valores!$A$2:$A$18)-1,"PTE")</f>
        <v>2</v>
      </c>
      <c r="T540" s="25"/>
      <c r="U540" s="25"/>
      <c r="V540" s="25" t="str">
        <f>IF(Q540="Entregado",IF(S540&lt;=VLOOKUP(K540,Valores!E:F,2,0),"Cumple","No cumple"),"PTE")</f>
        <v>Cumple</v>
      </c>
      <c r="W540" s="25"/>
      <c r="X540" s="29">
        <v>23875</v>
      </c>
      <c r="Y540" s="224"/>
      <c r="Z540" s="28"/>
    </row>
    <row r="541" spans="1:26" hidden="1" x14ac:dyDescent="0.3">
      <c r="A541" s="34">
        <v>45824</v>
      </c>
      <c r="B541" s="7" t="str">
        <f t="shared" si="73"/>
        <v>junio</v>
      </c>
      <c r="C541" s="27">
        <v>2595</v>
      </c>
      <c r="D541" s="23" t="s">
        <v>20</v>
      </c>
      <c r="E541" s="176" t="s">
        <v>1090</v>
      </c>
      <c r="F541" s="40" t="s">
        <v>123</v>
      </c>
      <c r="G541" s="32" t="str">
        <f>IFERROR(VLOOKUP(F541,Productos!$A$2:$D$258,2,0)," ")</f>
        <v>Electric Standing Desk GO Negro</v>
      </c>
      <c r="H541" s="7">
        <v>1</v>
      </c>
      <c r="I541" s="32" t="str">
        <f>IFERROR(VLOOKUP(F541,Productos!$A$2:$D$258,3,0)," ")</f>
        <v>Standing Desk</v>
      </c>
      <c r="J541" s="175" t="s">
        <v>42</v>
      </c>
      <c r="K541" s="175" t="s">
        <v>1091</v>
      </c>
      <c r="L541" s="26" t="str">
        <f t="shared" si="72"/>
        <v>Despachado</v>
      </c>
      <c r="M541" s="56" t="s">
        <v>238</v>
      </c>
      <c r="N541" s="187" t="s">
        <v>1209</v>
      </c>
      <c r="O541" s="150">
        <v>45824</v>
      </c>
      <c r="P541" s="151">
        <v>45825</v>
      </c>
      <c r="Q541" s="24" t="str">
        <f t="shared" si="69"/>
        <v>Entregado</v>
      </c>
      <c r="R541" s="25">
        <f>IF(L541="Despachado",NETWORKDAYS.INTL(A541,O541,11,Valores!$A$2:$A$18)-1,"PTE")</f>
        <v>0</v>
      </c>
      <c r="S541" s="25">
        <f>IF(Q541="Entregado",NETWORKDAYS.INTL(A541,P541,11,Valores!$A$2:$A$18)-1,"PTE")</f>
        <v>1</v>
      </c>
      <c r="T541" s="25"/>
      <c r="U541" s="25"/>
      <c r="V541" s="25" t="e">
        <f>IF(Q541="Entregado",IF(S541&lt;=VLOOKUP(K541,Valores!E:F,2,0),"Cumple","No cumple"),"PTE")</f>
        <v>#N/A</v>
      </c>
      <c r="W541" s="25"/>
      <c r="X541" s="29">
        <v>34156</v>
      </c>
      <c r="Y541" s="224"/>
      <c r="Z541" s="28"/>
    </row>
    <row r="542" spans="1:26" hidden="1" x14ac:dyDescent="0.3">
      <c r="A542" s="34">
        <v>45824</v>
      </c>
      <c r="B542" s="7" t="str">
        <f t="shared" si="73"/>
        <v>junio</v>
      </c>
      <c r="C542" s="27">
        <v>2595</v>
      </c>
      <c r="D542" s="23" t="s">
        <v>20</v>
      </c>
      <c r="E542" s="176" t="s">
        <v>1090</v>
      </c>
      <c r="F542" s="22" t="s">
        <v>107</v>
      </c>
      <c r="G542" s="32" t="str">
        <f>IFERROR(VLOOKUP(F542,Productos!$A$2:$D$258,2,0)," ")</f>
        <v>Superficie  Caramelo 120x70 Clasico Small</v>
      </c>
      <c r="H542" s="7">
        <v>1</v>
      </c>
      <c r="I542" s="32" t="str">
        <f>IFERROR(VLOOKUP(F542,Productos!$A$2:$D$258,3,0)," ")</f>
        <v>Superficie</v>
      </c>
      <c r="J542" s="175" t="s">
        <v>42</v>
      </c>
      <c r="K542" s="175" t="s">
        <v>1091</v>
      </c>
      <c r="L542" s="26" t="str">
        <f t="shared" si="72"/>
        <v>Despachado</v>
      </c>
      <c r="M542" s="56" t="s">
        <v>238</v>
      </c>
      <c r="N542" s="187" t="s">
        <v>1210</v>
      </c>
      <c r="O542" s="150">
        <v>45824</v>
      </c>
      <c r="P542" s="151">
        <v>45825</v>
      </c>
      <c r="Q542" s="24" t="str">
        <f t="shared" si="69"/>
        <v>Entregado</v>
      </c>
      <c r="R542" s="25">
        <f>IF(L542="Despachado",NETWORKDAYS.INTL(A542,O542,11,Valores!$A$2:$A$18)-1,"PTE")</f>
        <v>0</v>
      </c>
      <c r="S542" s="25">
        <f>IF(Q542="Entregado",NETWORKDAYS.INTL(A542,P542,11,Valores!$A$2:$A$18)-1,"PTE")</f>
        <v>1</v>
      </c>
      <c r="T542" s="25"/>
      <c r="U542" s="25"/>
      <c r="V542" s="25" t="e">
        <f>IF(Q542="Entregado",IF(S542&lt;=VLOOKUP(K542,Valores!E:F,2,0),"Cumple","No cumple"),"PTE")</f>
        <v>#N/A</v>
      </c>
      <c r="W542" s="25"/>
      <c r="X542" s="29">
        <v>15194</v>
      </c>
      <c r="Y542" s="224"/>
      <c r="Z542" s="28"/>
    </row>
    <row r="543" spans="1:26" hidden="1" x14ac:dyDescent="0.3">
      <c r="A543" s="34">
        <v>45824</v>
      </c>
      <c r="B543" s="7" t="str">
        <f t="shared" si="73"/>
        <v>junio</v>
      </c>
      <c r="C543" s="27">
        <v>2595</v>
      </c>
      <c r="D543" s="23" t="s">
        <v>20</v>
      </c>
      <c r="E543" s="176" t="s">
        <v>1090</v>
      </c>
      <c r="F543" s="22" t="s">
        <v>87</v>
      </c>
      <c r="G543" s="32" t="str">
        <f>IFERROR(VLOOKUP(F543,Productos!$A$2:$D$258,2,0)," ")</f>
        <v>Desk Stool Negra Silla ajustable</v>
      </c>
      <c r="H543" s="7">
        <v>2</v>
      </c>
      <c r="I543" s="32" t="str">
        <f>IFERROR(VLOOKUP(F543,Productos!$A$2:$D$258,3,0)," ")</f>
        <v>Silla</v>
      </c>
      <c r="J543" s="175" t="s">
        <v>42</v>
      </c>
      <c r="K543" s="175" t="s">
        <v>1091</v>
      </c>
      <c r="L543" s="26" t="str">
        <f t="shared" si="72"/>
        <v>Despachado</v>
      </c>
      <c r="M543" s="56" t="s">
        <v>238</v>
      </c>
      <c r="N543" s="187" t="s">
        <v>1211</v>
      </c>
      <c r="O543" s="150">
        <v>45824</v>
      </c>
      <c r="P543" s="151">
        <v>45825</v>
      </c>
      <c r="Q543" s="24" t="str">
        <f t="shared" si="69"/>
        <v>Entregado</v>
      </c>
      <c r="R543" s="25">
        <f>IF(L543="Despachado",NETWORKDAYS.INTL(A543,O543,11,Valores!$A$2:$A$18)-1,"PTE")</f>
        <v>0</v>
      </c>
      <c r="S543" s="25">
        <f>IF(Q543="Entregado",NETWORKDAYS.INTL(A543,P543,11,Valores!$A$2:$A$18)-1,"PTE")</f>
        <v>1</v>
      </c>
      <c r="T543" s="25"/>
      <c r="U543" s="25"/>
      <c r="V543" s="25" t="e">
        <f>IF(Q543="Entregado",IF(S543&lt;=VLOOKUP(K543,Valores!E:F,2,0),"Cumple","No cumple"),"PTE")</f>
        <v>#N/A</v>
      </c>
      <c r="W543" s="25"/>
      <c r="X543" s="29"/>
      <c r="Y543" s="224"/>
      <c r="Z543" s="28"/>
    </row>
    <row r="544" spans="1:26" hidden="1" x14ac:dyDescent="0.3">
      <c r="A544" s="34">
        <v>45824</v>
      </c>
      <c r="B544" s="7" t="str">
        <f>TEXT(A544,"mmmm")</f>
        <v>junio</v>
      </c>
      <c r="C544" s="27">
        <v>2596</v>
      </c>
      <c r="D544" s="23" t="s">
        <v>20</v>
      </c>
      <c r="E544" s="176" t="s">
        <v>1092</v>
      </c>
      <c r="F544" s="40" t="s">
        <v>127</v>
      </c>
      <c r="G544" s="32" t="str">
        <f>IFERROR(VLOOKUP(F544,Productos!$A$2:$D$258,2,0)," ")</f>
        <v>Electric Standing Desk GO Blanco</v>
      </c>
      <c r="H544" s="7">
        <v>1</v>
      </c>
      <c r="I544" s="32" t="str">
        <f>IFERROR(VLOOKUP(F544,Productos!$A$2:$D$258,3,0)," ")</f>
        <v>Standing Desk</v>
      </c>
      <c r="J544" s="175" t="s">
        <v>24</v>
      </c>
      <c r="K544" s="175" t="s">
        <v>27</v>
      </c>
      <c r="L544" s="26" t="str">
        <f t="shared" si="72"/>
        <v>Despachado</v>
      </c>
      <c r="M544" s="56" t="s">
        <v>238</v>
      </c>
      <c r="N544" s="187" t="s">
        <v>1212</v>
      </c>
      <c r="O544" s="150">
        <v>45824</v>
      </c>
      <c r="P544" s="151">
        <v>45826</v>
      </c>
      <c r="Q544" s="24" t="str">
        <f t="shared" ref="Q544:Q588" si="74">IF(P544&gt;0,"Entregado","En transito")</f>
        <v>Entregado</v>
      </c>
      <c r="R544" s="25">
        <f>IF(L544="Despachado",NETWORKDAYS.INTL(A544,O544,11,Valores!$A$2:$A$18)-1,"PTE")</f>
        <v>0</v>
      </c>
      <c r="S544" s="25">
        <f>IF(Q544="Entregado",NETWORKDAYS.INTL(A544,P544,11,Valores!$A$2:$A$18)-1,"PTE")</f>
        <v>2</v>
      </c>
      <c r="T544" s="25"/>
      <c r="U544" s="25"/>
      <c r="V544" s="25" t="str">
        <f>IF(Q544="Entregado",IF(S544&lt;=VLOOKUP(K544,Valores!E:F,2,0),"Cumple","No cumple"),"PTE")</f>
        <v>Cumple</v>
      </c>
      <c r="W544" s="25"/>
      <c r="X544" s="29">
        <v>41593</v>
      </c>
      <c r="Y544" s="224"/>
      <c r="Z544" s="28"/>
    </row>
    <row r="545" spans="1:26" hidden="1" x14ac:dyDescent="0.3">
      <c r="A545" s="34">
        <v>45824</v>
      </c>
      <c r="B545" s="7" t="str">
        <f>TEXT(A545,"mmmm")</f>
        <v>junio</v>
      </c>
      <c r="C545" s="27">
        <v>2596</v>
      </c>
      <c r="D545" s="23" t="s">
        <v>20</v>
      </c>
      <c r="E545" s="176" t="s">
        <v>1092</v>
      </c>
      <c r="F545" s="22" t="s">
        <v>301</v>
      </c>
      <c r="G545" s="32" t="str">
        <f>IFERROR(VLOOKUP(F545,Productos!$A$2:$D$258,2,0)," ")</f>
        <v>Superficie  Fresno Europeo 120x70 Clasico Small</v>
      </c>
      <c r="H545" s="7">
        <v>1</v>
      </c>
      <c r="I545" s="32" t="str">
        <f>IFERROR(VLOOKUP(F545,Productos!$A$2:$D$258,3,0)," ")</f>
        <v>Superficie</v>
      </c>
      <c r="J545" s="175" t="s">
        <v>24</v>
      </c>
      <c r="K545" s="175" t="s">
        <v>27</v>
      </c>
      <c r="L545" s="26" t="str">
        <f t="shared" si="72"/>
        <v>Despachado</v>
      </c>
      <c r="M545" s="56" t="s">
        <v>238</v>
      </c>
      <c r="N545" s="187" t="s">
        <v>1213</v>
      </c>
      <c r="O545" s="150">
        <v>45824</v>
      </c>
      <c r="P545" s="151">
        <v>45826</v>
      </c>
      <c r="Q545" s="24" t="str">
        <f t="shared" si="74"/>
        <v>Entregado</v>
      </c>
      <c r="R545" s="25">
        <f>IF(L545="Despachado",NETWORKDAYS.INTL(A545,O545,11,Valores!$A$2:$A$18)-1,"PTE")</f>
        <v>0</v>
      </c>
      <c r="S545" s="25">
        <f>IF(Q545="Entregado",NETWORKDAYS.INTL(A545,P545,11,Valores!$A$2:$A$18)-1,"PTE")</f>
        <v>2</v>
      </c>
      <c r="T545" s="25"/>
      <c r="U545" s="25"/>
      <c r="V545" s="25" t="str">
        <f>IF(Q545="Entregado",IF(S545&lt;=VLOOKUP(K545,Valores!E:F,2,0),"Cumple","No cumple"),"PTE")</f>
        <v>Cumple</v>
      </c>
      <c r="W545" s="25"/>
      <c r="X545" s="29">
        <v>24093</v>
      </c>
      <c r="Y545" s="224"/>
      <c r="Z545" s="28"/>
    </row>
    <row r="546" spans="1:26" hidden="1" x14ac:dyDescent="0.3">
      <c r="A546" s="34">
        <v>45824</v>
      </c>
      <c r="B546" s="7" t="str">
        <f t="shared" ref="B546:B569" si="75">TEXT(A546,"mmmm")</f>
        <v>junio</v>
      </c>
      <c r="C546" s="27">
        <v>2597</v>
      </c>
      <c r="D546" s="23" t="s">
        <v>20</v>
      </c>
      <c r="E546" s="176" t="s">
        <v>1093</v>
      </c>
      <c r="F546" s="40" t="s">
        <v>129</v>
      </c>
      <c r="G546" s="32" t="str">
        <f>IFERROR(VLOOKUP(F546,Productos!$A$2:$D$258,2,0)," ")</f>
        <v>Electric Standing Desk  PRO Negro</v>
      </c>
      <c r="H546" s="7">
        <v>1</v>
      </c>
      <c r="I546" s="32" t="str">
        <f>IFERROR(VLOOKUP(F546,Productos!$A$2:$D$258,3,0)," ")</f>
        <v>Standing Desk</v>
      </c>
      <c r="J546" s="175" t="s">
        <v>24</v>
      </c>
      <c r="K546" s="175" t="s">
        <v>27</v>
      </c>
      <c r="L546" s="26" t="str">
        <f t="shared" si="72"/>
        <v>Despachado</v>
      </c>
      <c r="M546" s="56" t="s">
        <v>238</v>
      </c>
      <c r="N546" s="187" t="s">
        <v>1214</v>
      </c>
      <c r="O546" s="150">
        <v>45824</v>
      </c>
      <c r="P546" s="151">
        <v>45825</v>
      </c>
      <c r="Q546" s="24" t="str">
        <f t="shared" si="74"/>
        <v>Entregado</v>
      </c>
      <c r="R546" s="25">
        <f>IF(L546="Despachado",NETWORKDAYS.INTL(A546,O546,11,Valores!$A$2:$A$18)-1,"PTE")</f>
        <v>0</v>
      </c>
      <c r="S546" s="25">
        <f>IF(Q546="Entregado",NETWORKDAYS.INTL(A546,P546,11,Valores!$A$2:$A$18)-1,"PTE")</f>
        <v>1</v>
      </c>
      <c r="T546" s="25"/>
      <c r="U546" s="25"/>
      <c r="V546" s="25" t="str">
        <f>IF(Q546="Entregado",IF(S546&lt;=VLOOKUP(K546,Valores!E:F,2,0),"Cumple","No cumple"),"PTE")</f>
        <v>Cumple</v>
      </c>
      <c r="W546" s="25"/>
      <c r="X546" s="29">
        <v>42921</v>
      </c>
      <c r="Y546" s="224"/>
      <c r="Z546" s="28"/>
    </row>
    <row r="547" spans="1:26" hidden="1" x14ac:dyDescent="0.3">
      <c r="A547" s="34">
        <v>45824</v>
      </c>
      <c r="B547" s="7" t="str">
        <f t="shared" si="75"/>
        <v>junio</v>
      </c>
      <c r="C547" s="27">
        <v>2597</v>
      </c>
      <c r="D547" s="23" t="s">
        <v>20</v>
      </c>
      <c r="E547" s="176" t="s">
        <v>1093</v>
      </c>
      <c r="F547" s="22" t="s">
        <v>305</v>
      </c>
      <c r="G547" s="32" t="str">
        <f>IFERROR(VLOOKUP(F547,Productos!$A$2:$D$258,2,0)," ")</f>
        <v>Superficie  Fresno Europeo 160x70 Clasico</v>
      </c>
      <c r="H547" s="7">
        <v>1</v>
      </c>
      <c r="I547" s="32" t="str">
        <f>IFERROR(VLOOKUP(F547,Productos!$A$2:$D$258,3,0)," ")</f>
        <v>Superficie</v>
      </c>
      <c r="J547" s="175" t="s">
        <v>24</v>
      </c>
      <c r="K547" s="175" t="s">
        <v>27</v>
      </c>
      <c r="L547" s="26" t="str">
        <f t="shared" si="72"/>
        <v>Despachado</v>
      </c>
      <c r="M547" s="56" t="s">
        <v>238</v>
      </c>
      <c r="N547" s="187" t="s">
        <v>1215</v>
      </c>
      <c r="O547" s="150">
        <v>45824</v>
      </c>
      <c r="P547" s="151">
        <v>45825</v>
      </c>
      <c r="Q547" s="24" t="str">
        <f t="shared" si="74"/>
        <v>Entregado</v>
      </c>
      <c r="R547" s="25">
        <f>IF(L547="Despachado",NETWORKDAYS.INTL(A547,O547,11,Valores!$A$2:$A$18)-1,"PTE")</f>
        <v>0</v>
      </c>
      <c r="S547" s="25">
        <f>IF(Q547="Entregado",NETWORKDAYS.INTL(A547,P547,11,Valores!$A$2:$A$18)-1,"PTE")</f>
        <v>1</v>
      </c>
      <c r="T547" s="25"/>
      <c r="U547" s="25"/>
      <c r="V547" s="25" t="str">
        <f>IF(Q547="Entregado",IF(S547&lt;=VLOOKUP(K547,Valores!E:F,2,0),"Cumple","No cumple"),"PTE")</f>
        <v>Cumple</v>
      </c>
      <c r="W547" s="25"/>
      <c r="X547" s="29">
        <v>24093</v>
      </c>
      <c r="Y547" s="224"/>
      <c r="Z547" s="28"/>
    </row>
    <row r="548" spans="1:26" hidden="1" x14ac:dyDescent="0.3">
      <c r="A548" s="34">
        <v>45824</v>
      </c>
      <c r="B548" s="7" t="str">
        <f t="shared" si="75"/>
        <v>junio</v>
      </c>
      <c r="C548" s="27">
        <v>2597</v>
      </c>
      <c r="D548" s="23" t="s">
        <v>20</v>
      </c>
      <c r="E548" s="176" t="s">
        <v>1093</v>
      </c>
      <c r="F548" s="40" t="s">
        <v>567</v>
      </c>
      <c r="G548" s="32" t="str">
        <f>IFERROR(VLOOKUP(F548,Productos!$A$2:$D$258,2,0)," ")</f>
        <v>Archivador TECU Fresno Europeo</v>
      </c>
      <c r="H548" s="7">
        <v>1</v>
      </c>
      <c r="I548" s="32" t="str">
        <f>IFERROR(VLOOKUP(F548,Productos!$A$2:$D$258,3,0)," ")</f>
        <v>Archivador</v>
      </c>
      <c r="J548" s="175" t="s">
        <v>24</v>
      </c>
      <c r="K548" s="175" t="s">
        <v>27</v>
      </c>
      <c r="L548" s="26" t="str">
        <f t="shared" si="72"/>
        <v>Despachado</v>
      </c>
      <c r="M548" s="56" t="s">
        <v>239</v>
      </c>
      <c r="N548" s="187" t="s">
        <v>1216</v>
      </c>
      <c r="O548" s="150">
        <v>45824</v>
      </c>
      <c r="P548" s="151">
        <v>45827</v>
      </c>
      <c r="Q548" s="24" t="str">
        <f t="shared" si="74"/>
        <v>Entregado</v>
      </c>
      <c r="R548" s="25">
        <f>IF(L548="Despachado",NETWORKDAYS.INTL(A548,O548,11,Valores!$A$2:$A$18)-1,"PTE")</f>
        <v>0</v>
      </c>
      <c r="S548" s="25">
        <f>IF(Q548="Entregado",NETWORKDAYS.INTL(A548,P548,11,Valores!$A$2:$A$18)-1,"PTE")</f>
        <v>3</v>
      </c>
      <c r="T548" s="25"/>
      <c r="U548" s="25"/>
      <c r="V548" s="25" t="str">
        <f>IF(Q548="Entregado",IF(S548&lt;=VLOOKUP(K548,Valores!E:F,2,0),"Cumple","No cumple"),"PTE")</f>
        <v>Cumple</v>
      </c>
      <c r="W548" s="25"/>
      <c r="X548" s="29">
        <v>65682</v>
      </c>
      <c r="Y548" s="224"/>
      <c r="Z548" s="28"/>
    </row>
    <row r="549" spans="1:26" hidden="1" x14ac:dyDescent="0.3">
      <c r="A549" s="34">
        <v>45824</v>
      </c>
      <c r="B549" s="7" t="str">
        <f t="shared" si="75"/>
        <v>junio</v>
      </c>
      <c r="C549" s="27">
        <v>2597</v>
      </c>
      <c r="D549" s="23" t="s">
        <v>20</v>
      </c>
      <c r="E549" s="176" t="s">
        <v>1093</v>
      </c>
      <c r="F549" s="22"/>
      <c r="G549" s="32" t="s">
        <v>1796</v>
      </c>
      <c r="H549" s="7">
        <v>1</v>
      </c>
      <c r="I549" s="32" t="s">
        <v>327</v>
      </c>
      <c r="J549" s="175" t="s">
        <v>24</v>
      </c>
      <c r="K549" s="175" t="s">
        <v>27</v>
      </c>
      <c r="L549" s="26" t="str">
        <f t="shared" si="72"/>
        <v>Despachado</v>
      </c>
      <c r="M549" s="56" t="s">
        <v>241</v>
      </c>
      <c r="N549" s="187" t="s">
        <v>241</v>
      </c>
      <c r="O549" s="188" t="s">
        <v>241</v>
      </c>
      <c r="P549" s="189" t="s">
        <v>241</v>
      </c>
      <c r="Q549" s="24" t="str">
        <f t="shared" si="74"/>
        <v>Entregado</v>
      </c>
      <c r="R549" s="25" t="e">
        <f>IF(L549="Despachado",NETWORKDAYS.INTL(A549,O549,11,Valores!$A$2:$A$18)-1,"PTE")</f>
        <v>#VALUE!</v>
      </c>
      <c r="S549" s="25" t="e">
        <f>IF(Q549="Entregado",NETWORKDAYS.INTL(A549,P549,11,Valores!$A$2:$A$18)-1,"PTE")</f>
        <v>#VALUE!</v>
      </c>
      <c r="T549" s="25"/>
      <c r="U549" s="25"/>
      <c r="V549" s="25" t="e">
        <f>IF(Q549="Entregado",IF(S549&lt;=VLOOKUP(K549,Valores!E:F,2,0),"Cumple","No cumple"),"PTE")</f>
        <v>#VALUE!</v>
      </c>
      <c r="W549" s="25"/>
      <c r="X549" s="29">
        <v>0</v>
      </c>
      <c r="Y549" s="224"/>
      <c r="Z549" s="28"/>
    </row>
    <row r="550" spans="1:26" hidden="1" x14ac:dyDescent="0.3">
      <c r="A550" s="34">
        <v>45825</v>
      </c>
      <c r="B550" s="7" t="str">
        <f t="shared" si="75"/>
        <v>junio</v>
      </c>
      <c r="C550" s="27">
        <v>2598</v>
      </c>
      <c r="D550" s="23" t="s">
        <v>20</v>
      </c>
      <c r="E550" s="176" t="s">
        <v>1094</v>
      </c>
      <c r="F550" s="22" t="s">
        <v>57</v>
      </c>
      <c r="G550" s="32" t="str">
        <f>IFERROR(VLOOKUP(F550,Productos!$A$2:$D$258,2,0)," ")</f>
        <v>Electric Standing Desk  En L Frame Negro 2.0</v>
      </c>
      <c r="H550" s="7">
        <v>1</v>
      </c>
      <c r="I550" s="32" t="str">
        <f>IFERROR(VLOOKUP(F550,Productos!$A$2:$D$258,3,0)," ")</f>
        <v>Standing Desk</v>
      </c>
      <c r="J550" s="175" t="s">
        <v>189</v>
      </c>
      <c r="K550" s="175" t="s">
        <v>1095</v>
      </c>
      <c r="L550" s="26" t="str">
        <f t="shared" si="72"/>
        <v>Despachado</v>
      </c>
      <c r="M550" s="56" t="s">
        <v>238</v>
      </c>
      <c r="N550" s="187" t="s">
        <v>1217</v>
      </c>
      <c r="O550" s="150">
        <v>45826</v>
      </c>
      <c r="P550" s="151">
        <v>45829</v>
      </c>
      <c r="Q550" s="24" t="str">
        <f t="shared" si="74"/>
        <v>Entregado</v>
      </c>
      <c r="R550" s="25">
        <f>IF(L550="Despachado",NETWORKDAYS.INTL(A550,O550,11,Valores!$A$2:$A$18)-1,"PTE")</f>
        <v>1</v>
      </c>
      <c r="S550" s="25">
        <f>IF(Q550="Entregado",NETWORKDAYS.INTL(A550,P550,11,Valores!$A$2:$A$18)-1,"PTE")</f>
        <v>4</v>
      </c>
      <c r="T550" s="25"/>
      <c r="U550" s="25"/>
      <c r="V550" s="25" t="e">
        <f>IF(Q550="Entregado",IF(S550&lt;=VLOOKUP(K550,Valores!E:F,2,0),"Cumple","No cumple"),"PTE")</f>
        <v>#N/A</v>
      </c>
      <c r="W550" s="25"/>
      <c r="X550" s="29">
        <v>183036</v>
      </c>
      <c r="Y550" s="224"/>
      <c r="Z550" s="28"/>
    </row>
    <row r="551" spans="1:26" hidden="1" x14ac:dyDescent="0.3">
      <c r="A551" s="34">
        <v>45825</v>
      </c>
      <c r="B551" s="7" t="str">
        <f t="shared" si="75"/>
        <v>junio</v>
      </c>
      <c r="C551" s="27">
        <v>2598</v>
      </c>
      <c r="D551" s="23" t="s">
        <v>20</v>
      </c>
      <c r="E551" s="176" t="s">
        <v>1094</v>
      </c>
      <c r="F551" s="22" t="s">
        <v>300</v>
      </c>
      <c r="G551" s="32" t="str">
        <f>IFERROR(VLOOKUP(F551,Productos!$A$2:$D$258,2,0)," ")</f>
        <v>Superficie en L Fresno 180x150cm x 70</v>
      </c>
      <c r="H551" s="7">
        <v>1</v>
      </c>
      <c r="I551" s="32" t="str">
        <f>IFERROR(VLOOKUP(F551,Productos!$A$2:$D$258,3,0)," ")</f>
        <v>Superficie</v>
      </c>
      <c r="J551" s="175" t="s">
        <v>189</v>
      </c>
      <c r="K551" s="175" t="s">
        <v>1095</v>
      </c>
      <c r="L551" s="26" t="str">
        <f t="shared" si="72"/>
        <v>Despachado</v>
      </c>
      <c r="M551" s="56" t="s">
        <v>238</v>
      </c>
      <c r="N551" s="187" t="s">
        <v>1218</v>
      </c>
      <c r="O551" s="150">
        <v>45826</v>
      </c>
      <c r="P551" s="151">
        <v>45829</v>
      </c>
      <c r="Q551" s="24" t="str">
        <f t="shared" si="74"/>
        <v>Entregado</v>
      </c>
      <c r="R551" s="25">
        <f>IF(L551="Despachado",NETWORKDAYS.INTL(A551,O551,11,Valores!$A$2:$A$18)-1,"PTE")</f>
        <v>1</v>
      </c>
      <c r="S551" s="25">
        <f>IF(Q551="Entregado",NETWORKDAYS.INTL(A551,P551,11,Valores!$A$2:$A$18)-1,"PTE")</f>
        <v>4</v>
      </c>
      <c r="T551" s="25"/>
      <c r="U551" s="25"/>
      <c r="V551" s="25" t="e">
        <f>IF(Q551="Entregado",IF(S551&lt;=VLOOKUP(K551,Valores!E:F,2,0),"Cumple","No cumple"),"PTE")</f>
        <v>#N/A</v>
      </c>
      <c r="W551" s="25"/>
      <c r="X551" s="29">
        <v>98264</v>
      </c>
      <c r="Y551" s="224"/>
      <c r="Z551" s="28"/>
    </row>
    <row r="552" spans="1:26" hidden="1" x14ac:dyDescent="0.3">
      <c r="A552" s="34">
        <v>45826</v>
      </c>
      <c r="B552" s="7" t="str">
        <f t="shared" si="75"/>
        <v>junio</v>
      </c>
      <c r="C552" s="27">
        <v>2599</v>
      </c>
      <c r="D552" s="23" t="s">
        <v>20</v>
      </c>
      <c r="E552" s="176" t="s">
        <v>1096</v>
      </c>
      <c r="F552" s="40" t="s">
        <v>129</v>
      </c>
      <c r="G552" s="32" t="str">
        <f>IFERROR(VLOOKUP(F552,Productos!$A$2:$D$258,2,0)," ")</f>
        <v>Electric Standing Desk  PRO Negro</v>
      </c>
      <c r="H552" s="7">
        <v>1</v>
      </c>
      <c r="I552" s="32" t="str">
        <f>IFERROR(VLOOKUP(F552,Productos!$A$2:$D$258,3,0)," ")</f>
        <v>Standing Desk</v>
      </c>
      <c r="J552" s="175" t="s">
        <v>24</v>
      </c>
      <c r="K552" s="175" t="s">
        <v>27</v>
      </c>
      <c r="L552" s="26" t="str">
        <f t="shared" si="72"/>
        <v>Despachado</v>
      </c>
      <c r="M552" s="56" t="s">
        <v>238</v>
      </c>
      <c r="N552" s="187" t="s">
        <v>1219</v>
      </c>
      <c r="O552" s="150">
        <v>45827</v>
      </c>
      <c r="P552" s="151">
        <v>45829</v>
      </c>
      <c r="Q552" s="24" t="str">
        <f t="shared" si="74"/>
        <v>Entregado</v>
      </c>
      <c r="R552" s="25">
        <f>IF(L552="Despachado",NETWORKDAYS.INTL(A552,O552,11,Valores!$A$2:$A$18)-1,"PTE")</f>
        <v>1</v>
      </c>
      <c r="S552" s="25">
        <f>IF(Q552="Entregado",NETWORKDAYS.INTL(A552,P552,11,Valores!$A$2:$A$18)-1,"PTE")</f>
        <v>3</v>
      </c>
      <c r="T552" s="25"/>
      <c r="U552" s="25"/>
      <c r="V552" s="25" t="str">
        <f>IF(Q552="Entregado",IF(S552&lt;=VLOOKUP(K552,Valores!E:F,2,0),"Cumple","No cumple"),"PTE")</f>
        <v>Cumple</v>
      </c>
      <c r="W552" s="25"/>
      <c r="X552" s="29">
        <v>42921</v>
      </c>
      <c r="Y552" s="224"/>
      <c r="Z552" s="28"/>
    </row>
    <row r="553" spans="1:26" hidden="1" x14ac:dyDescent="0.3">
      <c r="A553" s="34">
        <v>45826</v>
      </c>
      <c r="B553" s="7" t="str">
        <f t="shared" si="75"/>
        <v>junio</v>
      </c>
      <c r="C553" s="27">
        <v>2599</v>
      </c>
      <c r="D553" s="23" t="s">
        <v>20</v>
      </c>
      <c r="E553" s="176" t="s">
        <v>1096</v>
      </c>
      <c r="F553" s="22" t="s">
        <v>26</v>
      </c>
      <c r="G553" s="32" t="str">
        <f>IFERROR(VLOOKUP(F553,Productos!$A$2:$D$258,2,0)," ")</f>
        <v>Superficie Caramelo 150x70 Clasico</v>
      </c>
      <c r="H553" s="7">
        <v>1</v>
      </c>
      <c r="I553" s="32" t="str">
        <f>IFERROR(VLOOKUP(F553,Productos!$A$2:$D$258,3,0)," ")</f>
        <v>Superficie</v>
      </c>
      <c r="J553" s="175" t="s">
        <v>24</v>
      </c>
      <c r="K553" s="175" t="s">
        <v>27</v>
      </c>
      <c r="L553" s="26" t="str">
        <f t="shared" si="72"/>
        <v>Despachado</v>
      </c>
      <c r="M553" s="56" t="s">
        <v>238</v>
      </c>
      <c r="N553" s="187" t="s">
        <v>1220</v>
      </c>
      <c r="O553" s="150">
        <v>45827</v>
      </c>
      <c r="P553" s="151">
        <v>45829</v>
      </c>
      <c r="Q553" s="24" t="str">
        <f t="shared" si="74"/>
        <v>Entregado</v>
      </c>
      <c r="R553" s="25">
        <f>IF(L553="Despachado",NETWORKDAYS.INTL(A553,O553,11,Valores!$A$2:$A$18)-1,"PTE")</f>
        <v>1</v>
      </c>
      <c r="S553" s="25">
        <f>IF(Q553="Entregado",NETWORKDAYS.INTL(A553,P553,11,Valores!$A$2:$A$18)-1,"PTE")</f>
        <v>3</v>
      </c>
      <c r="T553" s="25"/>
      <c r="U553" s="25"/>
      <c r="V553" s="25" t="str">
        <f>IF(Q553="Entregado",IF(S553&lt;=VLOOKUP(K553,Valores!E:F,2,0),"Cumple","No cumple"),"PTE")</f>
        <v>Cumple</v>
      </c>
      <c r="W553" s="25"/>
      <c r="X553" s="29">
        <v>24093</v>
      </c>
      <c r="Y553" s="224"/>
      <c r="Z553" s="28"/>
    </row>
    <row r="554" spans="1:26" hidden="1" x14ac:dyDescent="0.3">
      <c r="A554" s="34">
        <v>45826</v>
      </c>
      <c r="B554" s="7" t="str">
        <f t="shared" si="75"/>
        <v>junio</v>
      </c>
      <c r="C554" s="27">
        <v>2600</v>
      </c>
      <c r="D554" s="23" t="s">
        <v>20</v>
      </c>
      <c r="E554" s="176" t="s">
        <v>1083</v>
      </c>
      <c r="F554" s="40" t="s">
        <v>240</v>
      </c>
      <c r="G554" s="32" t="str">
        <f>IFERROR(VLOOKUP(F554,Productos!$A$2:$D$258,2,0)," ")</f>
        <v>Bandeja de cables</v>
      </c>
      <c r="H554" s="7">
        <v>1</v>
      </c>
      <c r="I554" s="32" t="str">
        <f>IFERROR(VLOOKUP(F554,Productos!$A$2:$D$258,3,0)," ")</f>
        <v>Accesorio</v>
      </c>
      <c r="J554" s="139" t="s">
        <v>21</v>
      </c>
      <c r="K554" s="139" t="s">
        <v>22</v>
      </c>
      <c r="L554" s="26" t="str">
        <f t="shared" si="72"/>
        <v>Despachado</v>
      </c>
      <c r="M554" s="56" t="s">
        <v>238</v>
      </c>
      <c r="N554" s="187" t="s">
        <v>1221</v>
      </c>
      <c r="O554" s="150">
        <v>45826</v>
      </c>
      <c r="P554" s="151">
        <v>45827</v>
      </c>
      <c r="Q554" s="24" t="str">
        <f t="shared" si="74"/>
        <v>Entregado</v>
      </c>
      <c r="R554" s="25">
        <f>IF(L554="Despachado",NETWORKDAYS.INTL(A554,O554,11,Valores!$A$2:$A$18)-1,"PTE")</f>
        <v>0</v>
      </c>
      <c r="S554" s="25">
        <f>IF(Q554="Entregado",NETWORKDAYS.INTL(A554,P554,11,Valores!$A$2:$A$18)-1,"PTE")</f>
        <v>1</v>
      </c>
      <c r="T554" s="25"/>
      <c r="U554" s="25"/>
      <c r="V554" s="25" t="str">
        <f>IF(Q554="Entregado",IF(S554&lt;=VLOOKUP(K554,Valores!E:F,2,0),"Cumple","No cumple"),"PTE")</f>
        <v>Cumple</v>
      </c>
      <c r="W554" s="25"/>
      <c r="X554" s="29">
        <v>24885</v>
      </c>
      <c r="Y554" s="224"/>
      <c r="Z554" s="28"/>
    </row>
    <row r="555" spans="1:26" hidden="1" x14ac:dyDescent="0.3">
      <c r="A555" s="34">
        <v>45826</v>
      </c>
      <c r="B555" s="7" t="str">
        <f t="shared" si="75"/>
        <v>junio</v>
      </c>
      <c r="C555" s="27">
        <v>2601</v>
      </c>
      <c r="D555" s="23" t="s">
        <v>20</v>
      </c>
      <c r="E555" s="176" t="s">
        <v>1097</v>
      </c>
      <c r="F555" s="40" t="s">
        <v>567</v>
      </c>
      <c r="G555" s="32" t="str">
        <f>IFERROR(VLOOKUP(F555,Productos!$A$2:$D$258,2,0)," ")</f>
        <v>Archivador TECU Fresno Europeo</v>
      </c>
      <c r="H555" s="7">
        <v>1</v>
      </c>
      <c r="I555" s="32" t="str">
        <f>IFERROR(VLOOKUP(F555,Productos!$A$2:$D$258,3,0)," ")</f>
        <v>Archivador</v>
      </c>
      <c r="J555" s="175" t="s">
        <v>24</v>
      </c>
      <c r="K555" s="175" t="s">
        <v>27</v>
      </c>
      <c r="L555" s="26" t="str">
        <f t="shared" si="72"/>
        <v>Despachado</v>
      </c>
      <c r="M555" s="56" t="s">
        <v>239</v>
      </c>
      <c r="N555" s="187" t="s">
        <v>1222</v>
      </c>
      <c r="O555" s="150">
        <v>45827</v>
      </c>
      <c r="P555" s="151">
        <v>45828</v>
      </c>
      <c r="Q555" s="24" t="str">
        <f t="shared" si="74"/>
        <v>Entregado</v>
      </c>
      <c r="R555" s="25">
        <f>IF(L555="Despachado",NETWORKDAYS.INTL(A555,O555,11,Valores!$A$2:$A$18)-1,"PTE")</f>
        <v>1</v>
      </c>
      <c r="S555" s="25">
        <f>IF(Q555="Entregado",NETWORKDAYS.INTL(A555,P555,11,Valores!$A$2:$A$18)-1,"PTE")</f>
        <v>2</v>
      </c>
      <c r="T555" s="25"/>
      <c r="U555" s="25"/>
      <c r="V555" s="25" t="str">
        <f>IF(Q555="Entregado",IF(S555&lt;=VLOOKUP(K555,Valores!E:F,2,0),"Cumple","No cumple"),"PTE")</f>
        <v>Cumple</v>
      </c>
      <c r="W555" s="25"/>
      <c r="X555" s="29">
        <v>65682</v>
      </c>
      <c r="Y555" s="224"/>
      <c r="Z555" s="28"/>
    </row>
    <row r="556" spans="1:26" hidden="1" x14ac:dyDescent="0.3">
      <c r="A556" s="34">
        <v>45827</v>
      </c>
      <c r="B556" s="7" t="str">
        <f t="shared" si="75"/>
        <v>junio</v>
      </c>
      <c r="C556" s="27">
        <v>2602</v>
      </c>
      <c r="D556" s="23" t="s">
        <v>20</v>
      </c>
      <c r="E556" s="179" t="s">
        <v>975</v>
      </c>
      <c r="F556" s="22" t="s">
        <v>74</v>
      </c>
      <c r="G556" s="32" t="str">
        <f>IFERROR(VLOOKUP(F556,Productos!$A$2:$D$258,2,0)," ")</f>
        <v>Repisa Caramelo</v>
      </c>
      <c r="H556" s="7">
        <v>1</v>
      </c>
      <c r="I556" s="32" t="str">
        <f>IFERROR(VLOOKUP(F556,Productos!$A$2:$D$258,3,0)," ")</f>
        <v>Repisa</v>
      </c>
      <c r="J556" s="139" t="s">
        <v>21</v>
      </c>
      <c r="K556" s="180" t="s">
        <v>198</v>
      </c>
      <c r="L556" s="26" t="str">
        <f t="shared" ref="L556:L567" si="76">IF(O556&gt;0,"Despachado","En alistamiento")</f>
        <v>Despachado</v>
      </c>
      <c r="M556" s="56" t="s">
        <v>238</v>
      </c>
      <c r="N556" s="187" t="s">
        <v>1223</v>
      </c>
      <c r="O556" s="150">
        <v>45827</v>
      </c>
      <c r="P556" s="151">
        <v>45830</v>
      </c>
      <c r="Q556" s="24" t="str">
        <f t="shared" si="74"/>
        <v>Entregado</v>
      </c>
      <c r="R556" s="25">
        <f>IF(L556="Despachado",NETWORKDAYS.INTL(A556,O556,11,Valores!$A$2:$A$18)-1,"PTE")</f>
        <v>0</v>
      </c>
      <c r="S556" s="25">
        <f>IF(Q556="Entregado",NETWORKDAYS.INTL(A556,P556,11,Valores!$A$2:$A$18)-1,"PTE")</f>
        <v>2</v>
      </c>
      <c r="T556" s="25"/>
      <c r="U556" s="25"/>
      <c r="V556" s="25" t="str">
        <f>IF(Q556="Entregado",IF(S556&lt;=VLOOKUP(K556,Valores!E:F,2,0),"Cumple","No cumple"),"PTE")</f>
        <v>Cumple</v>
      </c>
      <c r="W556" s="25"/>
      <c r="X556" s="29">
        <v>23429</v>
      </c>
      <c r="Y556" s="224"/>
      <c r="Z556" s="28"/>
    </row>
    <row r="557" spans="1:26" hidden="1" x14ac:dyDescent="0.3">
      <c r="A557" s="34">
        <v>45828</v>
      </c>
      <c r="B557" s="7" t="str">
        <f t="shared" si="75"/>
        <v>junio</v>
      </c>
      <c r="C557" s="27">
        <v>2603</v>
      </c>
      <c r="D557" s="23" t="s">
        <v>20</v>
      </c>
      <c r="E557" s="179" t="s">
        <v>1098</v>
      </c>
      <c r="F557" s="22" t="s">
        <v>732</v>
      </c>
      <c r="G557" s="32" t="str">
        <f>IFERROR(VLOOKUP(F557,Productos!$A$2:$D$258,2,0)," ")</f>
        <v>Electric Standing Desk  PRO Negro circular</v>
      </c>
      <c r="H557" s="7">
        <v>1</v>
      </c>
      <c r="I557" s="32" t="str">
        <f>IFERROR(VLOOKUP(F557,Productos!$A$2:$D$258,3,0)," ")</f>
        <v>Standing Desk</v>
      </c>
      <c r="J557" s="175" t="s">
        <v>24</v>
      </c>
      <c r="K557" s="175" t="s">
        <v>27</v>
      </c>
      <c r="L557" s="26" t="str">
        <f t="shared" si="76"/>
        <v>Despachado</v>
      </c>
      <c r="M557" s="56" t="s">
        <v>238</v>
      </c>
      <c r="N557" s="187" t="s">
        <v>1224</v>
      </c>
      <c r="O557" s="150">
        <v>45828</v>
      </c>
      <c r="P557" s="151">
        <v>45832</v>
      </c>
      <c r="Q557" s="24" t="str">
        <f t="shared" si="74"/>
        <v>Entregado</v>
      </c>
      <c r="R557" s="25">
        <f>IF(L557="Despachado",NETWORKDAYS.INTL(A557,O557,11,Valores!$A$2:$A$18)-1,"PTE")</f>
        <v>0</v>
      </c>
      <c r="S557" s="25">
        <f>IF(Q557="Entregado",NETWORKDAYS.INTL(A557,P557,11,Valores!$A$2:$A$18)-1,"PTE")</f>
        <v>2</v>
      </c>
      <c r="T557" s="25"/>
      <c r="U557" s="25"/>
      <c r="V557" s="25" t="str">
        <f>IF(Q557="Entregado",IF(S557&lt;=VLOOKUP(K557,Valores!E:F,2,0),"Cumple","No cumple"),"PTE")</f>
        <v>Cumple</v>
      </c>
      <c r="W557" s="25"/>
      <c r="X557" s="29">
        <v>42921</v>
      </c>
      <c r="Y557" s="224"/>
      <c r="Z557" s="28"/>
    </row>
    <row r="558" spans="1:26" hidden="1" x14ac:dyDescent="0.3">
      <c r="A558" s="34">
        <v>45828</v>
      </c>
      <c r="B558" s="7" t="str">
        <f t="shared" si="75"/>
        <v>junio</v>
      </c>
      <c r="C558" s="27">
        <v>2603</v>
      </c>
      <c r="D558" s="23" t="s">
        <v>20</v>
      </c>
      <c r="E558" s="179" t="s">
        <v>1098</v>
      </c>
      <c r="F558" s="22" t="s">
        <v>258</v>
      </c>
      <c r="G558" s="32" t="str">
        <f>IFERROR(VLOOKUP(F558,Productos!$A$2:$D$258,2,0)," ")</f>
        <v>Superficie  Caramelo 160x70 Moderno</v>
      </c>
      <c r="H558" s="7">
        <v>1</v>
      </c>
      <c r="I558" s="32" t="str">
        <f>IFERROR(VLOOKUP(F558,Productos!$A$2:$D$258,3,0)," ")</f>
        <v>Superficie</v>
      </c>
      <c r="J558" s="175" t="s">
        <v>24</v>
      </c>
      <c r="K558" s="175" t="s">
        <v>27</v>
      </c>
      <c r="L558" s="26" t="str">
        <f t="shared" si="76"/>
        <v>Despachado</v>
      </c>
      <c r="M558" s="56" t="s">
        <v>238</v>
      </c>
      <c r="N558" s="187" t="s">
        <v>1225</v>
      </c>
      <c r="O558" s="150">
        <v>45828</v>
      </c>
      <c r="P558" s="151">
        <v>45832</v>
      </c>
      <c r="Q558" s="24" t="str">
        <f t="shared" si="74"/>
        <v>Entregado</v>
      </c>
      <c r="R558" s="25">
        <f>IF(L558="Despachado",NETWORKDAYS.INTL(A558,O558,11,Valores!$A$2:$A$18)-1,"PTE")</f>
        <v>0</v>
      </c>
      <c r="S558" s="25">
        <f>IF(Q558="Entregado",NETWORKDAYS.INTL(A558,P558,11,Valores!$A$2:$A$18)-1,"PTE")</f>
        <v>2</v>
      </c>
      <c r="T558" s="25"/>
      <c r="U558" s="25"/>
      <c r="V558" s="25" t="str">
        <f>IF(Q558="Entregado",IF(S558&lt;=VLOOKUP(K558,Valores!E:F,2,0),"Cumple","No cumple"),"PTE")</f>
        <v>Cumple</v>
      </c>
      <c r="W558" s="25"/>
      <c r="X558" s="29">
        <v>24093</v>
      </c>
      <c r="Y558" s="224"/>
      <c r="Z558" s="28"/>
    </row>
    <row r="559" spans="1:26" hidden="1" x14ac:dyDescent="0.3">
      <c r="A559" s="34">
        <v>45828</v>
      </c>
      <c r="B559" s="7" t="str">
        <f t="shared" si="75"/>
        <v>junio</v>
      </c>
      <c r="C559" s="27">
        <v>2603</v>
      </c>
      <c r="D559" s="23" t="s">
        <v>20</v>
      </c>
      <c r="E559" s="179" t="s">
        <v>1098</v>
      </c>
      <c r="F559" s="22" t="s">
        <v>85</v>
      </c>
      <c r="G559" s="32" t="str">
        <f>IFERROR(VLOOKUP(F559,Productos!$A$2:$D$258,2,0)," ")</f>
        <v>Desk Pad B Negro Café Miel</v>
      </c>
      <c r="H559" s="7">
        <v>1</v>
      </c>
      <c r="I559" s="32" t="str">
        <f>IFERROR(VLOOKUP(F559,Productos!$A$2:$D$258,3,0)," ")</f>
        <v>Accesorio</v>
      </c>
      <c r="J559" s="175" t="s">
        <v>24</v>
      </c>
      <c r="K559" s="175" t="s">
        <v>27</v>
      </c>
      <c r="L559" s="26" t="str">
        <f t="shared" si="76"/>
        <v>Despachado</v>
      </c>
      <c r="M559" s="56" t="s">
        <v>238</v>
      </c>
      <c r="N559" s="187" t="s">
        <v>1226</v>
      </c>
      <c r="O559" s="150">
        <v>45828</v>
      </c>
      <c r="P559" s="151">
        <v>45832</v>
      </c>
      <c r="Q559" s="24" t="str">
        <f t="shared" si="74"/>
        <v>Entregado</v>
      </c>
      <c r="R559" s="25">
        <f>IF(L559="Despachado",NETWORKDAYS.INTL(A559,O559,11,Valores!$A$2:$A$18)-1,"PTE")</f>
        <v>0</v>
      </c>
      <c r="S559" s="25">
        <f>IF(Q559="Entregado",NETWORKDAYS.INTL(A559,P559,11,Valores!$A$2:$A$18)-1,"PTE")</f>
        <v>2</v>
      </c>
      <c r="T559" s="25"/>
      <c r="U559" s="25"/>
      <c r="V559" s="25" t="str">
        <f>IF(Q559="Entregado",IF(S559&lt;=VLOOKUP(K559,Valores!E:F,2,0),"Cumple","No cumple"),"PTE")</f>
        <v>Cumple</v>
      </c>
      <c r="W559" s="25"/>
      <c r="X559" s="29">
        <v>16617</v>
      </c>
      <c r="Y559" s="224"/>
      <c r="Z559" s="28"/>
    </row>
    <row r="560" spans="1:26" hidden="1" x14ac:dyDescent="0.3">
      <c r="A560" s="34">
        <v>45828</v>
      </c>
      <c r="B560" s="7" t="str">
        <f t="shared" si="75"/>
        <v>junio</v>
      </c>
      <c r="C560" s="27">
        <v>2603</v>
      </c>
      <c r="D560" s="23" t="s">
        <v>20</v>
      </c>
      <c r="E560" s="179" t="s">
        <v>1098</v>
      </c>
      <c r="F560" s="40" t="s">
        <v>240</v>
      </c>
      <c r="G560" s="32" t="str">
        <f>IFERROR(VLOOKUP(F560,Productos!$A$2:$D$258,2,0)," ")</f>
        <v>Bandeja de cables</v>
      </c>
      <c r="H560" s="7">
        <v>1</v>
      </c>
      <c r="I560" s="32" t="str">
        <f>IFERROR(VLOOKUP(F560,Productos!$A$2:$D$258,3,0)," ")</f>
        <v>Accesorio</v>
      </c>
      <c r="J560" s="175" t="s">
        <v>24</v>
      </c>
      <c r="K560" s="175" t="s">
        <v>27</v>
      </c>
      <c r="L560" s="26" t="str">
        <f t="shared" si="76"/>
        <v>Despachado</v>
      </c>
      <c r="M560" s="56" t="s">
        <v>238</v>
      </c>
      <c r="N560" s="187" t="s">
        <v>1227</v>
      </c>
      <c r="O560" s="150">
        <v>45828</v>
      </c>
      <c r="P560" s="151">
        <v>45832</v>
      </c>
      <c r="Q560" s="24" t="str">
        <f t="shared" si="74"/>
        <v>Entregado</v>
      </c>
      <c r="R560" s="25">
        <f>IF(L560="Despachado",NETWORKDAYS.INTL(A560,O560,11,Valores!$A$2:$A$18)-1,"PTE")</f>
        <v>0</v>
      </c>
      <c r="S560" s="25">
        <f>IF(Q560="Entregado",NETWORKDAYS.INTL(A560,P560,11,Valores!$A$2:$A$18)-1,"PTE")</f>
        <v>2</v>
      </c>
      <c r="T560" s="25"/>
      <c r="U560" s="25"/>
      <c r="V560" s="25" t="str">
        <f>IF(Q560="Entregado",IF(S560&lt;=VLOOKUP(K560,Valores!E:F,2,0),"Cumple","No cumple"),"PTE")</f>
        <v>Cumple</v>
      </c>
      <c r="W560" s="25"/>
      <c r="X560" s="29">
        <v>24885</v>
      </c>
      <c r="Y560" s="224"/>
      <c r="Z560" s="28"/>
    </row>
    <row r="561" spans="1:26" hidden="1" x14ac:dyDescent="0.3">
      <c r="A561" s="34">
        <v>45829</v>
      </c>
      <c r="B561" s="7" t="str">
        <f t="shared" si="75"/>
        <v>junio</v>
      </c>
      <c r="C561" s="27">
        <v>2604</v>
      </c>
      <c r="D561" s="23" t="s">
        <v>20</v>
      </c>
      <c r="E561" s="179" t="s">
        <v>1099</v>
      </c>
      <c r="F561" s="22" t="s">
        <v>133</v>
      </c>
      <c r="G561" s="32" t="str">
        <f>IFERROR(VLOOKUP(F561,Productos!$A$2:$D$258,2,0)," ")</f>
        <v>Electric Standing Desk  PRO Blanco</v>
      </c>
      <c r="H561" s="7">
        <v>1</v>
      </c>
      <c r="I561" s="32" t="str">
        <f>IFERROR(VLOOKUP(F561,Productos!$A$2:$D$258,3,0)," ")</f>
        <v>Standing Desk</v>
      </c>
      <c r="J561" s="139" t="s">
        <v>21</v>
      </c>
      <c r="K561" s="139" t="s">
        <v>22</v>
      </c>
      <c r="L561" s="26" t="str">
        <f t="shared" si="76"/>
        <v>Despachado</v>
      </c>
      <c r="M561" s="56" t="s">
        <v>238</v>
      </c>
      <c r="N561" s="187" t="s">
        <v>1228</v>
      </c>
      <c r="O561" s="150">
        <v>45832</v>
      </c>
      <c r="P561" s="151">
        <v>45834</v>
      </c>
      <c r="Q561" s="24" t="str">
        <f t="shared" si="74"/>
        <v>Entregado</v>
      </c>
      <c r="R561" s="25">
        <f>IF(L561="Despachado",NETWORKDAYS.INTL(A561,O561,11,Valores!$A$2:$A$18)-1,"PTE")</f>
        <v>1</v>
      </c>
      <c r="S561" s="25">
        <f>IF(Q561="Entregado",NETWORKDAYS.INTL(A561,P561,11,Valores!$A$2:$A$18)-1,"PTE")</f>
        <v>3</v>
      </c>
      <c r="T561" s="25"/>
      <c r="U561" s="25"/>
      <c r="V561" s="25" t="str">
        <f>IF(Q561="Entregado",IF(S561&lt;=VLOOKUP(K561,Valores!E:F,2,0),"Cumple","No cumple"),"PTE")</f>
        <v>Cumple</v>
      </c>
      <c r="W561" s="25"/>
      <c r="X561" s="29">
        <v>42921</v>
      </c>
      <c r="Y561" s="224"/>
      <c r="Z561" s="28"/>
    </row>
    <row r="562" spans="1:26" hidden="1" x14ac:dyDescent="0.3">
      <c r="A562" s="34">
        <v>45829</v>
      </c>
      <c r="B562" s="7" t="str">
        <f t="shared" si="75"/>
        <v>junio</v>
      </c>
      <c r="C562" s="27">
        <v>2604</v>
      </c>
      <c r="D562" s="23" t="s">
        <v>20</v>
      </c>
      <c r="E562" s="179" t="s">
        <v>1099</v>
      </c>
      <c r="F562" s="22" t="s">
        <v>33</v>
      </c>
      <c r="G562" s="32" t="str">
        <f>IFERROR(VLOOKUP(F562,Productos!$A$2:$D$258,2,0)," ")</f>
        <v>Superficie  Caramelo 180x70 Clasico</v>
      </c>
      <c r="H562" s="7">
        <v>1</v>
      </c>
      <c r="I562" s="32" t="str">
        <f>IFERROR(VLOOKUP(F562,Productos!$A$2:$D$258,3,0)," ")</f>
        <v>Superficie</v>
      </c>
      <c r="J562" s="139" t="s">
        <v>21</v>
      </c>
      <c r="K562" s="139" t="s">
        <v>22</v>
      </c>
      <c r="L562" s="26" t="str">
        <f t="shared" si="76"/>
        <v>Despachado</v>
      </c>
      <c r="M562" s="56" t="s">
        <v>238</v>
      </c>
      <c r="N562" s="187" t="s">
        <v>1229</v>
      </c>
      <c r="O562" s="150">
        <v>45832</v>
      </c>
      <c r="P562" s="151">
        <v>45835</v>
      </c>
      <c r="Q562" s="24" t="str">
        <f t="shared" si="74"/>
        <v>Entregado</v>
      </c>
      <c r="R562" s="25">
        <f>IF(L562="Despachado",NETWORKDAYS.INTL(A562,O562,11,Valores!$A$2:$A$18)-1,"PTE")</f>
        <v>1</v>
      </c>
      <c r="S562" s="25">
        <f>IF(Q562="Entregado",NETWORKDAYS.INTL(A562,P562,11,Valores!$A$2:$A$18)-1,"PTE")</f>
        <v>4</v>
      </c>
      <c r="T562" s="25"/>
      <c r="U562" s="25"/>
      <c r="V562" s="25" t="str">
        <f>IF(Q562="Entregado",IF(S562&lt;=VLOOKUP(K562,Valores!E:F,2,0),"Cumple","No cumple"),"PTE")</f>
        <v>No cumple</v>
      </c>
      <c r="W562" s="25"/>
      <c r="X562" s="29">
        <v>26749</v>
      </c>
      <c r="Y562" s="224"/>
      <c r="Z562" s="28"/>
    </row>
    <row r="563" spans="1:26" hidden="1" x14ac:dyDescent="0.3">
      <c r="A563" s="34">
        <v>45829</v>
      </c>
      <c r="B563" s="7" t="str">
        <f t="shared" si="75"/>
        <v>junio</v>
      </c>
      <c r="C563" s="27">
        <v>2604</v>
      </c>
      <c r="D563" s="23" t="s">
        <v>20</v>
      </c>
      <c r="E563" s="179" t="s">
        <v>1099</v>
      </c>
      <c r="F563" s="22" t="s">
        <v>68</v>
      </c>
      <c r="G563" s="32" t="str">
        <f>IFERROR(VLOOKUP(F563,Productos!$A$2:$D$258,2,0)," ")</f>
        <v>Archivador TECU  Caramelo</v>
      </c>
      <c r="H563" s="7">
        <v>1</v>
      </c>
      <c r="I563" s="32" t="str">
        <f>IFERROR(VLOOKUP(F563,Productos!$A$2:$D$258,3,0)," ")</f>
        <v>Archivador</v>
      </c>
      <c r="J563" s="139" t="s">
        <v>21</v>
      </c>
      <c r="K563" s="139" t="s">
        <v>22</v>
      </c>
      <c r="L563" s="26" t="str">
        <f t="shared" si="76"/>
        <v>Despachado</v>
      </c>
      <c r="M563" s="56" t="s">
        <v>239</v>
      </c>
      <c r="N563" s="187" t="s">
        <v>1230</v>
      </c>
      <c r="O563" s="150">
        <v>45832</v>
      </c>
      <c r="P563" s="151">
        <v>45834</v>
      </c>
      <c r="Q563" s="24" t="str">
        <f t="shared" si="74"/>
        <v>Entregado</v>
      </c>
      <c r="R563" s="25">
        <f>IF(L563="Despachado",NETWORKDAYS.INTL(A563,O563,11,Valores!$A$2:$A$18)-1,"PTE")</f>
        <v>1</v>
      </c>
      <c r="S563" s="25">
        <f>IF(Q563="Entregado",NETWORKDAYS.INTL(A563,P563,11,Valores!$A$2:$A$18)-1,"PTE")</f>
        <v>3</v>
      </c>
      <c r="T563" s="25"/>
      <c r="U563" s="25"/>
      <c r="V563" s="25" t="str">
        <f>IF(Q563="Entregado",IF(S563&lt;=VLOOKUP(K563,Valores!E:F,2,0),"Cumple","No cumple"),"PTE")</f>
        <v>Cumple</v>
      </c>
      <c r="W563" s="25"/>
      <c r="X563" s="29">
        <v>54929</v>
      </c>
      <c r="Y563" s="224"/>
      <c r="Z563" s="28"/>
    </row>
    <row r="564" spans="1:26" hidden="1" x14ac:dyDescent="0.3">
      <c r="A564" s="34">
        <v>45829</v>
      </c>
      <c r="B564" s="7" t="str">
        <f t="shared" si="75"/>
        <v>junio</v>
      </c>
      <c r="C564" s="27">
        <v>2604</v>
      </c>
      <c r="D564" s="23" t="s">
        <v>20</v>
      </c>
      <c r="E564" s="179" t="s">
        <v>1099</v>
      </c>
      <c r="F564" s="22" t="s">
        <v>89</v>
      </c>
      <c r="G564" s="32" t="str">
        <f>IFERROR(VLOOKUP(F564,Productos!$A$2:$D$258,2,0)," ")</f>
        <v>Desk Stool Gris Silla ajustable</v>
      </c>
      <c r="H564" s="7">
        <v>1</v>
      </c>
      <c r="I564" s="32" t="str">
        <f>IFERROR(VLOOKUP(F564,Productos!$A$2:$D$258,3,0)," ")</f>
        <v>Silla</v>
      </c>
      <c r="J564" s="139" t="s">
        <v>21</v>
      </c>
      <c r="K564" s="139" t="s">
        <v>22</v>
      </c>
      <c r="L564" s="26" t="str">
        <f t="shared" si="76"/>
        <v>Despachado</v>
      </c>
      <c r="M564" s="56" t="s">
        <v>238</v>
      </c>
      <c r="N564" s="187" t="s">
        <v>1231</v>
      </c>
      <c r="O564" s="150">
        <v>45832</v>
      </c>
      <c r="P564" s="151">
        <v>45834</v>
      </c>
      <c r="Q564" s="24" t="str">
        <f t="shared" si="74"/>
        <v>Entregado</v>
      </c>
      <c r="R564" s="25">
        <f>IF(L564="Despachado",NETWORKDAYS.INTL(A564,O564,11,Valores!$A$2:$A$18)-1,"PTE")</f>
        <v>1</v>
      </c>
      <c r="S564" s="25">
        <f>IF(Q564="Entregado",NETWORKDAYS.INTL(A564,P564,11,Valores!$A$2:$A$18)-1,"PTE")</f>
        <v>3</v>
      </c>
      <c r="T564" s="25"/>
      <c r="U564" s="25"/>
      <c r="V564" s="25" t="str">
        <f>IF(Q564="Entregado",IF(S564&lt;=VLOOKUP(K564,Valores!E:F,2,0),"Cumple","No cumple"),"PTE")</f>
        <v>Cumple</v>
      </c>
      <c r="W564" s="25"/>
      <c r="X564" s="29">
        <v>26609</v>
      </c>
      <c r="Y564" s="224"/>
      <c r="Z564" s="28"/>
    </row>
    <row r="565" spans="1:26" hidden="1" x14ac:dyDescent="0.3">
      <c r="A565" s="34">
        <v>45829</v>
      </c>
      <c r="B565" s="7" t="str">
        <f t="shared" si="75"/>
        <v>junio</v>
      </c>
      <c r="C565" s="27">
        <v>2604</v>
      </c>
      <c r="D565" s="23" t="s">
        <v>20</v>
      </c>
      <c r="E565" s="179" t="s">
        <v>1099</v>
      </c>
      <c r="F565" s="22" t="s">
        <v>83</v>
      </c>
      <c r="G565" s="32" t="str">
        <f>IFERROR(VLOOKUP(F565,Productos!$A$2:$D$258,2,0)," ")</f>
        <v>Desk Pad B Negro Azul</v>
      </c>
      <c r="H565" s="7">
        <v>1</v>
      </c>
      <c r="I565" s="32" t="str">
        <f>IFERROR(VLOOKUP(F565,Productos!$A$2:$D$258,3,0)," ")</f>
        <v>Accesorio</v>
      </c>
      <c r="J565" s="139" t="s">
        <v>21</v>
      </c>
      <c r="K565" s="139" t="s">
        <v>22</v>
      </c>
      <c r="L565" s="26" t="str">
        <f t="shared" si="76"/>
        <v>Despachado</v>
      </c>
      <c r="M565" s="56" t="s">
        <v>238</v>
      </c>
      <c r="N565" s="187" t="s">
        <v>1232</v>
      </c>
      <c r="O565" s="150">
        <v>45832</v>
      </c>
      <c r="P565" s="151">
        <v>45834</v>
      </c>
      <c r="Q565" s="24" t="str">
        <f t="shared" si="74"/>
        <v>Entregado</v>
      </c>
      <c r="R565" s="25">
        <f>IF(L565="Despachado",NETWORKDAYS.INTL(A565,O565,11,Valores!$A$2:$A$18)-1,"PTE")</f>
        <v>1</v>
      </c>
      <c r="S565" s="25">
        <f>IF(Q565="Entregado",NETWORKDAYS.INTL(A565,P565,11,Valores!$A$2:$A$18)-1,"PTE")</f>
        <v>3</v>
      </c>
      <c r="T565" s="25"/>
      <c r="U565" s="25"/>
      <c r="V565" s="25" t="str">
        <f>IF(Q565="Entregado",IF(S565&lt;=VLOOKUP(K565,Valores!E:F,2,0),"Cumple","No cumple"),"PTE")</f>
        <v>Cumple</v>
      </c>
      <c r="W565" s="25"/>
      <c r="X565" s="29">
        <v>16617</v>
      </c>
      <c r="Y565" s="224"/>
      <c r="Z565" s="28"/>
    </row>
    <row r="566" spans="1:26" hidden="1" x14ac:dyDescent="0.3">
      <c r="A566" s="34">
        <v>45829</v>
      </c>
      <c r="B566" s="7" t="str">
        <f t="shared" si="75"/>
        <v>junio</v>
      </c>
      <c r="C566" s="27">
        <v>2604</v>
      </c>
      <c r="D566" s="23" t="s">
        <v>20</v>
      </c>
      <c r="E566" s="179" t="s">
        <v>1099</v>
      </c>
      <c r="F566" s="40" t="s">
        <v>240</v>
      </c>
      <c r="G566" s="32" t="str">
        <f>IFERROR(VLOOKUP(F566,Productos!$A$2:$D$258,2,0)," ")</f>
        <v>Bandeja de cables</v>
      </c>
      <c r="H566" s="7">
        <v>1</v>
      </c>
      <c r="I566" s="32" t="str">
        <f>IFERROR(VLOOKUP(F566,Productos!$A$2:$D$258,3,0)," ")</f>
        <v>Accesorio</v>
      </c>
      <c r="J566" s="139" t="s">
        <v>21</v>
      </c>
      <c r="K566" s="139" t="s">
        <v>22</v>
      </c>
      <c r="L566" s="26" t="str">
        <f t="shared" si="76"/>
        <v>Despachado</v>
      </c>
      <c r="M566" s="56" t="s">
        <v>238</v>
      </c>
      <c r="N566" s="187" t="s">
        <v>1233</v>
      </c>
      <c r="O566" s="150">
        <v>45832</v>
      </c>
      <c r="P566" s="151">
        <v>45834</v>
      </c>
      <c r="Q566" s="24" t="str">
        <f t="shared" si="74"/>
        <v>Entregado</v>
      </c>
      <c r="R566" s="25">
        <f>IF(L566="Despachado",NETWORKDAYS.INTL(A566,O566,11,Valores!$A$2:$A$18)-1,"PTE")</f>
        <v>1</v>
      </c>
      <c r="S566" s="25">
        <f>IF(Q566="Entregado",NETWORKDAYS.INTL(A566,P566,11,Valores!$A$2:$A$18)-1,"PTE")</f>
        <v>3</v>
      </c>
      <c r="T566" s="25"/>
      <c r="U566" s="25"/>
      <c r="V566" s="25" t="str">
        <f>IF(Q566="Entregado",IF(S566&lt;=VLOOKUP(K566,Valores!E:F,2,0),"Cumple","No cumple"),"PTE")</f>
        <v>Cumple</v>
      </c>
      <c r="W566" s="25"/>
      <c r="X566" s="29">
        <v>24885</v>
      </c>
      <c r="Y566" s="224"/>
      <c r="Z566" s="28"/>
    </row>
    <row r="567" spans="1:26" hidden="1" x14ac:dyDescent="0.3">
      <c r="A567" s="34">
        <v>45829</v>
      </c>
      <c r="B567" s="7" t="str">
        <f t="shared" si="75"/>
        <v>junio</v>
      </c>
      <c r="C567" s="27">
        <v>2604</v>
      </c>
      <c r="D567" s="23" t="s">
        <v>20</v>
      </c>
      <c r="E567" s="179" t="s">
        <v>1099</v>
      </c>
      <c r="F567" s="40" t="s">
        <v>280</v>
      </c>
      <c r="G567" s="32" t="str">
        <f>IFERROR(VLOOKUP(F567,Productos!$A$2:$D$258,2,0)," ")</f>
        <v>Rodachines con freno para Standing desk x 4 UN</v>
      </c>
      <c r="H567" s="7">
        <v>1</v>
      </c>
      <c r="I567" s="32" t="str">
        <f>IFERROR(VLOOKUP(F567,Productos!$A$2:$D$258,3,0)," ")</f>
        <v>Ruedas</v>
      </c>
      <c r="J567" s="139" t="s">
        <v>21</v>
      </c>
      <c r="K567" s="139" t="s">
        <v>22</v>
      </c>
      <c r="L567" s="26" t="str">
        <f t="shared" si="76"/>
        <v>Despachado</v>
      </c>
      <c r="M567" s="56" t="s">
        <v>238</v>
      </c>
      <c r="N567" s="187" t="s">
        <v>1234</v>
      </c>
      <c r="O567" s="150">
        <v>45832</v>
      </c>
      <c r="P567" s="151">
        <v>45834</v>
      </c>
      <c r="Q567" s="24" t="str">
        <f t="shared" si="74"/>
        <v>Entregado</v>
      </c>
      <c r="R567" s="25">
        <f>IF(L567="Despachado",NETWORKDAYS.INTL(A567,O567,11,Valores!$A$2:$A$18)-1,"PTE")</f>
        <v>1</v>
      </c>
      <c r="S567" s="25">
        <f>IF(Q567="Entregado",NETWORKDAYS.INTL(A567,P567,11,Valores!$A$2:$A$18)-1,"PTE")</f>
        <v>3</v>
      </c>
      <c r="T567" s="25"/>
      <c r="U567" s="25"/>
      <c r="V567" s="25" t="str">
        <f>IF(Q567="Entregado",IF(S567&lt;=VLOOKUP(K567,Valores!E:F,2,0),"Cumple","No cumple"),"PTE")</f>
        <v>Cumple</v>
      </c>
      <c r="W567" s="25"/>
      <c r="X567" s="29">
        <v>23875</v>
      </c>
      <c r="Y567" s="224"/>
      <c r="Z567" s="28"/>
    </row>
    <row r="568" spans="1:26" hidden="1" x14ac:dyDescent="0.3">
      <c r="A568" s="34">
        <v>45832</v>
      </c>
      <c r="B568" s="7" t="str">
        <f t="shared" si="75"/>
        <v>junio</v>
      </c>
      <c r="C568" s="27">
        <v>2605</v>
      </c>
      <c r="D568" s="23" t="s">
        <v>20</v>
      </c>
      <c r="E568" s="179" t="s">
        <v>819</v>
      </c>
      <c r="F568" s="40" t="s">
        <v>240</v>
      </c>
      <c r="G568" s="32" t="str">
        <f>IFERROR(VLOOKUP(F568,Productos!$A$2:$D$258,2,0)," ")</f>
        <v>Bandeja de cables</v>
      </c>
      <c r="H568" s="7">
        <v>1</v>
      </c>
      <c r="I568" s="32" t="str">
        <f>IFERROR(VLOOKUP(F568,Productos!$A$2:$D$258,3,0)," ")</f>
        <v>Accesorio</v>
      </c>
      <c r="J568" s="180" t="s">
        <v>222</v>
      </c>
      <c r="K568" s="180" t="s">
        <v>223</v>
      </c>
      <c r="L568" s="26" t="str">
        <f t="shared" ref="L568:L574" si="77">IF(O568&gt;0,"Despachado","En alistamiento")</f>
        <v>Despachado</v>
      </c>
      <c r="M568" s="56" t="s">
        <v>238</v>
      </c>
      <c r="N568" s="187" t="s">
        <v>1235</v>
      </c>
      <c r="O568" s="150">
        <v>45833</v>
      </c>
      <c r="P568" s="151">
        <v>45835</v>
      </c>
      <c r="Q568" s="24" t="str">
        <f t="shared" si="74"/>
        <v>Entregado</v>
      </c>
      <c r="R568" s="25">
        <f>IF(L568="Despachado",NETWORKDAYS.INTL(A568,O568,11,Valores!$A$2:$A$18)-1,"PTE")</f>
        <v>1</v>
      </c>
      <c r="S568" s="25">
        <f>IF(Q568="Entregado",NETWORKDAYS.INTL(A568,P568,11,Valores!$A$2:$A$18)-1,"PTE")</f>
        <v>3</v>
      </c>
      <c r="T568" s="25"/>
      <c r="U568" s="25"/>
      <c r="V568" s="25" t="str">
        <f>IF(Q568="Entregado",IF(S568&lt;=VLOOKUP(K568,Valores!E:F,2,0),"Cumple","No cumple"),"PTE")</f>
        <v>Cumple</v>
      </c>
      <c r="W568" s="25"/>
      <c r="X568" s="29">
        <v>24885</v>
      </c>
      <c r="Y568" s="224"/>
      <c r="Z568" s="28"/>
    </row>
    <row r="569" spans="1:26" hidden="1" x14ac:dyDescent="0.3">
      <c r="A569" s="34">
        <v>45834</v>
      </c>
      <c r="B569" s="7" t="str">
        <f t="shared" si="75"/>
        <v>junio</v>
      </c>
      <c r="C569" s="27">
        <v>100006</v>
      </c>
      <c r="D569" s="23" t="s">
        <v>20</v>
      </c>
      <c r="E569" s="179" t="s">
        <v>1100</v>
      </c>
      <c r="F569" s="40" t="s">
        <v>129</v>
      </c>
      <c r="G569" s="32" t="str">
        <f>IFERROR(VLOOKUP(F569,Productos!$A$2:$D$258,2,0)," ")</f>
        <v>Electric Standing Desk  PRO Negro</v>
      </c>
      <c r="H569" s="7">
        <v>1</v>
      </c>
      <c r="I569" s="32" t="str">
        <f>IFERROR(VLOOKUP(F569,Productos!$A$2:$D$258,3,0)," ")</f>
        <v>Standing Desk</v>
      </c>
      <c r="J569" s="180" t="s">
        <v>42</v>
      </c>
      <c r="K569" s="180" t="s">
        <v>41</v>
      </c>
      <c r="L569" s="26" t="str">
        <f t="shared" si="77"/>
        <v>Despachado</v>
      </c>
      <c r="M569" s="56" t="s">
        <v>238</v>
      </c>
      <c r="N569" s="187" t="s">
        <v>1236</v>
      </c>
      <c r="O569" s="150">
        <v>45833</v>
      </c>
      <c r="P569" s="151">
        <v>45835</v>
      </c>
      <c r="Q569" s="24" t="str">
        <f t="shared" si="74"/>
        <v>Entregado</v>
      </c>
      <c r="R569" s="25">
        <f>IF(L569="Despachado",NETWORKDAYS.INTL(A569,O569,11,Valores!$A$2:$A$18)-1,"PTE")</f>
        <v>-3</v>
      </c>
      <c r="S569" s="25">
        <f>IF(Q569="Entregado",NETWORKDAYS.INTL(A569,P569,11,Valores!$A$2:$A$18)-1,"PTE")</f>
        <v>1</v>
      </c>
      <c r="T569" s="25"/>
      <c r="U569" s="25"/>
      <c r="V569" s="25" t="str">
        <f>IF(Q569="Entregado",IF(S569&lt;=VLOOKUP(K569,Valores!E:F,2,0),"Cumple","No cumple"),"PTE")</f>
        <v>Cumple</v>
      </c>
      <c r="W569" s="25"/>
      <c r="X569" s="29">
        <v>47921</v>
      </c>
      <c r="Y569" s="224"/>
      <c r="Z569" s="28"/>
    </row>
    <row r="570" spans="1:26" hidden="1" x14ac:dyDescent="0.3">
      <c r="A570" s="34">
        <v>45834</v>
      </c>
      <c r="B570" s="7" t="str">
        <f t="shared" ref="B570:B581" si="78">TEXT(A570,"mmmm")</f>
        <v>junio</v>
      </c>
      <c r="C570" s="27">
        <v>100006</v>
      </c>
      <c r="D570" s="23" t="s">
        <v>20</v>
      </c>
      <c r="E570" s="179" t="s">
        <v>1100</v>
      </c>
      <c r="F570" s="22" t="s">
        <v>111</v>
      </c>
      <c r="G570" s="32" t="str">
        <f>IFERROR(VLOOKUP(F570,Productos!$A$2:$D$258,2,0)," ")</f>
        <v>Superficie  Roble Negro 180x70 Clasico</v>
      </c>
      <c r="H570" s="7">
        <v>1</v>
      </c>
      <c r="I570" s="32" t="str">
        <f>IFERROR(VLOOKUP(F570,Productos!$A$2:$D$258,3,0)," ")</f>
        <v>Superficie</v>
      </c>
      <c r="J570" s="180" t="s">
        <v>42</v>
      </c>
      <c r="K570" s="180" t="s">
        <v>41</v>
      </c>
      <c r="L570" s="26" t="str">
        <f t="shared" si="77"/>
        <v>Despachado</v>
      </c>
      <c r="M570" s="56" t="s">
        <v>238</v>
      </c>
      <c r="N570" s="187" t="s">
        <v>1237</v>
      </c>
      <c r="O570" s="150">
        <v>45833</v>
      </c>
      <c r="P570" s="151">
        <v>45835</v>
      </c>
      <c r="Q570" s="24" t="str">
        <f t="shared" si="74"/>
        <v>Entregado</v>
      </c>
      <c r="R570" s="25">
        <f>IF(L570="Despachado",NETWORKDAYS.INTL(A570,O570,11,Valores!$A$2:$A$18)-1,"PTE")</f>
        <v>-3</v>
      </c>
      <c r="S570" s="25">
        <f>IF(Q570="Entregado",NETWORKDAYS.INTL(A570,P570,11,Valores!$A$2:$A$18)-1,"PTE")</f>
        <v>1</v>
      </c>
      <c r="T570" s="25"/>
      <c r="U570" s="25"/>
      <c r="V570" s="25" t="str">
        <f>IF(Q570="Entregado",IF(S570&lt;=VLOOKUP(K570,Valores!E:F,2,0),"Cumple","No cumple"),"PTE")</f>
        <v>Cumple</v>
      </c>
      <c r="W570" s="25"/>
      <c r="X570" s="29">
        <v>29249</v>
      </c>
      <c r="Y570" s="224"/>
      <c r="Z570" s="28"/>
    </row>
    <row r="571" spans="1:26" hidden="1" x14ac:dyDescent="0.3">
      <c r="A571" s="34">
        <v>45834</v>
      </c>
      <c r="B571" s="7" t="str">
        <f t="shared" si="78"/>
        <v>junio</v>
      </c>
      <c r="C571" s="27">
        <v>100006</v>
      </c>
      <c r="D571" s="23" t="s">
        <v>20</v>
      </c>
      <c r="E571" s="179" t="s">
        <v>1100</v>
      </c>
      <c r="F571" s="40" t="s">
        <v>240</v>
      </c>
      <c r="G571" s="32" t="str">
        <f>IFERROR(VLOOKUP(F571,Productos!$A$2:$D$258,2,0)," ")</f>
        <v>Bandeja de cables</v>
      </c>
      <c r="H571" s="7">
        <v>1</v>
      </c>
      <c r="I571" s="32" t="str">
        <f>IFERROR(VLOOKUP(F571,Productos!$A$2:$D$258,3,0)," ")</f>
        <v>Accesorio</v>
      </c>
      <c r="J571" s="180" t="s">
        <v>42</v>
      </c>
      <c r="K571" s="180" t="s">
        <v>41</v>
      </c>
      <c r="L571" s="26" t="str">
        <f t="shared" si="77"/>
        <v>Despachado</v>
      </c>
      <c r="M571" s="56" t="s">
        <v>238</v>
      </c>
      <c r="N571" s="187" t="s">
        <v>1238</v>
      </c>
      <c r="O571" s="150">
        <v>45833</v>
      </c>
      <c r="P571" s="151">
        <v>45835</v>
      </c>
      <c r="Q571" s="24" t="str">
        <f t="shared" si="74"/>
        <v>Entregado</v>
      </c>
      <c r="R571" s="25">
        <f>IF(L571="Despachado",NETWORKDAYS.INTL(A571,O571,11,Valores!$A$2:$A$18)-1,"PTE")</f>
        <v>-3</v>
      </c>
      <c r="S571" s="25">
        <f>IF(Q571="Entregado",NETWORKDAYS.INTL(A571,P571,11,Valores!$A$2:$A$18)-1,"PTE")</f>
        <v>1</v>
      </c>
      <c r="T571" s="25"/>
      <c r="U571" s="25"/>
      <c r="V571" s="25" t="str">
        <f>IF(Q571="Entregado",IF(S571&lt;=VLOOKUP(K571,Valores!E:F,2,0),"Cumple","No cumple"),"PTE")</f>
        <v>Cumple</v>
      </c>
      <c r="W571" s="25"/>
      <c r="X571" s="29">
        <v>25429</v>
      </c>
      <c r="Y571" s="224"/>
      <c r="Z571" s="28"/>
    </row>
    <row r="572" spans="1:26" hidden="1" x14ac:dyDescent="0.3">
      <c r="A572" s="34">
        <v>45834</v>
      </c>
      <c r="B572" s="7" t="str">
        <f t="shared" si="78"/>
        <v>junio</v>
      </c>
      <c r="C572" s="27">
        <v>100006</v>
      </c>
      <c r="D572" s="23" t="s">
        <v>20</v>
      </c>
      <c r="E572" s="179" t="s">
        <v>1100</v>
      </c>
      <c r="F572" s="40" t="s">
        <v>280</v>
      </c>
      <c r="G572" s="32" t="str">
        <f>IFERROR(VLOOKUP(F572,Productos!$A$2:$D$258,2,0)," ")</f>
        <v>Rodachines con freno para Standing desk x 4 UN</v>
      </c>
      <c r="H572" s="7">
        <v>1</v>
      </c>
      <c r="I572" s="32" t="str">
        <f>IFERROR(VLOOKUP(F572,Productos!$A$2:$D$258,3,0)," ")</f>
        <v>Ruedas</v>
      </c>
      <c r="J572" s="180" t="s">
        <v>42</v>
      </c>
      <c r="K572" s="180" t="s">
        <v>41</v>
      </c>
      <c r="L572" s="26" t="str">
        <f t="shared" si="77"/>
        <v>Despachado</v>
      </c>
      <c r="M572" s="56" t="s">
        <v>238</v>
      </c>
      <c r="N572" s="187" t="s">
        <v>1239</v>
      </c>
      <c r="O572" s="150">
        <v>45833</v>
      </c>
      <c r="P572" s="151">
        <v>45835</v>
      </c>
      <c r="Q572" s="24" t="str">
        <f t="shared" si="74"/>
        <v>Entregado</v>
      </c>
      <c r="R572" s="25">
        <f>IF(L572="Despachado",NETWORKDAYS.INTL(A572,O572,11,Valores!$A$2:$A$18)-1,"PTE")</f>
        <v>-3</v>
      </c>
      <c r="S572" s="25">
        <f>IF(Q572="Entregado",NETWORKDAYS.INTL(A572,P572,11,Valores!$A$2:$A$18)-1,"PTE")</f>
        <v>1</v>
      </c>
      <c r="T572" s="25"/>
      <c r="U572" s="25"/>
      <c r="V572" s="25" t="str">
        <f>IF(Q572="Entregado",IF(S572&lt;=VLOOKUP(K572,Valores!E:F,2,0),"Cumple","No cumple"),"PTE")</f>
        <v>Cumple</v>
      </c>
      <c r="W572" s="25"/>
      <c r="X572" s="29">
        <v>23885</v>
      </c>
      <c r="Y572" s="224"/>
      <c r="Z572" s="28"/>
    </row>
    <row r="573" spans="1:26" hidden="1" x14ac:dyDescent="0.3">
      <c r="A573" s="34">
        <v>45834</v>
      </c>
      <c r="B573" s="7" t="str">
        <f t="shared" si="78"/>
        <v>junio</v>
      </c>
      <c r="C573" s="27">
        <v>100007</v>
      </c>
      <c r="D573" s="23" t="s">
        <v>20</v>
      </c>
      <c r="E573" s="179" t="s">
        <v>1101</v>
      </c>
      <c r="F573" s="22" t="s">
        <v>127</v>
      </c>
      <c r="G573" s="32" t="str">
        <f>IFERROR(VLOOKUP(F573,Productos!$A$2:$D$258,2,0)," ")</f>
        <v>Electric Standing Desk GO Blanco</v>
      </c>
      <c r="H573" s="7">
        <v>1</v>
      </c>
      <c r="I573" s="32" t="str">
        <f>IFERROR(VLOOKUP(F573,Productos!$A$2:$D$258,3,0)," ")</f>
        <v>Standing Desk</v>
      </c>
      <c r="J573" s="180" t="s">
        <v>37</v>
      </c>
      <c r="K573" s="180" t="s">
        <v>206</v>
      </c>
      <c r="L573" s="26" t="str">
        <f t="shared" si="77"/>
        <v>Despachado</v>
      </c>
      <c r="M573" s="56" t="s">
        <v>238</v>
      </c>
      <c r="N573" s="187" t="s">
        <v>1240</v>
      </c>
      <c r="O573" s="150">
        <v>45835</v>
      </c>
      <c r="P573" s="151">
        <v>45836</v>
      </c>
      <c r="Q573" s="24" t="str">
        <f t="shared" si="74"/>
        <v>Entregado</v>
      </c>
      <c r="R573" s="25">
        <f>IF(L573="Despachado",NETWORKDAYS.INTL(A573,O573,11,Valores!$A$2:$A$18)-1,"PTE")</f>
        <v>1</v>
      </c>
      <c r="S573" s="25">
        <f>IF(Q573="Entregado",NETWORKDAYS.INTL(A573,P573,11,Valores!$A$2:$A$18)-1,"PTE")</f>
        <v>2</v>
      </c>
      <c r="T573" s="25"/>
      <c r="U573" s="25"/>
      <c r="V573" s="25" t="str">
        <f>IF(Q573="Entregado",IF(S573&lt;=VLOOKUP(K573,Valores!E:F,2,0),"Cumple","No cumple"),"PTE")</f>
        <v>Cumple</v>
      </c>
      <c r="W573" s="25"/>
      <c r="X573" s="29">
        <v>39156</v>
      </c>
      <c r="Y573" s="224"/>
      <c r="Z573" s="28"/>
    </row>
    <row r="574" spans="1:26" hidden="1" x14ac:dyDescent="0.3">
      <c r="A574" s="34">
        <v>45834</v>
      </c>
      <c r="B574" s="7" t="str">
        <f t="shared" si="78"/>
        <v>junio</v>
      </c>
      <c r="C574" s="27">
        <v>100007</v>
      </c>
      <c r="D574" s="23" t="s">
        <v>20</v>
      </c>
      <c r="E574" s="179" t="s">
        <v>1101</v>
      </c>
      <c r="F574" s="22" t="s">
        <v>302</v>
      </c>
      <c r="G574" s="32" t="str">
        <f>IFERROR(VLOOKUP(F574,Productos!$A$2:$D$258,2,0)," ")</f>
        <v>Superficie  Fresno Europeo 130x70 Clasico</v>
      </c>
      <c r="H574" s="7">
        <v>1</v>
      </c>
      <c r="I574" s="32" t="str">
        <f>IFERROR(VLOOKUP(F574,Productos!$A$2:$D$258,3,0)," ")</f>
        <v>Superficie</v>
      </c>
      <c r="J574" s="180" t="s">
        <v>37</v>
      </c>
      <c r="K574" s="180" t="s">
        <v>206</v>
      </c>
      <c r="L574" s="26" t="str">
        <f t="shared" si="77"/>
        <v>Despachado</v>
      </c>
      <c r="M574" s="56" t="s">
        <v>238</v>
      </c>
      <c r="N574" s="187" t="s">
        <v>1241</v>
      </c>
      <c r="O574" s="150">
        <v>45835</v>
      </c>
      <c r="P574" s="151">
        <v>45836</v>
      </c>
      <c r="Q574" s="24" t="str">
        <f t="shared" si="74"/>
        <v>Entregado</v>
      </c>
      <c r="R574" s="25">
        <f>IF(L574="Despachado",NETWORKDAYS.INTL(A574,O574,11,Valores!$A$2:$A$18)-1,"PTE")</f>
        <v>1</v>
      </c>
      <c r="S574" s="25">
        <f>IF(Q574="Entregado",NETWORKDAYS.INTL(A574,P574,11,Valores!$A$2:$A$18)-1,"PTE")</f>
        <v>2</v>
      </c>
      <c r="T574" s="25"/>
      <c r="U574" s="25"/>
      <c r="V574" s="25" t="str">
        <f>IF(Q574="Entregado",IF(S574&lt;=VLOOKUP(K574,Valores!E:F,2,0),"Cumple","No cumple"),"PTE")</f>
        <v>Cumple</v>
      </c>
      <c r="W574" s="25"/>
      <c r="X574" s="29">
        <v>19694</v>
      </c>
      <c r="Y574" s="224"/>
      <c r="Z574" s="28"/>
    </row>
    <row r="575" spans="1:26" hidden="1" x14ac:dyDescent="0.3">
      <c r="A575" s="34">
        <v>45834</v>
      </c>
      <c r="B575" s="7" t="str">
        <f t="shared" si="78"/>
        <v>junio</v>
      </c>
      <c r="C575" s="27">
        <v>100008</v>
      </c>
      <c r="D575" s="23" t="s">
        <v>20</v>
      </c>
      <c r="E575" s="179" t="s">
        <v>1102</v>
      </c>
      <c r="F575" s="22" t="s">
        <v>74</v>
      </c>
      <c r="G575" s="32" t="str">
        <f>IFERROR(VLOOKUP(F575,Productos!$A$2:$D$258,2,0)," ")</f>
        <v>Repisa Caramelo</v>
      </c>
      <c r="H575" s="7">
        <v>1</v>
      </c>
      <c r="I575" s="32" t="str">
        <f>IFERROR(VLOOKUP(F575,Productos!$A$2:$D$258,3,0)," ")</f>
        <v>Repisa</v>
      </c>
      <c r="J575" s="180" t="s">
        <v>24</v>
      </c>
      <c r="K575" s="180" t="s">
        <v>217</v>
      </c>
      <c r="L575" s="26" t="str">
        <f t="shared" ref="L575:L580" si="79">IF(O575&gt;0,"Despachado","En alistamiento")</f>
        <v>Despachado</v>
      </c>
      <c r="M575" s="56" t="s">
        <v>238</v>
      </c>
      <c r="N575" s="187" t="s">
        <v>1242</v>
      </c>
      <c r="O575" s="150">
        <v>45839</v>
      </c>
      <c r="P575" s="151">
        <v>45847</v>
      </c>
      <c r="Q575" s="24" t="str">
        <f t="shared" si="74"/>
        <v>Entregado</v>
      </c>
      <c r="R575" s="25">
        <f>IF(L575="Despachado",NETWORKDAYS.INTL(A575,O575,11,Valores!$A$2:$A$18)-1,"PTE")</f>
        <v>3</v>
      </c>
      <c r="S575" s="25">
        <f>IF(Q575="Entregado",NETWORKDAYS.INTL(A575,P575,11,Valores!$A$2:$A$18)-1,"PTE")</f>
        <v>10</v>
      </c>
      <c r="T575" s="25"/>
      <c r="U575" s="25"/>
      <c r="V575" s="25" t="str">
        <f>IF(Q575="Entregado",IF(S575&lt;=VLOOKUP(K575,Valores!E:F,2,0),"Cumple","No cumple"),"PTE")</f>
        <v>No cumple</v>
      </c>
      <c r="W575" s="25"/>
      <c r="X575" s="29">
        <v>24619</v>
      </c>
      <c r="Y575" s="224"/>
      <c r="Z575" s="28"/>
    </row>
    <row r="576" spans="1:26" hidden="1" x14ac:dyDescent="0.3">
      <c r="A576" s="34">
        <v>45834</v>
      </c>
      <c r="B576" s="7" t="str">
        <f t="shared" si="78"/>
        <v>junio</v>
      </c>
      <c r="C576" s="27">
        <v>100008</v>
      </c>
      <c r="D576" s="23" t="s">
        <v>20</v>
      </c>
      <c r="E576" s="179" t="s">
        <v>1102</v>
      </c>
      <c r="F576" s="22" t="s">
        <v>68</v>
      </c>
      <c r="G576" s="32" t="str">
        <f>IFERROR(VLOOKUP(F576,Productos!$A$2:$D$258,2,0)," ")</f>
        <v>Archivador TECU  Caramelo</v>
      </c>
      <c r="H576" s="7">
        <v>2</v>
      </c>
      <c r="I576" s="32" t="str">
        <f>IFERROR(VLOOKUP(F576,Productos!$A$2:$D$258,3,0)," ")</f>
        <v>Archivador</v>
      </c>
      <c r="J576" s="180" t="s">
        <v>24</v>
      </c>
      <c r="K576" s="180" t="s">
        <v>217</v>
      </c>
      <c r="L576" s="26" t="str">
        <f t="shared" si="79"/>
        <v>Despachado</v>
      </c>
      <c r="M576" s="56" t="s">
        <v>238</v>
      </c>
      <c r="N576" s="187" t="s">
        <v>1244</v>
      </c>
      <c r="O576" s="150">
        <v>45839</v>
      </c>
      <c r="P576" s="151">
        <v>45847</v>
      </c>
      <c r="Q576" s="24" t="str">
        <f t="shared" si="74"/>
        <v>Entregado</v>
      </c>
      <c r="R576" s="25">
        <f>IF(L576="Despachado",NETWORKDAYS.INTL(A576,O576,11,Valores!$A$2:$A$18)-1,"PTE")</f>
        <v>3</v>
      </c>
      <c r="S576" s="25">
        <f>IF(Q576="Entregado",NETWORKDAYS.INTL(A576,P576,11,Valores!$A$2:$A$18)-1,"PTE")</f>
        <v>10</v>
      </c>
      <c r="T576" s="25"/>
      <c r="U576" s="25"/>
      <c r="V576" s="25" t="str">
        <f>IF(Q576="Entregado",IF(S576&lt;=VLOOKUP(K576,Valores!E:F,2,0),"Cumple","No cumple"),"PTE")</f>
        <v>No cumple</v>
      </c>
      <c r="W576" s="25"/>
      <c r="X576" s="29">
        <f>56819*2</f>
        <v>113638</v>
      </c>
      <c r="Y576" s="224"/>
      <c r="Z576" s="28"/>
    </row>
    <row r="577" spans="1:26" hidden="1" x14ac:dyDescent="0.3">
      <c r="A577" s="34">
        <v>45834</v>
      </c>
      <c r="B577" s="7" t="str">
        <f t="shared" si="78"/>
        <v>junio</v>
      </c>
      <c r="C577" s="27">
        <v>100008</v>
      </c>
      <c r="D577" s="23" t="s">
        <v>20</v>
      </c>
      <c r="E577" s="179" t="s">
        <v>1102</v>
      </c>
      <c r="F577" s="40" t="s">
        <v>240</v>
      </c>
      <c r="G577" s="32" t="str">
        <f>IFERROR(VLOOKUP(F577,Productos!$A$2:$D$258,2,0)," ")</f>
        <v>Bandeja de cables</v>
      </c>
      <c r="H577" s="7">
        <v>2</v>
      </c>
      <c r="I577" s="32" t="str">
        <f>IFERROR(VLOOKUP(F577,Productos!$A$2:$D$258,3,0)," ")</f>
        <v>Accesorio</v>
      </c>
      <c r="J577" s="180" t="s">
        <v>24</v>
      </c>
      <c r="K577" s="180" t="s">
        <v>217</v>
      </c>
      <c r="L577" s="26" t="str">
        <f t="shared" si="79"/>
        <v>Despachado</v>
      </c>
      <c r="M577" s="56" t="s">
        <v>238</v>
      </c>
      <c r="N577" s="187" t="s">
        <v>1243</v>
      </c>
      <c r="O577" s="150">
        <v>45839</v>
      </c>
      <c r="P577" s="151">
        <v>45847</v>
      </c>
      <c r="Q577" s="24" t="str">
        <f t="shared" si="74"/>
        <v>Entregado</v>
      </c>
      <c r="R577" s="25">
        <f>IF(L577="Despachado",NETWORKDAYS.INTL(A577,O577,11,Valores!$A$2:$A$18)-1,"PTE")</f>
        <v>3</v>
      </c>
      <c r="S577" s="25">
        <f>IF(Q577="Entregado",NETWORKDAYS.INTL(A577,P577,11,Valores!$A$2:$A$18)-1,"PTE")</f>
        <v>10</v>
      </c>
      <c r="T577" s="25"/>
      <c r="U577" s="25"/>
      <c r="V577" s="25" t="str">
        <f>IF(Q577="Entregado",IF(S577&lt;=VLOOKUP(K577,Valores!E:F,2,0),"Cumple","No cumple"),"PTE")</f>
        <v>No cumple</v>
      </c>
      <c r="W577" s="25"/>
      <c r="X577" s="29">
        <v>25429</v>
      </c>
      <c r="Y577" s="224"/>
      <c r="Z577" s="28"/>
    </row>
    <row r="578" spans="1:26" hidden="1" x14ac:dyDescent="0.3">
      <c r="A578" s="34">
        <v>45834</v>
      </c>
      <c r="B578" s="7" t="str">
        <f t="shared" si="78"/>
        <v>junio</v>
      </c>
      <c r="C578" s="27">
        <v>100009</v>
      </c>
      <c r="D578" s="23" t="s">
        <v>20</v>
      </c>
      <c r="E578" s="181" t="s">
        <v>1103</v>
      </c>
      <c r="F578" s="40" t="s">
        <v>129</v>
      </c>
      <c r="G578" s="32" t="str">
        <f>IFERROR(VLOOKUP(F578,Productos!$A$2:$D$258,2,0)," ")</f>
        <v>Electric Standing Desk  PRO Negro</v>
      </c>
      <c r="H578" s="7">
        <v>1</v>
      </c>
      <c r="I578" s="32" t="str">
        <f>IFERROR(VLOOKUP(F578,Productos!$A$2:$D$258,3,0)," ")</f>
        <v>Standing Desk</v>
      </c>
      <c r="J578" s="139" t="s">
        <v>21</v>
      </c>
      <c r="K578" s="139" t="s">
        <v>22</v>
      </c>
      <c r="L578" s="26" t="str">
        <f t="shared" si="79"/>
        <v>Despachado</v>
      </c>
      <c r="M578" s="56" t="s">
        <v>238</v>
      </c>
      <c r="N578" s="187" t="s">
        <v>1245</v>
      </c>
      <c r="O578" s="150">
        <v>45835</v>
      </c>
      <c r="P578" s="151">
        <v>45840</v>
      </c>
      <c r="Q578" s="24" t="str">
        <f t="shared" si="74"/>
        <v>Entregado</v>
      </c>
      <c r="R578" s="25">
        <f>IF(L578="Despachado",NETWORKDAYS.INTL(A578,O578,11,Valores!$A$2:$A$18)-1,"PTE")</f>
        <v>1</v>
      </c>
      <c r="S578" s="25">
        <f>IF(Q578="Entregado",NETWORKDAYS.INTL(A578,P578,11,Valores!$A$2:$A$18)-1,"PTE")</f>
        <v>4</v>
      </c>
      <c r="T578" s="25"/>
      <c r="U578" s="25"/>
      <c r="V578" s="25" t="str">
        <f>IF(Q578="Entregado",IF(S578&lt;=VLOOKUP(K578,Valores!E:F,2,0),"Cumple","No cumple"),"PTE")</f>
        <v>No cumple</v>
      </c>
      <c r="W578" s="25"/>
      <c r="X578" s="29">
        <v>47921</v>
      </c>
      <c r="Y578" s="224"/>
      <c r="Z578" s="28"/>
    </row>
    <row r="579" spans="1:26" hidden="1" x14ac:dyDescent="0.3">
      <c r="A579" s="34">
        <v>45834</v>
      </c>
      <c r="B579" s="7" t="str">
        <f t="shared" si="78"/>
        <v>junio</v>
      </c>
      <c r="C579" s="27">
        <v>100009</v>
      </c>
      <c r="D579" s="23" t="s">
        <v>20</v>
      </c>
      <c r="E579" s="181" t="s">
        <v>1103</v>
      </c>
      <c r="F579" s="22" t="s">
        <v>158</v>
      </c>
      <c r="G579" s="32" t="str">
        <f>IFERROR(VLOOKUP(F579,Productos!$A$2:$D$258,2,0)," ")</f>
        <v>Superficie  Roble Negro 200x70 Clasico</v>
      </c>
      <c r="H579" s="7">
        <v>1</v>
      </c>
      <c r="I579" s="32" t="str">
        <f>IFERROR(VLOOKUP(F579,Productos!$A$2:$D$258,3,0)," ")</f>
        <v>Superficie</v>
      </c>
      <c r="J579" s="139" t="s">
        <v>21</v>
      </c>
      <c r="K579" s="139" t="s">
        <v>22</v>
      </c>
      <c r="L579" s="26" t="str">
        <f t="shared" si="79"/>
        <v>Despachado</v>
      </c>
      <c r="M579" s="56" t="s">
        <v>238</v>
      </c>
      <c r="N579" s="187" t="s">
        <v>1246</v>
      </c>
      <c r="O579" s="150">
        <v>45835</v>
      </c>
      <c r="P579" s="151">
        <v>45839</v>
      </c>
      <c r="Q579" s="24" t="str">
        <f t="shared" si="74"/>
        <v>Entregado</v>
      </c>
      <c r="R579" s="25">
        <f>IF(L579="Despachado",NETWORKDAYS.INTL(A579,O579,11,Valores!$A$2:$A$18)-1,"PTE")</f>
        <v>1</v>
      </c>
      <c r="S579" s="25">
        <f>IF(Q579="Entregado",NETWORKDAYS.INTL(A579,P579,11,Valores!$A$2:$A$18)-1,"PTE")</f>
        <v>3</v>
      </c>
      <c r="T579" s="25"/>
      <c r="U579" s="25"/>
      <c r="V579" s="25" t="str">
        <f>IF(Q579="Entregado",IF(S579&lt;=VLOOKUP(K579,Valores!E:F,2,0),"Cumple","No cumple"),"PTE")</f>
        <v>Cumple</v>
      </c>
      <c r="W579" s="25"/>
      <c r="X579" s="29">
        <v>33241</v>
      </c>
      <c r="Y579" s="224"/>
      <c r="Z579" s="28"/>
    </row>
    <row r="580" spans="1:26" hidden="1" x14ac:dyDescent="0.3">
      <c r="A580" s="34">
        <v>45834</v>
      </c>
      <c r="B580" s="7" t="str">
        <f t="shared" si="78"/>
        <v>junio</v>
      </c>
      <c r="C580" s="27">
        <v>100009</v>
      </c>
      <c r="D580" s="23" t="s">
        <v>20</v>
      </c>
      <c r="E580" s="181" t="s">
        <v>1103</v>
      </c>
      <c r="F580" s="40" t="s">
        <v>240</v>
      </c>
      <c r="G580" s="32" t="str">
        <f>IFERROR(VLOOKUP(F580,Productos!$A$2:$D$258,2,0)," ")</f>
        <v>Bandeja de cables</v>
      </c>
      <c r="H580" s="7">
        <v>1</v>
      </c>
      <c r="I580" s="32" t="str">
        <f>IFERROR(VLOOKUP(F580,Productos!$A$2:$D$258,3,0)," ")</f>
        <v>Accesorio</v>
      </c>
      <c r="J580" s="139" t="s">
        <v>21</v>
      </c>
      <c r="K580" s="139" t="s">
        <v>22</v>
      </c>
      <c r="L580" s="26" t="str">
        <f t="shared" si="79"/>
        <v>Despachado</v>
      </c>
      <c r="M580" s="56" t="s">
        <v>238</v>
      </c>
      <c r="N580" s="187" t="s">
        <v>1247</v>
      </c>
      <c r="O580" s="150">
        <v>45835</v>
      </c>
      <c r="P580" s="151">
        <v>45840</v>
      </c>
      <c r="Q580" s="24" t="str">
        <f t="shared" si="74"/>
        <v>Entregado</v>
      </c>
      <c r="R580" s="25">
        <f>IF(L580="Despachado",NETWORKDAYS.INTL(A580,O580,11,Valores!$A$2:$A$18)-1,"PTE")</f>
        <v>1</v>
      </c>
      <c r="S580" s="25">
        <f>IF(Q580="Entregado",NETWORKDAYS.INTL(A580,P580,11,Valores!$A$2:$A$18)-1,"PTE")</f>
        <v>4</v>
      </c>
      <c r="T580" s="25"/>
      <c r="U580" s="25"/>
      <c r="V580" s="25" t="str">
        <f>IF(Q580="Entregado",IF(S580&lt;=VLOOKUP(K580,Valores!E:F,2,0),"Cumple","No cumple"),"PTE")</f>
        <v>No cumple</v>
      </c>
      <c r="W580" s="25"/>
      <c r="X580" s="29">
        <v>25429</v>
      </c>
      <c r="Y580" s="224"/>
      <c r="Z580" s="28"/>
    </row>
    <row r="581" spans="1:26" hidden="1" x14ac:dyDescent="0.3">
      <c r="A581" s="34">
        <v>45835</v>
      </c>
      <c r="B581" s="7" t="str">
        <f t="shared" si="78"/>
        <v>junio</v>
      </c>
      <c r="C581" s="27">
        <v>100010</v>
      </c>
      <c r="D581" s="23" t="s">
        <v>20</v>
      </c>
      <c r="E581" s="181" t="s">
        <v>1104</v>
      </c>
      <c r="F581" s="22" t="s">
        <v>74</v>
      </c>
      <c r="G581" s="32" t="str">
        <f>IFERROR(VLOOKUP(F581,Productos!$A$2:$D$258,2,0)," ")</f>
        <v>Repisa Caramelo</v>
      </c>
      <c r="H581" s="7">
        <v>1</v>
      </c>
      <c r="I581" s="32" t="str">
        <f>IFERROR(VLOOKUP(F581,Productos!$A$2:$D$258,3,0)," ")</f>
        <v>Repisa</v>
      </c>
      <c r="J581" s="139" t="s">
        <v>21</v>
      </c>
      <c r="K581" s="139" t="s">
        <v>22</v>
      </c>
      <c r="L581" s="26" t="str">
        <f t="shared" ref="L581:L618" si="80">IF(O581&gt;0,"Despachado","En alistamiento")</f>
        <v>Despachado</v>
      </c>
      <c r="M581" s="56" t="s">
        <v>238</v>
      </c>
      <c r="N581" s="187" t="s">
        <v>1248</v>
      </c>
      <c r="O581" s="150">
        <v>45835</v>
      </c>
      <c r="P581" s="151">
        <v>45839</v>
      </c>
      <c r="Q581" s="24" t="str">
        <f t="shared" si="74"/>
        <v>Entregado</v>
      </c>
      <c r="R581" s="25">
        <f>IF(L581="Despachado",NETWORKDAYS.INTL(A581,O581,11,Valores!$A$2:$A$18)-1,"PTE")</f>
        <v>0</v>
      </c>
      <c r="S581" s="25">
        <f>IF(Q581="Entregado",NETWORKDAYS.INTL(A581,P581,11,Valores!$A$2:$A$18)-1,"PTE")</f>
        <v>2</v>
      </c>
      <c r="T581" s="25"/>
      <c r="U581" s="25"/>
      <c r="V581" s="25" t="str">
        <f>IF(Q581="Entregado",IF(S581&lt;=VLOOKUP(K581,Valores!E:F,2,0),"Cumple","No cumple"),"PTE")</f>
        <v>Cumple</v>
      </c>
      <c r="W581" s="25"/>
      <c r="X581" s="29">
        <v>24619</v>
      </c>
      <c r="Y581" s="224"/>
      <c r="Z581" s="28"/>
    </row>
    <row r="582" spans="1:26" hidden="1" x14ac:dyDescent="0.3">
      <c r="A582" s="34">
        <v>45835</v>
      </c>
      <c r="B582" s="7" t="str">
        <f t="shared" ref="B582:B590" si="81">TEXT(A582,"mmmm")</f>
        <v>junio</v>
      </c>
      <c r="C582" s="27">
        <v>100013</v>
      </c>
      <c r="D582" s="23" t="s">
        <v>20</v>
      </c>
      <c r="E582" s="181" t="s">
        <v>1105</v>
      </c>
      <c r="F582" s="40" t="s">
        <v>123</v>
      </c>
      <c r="G582" s="32" t="str">
        <f>IFERROR(VLOOKUP(F582,Productos!$A$2:$D$258,2,0)," ")</f>
        <v>Electric Standing Desk GO Negro</v>
      </c>
      <c r="H582" s="7">
        <v>1</v>
      </c>
      <c r="I582" s="32" t="str">
        <f>IFERROR(VLOOKUP(F582,Productos!$A$2:$D$258,3,0)," ")</f>
        <v>Standing Desk</v>
      </c>
      <c r="J582" s="182" t="s">
        <v>24</v>
      </c>
      <c r="K582" s="182" t="s">
        <v>25</v>
      </c>
      <c r="L582" s="26" t="str">
        <f t="shared" si="80"/>
        <v>Despachado</v>
      </c>
      <c r="M582" s="56" t="s">
        <v>238</v>
      </c>
      <c r="N582" s="187" t="s">
        <v>1249</v>
      </c>
      <c r="O582" s="150">
        <v>45835</v>
      </c>
      <c r="P582" s="151">
        <v>45836</v>
      </c>
      <c r="Q582" s="24" t="str">
        <f t="shared" si="74"/>
        <v>Entregado</v>
      </c>
      <c r="R582" s="25">
        <f>IF(L582="Despachado",NETWORKDAYS.INTL(A582,O582,11,Valores!$A$2:$A$18)-1,"PTE")</f>
        <v>0</v>
      </c>
      <c r="S582" s="25">
        <f>IF(Q582="Entregado",NETWORKDAYS.INTL(A582,P582,11,Valores!$A$2:$A$18)-1,"PTE")</f>
        <v>1</v>
      </c>
      <c r="T582" s="25"/>
      <c r="U582" s="25"/>
      <c r="V582" s="25" t="str">
        <f>IF(Q582="Entregado",IF(S582&lt;=VLOOKUP(K582,Valores!E:F,2,0),"Cumple","No cumple"),"PTE")</f>
        <v>Cumple</v>
      </c>
      <c r="W582" s="25"/>
      <c r="X582" s="29">
        <v>47258</v>
      </c>
      <c r="Y582" s="224"/>
      <c r="Z582" s="28"/>
    </row>
    <row r="583" spans="1:26" hidden="1" x14ac:dyDescent="0.3">
      <c r="A583" s="34">
        <v>45835</v>
      </c>
      <c r="B583" s="7" t="str">
        <f t="shared" si="81"/>
        <v>junio</v>
      </c>
      <c r="C583" s="27">
        <v>100013</v>
      </c>
      <c r="D583" s="23" t="s">
        <v>20</v>
      </c>
      <c r="E583" s="181" t="s">
        <v>1105</v>
      </c>
      <c r="F583" s="22" t="s">
        <v>142</v>
      </c>
      <c r="G583" s="32" t="str">
        <f>IFERROR(VLOOKUP(F583,Productos!$A$2:$D$258,2,0)," ")</f>
        <v>Superficie Caramelo 140x70 Clasico</v>
      </c>
      <c r="H583" s="7">
        <v>1</v>
      </c>
      <c r="I583" s="32" t="str">
        <f>IFERROR(VLOOKUP(F583,Productos!$A$2:$D$258,3,0)," ")</f>
        <v>Superficie</v>
      </c>
      <c r="J583" s="182" t="s">
        <v>24</v>
      </c>
      <c r="K583" s="182" t="s">
        <v>25</v>
      </c>
      <c r="L583" s="26" t="str">
        <f t="shared" si="80"/>
        <v>Despachado</v>
      </c>
      <c r="M583" s="56" t="s">
        <v>238</v>
      </c>
      <c r="N583" s="187" t="s">
        <v>1250</v>
      </c>
      <c r="O583" s="150">
        <v>45835</v>
      </c>
      <c r="P583" s="151">
        <v>45836</v>
      </c>
      <c r="Q583" s="24" t="str">
        <f t="shared" si="74"/>
        <v>Entregado</v>
      </c>
      <c r="R583" s="25">
        <f>IF(L583="Despachado",NETWORKDAYS.INTL(A583,O583,11,Valores!$A$2:$A$18)-1,"PTE")</f>
        <v>0</v>
      </c>
      <c r="S583" s="25">
        <f>IF(Q583="Entregado",NETWORKDAYS.INTL(A583,P583,11,Valores!$A$2:$A$18)-1,"PTE")</f>
        <v>1</v>
      </c>
      <c r="T583" s="25"/>
      <c r="U583" s="25"/>
      <c r="V583" s="25" t="str">
        <f>IF(Q583="Entregado",IF(S583&lt;=VLOOKUP(K583,Valores!E:F,2,0),"Cumple","No cumple"),"PTE")</f>
        <v>Cumple</v>
      </c>
      <c r="W583" s="25"/>
      <c r="X583" s="29">
        <v>27929</v>
      </c>
      <c r="Y583" s="224"/>
      <c r="Z583" s="28"/>
    </row>
    <row r="584" spans="1:26" hidden="1" x14ac:dyDescent="0.3">
      <c r="A584" s="34">
        <v>45836</v>
      </c>
      <c r="B584" s="7" t="str">
        <f t="shared" si="81"/>
        <v>junio</v>
      </c>
      <c r="C584" s="27">
        <v>100014</v>
      </c>
      <c r="D584" s="23" t="s">
        <v>20</v>
      </c>
      <c r="E584" s="181" t="s">
        <v>1106</v>
      </c>
      <c r="F584" s="40" t="s">
        <v>57</v>
      </c>
      <c r="G584" s="32" t="str">
        <f>IFERROR(VLOOKUP(F584,Productos!$A$2:$D$258,2,0)," ")</f>
        <v>Electric Standing Desk  En L Frame Negro 2.0</v>
      </c>
      <c r="H584" s="7">
        <v>1</v>
      </c>
      <c r="I584" s="32" t="str">
        <f>IFERROR(VLOOKUP(F584,Productos!$A$2:$D$258,3,0)," ")</f>
        <v>Standing Desk</v>
      </c>
      <c r="J584" s="139" t="s">
        <v>21</v>
      </c>
      <c r="K584" s="139" t="s">
        <v>22</v>
      </c>
      <c r="L584" s="26" t="str">
        <f t="shared" si="80"/>
        <v>Despachado</v>
      </c>
      <c r="M584" s="56" t="s">
        <v>238</v>
      </c>
      <c r="N584" s="187" t="s">
        <v>1251</v>
      </c>
      <c r="O584" s="150">
        <v>45839</v>
      </c>
      <c r="P584" s="151">
        <v>45840</v>
      </c>
      <c r="Q584" s="24" t="str">
        <f t="shared" si="74"/>
        <v>Entregado</v>
      </c>
      <c r="R584" s="25">
        <f>IF(L584="Despachado",NETWORKDAYS.INTL(A584,O584,11,Valores!$A$2:$A$18)-1,"PTE")</f>
        <v>1</v>
      </c>
      <c r="S584" s="25">
        <f>IF(Q584="Entregado",NETWORKDAYS.INTL(A584,P584,11,Valores!$A$2:$A$18)-1,"PTE")</f>
        <v>2</v>
      </c>
      <c r="T584" s="25"/>
      <c r="U584" s="25"/>
      <c r="V584" s="25" t="str">
        <f>IF(Q584="Entregado",IF(S584&lt;=VLOOKUP(K584,Valores!E:F,2,0),"Cumple","No cumple"),"PTE")</f>
        <v>Cumple</v>
      </c>
      <c r="W584" s="25"/>
      <c r="X584" s="29">
        <v>54562</v>
      </c>
      <c r="Y584" s="224"/>
      <c r="Z584" s="28"/>
    </row>
    <row r="585" spans="1:26" hidden="1" x14ac:dyDescent="0.3">
      <c r="A585" s="34">
        <v>45836</v>
      </c>
      <c r="B585" s="7" t="str">
        <f t="shared" si="81"/>
        <v>junio</v>
      </c>
      <c r="C585" s="27">
        <v>100014</v>
      </c>
      <c r="D585" s="23" t="s">
        <v>20</v>
      </c>
      <c r="E585" s="181" t="s">
        <v>1106</v>
      </c>
      <c r="F585" s="22" t="s">
        <v>115</v>
      </c>
      <c r="G585" s="32" t="str">
        <f>IFERROR(VLOOKUP(F585,Productos!$A$2:$D$258,2,0)," ")</f>
        <v>Superficie en L Roble Negro 180x150cm x 70</v>
      </c>
      <c r="H585" s="7">
        <v>1</v>
      </c>
      <c r="I585" s="32" t="str">
        <f>IFERROR(VLOOKUP(F585,Productos!$A$2:$D$258,3,0)," ")</f>
        <v>Superficie</v>
      </c>
      <c r="J585" s="139" t="s">
        <v>21</v>
      </c>
      <c r="K585" s="139" t="s">
        <v>22</v>
      </c>
      <c r="L585" s="26" t="str">
        <f t="shared" si="80"/>
        <v>Despachado</v>
      </c>
      <c r="M585" s="56" t="s">
        <v>238</v>
      </c>
      <c r="N585" s="187" t="s">
        <v>1252</v>
      </c>
      <c r="O585" s="150">
        <v>45839</v>
      </c>
      <c r="P585" s="151">
        <v>45841</v>
      </c>
      <c r="Q585" s="24" t="str">
        <f t="shared" si="74"/>
        <v>Entregado</v>
      </c>
      <c r="R585" s="25">
        <f>IF(L585="Despachado",NETWORKDAYS.INTL(A585,O585,11,Valores!$A$2:$A$18)-1,"PTE")</f>
        <v>1</v>
      </c>
      <c r="S585" s="25">
        <f>IF(Q585="Entregado",NETWORKDAYS.INTL(A585,P585,11,Valores!$A$2:$A$18)-1,"PTE")</f>
        <v>3</v>
      </c>
      <c r="T585" s="25"/>
      <c r="U585" s="25"/>
      <c r="V585" s="25" t="str">
        <f>IF(Q585="Entregado",IF(S585&lt;=VLOOKUP(K585,Valores!E:F,2,0),"Cumple","No cumple"),"PTE")</f>
        <v>Cumple</v>
      </c>
      <c r="W585" s="25"/>
      <c r="X585" s="29">
        <v>31249</v>
      </c>
      <c r="Y585" s="224"/>
      <c r="Z585" s="28"/>
    </row>
    <row r="586" spans="1:26" hidden="1" x14ac:dyDescent="0.3">
      <c r="A586" s="34">
        <v>45837</v>
      </c>
      <c r="B586" s="7" t="str">
        <f t="shared" si="81"/>
        <v>junio</v>
      </c>
      <c r="C586" s="27">
        <v>100015</v>
      </c>
      <c r="D586" s="23" t="s">
        <v>20</v>
      </c>
      <c r="E586" s="181" t="s">
        <v>1107</v>
      </c>
      <c r="F586" s="40" t="s">
        <v>240</v>
      </c>
      <c r="G586" s="32" t="str">
        <f>IFERROR(VLOOKUP(F586,Productos!$A$2:$D$258,2,0)," ")</f>
        <v>Bandeja de cables</v>
      </c>
      <c r="H586" s="7">
        <v>1</v>
      </c>
      <c r="I586" s="32" t="str">
        <f>IFERROR(VLOOKUP(F586,Productos!$A$2:$D$258,3,0)," ")</f>
        <v>Accesorio</v>
      </c>
      <c r="J586" s="139" t="s">
        <v>21</v>
      </c>
      <c r="K586" s="139" t="s">
        <v>22</v>
      </c>
      <c r="L586" s="26" t="str">
        <f t="shared" si="80"/>
        <v>Despachado</v>
      </c>
      <c r="M586" s="56" t="s">
        <v>238</v>
      </c>
      <c r="N586" s="187" t="s">
        <v>1253</v>
      </c>
      <c r="O586" s="150">
        <v>45839</v>
      </c>
      <c r="P586" s="151">
        <v>45840</v>
      </c>
      <c r="Q586" s="24" t="str">
        <f t="shared" si="74"/>
        <v>Entregado</v>
      </c>
      <c r="R586" s="25">
        <f>IF(L586="Despachado",NETWORKDAYS.INTL(A586,O586,11,Valores!$A$2:$A$18)-1,"PTE")</f>
        <v>0</v>
      </c>
      <c r="S586" s="25">
        <f>IF(Q586="Entregado",NETWORKDAYS.INTL(A586,P586,11,Valores!$A$2:$A$18)-1,"PTE")</f>
        <v>1</v>
      </c>
      <c r="T586" s="25"/>
      <c r="U586" s="25"/>
      <c r="V586" s="25" t="str">
        <f>IF(Q586="Entregado",IF(S586&lt;=VLOOKUP(K586,Valores!E:F,2,0),"Cumple","No cumple"),"PTE")</f>
        <v>Cumple</v>
      </c>
      <c r="W586" s="25"/>
      <c r="X586" s="29">
        <v>25429</v>
      </c>
      <c r="Y586" s="224"/>
      <c r="Z586" s="28"/>
    </row>
    <row r="587" spans="1:26" hidden="1" x14ac:dyDescent="0.3">
      <c r="A587" s="34">
        <v>45838</v>
      </c>
      <c r="B587" s="7" t="str">
        <f t="shared" si="81"/>
        <v>junio</v>
      </c>
      <c r="C587" s="27">
        <v>100016</v>
      </c>
      <c r="D587" s="23" t="s">
        <v>20</v>
      </c>
      <c r="E587" s="181" t="s">
        <v>1108</v>
      </c>
      <c r="F587" s="40" t="s">
        <v>129</v>
      </c>
      <c r="G587" s="32" t="str">
        <f>IFERROR(VLOOKUP(F587,Productos!$A$2:$D$258,2,0)," ")</f>
        <v>Electric Standing Desk  PRO Negro</v>
      </c>
      <c r="H587" s="7">
        <v>1</v>
      </c>
      <c r="I587" s="32" t="str">
        <f>IFERROR(VLOOKUP(F587,Productos!$A$2:$D$258,3,0)," ")</f>
        <v>Standing Desk</v>
      </c>
      <c r="J587" s="182" t="s">
        <v>37</v>
      </c>
      <c r="K587" s="182" t="s">
        <v>206</v>
      </c>
      <c r="L587" s="26" t="str">
        <f t="shared" si="80"/>
        <v>Despachado</v>
      </c>
      <c r="M587" s="56" t="s">
        <v>238</v>
      </c>
      <c r="N587" s="187" t="s">
        <v>1254</v>
      </c>
      <c r="O587" s="150">
        <v>45840</v>
      </c>
      <c r="P587" s="151">
        <v>45841</v>
      </c>
      <c r="Q587" s="24" t="str">
        <f t="shared" si="74"/>
        <v>Entregado</v>
      </c>
      <c r="R587" s="25">
        <f>IF(L587="Despachado",NETWORKDAYS.INTL(A587,O587,11,Valores!$A$2:$A$18)-1,"PTE")</f>
        <v>1</v>
      </c>
      <c r="S587" s="25">
        <f>IF(Q587="Entregado",NETWORKDAYS.INTL(A587,P587,11,Valores!$A$2:$A$18)-1,"PTE")</f>
        <v>2</v>
      </c>
      <c r="T587" s="25"/>
      <c r="U587" s="25"/>
      <c r="V587" s="25" t="str">
        <f>IF(Q587="Entregado",IF(S587&lt;=VLOOKUP(K587,Valores!E:F,2,0),"Cumple","No cumple"),"PTE")</f>
        <v>Cumple</v>
      </c>
      <c r="W587" s="25"/>
      <c r="X587" s="29">
        <v>39953</v>
      </c>
      <c r="Y587" s="224"/>
      <c r="Z587" s="28"/>
    </row>
    <row r="588" spans="1:26" hidden="1" x14ac:dyDescent="0.3">
      <c r="A588" s="34">
        <v>45838</v>
      </c>
      <c r="B588" s="7" t="str">
        <f t="shared" si="81"/>
        <v>junio</v>
      </c>
      <c r="C588" s="27">
        <v>100016</v>
      </c>
      <c r="D588" s="23" t="s">
        <v>20</v>
      </c>
      <c r="E588" s="181" t="s">
        <v>1108</v>
      </c>
      <c r="F588" s="22" t="s">
        <v>302</v>
      </c>
      <c r="G588" s="32" t="str">
        <f>IFERROR(VLOOKUP(F588,Productos!$A$2:$D$258,2,0)," ")</f>
        <v>Superficie  Fresno Europeo 130x70 Clasico</v>
      </c>
      <c r="H588" s="7">
        <v>1</v>
      </c>
      <c r="I588" s="32" t="str">
        <f>IFERROR(VLOOKUP(F588,Productos!$A$2:$D$258,3,0)," ")</f>
        <v>Superficie</v>
      </c>
      <c r="J588" s="182" t="s">
        <v>37</v>
      </c>
      <c r="K588" s="182" t="s">
        <v>206</v>
      </c>
      <c r="L588" s="26" t="str">
        <f t="shared" si="80"/>
        <v>Despachado</v>
      </c>
      <c r="M588" s="56" t="s">
        <v>238</v>
      </c>
      <c r="N588" s="187" t="s">
        <v>1255</v>
      </c>
      <c r="O588" s="150">
        <v>45840</v>
      </c>
      <c r="P588" s="151">
        <v>45841</v>
      </c>
      <c r="Q588" s="24" t="str">
        <f t="shared" si="74"/>
        <v>Entregado</v>
      </c>
      <c r="R588" s="25">
        <f>IF(L588="Despachado",NETWORKDAYS.INTL(A588,O588,11,Valores!$A$2:$A$18)-1,"PTE")</f>
        <v>1</v>
      </c>
      <c r="S588" s="25">
        <f>IF(Q588="Entregado",NETWORKDAYS.INTL(A588,P588,11,Valores!$A$2:$A$18)-1,"PTE")</f>
        <v>2</v>
      </c>
      <c r="T588" s="25"/>
      <c r="U588" s="25"/>
      <c r="V588" s="25" t="str">
        <f>IF(Q588="Entregado",IF(S588&lt;=VLOOKUP(K588,Valores!E:F,2,0),"Cumple","No cumple"),"PTE")</f>
        <v>Cumple</v>
      </c>
      <c r="W588" s="25"/>
      <c r="X588" s="29">
        <v>19296</v>
      </c>
      <c r="Y588" s="224"/>
      <c r="Z588" s="28"/>
    </row>
    <row r="589" spans="1:26" hidden="1" x14ac:dyDescent="0.3">
      <c r="A589" s="34">
        <v>45839</v>
      </c>
      <c r="B589" s="7" t="str">
        <f t="shared" si="81"/>
        <v>julio</v>
      </c>
      <c r="C589" s="27">
        <v>100017</v>
      </c>
      <c r="D589" s="23" t="s">
        <v>20</v>
      </c>
      <c r="E589" s="181" t="s">
        <v>1109</v>
      </c>
      <c r="F589" s="40" t="s">
        <v>123</v>
      </c>
      <c r="G589" s="32" t="str">
        <f>IFERROR(VLOOKUP(F589,Productos!$A$2:$D$258,2,0)," ")</f>
        <v>Electric Standing Desk GO Negro</v>
      </c>
      <c r="H589" s="7">
        <v>1</v>
      </c>
      <c r="I589" s="32" t="str">
        <f>IFERROR(VLOOKUP(F589,Productos!$A$2:$D$258,3,0)," ")</f>
        <v>Standing Desk</v>
      </c>
      <c r="J589" s="182" t="s">
        <v>42</v>
      </c>
      <c r="K589" s="182" t="s">
        <v>41</v>
      </c>
      <c r="L589" s="26" t="str">
        <f t="shared" si="80"/>
        <v>Despachado</v>
      </c>
      <c r="M589" s="56" t="s">
        <v>238</v>
      </c>
      <c r="N589" s="139" t="s">
        <v>1256</v>
      </c>
      <c r="O589" s="150">
        <v>45860</v>
      </c>
      <c r="P589" s="151">
        <v>45863</v>
      </c>
      <c r="Q589" s="24" t="str">
        <f t="shared" ref="Q589:Q655" si="82">IF(P589&gt;0,"Entregado","En transito")</f>
        <v>Entregado</v>
      </c>
      <c r="R589" s="25">
        <f>IF(L589="Despachado",NETWORKDAYS.INTL(A589,O589,11,Valores!$A$2:$A$18)-1,"PTE")</f>
        <v>18</v>
      </c>
      <c r="S589" s="25">
        <f>IF(Q589="Entregado",NETWORKDAYS.INTL(A589,P589,11,Valores!$A$2:$A$18)-1,"PTE")</f>
        <v>21</v>
      </c>
      <c r="T589" s="25"/>
      <c r="U589" s="25"/>
      <c r="V589" s="25" t="str">
        <f>IF(Q589="Entregado",IF(S589&lt;=VLOOKUP(K589,Valores!E:F,2,0),"Cumple","No cumple"),"PTE")</f>
        <v>No cumple</v>
      </c>
      <c r="W589" s="25"/>
      <c r="X589" s="29">
        <v>41593</v>
      </c>
      <c r="Y589" s="224"/>
      <c r="Z589" s="28"/>
    </row>
    <row r="590" spans="1:26" hidden="1" x14ac:dyDescent="0.3">
      <c r="A590" s="34">
        <v>45839</v>
      </c>
      <c r="B590" s="7" t="str">
        <f t="shared" si="81"/>
        <v>julio</v>
      </c>
      <c r="C590" s="27">
        <v>100017</v>
      </c>
      <c r="D590" s="23" t="s">
        <v>20</v>
      </c>
      <c r="E590" s="181" t="s">
        <v>1109</v>
      </c>
      <c r="F590" s="22" t="s">
        <v>305</v>
      </c>
      <c r="G590" s="32" t="str">
        <f>IFERROR(VLOOKUP(F590,Productos!$A$2:$D$258,2,0)," ")</f>
        <v>Superficie  Fresno Europeo 160x70 Clasico</v>
      </c>
      <c r="H590" s="7">
        <v>1</v>
      </c>
      <c r="I590" s="32" t="str">
        <f>IFERROR(VLOOKUP(F590,Productos!$A$2:$D$258,3,0)," ")</f>
        <v>Superficie</v>
      </c>
      <c r="J590" s="182" t="s">
        <v>42</v>
      </c>
      <c r="K590" s="182" t="s">
        <v>41</v>
      </c>
      <c r="L590" s="26" t="str">
        <f t="shared" si="80"/>
        <v>Despachado</v>
      </c>
      <c r="M590" s="56" t="s">
        <v>238</v>
      </c>
      <c r="N590" s="139" t="s">
        <v>1257</v>
      </c>
      <c r="O590" s="150">
        <v>45860</v>
      </c>
      <c r="P590" s="151">
        <v>45863</v>
      </c>
      <c r="Q590" s="24" t="str">
        <f t="shared" si="82"/>
        <v>Entregado</v>
      </c>
      <c r="R590" s="25">
        <f>IF(L590="Despachado",NETWORKDAYS.INTL(A590,O590,11,Valores!$A$2:$A$18)-1,"PTE")</f>
        <v>18</v>
      </c>
      <c r="S590" s="25">
        <f>IF(Q590="Entregado",NETWORKDAYS.INTL(A590,P590,11,Valores!$A$2:$A$18)-1,"PTE")</f>
        <v>21</v>
      </c>
      <c r="T590" s="25"/>
      <c r="U590" s="25"/>
      <c r="V590" s="25" t="str">
        <f>IF(Q590="Entregado",IF(S590&lt;=VLOOKUP(K590,Valores!E:F,2,0),"Cumple","No cumple"),"PTE")</f>
        <v>No cumple</v>
      </c>
      <c r="W590" s="25"/>
      <c r="X590" s="29">
        <v>24093</v>
      </c>
      <c r="Y590" s="224"/>
      <c r="Z590" s="28"/>
    </row>
    <row r="591" spans="1:26" hidden="1" x14ac:dyDescent="0.3">
      <c r="A591" s="34">
        <v>45839</v>
      </c>
      <c r="B591" s="7" t="str">
        <f t="shared" ref="B591:B600" si="83">TEXT(A591,"mmmm")</f>
        <v>julio</v>
      </c>
      <c r="C591" s="27">
        <v>100017</v>
      </c>
      <c r="D591" s="23" t="s">
        <v>20</v>
      </c>
      <c r="E591" s="181" t="s">
        <v>1109</v>
      </c>
      <c r="F591" s="40" t="s">
        <v>123</v>
      </c>
      <c r="G591" s="32" t="str">
        <f>IFERROR(VLOOKUP(F591,Productos!$A$2:$D$258,2,0)," ")</f>
        <v>Electric Standing Desk GO Negro</v>
      </c>
      <c r="H591" s="7">
        <v>1</v>
      </c>
      <c r="I591" s="32" t="str">
        <f>IFERROR(VLOOKUP(F591,Productos!$A$2:$D$258,3,0)," ")</f>
        <v>Standing Desk</v>
      </c>
      <c r="J591" s="182" t="s">
        <v>42</v>
      </c>
      <c r="K591" s="182" t="s">
        <v>41</v>
      </c>
      <c r="L591" s="26" t="str">
        <f t="shared" si="80"/>
        <v>Despachado</v>
      </c>
      <c r="M591" s="56" t="s">
        <v>238</v>
      </c>
      <c r="N591" s="139" t="s">
        <v>1258</v>
      </c>
      <c r="O591" s="150">
        <v>45860</v>
      </c>
      <c r="P591" s="151">
        <v>45863</v>
      </c>
      <c r="Q591" s="24" t="str">
        <f t="shared" si="82"/>
        <v>Entregado</v>
      </c>
      <c r="R591" s="25">
        <f>IF(L591="Despachado",NETWORKDAYS.INTL(A591,O591,11,Valores!$A$2:$A$18)-1,"PTE")</f>
        <v>18</v>
      </c>
      <c r="S591" s="25">
        <f>IF(Q591="Entregado",NETWORKDAYS.INTL(A591,P591,11,Valores!$A$2:$A$18)-1,"PTE")</f>
        <v>21</v>
      </c>
      <c r="T591" s="25"/>
      <c r="U591" s="25"/>
      <c r="V591" s="25" t="str">
        <f>IF(Q591="Entregado",IF(S591&lt;=VLOOKUP(K591,Valores!E:F,2,0),"Cumple","No cumple"),"PTE")</f>
        <v>No cumple</v>
      </c>
      <c r="W591" s="25"/>
      <c r="X591" s="29">
        <v>41593</v>
      </c>
      <c r="Y591" s="224"/>
      <c r="Z591" s="28"/>
    </row>
    <row r="592" spans="1:26" hidden="1" x14ac:dyDescent="0.3">
      <c r="A592" s="34">
        <v>45839</v>
      </c>
      <c r="B592" s="7" t="str">
        <f t="shared" si="83"/>
        <v>julio</v>
      </c>
      <c r="C592" s="27">
        <v>100017</v>
      </c>
      <c r="D592" s="23" t="s">
        <v>20</v>
      </c>
      <c r="E592" s="181" t="s">
        <v>1109</v>
      </c>
      <c r="F592" s="22" t="s">
        <v>305</v>
      </c>
      <c r="G592" s="32" t="str">
        <f>IFERROR(VLOOKUP(F592,Productos!$A$2:$D$258,2,0)," ")</f>
        <v>Superficie  Fresno Europeo 160x70 Clasico</v>
      </c>
      <c r="H592" s="7">
        <v>1</v>
      </c>
      <c r="I592" s="32" t="str">
        <f>IFERROR(VLOOKUP(F592,Productos!$A$2:$D$258,3,0)," ")</f>
        <v>Superficie</v>
      </c>
      <c r="J592" s="182" t="s">
        <v>42</v>
      </c>
      <c r="K592" s="182" t="s">
        <v>41</v>
      </c>
      <c r="L592" s="26" t="str">
        <f t="shared" si="80"/>
        <v>Despachado</v>
      </c>
      <c r="M592" s="56" t="s">
        <v>238</v>
      </c>
      <c r="N592" s="139" t="s">
        <v>1259</v>
      </c>
      <c r="O592" s="150">
        <v>45860</v>
      </c>
      <c r="P592" s="151">
        <v>45863</v>
      </c>
      <c r="Q592" s="24" t="str">
        <f t="shared" si="82"/>
        <v>Entregado</v>
      </c>
      <c r="R592" s="25">
        <f>IF(L592="Despachado",NETWORKDAYS.INTL(A592,O592,11,Valores!$A$2:$A$18)-1,"PTE")</f>
        <v>18</v>
      </c>
      <c r="S592" s="25">
        <f>IF(Q592="Entregado",NETWORKDAYS.INTL(A592,P592,11,Valores!$A$2:$A$18)-1,"PTE")</f>
        <v>21</v>
      </c>
      <c r="T592" s="25"/>
      <c r="U592" s="25"/>
      <c r="V592" s="25" t="str">
        <f>IF(Q592="Entregado",IF(S592&lt;=VLOOKUP(K592,Valores!E:F,2,0),"Cumple","No cumple"),"PTE")</f>
        <v>No cumple</v>
      </c>
      <c r="W592" s="25"/>
      <c r="X592" s="29">
        <v>24093</v>
      </c>
      <c r="Y592" s="224"/>
      <c r="Z592" s="28"/>
    </row>
    <row r="593" spans="1:26" hidden="1" x14ac:dyDescent="0.3">
      <c r="A593" s="34">
        <v>45839</v>
      </c>
      <c r="B593" s="7" t="str">
        <f t="shared" si="83"/>
        <v>julio</v>
      </c>
      <c r="C593" s="27">
        <v>100018</v>
      </c>
      <c r="D593" s="23" t="s">
        <v>20</v>
      </c>
      <c r="E593" s="181" t="s">
        <v>1109</v>
      </c>
      <c r="F593" s="40" t="s">
        <v>123</v>
      </c>
      <c r="G593" s="32" t="str">
        <f>IFERROR(VLOOKUP(F593,Productos!$A$2:$D$258,2,0)," ")</f>
        <v>Electric Standing Desk GO Negro</v>
      </c>
      <c r="H593" s="7">
        <v>1</v>
      </c>
      <c r="I593" s="32" t="str">
        <f>IFERROR(VLOOKUP(F593,Productos!$A$2:$D$258,3,0)," ")</f>
        <v>Standing Desk</v>
      </c>
      <c r="J593" s="139" t="s">
        <v>21</v>
      </c>
      <c r="K593" s="182" t="s">
        <v>201</v>
      </c>
      <c r="L593" s="26" t="str">
        <f t="shared" si="80"/>
        <v>Despachado</v>
      </c>
      <c r="M593" s="56" t="s">
        <v>238</v>
      </c>
      <c r="N593" s="139" t="s">
        <v>1405</v>
      </c>
      <c r="O593" s="150">
        <v>45860</v>
      </c>
      <c r="P593" s="151">
        <v>45862</v>
      </c>
      <c r="Q593" s="24" t="str">
        <f t="shared" si="82"/>
        <v>Entregado</v>
      </c>
      <c r="R593" s="25">
        <f>IF(L593="Despachado",NETWORKDAYS.INTL(A593,O593,11,Valores!$A$2:$A$18)-1,"PTE")</f>
        <v>18</v>
      </c>
      <c r="S593" s="25">
        <f>IF(Q593="Entregado",NETWORKDAYS.INTL(A593,P593,11,Valores!$A$2:$A$18)-1,"PTE")</f>
        <v>20</v>
      </c>
      <c r="T593" s="25"/>
      <c r="U593" s="25"/>
      <c r="V593" s="25" t="str">
        <f>IF(Q593="Entregado",IF(S593&lt;=VLOOKUP(K593,Valores!E:F,2,0),"Cumple","No cumple"),"PTE")</f>
        <v>No cumple</v>
      </c>
      <c r="W593" s="25"/>
      <c r="X593" s="29">
        <v>53871</v>
      </c>
      <c r="Y593" s="224"/>
      <c r="Z593" s="28"/>
    </row>
    <row r="594" spans="1:26" hidden="1" x14ac:dyDescent="0.3">
      <c r="A594" s="34">
        <v>45839</v>
      </c>
      <c r="B594" s="7" t="str">
        <f t="shared" si="83"/>
        <v>julio</v>
      </c>
      <c r="C594" s="27">
        <v>100018</v>
      </c>
      <c r="D594" s="23" t="s">
        <v>20</v>
      </c>
      <c r="E594" s="181" t="s">
        <v>1109</v>
      </c>
      <c r="F594" s="22" t="s">
        <v>305</v>
      </c>
      <c r="G594" s="32" t="str">
        <f>IFERROR(VLOOKUP(F594,Productos!$A$2:$D$258,2,0)," ")</f>
        <v>Superficie  Fresno Europeo 160x70 Clasico</v>
      </c>
      <c r="H594" s="7">
        <v>1</v>
      </c>
      <c r="I594" s="32" t="str">
        <f>IFERROR(VLOOKUP(F594,Productos!$A$2:$D$258,3,0)," ")</f>
        <v>Superficie</v>
      </c>
      <c r="J594" s="139" t="s">
        <v>21</v>
      </c>
      <c r="K594" s="182" t="s">
        <v>201</v>
      </c>
      <c r="L594" s="26" t="str">
        <f t="shared" si="80"/>
        <v>Despachado</v>
      </c>
      <c r="M594" s="56" t="s">
        <v>238</v>
      </c>
      <c r="N594" s="139" t="s">
        <v>1406</v>
      </c>
      <c r="O594" s="150">
        <v>45860</v>
      </c>
      <c r="P594" s="151">
        <v>45863</v>
      </c>
      <c r="Q594" s="24" t="str">
        <f t="shared" si="82"/>
        <v>Entregado</v>
      </c>
      <c r="R594" s="25">
        <f>IF(L594="Despachado",NETWORKDAYS.INTL(A594,O594,11,Valores!$A$2:$A$18)-1,"PTE")</f>
        <v>18</v>
      </c>
      <c r="S594" s="25">
        <f>IF(Q594="Entregado",NETWORKDAYS.INTL(A594,P594,11,Valores!$A$2:$A$18)-1,"PTE")</f>
        <v>21</v>
      </c>
      <c r="T594" s="25"/>
      <c r="U594" s="25"/>
      <c r="V594" s="25" t="str">
        <f>IF(Q594="Entregado",IF(S594&lt;=VLOOKUP(K594,Valores!E:F,2,0),"Cumple","No cumple"),"PTE")</f>
        <v>No cumple</v>
      </c>
      <c r="W594" s="25"/>
      <c r="X594" s="29">
        <v>34179</v>
      </c>
      <c r="Y594" s="224"/>
      <c r="Z594" s="28"/>
    </row>
    <row r="595" spans="1:26" hidden="1" x14ac:dyDescent="0.3">
      <c r="A595" s="34">
        <v>45839</v>
      </c>
      <c r="B595" s="7" t="str">
        <f t="shared" si="83"/>
        <v>julio</v>
      </c>
      <c r="C595" s="27">
        <v>100019</v>
      </c>
      <c r="D595" s="23" t="s">
        <v>20</v>
      </c>
      <c r="E595" s="181" t="s">
        <v>1109</v>
      </c>
      <c r="F595" s="22" t="s">
        <v>732</v>
      </c>
      <c r="G595" s="32" t="str">
        <f>IFERROR(VLOOKUP(F595,Productos!$A$2:$D$258,2,0)," ")</f>
        <v>Electric Standing Desk  PRO Negro circular</v>
      </c>
      <c r="H595" s="7">
        <v>1</v>
      </c>
      <c r="I595" s="32" t="str">
        <f>IFERROR(VLOOKUP(F595,Productos!$A$2:$D$258,3,0)," ")</f>
        <v>Standing Desk</v>
      </c>
      <c r="J595" s="182" t="s">
        <v>42</v>
      </c>
      <c r="K595" s="182" t="s">
        <v>41</v>
      </c>
      <c r="L595" s="26" t="str">
        <f t="shared" si="80"/>
        <v>Despachado</v>
      </c>
      <c r="M595" s="56" t="s">
        <v>238</v>
      </c>
      <c r="N595" s="139" t="s">
        <v>1260</v>
      </c>
      <c r="O595" s="150">
        <v>45846</v>
      </c>
      <c r="P595" s="151">
        <v>45849</v>
      </c>
      <c r="Q595" s="24" t="str">
        <f t="shared" si="82"/>
        <v>Entregado</v>
      </c>
      <c r="R595" s="25">
        <f>IF(L595="Despachado",NETWORKDAYS.INTL(A595,O595,11,Valores!$A$2:$A$18)-1,"PTE")</f>
        <v>6</v>
      </c>
      <c r="S595" s="25">
        <f>IF(Q595="Entregado",NETWORKDAYS.INTL(A595,P595,11,Valores!$A$2:$A$18)-1,"PTE")</f>
        <v>9</v>
      </c>
      <c r="T595" s="25"/>
      <c r="U595" s="25"/>
      <c r="V595" s="25" t="str">
        <f>IF(Q595="Entregado",IF(S595&lt;=VLOOKUP(K595,Valores!E:F,2,0),"Cumple","No cumple"),"PTE")</f>
        <v>No cumple</v>
      </c>
      <c r="W595" s="25"/>
      <c r="X595" s="29">
        <v>41593</v>
      </c>
      <c r="Y595" s="224"/>
      <c r="Z595" s="28"/>
    </row>
    <row r="596" spans="1:26" hidden="1" x14ac:dyDescent="0.3">
      <c r="A596" s="34">
        <v>45839</v>
      </c>
      <c r="B596" s="7" t="str">
        <f t="shared" si="83"/>
        <v>julio</v>
      </c>
      <c r="C596" s="27">
        <v>100019</v>
      </c>
      <c r="D596" s="23" t="s">
        <v>20</v>
      </c>
      <c r="E596" s="181" t="s">
        <v>1109</v>
      </c>
      <c r="F596" s="22" t="s">
        <v>150</v>
      </c>
      <c r="G596" s="32" t="str">
        <f>IFERROR(VLOOKUP(F596,Productos!$A$2:$D$258,2,0)," ")</f>
        <v>Superficie Niebla 170x70 Clasico</v>
      </c>
      <c r="H596" s="7">
        <v>1</v>
      </c>
      <c r="I596" s="32" t="str">
        <f>IFERROR(VLOOKUP(F596,Productos!$A$2:$D$258,3,0)," ")</f>
        <v>Superficie</v>
      </c>
      <c r="J596" s="182" t="s">
        <v>42</v>
      </c>
      <c r="K596" s="182" t="s">
        <v>41</v>
      </c>
      <c r="L596" s="26" t="str">
        <f t="shared" si="80"/>
        <v>Despachado</v>
      </c>
      <c r="M596" s="56" t="s">
        <v>238</v>
      </c>
      <c r="N596" s="139" t="s">
        <v>1261</v>
      </c>
      <c r="O596" s="150">
        <v>45846</v>
      </c>
      <c r="P596" s="151">
        <v>45849</v>
      </c>
      <c r="Q596" s="24" t="str">
        <f t="shared" si="82"/>
        <v>Entregado</v>
      </c>
      <c r="R596" s="25">
        <f>IF(L596="Despachado",NETWORKDAYS.INTL(A596,O596,11,Valores!$A$2:$A$18)-1,"PTE")</f>
        <v>6</v>
      </c>
      <c r="S596" s="25">
        <f>IF(Q596="Entregado",NETWORKDAYS.INTL(A596,P596,11,Valores!$A$2:$A$18)-1,"PTE")</f>
        <v>9</v>
      </c>
      <c r="T596" s="25"/>
      <c r="U596" s="25"/>
      <c r="V596" s="25" t="str">
        <f>IF(Q596="Entregado",IF(S596&lt;=VLOOKUP(K596,Valores!E:F,2,0),"Cumple","No cumple"),"PTE")</f>
        <v>No cumple</v>
      </c>
      <c r="W596" s="25"/>
      <c r="X596" s="29">
        <v>26749</v>
      </c>
      <c r="Y596" s="224"/>
      <c r="Z596" s="28"/>
    </row>
    <row r="597" spans="1:26" hidden="1" x14ac:dyDescent="0.3">
      <c r="A597" s="34">
        <v>45839</v>
      </c>
      <c r="B597" s="7" t="str">
        <f t="shared" si="83"/>
        <v>julio</v>
      </c>
      <c r="C597" s="27">
        <v>100020</v>
      </c>
      <c r="D597" s="23" t="s">
        <v>20</v>
      </c>
      <c r="E597" s="181" t="s">
        <v>1110</v>
      </c>
      <c r="F597" s="40" t="s">
        <v>85</v>
      </c>
      <c r="G597" s="32" t="str">
        <f>IFERROR(VLOOKUP(F597,Productos!$A$2:$D$258,2,0)," ")</f>
        <v>Desk Pad B Negro Café Miel</v>
      </c>
      <c r="H597" s="7">
        <v>2</v>
      </c>
      <c r="I597" s="32" t="str">
        <f>IFERROR(VLOOKUP(F597,Productos!$A$2:$D$258,3,0)," ")</f>
        <v>Accesorio</v>
      </c>
      <c r="J597" s="182" t="s">
        <v>189</v>
      </c>
      <c r="K597" s="182" t="s">
        <v>45</v>
      </c>
      <c r="L597" s="26" t="str">
        <f t="shared" si="80"/>
        <v>Despachado</v>
      </c>
      <c r="M597" s="56" t="s">
        <v>238</v>
      </c>
      <c r="N597" s="139" t="s">
        <v>1262</v>
      </c>
      <c r="O597" s="150">
        <v>45839</v>
      </c>
      <c r="P597" s="151">
        <v>45842</v>
      </c>
      <c r="Q597" s="24" t="str">
        <f t="shared" si="82"/>
        <v>Entregado</v>
      </c>
      <c r="R597" s="25">
        <f>IF(L597="Despachado",NETWORKDAYS.INTL(A597,O597,11,Valores!$A$2:$A$18)-1,"PTE")</f>
        <v>0</v>
      </c>
      <c r="S597" s="25">
        <f>IF(Q597="Entregado",NETWORKDAYS.INTL(A597,P597,11,Valores!$A$2:$A$18)-1,"PTE")</f>
        <v>3</v>
      </c>
      <c r="T597" s="25"/>
      <c r="U597" s="25"/>
      <c r="V597" s="25" t="str">
        <f>IF(Q597="Entregado",IF(S597&lt;=VLOOKUP(K597,Valores!E:F,2,0),"Cumple","No cumple"),"PTE")</f>
        <v>Cumple</v>
      </c>
      <c r="W597" s="25"/>
      <c r="X597" s="29">
        <v>25585</v>
      </c>
      <c r="Y597" s="224"/>
      <c r="Z597" s="28"/>
    </row>
    <row r="598" spans="1:26" hidden="1" x14ac:dyDescent="0.3">
      <c r="A598" s="34">
        <v>45839</v>
      </c>
      <c r="B598" s="7" t="str">
        <f t="shared" si="83"/>
        <v>julio</v>
      </c>
      <c r="C598" s="27">
        <v>100021</v>
      </c>
      <c r="D598" s="23" t="s">
        <v>20</v>
      </c>
      <c r="E598" s="181" t="s">
        <v>1111</v>
      </c>
      <c r="F598" s="40" t="s">
        <v>129</v>
      </c>
      <c r="G598" s="32" t="str">
        <f>IFERROR(VLOOKUP(F598,Productos!$A$2:$D$258,2,0)," ")</f>
        <v>Electric Standing Desk  PRO Negro</v>
      </c>
      <c r="H598" s="7">
        <v>1</v>
      </c>
      <c r="I598" s="32" t="str">
        <f>IFERROR(VLOOKUP(F598,Productos!$A$2:$D$258,3,0)," ")</f>
        <v>Standing Desk</v>
      </c>
      <c r="J598" s="139" t="s">
        <v>21</v>
      </c>
      <c r="K598" s="182" t="s">
        <v>22</v>
      </c>
      <c r="L598" s="26" t="str">
        <f t="shared" si="80"/>
        <v>Despachado</v>
      </c>
      <c r="M598" s="56" t="s">
        <v>238</v>
      </c>
      <c r="N598" s="139" t="s">
        <v>1263</v>
      </c>
      <c r="O598" s="150">
        <v>45841</v>
      </c>
      <c r="P598" s="151">
        <v>45845</v>
      </c>
      <c r="Q598" s="24" t="str">
        <f t="shared" si="82"/>
        <v>Entregado</v>
      </c>
      <c r="R598" s="25">
        <f>IF(L598="Despachado",NETWORKDAYS.INTL(A598,O598,11,Valores!$A$2:$A$18)-1,"PTE")</f>
        <v>2</v>
      </c>
      <c r="S598" s="25">
        <f>IF(Q598="Entregado",NETWORKDAYS.INTL(A598,P598,11,Valores!$A$2:$A$18)-1,"PTE")</f>
        <v>5</v>
      </c>
      <c r="T598" s="25"/>
      <c r="U598" s="25"/>
      <c r="V598" s="25" t="str">
        <f>IF(Q598="Entregado",IF(S598&lt;=VLOOKUP(K598,Valores!E:F,2,0),"Cumple","No cumple"),"PTE")</f>
        <v>No cumple</v>
      </c>
      <c r="W598" s="25"/>
      <c r="X598" s="29">
        <v>47921</v>
      </c>
      <c r="Y598" s="224"/>
      <c r="Z598" s="28"/>
    </row>
    <row r="599" spans="1:26" hidden="1" x14ac:dyDescent="0.3">
      <c r="A599" s="34">
        <v>45839</v>
      </c>
      <c r="B599" s="7" t="str">
        <f t="shared" si="83"/>
        <v>julio</v>
      </c>
      <c r="C599" s="27">
        <v>100021</v>
      </c>
      <c r="D599" s="23" t="s">
        <v>20</v>
      </c>
      <c r="E599" s="181" t="s">
        <v>1111</v>
      </c>
      <c r="F599" s="22" t="s">
        <v>146</v>
      </c>
      <c r="G599" s="32" t="str">
        <f>IFERROR(VLOOKUP(F599,Productos!$A$2:$D$258,2,0)," ")</f>
        <v>Superficie  Caramelo 200x70 Clasico</v>
      </c>
      <c r="H599" s="7">
        <v>1</v>
      </c>
      <c r="I599" s="32" t="str">
        <f>IFERROR(VLOOKUP(F599,Productos!$A$2:$D$258,3,0)," ")</f>
        <v>Superficie</v>
      </c>
      <c r="J599" s="139" t="s">
        <v>21</v>
      </c>
      <c r="K599" s="182" t="s">
        <v>22</v>
      </c>
      <c r="L599" s="26" t="str">
        <f t="shared" si="80"/>
        <v>Despachado</v>
      </c>
      <c r="M599" s="56" t="s">
        <v>238</v>
      </c>
      <c r="N599" s="139" t="s">
        <v>1264</v>
      </c>
      <c r="O599" s="150">
        <v>45841</v>
      </c>
      <c r="P599" s="151">
        <v>45842</v>
      </c>
      <c r="Q599" s="24" t="str">
        <f t="shared" si="82"/>
        <v>Entregado</v>
      </c>
      <c r="R599" s="25">
        <f>IF(L599="Despachado",NETWORKDAYS.INTL(A599,O599,11,Valores!$A$2:$A$18)-1,"PTE")</f>
        <v>2</v>
      </c>
      <c r="S599" s="25">
        <f>IF(Q599="Entregado",NETWORKDAYS.INTL(A599,P599,11,Valores!$A$2:$A$18)-1,"PTE")</f>
        <v>3</v>
      </c>
      <c r="T599" s="25"/>
      <c r="U599" s="25"/>
      <c r="V599" s="25" t="str">
        <f>IF(Q599="Entregado",IF(S599&lt;=VLOOKUP(K599,Valores!E:F,2,0),"Cumple","No cumple"),"PTE")</f>
        <v>Cumple</v>
      </c>
      <c r="W599" s="25"/>
      <c r="X599" s="29">
        <v>33241</v>
      </c>
      <c r="Y599" s="224"/>
      <c r="Z599" s="28"/>
    </row>
    <row r="600" spans="1:26" hidden="1" x14ac:dyDescent="0.3">
      <c r="A600" s="34">
        <v>45839</v>
      </c>
      <c r="B600" s="7" t="str">
        <f t="shared" si="83"/>
        <v>julio</v>
      </c>
      <c r="C600" s="27">
        <v>100021</v>
      </c>
      <c r="D600" s="23" t="s">
        <v>20</v>
      </c>
      <c r="E600" s="181" t="s">
        <v>1111</v>
      </c>
      <c r="F600" s="40" t="s">
        <v>240</v>
      </c>
      <c r="G600" s="32" t="str">
        <f>IFERROR(VLOOKUP(F600,Productos!$A$2:$D$258,2,0)," ")</f>
        <v>Bandeja de cables</v>
      </c>
      <c r="H600" s="7">
        <v>1</v>
      </c>
      <c r="I600" s="32" t="str">
        <f>IFERROR(VLOOKUP(F600,Productos!$A$2:$D$258,3,0)," ")</f>
        <v>Accesorio</v>
      </c>
      <c r="J600" s="139" t="s">
        <v>21</v>
      </c>
      <c r="K600" s="182" t="s">
        <v>22</v>
      </c>
      <c r="L600" s="26" t="str">
        <f t="shared" si="80"/>
        <v>Despachado</v>
      </c>
      <c r="M600" s="56" t="s">
        <v>238</v>
      </c>
      <c r="N600" s="139" t="s">
        <v>1265</v>
      </c>
      <c r="O600" s="150">
        <v>45841</v>
      </c>
      <c r="P600" s="151">
        <v>45845</v>
      </c>
      <c r="Q600" s="24" t="str">
        <f t="shared" si="82"/>
        <v>Entregado</v>
      </c>
      <c r="R600" s="25">
        <f>IF(L600="Despachado",NETWORKDAYS.INTL(A600,O600,11,Valores!$A$2:$A$18)-1,"PTE")</f>
        <v>2</v>
      </c>
      <c r="S600" s="25">
        <f>IF(Q600="Entregado",NETWORKDAYS.INTL(A600,P600,11,Valores!$A$2:$A$18)-1,"PTE")</f>
        <v>5</v>
      </c>
      <c r="T600" s="25"/>
      <c r="U600" s="25"/>
      <c r="V600" s="25" t="str">
        <f>IF(Q600="Entregado",IF(S600&lt;=VLOOKUP(K600,Valores!E:F,2,0),"Cumple","No cumple"),"PTE")</f>
        <v>No cumple</v>
      </c>
      <c r="W600" s="25"/>
      <c r="X600" s="29">
        <v>25429</v>
      </c>
      <c r="Y600" s="224"/>
      <c r="Z600" s="28"/>
    </row>
    <row r="601" spans="1:26" hidden="1" x14ac:dyDescent="0.3">
      <c r="A601" s="34">
        <v>45839</v>
      </c>
      <c r="B601" s="7" t="str">
        <f t="shared" ref="B601:B615" si="84">TEXT(A601,"mmmm")</f>
        <v>julio</v>
      </c>
      <c r="C601" s="27">
        <v>100021</v>
      </c>
      <c r="D601" s="23" t="s">
        <v>20</v>
      </c>
      <c r="E601" s="181" t="s">
        <v>1111</v>
      </c>
      <c r="F601" s="22"/>
      <c r="G601" s="32" t="s">
        <v>1796</v>
      </c>
      <c r="H601" s="7">
        <v>1</v>
      </c>
      <c r="I601" s="32" t="s">
        <v>327</v>
      </c>
      <c r="J601" s="139" t="s">
        <v>21</v>
      </c>
      <c r="K601" s="182" t="s">
        <v>22</v>
      </c>
      <c r="L601" s="26" t="str">
        <f t="shared" si="80"/>
        <v>Despachado</v>
      </c>
      <c r="M601" s="56" t="s">
        <v>241</v>
      </c>
      <c r="N601" s="187" t="s">
        <v>241</v>
      </c>
      <c r="O601" s="188" t="s">
        <v>241</v>
      </c>
      <c r="P601" s="189" t="s">
        <v>241</v>
      </c>
      <c r="Q601" s="24" t="str">
        <f t="shared" si="82"/>
        <v>Entregado</v>
      </c>
      <c r="R601" s="25" t="e">
        <f>IF(L601="Despachado",NETWORKDAYS.INTL(A601,O601,11,Valores!$A$2:$A$18)-1,"PTE")</f>
        <v>#VALUE!</v>
      </c>
      <c r="S601" s="25" t="e">
        <f>IF(Q601="Entregado",NETWORKDAYS.INTL(A601,P601,11,Valores!$A$2:$A$18)-1,"PTE")</f>
        <v>#VALUE!</v>
      </c>
      <c r="T601" s="25"/>
      <c r="U601" s="25"/>
      <c r="V601" s="25" t="e">
        <f>IF(Q601="Entregado",IF(S601&lt;=VLOOKUP(K601,Valores!E:F,2,0),"Cumple","No cumple"),"PTE")</f>
        <v>#VALUE!</v>
      </c>
      <c r="W601" s="25"/>
      <c r="X601" s="29"/>
      <c r="Y601" s="224"/>
      <c r="Z601" s="28"/>
    </row>
    <row r="602" spans="1:26" hidden="1" x14ac:dyDescent="0.3">
      <c r="A602" s="34">
        <v>45840</v>
      </c>
      <c r="B602" s="7" t="str">
        <f t="shared" si="84"/>
        <v>julio</v>
      </c>
      <c r="C602" s="27">
        <v>100022</v>
      </c>
      <c r="D602" s="23" t="s">
        <v>20</v>
      </c>
      <c r="E602" s="181" t="s">
        <v>1112</v>
      </c>
      <c r="F602" s="22" t="s">
        <v>732</v>
      </c>
      <c r="G602" s="32" t="str">
        <f>IFERROR(VLOOKUP(F602,Productos!$A$2:$D$258,2,0)," ")</f>
        <v>Electric Standing Desk  PRO Negro circular</v>
      </c>
      <c r="H602" s="7">
        <v>1</v>
      </c>
      <c r="I602" s="32" t="str">
        <f>IFERROR(VLOOKUP(F602,Productos!$A$2:$D$258,3,0)," ")</f>
        <v>Standing Desk</v>
      </c>
      <c r="J602" s="139" t="s">
        <v>21</v>
      </c>
      <c r="K602" s="182" t="s">
        <v>22</v>
      </c>
      <c r="L602" s="26" t="str">
        <f t="shared" si="80"/>
        <v>Despachado</v>
      </c>
      <c r="M602" s="56" t="s">
        <v>238</v>
      </c>
      <c r="N602" s="139" t="s">
        <v>1266</v>
      </c>
      <c r="O602" s="150">
        <v>45841</v>
      </c>
      <c r="P602" s="151">
        <v>45846</v>
      </c>
      <c r="Q602" s="24" t="str">
        <f t="shared" si="82"/>
        <v>Entregado</v>
      </c>
      <c r="R602" s="25">
        <f>IF(L602="Despachado",NETWORKDAYS.INTL(A602,O602,11,Valores!$A$2:$A$18)-1,"PTE")</f>
        <v>1</v>
      </c>
      <c r="S602" s="25">
        <f>IF(Q602="Entregado",NETWORKDAYS.INTL(A602,P602,11,Valores!$A$2:$A$18)-1,"PTE")</f>
        <v>5</v>
      </c>
      <c r="T602" s="25"/>
      <c r="U602" s="25"/>
      <c r="V602" s="25" t="str">
        <f>IF(Q602="Entregado",IF(S602&lt;=VLOOKUP(K602,Valores!E:F,2,0),"Cumple","No cumple"),"PTE")</f>
        <v>No cumple</v>
      </c>
      <c r="W602" s="25"/>
      <c r="X602" s="29">
        <v>47921</v>
      </c>
      <c r="Y602" s="224"/>
      <c r="Z602" s="28"/>
    </row>
    <row r="603" spans="1:26" hidden="1" x14ac:dyDescent="0.3">
      <c r="A603" s="34">
        <v>45840</v>
      </c>
      <c r="B603" s="7" t="str">
        <f t="shared" si="84"/>
        <v>julio</v>
      </c>
      <c r="C603" s="27">
        <v>100022</v>
      </c>
      <c r="D603" s="23" t="s">
        <v>20</v>
      </c>
      <c r="E603" s="181" t="s">
        <v>1112</v>
      </c>
      <c r="F603" s="22" t="s">
        <v>317</v>
      </c>
      <c r="G603" s="32" t="str">
        <f>IFERROR(VLOOKUP(F603,Productos!$A$2:$D$258,2,0)," ")</f>
        <v>Superficie  Fresno Europeo 150x70 Moderno</v>
      </c>
      <c r="H603" s="7">
        <v>1</v>
      </c>
      <c r="I603" s="32" t="str">
        <f>IFERROR(VLOOKUP(F603,Productos!$A$2:$D$258,3,0)," ")</f>
        <v>Superficie</v>
      </c>
      <c r="J603" s="139" t="s">
        <v>21</v>
      </c>
      <c r="K603" s="182" t="s">
        <v>22</v>
      </c>
      <c r="L603" s="26" t="str">
        <f t="shared" si="80"/>
        <v>Despachado</v>
      </c>
      <c r="M603" s="56" t="s">
        <v>238</v>
      </c>
      <c r="N603" s="139" t="s">
        <v>1267</v>
      </c>
      <c r="O603" s="150">
        <v>45841</v>
      </c>
      <c r="P603" s="151">
        <v>45845</v>
      </c>
      <c r="Q603" s="24" t="str">
        <f t="shared" si="82"/>
        <v>Entregado</v>
      </c>
      <c r="R603" s="25">
        <f>IF(L603="Despachado",NETWORKDAYS.INTL(A603,O603,11,Valores!$A$2:$A$18)-1,"PTE")</f>
        <v>1</v>
      </c>
      <c r="S603" s="25">
        <f>IF(Q603="Entregado",NETWORKDAYS.INTL(A603,P603,11,Valores!$A$2:$A$18)-1,"PTE")</f>
        <v>4</v>
      </c>
      <c r="T603" s="25"/>
      <c r="U603" s="25"/>
      <c r="V603" s="25" t="str">
        <f>IF(Q603="Entregado",IF(S603&lt;=VLOOKUP(K603,Valores!E:F,2,0),"Cumple","No cumple"),"PTE")</f>
        <v>No cumple</v>
      </c>
      <c r="W603" s="25"/>
      <c r="X603" s="29">
        <v>28593</v>
      </c>
      <c r="Y603" s="224"/>
      <c r="Z603" s="28"/>
    </row>
    <row r="604" spans="1:26" hidden="1" x14ac:dyDescent="0.3">
      <c r="A604" s="34">
        <v>45840</v>
      </c>
      <c r="B604" s="7" t="str">
        <f t="shared" si="84"/>
        <v>julio</v>
      </c>
      <c r="C604" s="27">
        <v>100022</v>
      </c>
      <c r="D604" s="23" t="s">
        <v>20</v>
      </c>
      <c r="E604" s="181" t="s">
        <v>1112</v>
      </c>
      <c r="F604" s="40" t="s">
        <v>240</v>
      </c>
      <c r="G604" s="32" t="str">
        <f>IFERROR(VLOOKUP(F604,Productos!$A$2:$D$258,2,0)," ")</f>
        <v>Bandeja de cables</v>
      </c>
      <c r="H604" s="7">
        <v>1</v>
      </c>
      <c r="I604" s="32" t="str">
        <f>IFERROR(VLOOKUP(F604,Productos!$A$2:$D$258,3,0)," ")</f>
        <v>Accesorio</v>
      </c>
      <c r="J604" s="139" t="s">
        <v>21</v>
      </c>
      <c r="K604" s="182" t="s">
        <v>22</v>
      </c>
      <c r="L604" s="26" t="str">
        <f t="shared" si="80"/>
        <v>Despachado</v>
      </c>
      <c r="M604" s="56" t="s">
        <v>238</v>
      </c>
      <c r="N604" s="139" t="s">
        <v>1268</v>
      </c>
      <c r="O604" s="150">
        <v>45841</v>
      </c>
      <c r="P604" s="151">
        <v>45846</v>
      </c>
      <c r="Q604" s="24" t="str">
        <f t="shared" si="82"/>
        <v>Entregado</v>
      </c>
      <c r="R604" s="25">
        <f>IF(L604="Despachado",NETWORKDAYS.INTL(A604,O604,11,Valores!$A$2:$A$18)-1,"PTE")</f>
        <v>1</v>
      </c>
      <c r="S604" s="25">
        <f>IF(Q604="Entregado",NETWORKDAYS.INTL(A604,P604,11,Valores!$A$2:$A$18)-1,"PTE")</f>
        <v>5</v>
      </c>
      <c r="T604" s="25"/>
      <c r="U604" s="25"/>
      <c r="V604" s="25" t="str">
        <f>IF(Q604="Entregado",IF(S604&lt;=VLOOKUP(K604,Valores!E:F,2,0),"Cumple","No cumple"),"PTE")</f>
        <v>No cumple</v>
      </c>
      <c r="W604" s="25"/>
      <c r="X604" s="29">
        <v>25429</v>
      </c>
      <c r="Y604" s="224"/>
      <c r="Z604" s="28"/>
    </row>
    <row r="605" spans="1:26" hidden="1" x14ac:dyDescent="0.3">
      <c r="A605" s="34">
        <v>45840</v>
      </c>
      <c r="B605" s="7" t="str">
        <f t="shared" si="84"/>
        <v>julio</v>
      </c>
      <c r="C605" s="27">
        <v>100022</v>
      </c>
      <c r="D605" s="23" t="s">
        <v>20</v>
      </c>
      <c r="E605" s="181" t="s">
        <v>1112</v>
      </c>
      <c r="F605" s="40" t="s">
        <v>280</v>
      </c>
      <c r="G605" s="32" t="str">
        <f>IFERROR(VLOOKUP(F605,Productos!$A$2:$D$258,2,0)," ")</f>
        <v>Rodachines con freno para Standing desk x 4 UN</v>
      </c>
      <c r="H605" s="7">
        <v>1</v>
      </c>
      <c r="I605" s="32" t="str">
        <f>IFERROR(VLOOKUP(F605,Productos!$A$2:$D$258,3,0)," ")</f>
        <v>Ruedas</v>
      </c>
      <c r="J605" s="139" t="s">
        <v>21</v>
      </c>
      <c r="K605" s="182" t="s">
        <v>22</v>
      </c>
      <c r="L605" s="26" t="str">
        <f t="shared" si="80"/>
        <v>Despachado</v>
      </c>
      <c r="M605" s="56" t="s">
        <v>238</v>
      </c>
      <c r="N605" s="139" t="s">
        <v>1269</v>
      </c>
      <c r="O605" s="150">
        <v>45841</v>
      </c>
      <c r="P605" s="151">
        <v>45846</v>
      </c>
      <c r="Q605" s="24" t="str">
        <f t="shared" si="82"/>
        <v>Entregado</v>
      </c>
      <c r="R605" s="25">
        <f>IF(L605="Despachado",NETWORKDAYS.INTL(A605,O605,11,Valores!$A$2:$A$18)-1,"PTE")</f>
        <v>1</v>
      </c>
      <c r="S605" s="25">
        <f>IF(Q605="Entregado",NETWORKDAYS.INTL(A605,P605,11,Valores!$A$2:$A$18)-1,"PTE")</f>
        <v>5</v>
      </c>
      <c r="T605" s="25"/>
      <c r="U605" s="25"/>
      <c r="V605" s="25" t="str">
        <f>IF(Q605="Entregado",IF(S605&lt;=VLOOKUP(K605,Valores!E:F,2,0),"Cumple","No cumple"),"PTE")</f>
        <v>No cumple</v>
      </c>
      <c r="W605" s="25"/>
      <c r="X605" s="29">
        <v>23885</v>
      </c>
      <c r="Y605" s="224"/>
      <c r="Z605" s="28"/>
    </row>
    <row r="606" spans="1:26" hidden="1" x14ac:dyDescent="0.3">
      <c r="A606" s="34">
        <v>45842</v>
      </c>
      <c r="B606" s="7" t="str">
        <f t="shared" si="84"/>
        <v>julio</v>
      </c>
      <c r="C606" s="27">
        <v>100023</v>
      </c>
      <c r="D606" s="23" t="s">
        <v>20</v>
      </c>
      <c r="E606" s="181" t="s">
        <v>1113</v>
      </c>
      <c r="F606" s="22" t="s">
        <v>127</v>
      </c>
      <c r="G606" s="32" t="str">
        <f>IFERROR(VLOOKUP(F606,Productos!$A$2:$D$258,2,0)," ")</f>
        <v>Electric Standing Desk GO Blanco</v>
      </c>
      <c r="H606" s="7">
        <v>1</v>
      </c>
      <c r="I606" s="32" t="str">
        <f>IFERROR(VLOOKUP(F606,Productos!$A$2:$D$258,3,0)," ")</f>
        <v>Standing Desk</v>
      </c>
      <c r="J606" s="182" t="s">
        <v>42</v>
      </c>
      <c r="K606" s="182" t="s">
        <v>43</v>
      </c>
      <c r="L606" s="26" t="str">
        <f t="shared" si="80"/>
        <v>Despachado</v>
      </c>
      <c r="M606" s="56" t="s">
        <v>238</v>
      </c>
      <c r="N606" s="139" t="s">
        <v>1270</v>
      </c>
      <c r="O606" s="150">
        <v>45842</v>
      </c>
      <c r="P606" s="151">
        <v>45847</v>
      </c>
      <c r="Q606" s="24" t="str">
        <f t="shared" si="82"/>
        <v>Entregado</v>
      </c>
      <c r="R606" s="25">
        <f>IF(L606="Despachado",NETWORKDAYS.INTL(A606,O606,11,Valores!$A$2:$A$18)-1,"PTE")</f>
        <v>0</v>
      </c>
      <c r="S606" s="25">
        <f>IF(Q606="Entregado",NETWORKDAYS.INTL(A606,P606,11,Valores!$A$2:$A$18)-1,"PTE")</f>
        <v>4</v>
      </c>
      <c r="T606" s="25"/>
      <c r="U606" s="25"/>
      <c r="V606" s="25" t="str">
        <f>IF(Q606="Entregado",IF(S606&lt;=VLOOKUP(K606,Valores!E:F,2,0),"Cumple","No cumple"),"PTE")</f>
        <v>No cumple</v>
      </c>
      <c r="W606" s="25"/>
      <c r="X606" s="29">
        <v>46593</v>
      </c>
      <c r="Y606" s="224"/>
      <c r="Z606" s="28"/>
    </row>
    <row r="607" spans="1:26" hidden="1" x14ac:dyDescent="0.3">
      <c r="A607" s="34">
        <v>45842</v>
      </c>
      <c r="B607" s="7" t="str">
        <f t="shared" si="84"/>
        <v>julio</v>
      </c>
      <c r="C607" s="27">
        <v>100023</v>
      </c>
      <c r="D607" s="23" t="s">
        <v>20</v>
      </c>
      <c r="E607" s="181" t="s">
        <v>1113</v>
      </c>
      <c r="F607" s="22" t="s">
        <v>301</v>
      </c>
      <c r="G607" s="32" t="str">
        <f>IFERROR(VLOOKUP(F607,Productos!$A$2:$D$258,2,0)," ")</f>
        <v>Superficie  Fresno Europeo 120x70 Clasico Small</v>
      </c>
      <c r="H607" s="7">
        <v>1</v>
      </c>
      <c r="I607" s="32" t="str">
        <f>IFERROR(VLOOKUP(F607,Productos!$A$2:$D$258,3,0)," ")</f>
        <v>Superficie</v>
      </c>
      <c r="J607" s="182" t="s">
        <v>42</v>
      </c>
      <c r="K607" s="182" t="s">
        <v>43</v>
      </c>
      <c r="L607" s="26" t="str">
        <f t="shared" si="80"/>
        <v>Despachado</v>
      </c>
      <c r="M607" s="56" t="s">
        <v>238</v>
      </c>
      <c r="N607" s="139" t="s">
        <v>1271</v>
      </c>
      <c r="O607" s="150">
        <v>45842</v>
      </c>
      <c r="P607" s="151">
        <v>45847</v>
      </c>
      <c r="Q607" s="24" t="str">
        <f t="shared" si="82"/>
        <v>Entregado</v>
      </c>
      <c r="R607" s="25">
        <f>IF(L607="Despachado",NETWORKDAYS.INTL(A607,O607,11,Valores!$A$2:$A$18)-1,"PTE")</f>
        <v>0</v>
      </c>
      <c r="S607" s="25">
        <f>IF(Q607="Entregado",NETWORKDAYS.INTL(A607,P607,11,Valores!$A$2:$A$18)-1,"PTE")</f>
        <v>4</v>
      </c>
      <c r="T607" s="25"/>
      <c r="U607" s="25"/>
      <c r="V607" s="25" t="str">
        <f>IF(Q607="Entregado",IF(S607&lt;=VLOOKUP(K607,Valores!E:F,2,0),"Cumple","No cumple"),"PTE")</f>
        <v>No cumple</v>
      </c>
      <c r="W607" s="25"/>
      <c r="X607" s="29">
        <v>28929</v>
      </c>
      <c r="Y607" s="224"/>
      <c r="Z607" s="28"/>
    </row>
    <row r="608" spans="1:26" hidden="1" x14ac:dyDescent="0.3">
      <c r="A608" s="34">
        <v>45843</v>
      </c>
      <c r="B608" s="7" t="str">
        <f t="shared" si="84"/>
        <v>julio</v>
      </c>
      <c r="C608" s="27">
        <v>100024</v>
      </c>
      <c r="D608" s="23" t="s">
        <v>20</v>
      </c>
      <c r="E608" s="181" t="s">
        <v>1114</v>
      </c>
      <c r="F608" s="22" t="s">
        <v>730</v>
      </c>
      <c r="G608" s="32" t="str">
        <f>IFERROR(VLOOKUP(F608,Productos!$A$2:$D$258,2,0)," ")</f>
        <v>Electric Standing Desk  PRO Blanco circular</v>
      </c>
      <c r="H608" s="7">
        <v>1</v>
      </c>
      <c r="I608" s="32" t="str">
        <f>IFERROR(VLOOKUP(F608,Productos!$A$2:$D$258,3,0)," ")</f>
        <v>Standing Desk</v>
      </c>
      <c r="J608" s="139" t="s">
        <v>21</v>
      </c>
      <c r="K608" s="182" t="s">
        <v>22</v>
      </c>
      <c r="L608" s="26" t="str">
        <f t="shared" si="80"/>
        <v>Despachado</v>
      </c>
      <c r="M608" s="56" t="s">
        <v>238</v>
      </c>
      <c r="N608" s="139" t="s">
        <v>1272</v>
      </c>
      <c r="O608" s="150">
        <v>45847</v>
      </c>
      <c r="P608" s="151">
        <v>45849</v>
      </c>
      <c r="Q608" s="24" t="str">
        <f t="shared" si="82"/>
        <v>Entregado</v>
      </c>
      <c r="R608" s="25">
        <f>IF(L608="Despachado",NETWORKDAYS.INTL(A608,O608,11,Valores!$A$2:$A$18)-1,"PTE")</f>
        <v>3</v>
      </c>
      <c r="S608" s="25">
        <f>IF(Q608="Entregado",NETWORKDAYS.INTL(A608,P608,11,Valores!$A$2:$A$18)-1,"PTE")</f>
        <v>5</v>
      </c>
      <c r="T608" s="25"/>
      <c r="U608" s="25"/>
      <c r="V608" s="25" t="str">
        <f>IF(Q608="Entregado",IF(S608&lt;=VLOOKUP(K608,Valores!E:F,2,0),"Cumple","No cumple"),"PTE")</f>
        <v>No cumple</v>
      </c>
      <c r="W608" s="25"/>
      <c r="X608" s="29">
        <v>41593</v>
      </c>
      <c r="Y608" s="224"/>
      <c r="Z608" s="28"/>
    </row>
    <row r="609" spans="1:26" hidden="1" x14ac:dyDescent="0.3">
      <c r="A609" s="34">
        <v>45843</v>
      </c>
      <c r="B609" s="7" t="str">
        <f t="shared" si="84"/>
        <v>julio</v>
      </c>
      <c r="C609" s="27">
        <v>100024</v>
      </c>
      <c r="D609" s="23" t="s">
        <v>20</v>
      </c>
      <c r="E609" s="181" t="s">
        <v>1114</v>
      </c>
      <c r="F609" s="22" t="s">
        <v>108</v>
      </c>
      <c r="G609" s="32" t="str">
        <f>IFERROR(VLOOKUP(F609,Productos!$A$2:$D$258,2,0)," ")</f>
        <v>Superficie Niebla 120x70 Clasico Small</v>
      </c>
      <c r="H609" s="7">
        <v>1</v>
      </c>
      <c r="I609" s="32" t="str">
        <f>IFERROR(VLOOKUP(F609,Productos!$A$2:$D$258,3,0)," ")</f>
        <v>Superficie</v>
      </c>
      <c r="J609" s="139" t="s">
        <v>21</v>
      </c>
      <c r="K609" s="182" t="s">
        <v>22</v>
      </c>
      <c r="L609" s="26" t="str">
        <f t="shared" si="80"/>
        <v>Despachado</v>
      </c>
      <c r="M609" s="56" t="s">
        <v>238</v>
      </c>
      <c r="N609" s="139" t="s">
        <v>1273</v>
      </c>
      <c r="O609" s="150">
        <v>45847</v>
      </c>
      <c r="P609" s="151">
        <v>45849</v>
      </c>
      <c r="Q609" s="24" t="str">
        <f t="shared" si="82"/>
        <v>Entregado</v>
      </c>
      <c r="R609" s="25">
        <f>IF(L609="Despachado",NETWORKDAYS.INTL(A609,O609,11,Valores!$A$2:$A$18)-1,"PTE")</f>
        <v>3</v>
      </c>
      <c r="S609" s="25">
        <f>IF(Q609="Entregado",NETWORKDAYS.INTL(A609,P609,11,Valores!$A$2:$A$18)-1,"PTE")</f>
        <v>5</v>
      </c>
      <c r="T609" s="25"/>
      <c r="U609" s="25"/>
      <c r="V609" s="25" t="str">
        <f>IF(Q609="Entregado",IF(S609&lt;=VLOOKUP(K609,Valores!E:F,2,0),"Cumple","No cumple"),"PTE")</f>
        <v>No cumple</v>
      </c>
      <c r="W609" s="25"/>
      <c r="X609" s="29">
        <v>24093</v>
      </c>
      <c r="Y609" s="224"/>
      <c r="Z609" s="28"/>
    </row>
    <row r="610" spans="1:26" hidden="1" x14ac:dyDescent="0.3">
      <c r="A610" s="34">
        <v>45843</v>
      </c>
      <c r="B610" s="7" t="str">
        <f t="shared" si="84"/>
        <v>julio</v>
      </c>
      <c r="C610" s="27">
        <v>100024</v>
      </c>
      <c r="D610" s="23" t="s">
        <v>20</v>
      </c>
      <c r="E610" s="181" t="s">
        <v>1114</v>
      </c>
      <c r="F610" s="40" t="s">
        <v>240</v>
      </c>
      <c r="G610" s="32" t="str">
        <f>IFERROR(VLOOKUP(F610,Productos!$A$2:$D$258,2,0)," ")</f>
        <v>Bandeja de cables</v>
      </c>
      <c r="H610" s="7">
        <v>1</v>
      </c>
      <c r="I610" s="32" t="str">
        <f>IFERROR(VLOOKUP(F610,Productos!$A$2:$D$258,3,0)," ")</f>
        <v>Accesorio</v>
      </c>
      <c r="J610" s="139" t="s">
        <v>21</v>
      </c>
      <c r="K610" s="182" t="s">
        <v>22</v>
      </c>
      <c r="L610" s="26" t="str">
        <f t="shared" si="80"/>
        <v>Despachado</v>
      </c>
      <c r="M610" s="56" t="s">
        <v>238</v>
      </c>
      <c r="N610" s="139" t="s">
        <v>1274</v>
      </c>
      <c r="O610" s="150">
        <v>45847</v>
      </c>
      <c r="P610" s="151">
        <v>45849</v>
      </c>
      <c r="Q610" s="24" t="str">
        <f t="shared" si="82"/>
        <v>Entregado</v>
      </c>
      <c r="R610" s="25">
        <f>IF(L610="Despachado",NETWORKDAYS.INTL(A610,O610,11,Valores!$A$2:$A$18)-1,"PTE")</f>
        <v>3</v>
      </c>
      <c r="S610" s="25">
        <f>IF(Q610="Entregado",NETWORKDAYS.INTL(A610,P610,11,Valores!$A$2:$A$18)-1,"PTE")</f>
        <v>5</v>
      </c>
      <c r="T610" s="25"/>
      <c r="U610" s="25"/>
      <c r="V610" s="25" t="str">
        <f>IF(Q610="Entregado",IF(S610&lt;=VLOOKUP(K610,Valores!E:F,2,0),"Cumple","No cumple"),"PTE")</f>
        <v>No cumple</v>
      </c>
      <c r="W610" s="25"/>
      <c r="X610" s="29">
        <v>25429</v>
      </c>
      <c r="Y610" s="224"/>
      <c r="Z610" s="28"/>
    </row>
    <row r="611" spans="1:26" hidden="1" x14ac:dyDescent="0.3">
      <c r="A611" s="34">
        <v>45843</v>
      </c>
      <c r="B611" s="7" t="str">
        <f t="shared" si="84"/>
        <v>julio</v>
      </c>
      <c r="C611" s="27">
        <v>100025</v>
      </c>
      <c r="D611" s="23" t="s">
        <v>20</v>
      </c>
      <c r="E611" s="181" t="s">
        <v>1115</v>
      </c>
      <c r="F611" s="40" t="s">
        <v>57</v>
      </c>
      <c r="G611" s="32" t="str">
        <f>IFERROR(VLOOKUP(F611,Productos!$A$2:$D$258,2,0)," ")</f>
        <v>Electric Standing Desk  En L Frame Negro 2.0</v>
      </c>
      <c r="H611" s="7">
        <v>1</v>
      </c>
      <c r="I611" s="32" t="str">
        <f>IFERROR(VLOOKUP(F611,Productos!$A$2:$D$258,3,0)," ")</f>
        <v>Standing Desk</v>
      </c>
      <c r="J611" s="139" t="s">
        <v>21</v>
      </c>
      <c r="K611" s="182" t="s">
        <v>22</v>
      </c>
      <c r="L611" s="26" t="str">
        <f t="shared" si="80"/>
        <v>Despachado</v>
      </c>
      <c r="M611" s="56" t="s">
        <v>238</v>
      </c>
      <c r="N611" s="139" t="s">
        <v>1275</v>
      </c>
      <c r="O611" s="150">
        <v>45845</v>
      </c>
      <c r="P611" s="151">
        <v>45848</v>
      </c>
      <c r="Q611" s="24" t="str">
        <f t="shared" si="82"/>
        <v>Entregado</v>
      </c>
      <c r="R611" s="25">
        <f>IF(L611="Despachado",NETWORKDAYS.INTL(A611,O611,11,Valores!$A$2:$A$18)-1,"PTE")</f>
        <v>1</v>
      </c>
      <c r="S611" s="25">
        <f>IF(Q611="Entregado",NETWORKDAYS.INTL(A611,P611,11,Valores!$A$2:$A$18)-1,"PTE")</f>
        <v>4</v>
      </c>
      <c r="T611" s="25"/>
      <c r="U611" s="25"/>
      <c r="V611" s="25" t="str">
        <f>IF(Q611="Entregado",IF(S611&lt;=VLOOKUP(K611,Valores!E:F,2,0),"Cumple","No cumple"),"PTE")</f>
        <v>No cumple</v>
      </c>
      <c r="W611" s="25"/>
      <c r="X611" s="29">
        <v>62530</v>
      </c>
      <c r="Y611" s="224"/>
      <c r="Z611" s="28"/>
    </row>
    <row r="612" spans="1:26" hidden="1" x14ac:dyDescent="0.3">
      <c r="A612" s="34">
        <v>45843</v>
      </c>
      <c r="B612" s="7" t="str">
        <f t="shared" si="84"/>
        <v>julio</v>
      </c>
      <c r="C612" s="27">
        <v>100025</v>
      </c>
      <c r="D612" s="23" t="s">
        <v>20</v>
      </c>
      <c r="E612" s="181" t="s">
        <v>1115</v>
      </c>
      <c r="F612" s="22" t="s">
        <v>29</v>
      </c>
      <c r="G612" s="32" t="str">
        <f>IFERROR(VLOOKUP(F612,Productos!$A$2:$D$258,2,0)," ")</f>
        <v>Superficie  en L Caramelo 180x150cm x 70</v>
      </c>
      <c r="H612" s="7">
        <v>1</v>
      </c>
      <c r="I612" s="32" t="str">
        <f>IFERROR(VLOOKUP(F612,Productos!$A$2:$D$258,3,0)," ")</f>
        <v>Superficie</v>
      </c>
      <c r="J612" s="139" t="s">
        <v>21</v>
      </c>
      <c r="K612" s="182" t="s">
        <v>22</v>
      </c>
      <c r="L612" s="26" t="str">
        <f t="shared" si="80"/>
        <v>Despachado</v>
      </c>
      <c r="M612" s="56" t="s">
        <v>238</v>
      </c>
      <c r="N612" s="139" t="s">
        <v>1276</v>
      </c>
      <c r="O612" s="150">
        <v>45845</v>
      </c>
      <c r="P612" s="151">
        <v>45847</v>
      </c>
      <c r="Q612" s="24" t="str">
        <f t="shared" si="82"/>
        <v>Entregado</v>
      </c>
      <c r="R612" s="25">
        <f>IF(L612="Despachado",NETWORKDAYS.INTL(A612,O612,11,Valores!$A$2:$A$18)-1,"PTE")</f>
        <v>1</v>
      </c>
      <c r="S612" s="25">
        <f>IF(Q612="Entregado",NETWORKDAYS.INTL(A612,P612,11,Valores!$A$2:$A$18)-1,"PTE")</f>
        <v>3</v>
      </c>
      <c r="T612" s="25"/>
      <c r="U612" s="25"/>
      <c r="V612" s="25" t="str">
        <f>IF(Q612="Entregado",IF(S612&lt;=VLOOKUP(K612,Valores!E:F,2,0),"Cumple","No cumple"),"PTE")</f>
        <v>Cumple</v>
      </c>
      <c r="W612" s="25"/>
      <c r="X612" s="29">
        <v>26749</v>
      </c>
      <c r="Y612" s="224"/>
      <c r="Z612" s="28"/>
    </row>
    <row r="613" spans="1:26" hidden="1" x14ac:dyDescent="0.3">
      <c r="A613" s="34">
        <v>45845</v>
      </c>
      <c r="B613" s="7" t="str">
        <f t="shared" si="84"/>
        <v>julio</v>
      </c>
      <c r="C613" s="27">
        <v>100029</v>
      </c>
      <c r="D613" s="23" t="s">
        <v>20</v>
      </c>
      <c r="E613" s="181" t="s">
        <v>1116</v>
      </c>
      <c r="F613" s="40" t="s">
        <v>129</v>
      </c>
      <c r="G613" s="32" t="str">
        <f>IFERROR(VLOOKUP(F613,Productos!$A$2:$D$258,2,0)," ")</f>
        <v>Electric Standing Desk  PRO Negro</v>
      </c>
      <c r="H613" s="7">
        <v>1</v>
      </c>
      <c r="I613" s="32" t="str">
        <f>IFERROR(VLOOKUP(F613,Productos!$A$2:$D$258,3,0)," ")</f>
        <v>Standing Desk</v>
      </c>
      <c r="J613" s="139" t="s">
        <v>21</v>
      </c>
      <c r="K613" s="182" t="s">
        <v>22</v>
      </c>
      <c r="L613" s="26" t="str">
        <f t="shared" si="80"/>
        <v>Despachado</v>
      </c>
      <c r="M613" s="56" t="s">
        <v>238</v>
      </c>
      <c r="N613" s="139" t="s">
        <v>1277</v>
      </c>
      <c r="O613" s="150">
        <v>45847</v>
      </c>
      <c r="P613" s="151">
        <v>45848</v>
      </c>
      <c r="Q613" s="24" t="str">
        <f t="shared" si="82"/>
        <v>Entregado</v>
      </c>
      <c r="R613" s="25">
        <f>IF(L613="Despachado",NETWORKDAYS.INTL(A613,O613,11,Valores!$A$2:$A$18)-1,"PTE")</f>
        <v>2</v>
      </c>
      <c r="S613" s="25">
        <f>IF(Q613="Entregado",NETWORKDAYS.INTL(A613,P613,11,Valores!$A$2:$A$18)-1,"PTE")</f>
        <v>3</v>
      </c>
      <c r="T613" s="25"/>
      <c r="U613" s="25"/>
      <c r="V613" s="25" t="str">
        <f>IF(Q613="Entregado",IF(S613&lt;=VLOOKUP(K613,Valores!E:F,2,0),"Cumple","No cumple"),"PTE")</f>
        <v>Cumple</v>
      </c>
      <c r="W613" s="25"/>
      <c r="X613" s="29">
        <v>41593</v>
      </c>
      <c r="Y613" s="224"/>
      <c r="Z613" s="28"/>
    </row>
    <row r="614" spans="1:26" hidden="1" x14ac:dyDescent="0.3">
      <c r="A614" s="34">
        <v>45845</v>
      </c>
      <c r="B614" s="7" t="str">
        <f t="shared" si="84"/>
        <v>julio</v>
      </c>
      <c r="C614" s="27">
        <v>100029</v>
      </c>
      <c r="D614" s="23" t="s">
        <v>20</v>
      </c>
      <c r="E614" s="181" t="s">
        <v>1116</v>
      </c>
      <c r="F614" s="22" t="s">
        <v>264</v>
      </c>
      <c r="G614" s="32" t="str">
        <f>IFERROR(VLOOKUP(F614,Productos!$A$2:$D$258,2,0)," ")</f>
        <v>Superficie Roble Miel 180x70 Clasico</v>
      </c>
      <c r="H614" s="7">
        <v>1</v>
      </c>
      <c r="I614" s="32" t="str">
        <f>IFERROR(VLOOKUP(F614,Productos!$A$2:$D$258,3,0)," ")</f>
        <v>Superficie</v>
      </c>
      <c r="J614" s="139" t="s">
        <v>21</v>
      </c>
      <c r="K614" s="182" t="s">
        <v>22</v>
      </c>
      <c r="L614" s="26" t="str">
        <f t="shared" si="80"/>
        <v>Despachado</v>
      </c>
      <c r="M614" s="56" t="s">
        <v>238</v>
      </c>
      <c r="N614" s="139" t="s">
        <v>1278</v>
      </c>
      <c r="O614" s="150">
        <v>45847</v>
      </c>
      <c r="P614" s="151">
        <v>45848</v>
      </c>
      <c r="Q614" s="24" t="str">
        <f t="shared" si="82"/>
        <v>Entregado</v>
      </c>
      <c r="R614" s="25">
        <f>IF(L614="Despachado",NETWORKDAYS.INTL(A614,O614,11,Valores!$A$2:$A$18)-1,"PTE")</f>
        <v>2</v>
      </c>
      <c r="S614" s="25">
        <f>IF(Q614="Entregado",NETWORKDAYS.INTL(A614,P614,11,Valores!$A$2:$A$18)-1,"PTE")</f>
        <v>3</v>
      </c>
      <c r="T614" s="25"/>
      <c r="U614" s="25"/>
      <c r="V614" s="25" t="str">
        <f>IF(Q614="Entregado",IF(S614&lt;=VLOOKUP(K614,Valores!E:F,2,0),"Cumple","No cumple"),"PTE")</f>
        <v>Cumple</v>
      </c>
      <c r="W614" s="25"/>
      <c r="X614" s="29">
        <v>26749</v>
      </c>
      <c r="Y614" s="224"/>
      <c r="Z614" s="28"/>
    </row>
    <row r="615" spans="1:26" hidden="1" x14ac:dyDescent="0.3">
      <c r="A615" s="34">
        <v>45845</v>
      </c>
      <c r="B615" s="7" t="str">
        <f t="shared" si="84"/>
        <v>julio</v>
      </c>
      <c r="C615" s="27">
        <v>100029</v>
      </c>
      <c r="D615" s="23" t="s">
        <v>20</v>
      </c>
      <c r="E615" s="181" t="s">
        <v>1116</v>
      </c>
      <c r="F615" s="40" t="s">
        <v>240</v>
      </c>
      <c r="G615" s="32" t="str">
        <f>IFERROR(VLOOKUP(F615,Productos!$A$2:$D$258,2,0)," ")</f>
        <v>Bandeja de cables</v>
      </c>
      <c r="H615" s="7">
        <v>1</v>
      </c>
      <c r="I615" s="32" t="str">
        <f>IFERROR(VLOOKUP(F615,Productos!$A$2:$D$258,3,0)," ")</f>
        <v>Accesorio</v>
      </c>
      <c r="J615" s="139" t="s">
        <v>21</v>
      </c>
      <c r="K615" s="182" t="s">
        <v>22</v>
      </c>
      <c r="L615" s="26" t="str">
        <f t="shared" si="80"/>
        <v>Despachado</v>
      </c>
      <c r="M615" s="56" t="s">
        <v>238</v>
      </c>
      <c r="N615" s="139" t="s">
        <v>1279</v>
      </c>
      <c r="O615" s="150">
        <v>45846</v>
      </c>
      <c r="P615" s="151">
        <v>45848</v>
      </c>
      <c r="Q615" s="24" t="str">
        <f t="shared" si="82"/>
        <v>Entregado</v>
      </c>
      <c r="R615" s="25">
        <f>IF(L615="Despachado",NETWORKDAYS.INTL(A615,O615,11,Valores!$A$2:$A$18)-1,"PTE")</f>
        <v>1</v>
      </c>
      <c r="S615" s="25">
        <f>IF(Q615="Entregado",NETWORKDAYS.INTL(A615,P615,11,Valores!$A$2:$A$18)-1,"PTE")</f>
        <v>3</v>
      </c>
      <c r="T615" s="25"/>
      <c r="U615" s="25"/>
      <c r="V615" s="25" t="str">
        <f>IF(Q615="Entregado",IF(S615&lt;=VLOOKUP(K615,Valores!E:F,2,0),"Cumple","No cumple"),"PTE")</f>
        <v>Cumple</v>
      </c>
      <c r="W615" s="25"/>
      <c r="X615" s="29">
        <v>25429</v>
      </c>
      <c r="Y615" s="224"/>
      <c r="Z615" s="28"/>
    </row>
    <row r="616" spans="1:26" hidden="1" x14ac:dyDescent="0.3">
      <c r="A616" s="34">
        <v>45845</v>
      </c>
      <c r="B616" s="7" t="str">
        <f>TEXT(A616,"mmmm")</f>
        <v>julio</v>
      </c>
      <c r="C616" s="27">
        <v>100029</v>
      </c>
      <c r="D616" s="23" t="s">
        <v>20</v>
      </c>
      <c r="E616" s="181" t="s">
        <v>1116</v>
      </c>
      <c r="F616" s="40" t="s">
        <v>280</v>
      </c>
      <c r="G616" s="32" t="str">
        <f>IFERROR(VLOOKUP(F616,Productos!$A$2:$D$258,2,0)," ")</f>
        <v>Rodachines con freno para Standing desk x 4 UN</v>
      </c>
      <c r="H616" s="7">
        <v>1</v>
      </c>
      <c r="I616" s="32" t="str">
        <f>IFERROR(VLOOKUP(F616,Productos!$A$2:$D$258,3,0)," ")</f>
        <v>Ruedas</v>
      </c>
      <c r="J616" s="139" t="s">
        <v>21</v>
      </c>
      <c r="K616" s="182" t="s">
        <v>22</v>
      </c>
      <c r="L616" s="26" t="str">
        <f t="shared" si="80"/>
        <v>Despachado</v>
      </c>
      <c r="M616" s="56" t="s">
        <v>238</v>
      </c>
      <c r="N616" s="139" t="s">
        <v>1280</v>
      </c>
      <c r="O616" s="150">
        <v>45846</v>
      </c>
      <c r="P616" s="151">
        <v>45848</v>
      </c>
      <c r="Q616" s="24" t="str">
        <f t="shared" si="82"/>
        <v>Entregado</v>
      </c>
      <c r="R616" s="25">
        <f>IF(L616="Despachado",NETWORKDAYS.INTL(A616,O616,11,Valores!$A$2:$A$18)-1,"PTE")</f>
        <v>1</v>
      </c>
      <c r="S616" s="25">
        <f>IF(Q616="Entregado",NETWORKDAYS.INTL(A616,P616,11,Valores!$A$2:$A$18)-1,"PTE")</f>
        <v>3</v>
      </c>
      <c r="T616" s="25"/>
      <c r="U616" s="25"/>
      <c r="V616" s="25" t="str">
        <f>IF(Q616="Entregado",IF(S616&lt;=VLOOKUP(K616,Valores!E:F,2,0),"Cumple","No cumple"),"PTE")</f>
        <v>Cumple</v>
      </c>
      <c r="W616" s="25"/>
      <c r="X616" s="29">
        <v>19031</v>
      </c>
      <c r="Y616" s="224"/>
      <c r="Z616" s="28"/>
    </row>
    <row r="617" spans="1:26" hidden="1" x14ac:dyDescent="0.3">
      <c r="A617" s="34">
        <v>45845</v>
      </c>
      <c r="B617" s="7" t="str">
        <f>TEXT(A617,"mmmm")</f>
        <v>julio</v>
      </c>
      <c r="C617" s="27">
        <v>100029</v>
      </c>
      <c r="D617" s="23" t="s">
        <v>793</v>
      </c>
      <c r="E617" s="181" t="s">
        <v>1116</v>
      </c>
      <c r="F617" s="40" t="s">
        <v>129</v>
      </c>
      <c r="G617" s="32" t="str">
        <f>IFERROR(VLOOKUP(F617,Productos!$A$2:$D$258,2,0)," ")</f>
        <v>Electric Standing Desk  PRO Negro</v>
      </c>
      <c r="H617" s="7">
        <v>1</v>
      </c>
      <c r="I617" s="32" t="str">
        <f>IFERROR(VLOOKUP(F617,Productos!$A$2:$D$258,3,0)," ")</f>
        <v>Standing Desk</v>
      </c>
      <c r="J617" s="139" t="s">
        <v>21</v>
      </c>
      <c r="K617" s="182" t="s">
        <v>22</v>
      </c>
      <c r="L617" s="26" t="str">
        <f t="shared" si="80"/>
        <v>Despachado</v>
      </c>
      <c r="M617" s="56" t="s">
        <v>238</v>
      </c>
      <c r="N617" s="139" t="s">
        <v>1281</v>
      </c>
      <c r="O617" s="150">
        <v>45849</v>
      </c>
      <c r="P617" s="151">
        <v>45852</v>
      </c>
      <c r="Q617" s="24" t="str">
        <f>IF(P617&gt;0,"Entregado","En transito")</f>
        <v>Entregado</v>
      </c>
      <c r="R617" s="25">
        <f>IF(L617="Despachado",NETWORKDAYS.INTL(A617,O617,11,Valores!$A$2:$A$18)-1,"PTE")</f>
        <v>4</v>
      </c>
      <c r="S617" s="25">
        <f>IF(Q617="Entregado",NETWORKDAYS.INTL(A617,P617,11,Valores!$A$2:$A$18)-1,"PTE")</f>
        <v>6</v>
      </c>
      <c r="T617" s="25"/>
      <c r="U617" s="25"/>
      <c r="V617" s="25" t="str">
        <f>IF(Q617="Entregado",IF(S617&lt;=VLOOKUP(K617,Valores!E:F,2,0),"Cumple","No cumple"),"PTE")</f>
        <v>No cumple</v>
      </c>
      <c r="W617" s="25"/>
      <c r="X617" s="29">
        <v>47921</v>
      </c>
      <c r="Y617" s="224"/>
      <c r="Z617" s="28" t="s">
        <v>1430</v>
      </c>
    </row>
    <row r="618" spans="1:26" hidden="1" x14ac:dyDescent="0.3">
      <c r="A618" s="34">
        <v>45845</v>
      </c>
      <c r="B618" s="7" t="str">
        <f>TEXT(A618,"mmmm")</f>
        <v>julio</v>
      </c>
      <c r="C618" s="27">
        <v>100030</v>
      </c>
      <c r="D618" s="23" t="s">
        <v>20</v>
      </c>
      <c r="E618" s="181" t="s">
        <v>996</v>
      </c>
      <c r="F618" s="22" t="s">
        <v>83</v>
      </c>
      <c r="G618" s="32" t="str">
        <f>IFERROR(VLOOKUP(F618,Productos!$A$2:$D$258,2,0)," ")</f>
        <v>Desk Pad B Negro Azul</v>
      </c>
      <c r="H618" s="7">
        <v>1</v>
      </c>
      <c r="I618" s="32" t="str">
        <f>IFERROR(VLOOKUP(F618,Productos!$A$2:$D$258,3,0)," ")</f>
        <v>Accesorio</v>
      </c>
      <c r="J618" s="139" t="s">
        <v>21</v>
      </c>
      <c r="K618" s="182" t="s">
        <v>22</v>
      </c>
      <c r="L618" s="26" t="str">
        <f t="shared" si="80"/>
        <v>Despachado</v>
      </c>
      <c r="M618" s="56" t="s">
        <v>238</v>
      </c>
      <c r="N618" s="139" t="s">
        <v>1282</v>
      </c>
      <c r="O618" s="150">
        <v>45845</v>
      </c>
      <c r="P618" s="151">
        <v>45847</v>
      </c>
      <c r="Q618" s="24" t="str">
        <f t="shared" si="82"/>
        <v>Entregado</v>
      </c>
      <c r="R618" s="25">
        <f>IF(L618="Despachado",NETWORKDAYS.INTL(A618,O618,11,Valores!$A$2:$A$18)-1,"PTE")</f>
        <v>0</v>
      </c>
      <c r="S618" s="25">
        <f>IF(Q618="Entregado",NETWORKDAYS.INTL(A618,P618,11,Valores!$A$2:$A$18)-1,"PTE")</f>
        <v>2</v>
      </c>
      <c r="T618" s="25"/>
      <c r="U618" s="25"/>
      <c r="V618" s="25" t="str">
        <f>IF(Q618="Entregado",IF(S618&lt;=VLOOKUP(K618,Valores!E:F,2,0),"Cumple","No cumple"),"PTE")</f>
        <v>Cumple</v>
      </c>
      <c r="W618" s="25"/>
      <c r="X618" s="29">
        <v>23975</v>
      </c>
      <c r="Y618" s="224"/>
      <c r="Z618" s="28"/>
    </row>
    <row r="619" spans="1:26" hidden="1" x14ac:dyDescent="0.3">
      <c r="A619" s="34">
        <v>45845</v>
      </c>
      <c r="B619" s="7" t="str">
        <f t="shared" ref="B619:B624" si="85">TEXT(A619,"mmmm")</f>
        <v>julio</v>
      </c>
      <c r="C619" s="27">
        <v>100031</v>
      </c>
      <c r="D619" s="23" t="s">
        <v>20</v>
      </c>
      <c r="E619" s="181" t="s">
        <v>1117</v>
      </c>
      <c r="F619" s="40" t="s">
        <v>123</v>
      </c>
      <c r="G619" s="32" t="str">
        <f>IFERROR(VLOOKUP(F619,Productos!$A$2:$D$258,2,0)," ")</f>
        <v>Electric Standing Desk GO Negro</v>
      </c>
      <c r="H619" s="7">
        <v>1</v>
      </c>
      <c r="I619" s="32" t="str">
        <f>IFERROR(VLOOKUP(F619,Productos!$A$2:$D$258,3,0)," ")</f>
        <v>Standing Desk</v>
      </c>
      <c r="J619" s="182" t="s">
        <v>24</v>
      </c>
      <c r="K619" s="182" t="s">
        <v>209</v>
      </c>
      <c r="L619" s="26" t="str">
        <f t="shared" ref="L619:L624" si="86">IF(O619&gt;0,"Despachado","En alistamiento")</f>
        <v>Despachado</v>
      </c>
      <c r="M619" s="56" t="s">
        <v>238</v>
      </c>
      <c r="N619" s="139" t="s">
        <v>1283</v>
      </c>
      <c r="O619" s="150">
        <v>45846</v>
      </c>
      <c r="P619" s="151">
        <v>45847</v>
      </c>
      <c r="Q619" s="24" t="str">
        <f t="shared" si="82"/>
        <v>Entregado</v>
      </c>
      <c r="R619" s="25">
        <f>IF(L619="Despachado",NETWORKDAYS.INTL(A619,O619,11,Valores!$A$2:$A$18)-1,"PTE")</f>
        <v>1</v>
      </c>
      <c r="S619" s="25">
        <f>IF(Q619="Entregado",NETWORKDAYS.INTL(A619,P619,11,Valores!$A$2:$A$18)-1,"PTE")</f>
        <v>2</v>
      </c>
      <c r="T619" s="25"/>
      <c r="U619" s="25"/>
      <c r="V619" s="25" t="str">
        <f>IF(Q619="Entregado",IF(S619&lt;=VLOOKUP(K619,Valores!E:F,2,0),"Cumple","No cumple"),"PTE")</f>
        <v>Cumple</v>
      </c>
      <c r="W619" s="25"/>
      <c r="X619" s="29">
        <v>41593</v>
      </c>
      <c r="Y619" s="224"/>
      <c r="Z619" s="28"/>
    </row>
    <row r="620" spans="1:26" hidden="1" x14ac:dyDescent="0.3">
      <c r="A620" s="34">
        <v>45845</v>
      </c>
      <c r="B620" s="7" t="str">
        <f t="shared" si="85"/>
        <v>julio</v>
      </c>
      <c r="C620" s="27">
        <v>100031</v>
      </c>
      <c r="D620" s="23" t="s">
        <v>20</v>
      </c>
      <c r="E620" s="181" t="s">
        <v>1117</v>
      </c>
      <c r="F620" s="22" t="s">
        <v>143</v>
      </c>
      <c r="G620" s="32" t="str">
        <f>IFERROR(VLOOKUP(F620,Productos!$A$2:$D$258,2,0)," ")</f>
        <v>Superficie  Caramelo 160x70 Clasico</v>
      </c>
      <c r="H620" s="7">
        <v>1</v>
      </c>
      <c r="I620" s="32" t="str">
        <f>IFERROR(VLOOKUP(F620,Productos!$A$2:$D$258,3,0)," ")</f>
        <v>Superficie</v>
      </c>
      <c r="J620" s="182" t="s">
        <v>24</v>
      </c>
      <c r="K620" s="182" t="s">
        <v>209</v>
      </c>
      <c r="L620" s="26" t="str">
        <f t="shared" si="86"/>
        <v>Despachado</v>
      </c>
      <c r="M620" s="56" t="s">
        <v>238</v>
      </c>
      <c r="N620" s="139" t="s">
        <v>1284</v>
      </c>
      <c r="O620" s="150">
        <v>45846</v>
      </c>
      <c r="P620" s="151">
        <v>45847</v>
      </c>
      <c r="Q620" s="24" t="str">
        <f t="shared" si="82"/>
        <v>Entregado</v>
      </c>
      <c r="R620" s="25">
        <f>IF(L620="Despachado",NETWORKDAYS.INTL(A620,O620,11,Valores!$A$2:$A$18)-1,"PTE")</f>
        <v>1</v>
      </c>
      <c r="S620" s="25">
        <f>IF(Q620="Entregado",NETWORKDAYS.INTL(A620,P620,11,Valores!$A$2:$A$18)-1,"PTE")</f>
        <v>2</v>
      </c>
      <c r="T620" s="25"/>
      <c r="U620" s="25"/>
      <c r="V620" s="25" t="str">
        <f>IF(Q620="Entregado",IF(S620&lt;=VLOOKUP(K620,Valores!E:F,2,0),"Cumple","No cumple"),"PTE")</f>
        <v>Cumple</v>
      </c>
      <c r="W620" s="25"/>
      <c r="X620" s="29">
        <v>24093</v>
      </c>
      <c r="Y620" s="224"/>
      <c r="Z620" s="28"/>
    </row>
    <row r="621" spans="1:26" hidden="1" x14ac:dyDescent="0.3">
      <c r="A621" s="34">
        <v>45845</v>
      </c>
      <c r="B621" s="7" t="str">
        <f t="shared" si="85"/>
        <v>julio</v>
      </c>
      <c r="C621" s="27">
        <v>100031</v>
      </c>
      <c r="D621" s="23" t="s">
        <v>20</v>
      </c>
      <c r="E621" s="181" t="s">
        <v>1117</v>
      </c>
      <c r="F621" s="22" t="s">
        <v>83</v>
      </c>
      <c r="G621" s="32" t="str">
        <f>IFERROR(VLOOKUP(F621,Productos!$A$2:$D$258,2,0)," ")</f>
        <v>Desk Pad B Negro Azul</v>
      </c>
      <c r="H621" s="7">
        <v>1</v>
      </c>
      <c r="I621" s="32" t="str">
        <f>IFERROR(VLOOKUP(F621,Productos!$A$2:$D$258,3,0)," ")</f>
        <v>Accesorio</v>
      </c>
      <c r="J621" s="182" t="s">
        <v>24</v>
      </c>
      <c r="K621" s="182" t="s">
        <v>209</v>
      </c>
      <c r="L621" s="26" t="str">
        <f t="shared" si="86"/>
        <v>Despachado</v>
      </c>
      <c r="M621" s="56" t="s">
        <v>238</v>
      </c>
      <c r="N621" s="139" t="s">
        <v>1285</v>
      </c>
      <c r="O621" s="150">
        <v>45846</v>
      </c>
      <c r="P621" s="151">
        <v>45847</v>
      </c>
      <c r="Q621" s="24" t="str">
        <f t="shared" si="82"/>
        <v>Entregado</v>
      </c>
      <c r="R621" s="25">
        <f>IF(L621="Despachado",NETWORKDAYS.INTL(A621,O621,11,Valores!$A$2:$A$18)-1,"PTE")</f>
        <v>1</v>
      </c>
      <c r="S621" s="25">
        <f>IF(Q621="Entregado",NETWORKDAYS.INTL(A621,P621,11,Valores!$A$2:$A$18)-1,"PTE")</f>
        <v>2</v>
      </c>
      <c r="T621" s="25"/>
      <c r="U621" s="25"/>
      <c r="V621" s="25" t="str">
        <f>IF(Q621="Entregado",IF(S621&lt;=VLOOKUP(K621,Valores!E:F,2,0),"Cumple","No cumple"),"PTE")</f>
        <v>Cumple</v>
      </c>
      <c r="W621" s="25"/>
      <c r="X621" s="29">
        <v>23975</v>
      </c>
      <c r="Y621" s="224"/>
      <c r="Z621" s="28"/>
    </row>
    <row r="622" spans="1:26" hidden="1" x14ac:dyDescent="0.3">
      <c r="A622" s="34">
        <v>45845</v>
      </c>
      <c r="B622" s="7" t="str">
        <f t="shared" si="85"/>
        <v>julio</v>
      </c>
      <c r="C622" s="27">
        <v>100031</v>
      </c>
      <c r="D622" s="23" t="s">
        <v>20</v>
      </c>
      <c r="E622" s="181" t="s">
        <v>1117</v>
      </c>
      <c r="F622" s="40" t="s">
        <v>240</v>
      </c>
      <c r="G622" s="32" t="str">
        <f>IFERROR(VLOOKUP(F622,Productos!$A$2:$D$258,2,0)," ")</f>
        <v>Bandeja de cables</v>
      </c>
      <c r="H622" s="7">
        <v>1</v>
      </c>
      <c r="I622" s="32" t="str">
        <f>IFERROR(VLOOKUP(F622,Productos!$A$2:$D$258,3,0)," ")</f>
        <v>Accesorio</v>
      </c>
      <c r="J622" s="182" t="s">
        <v>24</v>
      </c>
      <c r="K622" s="182" t="s">
        <v>209</v>
      </c>
      <c r="L622" s="26" t="str">
        <f t="shared" si="86"/>
        <v>Despachado</v>
      </c>
      <c r="M622" s="56" t="s">
        <v>238</v>
      </c>
      <c r="N622" s="139" t="s">
        <v>1286</v>
      </c>
      <c r="O622" s="150">
        <v>45846</v>
      </c>
      <c r="P622" s="151">
        <v>45847</v>
      </c>
      <c r="Q622" s="24" t="str">
        <f t="shared" si="82"/>
        <v>Entregado</v>
      </c>
      <c r="R622" s="25">
        <f>IF(L622="Despachado",NETWORKDAYS.INTL(A622,O622,11,Valores!$A$2:$A$18)-1,"PTE")</f>
        <v>1</v>
      </c>
      <c r="S622" s="25">
        <f>IF(Q622="Entregado",NETWORKDAYS.INTL(A622,P622,11,Valores!$A$2:$A$18)-1,"PTE")</f>
        <v>2</v>
      </c>
      <c r="T622" s="25"/>
      <c r="U622" s="25"/>
      <c r="V622" s="25" t="str">
        <f>IF(Q622="Entregado",IF(S622&lt;=VLOOKUP(K622,Valores!E:F,2,0),"Cumple","No cumple"),"PTE")</f>
        <v>Cumple</v>
      </c>
      <c r="W622" s="25"/>
      <c r="X622" s="29">
        <v>25429</v>
      </c>
      <c r="Y622" s="224"/>
      <c r="Z622" s="28"/>
    </row>
    <row r="623" spans="1:26" hidden="1" x14ac:dyDescent="0.3">
      <c r="A623" s="34">
        <v>45845</v>
      </c>
      <c r="B623" s="7" t="str">
        <f t="shared" si="85"/>
        <v>julio</v>
      </c>
      <c r="C623" s="27">
        <v>100031</v>
      </c>
      <c r="D623" s="23" t="s">
        <v>20</v>
      </c>
      <c r="E623" s="181" t="s">
        <v>1117</v>
      </c>
      <c r="F623" s="22"/>
      <c r="G623" s="32" t="s">
        <v>1796</v>
      </c>
      <c r="H623" s="7">
        <v>1</v>
      </c>
      <c r="I623" s="32" t="s">
        <v>327</v>
      </c>
      <c r="J623" s="182" t="s">
        <v>24</v>
      </c>
      <c r="K623" s="182" t="s">
        <v>209</v>
      </c>
      <c r="L623" s="26" t="str">
        <f t="shared" si="86"/>
        <v>Despachado</v>
      </c>
      <c r="M623" s="56" t="s">
        <v>241</v>
      </c>
      <c r="N623" s="187" t="s">
        <v>241</v>
      </c>
      <c r="O623" s="188" t="s">
        <v>241</v>
      </c>
      <c r="P623" s="189" t="s">
        <v>241</v>
      </c>
      <c r="Q623" s="24" t="str">
        <f t="shared" si="82"/>
        <v>Entregado</v>
      </c>
      <c r="R623" s="25" t="e">
        <f>IF(L623="Despachado",NETWORKDAYS.INTL(A623,O623,11,Valores!$A$2:$A$18)-1,"PTE")</f>
        <v>#VALUE!</v>
      </c>
      <c r="S623" s="25" t="e">
        <f>IF(Q623="Entregado",NETWORKDAYS.INTL(A623,P623,11,Valores!$A$2:$A$18)-1,"PTE")</f>
        <v>#VALUE!</v>
      </c>
      <c r="T623" s="25"/>
      <c r="U623" s="25"/>
      <c r="V623" s="25" t="e">
        <f>IF(Q623="Entregado",IF(S623&lt;=VLOOKUP(K623,Valores!E:F,2,0),"Cumple","No cumple"),"PTE")</f>
        <v>#VALUE!</v>
      </c>
      <c r="W623" s="25"/>
      <c r="X623" s="29"/>
      <c r="Y623" s="224"/>
      <c r="Z623" s="28"/>
    </row>
    <row r="624" spans="1:26" hidden="1" x14ac:dyDescent="0.3">
      <c r="A624" s="34">
        <v>45847</v>
      </c>
      <c r="B624" s="7" t="str">
        <f t="shared" si="85"/>
        <v>julio</v>
      </c>
      <c r="C624" s="27">
        <v>100032</v>
      </c>
      <c r="D624" s="23" t="s">
        <v>20</v>
      </c>
      <c r="E624" s="181" t="s">
        <v>1118</v>
      </c>
      <c r="F624" s="40" t="s">
        <v>129</v>
      </c>
      <c r="G624" s="32" t="str">
        <f>IFERROR(VLOOKUP(F624,Productos!$A$2:$D$258,2,0)," ")</f>
        <v>Electric Standing Desk  PRO Negro</v>
      </c>
      <c r="H624" s="7">
        <v>1</v>
      </c>
      <c r="I624" s="32" t="str">
        <f>IFERROR(VLOOKUP(F624,Productos!$A$2:$D$258,3,0)," ")</f>
        <v>Standing Desk</v>
      </c>
      <c r="J624" s="139" t="s">
        <v>21</v>
      </c>
      <c r="K624" s="182" t="s">
        <v>22</v>
      </c>
      <c r="L624" s="26" t="str">
        <f t="shared" si="86"/>
        <v>Despachado</v>
      </c>
      <c r="M624" s="56" t="s">
        <v>238</v>
      </c>
      <c r="N624" s="139" t="s">
        <v>1287</v>
      </c>
      <c r="O624" s="150">
        <v>45847</v>
      </c>
      <c r="P624" s="151">
        <v>45849</v>
      </c>
      <c r="Q624" s="24" t="str">
        <f t="shared" si="82"/>
        <v>Entregado</v>
      </c>
      <c r="R624" s="25">
        <f>IF(L624="Despachado",NETWORKDAYS.INTL(A624,O624,11,Valores!$A$2:$A$18)-1,"PTE")</f>
        <v>0</v>
      </c>
      <c r="S624" s="25">
        <f>IF(Q624="Entregado",NETWORKDAYS.INTL(A624,P624,11,Valores!$A$2:$A$18)-1,"PTE")</f>
        <v>2</v>
      </c>
      <c r="T624" s="25"/>
      <c r="U624" s="25"/>
      <c r="V624" s="25" t="str">
        <f>IF(Q624="Entregado",IF(S624&lt;=VLOOKUP(K624,Valores!E:F,2,0),"Cumple","No cumple"),"PTE")</f>
        <v>Cumple</v>
      </c>
      <c r="W624" s="25"/>
      <c r="X624" s="29">
        <v>42921</v>
      </c>
      <c r="Y624" s="224"/>
      <c r="Z624" s="28"/>
    </row>
    <row r="625" spans="1:26" hidden="1" x14ac:dyDescent="0.3">
      <c r="A625" s="34">
        <v>45847</v>
      </c>
      <c r="B625" s="7" t="str">
        <f t="shared" ref="B625:B630" si="87">TEXT(A625,"mmmm")</f>
        <v>julio</v>
      </c>
      <c r="C625" s="27">
        <v>100033</v>
      </c>
      <c r="D625" s="23" t="s">
        <v>20</v>
      </c>
      <c r="E625" s="181" t="s">
        <v>1119</v>
      </c>
      <c r="F625" s="22" t="s">
        <v>133</v>
      </c>
      <c r="G625" s="32" t="str">
        <f>IFERROR(VLOOKUP(F625,Productos!$A$2:$D$258,2,0)," ")</f>
        <v>Electric Standing Desk  PRO Blanco</v>
      </c>
      <c r="H625" s="7">
        <v>1</v>
      </c>
      <c r="I625" s="32" t="str">
        <f>IFERROR(VLOOKUP(F625,Productos!$A$2:$D$258,3,0)," ")</f>
        <v>Standing Desk</v>
      </c>
      <c r="J625" s="139" t="s">
        <v>21</v>
      </c>
      <c r="K625" s="182" t="s">
        <v>22</v>
      </c>
      <c r="L625" s="26" t="str">
        <f t="shared" ref="L625:L630" si="88">IF(O625&gt;0,"Despachado","En alistamiento")</f>
        <v>Despachado</v>
      </c>
      <c r="M625" s="56" t="s">
        <v>238</v>
      </c>
      <c r="N625" s="139" t="s">
        <v>1288</v>
      </c>
      <c r="O625" s="150">
        <v>45847</v>
      </c>
      <c r="P625" s="151">
        <v>45848</v>
      </c>
      <c r="Q625" s="24" t="str">
        <f t="shared" si="82"/>
        <v>Entregado</v>
      </c>
      <c r="R625" s="25">
        <f>IF(L625="Despachado",NETWORKDAYS.INTL(A625,O625,11,Valores!$A$2:$A$18)-1,"PTE")</f>
        <v>0</v>
      </c>
      <c r="S625" s="25">
        <f>IF(Q625="Entregado",NETWORKDAYS.INTL(A625,P625,11,Valores!$A$2:$A$18)-1,"PTE")</f>
        <v>1</v>
      </c>
      <c r="T625" s="25"/>
      <c r="U625" s="25"/>
      <c r="V625" s="25" t="str">
        <f>IF(Q625="Entregado",IF(S625&lt;=VLOOKUP(K625,Valores!E:F,2,0),"Cumple","No cumple"),"PTE")</f>
        <v>Cumple</v>
      </c>
      <c r="W625" s="25"/>
      <c r="X625" s="29">
        <v>41593</v>
      </c>
      <c r="Y625" s="224"/>
      <c r="Z625" s="28"/>
    </row>
    <row r="626" spans="1:26" hidden="1" x14ac:dyDescent="0.3">
      <c r="A626" s="34">
        <v>45847</v>
      </c>
      <c r="B626" s="7" t="str">
        <f t="shared" si="87"/>
        <v>julio</v>
      </c>
      <c r="C626" s="27">
        <v>100033</v>
      </c>
      <c r="D626" s="23" t="s">
        <v>20</v>
      </c>
      <c r="E626" s="181" t="s">
        <v>1119</v>
      </c>
      <c r="F626" s="22" t="s">
        <v>304</v>
      </c>
      <c r="G626" s="32" t="str">
        <f>IFERROR(VLOOKUP(F626,Productos!$A$2:$D$258,2,0)," ")</f>
        <v>Superficie  Fresno Europeo 150x70 Clasico</v>
      </c>
      <c r="H626" s="7">
        <v>1</v>
      </c>
      <c r="I626" s="32" t="str">
        <f>IFERROR(VLOOKUP(F626,Productos!$A$2:$D$258,3,0)," ")</f>
        <v>Superficie</v>
      </c>
      <c r="J626" s="139" t="s">
        <v>21</v>
      </c>
      <c r="K626" s="182" t="s">
        <v>22</v>
      </c>
      <c r="L626" s="26" t="str">
        <f t="shared" si="88"/>
        <v>Despachado</v>
      </c>
      <c r="M626" s="56" t="s">
        <v>238</v>
      </c>
      <c r="N626" s="139" t="s">
        <v>1289</v>
      </c>
      <c r="O626" s="150">
        <v>45847</v>
      </c>
      <c r="P626" s="151">
        <v>45848</v>
      </c>
      <c r="Q626" s="24" t="str">
        <f t="shared" si="82"/>
        <v>Entregado</v>
      </c>
      <c r="R626" s="25">
        <f>IF(L626="Despachado",NETWORKDAYS.INTL(A626,O626,11,Valores!$A$2:$A$18)-1,"PTE")</f>
        <v>0</v>
      </c>
      <c r="S626" s="25">
        <f>IF(Q626="Entregado",NETWORKDAYS.INTL(A626,P626,11,Valores!$A$2:$A$18)-1,"PTE")</f>
        <v>1</v>
      </c>
      <c r="T626" s="25"/>
      <c r="U626" s="25"/>
      <c r="V626" s="25" t="str">
        <f>IF(Q626="Entregado",IF(S626&lt;=VLOOKUP(K626,Valores!E:F,2,0),"Cumple","No cumple"),"PTE")</f>
        <v>Cumple</v>
      </c>
      <c r="W626" s="25"/>
      <c r="X626" s="29">
        <v>24093</v>
      </c>
      <c r="Y626" s="224"/>
      <c r="Z626" s="28"/>
    </row>
    <row r="627" spans="1:26" hidden="1" x14ac:dyDescent="0.3">
      <c r="A627" s="34">
        <v>45847</v>
      </c>
      <c r="B627" s="7" t="str">
        <f t="shared" si="87"/>
        <v>julio</v>
      </c>
      <c r="C627" s="27">
        <v>100033</v>
      </c>
      <c r="D627" s="23" t="s">
        <v>20</v>
      </c>
      <c r="E627" s="181" t="s">
        <v>1119</v>
      </c>
      <c r="F627" s="40" t="s">
        <v>240</v>
      </c>
      <c r="G627" s="32" t="str">
        <f>IFERROR(VLOOKUP(F627,Productos!$A$2:$D$258,2,0)," ")</f>
        <v>Bandeja de cables</v>
      </c>
      <c r="H627" s="7">
        <v>1</v>
      </c>
      <c r="I627" s="32" t="str">
        <f>IFERROR(VLOOKUP(F627,Productos!$A$2:$D$258,3,0)," ")</f>
        <v>Accesorio</v>
      </c>
      <c r="J627" s="139" t="s">
        <v>21</v>
      </c>
      <c r="K627" s="182" t="s">
        <v>22</v>
      </c>
      <c r="L627" s="26" t="str">
        <f t="shared" si="88"/>
        <v>Despachado</v>
      </c>
      <c r="M627" s="56" t="s">
        <v>238</v>
      </c>
      <c r="N627" s="139" t="s">
        <v>1290</v>
      </c>
      <c r="O627" s="150">
        <v>45847</v>
      </c>
      <c r="P627" s="151">
        <v>45848</v>
      </c>
      <c r="Q627" s="24" t="str">
        <f t="shared" si="82"/>
        <v>Entregado</v>
      </c>
      <c r="R627" s="25">
        <f>IF(L627="Despachado",NETWORKDAYS.INTL(A627,O627,11,Valores!$A$2:$A$18)-1,"PTE")</f>
        <v>0</v>
      </c>
      <c r="S627" s="25">
        <f>IF(Q627="Entregado",NETWORKDAYS.INTL(A627,P627,11,Valores!$A$2:$A$18)-1,"PTE")</f>
        <v>1</v>
      </c>
      <c r="T627" s="25"/>
      <c r="U627" s="25"/>
      <c r="V627" s="25" t="str">
        <f>IF(Q627="Entregado",IF(S627&lt;=VLOOKUP(K627,Valores!E:F,2,0),"Cumple","No cumple"),"PTE")</f>
        <v>Cumple</v>
      </c>
      <c r="W627" s="25"/>
      <c r="X627" s="29">
        <v>25429</v>
      </c>
      <c r="Y627" s="224"/>
      <c r="Z627" s="28"/>
    </row>
    <row r="628" spans="1:26" hidden="1" x14ac:dyDescent="0.3">
      <c r="A628" s="34">
        <v>45847</v>
      </c>
      <c r="B628" s="7" t="str">
        <f t="shared" si="87"/>
        <v>julio</v>
      </c>
      <c r="C628" s="27">
        <v>100033</v>
      </c>
      <c r="D628" s="23" t="s">
        <v>20</v>
      </c>
      <c r="E628" s="181" t="s">
        <v>1119</v>
      </c>
      <c r="F628" s="22" t="s">
        <v>83</v>
      </c>
      <c r="G628" s="32" t="str">
        <f>IFERROR(VLOOKUP(F628,Productos!$A$2:$D$258,2,0)," ")</f>
        <v>Desk Pad B Negro Azul</v>
      </c>
      <c r="H628" s="7">
        <v>1</v>
      </c>
      <c r="I628" s="32" t="str">
        <f>IFERROR(VLOOKUP(F628,Productos!$A$2:$D$258,3,0)," ")</f>
        <v>Accesorio</v>
      </c>
      <c r="J628" s="139" t="s">
        <v>21</v>
      </c>
      <c r="K628" s="182" t="s">
        <v>22</v>
      </c>
      <c r="L628" s="26" t="str">
        <f t="shared" si="88"/>
        <v>Despachado</v>
      </c>
      <c r="M628" s="56" t="s">
        <v>238</v>
      </c>
      <c r="N628" s="139" t="s">
        <v>1291</v>
      </c>
      <c r="O628" s="150">
        <v>45847</v>
      </c>
      <c r="P628" s="151">
        <v>45848</v>
      </c>
      <c r="Q628" s="24" t="str">
        <f t="shared" si="82"/>
        <v>Entregado</v>
      </c>
      <c r="R628" s="25">
        <f>IF(L628="Despachado",NETWORKDAYS.INTL(A628,O628,11,Valores!$A$2:$A$18)-1,"PTE")</f>
        <v>0</v>
      </c>
      <c r="S628" s="25">
        <f>IF(Q628="Entregado",NETWORKDAYS.INTL(A628,P628,11,Valores!$A$2:$A$18)-1,"PTE")</f>
        <v>1</v>
      </c>
      <c r="T628" s="25"/>
      <c r="U628" s="25"/>
      <c r="V628" s="25" t="str">
        <f>IF(Q628="Entregado",IF(S628&lt;=VLOOKUP(K628,Valores!E:F,2,0),"Cumple","No cumple"),"PTE")</f>
        <v>Cumple</v>
      </c>
      <c r="W628" s="25"/>
      <c r="X628" s="29">
        <v>19131</v>
      </c>
      <c r="Y628" s="224"/>
      <c r="Z628" s="28"/>
    </row>
    <row r="629" spans="1:26" hidden="1" x14ac:dyDescent="0.3">
      <c r="A629" s="34">
        <v>45847</v>
      </c>
      <c r="B629" s="7" t="str">
        <f t="shared" si="87"/>
        <v>julio</v>
      </c>
      <c r="C629" s="27">
        <v>100033</v>
      </c>
      <c r="D629" s="23" t="s">
        <v>20</v>
      </c>
      <c r="E629" s="181" t="s">
        <v>1119</v>
      </c>
      <c r="F629" s="22" t="s">
        <v>567</v>
      </c>
      <c r="G629" s="32" t="str">
        <f>IFERROR(VLOOKUP(F629,Productos!$A$2:$D$258,2,0)," ")</f>
        <v>Archivador TECU Fresno Europeo</v>
      </c>
      <c r="H629" s="7">
        <v>1</v>
      </c>
      <c r="I629" s="32" t="str">
        <f>IFERROR(VLOOKUP(F629,Productos!$A$2:$D$258,3,0)," ")</f>
        <v>Archivador</v>
      </c>
      <c r="J629" s="139" t="s">
        <v>21</v>
      </c>
      <c r="K629" s="182" t="s">
        <v>22</v>
      </c>
      <c r="L629" s="26" t="str">
        <f t="shared" si="88"/>
        <v>Despachado</v>
      </c>
      <c r="M629" s="56" t="s">
        <v>239</v>
      </c>
      <c r="N629" s="139" t="s">
        <v>1292</v>
      </c>
      <c r="O629" s="150">
        <v>45847</v>
      </c>
      <c r="P629" s="151">
        <v>45848</v>
      </c>
      <c r="Q629" s="24" t="str">
        <f t="shared" si="82"/>
        <v>Entregado</v>
      </c>
      <c r="R629" s="25">
        <f>IF(L629="Despachado",NETWORKDAYS.INTL(A629,O629,11,Valores!$A$2:$A$18)-1,"PTE")</f>
        <v>0</v>
      </c>
      <c r="S629" s="25">
        <f>IF(Q629="Entregado",NETWORKDAYS.INTL(A629,P629,11,Valores!$A$2:$A$18)-1,"PTE")</f>
        <v>1</v>
      </c>
      <c r="T629" s="25"/>
      <c r="U629" s="25"/>
      <c r="V629" s="25" t="str">
        <f>IF(Q629="Entregado",IF(S629&lt;=VLOOKUP(K629,Valores!E:F,2,0),"Cumple","No cumple"),"PTE")</f>
        <v>Cumple</v>
      </c>
      <c r="W629" s="25"/>
      <c r="X629" s="29">
        <v>54929</v>
      </c>
      <c r="Y629" s="224"/>
      <c r="Z629" s="28"/>
    </row>
    <row r="630" spans="1:26" hidden="1" x14ac:dyDescent="0.3">
      <c r="A630" s="34">
        <v>45847</v>
      </c>
      <c r="B630" s="7" t="str">
        <f t="shared" si="87"/>
        <v>julio</v>
      </c>
      <c r="C630" s="27">
        <v>100033</v>
      </c>
      <c r="D630" s="23" t="s">
        <v>20</v>
      </c>
      <c r="E630" s="181" t="s">
        <v>1119</v>
      </c>
      <c r="F630" s="22"/>
      <c r="G630" s="32" t="s">
        <v>1796</v>
      </c>
      <c r="H630" s="7">
        <v>1</v>
      </c>
      <c r="I630" s="32" t="s">
        <v>327</v>
      </c>
      <c r="J630" s="139" t="s">
        <v>21</v>
      </c>
      <c r="K630" s="182" t="s">
        <v>22</v>
      </c>
      <c r="L630" s="26" t="str">
        <f t="shared" si="88"/>
        <v>Despachado</v>
      </c>
      <c r="M630" s="56" t="s">
        <v>241</v>
      </c>
      <c r="N630" s="187" t="s">
        <v>241</v>
      </c>
      <c r="O630" s="188" t="s">
        <v>241</v>
      </c>
      <c r="P630" s="189" t="s">
        <v>241</v>
      </c>
      <c r="Q630" s="24" t="str">
        <f t="shared" si="82"/>
        <v>Entregado</v>
      </c>
      <c r="R630" s="25" t="e">
        <f>IF(L630="Despachado",NETWORKDAYS.INTL(A630,O630,11,Valores!$A$2:$A$18)-1,"PTE")</f>
        <v>#VALUE!</v>
      </c>
      <c r="S630" s="25" t="e">
        <f>IF(Q630="Entregado",NETWORKDAYS.INTL(A630,P630,11,Valores!$A$2:$A$18)-1,"PTE")</f>
        <v>#VALUE!</v>
      </c>
      <c r="T630" s="25"/>
      <c r="U630" s="25"/>
      <c r="V630" s="25" t="e">
        <f>IF(Q630="Entregado",IF(S630&lt;=VLOOKUP(K630,Valores!E:F,2,0),"Cumple","No cumple"),"PTE")</f>
        <v>#VALUE!</v>
      </c>
      <c r="W630" s="25"/>
      <c r="X630" s="29">
        <v>0</v>
      </c>
      <c r="Y630" s="224"/>
      <c r="Z630" s="28"/>
    </row>
    <row r="631" spans="1:26" hidden="1" x14ac:dyDescent="0.3">
      <c r="A631" s="34">
        <v>45847</v>
      </c>
      <c r="B631" s="7" t="str">
        <f t="shared" ref="B631:B637" si="89">TEXT(A631,"mmmm")</f>
        <v>julio</v>
      </c>
      <c r="C631" s="27">
        <v>100033</v>
      </c>
      <c r="D631" s="23" t="s">
        <v>793</v>
      </c>
      <c r="E631" s="181" t="s">
        <v>1119</v>
      </c>
      <c r="F631" s="22" t="s">
        <v>133</v>
      </c>
      <c r="G631" s="32" t="str">
        <f>IFERROR(VLOOKUP(F631,Productos!$A$2:$D$258,2,0)," ")</f>
        <v>Electric Standing Desk  PRO Blanco</v>
      </c>
      <c r="H631" s="7">
        <v>1</v>
      </c>
      <c r="I631" s="32" t="str">
        <f>IFERROR(VLOOKUP(F631,Productos!$A$2:$D$258,3,0)," ")</f>
        <v>Standing Desk</v>
      </c>
      <c r="J631" s="139" t="s">
        <v>21</v>
      </c>
      <c r="K631" s="182" t="s">
        <v>22</v>
      </c>
      <c r="L631" s="26" t="str">
        <f t="shared" ref="L631:L641" si="90">IF(O631&gt;0,"Despachado","En alistamiento")</f>
        <v>Despachado</v>
      </c>
      <c r="M631" s="56" t="s">
        <v>238</v>
      </c>
      <c r="N631" s="139" t="s">
        <v>1293</v>
      </c>
      <c r="O631" s="151">
        <v>45848</v>
      </c>
      <c r="P631" s="151">
        <v>45849</v>
      </c>
      <c r="Q631" s="24" t="str">
        <f>IF(P631&gt;0,"Entregado","En transito")</f>
        <v>Entregado</v>
      </c>
      <c r="R631" s="25">
        <f>IF(L631="Despachado",NETWORKDAYS.INTL(A631,O631,11,Valores!$A$2:$A$18)-1,"PTE")</f>
        <v>1</v>
      </c>
      <c r="S631" s="25">
        <f>IF(Q631="Entregado",NETWORKDAYS.INTL(A631,P631,11,Valores!$A$2:$A$18)-1,"PTE")</f>
        <v>2</v>
      </c>
      <c r="T631" s="25"/>
      <c r="U631" s="25"/>
      <c r="V631" s="25" t="str">
        <f>IF(Q631="Entregado",IF(S631&lt;=VLOOKUP(K631,Valores!E:F,2,0),"Cumple","No cumple"),"PTE")</f>
        <v>Cumple</v>
      </c>
      <c r="W631" s="25"/>
      <c r="X631" s="29">
        <v>47921</v>
      </c>
      <c r="Y631" s="224"/>
      <c r="Z631" s="28" t="s">
        <v>1430</v>
      </c>
    </row>
    <row r="632" spans="1:26" hidden="1" x14ac:dyDescent="0.3">
      <c r="A632" s="34">
        <v>45847</v>
      </c>
      <c r="B632" s="7" t="str">
        <f t="shared" si="89"/>
        <v>julio</v>
      </c>
      <c r="C632" s="27">
        <v>100034</v>
      </c>
      <c r="D632" s="23" t="s">
        <v>20</v>
      </c>
      <c r="E632" s="181" t="s">
        <v>1120</v>
      </c>
      <c r="F632" s="22" t="s">
        <v>567</v>
      </c>
      <c r="G632" s="32" t="str">
        <f>IFERROR(VLOOKUP(F632,Productos!$A$2:$D$258,2,0)," ")</f>
        <v>Archivador TECU Fresno Europeo</v>
      </c>
      <c r="H632" s="7">
        <v>1</v>
      </c>
      <c r="I632" s="32" t="str">
        <f>IFERROR(VLOOKUP(F632,Productos!$A$2:$D$258,3,0)," ")</f>
        <v>Archivador</v>
      </c>
      <c r="J632" s="139" t="s">
        <v>21</v>
      </c>
      <c r="K632" s="182" t="s">
        <v>22</v>
      </c>
      <c r="L632" s="26" t="str">
        <f t="shared" si="90"/>
        <v>Despachado</v>
      </c>
      <c r="M632" s="56" t="s">
        <v>239</v>
      </c>
      <c r="N632" s="139" t="s">
        <v>1294</v>
      </c>
      <c r="O632" s="150">
        <v>45852</v>
      </c>
      <c r="P632" s="151">
        <v>45853</v>
      </c>
      <c r="Q632" s="24" t="str">
        <f t="shared" si="82"/>
        <v>Entregado</v>
      </c>
      <c r="R632" s="25">
        <f>IF(L632="Despachado",NETWORKDAYS.INTL(A632,O632,11,Valores!$A$2:$A$18)-1,"PTE")</f>
        <v>4</v>
      </c>
      <c r="S632" s="25">
        <f>IF(Q632="Entregado",NETWORKDAYS.INTL(A632,P632,11,Valores!$A$2:$A$18)-1,"PTE")</f>
        <v>5</v>
      </c>
      <c r="T632" s="25"/>
      <c r="U632" s="25"/>
      <c r="V632" s="25" t="str">
        <f>IF(Q632="Entregado",IF(S632&lt;=VLOOKUP(K632,Valores!E:F,2,0),"Cumple","No cumple"),"PTE")</f>
        <v>No cumple</v>
      </c>
      <c r="W632" s="25"/>
      <c r="X632" s="29">
        <v>54929</v>
      </c>
      <c r="Y632" s="224"/>
      <c r="Z632" s="28"/>
    </row>
    <row r="633" spans="1:26" hidden="1" x14ac:dyDescent="0.3">
      <c r="A633" s="34">
        <v>45847</v>
      </c>
      <c r="B633" s="7" t="str">
        <f t="shared" si="89"/>
        <v>julio</v>
      </c>
      <c r="C633" s="27">
        <v>100036</v>
      </c>
      <c r="D633" s="23" t="s">
        <v>20</v>
      </c>
      <c r="E633" s="181" t="s">
        <v>1121</v>
      </c>
      <c r="F633" s="40" t="s">
        <v>129</v>
      </c>
      <c r="G633" s="32" t="str">
        <f>IFERROR(VLOOKUP(F633,Productos!$A$2:$D$258,2,0)," ")</f>
        <v>Electric Standing Desk  PRO Negro</v>
      </c>
      <c r="H633" s="7">
        <v>1</v>
      </c>
      <c r="I633" s="32" t="str">
        <f>IFERROR(VLOOKUP(F633,Productos!$A$2:$D$258,3,0)," ")</f>
        <v>Standing Desk</v>
      </c>
      <c r="J633" s="139" t="s">
        <v>21</v>
      </c>
      <c r="K633" s="182" t="s">
        <v>22</v>
      </c>
      <c r="L633" s="26" t="str">
        <f t="shared" si="90"/>
        <v>Despachado</v>
      </c>
      <c r="M633" s="56" t="s">
        <v>238</v>
      </c>
      <c r="N633" s="139" t="s">
        <v>1295</v>
      </c>
      <c r="O633" s="150">
        <v>45847</v>
      </c>
      <c r="P633" s="151">
        <v>45848</v>
      </c>
      <c r="Q633" s="24" t="str">
        <f t="shared" si="82"/>
        <v>Entregado</v>
      </c>
      <c r="R633" s="25">
        <f>IF(L633="Despachado",NETWORKDAYS.INTL(A633,O633,11,Valores!$A$2:$A$18)-1,"PTE")</f>
        <v>0</v>
      </c>
      <c r="S633" s="25">
        <f>IF(Q633="Entregado",NETWORKDAYS.INTL(A633,P633,11,Valores!$A$2:$A$18)-1,"PTE")</f>
        <v>1</v>
      </c>
      <c r="T633" s="25"/>
      <c r="U633" s="25"/>
      <c r="V633" s="25" t="str">
        <f>IF(Q633="Entregado",IF(S633&lt;=VLOOKUP(K633,Valores!E:F,2,0),"Cumple","No cumple"),"PTE")</f>
        <v>Cumple</v>
      </c>
      <c r="W633" s="25"/>
      <c r="X633" s="29">
        <v>41593</v>
      </c>
      <c r="Y633" s="224"/>
      <c r="Z633" s="28"/>
    </row>
    <row r="634" spans="1:26" hidden="1" x14ac:dyDescent="0.3">
      <c r="A634" s="34">
        <v>45847</v>
      </c>
      <c r="B634" s="7" t="str">
        <f t="shared" si="89"/>
        <v>julio</v>
      </c>
      <c r="C634" s="27">
        <v>100036</v>
      </c>
      <c r="D634" s="23" t="s">
        <v>20</v>
      </c>
      <c r="E634" s="181" t="s">
        <v>1121</v>
      </c>
      <c r="F634" s="22" t="s">
        <v>306</v>
      </c>
      <c r="G634" s="32" t="str">
        <f>IFERROR(VLOOKUP(F634,Productos!$A$2:$D$258,2,0)," ")</f>
        <v>Superficie  Fresno Europeo 170x70 Clasico</v>
      </c>
      <c r="H634" s="7">
        <v>1</v>
      </c>
      <c r="I634" s="32" t="str">
        <f>IFERROR(VLOOKUP(F634,Productos!$A$2:$D$258,3,0)," ")</f>
        <v>Superficie</v>
      </c>
      <c r="J634" s="139" t="s">
        <v>21</v>
      </c>
      <c r="K634" s="182" t="s">
        <v>22</v>
      </c>
      <c r="L634" s="26" t="str">
        <f t="shared" si="90"/>
        <v>Despachado</v>
      </c>
      <c r="M634" s="56" t="s">
        <v>238</v>
      </c>
      <c r="N634" s="139" t="s">
        <v>1296</v>
      </c>
      <c r="O634" s="150">
        <v>45847</v>
      </c>
      <c r="P634" s="151">
        <v>45849</v>
      </c>
      <c r="Q634" s="24" t="str">
        <f t="shared" si="82"/>
        <v>Entregado</v>
      </c>
      <c r="R634" s="25">
        <f>IF(L634="Despachado",NETWORKDAYS.INTL(A634,O634,11,Valores!$A$2:$A$18)-1,"PTE")</f>
        <v>0</v>
      </c>
      <c r="S634" s="25">
        <f>IF(Q634="Entregado",NETWORKDAYS.INTL(A634,P634,11,Valores!$A$2:$A$18)-1,"PTE")</f>
        <v>2</v>
      </c>
      <c r="T634" s="25"/>
      <c r="U634" s="25"/>
      <c r="V634" s="25" t="str">
        <f>IF(Q634="Entregado",IF(S634&lt;=VLOOKUP(K634,Valores!E:F,2,0),"Cumple","No cumple"),"PTE")</f>
        <v>Cumple</v>
      </c>
      <c r="W634" s="25"/>
      <c r="X634" s="29">
        <v>26749</v>
      </c>
      <c r="Y634" s="224"/>
      <c r="Z634" s="28"/>
    </row>
    <row r="635" spans="1:26" hidden="1" x14ac:dyDescent="0.3">
      <c r="A635" s="34">
        <v>45847</v>
      </c>
      <c r="B635" s="7" t="str">
        <f t="shared" si="89"/>
        <v>julio</v>
      </c>
      <c r="C635" s="27">
        <v>100036</v>
      </c>
      <c r="D635" s="23" t="s">
        <v>793</v>
      </c>
      <c r="E635" s="181" t="s">
        <v>1121</v>
      </c>
      <c r="F635" s="40" t="s">
        <v>129</v>
      </c>
      <c r="G635" s="32" t="str">
        <f>IFERROR(VLOOKUP(F635,Productos!$A$2:$D$258,2,0)," ")</f>
        <v>Electric Standing Desk  PRO Negro</v>
      </c>
      <c r="H635" s="7">
        <v>1</v>
      </c>
      <c r="I635" s="32" t="str">
        <f>IFERROR(VLOOKUP(F635,Productos!$A$2:$D$258,3,0)," ")</f>
        <v>Standing Desk</v>
      </c>
      <c r="J635" s="139" t="s">
        <v>21</v>
      </c>
      <c r="K635" s="182" t="s">
        <v>22</v>
      </c>
      <c r="L635" s="26" t="str">
        <f t="shared" si="90"/>
        <v>Despachado</v>
      </c>
      <c r="M635" s="56" t="s">
        <v>238</v>
      </c>
      <c r="N635" s="139" t="s">
        <v>1297</v>
      </c>
      <c r="O635" s="150">
        <v>45848</v>
      </c>
      <c r="P635" s="151">
        <v>45849</v>
      </c>
      <c r="Q635" s="24" t="str">
        <f>IF(P635&gt;0,"Entregado","En transito")</f>
        <v>Entregado</v>
      </c>
      <c r="R635" s="25">
        <f>IF(L635="Despachado",NETWORKDAYS.INTL(A635,O635,11,Valores!$A$2:$A$18)-1,"PTE")</f>
        <v>1</v>
      </c>
      <c r="S635" s="25">
        <f>IF(Q635="Entregado",NETWORKDAYS.INTL(A635,P635,11,Valores!$A$2:$A$18)-1,"PTE")</f>
        <v>2</v>
      </c>
      <c r="T635" s="25"/>
      <c r="U635" s="25"/>
      <c r="V635" s="25" t="str">
        <f>IF(Q635="Entregado",IF(S635&lt;=VLOOKUP(K635,Valores!E:F,2,0),"Cumple","No cumple"),"PTE")</f>
        <v>Cumple</v>
      </c>
      <c r="W635" s="25"/>
      <c r="X635" s="29">
        <v>47921</v>
      </c>
      <c r="Y635" s="224"/>
      <c r="Z635" s="28" t="s">
        <v>1430</v>
      </c>
    </row>
    <row r="636" spans="1:26" hidden="1" x14ac:dyDescent="0.3">
      <c r="A636" s="34">
        <v>45847</v>
      </c>
      <c r="B636" s="7" t="str">
        <f t="shared" si="89"/>
        <v>julio</v>
      </c>
      <c r="C636" s="27">
        <v>100037</v>
      </c>
      <c r="D636" s="23" t="s">
        <v>20</v>
      </c>
      <c r="E636" s="181" t="s">
        <v>1122</v>
      </c>
      <c r="F636" s="40" t="s">
        <v>123</v>
      </c>
      <c r="G636" s="32" t="str">
        <f>IFERROR(VLOOKUP(F636,Productos!$A$2:$D$258,2,0)," ")</f>
        <v>Electric Standing Desk GO Negro</v>
      </c>
      <c r="H636" s="7">
        <v>1</v>
      </c>
      <c r="I636" s="32" t="str">
        <f>IFERROR(VLOOKUP(F636,Productos!$A$2:$D$258,3,0)," ")</f>
        <v>Standing Desk</v>
      </c>
      <c r="J636" s="182" t="s">
        <v>203</v>
      </c>
      <c r="K636" s="182" t="s">
        <v>219</v>
      </c>
      <c r="L636" s="26" t="str">
        <f t="shared" si="90"/>
        <v>Despachado</v>
      </c>
      <c r="M636" s="56" t="s">
        <v>238</v>
      </c>
      <c r="N636" s="139" t="s">
        <v>1298</v>
      </c>
      <c r="O636" s="150">
        <v>45847</v>
      </c>
      <c r="P636" s="151">
        <v>45848</v>
      </c>
      <c r="Q636" s="24" t="str">
        <f t="shared" si="82"/>
        <v>Entregado</v>
      </c>
      <c r="R636" s="25">
        <f>IF(L636="Despachado",NETWORKDAYS.INTL(A636,O636,11,Valores!$A$2:$A$18)-1,"PTE")</f>
        <v>0</v>
      </c>
      <c r="S636" s="25">
        <f>IF(Q636="Entregado",NETWORKDAYS.INTL(A636,P636,11,Valores!$A$2:$A$18)-1,"PTE")</f>
        <v>1</v>
      </c>
      <c r="T636" s="25"/>
      <c r="U636" s="25"/>
      <c r="V636" s="25" t="str">
        <f>IF(Q636="Entregado",IF(S636&lt;=VLOOKUP(K636,Valores!E:F,2,0),"Cumple","No cumple"),"PTE")</f>
        <v>Cumple</v>
      </c>
      <c r="W636" s="25"/>
      <c r="X636" s="29">
        <v>34156</v>
      </c>
      <c r="Y636" s="224"/>
      <c r="Z636" s="28"/>
    </row>
    <row r="637" spans="1:26" hidden="1" x14ac:dyDescent="0.3">
      <c r="A637" s="34">
        <v>45847</v>
      </c>
      <c r="B637" s="7" t="str">
        <f t="shared" si="89"/>
        <v>julio</v>
      </c>
      <c r="C637" s="27">
        <v>100037</v>
      </c>
      <c r="D637" s="23" t="s">
        <v>20</v>
      </c>
      <c r="E637" s="181" t="s">
        <v>1122</v>
      </c>
      <c r="F637" s="22" t="s">
        <v>143</v>
      </c>
      <c r="G637" s="32" t="str">
        <f>IFERROR(VLOOKUP(F637,Productos!$A$2:$D$258,2,0)," ")</f>
        <v>Superficie  Caramelo 160x70 Clasico</v>
      </c>
      <c r="H637" s="7">
        <v>1</v>
      </c>
      <c r="I637" s="32" t="str">
        <f>IFERROR(VLOOKUP(F637,Productos!$A$2:$D$258,3,0)," ")</f>
        <v>Superficie</v>
      </c>
      <c r="J637" s="182" t="s">
        <v>203</v>
      </c>
      <c r="K637" s="182" t="s">
        <v>219</v>
      </c>
      <c r="L637" s="26" t="str">
        <f t="shared" si="90"/>
        <v>Despachado</v>
      </c>
      <c r="M637" s="56" t="s">
        <v>238</v>
      </c>
      <c r="N637" s="139" t="s">
        <v>1299</v>
      </c>
      <c r="O637" s="150">
        <v>45847</v>
      </c>
      <c r="P637" s="151">
        <v>45848</v>
      </c>
      <c r="Q637" s="24" t="str">
        <f t="shared" si="82"/>
        <v>Entregado</v>
      </c>
      <c r="R637" s="25">
        <f>IF(L637="Despachado",NETWORKDAYS.INTL(A637,O637,11,Valores!$A$2:$A$18)-1,"PTE")</f>
        <v>0</v>
      </c>
      <c r="S637" s="25">
        <f>IF(Q637="Entregado",NETWORKDAYS.INTL(A637,P637,11,Valores!$A$2:$A$18)-1,"PTE")</f>
        <v>1</v>
      </c>
      <c r="T637" s="25"/>
      <c r="U637" s="25"/>
      <c r="V637" s="25" t="str">
        <f>IF(Q637="Entregado",IF(S637&lt;=VLOOKUP(K637,Valores!E:F,2,0),"Cumple","No cumple"),"PTE")</f>
        <v>Cumple</v>
      </c>
      <c r="W637" s="25"/>
      <c r="X637" s="29">
        <v>15194</v>
      </c>
      <c r="Y637" s="224"/>
      <c r="Z637" s="28"/>
    </row>
    <row r="638" spans="1:26" hidden="1" x14ac:dyDescent="0.3">
      <c r="A638" s="34">
        <v>45847</v>
      </c>
      <c r="B638" s="7" t="str">
        <f t="shared" ref="B638:B648" si="91">TEXT(A638,"mmmm")</f>
        <v>julio</v>
      </c>
      <c r="C638" s="27">
        <v>100038</v>
      </c>
      <c r="D638" s="23" t="s">
        <v>20</v>
      </c>
      <c r="E638" s="181" t="s">
        <v>1123</v>
      </c>
      <c r="F638" s="40" t="s">
        <v>129</v>
      </c>
      <c r="G638" s="32" t="str">
        <f>IFERROR(VLOOKUP(F638,Productos!$A$2:$D$258,2,0)," ")</f>
        <v>Electric Standing Desk  PRO Negro</v>
      </c>
      <c r="H638" s="7">
        <v>1</v>
      </c>
      <c r="I638" s="32" t="str">
        <f>IFERROR(VLOOKUP(F638,Productos!$A$2:$D$258,3,0)," ")</f>
        <v>Standing Desk</v>
      </c>
      <c r="J638" s="139" t="s">
        <v>21</v>
      </c>
      <c r="K638" s="182" t="s">
        <v>22</v>
      </c>
      <c r="L638" s="26" t="str">
        <f t="shared" si="90"/>
        <v>Despachado</v>
      </c>
      <c r="M638" s="56" t="s">
        <v>238</v>
      </c>
      <c r="N638" s="139" t="s">
        <v>1301</v>
      </c>
      <c r="O638" s="150">
        <v>45848</v>
      </c>
      <c r="P638" s="151">
        <v>45850</v>
      </c>
      <c r="Q638" s="24" t="str">
        <f t="shared" si="82"/>
        <v>Entregado</v>
      </c>
      <c r="R638" s="25">
        <f>IF(L638="Despachado",NETWORKDAYS.INTL(A638,O638,11,Valores!$A$2:$A$18)-1,"PTE")</f>
        <v>1</v>
      </c>
      <c r="S638" s="25">
        <f>IF(Q638="Entregado",NETWORKDAYS.INTL(A638,P638,11,Valores!$A$2:$A$18)-1,"PTE")</f>
        <v>3</v>
      </c>
      <c r="T638" s="25"/>
      <c r="U638" s="25"/>
      <c r="V638" s="25" t="str">
        <f>IF(Q638="Entregado",IF(S638&lt;=VLOOKUP(K638,Valores!E:F,2,0),"Cumple","No cumple"),"PTE")</f>
        <v>Cumple</v>
      </c>
      <c r="W638" s="25"/>
      <c r="X638" s="29">
        <v>47921</v>
      </c>
      <c r="Y638" s="224"/>
      <c r="Z638" s="28"/>
    </row>
    <row r="639" spans="1:26" hidden="1" x14ac:dyDescent="0.3">
      <c r="A639" s="34">
        <v>45847</v>
      </c>
      <c r="B639" s="7" t="str">
        <f t="shared" si="91"/>
        <v>julio</v>
      </c>
      <c r="C639" s="27">
        <v>100038</v>
      </c>
      <c r="D639" s="23" t="s">
        <v>20</v>
      </c>
      <c r="E639" s="181" t="s">
        <v>1123</v>
      </c>
      <c r="F639" s="22" t="s">
        <v>310</v>
      </c>
      <c r="G639" s="32" t="str">
        <f>IFERROR(VLOOKUP(F639,Productos!$A$2:$D$258,2,0)," ")</f>
        <v>Superficie  Fresno Europeo 160x70 Moderno</v>
      </c>
      <c r="H639" s="7">
        <v>1</v>
      </c>
      <c r="I639" s="32" t="str">
        <f>IFERROR(VLOOKUP(F639,Productos!$A$2:$D$258,3,0)," ")</f>
        <v>Superficie</v>
      </c>
      <c r="J639" s="139" t="s">
        <v>21</v>
      </c>
      <c r="K639" s="182" t="s">
        <v>22</v>
      </c>
      <c r="L639" s="26" t="str">
        <f t="shared" si="90"/>
        <v>Despachado</v>
      </c>
      <c r="M639" s="56" t="s">
        <v>238</v>
      </c>
      <c r="N639" s="139" t="s">
        <v>1300</v>
      </c>
      <c r="O639" s="150">
        <v>45848</v>
      </c>
      <c r="P639" s="151">
        <v>45850</v>
      </c>
      <c r="Q639" s="24" t="str">
        <f t="shared" si="82"/>
        <v>Entregado</v>
      </c>
      <c r="R639" s="25">
        <f>IF(L639="Despachado",NETWORKDAYS.INTL(A639,O639,11,Valores!$A$2:$A$18)-1,"PTE")</f>
        <v>1</v>
      </c>
      <c r="S639" s="25">
        <f>IF(Q639="Entregado",NETWORKDAYS.INTL(A639,P639,11,Valores!$A$2:$A$18)-1,"PTE")</f>
        <v>3</v>
      </c>
      <c r="T639" s="25"/>
      <c r="U639" s="25"/>
      <c r="V639" s="25" t="str">
        <f>IF(Q639="Entregado",IF(S639&lt;=VLOOKUP(K639,Valores!E:F,2,0),"Cumple","No cumple"),"PTE")</f>
        <v>Cumple</v>
      </c>
      <c r="W639" s="25"/>
      <c r="X639" s="29">
        <v>24093</v>
      </c>
      <c r="Y639" s="224"/>
      <c r="Z639" s="28"/>
    </row>
    <row r="640" spans="1:26" hidden="1" x14ac:dyDescent="0.3">
      <c r="A640" s="34">
        <v>45848</v>
      </c>
      <c r="B640" s="7" t="str">
        <f t="shared" si="91"/>
        <v>julio</v>
      </c>
      <c r="C640" s="27">
        <v>100039</v>
      </c>
      <c r="D640" s="23" t="s">
        <v>20</v>
      </c>
      <c r="E640" s="181" t="s">
        <v>1124</v>
      </c>
      <c r="F640" s="40" t="s">
        <v>129</v>
      </c>
      <c r="G640" s="32" t="str">
        <f>IFERROR(VLOOKUP(F640,Productos!$A$2:$D$258,2,0)," ")</f>
        <v>Electric Standing Desk  PRO Negro</v>
      </c>
      <c r="H640" s="7">
        <v>1</v>
      </c>
      <c r="I640" s="32" t="str">
        <f>IFERROR(VLOOKUP(F640,Productos!$A$2:$D$258,3,0)," ")</f>
        <v>Standing Desk</v>
      </c>
      <c r="J640" s="139" t="s">
        <v>21</v>
      </c>
      <c r="K640" s="182" t="s">
        <v>22</v>
      </c>
      <c r="L640" s="26" t="str">
        <f t="shared" si="90"/>
        <v>Despachado</v>
      </c>
      <c r="M640" s="56" t="s">
        <v>238</v>
      </c>
      <c r="N640" s="139" t="s">
        <v>1302</v>
      </c>
      <c r="O640" s="150">
        <v>45855</v>
      </c>
      <c r="P640" s="151">
        <v>45856</v>
      </c>
      <c r="Q640" s="24" t="str">
        <f t="shared" si="82"/>
        <v>Entregado</v>
      </c>
      <c r="R640" s="25">
        <f>IF(L640="Despachado",NETWORKDAYS.INTL(A640,O640,11,Valores!$A$2:$A$18)-1,"PTE")</f>
        <v>6</v>
      </c>
      <c r="S640" s="25">
        <f>IF(Q640="Entregado",NETWORKDAYS.INTL(A640,P640,11,Valores!$A$2:$A$18)-1,"PTE")</f>
        <v>7</v>
      </c>
      <c r="T640" s="25"/>
      <c r="U640" s="25"/>
      <c r="V640" s="25" t="str">
        <f>IF(Q640="Entregado",IF(S640&lt;=VLOOKUP(K640,Valores!E:F,2,0),"Cumple","No cumple"),"PTE")</f>
        <v>No cumple</v>
      </c>
      <c r="W640" s="25"/>
      <c r="X640" s="29">
        <v>41593</v>
      </c>
      <c r="Y640" s="224"/>
      <c r="Z640" s="28"/>
    </row>
    <row r="641" spans="1:26" hidden="1" x14ac:dyDescent="0.3">
      <c r="A641" s="34">
        <v>45848</v>
      </c>
      <c r="B641" s="7" t="str">
        <f t="shared" si="91"/>
        <v>julio</v>
      </c>
      <c r="C641" s="27">
        <v>100039</v>
      </c>
      <c r="D641" s="23" t="s">
        <v>20</v>
      </c>
      <c r="E641" s="181" t="s">
        <v>1124</v>
      </c>
      <c r="F641" s="22" t="s">
        <v>107</v>
      </c>
      <c r="G641" s="32" t="str">
        <f>IFERROR(VLOOKUP(F641,Productos!$A$2:$D$258,2,0)," ")</f>
        <v>Superficie  Caramelo 120x70 Clasico Small</v>
      </c>
      <c r="H641" s="7">
        <v>1</v>
      </c>
      <c r="I641" s="32" t="str">
        <f>IFERROR(VLOOKUP(F641,Productos!$A$2:$D$258,3,0)," ")</f>
        <v>Superficie</v>
      </c>
      <c r="J641" s="139" t="s">
        <v>21</v>
      </c>
      <c r="K641" s="182" t="s">
        <v>22</v>
      </c>
      <c r="L641" s="26" t="str">
        <f t="shared" si="90"/>
        <v>Despachado</v>
      </c>
      <c r="M641" s="56" t="s">
        <v>238</v>
      </c>
      <c r="N641" s="139" t="s">
        <v>1303</v>
      </c>
      <c r="O641" s="150">
        <v>45855</v>
      </c>
      <c r="P641" s="151">
        <v>45856</v>
      </c>
      <c r="Q641" s="24" t="str">
        <f t="shared" si="82"/>
        <v>Entregado</v>
      </c>
      <c r="R641" s="25">
        <f>IF(L641="Despachado",NETWORKDAYS.INTL(A641,O641,11,Valores!$A$2:$A$18)-1,"PTE")</f>
        <v>6</v>
      </c>
      <c r="S641" s="25">
        <f>IF(Q641="Entregado",NETWORKDAYS.INTL(A641,P641,11,Valores!$A$2:$A$18)-1,"PTE")</f>
        <v>7</v>
      </c>
      <c r="T641" s="25"/>
      <c r="U641" s="25"/>
      <c r="V641" s="25" t="str">
        <f>IF(Q641="Entregado",IF(S641&lt;=VLOOKUP(K641,Valores!E:F,2,0),"Cumple","No cumple"),"PTE")</f>
        <v>No cumple</v>
      </c>
      <c r="W641" s="25"/>
      <c r="X641" s="29">
        <v>24093</v>
      </c>
      <c r="Y641" s="224"/>
      <c r="Z641" s="28"/>
    </row>
    <row r="642" spans="1:26" hidden="1" x14ac:dyDescent="0.3">
      <c r="A642" s="34">
        <v>45849</v>
      </c>
      <c r="B642" s="7" t="str">
        <f t="shared" si="91"/>
        <v>julio</v>
      </c>
      <c r="C642" s="27">
        <v>100040</v>
      </c>
      <c r="D642" s="23" t="s">
        <v>20</v>
      </c>
      <c r="E642" s="181" t="s">
        <v>1125</v>
      </c>
      <c r="F642" s="40" t="s">
        <v>129</v>
      </c>
      <c r="G642" s="32" t="str">
        <f>IFERROR(VLOOKUP(F642,Productos!$A$2:$D$258,2,0)," ")</f>
        <v>Electric Standing Desk  PRO Negro</v>
      </c>
      <c r="H642" s="7">
        <v>1</v>
      </c>
      <c r="I642" s="32" t="str">
        <f>IFERROR(VLOOKUP(F642,Productos!$A$2:$D$258,3,0)," ")</f>
        <v>Standing Desk</v>
      </c>
      <c r="J642" s="139" t="s">
        <v>21</v>
      </c>
      <c r="K642" s="182" t="s">
        <v>22</v>
      </c>
      <c r="L642" s="26" t="str">
        <f t="shared" ref="L642:L648" si="92">IF(O642&gt;0,"Despachado","En alistamiento")</f>
        <v>Despachado</v>
      </c>
      <c r="M642" s="56" t="s">
        <v>238</v>
      </c>
      <c r="N642" s="139" t="s">
        <v>1304</v>
      </c>
      <c r="O642" s="150">
        <v>45852</v>
      </c>
      <c r="P642" s="151">
        <v>45853</v>
      </c>
      <c r="Q642" s="24" t="str">
        <f t="shared" si="82"/>
        <v>Entregado</v>
      </c>
      <c r="R642" s="25">
        <f>IF(L642="Despachado",NETWORKDAYS.INTL(A642,O642,11,Valores!$A$2:$A$18)-1,"PTE")</f>
        <v>2</v>
      </c>
      <c r="S642" s="25">
        <f>IF(Q642="Entregado",NETWORKDAYS.INTL(A642,P642,11,Valores!$A$2:$A$18)-1,"PTE")</f>
        <v>3</v>
      </c>
      <c r="T642" s="25"/>
      <c r="U642" s="25"/>
      <c r="V642" s="25" t="str">
        <f>IF(Q642="Entregado",IF(S642&lt;=VLOOKUP(K642,Valores!E:F,2,0),"Cumple","No cumple"),"PTE")</f>
        <v>Cumple</v>
      </c>
      <c r="W642" s="25"/>
      <c r="X642" s="29">
        <v>41593</v>
      </c>
      <c r="Y642" s="224"/>
      <c r="Z642" s="28"/>
    </row>
    <row r="643" spans="1:26" hidden="1" x14ac:dyDescent="0.3">
      <c r="A643" s="34">
        <v>45849</v>
      </c>
      <c r="B643" s="7" t="str">
        <f t="shared" si="91"/>
        <v>julio</v>
      </c>
      <c r="C643" s="27">
        <v>100040</v>
      </c>
      <c r="D643" s="23" t="s">
        <v>20</v>
      </c>
      <c r="E643" s="181" t="s">
        <v>1125</v>
      </c>
      <c r="F643" s="22" t="s">
        <v>155</v>
      </c>
      <c r="G643" s="32" t="str">
        <f>IFERROR(VLOOKUP(F643,Productos!$A$2:$D$258,2,0)," ")</f>
        <v>Superficie  Roble Negro 160x70 Clasico</v>
      </c>
      <c r="H643" s="7">
        <v>1</v>
      </c>
      <c r="I643" s="32" t="str">
        <f>IFERROR(VLOOKUP(F643,Productos!$A$2:$D$258,3,0)," ")</f>
        <v>Superficie</v>
      </c>
      <c r="J643" s="139" t="s">
        <v>21</v>
      </c>
      <c r="K643" s="182" t="s">
        <v>22</v>
      </c>
      <c r="L643" s="26" t="str">
        <f t="shared" si="92"/>
        <v>Despachado</v>
      </c>
      <c r="M643" s="56" t="s">
        <v>238</v>
      </c>
      <c r="N643" s="139" t="s">
        <v>1305</v>
      </c>
      <c r="O643" s="150">
        <v>45852</v>
      </c>
      <c r="P643" s="151">
        <v>45854</v>
      </c>
      <c r="Q643" s="24" t="str">
        <f t="shared" si="82"/>
        <v>Entregado</v>
      </c>
      <c r="R643" s="25">
        <f>IF(L643="Despachado",NETWORKDAYS.INTL(A643,O643,11,Valores!$A$2:$A$18)-1,"PTE")</f>
        <v>2</v>
      </c>
      <c r="S643" s="25">
        <f>IF(Q643="Entregado",NETWORKDAYS.INTL(A643,P643,11,Valores!$A$2:$A$18)-1,"PTE")</f>
        <v>4</v>
      </c>
      <c r="T643" s="25"/>
      <c r="U643" s="25"/>
      <c r="V643" s="25" t="str">
        <f>IF(Q643="Entregado",IF(S643&lt;=VLOOKUP(K643,Valores!E:F,2,0),"Cumple","No cumple"),"PTE")</f>
        <v>No cumple</v>
      </c>
      <c r="W643" s="25"/>
      <c r="X643" s="29">
        <v>24093</v>
      </c>
      <c r="Y643" s="224"/>
      <c r="Z643" s="28"/>
    </row>
    <row r="644" spans="1:26" hidden="1" x14ac:dyDescent="0.3">
      <c r="A644" s="34">
        <v>45849</v>
      </c>
      <c r="B644" s="7" t="str">
        <f t="shared" si="91"/>
        <v>julio</v>
      </c>
      <c r="C644" s="27">
        <v>100040</v>
      </c>
      <c r="D644" s="23" t="s">
        <v>20</v>
      </c>
      <c r="E644" s="181" t="s">
        <v>1125</v>
      </c>
      <c r="F644" s="22"/>
      <c r="G644" s="32" t="s">
        <v>1796</v>
      </c>
      <c r="H644" s="7">
        <v>1</v>
      </c>
      <c r="I644" s="32" t="s">
        <v>327</v>
      </c>
      <c r="J644" s="139" t="s">
        <v>21</v>
      </c>
      <c r="K644" s="182" t="s">
        <v>22</v>
      </c>
      <c r="L644" s="26" t="str">
        <f t="shared" si="92"/>
        <v>Despachado</v>
      </c>
      <c r="M644" s="56" t="s">
        <v>241</v>
      </c>
      <c r="N644" s="187" t="s">
        <v>241</v>
      </c>
      <c r="O644" s="188" t="s">
        <v>241</v>
      </c>
      <c r="P644" s="189" t="s">
        <v>241</v>
      </c>
      <c r="Q644" s="24" t="str">
        <f t="shared" si="82"/>
        <v>Entregado</v>
      </c>
      <c r="R644" s="25" t="e">
        <f>IF(L644="Despachado",NETWORKDAYS.INTL(A644,O644,11,Valores!$A$2:$A$18)-1,"PTE")</f>
        <v>#VALUE!</v>
      </c>
      <c r="S644" s="25" t="e">
        <f>IF(Q644="Entregado",NETWORKDAYS.INTL(A644,P644,11,Valores!$A$2:$A$18)-1,"PTE")</f>
        <v>#VALUE!</v>
      </c>
      <c r="T644" s="25"/>
      <c r="U644" s="25"/>
      <c r="V644" s="25" t="e">
        <f>IF(Q644="Entregado",IF(S644&lt;=VLOOKUP(K644,Valores!E:F,2,0),"Cumple","No cumple"),"PTE")</f>
        <v>#VALUE!</v>
      </c>
      <c r="W644" s="25"/>
      <c r="X644" s="29"/>
      <c r="Y644" s="224"/>
      <c r="Z644" s="28"/>
    </row>
    <row r="645" spans="1:26" hidden="1" x14ac:dyDescent="0.3">
      <c r="A645" s="34">
        <v>45852</v>
      </c>
      <c r="B645" s="7" t="str">
        <f t="shared" si="91"/>
        <v>julio</v>
      </c>
      <c r="C645" s="27">
        <v>100041</v>
      </c>
      <c r="D645" s="23" t="s">
        <v>20</v>
      </c>
      <c r="E645" s="181" t="s">
        <v>1126</v>
      </c>
      <c r="F645" s="22" t="s">
        <v>127</v>
      </c>
      <c r="G645" s="32" t="str">
        <f>IFERROR(VLOOKUP(F645,Productos!$A$2:$D$258,2,0)," ")</f>
        <v>Electric Standing Desk GO Blanco</v>
      </c>
      <c r="H645" s="7">
        <v>1</v>
      </c>
      <c r="I645" s="32" t="str">
        <f>IFERROR(VLOOKUP(F645,Productos!$A$2:$D$258,3,0)," ")</f>
        <v>Standing Desk</v>
      </c>
      <c r="J645" s="182" t="s">
        <v>24</v>
      </c>
      <c r="K645" s="182" t="s">
        <v>39</v>
      </c>
      <c r="L645" s="26" t="str">
        <f t="shared" si="92"/>
        <v>Despachado</v>
      </c>
      <c r="M645" s="56" t="s">
        <v>238</v>
      </c>
      <c r="N645" s="139" t="s">
        <v>1306</v>
      </c>
      <c r="O645" s="150">
        <v>45852</v>
      </c>
      <c r="P645" s="151">
        <v>45853</v>
      </c>
      <c r="Q645" s="24" t="str">
        <f t="shared" si="82"/>
        <v>Entregado</v>
      </c>
      <c r="R645" s="25">
        <f>IF(L645="Despachado",NETWORKDAYS.INTL(A645,O645,11,Valores!$A$2:$A$18)-1,"PTE")</f>
        <v>0</v>
      </c>
      <c r="S645" s="25">
        <f>IF(Q645="Entregado",NETWORKDAYS.INTL(A645,P645,11,Valores!$A$2:$A$18)-1,"PTE")</f>
        <v>1</v>
      </c>
      <c r="T645" s="25"/>
      <c r="U645" s="25"/>
      <c r="V645" s="25" t="str">
        <f>IF(Q645="Entregado",IF(S645&lt;=VLOOKUP(K645,Valores!E:F,2,0),"Cumple","No cumple"),"PTE")</f>
        <v>Cumple</v>
      </c>
      <c r="W645" s="25"/>
      <c r="X645" s="29">
        <v>41593</v>
      </c>
      <c r="Y645" s="224"/>
      <c r="Z645" s="28"/>
    </row>
    <row r="646" spans="1:26" hidden="1" x14ac:dyDescent="0.3">
      <c r="A646" s="34">
        <v>45852</v>
      </c>
      <c r="B646" s="7" t="str">
        <f t="shared" si="91"/>
        <v>julio</v>
      </c>
      <c r="C646" s="27">
        <v>100041</v>
      </c>
      <c r="D646" s="23" t="s">
        <v>20</v>
      </c>
      <c r="E646" s="181" t="s">
        <v>1126</v>
      </c>
      <c r="F646" s="22" t="s">
        <v>301</v>
      </c>
      <c r="G646" s="32" t="str">
        <f>IFERROR(VLOOKUP(F646,Productos!$A$2:$D$258,2,0)," ")</f>
        <v>Superficie  Fresno Europeo 120x70 Clasico Small</v>
      </c>
      <c r="H646" s="7">
        <v>1</v>
      </c>
      <c r="I646" s="32" t="str">
        <f>IFERROR(VLOOKUP(F646,Productos!$A$2:$D$258,3,0)," ")</f>
        <v>Superficie</v>
      </c>
      <c r="J646" s="182" t="s">
        <v>24</v>
      </c>
      <c r="K646" s="182" t="s">
        <v>39</v>
      </c>
      <c r="L646" s="26" t="str">
        <f t="shared" si="92"/>
        <v>Despachado</v>
      </c>
      <c r="M646" s="56" t="s">
        <v>238</v>
      </c>
      <c r="N646" s="139" t="s">
        <v>1307</v>
      </c>
      <c r="O646" s="150">
        <v>45852</v>
      </c>
      <c r="P646" s="151">
        <v>45853</v>
      </c>
      <c r="Q646" s="24" t="str">
        <f t="shared" si="82"/>
        <v>Entregado</v>
      </c>
      <c r="R646" s="25">
        <f>IF(L646="Despachado",NETWORKDAYS.INTL(A646,O646,11,Valores!$A$2:$A$18)-1,"PTE")</f>
        <v>0</v>
      </c>
      <c r="S646" s="25">
        <f>IF(Q646="Entregado",NETWORKDAYS.INTL(A646,P646,11,Valores!$A$2:$A$18)-1,"PTE")</f>
        <v>1</v>
      </c>
      <c r="T646" s="25"/>
      <c r="U646" s="25"/>
      <c r="V646" s="25" t="str">
        <f>IF(Q646="Entregado",IF(S646&lt;=VLOOKUP(K646,Valores!E:F,2,0),"Cumple","No cumple"),"PTE")</f>
        <v>Cumple</v>
      </c>
      <c r="W646" s="25"/>
      <c r="X646" s="29">
        <v>24093</v>
      </c>
      <c r="Y646" s="224"/>
      <c r="Z646" s="28"/>
    </row>
    <row r="647" spans="1:26" hidden="1" x14ac:dyDescent="0.3">
      <c r="A647" s="34">
        <v>45853</v>
      </c>
      <c r="B647" s="7" t="str">
        <f t="shared" si="91"/>
        <v>julio</v>
      </c>
      <c r="C647" s="27">
        <v>100042</v>
      </c>
      <c r="D647" s="23" t="s">
        <v>20</v>
      </c>
      <c r="E647" s="181" t="s">
        <v>1127</v>
      </c>
      <c r="F647" s="40" t="s">
        <v>129</v>
      </c>
      <c r="G647" s="32" t="str">
        <f>IFERROR(VLOOKUP(F647,Productos!$A$2:$D$258,2,0)," ")</f>
        <v>Electric Standing Desk  PRO Negro</v>
      </c>
      <c r="H647" s="7">
        <v>1</v>
      </c>
      <c r="I647" s="32" t="str">
        <f>IFERROR(VLOOKUP(F647,Productos!$A$2:$D$258,3,0)," ")</f>
        <v>Standing Desk</v>
      </c>
      <c r="J647" s="182" t="s">
        <v>24</v>
      </c>
      <c r="K647" s="182" t="s">
        <v>27</v>
      </c>
      <c r="L647" s="26" t="str">
        <f t="shared" si="92"/>
        <v>Despachado</v>
      </c>
      <c r="M647" s="56" t="s">
        <v>238</v>
      </c>
      <c r="N647" s="139" t="s">
        <v>1308</v>
      </c>
      <c r="O647" s="150">
        <v>45853</v>
      </c>
      <c r="P647" s="151">
        <v>45854</v>
      </c>
      <c r="Q647" s="24" t="str">
        <f t="shared" si="82"/>
        <v>Entregado</v>
      </c>
      <c r="R647" s="25">
        <f>IF(L647="Despachado",NETWORKDAYS.INTL(A647,O647,11,Valores!$A$2:$A$18)-1,"PTE")</f>
        <v>0</v>
      </c>
      <c r="S647" s="25">
        <f>IF(Q647="Entregado",NETWORKDAYS.INTL(A647,P647,11,Valores!$A$2:$A$18)-1,"PTE")</f>
        <v>1</v>
      </c>
      <c r="T647" s="25"/>
      <c r="U647" s="25"/>
      <c r="V647" s="25" t="str">
        <f>IF(Q647="Entregado",IF(S647&lt;=VLOOKUP(K647,Valores!E:F,2,0),"Cumple","No cumple"),"PTE")</f>
        <v>Cumple</v>
      </c>
      <c r="W647" s="25"/>
      <c r="X647" s="29">
        <v>41593</v>
      </c>
      <c r="Y647" s="224"/>
      <c r="Z647" s="28"/>
    </row>
    <row r="648" spans="1:26" hidden="1" x14ac:dyDescent="0.3">
      <c r="A648" s="34">
        <v>45853</v>
      </c>
      <c r="B648" s="7" t="str">
        <f t="shared" si="91"/>
        <v>julio</v>
      </c>
      <c r="C648" s="27">
        <v>100042</v>
      </c>
      <c r="D648" s="23" t="s">
        <v>20</v>
      </c>
      <c r="E648" s="181" t="s">
        <v>1127</v>
      </c>
      <c r="F648" s="22" t="s">
        <v>258</v>
      </c>
      <c r="G648" s="32" t="str">
        <f>IFERROR(VLOOKUP(F648,Productos!$A$2:$D$258,2,0)," ")</f>
        <v>Superficie  Caramelo 160x70 Moderno</v>
      </c>
      <c r="H648" s="7">
        <v>1</v>
      </c>
      <c r="I648" s="32" t="str">
        <f>IFERROR(VLOOKUP(F648,Productos!$A$2:$D$258,3,0)," ")</f>
        <v>Superficie</v>
      </c>
      <c r="J648" s="182" t="s">
        <v>24</v>
      </c>
      <c r="K648" s="182" t="s">
        <v>27</v>
      </c>
      <c r="L648" s="26" t="str">
        <f t="shared" si="92"/>
        <v>Despachado</v>
      </c>
      <c r="M648" s="56" t="s">
        <v>238</v>
      </c>
      <c r="N648" s="139" t="s">
        <v>1309</v>
      </c>
      <c r="O648" s="150">
        <v>45853</v>
      </c>
      <c r="P648" s="151">
        <v>45854</v>
      </c>
      <c r="Q648" s="24" t="str">
        <f t="shared" si="82"/>
        <v>Entregado</v>
      </c>
      <c r="R648" s="25">
        <f>IF(L648="Despachado",NETWORKDAYS.INTL(A648,O648,11,Valores!$A$2:$A$18)-1,"PTE")</f>
        <v>0</v>
      </c>
      <c r="S648" s="25">
        <f>IF(Q648="Entregado",NETWORKDAYS.INTL(A648,P648,11,Valores!$A$2:$A$18)-1,"PTE")</f>
        <v>1</v>
      </c>
      <c r="T648" s="25"/>
      <c r="U648" s="25"/>
      <c r="V648" s="25" t="str">
        <f>IF(Q648="Entregado",IF(S648&lt;=VLOOKUP(K648,Valores!E:F,2,0),"Cumple","No cumple"),"PTE")</f>
        <v>Cumple</v>
      </c>
      <c r="W648" s="25"/>
      <c r="X648" s="29">
        <v>24093</v>
      </c>
      <c r="Y648" s="224"/>
      <c r="Z648" s="28"/>
    </row>
    <row r="649" spans="1:26" hidden="1" x14ac:dyDescent="0.3">
      <c r="A649" s="34">
        <v>45853</v>
      </c>
      <c r="B649" s="7" t="str">
        <f t="shared" ref="B649:B654" si="93">TEXT(A649,"mmmm")</f>
        <v>julio</v>
      </c>
      <c r="C649" s="27">
        <v>100043</v>
      </c>
      <c r="D649" s="23" t="s">
        <v>20</v>
      </c>
      <c r="E649" s="181" t="s">
        <v>1128</v>
      </c>
      <c r="F649" s="40" t="s">
        <v>129</v>
      </c>
      <c r="G649" s="32" t="str">
        <f>IFERROR(VLOOKUP(F649,Productos!$A$2:$D$258,2,0)," ")</f>
        <v>Electric Standing Desk  PRO Negro</v>
      </c>
      <c r="H649" s="7">
        <v>1</v>
      </c>
      <c r="I649" s="32" t="str">
        <f>IFERROR(VLOOKUP(F649,Productos!$A$2:$D$258,3,0)," ")</f>
        <v>Standing Desk</v>
      </c>
      <c r="J649" s="139" t="s">
        <v>21</v>
      </c>
      <c r="K649" s="182" t="s">
        <v>22</v>
      </c>
      <c r="L649" s="26" t="str">
        <f>IF(O649&gt;0,"Despachado","En alistamiento")</f>
        <v>Despachado</v>
      </c>
      <c r="M649" s="56" t="s">
        <v>238</v>
      </c>
      <c r="N649" s="139" t="s">
        <v>1310</v>
      </c>
      <c r="O649" s="150">
        <v>45854</v>
      </c>
      <c r="P649" s="151">
        <v>45855</v>
      </c>
      <c r="Q649" s="24" t="str">
        <f t="shared" si="82"/>
        <v>Entregado</v>
      </c>
      <c r="R649" s="25">
        <f>IF(L649="Despachado",NETWORKDAYS.INTL(A649,O649,11,Valores!$A$2:$A$18)-1,"PTE")</f>
        <v>1</v>
      </c>
      <c r="S649" s="25">
        <f>IF(Q649="Entregado",NETWORKDAYS.INTL(A649,P649,11,Valores!$A$2:$A$18)-1,"PTE")</f>
        <v>2</v>
      </c>
      <c r="T649" s="25"/>
      <c r="U649" s="25"/>
      <c r="V649" s="25" t="str">
        <f>IF(Q649="Entregado",IF(S649&lt;=VLOOKUP(K649,Valores!E:F,2,0),"Cumple","No cumple"),"PTE")</f>
        <v>Cumple</v>
      </c>
      <c r="W649" s="25"/>
      <c r="X649" s="29">
        <v>41593</v>
      </c>
      <c r="Y649" s="224"/>
      <c r="Z649" s="28"/>
    </row>
    <row r="650" spans="1:26" hidden="1" x14ac:dyDescent="0.3">
      <c r="A650" s="34">
        <v>45853</v>
      </c>
      <c r="B650" s="7" t="str">
        <f t="shared" si="93"/>
        <v>julio</v>
      </c>
      <c r="C650" s="27">
        <v>100043</v>
      </c>
      <c r="D650" s="23" t="s">
        <v>20</v>
      </c>
      <c r="E650" s="181" t="s">
        <v>1128</v>
      </c>
      <c r="F650" s="22" t="s">
        <v>108</v>
      </c>
      <c r="G650" s="32" t="str">
        <f>IFERROR(VLOOKUP(F650,Productos!$A$2:$D$258,2,0)," ")</f>
        <v>Superficie Niebla 120x70 Clasico Small</v>
      </c>
      <c r="H650" s="7">
        <v>1</v>
      </c>
      <c r="I650" s="32" t="str">
        <f>IFERROR(VLOOKUP(F650,Productos!$A$2:$D$258,3,0)," ")</f>
        <v>Superficie</v>
      </c>
      <c r="J650" s="139" t="s">
        <v>21</v>
      </c>
      <c r="K650" s="182" t="s">
        <v>22</v>
      </c>
      <c r="L650" s="26" t="str">
        <f>IF(O650&gt;0,"Despachado","En alistamiento")</f>
        <v>Despachado</v>
      </c>
      <c r="M650" s="56" t="s">
        <v>238</v>
      </c>
      <c r="N650" s="139" t="s">
        <v>1311</v>
      </c>
      <c r="O650" s="150">
        <v>45854</v>
      </c>
      <c r="P650" s="151">
        <v>45856</v>
      </c>
      <c r="Q650" s="24" t="str">
        <f t="shared" si="82"/>
        <v>Entregado</v>
      </c>
      <c r="R650" s="25">
        <f>IF(L650="Despachado",NETWORKDAYS.INTL(A650,O650,11,Valores!$A$2:$A$18)-1,"PTE")</f>
        <v>1</v>
      </c>
      <c r="S650" s="25">
        <f>IF(Q650="Entregado",NETWORKDAYS.INTL(A650,P650,11,Valores!$A$2:$A$18)-1,"PTE")</f>
        <v>3</v>
      </c>
      <c r="T650" s="25"/>
      <c r="U650" s="25"/>
      <c r="V650" s="25" t="str">
        <f>IF(Q650="Entregado",IF(S650&lt;=VLOOKUP(K650,Valores!E:F,2,0),"Cumple","No cumple"),"PTE")</f>
        <v>Cumple</v>
      </c>
      <c r="W650" s="25"/>
      <c r="X650" s="29">
        <v>24093</v>
      </c>
      <c r="Y650" s="224"/>
      <c r="Z650" s="28"/>
    </row>
    <row r="651" spans="1:26" hidden="1" x14ac:dyDescent="0.3">
      <c r="A651" s="34">
        <v>45854</v>
      </c>
      <c r="B651" s="7" t="str">
        <f t="shared" si="93"/>
        <v>julio</v>
      </c>
      <c r="C651" s="27">
        <v>100044</v>
      </c>
      <c r="D651" s="23" t="s">
        <v>20</v>
      </c>
      <c r="E651" s="181" t="s">
        <v>1129</v>
      </c>
      <c r="F651" s="40" t="s">
        <v>240</v>
      </c>
      <c r="G651" s="32" t="str">
        <f>IFERROR(VLOOKUP(F651,Productos!$A$2:$D$258,2,0)," ")</f>
        <v>Bandeja de cables</v>
      </c>
      <c r="H651" s="7">
        <v>1</v>
      </c>
      <c r="I651" s="32" t="str">
        <f>IFERROR(VLOOKUP(F651,Productos!$A$2:$D$258,3,0)," ")</f>
        <v>Accesorio</v>
      </c>
      <c r="J651" s="139" t="s">
        <v>21</v>
      </c>
      <c r="K651" s="182" t="s">
        <v>22</v>
      </c>
      <c r="L651" s="26" t="str">
        <f>IF(O651&gt;0,"Despachado","En alistamiento")</f>
        <v>Despachado</v>
      </c>
      <c r="M651" s="56" t="s">
        <v>238</v>
      </c>
      <c r="N651" s="139" t="s">
        <v>1312</v>
      </c>
      <c r="O651" s="150">
        <v>45854</v>
      </c>
      <c r="P651" s="151">
        <v>45855</v>
      </c>
      <c r="Q651" s="24" t="str">
        <f t="shared" si="82"/>
        <v>Entregado</v>
      </c>
      <c r="R651" s="25">
        <f>IF(L651="Despachado",NETWORKDAYS.INTL(A651,O651,11,Valores!$A$2:$A$18)-1,"PTE")</f>
        <v>0</v>
      </c>
      <c r="S651" s="25">
        <f>IF(Q651="Entregado",NETWORKDAYS.INTL(A651,P651,11,Valores!$A$2:$A$18)-1,"PTE")</f>
        <v>1</v>
      </c>
      <c r="T651" s="25"/>
      <c r="U651" s="25"/>
      <c r="V651" s="25" t="str">
        <f>IF(Q651="Entregado",IF(S651&lt;=VLOOKUP(K651,Valores!E:F,2,0),"Cumple","No cumple"),"PTE")</f>
        <v>Cumple</v>
      </c>
      <c r="W651" s="25"/>
      <c r="X651" s="29">
        <v>25429</v>
      </c>
      <c r="Y651" s="224"/>
      <c r="Z651" s="28"/>
    </row>
    <row r="652" spans="1:26" hidden="1" x14ac:dyDescent="0.3">
      <c r="A652" s="34">
        <v>45854</v>
      </c>
      <c r="B652" s="7" t="str">
        <f t="shared" si="93"/>
        <v>julio</v>
      </c>
      <c r="C652" s="27">
        <v>100045</v>
      </c>
      <c r="D652" s="23" t="s">
        <v>20</v>
      </c>
      <c r="E652" s="181" t="s">
        <v>1130</v>
      </c>
      <c r="F652" s="40" t="s">
        <v>123</v>
      </c>
      <c r="G652" s="32" t="str">
        <f>IFERROR(VLOOKUP(F652,Productos!$A$2:$D$258,2,0)," ")</f>
        <v>Electric Standing Desk GO Negro</v>
      </c>
      <c r="H652" s="7">
        <v>1</v>
      </c>
      <c r="I652" s="32" t="str">
        <f>IFERROR(VLOOKUP(F652,Productos!$A$2:$D$258,3,0)," ")</f>
        <v>Standing Desk</v>
      </c>
      <c r="J652" s="139" t="s">
        <v>21</v>
      </c>
      <c r="K652" s="182" t="s">
        <v>22</v>
      </c>
      <c r="L652" s="26" t="str">
        <f t="shared" ref="L652:L658" si="94">IF(O652&gt;0,"Despachado","En alistamiento")</f>
        <v>Despachado</v>
      </c>
      <c r="M652" s="56" t="s">
        <v>238</v>
      </c>
      <c r="N652" s="139" t="s">
        <v>1313</v>
      </c>
      <c r="O652" s="151">
        <v>45855</v>
      </c>
      <c r="P652" s="151">
        <v>45856</v>
      </c>
      <c r="Q652" s="24" t="str">
        <f t="shared" si="82"/>
        <v>Entregado</v>
      </c>
      <c r="R652" s="25">
        <f>IF(L652="Despachado",NETWORKDAYS.INTL(A652,O652,11,Valores!$A$2:$A$18)-1,"PTE")</f>
        <v>1</v>
      </c>
      <c r="S652" s="25">
        <f>IF(Q652="Entregado",NETWORKDAYS.INTL(A652,P652,11,Valores!$A$2:$A$18)-1,"PTE")</f>
        <v>2</v>
      </c>
      <c r="T652" s="25"/>
      <c r="U652" s="25"/>
      <c r="V652" s="25" t="str">
        <f>IF(Q652="Entregado",IF(S652&lt;=VLOOKUP(K652,Valores!E:F,2,0),"Cumple","No cumple"),"PTE")</f>
        <v>Cumple</v>
      </c>
      <c r="W652" s="25"/>
      <c r="X652" s="29">
        <v>41593</v>
      </c>
      <c r="Y652" s="224"/>
      <c r="Z652" s="28"/>
    </row>
    <row r="653" spans="1:26" hidden="1" x14ac:dyDescent="0.3">
      <c r="A653" s="34">
        <v>45854</v>
      </c>
      <c r="B653" s="7" t="str">
        <f t="shared" si="93"/>
        <v>julio</v>
      </c>
      <c r="C653" s="27">
        <v>100045</v>
      </c>
      <c r="D653" s="23" t="s">
        <v>20</v>
      </c>
      <c r="E653" s="181" t="s">
        <v>1130</v>
      </c>
      <c r="F653" s="22" t="s">
        <v>303</v>
      </c>
      <c r="G653" s="32" t="str">
        <f>IFERROR(VLOOKUP(F653,Productos!$A$2:$D$258,2,0)," ")</f>
        <v>Superficie  Fresno Europeo 140x70 Clasico</v>
      </c>
      <c r="H653" s="7">
        <v>1</v>
      </c>
      <c r="I653" s="32" t="str">
        <f>IFERROR(VLOOKUP(F653,Productos!$A$2:$D$258,3,0)," ")</f>
        <v>Superficie</v>
      </c>
      <c r="J653" s="139" t="s">
        <v>21</v>
      </c>
      <c r="K653" s="182" t="s">
        <v>22</v>
      </c>
      <c r="L653" s="26" t="str">
        <f t="shared" si="94"/>
        <v>Despachado</v>
      </c>
      <c r="M653" s="56" t="s">
        <v>238</v>
      </c>
      <c r="N653" s="139" t="s">
        <v>1314</v>
      </c>
      <c r="O653" s="151">
        <v>45855</v>
      </c>
      <c r="P653" s="151">
        <v>45856</v>
      </c>
      <c r="Q653" s="24" t="str">
        <f t="shared" si="82"/>
        <v>Entregado</v>
      </c>
      <c r="R653" s="25">
        <f>IF(L653="Despachado",NETWORKDAYS.INTL(A653,O653,11,Valores!$A$2:$A$18)-1,"PTE")</f>
        <v>1</v>
      </c>
      <c r="S653" s="25">
        <f>IF(Q653="Entregado",NETWORKDAYS.INTL(A653,P653,11,Valores!$A$2:$A$18)-1,"PTE")</f>
        <v>2</v>
      </c>
      <c r="T653" s="25"/>
      <c r="U653" s="25"/>
      <c r="V653" s="25" t="str">
        <f>IF(Q653="Entregado",IF(S653&lt;=VLOOKUP(K653,Valores!E:F,2,0),"Cumple","No cumple"),"PTE")</f>
        <v>Cumple</v>
      </c>
      <c r="W653" s="25"/>
      <c r="X653" s="29">
        <v>24093</v>
      </c>
      <c r="Y653" s="224"/>
      <c r="Z653" s="28"/>
    </row>
    <row r="654" spans="1:26" hidden="1" x14ac:dyDescent="0.3">
      <c r="A654" s="34">
        <v>45854</v>
      </c>
      <c r="B654" s="7" t="str">
        <f t="shared" si="93"/>
        <v>julio</v>
      </c>
      <c r="C654" s="27">
        <v>100045</v>
      </c>
      <c r="D654" s="23" t="s">
        <v>20</v>
      </c>
      <c r="E654" s="181" t="s">
        <v>1130</v>
      </c>
      <c r="F654" s="22"/>
      <c r="G654" s="32" t="s">
        <v>1796</v>
      </c>
      <c r="H654" s="7">
        <v>1</v>
      </c>
      <c r="I654" s="32" t="s">
        <v>327</v>
      </c>
      <c r="J654" s="139" t="s">
        <v>21</v>
      </c>
      <c r="K654" s="182" t="s">
        <v>22</v>
      </c>
      <c r="L654" s="26" t="str">
        <f t="shared" si="94"/>
        <v>Despachado</v>
      </c>
      <c r="M654" s="56" t="s">
        <v>241</v>
      </c>
      <c r="N654" s="187" t="s">
        <v>241</v>
      </c>
      <c r="O654" s="188" t="s">
        <v>241</v>
      </c>
      <c r="P654" s="189" t="s">
        <v>241</v>
      </c>
      <c r="Q654" s="24" t="str">
        <f t="shared" si="82"/>
        <v>Entregado</v>
      </c>
      <c r="R654" s="25" t="e">
        <f>IF(L654="Despachado",NETWORKDAYS.INTL(A654,O654,11,Valores!$A$2:$A$18)-1,"PTE")</f>
        <v>#VALUE!</v>
      </c>
      <c r="S654" s="25" t="e">
        <f>IF(Q654="Entregado",NETWORKDAYS.INTL(A654,P654,11,Valores!$A$2:$A$18)-1,"PTE")</f>
        <v>#VALUE!</v>
      </c>
      <c r="T654" s="25"/>
      <c r="U654" s="25"/>
      <c r="V654" s="25" t="e">
        <f>IF(Q654="Entregado",IF(S654&lt;=VLOOKUP(K654,Valores!E:F,2,0),"Cumple","No cumple"),"PTE")</f>
        <v>#VALUE!</v>
      </c>
      <c r="W654" s="25"/>
      <c r="X654" s="29"/>
      <c r="Y654" s="224"/>
      <c r="Z654" s="28"/>
    </row>
    <row r="655" spans="1:26" hidden="1" x14ac:dyDescent="0.3">
      <c r="A655" s="34">
        <v>45854</v>
      </c>
      <c r="B655" s="7" t="str">
        <f t="shared" ref="B655:B677" si="95">TEXT(A655,"mmmm")</f>
        <v>julio</v>
      </c>
      <c r="C655" s="27">
        <v>100046</v>
      </c>
      <c r="D655" s="23" t="s">
        <v>20</v>
      </c>
      <c r="E655" s="181" t="s">
        <v>1131</v>
      </c>
      <c r="F655" s="40" t="s">
        <v>123</v>
      </c>
      <c r="G655" s="32" t="str">
        <f>IFERROR(VLOOKUP(F655,Productos!$A$2:$D$258,2,0)," ")</f>
        <v>Electric Standing Desk GO Negro</v>
      </c>
      <c r="H655" s="7">
        <v>1</v>
      </c>
      <c r="I655" s="32" t="str">
        <f>IFERROR(VLOOKUP(F655,Productos!$A$2:$D$258,3,0)," ")</f>
        <v>Standing Desk</v>
      </c>
      <c r="J655" s="182" t="s">
        <v>24</v>
      </c>
      <c r="K655" s="182" t="s">
        <v>27</v>
      </c>
      <c r="L655" s="26" t="str">
        <f t="shared" si="94"/>
        <v>Despachado</v>
      </c>
      <c r="M655" s="56" t="s">
        <v>238</v>
      </c>
      <c r="N655" s="139" t="s">
        <v>1315</v>
      </c>
      <c r="O655" s="150">
        <v>45854</v>
      </c>
      <c r="P655" s="151">
        <v>45855</v>
      </c>
      <c r="Q655" s="24" t="str">
        <f t="shared" si="82"/>
        <v>Entregado</v>
      </c>
      <c r="R655" s="25">
        <f>IF(L655="Despachado",NETWORKDAYS.INTL(A655,O655,11,Valores!$A$2:$A$18)-1,"PTE")</f>
        <v>0</v>
      </c>
      <c r="S655" s="25">
        <f>IF(Q655="Entregado",NETWORKDAYS.INTL(A655,P655,11,Valores!$A$2:$A$18)-1,"PTE")</f>
        <v>1</v>
      </c>
      <c r="T655" s="25"/>
      <c r="U655" s="25"/>
      <c r="V655" s="25" t="str">
        <f>IF(Q655="Entregado",IF(S655&lt;=VLOOKUP(K655,Valores!E:F,2,0),"Cumple","No cumple"),"PTE")</f>
        <v>Cumple</v>
      </c>
      <c r="W655" s="25"/>
      <c r="X655" s="29">
        <v>41593</v>
      </c>
      <c r="Y655" s="224"/>
      <c r="Z655" s="28"/>
    </row>
    <row r="656" spans="1:26" hidden="1" x14ac:dyDescent="0.3">
      <c r="A656" s="34">
        <v>45854</v>
      </c>
      <c r="B656" s="7" t="str">
        <f t="shared" si="95"/>
        <v>julio</v>
      </c>
      <c r="C656" s="27">
        <v>100046</v>
      </c>
      <c r="D656" s="23" t="s">
        <v>20</v>
      </c>
      <c r="E656" s="181" t="s">
        <v>1131</v>
      </c>
      <c r="F656" s="22" t="s">
        <v>143</v>
      </c>
      <c r="G656" s="32" t="str">
        <f>IFERROR(VLOOKUP(F656,Productos!$A$2:$D$258,2,0)," ")</f>
        <v>Superficie  Caramelo 160x70 Clasico</v>
      </c>
      <c r="H656" s="7">
        <v>1</v>
      </c>
      <c r="I656" s="32" t="str">
        <f>IFERROR(VLOOKUP(F656,Productos!$A$2:$D$258,3,0)," ")</f>
        <v>Superficie</v>
      </c>
      <c r="J656" s="182" t="s">
        <v>24</v>
      </c>
      <c r="K656" s="182" t="s">
        <v>27</v>
      </c>
      <c r="L656" s="26" t="str">
        <f t="shared" si="94"/>
        <v>Despachado</v>
      </c>
      <c r="M656" s="56" t="s">
        <v>238</v>
      </c>
      <c r="N656" s="139" t="s">
        <v>1316</v>
      </c>
      <c r="O656" s="150">
        <v>45854</v>
      </c>
      <c r="P656" s="151">
        <v>45855</v>
      </c>
      <c r="Q656" s="24" t="str">
        <f t="shared" ref="Q656:Q720" si="96">IF(P656&gt;0,"Entregado","En transito")</f>
        <v>Entregado</v>
      </c>
      <c r="R656" s="25">
        <f>IF(L656="Despachado",NETWORKDAYS.INTL(A656,O656,11,Valores!$A$2:$A$18)-1,"PTE")</f>
        <v>0</v>
      </c>
      <c r="S656" s="25">
        <f>IF(Q656="Entregado",NETWORKDAYS.INTL(A656,P656,11,Valores!$A$2:$A$18)-1,"PTE")</f>
        <v>1</v>
      </c>
      <c r="T656" s="25"/>
      <c r="U656" s="25"/>
      <c r="V656" s="25" t="str">
        <f>IF(Q656="Entregado",IF(S656&lt;=VLOOKUP(K656,Valores!E:F,2,0),"Cumple","No cumple"),"PTE")</f>
        <v>Cumple</v>
      </c>
      <c r="W656" s="25"/>
      <c r="X656" s="29">
        <v>24093</v>
      </c>
      <c r="Y656" s="224"/>
      <c r="Z656" s="28"/>
    </row>
    <row r="657" spans="1:26" hidden="1" x14ac:dyDescent="0.3">
      <c r="A657" s="34">
        <v>45854</v>
      </c>
      <c r="B657" s="7" t="str">
        <f t="shared" si="95"/>
        <v>julio</v>
      </c>
      <c r="C657" s="27">
        <v>100046</v>
      </c>
      <c r="D657" s="23" t="s">
        <v>20</v>
      </c>
      <c r="E657" s="181" t="s">
        <v>1131</v>
      </c>
      <c r="F657" s="40" t="s">
        <v>240</v>
      </c>
      <c r="G657" s="32" t="str">
        <f>IFERROR(VLOOKUP(F657,Productos!$A$2:$D$258,2,0)," ")</f>
        <v>Bandeja de cables</v>
      </c>
      <c r="H657" s="7">
        <v>1</v>
      </c>
      <c r="I657" s="32" t="str">
        <f>IFERROR(VLOOKUP(F657,Productos!$A$2:$D$258,3,0)," ")</f>
        <v>Accesorio</v>
      </c>
      <c r="J657" s="182" t="s">
        <v>24</v>
      </c>
      <c r="K657" s="182" t="s">
        <v>27</v>
      </c>
      <c r="L657" s="26" t="str">
        <f t="shared" si="94"/>
        <v>Despachado</v>
      </c>
      <c r="M657" s="56" t="s">
        <v>238</v>
      </c>
      <c r="N657" s="139" t="s">
        <v>1317</v>
      </c>
      <c r="O657" s="150">
        <v>45854</v>
      </c>
      <c r="P657" s="151">
        <v>45855</v>
      </c>
      <c r="Q657" s="24" t="str">
        <f t="shared" si="96"/>
        <v>Entregado</v>
      </c>
      <c r="R657" s="25">
        <f>IF(L657="Despachado",NETWORKDAYS.INTL(A657,O657,11,Valores!$A$2:$A$18)-1,"PTE")</f>
        <v>0</v>
      </c>
      <c r="S657" s="25">
        <f>IF(Q657="Entregado",NETWORKDAYS.INTL(A657,P657,11,Valores!$A$2:$A$18)-1,"PTE")</f>
        <v>1</v>
      </c>
      <c r="T657" s="25"/>
      <c r="U657" s="25"/>
      <c r="V657" s="25" t="str">
        <f>IF(Q657="Entregado",IF(S657&lt;=VLOOKUP(K657,Valores!E:F,2,0),"Cumple","No cumple"),"PTE")</f>
        <v>Cumple</v>
      </c>
      <c r="W657" s="25"/>
      <c r="X657" s="29">
        <v>25429</v>
      </c>
      <c r="Y657" s="224"/>
      <c r="Z657" s="28"/>
    </row>
    <row r="658" spans="1:26" hidden="1" x14ac:dyDescent="0.3">
      <c r="A658" s="34">
        <v>45854</v>
      </c>
      <c r="B658" s="7" t="str">
        <f t="shared" si="95"/>
        <v>julio</v>
      </c>
      <c r="C658" s="27">
        <v>100046</v>
      </c>
      <c r="D658" s="23" t="s">
        <v>20</v>
      </c>
      <c r="E658" s="181" t="s">
        <v>1131</v>
      </c>
      <c r="F658" s="22"/>
      <c r="G658" s="32" t="s">
        <v>1796</v>
      </c>
      <c r="H658" s="7">
        <v>1</v>
      </c>
      <c r="I658" s="32" t="s">
        <v>327</v>
      </c>
      <c r="J658" s="182" t="s">
        <v>24</v>
      </c>
      <c r="K658" s="182" t="s">
        <v>27</v>
      </c>
      <c r="L658" s="26" t="str">
        <f t="shared" si="94"/>
        <v>Despachado</v>
      </c>
      <c r="M658" s="56" t="s">
        <v>241</v>
      </c>
      <c r="N658" s="187" t="s">
        <v>241</v>
      </c>
      <c r="O658" s="188" t="s">
        <v>241</v>
      </c>
      <c r="P658" s="189" t="s">
        <v>241</v>
      </c>
      <c r="Q658" s="24" t="str">
        <f t="shared" si="96"/>
        <v>Entregado</v>
      </c>
      <c r="R658" s="25" t="e">
        <f>IF(L658="Despachado",NETWORKDAYS.INTL(A658,O658,11,Valores!$A$2:$A$18)-1,"PTE")</f>
        <v>#VALUE!</v>
      </c>
      <c r="S658" s="25" t="e">
        <f>IF(Q658="Entregado",NETWORKDAYS.INTL(A658,P658,11,Valores!$A$2:$A$18)-1,"PTE")</f>
        <v>#VALUE!</v>
      </c>
      <c r="T658" s="25"/>
      <c r="U658" s="25"/>
      <c r="V658" s="25" t="e">
        <f>IF(Q658="Entregado",IF(S658&lt;=VLOOKUP(K658,Valores!E:F,2,0),"Cumple","No cumple"),"PTE")</f>
        <v>#VALUE!</v>
      </c>
      <c r="W658" s="25"/>
      <c r="X658" s="29"/>
      <c r="Y658" s="224"/>
      <c r="Z658" s="28"/>
    </row>
    <row r="659" spans="1:26" hidden="1" x14ac:dyDescent="0.3">
      <c r="A659" s="34">
        <v>45854</v>
      </c>
      <c r="B659" s="7" t="str">
        <f t="shared" si="95"/>
        <v>julio</v>
      </c>
      <c r="C659" s="27">
        <v>100047</v>
      </c>
      <c r="D659" s="23" t="s">
        <v>20</v>
      </c>
      <c r="E659" s="183" t="s">
        <v>1132</v>
      </c>
      <c r="F659" s="40" t="s">
        <v>240</v>
      </c>
      <c r="G659" s="32" t="str">
        <f>IFERROR(VLOOKUP(F659,Productos!$A$2:$D$258,2,0)," ")</f>
        <v>Bandeja de cables</v>
      </c>
      <c r="H659" s="7">
        <v>1</v>
      </c>
      <c r="I659" s="32" t="str">
        <f>IFERROR(VLOOKUP(F659,Productos!$A$2:$D$258,3,0)," ")</f>
        <v>Accesorio</v>
      </c>
      <c r="J659" s="139" t="s">
        <v>21</v>
      </c>
      <c r="K659" s="182" t="s">
        <v>22</v>
      </c>
      <c r="L659" s="26" t="str">
        <f t="shared" ref="L659:L671" si="97">IF(O659&gt;0,"Despachado","En alistamiento")</f>
        <v>Despachado</v>
      </c>
      <c r="M659" s="56" t="s">
        <v>238</v>
      </c>
      <c r="N659" s="139" t="s">
        <v>1318</v>
      </c>
      <c r="O659" s="150">
        <v>45855</v>
      </c>
      <c r="P659" s="151">
        <v>45856</v>
      </c>
      <c r="Q659" s="24" t="str">
        <f t="shared" si="96"/>
        <v>Entregado</v>
      </c>
      <c r="R659" s="25">
        <f>IF(L659="Despachado",NETWORKDAYS.INTL(A659,O659,11,Valores!$A$2:$A$18)-1,"PTE")</f>
        <v>1</v>
      </c>
      <c r="S659" s="25">
        <f>IF(Q659="Entregado",NETWORKDAYS.INTL(A659,P659,11,Valores!$A$2:$A$18)-1,"PTE")</f>
        <v>2</v>
      </c>
      <c r="T659" s="25"/>
      <c r="U659" s="25"/>
      <c r="V659" s="25" t="str">
        <f>IF(Q659="Entregado",IF(S659&lt;=VLOOKUP(K659,Valores!E:F,2,0),"Cumple","No cumple"),"PTE")</f>
        <v>Cumple</v>
      </c>
      <c r="W659" s="25"/>
      <c r="X659" s="29">
        <v>25429</v>
      </c>
      <c r="Y659" s="224"/>
      <c r="Z659" s="28"/>
    </row>
    <row r="660" spans="1:26" hidden="1" x14ac:dyDescent="0.3">
      <c r="A660" s="34">
        <v>45854</v>
      </c>
      <c r="B660" s="7" t="str">
        <f t="shared" si="95"/>
        <v>julio</v>
      </c>
      <c r="C660" s="27">
        <v>100047</v>
      </c>
      <c r="D660" s="23" t="s">
        <v>20</v>
      </c>
      <c r="E660" s="183" t="s">
        <v>1132</v>
      </c>
      <c r="F660" s="22" t="s">
        <v>83</v>
      </c>
      <c r="G660" s="32" t="str">
        <f>IFERROR(VLOOKUP(F660,Productos!$A$2:$D$258,2,0)," ")</f>
        <v>Desk Pad B Negro Azul</v>
      </c>
      <c r="H660" s="7">
        <v>1</v>
      </c>
      <c r="I660" s="32" t="str">
        <f>IFERROR(VLOOKUP(F660,Productos!$A$2:$D$258,3,0)," ")</f>
        <v>Accesorio</v>
      </c>
      <c r="J660" s="139" t="s">
        <v>21</v>
      </c>
      <c r="K660" s="182" t="s">
        <v>22</v>
      </c>
      <c r="L660" s="26" t="str">
        <f t="shared" si="97"/>
        <v>Despachado</v>
      </c>
      <c r="M660" s="56" t="s">
        <v>238</v>
      </c>
      <c r="N660" s="139" t="s">
        <v>1319</v>
      </c>
      <c r="O660" s="150">
        <v>45855</v>
      </c>
      <c r="P660" s="151">
        <v>45856</v>
      </c>
      <c r="Q660" s="24" t="str">
        <f t="shared" si="96"/>
        <v>Entregado</v>
      </c>
      <c r="R660" s="25">
        <f>IF(L660="Despachado",NETWORKDAYS.INTL(A660,O660,11,Valores!$A$2:$A$18)-1,"PTE")</f>
        <v>1</v>
      </c>
      <c r="S660" s="25">
        <f>IF(Q660="Entregado",NETWORKDAYS.INTL(A660,P660,11,Valores!$A$2:$A$18)-1,"PTE")</f>
        <v>2</v>
      </c>
      <c r="T660" s="25"/>
      <c r="U660" s="25"/>
      <c r="V660" s="25" t="str">
        <f>IF(Q660="Entregado",IF(S660&lt;=VLOOKUP(K660,Valores!E:F,2,0),"Cumple","No cumple"),"PTE")</f>
        <v>Cumple</v>
      </c>
      <c r="W660" s="25"/>
      <c r="X660" s="29">
        <v>23975</v>
      </c>
      <c r="Y660" s="224"/>
      <c r="Z660" s="28"/>
    </row>
    <row r="661" spans="1:26" hidden="1" x14ac:dyDescent="0.3">
      <c r="A661" s="34">
        <v>45857</v>
      </c>
      <c r="B661" s="7" t="str">
        <f t="shared" si="95"/>
        <v>julio</v>
      </c>
      <c r="C661" s="27">
        <v>100048</v>
      </c>
      <c r="D661" s="23" t="s">
        <v>20</v>
      </c>
      <c r="E661" s="183" t="s">
        <v>1133</v>
      </c>
      <c r="F661" s="22" t="s">
        <v>74</v>
      </c>
      <c r="G661" s="32" t="str">
        <f>IFERROR(VLOOKUP(F661,Productos!$A$2:$D$258,2,0)," ")</f>
        <v>Repisa Caramelo</v>
      </c>
      <c r="H661" s="7">
        <v>1</v>
      </c>
      <c r="I661" s="32" t="str">
        <f>IFERROR(VLOOKUP(F661,Productos!$A$2:$D$258,3,0)," ")</f>
        <v>Repisa</v>
      </c>
      <c r="J661" s="139" t="s">
        <v>21</v>
      </c>
      <c r="K661" s="184" t="s">
        <v>198</v>
      </c>
      <c r="L661" s="26" t="str">
        <f t="shared" si="97"/>
        <v>Despachado</v>
      </c>
      <c r="M661" s="56" t="s">
        <v>238</v>
      </c>
      <c r="N661" s="139" t="s">
        <v>1320</v>
      </c>
      <c r="O661" s="150">
        <v>45859</v>
      </c>
      <c r="P661" s="151">
        <v>45861</v>
      </c>
      <c r="Q661" s="24" t="str">
        <f t="shared" si="96"/>
        <v>Entregado</v>
      </c>
      <c r="R661" s="25">
        <f>IF(L661="Despachado",NETWORKDAYS.INTL(A661,O661,11,Valores!$A$2:$A$18)-1,"PTE")</f>
        <v>1</v>
      </c>
      <c r="S661" s="25">
        <f>IF(Q661="Entregado",NETWORKDAYS.INTL(A661,P661,11,Valores!$A$2:$A$18)-1,"PTE")</f>
        <v>3</v>
      </c>
      <c r="T661" s="25"/>
      <c r="U661" s="25"/>
      <c r="V661" s="25" t="str">
        <f>IF(Q661="Entregado",IF(S661&lt;=VLOOKUP(K661,Valores!E:F,2,0),"Cumple","No cumple"),"PTE")</f>
        <v>Cumple</v>
      </c>
      <c r="W661" s="25"/>
      <c r="X661" s="29">
        <v>23429</v>
      </c>
      <c r="Y661" s="224"/>
      <c r="Z661" s="28"/>
    </row>
    <row r="662" spans="1:26" hidden="1" x14ac:dyDescent="0.3">
      <c r="A662" s="34">
        <v>45860</v>
      </c>
      <c r="B662" s="7" t="str">
        <f t="shared" si="95"/>
        <v>julio</v>
      </c>
      <c r="C662" s="27">
        <v>100049</v>
      </c>
      <c r="D662" s="23" t="s">
        <v>20</v>
      </c>
      <c r="E662" s="183" t="s">
        <v>1134</v>
      </c>
      <c r="F662" s="40" t="s">
        <v>129</v>
      </c>
      <c r="G662" s="32" t="str">
        <f>IFERROR(VLOOKUP(F662,Productos!$A$2:$D$258,2,0)," ")</f>
        <v>Electric Standing Desk  PRO Negro</v>
      </c>
      <c r="H662" s="7">
        <v>1</v>
      </c>
      <c r="I662" s="32" t="str">
        <f>IFERROR(VLOOKUP(F662,Productos!$A$2:$D$258,3,0)," ")</f>
        <v>Standing Desk</v>
      </c>
      <c r="J662" s="184" t="s">
        <v>698</v>
      </c>
      <c r="K662" s="184" t="s">
        <v>1135</v>
      </c>
      <c r="L662" s="26" t="str">
        <f t="shared" si="97"/>
        <v>Despachado</v>
      </c>
      <c r="M662" s="56" t="s">
        <v>238</v>
      </c>
      <c r="N662" s="139" t="s">
        <v>1321</v>
      </c>
      <c r="O662" s="150">
        <v>45860</v>
      </c>
      <c r="P662" s="151">
        <v>45863</v>
      </c>
      <c r="Q662" s="24" t="str">
        <f t="shared" si="96"/>
        <v>Entregado</v>
      </c>
      <c r="R662" s="25">
        <f>IF(L662="Despachado",NETWORKDAYS.INTL(A662,O662,11,Valores!$A$2:$A$18)-1,"PTE")</f>
        <v>0</v>
      </c>
      <c r="S662" s="25">
        <f>IF(Q662="Entregado",NETWORKDAYS.INTL(A662,P662,11,Valores!$A$2:$A$18)-1,"PTE")</f>
        <v>3</v>
      </c>
      <c r="T662" s="25"/>
      <c r="U662" s="25"/>
      <c r="V662" s="25" t="e">
        <f>IF(Q662="Entregado",IF(S662&lt;=VLOOKUP(K662,Valores!E:F,2,0),"Cumple","No cumple"),"PTE")</f>
        <v>#N/A</v>
      </c>
      <c r="W662" s="25"/>
      <c r="X662" s="29">
        <v>59835</v>
      </c>
      <c r="Y662" s="224"/>
      <c r="Z662" s="28"/>
    </row>
    <row r="663" spans="1:26" hidden="1" x14ac:dyDescent="0.3">
      <c r="A663" s="34">
        <v>45860</v>
      </c>
      <c r="B663" s="7" t="str">
        <f t="shared" si="95"/>
        <v>julio</v>
      </c>
      <c r="C663" s="27">
        <v>100049</v>
      </c>
      <c r="D663" s="23" t="s">
        <v>20</v>
      </c>
      <c r="E663" s="183" t="s">
        <v>1134</v>
      </c>
      <c r="F663" s="22" t="s">
        <v>144</v>
      </c>
      <c r="G663" s="32" t="str">
        <f>IFERROR(VLOOKUP(F663,Productos!$A$2:$D$258,2,0)," ")</f>
        <v>Superficie  Caramelo 170x70 Clasico</v>
      </c>
      <c r="H663" s="7">
        <v>1</v>
      </c>
      <c r="I663" s="32" t="str">
        <f>IFERROR(VLOOKUP(F663,Productos!$A$2:$D$258,3,0)," ")</f>
        <v>Superficie</v>
      </c>
      <c r="J663" s="184" t="s">
        <v>698</v>
      </c>
      <c r="K663" s="184" t="s">
        <v>1135</v>
      </c>
      <c r="L663" s="26" t="str">
        <f t="shared" si="97"/>
        <v>Despachado</v>
      </c>
      <c r="M663" s="56" t="s">
        <v>238</v>
      </c>
      <c r="N663" s="139" t="s">
        <v>1322</v>
      </c>
      <c r="O663" s="150">
        <v>45860</v>
      </c>
      <c r="P663" s="151">
        <v>45864</v>
      </c>
      <c r="Q663" s="24" t="str">
        <f t="shared" si="96"/>
        <v>Entregado</v>
      </c>
      <c r="R663" s="25">
        <f>IF(L663="Despachado",NETWORKDAYS.INTL(A663,O663,11,Valores!$A$2:$A$18)-1,"PTE")</f>
        <v>0</v>
      </c>
      <c r="S663" s="25">
        <f>IF(Q663="Entregado",NETWORKDAYS.INTL(A663,P663,11,Valores!$A$2:$A$18)-1,"PTE")</f>
        <v>4</v>
      </c>
      <c r="T663" s="25"/>
      <c r="U663" s="25"/>
      <c r="V663" s="25" t="e">
        <f>IF(Q663="Entregado",IF(S663&lt;=VLOOKUP(K663,Valores!E:F,2,0),"Cumple","No cumple"),"PTE")</f>
        <v>#N/A</v>
      </c>
      <c r="W663" s="25"/>
      <c r="X663" s="29">
        <v>44340</v>
      </c>
      <c r="Y663" s="224"/>
      <c r="Z663" s="28"/>
    </row>
    <row r="664" spans="1:26" hidden="1" x14ac:dyDescent="0.3">
      <c r="A664" s="34">
        <v>45860</v>
      </c>
      <c r="B664" s="7" t="str">
        <f t="shared" si="95"/>
        <v>julio</v>
      </c>
      <c r="C664" s="27">
        <v>100049</v>
      </c>
      <c r="D664" s="23" t="s">
        <v>20</v>
      </c>
      <c r="E664" s="183" t="s">
        <v>1134</v>
      </c>
      <c r="F664" s="22" t="s">
        <v>240</v>
      </c>
      <c r="G664" s="32" t="str">
        <f>IFERROR(VLOOKUP(F664,Productos!$A$2:$D$258,2,0)," ")</f>
        <v>Bandeja de cables</v>
      </c>
      <c r="H664" s="7">
        <v>1</v>
      </c>
      <c r="I664" s="32" t="str">
        <f>IFERROR(VLOOKUP(F664,Productos!$A$2:$D$258,3,0)," ")</f>
        <v>Accesorio</v>
      </c>
      <c r="J664" s="184" t="s">
        <v>698</v>
      </c>
      <c r="K664" s="184" t="s">
        <v>1135</v>
      </c>
      <c r="L664" s="26" t="str">
        <f t="shared" si="97"/>
        <v>Despachado</v>
      </c>
      <c r="M664" s="56" t="s">
        <v>238</v>
      </c>
      <c r="N664" s="139" t="s">
        <v>1323</v>
      </c>
      <c r="O664" s="150">
        <v>45860</v>
      </c>
      <c r="P664" s="151">
        <v>45864</v>
      </c>
      <c r="Q664" s="24" t="str">
        <f t="shared" si="96"/>
        <v>Entregado</v>
      </c>
      <c r="R664" s="25">
        <f>IF(L664="Despachado",NETWORKDAYS.INTL(A664,O664,11,Valores!$A$2:$A$18)-1,"PTE")</f>
        <v>0</v>
      </c>
      <c r="S664" s="25">
        <f>IF(Q664="Entregado",NETWORKDAYS.INTL(A664,P664,11,Valores!$A$2:$A$18)-1,"PTE")</f>
        <v>4</v>
      </c>
      <c r="T664" s="25"/>
      <c r="U664" s="25"/>
      <c r="V664" s="25" t="e">
        <f>IF(Q664="Entregado",IF(S664&lt;=VLOOKUP(K664,Valores!E:F,2,0),"Cumple","No cumple"),"PTE")</f>
        <v>#N/A</v>
      </c>
      <c r="W664" s="25"/>
      <c r="X664" s="29">
        <v>24885</v>
      </c>
      <c r="Y664" s="224"/>
      <c r="Z664" s="28"/>
    </row>
    <row r="665" spans="1:26" hidden="1" x14ac:dyDescent="0.3">
      <c r="A665" s="34">
        <v>45860</v>
      </c>
      <c r="B665" s="7" t="str">
        <f t="shared" si="95"/>
        <v>julio</v>
      </c>
      <c r="C665" s="27">
        <v>100050</v>
      </c>
      <c r="D665" s="23" t="s">
        <v>20</v>
      </c>
      <c r="E665" s="183" t="s">
        <v>1136</v>
      </c>
      <c r="F665" s="40" t="s">
        <v>240</v>
      </c>
      <c r="G665" s="32" t="str">
        <f>IFERROR(VLOOKUP(F665,Productos!$A$2:$D$258,2,0)," ")</f>
        <v>Bandeja de cables</v>
      </c>
      <c r="H665" s="7">
        <v>1</v>
      </c>
      <c r="I665" s="32" t="str">
        <f>IFERROR(VLOOKUP(F665,Productos!$A$2:$D$258,3,0)," ")</f>
        <v>Accesorio</v>
      </c>
      <c r="J665" s="139" t="s">
        <v>21</v>
      </c>
      <c r="K665" s="182" t="s">
        <v>22</v>
      </c>
      <c r="L665" s="26" t="str">
        <f t="shared" si="97"/>
        <v>Despachado</v>
      </c>
      <c r="M665" s="56" t="s">
        <v>238</v>
      </c>
      <c r="N665" s="139" t="s">
        <v>1324</v>
      </c>
      <c r="O665" s="150">
        <v>45860</v>
      </c>
      <c r="P665" s="151">
        <v>45861</v>
      </c>
      <c r="Q665" s="24" t="str">
        <f t="shared" si="96"/>
        <v>Entregado</v>
      </c>
      <c r="R665" s="25">
        <f>IF(L665="Despachado",NETWORKDAYS.INTL(A665,O665,11,Valores!$A$2:$A$18)-1,"PTE")</f>
        <v>0</v>
      </c>
      <c r="S665" s="25">
        <f>IF(Q665="Entregado",NETWORKDAYS.INTL(A665,P665,11,Valores!$A$2:$A$18)-1,"PTE")</f>
        <v>1</v>
      </c>
      <c r="T665" s="25"/>
      <c r="U665" s="25"/>
      <c r="V665" s="25" t="str">
        <f>IF(Q665="Entregado",IF(S665&lt;=VLOOKUP(K665,Valores!E:F,2,0),"Cumple","No cumple"),"PTE")</f>
        <v>Cumple</v>
      </c>
      <c r="W665" s="25"/>
      <c r="X665" s="29">
        <v>24885</v>
      </c>
      <c r="Y665" s="224"/>
      <c r="Z665" s="28"/>
    </row>
    <row r="666" spans="1:26" hidden="1" x14ac:dyDescent="0.3">
      <c r="A666" s="34">
        <v>45860</v>
      </c>
      <c r="B666" s="7" t="str">
        <f t="shared" si="95"/>
        <v>julio</v>
      </c>
      <c r="C666" s="27">
        <v>100050</v>
      </c>
      <c r="D666" s="23" t="s">
        <v>20</v>
      </c>
      <c r="E666" s="183" t="s">
        <v>1136</v>
      </c>
      <c r="F666" s="22" t="s">
        <v>308</v>
      </c>
      <c r="G666" s="32" t="str">
        <f>IFERROR(VLOOKUP(F666,Productos!$A$2:$D$258,2,0)," ")</f>
        <v>Repisa TECU Fresno Europeo</v>
      </c>
      <c r="H666" s="7">
        <v>1</v>
      </c>
      <c r="I666" s="32" t="str">
        <f>IFERROR(VLOOKUP(F666,Productos!$A$2:$D$258,3,0)," ")</f>
        <v>Repisa</v>
      </c>
      <c r="J666" s="139" t="s">
        <v>21</v>
      </c>
      <c r="K666" s="182" t="s">
        <v>22</v>
      </c>
      <c r="L666" s="26" t="str">
        <f t="shared" si="97"/>
        <v>Despachado</v>
      </c>
      <c r="M666" s="56" t="s">
        <v>238</v>
      </c>
      <c r="N666" s="139" t="s">
        <v>1325</v>
      </c>
      <c r="O666" s="150">
        <v>45860</v>
      </c>
      <c r="P666" s="151">
        <v>45861</v>
      </c>
      <c r="Q666" s="24" t="str">
        <f t="shared" si="96"/>
        <v>Entregado</v>
      </c>
      <c r="R666" s="25">
        <f>IF(L666="Despachado",NETWORKDAYS.INTL(A666,O666,11,Valores!$A$2:$A$18)-1,"PTE")</f>
        <v>0</v>
      </c>
      <c r="S666" s="25">
        <f>IF(Q666="Entregado",NETWORKDAYS.INTL(A666,P666,11,Valores!$A$2:$A$18)-1,"PTE")</f>
        <v>1</v>
      </c>
      <c r="T666" s="25"/>
      <c r="U666" s="25"/>
      <c r="V666" s="25" t="str">
        <f>IF(Q666="Entregado",IF(S666&lt;=VLOOKUP(K666,Valores!E:F,2,0),"Cumple","No cumple"),"PTE")</f>
        <v>Cumple</v>
      </c>
      <c r="W666" s="25"/>
      <c r="X666" s="29">
        <v>23429</v>
      </c>
      <c r="Y666" s="224"/>
      <c r="Z666" s="28"/>
    </row>
    <row r="667" spans="1:26" hidden="1" x14ac:dyDescent="0.3">
      <c r="A667" s="34">
        <v>45860</v>
      </c>
      <c r="B667" s="7" t="str">
        <f t="shared" si="95"/>
        <v>julio</v>
      </c>
      <c r="C667" s="27">
        <v>100051</v>
      </c>
      <c r="D667" s="23" t="s">
        <v>20</v>
      </c>
      <c r="E667" s="183" t="s">
        <v>1137</v>
      </c>
      <c r="F667" s="22" t="s">
        <v>127</v>
      </c>
      <c r="G667" s="32" t="str">
        <f>IFERROR(VLOOKUP(F667,Productos!$A$2:$D$258,2,0)," ")</f>
        <v>Electric Standing Desk GO Blanco</v>
      </c>
      <c r="H667" s="7">
        <v>1</v>
      </c>
      <c r="I667" s="32" t="str">
        <f>IFERROR(VLOOKUP(F667,Productos!$A$2:$D$258,3,0)," ")</f>
        <v>Standing Desk</v>
      </c>
      <c r="J667" s="139" t="s">
        <v>21</v>
      </c>
      <c r="K667" s="182" t="s">
        <v>22</v>
      </c>
      <c r="L667" s="26" t="str">
        <f t="shared" si="97"/>
        <v>Despachado</v>
      </c>
      <c r="M667" s="56" t="s">
        <v>238</v>
      </c>
      <c r="N667" s="139" t="s">
        <v>1326</v>
      </c>
      <c r="O667" s="150">
        <v>45862</v>
      </c>
      <c r="P667" s="151">
        <v>45863</v>
      </c>
      <c r="Q667" s="24" t="str">
        <f t="shared" si="96"/>
        <v>Entregado</v>
      </c>
      <c r="R667" s="25">
        <f>IF(L667="Despachado",NETWORKDAYS.INTL(A667,O667,11,Valores!$A$2:$A$18)-1,"PTE")</f>
        <v>2</v>
      </c>
      <c r="S667" s="25">
        <f>IF(Q667="Entregado",NETWORKDAYS.INTL(A667,P667,11,Valores!$A$2:$A$18)-1,"PTE")</f>
        <v>3</v>
      </c>
      <c r="T667" s="25"/>
      <c r="U667" s="25"/>
      <c r="V667" s="25" t="str">
        <f>IF(Q667="Entregado",IF(S667&lt;=VLOOKUP(K667,Valores!E:F,2,0),"Cumple","No cumple"),"PTE")</f>
        <v>Cumple</v>
      </c>
      <c r="W667" s="25"/>
      <c r="X667" s="29">
        <v>41593</v>
      </c>
      <c r="Y667" s="224"/>
      <c r="Z667" s="28"/>
    </row>
    <row r="668" spans="1:26" hidden="1" x14ac:dyDescent="0.3">
      <c r="A668" s="34">
        <v>45860</v>
      </c>
      <c r="B668" s="7" t="str">
        <f t="shared" si="95"/>
        <v>julio</v>
      </c>
      <c r="C668" s="27">
        <v>100051</v>
      </c>
      <c r="D668" s="23" t="s">
        <v>20</v>
      </c>
      <c r="E668" s="183" t="s">
        <v>1137</v>
      </c>
      <c r="F668" s="22" t="s">
        <v>301</v>
      </c>
      <c r="G668" s="32" t="str">
        <f>IFERROR(VLOOKUP(F668,Productos!$A$2:$D$258,2,0)," ")</f>
        <v>Superficie  Fresno Europeo 120x70 Clasico Small</v>
      </c>
      <c r="H668" s="7">
        <v>1</v>
      </c>
      <c r="I668" s="32" t="str">
        <f>IFERROR(VLOOKUP(F668,Productos!$A$2:$D$258,3,0)," ")</f>
        <v>Superficie</v>
      </c>
      <c r="J668" s="139" t="s">
        <v>21</v>
      </c>
      <c r="K668" s="182" t="s">
        <v>22</v>
      </c>
      <c r="L668" s="26" t="str">
        <f t="shared" si="97"/>
        <v>Despachado</v>
      </c>
      <c r="M668" s="56" t="s">
        <v>238</v>
      </c>
      <c r="N668" s="139" t="s">
        <v>1327</v>
      </c>
      <c r="O668" s="150">
        <v>45862</v>
      </c>
      <c r="P668" s="151">
        <v>45864</v>
      </c>
      <c r="Q668" s="24" t="str">
        <f t="shared" si="96"/>
        <v>Entregado</v>
      </c>
      <c r="R668" s="25">
        <f>IF(L668="Despachado",NETWORKDAYS.INTL(A668,O668,11,Valores!$A$2:$A$18)-1,"PTE")</f>
        <v>2</v>
      </c>
      <c r="S668" s="25">
        <f>IF(Q668="Entregado",NETWORKDAYS.INTL(A668,P668,11,Valores!$A$2:$A$18)-1,"PTE")</f>
        <v>4</v>
      </c>
      <c r="T668" s="25"/>
      <c r="U668" s="25"/>
      <c r="V668" s="25" t="str">
        <f>IF(Q668="Entregado",IF(S668&lt;=VLOOKUP(K668,Valores!E:F,2,0),"Cumple","No cumple"),"PTE")</f>
        <v>No cumple</v>
      </c>
      <c r="W668" s="25"/>
      <c r="X668" s="29">
        <v>24093</v>
      </c>
      <c r="Y668" s="224"/>
      <c r="Z668" s="28"/>
    </row>
    <row r="669" spans="1:26" hidden="1" x14ac:dyDescent="0.3">
      <c r="A669" s="34">
        <v>45860</v>
      </c>
      <c r="B669" s="7" t="str">
        <f t="shared" si="95"/>
        <v>julio</v>
      </c>
      <c r="C669" s="27">
        <v>100052</v>
      </c>
      <c r="D669" s="23" t="s">
        <v>20</v>
      </c>
      <c r="E669" s="183" t="s">
        <v>1138</v>
      </c>
      <c r="F669" s="22" t="s">
        <v>57</v>
      </c>
      <c r="G669" s="32" t="str">
        <f>IFERROR(VLOOKUP(F669,Productos!$A$2:$D$258,2,0)," ")</f>
        <v>Electric Standing Desk  En L Frame Negro 2.0</v>
      </c>
      <c r="H669" s="7">
        <v>1</v>
      </c>
      <c r="I669" s="32" t="str">
        <f>IFERROR(VLOOKUP(F669,Productos!$A$2:$D$258,3,0)," ")</f>
        <v>Standing Desk</v>
      </c>
      <c r="J669" s="139" t="s">
        <v>21</v>
      </c>
      <c r="K669" s="182" t="s">
        <v>22</v>
      </c>
      <c r="L669" s="26" t="str">
        <f t="shared" si="97"/>
        <v>Despachado</v>
      </c>
      <c r="M669" s="56" t="s">
        <v>238</v>
      </c>
      <c r="N669" s="139" t="s">
        <v>1328</v>
      </c>
      <c r="O669" s="150">
        <v>45861</v>
      </c>
      <c r="P669" s="151">
        <v>45863</v>
      </c>
      <c r="Q669" s="24" t="str">
        <f t="shared" si="96"/>
        <v>Entregado</v>
      </c>
      <c r="R669" s="25">
        <f>IF(L669="Despachado",NETWORKDAYS.INTL(A669,O669,11,Valores!$A$2:$A$18)-1,"PTE")</f>
        <v>1</v>
      </c>
      <c r="S669" s="25">
        <f>IF(Q669="Entregado",NETWORKDAYS.INTL(A669,P669,11,Valores!$A$2:$A$18)-1,"PTE")</f>
        <v>3</v>
      </c>
      <c r="T669" s="25"/>
      <c r="U669" s="25"/>
      <c r="V669" s="25" t="str">
        <f>IF(Q669="Entregado",IF(S669&lt;=VLOOKUP(K669,Valores!E:F,2,0),"Cumple","No cumple"),"PTE")</f>
        <v>Cumple</v>
      </c>
      <c r="W669" s="25"/>
      <c r="X669" s="29">
        <v>62530</v>
      </c>
      <c r="Y669" s="224"/>
      <c r="Z669" s="28"/>
    </row>
    <row r="670" spans="1:26" hidden="1" x14ac:dyDescent="0.3">
      <c r="A670" s="34">
        <v>45860</v>
      </c>
      <c r="B670" s="7" t="str">
        <f t="shared" si="95"/>
        <v>julio</v>
      </c>
      <c r="C670" s="27">
        <v>100052</v>
      </c>
      <c r="D670" s="23" t="s">
        <v>20</v>
      </c>
      <c r="E670" s="183" t="s">
        <v>1138</v>
      </c>
      <c r="F670" s="22" t="s">
        <v>29</v>
      </c>
      <c r="G670" s="32" t="str">
        <f>IFERROR(VLOOKUP(F670,Productos!$A$2:$D$258,2,0)," ")</f>
        <v>Superficie  en L Caramelo 180x150cm x 70</v>
      </c>
      <c r="H670" s="7">
        <v>1</v>
      </c>
      <c r="I670" s="32" t="str">
        <f>IFERROR(VLOOKUP(F670,Productos!$A$2:$D$258,3,0)," ")</f>
        <v>Superficie</v>
      </c>
      <c r="J670" s="139" t="s">
        <v>21</v>
      </c>
      <c r="K670" s="182" t="s">
        <v>22</v>
      </c>
      <c r="L670" s="26" t="str">
        <f t="shared" si="97"/>
        <v>Despachado</v>
      </c>
      <c r="M670" s="56" t="s">
        <v>238</v>
      </c>
      <c r="N670" s="139" t="s">
        <v>1329</v>
      </c>
      <c r="O670" s="150">
        <v>45861</v>
      </c>
      <c r="P670" s="151">
        <v>45862</v>
      </c>
      <c r="Q670" s="24" t="str">
        <f t="shared" si="96"/>
        <v>Entregado</v>
      </c>
      <c r="R670" s="25">
        <f>IF(L670="Despachado",NETWORKDAYS.INTL(A670,O670,11,Valores!$A$2:$A$18)-1,"PTE")</f>
        <v>1</v>
      </c>
      <c r="S670" s="25">
        <f>IF(Q670="Entregado",NETWORKDAYS.INTL(A670,P670,11,Valores!$A$2:$A$18)-1,"PTE")</f>
        <v>2</v>
      </c>
      <c r="T670" s="25"/>
      <c r="U670" s="25"/>
      <c r="V670" s="25" t="str">
        <f>IF(Q670="Entregado",IF(S670&lt;=VLOOKUP(K670,Valores!E:F,2,0),"Cumple","No cumple"),"PTE")</f>
        <v>Cumple</v>
      </c>
      <c r="W670" s="25"/>
      <c r="X670" s="29">
        <v>26749</v>
      </c>
      <c r="Y670" s="224"/>
      <c r="Z670" s="28"/>
    </row>
    <row r="671" spans="1:26" hidden="1" x14ac:dyDescent="0.3">
      <c r="A671" s="34">
        <v>45860</v>
      </c>
      <c r="B671" s="7" t="str">
        <f t="shared" si="95"/>
        <v>julio</v>
      </c>
      <c r="C671" s="27">
        <v>100052</v>
      </c>
      <c r="D671" s="23" t="s">
        <v>20</v>
      </c>
      <c r="E671" s="183" t="s">
        <v>1138</v>
      </c>
      <c r="F671" s="22" t="s">
        <v>83</v>
      </c>
      <c r="G671" s="32" t="str">
        <f>IFERROR(VLOOKUP(F671,Productos!$A$2:$D$258,2,0)," ")</f>
        <v>Desk Pad B Negro Azul</v>
      </c>
      <c r="H671" s="7">
        <v>1</v>
      </c>
      <c r="I671" s="32" t="str">
        <f>IFERROR(VLOOKUP(F671,Productos!$A$2:$D$258,3,0)," ")</f>
        <v>Accesorio</v>
      </c>
      <c r="J671" s="139" t="s">
        <v>21</v>
      </c>
      <c r="K671" s="182" t="s">
        <v>22</v>
      </c>
      <c r="L671" s="26" t="str">
        <f t="shared" si="97"/>
        <v>Despachado</v>
      </c>
      <c r="M671" s="56" t="s">
        <v>238</v>
      </c>
      <c r="N671" s="139" t="s">
        <v>1330</v>
      </c>
      <c r="O671" s="150">
        <v>45861</v>
      </c>
      <c r="P671" s="151">
        <v>45862</v>
      </c>
      <c r="Q671" s="24" t="str">
        <f t="shared" si="96"/>
        <v>Entregado</v>
      </c>
      <c r="R671" s="25">
        <f>IF(L671="Despachado",NETWORKDAYS.INTL(A671,O671,11,Valores!$A$2:$A$18)-1,"PTE")</f>
        <v>1</v>
      </c>
      <c r="S671" s="25">
        <f>IF(Q671="Entregado",NETWORKDAYS.INTL(A671,P671,11,Valores!$A$2:$A$18)-1,"PTE")</f>
        <v>2</v>
      </c>
      <c r="T671" s="25"/>
      <c r="U671" s="25"/>
      <c r="V671" s="25" t="str">
        <f>IF(Q671="Entregado",IF(S671&lt;=VLOOKUP(K671,Valores!E:F,2,0),"Cumple","No cumple"),"PTE")</f>
        <v>Cumple</v>
      </c>
      <c r="W671" s="25"/>
      <c r="X671" s="29">
        <v>16617</v>
      </c>
      <c r="Y671" s="224"/>
      <c r="Z671" s="28"/>
    </row>
    <row r="672" spans="1:26" hidden="1" x14ac:dyDescent="0.3">
      <c r="A672" s="34">
        <v>45862</v>
      </c>
      <c r="B672" s="7" t="str">
        <f t="shared" si="95"/>
        <v>julio</v>
      </c>
      <c r="C672" s="27">
        <v>100053</v>
      </c>
      <c r="D672" s="23" t="s">
        <v>20</v>
      </c>
      <c r="E672" s="183" t="s">
        <v>1139</v>
      </c>
      <c r="F672" s="22" t="s">
        <v>127</v>
      </c>
      <c r="G672" s="32" t="str">
        <f>IFERROR(VLOOKUP(F672,Productos!$A$2:$D$258,2,0)," ")</f>
        <v>Electric Standing Desk GO Blanco</v>
      </c>
      <c r="H672" s="7">
        <v>1</v>
      </c>
      <c r="I672" s="32" t="str">
        <f>IFERROR(VLOOKUP(F672,Productos!$A$2:$D$258,3,0)," ")</f>
        <v>Standing Desk</v>
      </c>
      <c r="J672" s="184" t="s">
        <v>24</v>
      </c>
      <c r="K672" s="184" t="s">
        <v>644</v>
      </c>
      <c r="L672" s="26" t="str">
        <f t="shared" ref="L672:L677" si="98">IF(O672&gt;0,"Despachado","En alistamiento")</f>
        <v>Despachado</v>
      </c>
      <c r="M672" s="56" t="s">
        <v>238</v>
      </c>
      <c r="N672" s="139" t="s">
        <v>1331</v>
      </c>
      <c r="O672" s="150">
        <v>45862</v>
      </c>
      <c r="P672" s="151">
        <v>45863</v>
      </c>
      <c r="Q672" s="24" t="str">
        <f t="shared" si="96"/>
        <v>Entregado</v>
      </c>
      <c r="R672" s="25">
        <f>IF(L672="Despachado",NETWORKDAYS.INTL(A672,O672,11,Valores!$A$2:$A$18)-1,"PTE")</f>
        <v>0</v>
      </c>
      <c r="S672" s="25">
        <f>IF(Q672="Entregado",NETWORKDAYS.INTL(A672,P672,11,Valores!$A$2:$A$18)-1,"PTE")</f>
        <v>1</v>
      </c>
      <c r="T672" s="25"/>
      <c r="U672" s="25"/>
      <c r="V672" s="25" t="str">
        <f>IF(Q672="Entregado",IF(S672&lt;=VLOOKUP(K672,Valores!E:F,2,0),"Cumple","No cumple"),"PTE")</f>
        <v>Cumple</v>
      </c>
      <c r="W672" s="25"/>
      <c r="X672" s="29">
        <v>41593</v>
      </c>
      <c r="Y672" s="224"/>
      <c r="Z672" s="28"/>
    </row>
    <row r="673" spans="1:26" hidden="1" x14ac:dyDescent="0.3">
      <c r="A673" s="34">
        <v>45862</v>
      </c>
      <c r="B673" s="7" t="str">
        <f t="shared" si="95"/>
        <v>julio</v>
      </c>
      <c r="C673" s="27">
        <v>100053</v>
      </c>
      <c r="D673" s="23" t="s">
        <v>20</v>
      </c>
      <c r="E673" s="183" t="s">
        <v>1139</v>
      </c>
      <c r="F673" s="22" t="s">
        <v>147</v>
      </c>
      <c r="G673" s="32" t="str">
        <f>IFERROR(VLOOKUP(F673,Productos!$A$2:$D$258,2,0)," ")</f>
        <v>Superficie Niebla 130x70 Clasico</v>
      </c>
      <c r="H673" s="7">
        <v>1</v>
      </c>
      <c r="I673" s="32" t="str">
        <f>IFERROR(VLOOKUP(F673,Productos!$A$2:$D$258,3,0)," ")</f>
        <v>Superficie</v>
      </c>
      <c r="J673" s="184" t="s">
        <v>24</v>
      </c>
      <c r="K673" s="184" t="s">
        <v>644</v>
      </c>
      <c r="L673" s="26" t="str">
        <f t="shared" si="98"/>
        <v>Despachado</v>
      </c>
      <c r="M673" s="56" t="s">
        <v>238</v>
      </c>
      <c r="N673" s="139" t="s">
        <v>1332</v>
      </c>
      <c r="O673" s="150">
        <v>45862</v>
      </c>
      <c r="P673" s="151">
        <v>45863</v>
      </c>
      <c r="Q673" s="24" t="str">
        <f t="shared" si="96"/>
        <v>Entregado</v>
      </c>
      <c r="R673" s="25">
        <f>IF(L673="Despachado",NETWORKDAYS.INTL(A673,O673,11,Valores!$A$2:$A$18)-1,"PTE")</f>
        <v>0</v>
      </c>
      <c r="S673" s="25">
        <f>IF(Q673="Entregado",NETWORKDAYS.INTL(A673,P673,11,Valores!$A$2:$A$18)-1,"PTE")</f>
        <v>1</v>
      </c>
      <c r="T673" s="25"/>
      <c r="U673" s="25"/>
      <c r="V673" s="25" t="str">
        <f>IF(Q673="Entregado",IF(S673&lt;=VLOOKUP(K673,Valores!E:F,2,0),"Cumple","No cumple"),"PTE")</f>
        <v>Cumple</v>
      </c>
      <c r="W673" s="25"/>
      <c r="X673" s="29">
        <v>24093</v>
      </c>
      <c r="Y673" s="224"/>
      <c r="Z673" s="28"/>
    </row>
    <row r="674" spans="1:26" hidden="1" x14ac:dyDescent="0.3">
      <c r="A674" s="34">
        <v>45862</v>
      </c>
      <c r="B674" s="7" t="str">
        <f t="shared" si="95"/>
        <v>julio</v>
      </c>
      <c r="C674" s="27">
        <v>100053</v>
      </c>
      <c r="D674" s="23" t="s">
        <v>20</v>
      </c>
      <c r="E674" s="183" t="s">
        <v>1139</v>
      </c>
      <c r="F674" s="22" t="s">
        <v>70</v>
      </c>
      <c r="G674" s="32" t="str">
        <f>IFERROR(VLOOKUP(F674,Productos!$A$2:$D$258,2,0)," ")</f>
        <v>Repisa Niebla</v>
      </c>
      <c r="H674" s="7">
        <v>1</v>
      </c>
      <c r="I674" s="32" t="str">
        <f>IFERROR(VLOOKUP(F674,Productos!$A$2:$D$258,3,0)," ")</f>
        <v>Repisa</v>
      </c>
      <c r="J674" s="184" t="s">
        <v>24</v>
      </c>
      <c r="K674" s="184" t="s">
        <v>644</v>
      </c>
      <c r="L674" s="26" t="str">
        <f t="shared" si="98"/>
        <v>Despachado</v>
      </c>
      <c r="M674" s="56" t="s">
        <v>238</v>
      </c>
      <c r="N674" s="187" t="s">
        <v>241</v>
      </c>
      <c r="O674" s="188" t="s">
        <v>241</v>
      </c>
      <c r="P674" s="189" t="s">
        <v>241</v>
      </c>
      <c r="Q674" s="24" t="str">
        <f t="shared" si="96"/>
        <v>Entregado</v>
      </c>
      <c r="R674" s="25" t="e">
        <f>IF(L674="Despachado",NETWORKDAYS.INTL(A674,O674,11,Valores!$A$2:$A$18)-1,"PTE")</f>
        <v>#VALUE!</v>
      </c>
      <c r="S674" s="25" t="e">
        <f>IF(Q674="Entregado",NETWORKDAYS.INTL(A674,P674,11,Valores!$A$2:$A$18)-1,"PTE")</f>
        <v>#VALUE!</v>
      </c>
      <c r="T674" s="25"/>
      <c r="U674" s="25"/>
      <c r="V674" s="25" t="e">
        <f>IF(Q674="Entregado",IF(S674&lt;=VLOOKUP(K674,Valores!E:F,2,0),"Cumple","No cumple"),"PTE")</f>
        <v>#VALUE!</v>
      </c>
      <c r="W674" s="25"/>
      <c r="X674" s="29">
        <v>0</v>
      </c>
      <c r="Y674" s="224"/>
      <c r="Z674" s="28"/>
    </row>
    <row r="675" spans="1:26" hidden="1" x14ac:dyDescent="0.3">
      <c r="A675" s="34">
        <v>45863</v>
      </c>
      <c r="B675" s="7" t="str">
        <f t="shared" si="95"/>
        <v>julio</v>
      </c>
      <c r="C675" s="27">
        <v>100054</v>
      </c>
      <c r="D675" s="23" t="s">
        <v>20</v>
      </c>
      <c r="E675" s="183" t="s">
        <v>1140</v>
      </c>
      <c r="F675" s="40" t="s">
        <v>129</v>
      </c>
      <c r="G675" s="32" t="str">
        <f>IFERROR(VLOOKUP(F675,Productos!$A$2:$D$258,2,0)," ")</f>
        <v>Electric Standing Desk  PRO Negro</v>
      </c>
      <c r="H675" s="7">
        <v>1</v>
      </c>
      <c r="I675" s="32" t="str">
        <f>IFERROR(VLOOKUP(F675,Productos!$A$2:$D$258,3,0)," ")</f>
        <v>Standing Desk</v>
      </c>
      <c r="J675" s="139" t="s">
        <v>21</v>
      </c>
      <c r="K675" s="182" t="s">
        <v>22</v>
      </c>
      <c r="L675" s="26" t="str">
        <f t="shared" si="98"/>
        <v>Despachado</v>
      </c>
      <c r="M675" s="56" t="s">
        <v>238</v>
      </c>
      <c r="N675" s="139" t="s">
        <v>1333</v>
      </c>
      <c r="O675" s="150">
        <v>45863</v>
      </c>
      <c r="P675" s="151">
        <v>45866</v>
      </c>
      <c r="Q675" s="24" t="str">
        <f t="shared" si="96"/>
        <v>Entregado</v>
      </c>
      <c r="R675" s="25">
        <f>IF(L675="Despachado",NETWORKDAYS.INTL(A675,O675,11,Valores!$A$2:$A$18)-1,"PTE")</f>
        <v>0</v>
      </c>
      <c r="S675" s="25">
        <f>IF(Q675="Entregado",NETWORKDAYS.INTL(A675,P675,11,Valores!$A$2:$A$18)-1,"PTE")</f>
        <v>2</v>
      </c>
      <c r="T675" s="25"/>
      <c r="U675" s="25"/>
      <c r="V675" s="25" t="str">
        <f>IF(Q675="Entregado",IF(S675&lt;=VLOOKUP(K675,Valores!E:F,2,0),"Cumple","No cumple"),"PTE")</f>
        <v>Cumple</v>
      </c>
      <c r="W675" s="25"/>
      <c r="X675" s="29">
        <v>41593</v>
      </c>
      <c r="Y675" s="224"/>
      <c r="Z675" s="28"/>
    </row>
    <row r="676" spans="1:26" hidden="1" x14ac:dyDescent="0.3">
      <c r="A676" s="34">
        <v>45863</v>
      </c>
      <c r="B676" s="7" t="str">
        <f t="shared" si="95"/>
        <v>julio</v>
      </c>
      <c r="C676" s="27">
        <v>100054</v>
      </c>
      <c r="D676" s="23" t="s">
        <v>20</v>
      </c>
      <c r="E676" s="183" t="s">
        <v>1140</v>
      </c>
      <c r="F676" s="22" t="s">
        <v>303</v>
      </c>
      <c r="G676" s="32" t="str">
        <f>IFERROR(VLOOKUP(F676,Productos!$A$2:$D$258,2,0)," ")</f>
        <v>Superficie  Fresno Europeo 140x70 Clasico</v>
      </c>
      <c r="H676" s="7">
        <v>1</v>
      </c>
      <c r="I676" s="32" t="str">
        <f>IFERROR(VLOOKUP(F676,Productos!$A$2:$D$258,3,0)," ")</f>
        <v>Superficie</v>
      </c>
      <c r="J676" s="139" t="s">
        <v>21</v>
      </c>
      <c r="K676" s="182" t="s">
        <v>22</v>
      </c>
      <c r="L676" s="26" t="str">
        <f t="shared" si="98"/>
        <v>Despachado</v>
      </c>
      <c r="M676" s="56" t="s">
        <v>238</v>
      </c>
      <c r="N676" s="139" t="s">
        <v>1334</v>
      </c>
      <c r="O676" s="150">
        <v>45863</v>
      </c>
      <c r="P676" s="151">
        <v>45866</v>
      </c>
      <c r="Q676" s="24" t="str">
        <f t="shared" si="96"/>
        <v>Entregado</v>
      </c>
      <c r="R676" s="25">
        <f>IF(L676="Despachado",NETWORKDAYS.INTL(A676,O676,11,Valores!$A$2:$A$18)-1,"PTE")</f>
        <v>0</v>
      </c>
      <c r="S676" s="25">
        <f>IF(Q676="Entregado",NETWORKDAYS.INTL(A676,P676,11,Valores!$A$2:$A$18)-1,"PTE")</f>
        <v>2</v>
      </c>
      <c r="T676" s="25"/>
      <c r="U676" s="25"/>
      <c r="V676" s="25" t="str">
        <f>IF(Q676="Entregado",IF(S676&lt;=VLOOKUP(K676,Valores!E:F,2,0),"Cumple","No cumple"),"PTE")</f>
        <v>Cumple</v>
      </c>
      <c r="W676" s="25"/>
      <c r="X676" s="29">
        <v>24093</v>
      </c>
      <c r="Y676" s="224"/>
      <c r="Z676" s="28"/>
    </row>
    <row r="677" spans="1:26" hidden="1" x14ac:dyDescent="0.3">
      <c r="A677" s="34">
        <v>45863</v>
      </c>
      <c r="B677" s="7" t="str">
        <f t="shared" si="95"/>
        <v>julio</v>
      </c>
      <c r="C677" s="27">
        <v>100054</v>
      </c>
      <c r="D677" s="23" t="s">
        <v>20</v>
      </c>
      <c r="E677" s="183" t="s">
        <v>1140</v>
      </c>
      <c r="F677" s="22" t="s">
        <v>567</v>
      </c>
      <c r="G677" s="32" t="str">
        <f>IFERROR(VLOOKUP(F677,Productos!$A$2:$D$258,2,0)," ")</f>
        <v>Archivador TECU Fresno Europeo</v>
      </c>
      <c r="H677" s="7">
        <v>1</v>
      </c>
      <c r="I677" s="32" t="str">
        <f>IFERROR(VLOOKUP(F677,Productos!$A$2:$D$258,3,0)," ")</f>
        <v>Archivador</v>
      </c>
      <c r="J677" s="139" t="s">
        <v>21</v>
      </c>
      <c r="K677" s="182" t="s">
        <v>22</v>
      </c>
      <c r="L677" s="26" t="str">
        <f t="shared" si="98"/>
        <v>Despachado</v>
      </c>
      <c r="M677" s="56" t="s">
        <v>238</v>
      </c>
      <c r="N677" s="139" t="s">
        <v>1335</v>
      </c>
      <c r="O677" s="150">
        <v>45867</v>
      </c>
      <c r="P677" s="151">
        <v>45868</v>
      </c>
      <c r="Q677" s="24" t="str">
        <f t="shared" si="96"/>
        <v>Entregado</v>
      </c>
      <c r="R677" s="25">
        <f>IF(L677="Despachado",NETWORKDAYS.INTL(A677,O677,11,Valores!$A$2:$A$18)-1,"PTE")</f>
        <v>3</v>
      </c>
      <c r="S677" s="25">
        <f>IF(Q677="Entregado",NETWORKDAYS.INTL(A677,P677,11,Valores!$A$2:$A$18)-1,"PTE")</f>
        <v>4</v>
      </c>
      <c r="T677" s="25"/>
      <c r="U677" s="25"/>
      <c r="V677" s="25" t="str">
        <f>IF(Q677="Entregado",IF(S677&lt;=VLOOKUP(K677,Valores!E:F,2,0),"Cumple","No cumple"),"PTE")</f>
        <v>No cumple</v>
      </c>
      <c r="W677" s="25"/>
      <c r="X677" s="29">
        <v>54929</v>
      </c>
      <c r="Y677" s="224"/>
      <c r="Z677" s="28"/>
    </row>
    <row r="678" spans="1:26" hidden="1" x14ac:dyDescent="0.3">
      <c r="A678" s="34">
        <v>45863</v>
      </c>
      <c r="B678" s="7" t="str">
        <f t="shared" ref="B678:B688" si="99">TEXT(A678,"mmmm")</f>
        <v>julio</v>
      </c>
      <c r="C678" s="27">
        <v>100055</v>
      </c>
      <c r="D678" s="23" t="s">
        <v>20</v>
      </c>
      <c r="E678" s="183" t="s">
        <v>1141</v>
      </c>
      <c r="F678" s="22" t="s">
        <v>127</v>
      </c>
      <c r="G678" s="32" t="str">
        <f>IFERROR(VLOOKUP(F678,Productos!$A$2:$D$258,2,0)," ")</f>
        <v>Electric Standing Desk GO Blanco</v>
      </c>
      <c r="H678" s="7">
        <v>1</v>
      </c>
      <c r="I678" s="32" t="str">
        <f>IFERROR(VLOOKUP(F678,Productos!$A$2:$D$258,3,0)," ")</f>
        <v>Standing Desk</v>
      </c>
      <c r="J678" s="184" t="s">
        <v>250</v>
      </c>
      <c r="K678" s="184" t="s">
        <v>251</v>
      </c>
      <c r="L678" s="26" t="str">
        <f t="shared" ref="L678:L684" si="100">IF(O678&gt;0,"Despachado","En alistamiento")</f>
        <v>Despachado</v>
      </c>
      <c r="M678" s="56" t="s">
        <v>238</v>
      </c>
      <c r="N678" s="139" t="s">
        <v>1336</v>
      </c>
      <c r="O678" s="150">
        <v>45863</v>
      </c>
      <c r="P678" s="151">
        <v>45866</v>
      </c>
      <c r="Q678" s="24" t="str">
        <f t="shared" si="96"/>
        <v>Entregado</v>
      </c>
      <c r="R678" s="25">
        <f>IF(L678="Despachado",NETWORKDAYS.INTL(A678,O678,11,Valores!$A$2:$A$18)-1,"PTE")</f>
        <v>0</v>
      </c>
      <c r="S678" s="25">
        <f>IF(Q678="Entregado",NETWORKDAYS.INTL(A678,P678,11,Valores!$A$2:$A$18)-1,"PTE")</f>
        <v>2</v>
      </c>
      <c r="T678" s="25"/>
      <c r="U678" s="25"/>
      <c r="V678" s="25" t="str">
        <f>IF(Q678="Entregado",IF(S678&lt;=VLOOKUP(K678,Valores!E:F,2,0),"Cumple","No cumple"),"PTE")</f>
        <v>Cumple</v>
      </c>
      <c r="W678" s="25"/>
      <c r="X678" s="29">
        <v>71764</v>
      </c>
      <c r="Y678" s="224"/>
      <c r="Z678" s="28"/>
    </row>
    <row r="679" spans="1:26" hidden="1" x14ac:dyDescent="0.3">
      <c r="A679" s="34">
        <v>45863</v>
      </c>
      <c r="B679" s="7" t="str">
        <f t="shared" si="99"/>
        <v>julio</v>
      </c>
      <c r="C679" s="27">
        <v>100055</v>
      </c>
      <c r="D679" s="23" t="s">
        <v>20</v>
      </c>
      <c r="E679" s="183" t="s">
        <v>1141</v>
      </c>
      <c r="F679" s="22" t="s">
        <v>301</v>
      </c>
      <c r="G679" s="32" t="str">
        <f>IFERROR(VLOOKUP(F679,Productos!$A$2:$D$258,2,0)," ")</f>
        <v>Superficie  Fresno Europeo 120x70 Clasico Small</v>
      </c>
      <c r="H679" s="7">
        <v>1</v>
      </c>
      <c r="I679" s="32" t="str">
        <f>IFERROR(VLOOKUP(F679,Productos!$A$2:$D$258,3,0)," ")</f>
        <v>Superficie</v>
      </c>
      <c r="J679" s="184" t="s">
        <v>250</v>
      </c>
      <c r="K679" s="184" t="s">
        <v>251</v>
      </c>
      <c r="L679" s="26" t="str">
        <f t="shared" si="100"/>
        <v>Despachado</v>
      </c>
      <c r="M679" s="56" t="s">
        <v>238</v>
      </c>
      <c r="N679" s="139" t="s">
        <v>1337</v>
      </c>
      <c r="O679" s="150">
        <v>45863</v>
      </c>
      <c r="P679" s="151">
        <v>45866</v>
      </c>
      <c r="Q679" s="24" t="str">
        <f t="shared" si="96"/>
        <v>Entregado</v>
      </c>
      <c r="R679" s="25">
        <f>IF(L679="Despachado",NETWORKDAYS.INTL(A679,O679,11,Valores!$A$2:$A$18)-1,"PTE")</f>
        <v>0</v>
      </c>
      <c r="S679" s="25">
        <f>IF(Q679="Entregado",NETWORKDAYS.INTL(A679,P679,11,Valores!$A$2:$A$18)-1,"PTE")</f>
        <v>2</v>
      </c>
      <c r="T679" s="25"/>
      <c r="U679" s="25"/>
      <c r="V679" s="25" t="str">
        <f>IF(Q679="Entregado",IF(S679&lt;=VLOOKUP(K679,Valores!E:F,2,0),"Cumple","No cumple"),"PTE")</f>
        <v>Cumple</v>
      </c>
      <c r="W679" s="25"/>
      <c r="X679" s="29">
        <v>48876</v>
      </c>
      <c r="Y679" s="224"/>
      <c r="Z679" s="28"/>
    </row>
    <row r="680" spans="1:26" hidden="1" x14ac:dyDescent="0.3">
      <c r="A680" s="34">
        <v>45866</v>
      </c>
      <c r="B680" s="7" t="str">
        <f t="shared" si="99"/>
        <v>julio</v>
      </c>
      <c r="C680" s="27">
        <v>100056</v>
      </c>
      <c r="D680" s="23" t="s">
        <v>20</v>
      </c>
      <c r="E680" s="183" t="s">
        <v>1142</v>
      </c>
      <c r="F680" s="22" t="s">
        <v>57</v>
      </c>
      <c r="G680" s="32" t="str">
        <f>IFERROR(VLOOKUP(F680,Productos!$A$2:$D$258,2,0)," ")</f>
        <v>Electric Standing Desk  En L Frame Negro 2.0</v>
      </c>
      <c r="H680" s="7">
        <v>1</v>
      </c>
      <c r="I680" s="32" t="str">
        <f>IFERROR(VLOOKUP(F680,Productos!$A$2:$D$258,3,0)," ")</f>
        <v>Standing Desk</v>
      </c>
      <c r="J680" s="139" t="s">
        <v>21</v>
      </c>
      <c r="K680" s="182" t="s">
        <v>22</v>
      </c>
      <c r="L680" s="26" t="str">
        <f t="shared" si="100"/>
        <v>Despachado</v>
      </c>
      <c r="M680" s="56" t="s">
        <v>238</v>
      </c>
      <c r="N680" s="139" t="s">
        <v>1338</v>
      </c>
      <c r="O680" s="150">
        <v>45863</v>
      </c>
      <c r="P680" s="151">
        <v>45866</v>
      </c>
      <c r="Q680" s="24" t="str">
        <f t="shared" si="96"/>
        <v>Entregado</v>
      </c>
      <c r="R680" s="25">
        <f>IF(L680="Despachado",NETWORKDAYS.INTL(A680,O680,11,Valores!$A$2:$A$18)-1,"PTE")</f>
        <v>-4</v>
      </c>
      <c r="S680" s="25">
        <f>IF(Q680="Entregado",NETWORKDAYS.INTL(A680,P680,11,Valores!$A$2:$A$18)-1,"PTE")</f>
        <v>0</v>
      </c>
      <c r="T680" s="25"/>
      <c r="U680" s="25"/>
      <c r="V680" s="25" t="str">
        <f>IF(Q680="Entregado",IF(S680&lt;=VLOOKUP(K680,Valores!E:F,2,0),"Cumple","No cumple"),"PTE")</f>
        <v>Cumple</v>
      </c>
      <c r="W680" s="25"/>
      <c r="X680" s="29">
        <v>62530</v>
      </c>
      <c r="Y680" s="224"/>
      <c r="Z680" s="28"/>
    </row>
    <row r="681" spans="1:26" hidden="1" x14ac:dyDescent="0.3">
      <c r="A681" s="34">
        <v>45866</v>
      </c>
      <c r="B681" s="7" t="str">
        <f t="shared" si="99"/>
        <v>julio</v>
      </c>
      <c r="C681" s="27">
        <v>100056</v>
      </c>
      <c r="D681" s="23" t="s">
        <v>20</v>
      </c>
      <c r="E681" s="183" t="s">
        <v>1142</v>
      </c>
      <c r="F681" s="22" t="s">
        <v>300</v>
      </c>
      <c r="G681" s="32" t="str">
        <f>IFERROR(VLOOKUP(F681,Productos!$A$2:$D$258,2,0)," ")</f>
        <v>Superficie en L Fresno 180x150cm x 70</v>
      </c>
      <c r="H681" s="7">
        <v>1</v>
      </c>
      <c r="I681" s="32" t="str">
        <f>IFERROR(VLOOKUP(F681,Productos!$A$2:$D$258,3,0)," ")</f>
        <v>Superficie</v>
      </c>
      <c r="J681" s="139" t="s">
        <v>21</v>
      </c>
      <c r="K681" s="182" t="s">
        <v>22</v>
      </c>
      <c r="L681" s="26" t="str">
        <f t="shared" si="100"/>
        <v>Despachado</v>
      </c>
      <c r="M681" s="56" t="s">
        <v>238</v>
      </c>
      <c r="N681" s="139" t="s">
        <v>1339</v>
      </c>
      <c r="O681" s="150">
        <v>45863</v>
      </c>
      <c r="P681" s="151">
        <v>45866</v>
      </c>
      <c r="Q681" s="24" t="str">
        <f t="shared" si="96"/>
        <v>Entregado</v>
      </c>
      <c r="R681" s="25">
        <f>IF(L681="Despachado",NETWORKDAYS.INTL(A681,O681,11,Valores!$A$2:$A$18)-1,"PTE")</f>
        <v>-4</v>
      </c>
      <c r="S681" s="25">
        <f>IF(Q681="Entregado",NETWORKDAYS.INTL(A681,P681,11,Valores!$A$2:$A$18)-1,"PTE")</f>
        <v>0</v>
      </c>
      <c r="T681" s="25"/>
      <c r="U681" s="25"/>
      <c r="V681" s="25" t="str">
        <f>IF(Q681="Entregado",IF(S681&lt;=VLOOKUP(K681,Valores!E:F,2,0),"Cumple","No cumple"),"PTE")</f>
        <v>Cumple</v>
      </c>
      <c r="W681" s="25"/>
      <c r="X681" s="29">
        <v>26749</v>
      </c>
      <c r="Y681" s="224"/>
      <c r="Z681" s="28"/>
    </row>
    <row r="682" spans="1:26" hidden="1" x14ac:dyDescent="0.3">
      <c r="A682" s="34">
        <v>45866</v>
      </c>
      <c r="B682" s="7" t="str">
        <f t="shared" si="99"/>
        <v>julio</v>
      </c>
      <c r="C682" s="27">
        <v>100057</v>
      </c>
      <c r="D682" s="23" t="s">
        <v>20</v>
      </c>
      <c r="E682" s="183" t="s">
        <v>1134</v>
      </c>
      <c r="F682" s="22" t="s">
        <v>83</v>
      </c>
      <c r="G682" s="32" t="str">
        <f>IFERROR(VLOOKUP(F682,Productos!$A$2:$D$258,2,0)," ")</f>
        <v>Desk Pad B Negro Azul</v>
      </c>
      <c r="H682" s="7">
        <v>1</v>
      </c>
      <c r="I682" s="32" t="str">
        <f>IFERROR(VLOOKUP(F682,Productos!$A$2:$D$258,3,0)," ")</f>
        <v>Accesorio</v>
      </c>
      <c r="J682" s="184" t="s">
        <v>698</v>
      </c>
      <c r="K682" s="184" t="s">
        <v>1135</v>
      </c>
      <c r="L682" s="26" t="str">
        <f t="shared" si="100"/>
        <v>Despachado</v>
      </c>
      <c r="M682" s="56" t="s">
        <v>238</v>
      </c>
      <c r="N682" s="139" t="s">
        <v>1340</v>
      </c>
      <c r="O682" s="151">
        <v>45866</v>
      </c>
      <c r="P682" s="151">
        <v>45869</v>
      </c>
      <c r="Q682" s="24" t="str">
        <f t="shared" si="96"/>
        <v>Entregado</v>
      </c>
      <c r="R682" s="25">
        <f>IF(L682="Despachado",NETWORKDAYS.INTL(A682,O682,11,Valores!$A$2:$A$18)-1,"PTE")</f>
        <v>0</v>
      </c>
      <c r="S682" s="25">
        <f>IF(Q682="Entregado",NETWORKDAYS.INTL(A682,P682,11,Valores!$A$2:$A$18)-1,"PTE")</f>
        <v>3</v>
      </c>
      <c r="T682" s="25"/>
      <c r="U682" s="25"/>
      <c r="V682" s="25" t="e">
        <f>IF(Q682="Entregado",IF(S682&lt;=VLOOKUP(K682,Valores!E:F,2,0),"Cumple","No cumple"),"PTE")</f>
        <v>#N/A</v>
      </c>
      <c r="W682" s="25"/>
      <c r="X682" s="29">
        <v>16617</v>
      </c>
      <c r="Y682" s="224"/>
      <c r="Z682" s="28"/>
    </row>
    <row r="683" spans="1:26" hidden="1" x14ac:dyDescent="0.3">
      <c r="A683" s="34">
        <v>45866</v>
      </c>
      <c r="B683" s="7" t="str">
        <f t="shared" si="99"/>
        <v>julio</v>
      </c>
      <c r="C683" s="27">
        <v>100058</v>
      </c>
      <c r="D683" s="23" t="s">
        <v>20</v>
      </c>
      <c r="E683" s="183" t="s">
        <v>339</v>
      </c>
      <c r="F683" s="22" t="s">
        <v>57</v>
      </c>
      <c r="G683" s="32" t="str">
        <f>IFERROR(VLOOKUP(F683,Productos!$A$2:$D$258,2,0)," ")</f>
        <v>Electric Standing Desk  En L Frame Negro 2.0</v>
      </c>
      <c r="H683" s="7">
        <v>1</v>
      </c>
      <c r="I683" s="32" t="str">
        <f>IFERROR(VLOOKUP(F683,Productos!$A$2:$D$258,3,0)," ")</f>
        <v>Standing Desk</v>
      </c>
      <c r="J683" s="139" t="s">
        <v>21</v>
      </c>
      <c r="K683" s="182" t="s">
        <v>22</v>
      </c>
      <c r="L683" s="26" t="str">
        <f t="shared" si="100"/>
        <v>Despachado</v>
      </c>
      <c r="M683" s="56" t="s">
        <v>238</v>
      </c>
      <c r="N683" s="139" t="s">
        <v>1341</v>
      </c>
      <c r="O683" s="150">
        <v>45868</v>
      </c>
      <c r="P683" s="151">
        <v>45869</v>
      </c>
      <c r="Q683" s="24" t="str">
        <f t="shared" si="96"/>
        <v>Entregado</v>
      </c>
      <c r="R683" s="25">
        <f>IF(L683="Despachado",NETWORKDAYS.INTL(A683,O683,11,Valores!$A$2:$A$18)-1,"PTE")</f>
        <v>2</v>
      </c>
      <c r="S683" s="25">
        <f>IF(Q683="Entregado",NETWORKDAYS.INTL(A683,P683,11,Valores!$A$2:$A$18)-1,"PTE")</f>
        <v>3</v>
      </c>
      <c r="T683" s="25"/>
      <c r="U683" s="25"/>
      <c r="V683" s="25" t="str">
        <f>IF(Q683="Entregado",IF(S683&lt;=VLOOKUP(K683,Valores!E:F,2,0),"Cumple","No cumple"),"PTE")</f>
        <v>Cumple</v>
      </c>
      <c r="W683" s="25"/>
      <c r="X683" s="29">
        <v>62530</v>
      </c>
      <c r="Y683" s="224"/>
      <c r="Z683" s="28"/>
    </row>
    <row r="684" spans="1:26" hidden="1" x14ac:dyDescent="0.3">
      <c r="A684" s="34">
        <v>45866</v>
      </c>
      <c r="B684" s="7" t="str">
        <f t="shared" si="99"/>
        <v>julio</v>
      </c>
      <c r="C684" s="27">
        <v>100058</v>
      </c>
      <c r="D684" s="23" t="s">
        <v>20</v>
      </c>
      <c r="E684" s="183" t="s">
        <v>339</v>
      </c>
      <c r="F684" s="22" t="s">
        <v>115</v>
      </c>
      <c r="G684" s="32" t="str">
        <f>IFERROR(VLOOKUP(F684,Productos!$A$2:$D$258,2,0)," ")</f>
        <v>Superficie en L Roble Negro 180x150cm x 70</v>
      </c>
      <c r="H684" s="7">
        <v>1</v>
      </c>
      <c r="I684" s="32" t="str">
        <f>IFERROR(VLOOKUP(F684,Productos!$A$2:$D$258,3,0)," ")</f>
        <v>Superficie</v>
      </c>
      <c r="J684" s="139" t="s">
        <v>21</v>
      </c>
      <c r="K684" s="182" t="s">
        <v>22</v>
      </c>
      <c r="L684" s="26" t="str">
        <f t="shared" si="100"/>
        <v>Despachado</v>
      </c>
      <c r="M684" s="56" t="s">
        <v>238</v>
      </c>
      <c r="N684" s="139" t="s">
        <v>1342</v>
      </c>
      <c r="O684" s="150">
        <v>45868</v>
      </c>
      <c r="P684" s="151">
        <v>45869</v>
      </c>
      <c r="Q684" s="24" t="str">
        <f t="shared" si="96"/>
        <v>Entregado</v>
      </c>
      <c r="R684" s="25">
        <f>IF(L684="Despachado",NETWORKDAYS.INTL(A684,O684,11,Valores!$A$2:$A$18)-1,"PTE")</f>
        <v>2</v>
      </c>
      <c r="S684" s="25">
        <f>IF(Q684="Entregado",NETWORKDAYS.INTL(A684,P684,11,Valores!$A$2:$A$18)-1,"PTE")</f>
        <v>3</v>
      </c>
      <c r="T684" s="25"/>
      <c r="U684" s="25"/>
      <c r="V684" s="25" t="str">
        <f>IF(Q684="Entregado",IF(S684&lt;=VLOOKUP(K684,Valores!E:F,2,0),"Cumple","No cumple"),"PTE")</f>
        <v>Cumple</v>
      </c>
      <c r="W684" s="25"/>
      <c r="X684" s="29">
        <v>26749</v>
      </c>
      <c r="Y684" s="224"/>
      <c r="Z684" s="28"/>
    </row>
    <row r="685" spans="1:26" hidden="1" x14ac:dyDescent="0.3">
      <c r="A685" s="34">
        <v>45866</v>
      </c>
      <c r="B685" s="7" t="str">
        <f t="shared" si="99"/>
        <v>julio</v>
      </c>
      <c r="C685" s="27">
        <v>100059</v>
      </c>
      <c r="D685" s="23" t="s">
        <v>20</v>
      </c>
      <c r="E685" s="185" t="s">
        <v>1143</v>
      </c>
      <c r="F685" s="22" t="s">
        <v>133</v>
      </c>
      <c r="G685" s="32" t="str">
        <f>IFERROR(VLOOKUP(F685,Productos!$A$2:$D$258,2,0)," ")</f>
        <v>Electric Standing Desk  PRO Blanco</v>
      </c>
      <c r="H685" s="7">
        <v>1</v>
      </c>
      <c r="I685" s="32" t="str">
        <f>IFERROR(VLOOKUP(F685,Productos!$A$2:$D$258,3,0)," ")</f>
        <v>Standing Desk</v>
      </c>
      <c r="J685" s="139" t="s">
        <v>21</v>
      </c>
      <c r="K685" s="182" t="s">
        <v>22</v>
      </c>
      <c r="L685" s="26" t="str">
        <f t="shared" ref="L685:L716" si="101">IF(O685&gt;0,"Despachado","En alistamiento")</f>
        <v>Despachado</v>
      </c>
      <c r="M685" s="56" t="s">
        <v>238</v>
      </c>
      <c r="N685" s="139" t="s">
        <v>1343</v>
      </c>
      <c r="O685" s="150">
        <v>45866</v>
      </c>
      <c r="P685" s="151">
        <v>45868</v>
      </c>
      <c r="Q685" s="24" t="str">
        <f t="shared" si="96"/>
        <v>Entregado</v>
      </c>
      <c r="R685" s="25">
        <f>IF(L685="Despachado",NETWORKDAYS.INTL(A685,O685,11,Valores!$A$2:$A$18)-1,"PTE")</f>
        <v>0</v>
      </c>
      <c r="S685" s="25">
        <f>IF(Q685="Entregado",NETWORKDAYS.INTL(A685,P685,11,Valores!$A$2:$A$18)-1,"PTE")</f>
        <v>2</v>
      </c>
      <c r="T685" s="25"/>
      <c r="U685" s="25"/>
      <c r="V685" s="25" t="str">
        <f>IF(Q685="Entregado",IF(S685&lt;=VLOOKUP(K685,Valores!E:F,2,0),"Cumple","No cumple"),"PTE")</f>
        <v>Cumple</v>
      </c>
      <c r="W685" s="25"/>
      <c r="X685" s="29">
        <v>41593</v>
      </c>
      <c r="Y685" s="224"/>
      <c r="Z685" s="28"/>
    </row>
    <row r="686" spans="1:26" hidden="1" x14ac:dyDescent="0.3">
      <c r="A686" s="34">
        <v>45866</v>
      </c>
      <c r="B686" s="7" t="str">
        <f t="shared" si="99"/>
        <v>julio</v>
      </c>
      <c r="C686" s="27">
        <v>100059</v>
      </c>
      <c r="D686" s="23" t="s">
        <v>20</v>
      </c>
      <c r="E686" s="185" t="s">
        <v>1143</v>
      </c>
      <c r="F686" s="22" t="s">
        <v>301</v>
      </c>
      <c r="G686" s="32" t="str">
        <f>IFERROR(VLOOKUP(F686,Productos!$A$2:$D$258,2,0)," ")</f>
        <v>Superficie  Fresno Europeo 120x70 Clasico Small</v>
      </c>
      <c r="H686" s="7">
        <v>1</v>
      </c>
      <c r="I686" s="32" t="str">
        <f>IFERROR(VLOOKUP(F686,Productos!$A$2:$D$258,3,0)," ")</f>
        <v>Superficie</v>
      </c>
      <c r="J686" s="139" t="s">
        <v>21</v>
      </c>
      <c r="K686" s="182" t="s">
        <v>22</v>
      </c>
      <c r="L686" s="26" t="str">
        <f t="shared" si="101"/>
        <v>Despachado</v>
      </c>
      <c r="M686" s="56" t="s">
        <v>238</v>
      </c>
      <c r="N686" s="139" t="s">
        <v>1344</v>
      </c>
      <c r="O686" s="150">
        <v>45866</v>
      </c>
      <c r="P686" s="151">
        <v>45868</v>
      </c>
      <c r="Q686" s="24" t="str">
        <f t="shared" si="96"/>
        <v>Entregado</v>
      </c>
      <c r="R686" s="25">
        <f>IF(L686="Despachado",NETWORKDAYS.INTL(A686,O686,11,Valores!$A$2:$A$18)-1,"PTE")</f>
        <v>0</v>
      </c>
      <c r="S686" s="25">
        <f>IF(Q686="Entregado",NETWORKDAYS.INTL(A686,P686,11,Valores!$A$2:$A$18)-1,"PTE")</f>
        <v>2</v>
      </c>
      <c r="T686" s="25"/>
      <c r="U686" s="25"/>
      <c r="V686" s="25" t="str">
        <f>IF(Q686="Entregado",IF(S686&lt;=VLOOKUP(K686,Valores!E:F,2,0),"Cumple","No cumple"),"PTE")</f>
        <v>Cumple</v>
      </c>
      <c r="W686" s="25"/>
      <c r="X686" s="29">
        <v>24093</v>
      </c>
      <c r="Y686" s="224"/>
      <c r="Z686" s="28"/>
    </row>
    <row r="687" spans="1:26" hidden="1" x14ac:dyDescent="0.3">
      <c r="A687" s="34">
        <v>45866</v>
      </c>
      <c r="B687" s="7" t="str">
        <f t="shared" si="99"/>
        <v>julio</v>
      </c>
      <c r="C687" s="27">
        <v>100060</v>
      </c>
      <c r="D687" s="23" t="s">
        <v>20</v>
      </c>
      <c r="E687" s="185" t="s">
        <v>1144</v>
      </c>
      <c r="F687" s="22" t="s">
        <v>732</v>
      </c>
      <c r="G687" s="32" t="str">
        <f>IFERROR(VLOOKUP(F687,Productos!$A$2:$D$258,2,0)," ")</f>
        <v>Electric Standing Desk  PRO Negro circular</v>
      </c>
      <c r="H687" s="7">
        <v>1</v>
      </c>
      <c r="I687" s="32" t="str">
        <f>IFERROR(VLOOKUP(F687,Productos!$A$2:$D$258,3,0)," ")</f>
        <v>Standing Desk</v>
      </c>
      <c r="J687" s="186" t="s">
        <v>24</v>
      </c>
      <c r="K687" s="186" t="s">
        <v>185</v>
      </c>
      <c r="L687" s="26" t="str">
        <f t="shared" si="101"/>
        <v>Despachado</v>
      </c>
      <c r="M687" s="56" t="s">
        <v>238</v>
      </c>
      <c r="N687" s="139" t="s">
        <v>1345</v>
      </c>
      <c r="O687" s="150">
        <v>45866</v>
      </c>
      <c r="P687" s="151">
        <v>45868</v>
      </c>
      <c r="Q687" s="24" t="str">
        <f t="shared" si="96"/>
        <v>Entregado</v>
      </c>
      <c r="R687" s="25">
        <f>IF(L687="Despachado",NETWORKDAYS.INTL(A687,O687,11,Valores!$A$2:$A$18)-1,"PTE")</f>
        <v>0</v>
      </c>
      <c r="S687" s="25">
        <f>IF(Q687="Entregado",NETWORKDAYS.INTL(A687,P687,11,Valores!$A$2:$A$18)-1,"PTE")</f>
        <v>2</v>
      </c>
      <c r="T687" s="25"/>
      <c r="U687" s="25"/>
      <c r="V687" s="25" t="str">
        <f>IF(Q687="Entregado",IF(S687&lt;=VLOOKUP(K687,Valores!E:F,2,0),"Cumple","No cumple"),"PTE")</f>
        <v>Cumple</v>
      </c>
      <c r="W687" s="25"/>
      <c r="X687" s="29">
        <v>41593</v>
      </c>
      <c r="Y687" s="224"/>
      <c r="Z687" s="28"/>
    </row>
    <row r="688" spans="1:26" hidden="1" x14ac:dyDescent="0.3">
      <c r="A688" s="34">
        <v>45866</v>
      </c>
      <c r="B688" s="7" t="str">
        <f t="shared" si="99"/>
        <v>julio</v>
      </c>
      <c r="C688" s="27">
        <v>100060</v>
      </c>
      <c r="D688" s="23" t="s">
        <v>20</v>
      </c>
      <c r="E688" s="185" t="s">
        <v>1144</v>
      </c>
      <c r="F688" s="22" t="s">
        <v>144</v>
      </c>
      <c r="G688" s="32" t="str">
        <f>IFERROR(VLOOKUP(F688,Productos!$A$2:$D$258,2,0)," ")</f>
        <v>Superficie  Caramelo 170x70 Clasico</v>
      </c>
      <c r="H688" s="7">
        <v>1</v>
      </c>
      <c r="I688" s="32" t="str">
        <f>IFERROR(VLOOKUP(F688,Productos!$A$2:$D$258,3,0)," ")</f>
        <v>Superficie</v>
      </c>
      <c r="J688" s="186" t="s">
        <v>24</v>
      </c>
      <c r="K688" s="186" t="s">
        <v>185</v>
      </c>
      <c r="L688" s="26" t="str">
        <f t="shared" si="101"/>
        <v>Despachado</v>
      </c>
      <c r="M688" s="56" t="s">
        <v>238</v>
      </c>
      <c r="N688" s="139" t="s">
        <v>1346</v>
      </c>
      <c r="O688" s="150">
        <v>45866</v>
      </c>
      <c r="P688" s="151">
        <v>45868</v>
      </c>
      <c r="Q688" s="24" t="str">
        <f t="shared" si="96"/>
        <v>Entregado</v>
      </c>
      <c r="R688" s="25">
        <f>IF(L688="Despachado",NETWORKDAYS.INTL(A688,O688,11,Valores!$A$2:$A$18)-1,"PTE")</f>
        <v>0</v>
      </c>
      <c r="S688" s="25">
        <f>IF(Q688="Entregado",NETWORKDAYS.INTL(A688,P688,11,Valores!$A$2:$A$18)-1,"PTE")</f>
        <v>2</v>
      </c>
      <c r="T688" s="25"/>
      <c r="U688" s="25"/>
      <c r="V688" s="25" t="str">
        <f>IF(Q688="Entregado",IF(S688&lt;=VLOOKUP(K688,Valores!E:F,2,0),"Cumple","No cumple"),"PTE")</f>
        <v>Cumple</v>
      </c>
      <c r="W688" s="25"/>
      <c r="X688" s="29">
        <v>24093</v>
      </c>
      <c r="Y688" s="224"/>
      <c r="Z688" s="28"/>
    </row>
    <row r="689" spans="1:26" hidden="1" x14ac:dyDescent="0.3">
      <c r="A689" s="34">
        <v>45866</v>
      </c>
      <c r="B689" s="7" t="str">
        <f t="shared" ref="B689:B694" si="102">TEXT(A689,"mmmm")</f>
        <v>julio</v>
      </c>
      <c r="C689" s="27">
        <v>100061</v>
      </c>
      <c r="D689" s="23" t="s">
        <v>20</v>
      </c>
      <c r="E689" s="185" t="s">
        <v>1145</v>
      </c>
      <c r="F689" s="22" t="s">
        <v>732</v>
      </c>
      <c r="G689" s="32" t="str">
        <f>IFERROR(VLOOKUP(F689,Productos!$A$2:$D$258,2,0)," ")</f>
        <v>Electric Standing Desk  PRO Negro circular</v>
      </c>
      <c r="H689" s="7">
        <v>1</v>
      </c>
      <c r="I689" s="32" t="str">
        <f>IFERROR(VLOOKUP(F689,Productos!$A$2:$D$258,3,0)," ")</f>
        <v>Standing Desk</v>
      </c>
      <c r="J689" s="139" t="s">
        <v>21</v>
      </c>
      <c r="K689" s="182" t="s">
        <v>22</v>
      </c>
      <c r="L689" s="26" t="str">
        <f t="shared" si="101"/>
        <v>Despachado</v>
      </c>
      <c r="M689" s="56" t="s">
        <v>238</v>
      </c>
      <c r="N689" s="139" t="s">
        <v>1348</v>
      </c>
      <c r="O689" s="150">
        <v>45868</v>
      </c>
      <c r="P689" s="151">
        <v>45869</v>
      </c>
      <c r="Q689" s="24" t="str">
        <f t="shared" si="96"/>
        <v>Entregado</v>
      </c>
      <c r="R689" s="25">
        <f>IF(L689="Despachado",NETWORKDAYS.INTL(A689,O689,11,Valores!$A$2:$A$18)-1,"PTE")</f>
        <v>2</v>
      </c>
      <c r="S689" s="25">
        <f>IF(Q689="Entregado",NETWORKDAYS.INTL(A689,P689,11,Valores!$A$2:$A$18)-1,"PTE")</f>
        <v>3</v>
      </c>
      <c r="T689" s="25"/>
      <c r="U689" s="25"/>
      <c r="V689" s="25" t="str">
        <f>IF(Q689="Entregado",IF(S689&lt;=VLOOKUP(K689,Valores!E:F,2,0),"Cumple","No cumple"),"PTE")</f>
        <v>Cumple</v>
      </c>
      <c r="W689" s="25"/>
      <c r="X689" s="29">
        <v>26749</v>
      </c>
      <c r="Y689" s="224"/>
      <c r="Z689" s="28"/>
    </row>
    <row r="690" spans="1:26" hidden="1" x14ac:dyDescent="0.3">
      <c r="A690" s="34">
        <v>45866</v>
      </c>
      <c r="B690" s="7" t="str">
        <f t="shared" si="102"/>
        <v>julio</v>
      </c>
      <c r="C690" s="27">
        <v>100061</v>
      </c>
      <c r="D690" s="23" t="s">
        <v>20</v>
      </c>
      <c r="E690" s="185" t="s">
        <v>1145</v>
      </c>
      <c r="F690" s="22" t="s">
        <v>144</v>
      </c>
      <c r="G690" s="32" t="str">
        <f>IFERROR(VLOOKUP(F690,Productos!$A$2:$D$258,2,0)," ")</f>
        <v>Superficie  Caramelo 170x70 Clasico</v>
      </c>
      <c r="H690" s="7">
        <v>1</v>
      </c>
      <c r="I690" s="32" t="str">
        <f>IFERROR(VLOOKUP(F690,Productos!$A$2:$D$258,3,0)," ")</f>
        <v>Superficie</v>
      </c>
      <c r="J690" s="139" t="s">
        <v>21</v>
      </c>
      <c r="K690" s="182" t="s">
        <v>22</v>
      </c>
      <c r="L690" s="26" t="str">
        <f t="shared" si="101"/>
        <v>Despachado</v>
      </c>
      <c r="M690" s="56" t="s">
        <v>238</v>
      </c>
      <c r="N690" s="139" t="s">
        <v>1347</v>
      </c>
      <c r="O690" s="150">
        <v>45868</v>
      </c>
      <c r="P690" s="151">
        <v>45871</v>
      </c>
      <c r="Q690" s="24" t="str">
        <f t="shared" si="96"/>
        <v>Entregado</v>
      </c>
      <c r="R690" s="25">
        <f>IF(L690="Despachado",NETWORKDAYS.INTL(A690,O690,11,Valores!$A$2:$A$18)-1,"PTE")</f>
        <v>2</v>
      </c>
      <c r="S690" s="25">
        <f>IF(Q690="Entregado",NETWORKDAYS.INTL(A690,P690,11,Valores!$A$2:$A$18)-1,"PTE")</f>
        <v>5</v>
      </c>
      <c r="T690" s="25"/>
      <c r="U690" s="25"/>
      <c r="V690" s="25" t="str">
        <f>IF(Q690="Entregado",IF(S690&lt;=VLOOKUP(K690,Valores!E:F,2,0),"Cumple","No cumple"),"PTE")</f>
        <v>No cumple</v>
      </c>
      <c r="W690" s="25"/>
      <c r="X690" s="29">
        <v>48585</v>
      </c>
      <c r="Y690" s="224"/>
      <c r="Z690" s="28"/>
    </row>
    <row r="691" spans="1:26" hidden="1" x14ac:dyDescent="0.3">
      <c r="A691" s="34">
        <v>45866</v>
      </c>
      <c r="B691" s="7" t="str">
        <f>TEXT(A691,"mmmm")</f>
        <v>julio</v>
      </c>
      <c r="C691" s="27">
        <v>100061</v>
      </c>
      <c r="D691" s="23" t="s">
        <v>35</v>
      </c>
      <c r="E691" s="185" t="s">
        <v>1145</v>
      </c>
      <c r="F691" s="22" t="s">
        <v>144</v>
      </c>
      <c r="G691" s="32" t="str">
        <f>IFERROR(VLOOKUP(F691,Productos!$A$2:$D$258,2,0)," ")</f>
        <v>Superficie  Caramelo 170x70 Clasico</v>
      </c>
      <c r="H691" s="7">
        <v>1</v>
      </c>
      <c r="I691" s="32" t="str">
        <f>IFERROR(VLOOKUP(F691,Productos!$A$2:$D$258,3,0)," ")</f>
        <v>Superficie</v>
      </c>
      <c r="J691" s="139" t="s">
        <v>21</v>
      </c>
      <c r="K691" s="182" t="s">
        <v>22</v>
      </c>
      <c r="L691" s="26" t="str">
        <f t="shared" si="101"/>
        <v>Despachado</v>
      </c>
      <c r="M691" s="56" t="s">
        <v>238</v>
      </c>
      <c r="N691" s="139" t="s">
        <v>1349</v>
      </c>
      <c r="O691" s="150">
        <v>45874</v>
      </c>
      <c r="P691" s="151">
        <v>45877</v>
      </c>
      <c r="Q691" s="24" t="str">
        <f>IF(P691&gt;0,"Entregado","En transito")</f>
        <v>Entregado</v>
      </c>
      <c r="R691" s="25">
        <f>IF(L691="Despachado",NETWORKDAYS.INTL(A691,O691,11,Valores!$A$2:$A$18)-1,"PTE")</f>
        <v>7</v>
      </c>
      <c r="S691" s="25">
        <f>IF(Q691="Entregado",NETWORKDAYS.INTL(A691,P691,11,Valores!$A$2:$A$18)-1,"PTE")</f>
        <v>9</v>
      </c>
      <c r="T691" s="25"/>
      <c r="U691" s="25"/>
      <c r="V691" s="25" t="str">
        <f>IF(Q691="Entregado",IF(S691&lt;=VLOOKUP(K691,Valores!E:F,2,0),"Cumple","No cumple"),"PTE")</f>
        <v>No cumple</v>
      </c>
      <c r="W691" s="25"/>
      <c r="X691" s="29">
        <v>29921</v>
      </c>
      <c r="Y691" s="224"/>
      <c r="Z691" s="28"/>
    </row>
    <row r="692" spans="1:26" hidden="1" x14ac:dyDescent="0.3">
      <c r="A692" s="34">
        <v>45870</v>
      </c>
      <c r="B692" s="7" t="str">
        <f t="shared" si="102"/>
        <v>agosto</v>
      </c>
      <c r="C692" s="27">
        <v>100062</v>
      </c>
      <c r="D692" s="23" t="s">
        <v>20</v>
      </c>
      <c r="E692" s="185" t="s">
        <v>1146</v>
      </c>
      <c r="F692" s="22" t="s">
        <v>123</v>
      </c>
      <c r="G692" s="32" t="str">
        <f>IFERROR(VLOOKUP(F692,Productos!$A$2:$D$258,2,0)," ")</f>
        <v>Electric Standing Desk GO Negro</v>
      </c>
      <c r="H692" s="7">
        <v>1</v>
      </c>
      <c r="I692" s="32" t="str">
        <f>IFERROR(VLOOKUP(F692,Productos!$A$2:$D$258,3,0)," ")</f>
        <v>Standing Desk</v>
      </c>
      <c r="J692" s="186" t="s">
        <v>24</v>
      </c>
      <c r="K692" s="186" t="s">
        <v>39</v>
      </c>
      <c r="L692" s="26" t="str">
        <f t="shared" si="101"/>
        <v>Despachado</v>
      </c>
      <c r="M692" s="56" t="s">
        <v>238</v>
      </c>
      <c r="N692" s="139" t="s">
        <v>1350</v>
      </c>
      <c r="O692" s="150">
        <v>45870</v>
      </c>
      <c r="P692" s="151">
        <v>45871</v>
      </c>
      <c r="Q692" s="24" t="str">
        <f t="shared" si="96"/>
        <v>Entregado</v>
      </c>
      <c r="R692" s="25">
        <f>IF(L692="Despachado",NETWORKDAYS.INTL(A692,O692,11,Valores!$A$2:$A$18)-1,"PTE")</f>
        <v>0</v>
      </c>
      <c r="S692" s="25">
        <f>IF(Q692="Entregado",NETWORKDAYS.INTL(A692,P692,11,Valores!$A$2:$A$18)-1,"PTE")</f>
        <v>1</v>
      </c>
      <c r="T692" s="25"/>
      <c r="U692" s="25"/>
      <c r="V692" s="25" t="str">
        <f>IF(Q692="Entregado",IF(S692&lt;=VLOOKUP(K692,Valores!E:F,2,0),"Cumple","No cumple"),"PTE")</f>
        <v>Cumple</v>
      </c>
      <c r="W692" s="25"/>
      <c r="X692" s="29">
        <v>41593</v>
      </c>
      <c r="Y692" s="224"/>
      <c r="Z692" s="28"/>
    </row>
    <row r="693" spans="1:26" hidden="1" x14ac:dyDescent="0.3">
      <c r="A693" s="34">
        <v>45870</v>
      </c>
      <c r="B693" s="7" t="str">
        <f t="shared" si="102"/>
        <v>agosto</v>
      </c>
      <c r="C693" s="27">
        <v>100062</v>
      </c>
      <c r="D693" s="23" t="s">
        <v>20</v>
      </c>
      <c r="E693" s="185" t="s">
        <v>1146</v>
      </c>
      <c r="F693" s="22" t="s">
        <v>305</v>
      </c>
      <c r="G693" s="32" t="str">
        <f>IFERROR(VLOOKUP(F693,Productos!$A$2:$D$258,2,0)," ")</f>
        <v>Superficie  Fresno Europeo 160x70 Clasico</v>
      </c>
      <c r="H693" s="7">
        <v>1</v>
      </c>
      <c r="I693" s="32" t="str">
        <f>IFERROR(VLOOKUP(F693,Productos!$A$2:$D$258,3,0)," ")</f>
        <v>Superficie</v>
      </c>
      <c r="J693" s="186" t="s">
        <v>24</v>
      </c>
      <c r="K693" s="186" t="s">
        <v>39</v>
      </c>
      <c r="L693" s="26" t="str">
        <f t="shared" si="101"/>
        <v>Despachado</v>
      </c>
      <c r="M693" s="56" t="s">
        <v>238</v>
      </c>
      <c r="N693" s="139" t="s">
        <v>1351</v>
      </c>
      <c r="O693" s="150">
        <v>45870</v>
      </c>
      <c r="P693" s="151">
        <v>45871</v>
      </c>
      <c r="Q693" s="24" t="str">
        <f t="shared" si="96"/>
        <v>Entregado</v>
      </c>
      <c r="R693" s="25">
        <f>IF(L693="Despachado",NETWORKDAYS.INTL(A693,O693,11,Valores!$A$2:$A$18)-1,"PTE")</f>
        <v>0</v>
      </c>
      <c r="S693" s="25">
        <f>IF(Q693="Entregado",NETWORKDAYS.INTL(A693,P693,11,Valores!$A$2:$A$18)-1,"PTE")</f>
        <v>1</v>
      </c>
      <c r="T693" s="25"/>
      <c r="U693" s="25"/>
      <c r="V693" s="25" t="str">
        <f>IF(Q693="Entregado",IF(S693&lt;=VLOOKUP(K693,Valores!E:F,2,0),"Cumple","No cumple"),"PTE")</f>
        <v>Cumple</v>
      </c>
      <c r="W693" s="25"/>
      <c r="X693" s="29">
        <v>24093</v>
      </c>
      <c r="Y693" s="224"/>
      <c r="Z693" s="28"/>
    </row>
    <row r="694" spans="1:26" hidden="1" x14ac:dyDescent="0.3">
      <c r="A694" s="34">
        <v>45871</v>
      </c>
      <c r="B694" s="7" t="str">
        <f t="shared" si="102"/>
        <v>agosto</v>
      </c>
      <c r="C694" s="27">
        <v>100063</v>
      </c>
      <c r="D694" s="23" t="s">
        <v>20</v>
      </c>
      <c r="E694" s="185" t="s">
        <v>1147</v>
      </c>
      <c r="F694" s="40" t="s">
        <v>129</v>
      </c>
      <c r="G694" s="32" t="str">
        <f>IFERROR(VLOOKUP(F694,Productos!$A$2:$D$258,2,0)," ")</f>
        <v>Electric Standing Desk  PRO Negro</v>
      </c>
      <c r="H694" s="7">
        <v>1</v>
      </c>
      <c r="I694" s="32" t="str">
        <f>IFERROR(VLOOKUP(F694,Productos!$A$2:$D$258,3,0)," ")</f>
        <v>Standing Desk</v>
      </c>
      <c r="J694" s="186" t="s">
        <v>24</v>
      </c>
      <c r="K694" s="186" t="s">
        <v>25</v>
      </c>
      <c r="L694" s="26" t="str">
        <f t="shared" si="101"/>
        <v>Despachado</v>
      </c>
      <c r="M694" s="56" t="s">
        <v>238</v>
      </c>
      <c r="N694" s="139" t="s">
        <v>1352</v>
      </c>
      <c r="O694" s="150">
        <v>45873</v>
      </c>
      <c r="P694" s="151">
        <v>45874</v>
      </c>
      <c r="Q694" s="24" t="str">
        <f t="shared" si="96"/>
        <v>Entregado</v>
      </c>
      <c r="R694" s="25">
        <f>IF(L694="Despachado",NETWORKDAYS.INTL(A694,O694,11,Valores!$A$2:$A$18)-1,"PTE")</f>
        <v>1</v>
      </c>
      <c r="S694" s="25">
        <f>IF(Q694="Entregado",NETWORKDAYS.INTL(A694,P694,11,Valores!$A$2:$A$18)-1,"PTE")</f>
        <v>2</v>
      </c>
      <c r="T694" s="25"/>
      <c r="U694" s="25"/>
      <c r="V694" s="25" t="str">
        <f>IF(Q694="Entregado",IF(S694&lt;=VLOOKUP(K694,Valores!E:F,2,0),"Cumple","No cumple"),"PTE")</f>
        <v>Cumple</v>
      </c>
      <c r="W694" s="25"/>
      <c r="X694" s="29">
        <v>41593</v>
      </c>
      <c r="Y694" s="224"/>
      <c r="Z694" s="28"/>
    </row>
    <row r="695" spans="1:26" hidden="1" x14ac:dyDescent="0.3">
      <c r="A695" s="34">
        <v>45871</v>
      </c>
      <c r="B695" s="7" t="str">
        <f t="shared" ref="B695:B701" si="103">TEXT(A695,"mmmm")</f>
        <v>agosto</v>
      </c>
      <c r="C695" s="27">
        <v>100063</v>
      </c>
      <c r="D695" s="23" t="s">
        <v>20</v>
      </c>
      <c r="E695" s="185" t="s">
        <v>1147</v>
      </c>
      <c r="F695" s="22" t="s">
        <v>311</v>
      </c>
      <c r="G695" s="32" t="str">
        <f>IFERROR(VLOOKUP(F695,Productos!$A$2:$D$258,2,0)," ")</f>
        <v>Superficie  Fresno Europeo 170x70 Moderno</v>
      </c>
      <c r="H695" s="7">
        <v>1</v>
      </c>
      <c r="I695" s="32" t="str">
        <f>IFERROR(VLOOKUP(F695,Productos!$A$2:$D$258,3,0)," ")</f>
        <v>Superficie</v>
      </c>
      <c r="J695" s="186" t="s">
        <v>24</v>
      </c>
      <c r="K695" s="186" t="s">
        <v>25</v>
      </c>
      <c r="L695" s="26" t="str">
        <f t="shared" si="101"/>
        <v>Despachado</v>
      </c>
      <c r="M695" s="56" t="s">
        <v>238</v>
      </c>
      <c r="N695" s="139" t="s">
        <v>1353</v>
      </c>
      <c r="O695" s="150">
        <v>45873</v>
      </c>
      <c r="P695" s="151">
        <v>45874</v>
      </c>
      <c r="Q695" s="24" t="str">
        <f t="shared" si="96"/>
        <v>Entregado</v>
      </c>
      <c r="R695" s="25">
        <f>IF(L695="Despachado",NETWORKDAYS.INTL(A695,O695,11,Valores!$A$2:$A$18)-1,"PTE")</f>
        <v>1</v>
      </c>
      <c r="S695" s="25">
        <f>IF(Q695="Entregado",NETWORKDAYS.INTL(A695,P695,11,Valores!$A$2:$A$18)-1,"PTE")</f>
        <v>2</v>
      </c>
      <c r="T695" s="25"/>
      <c r="U695" s="25"/>
      <c r="V695" s="25" t="str">
        <f>IF(Q695="Entregado",IF(S695&lt;=VLOOKUP(K695,Valores!E:F,2,0),"Cumple","No cumple"),"PTE")</f>
        <v>Cumple</v>
      </c>
      <c r="W695" s="25"/>
      <c r="X695" s="29">
        <v>24093</v>
      </c>
      <c r="Y695" s="224"/>
      <c r="Z695" s="28"/>
    </row>
    <row r="696" spans="1:26" hidden="1" x14ac:dyDescent="0.3">
      <c r="A696" s="34">
        <v>45871</v>
      </c>
      <c r="B696" s="7" t="str">
        <f t="shared" si="103"/>
        <v>agosto</v>
      </c>
      <c r="C696" s="27">
        <v>100063</v>
      </c>
      <c r="D696" s="23" t="s">
        <v>20</v>
      </c>
      <c r="E696" s="185" t="s">
        <v>1147</v>
      </c>
      <c r="F696" s="22"/>
      <c r="G696" s="32" t="s">
        <v>1796</v>
      </c>
      <c r="H696" s="7">
        <v>1</v>
      </c>
      <c r="I696" s="32" t="s">
        <v>327</v>
      </c>
      <c r="J696" s="186" t="s">
        <v>24</v>
      </c>
      <c r="K696" s="186" t="s">
        <v>25</v>
      </c>
      <c r="L696" s="26" t="str">
        <f t="shared" si="101"/>
        <v>Despachado</v>
      </c>
      <c r="M696" s="56" t="s">
        <v>241</v>
      </c>
      <c r="N696" s="190" t="s">
        <v>241</v>
      </c>
      <c r="O696" s="191" t="s">
        <v>241</v>
      </c>
      <c r="P696" s="192" t="s">
        <v>241</v>
      </c>
      <c r="Q696" s="24" t="str">
        <f t="shared" si="96"/>
        <v>Entregado</v>
      </c>
      <c r="R696" s="25" t="e">
        <f>IF(L696="Despachado",NETWORKDAYS.INTL(A696,O696,11,Valores!$A$2:$A$18)-1,"PTE")</f>
        <v>#VALUE!</v>
      </c>
      <c r="S696" s="25" t="e">
        <f>IF(Q696="Entregado",NETWORKDAYS.INTL(A696,P696,11,Valores!$A$2:$A$18)-1,"PTE")</f>
        <v>#VALUE!</v>
      </c>
      <c r="T696" s="25"/>
      <c r="U696" s="25"/>
      <c r="V696" s="25" t="e">
        <f>IF(Q696="Entregado",IF(S696&lt;=VLOOKUP(K696,Valores!E:F,2,0),"Cumple","No cumple"),"PTE")</f>
        <v>#VALUE!</v>
      </c>
      <c r="W696" s="25"/>
      <c r="X696" s="29">
        <v>0</v>
      </c>
      <c r="Y696" s="224"/>
      <c r="Z696" s="28"/>
    </row>
    <row r="697" spans="1:26" hidden="1" x14ac:dyDescent="0.3">
      <c r="A697" s="34">
        <v>45872</v>
      </c>
      <c r="B697" s="7" t="str">
        <f t="shared" si="103"/>
        <v>agosto</v>
      </c>
      <c r="C697" s="27">
        <v>100064</v>
      </c>
      <c r="D697" s="23" t="s">
        <v>20</v>
      </c>
      <c r="E697" s="185" t="s">
        <v>641</v>
      </c>
      <c r="F697" s="40" t="s">
        <v>123</v>
      </c>
      <c r="G697" s="32" t="str">
        <f>IFERROR(VLOOKUP(F697,Productos!$A$2:$D$258,2,0)," ")</f>
        <v>Electric Standing Desk GO Negro</v>
      </c>
      <c r="H697" s="7">
        <v>1</v>
      </c>
      <c r="I697" s="32" t="str">
        <f>IFERROR(VLOOKUP(F697,Productos!$A$2:$D$258,3,0)," ")</f>
        <v>Standing Desk</v>
      </c>
      <c r="J697" s="186" t="s">
        <v>24</v>
      </c>
      <c r="K697" s="186" t="s">
        <v>27</v>
      </c>
      <c r="L697" s="26" t="str">
        <f t="shared" si="101"/>
        <v>Despachado</v>
      </c>
      <c r="M697" s="56" t="s">
        <v>238</v>
      </c>
      <c r="N697" s="139" t="s">
        <v>1354</v>
      </c>
      <c r="O697" s="150">
        <v>45873</v>
      </c>
      <c r="P697" s="151">
        <v>45874</v>
      </c>
      <c r="Q697" s="24" t="str">
        <f t="shared" si="96"/>
        <v>Entregado</v>
      </c>
      <c r="R697" s="25">
        <f>IF(L697="Despachado",NETWORKDAYS.INTL(A697,O697,11,Valores!$A$2:$A$18)-1,"PTE")</f>
        <v>0</v>
      </c>
      <c r="S697" s="25">
        <f>IF(Q697="Entregado",NETWORKDAYS.INTL(A697,P697,11,Valores!$A$2:$A$18)-1,"PTE")</f>
        <v>1</v>
      </c>
      <c r="T697" s="25"/>
      <c r="U697" s="25"/>
      <c r="V697" s="25" t="str">
        <f>IF(Q697="Entregado",IF(S697&lt;=VLOOKUP(K697,Valores!E:F,2,0),"Cumple","No cumple"),"PTE")</f>
        <v>Cumple</v>
      </c>
      <c r="W697" s="25"/>
      <c r="X697" s="29">
        <v>41593</v>
      </c>
      <c r="Y697" s="224"/>
      <c r="Z697" s="28"/>
    </row>
    <row r="698" spans="1:26" hidden="1" x14ac:dyDescent="0.3">
      <c r="A698" s="34">
        <v>45872</v>
      </c>
      <c r="B698" s="7" t="str">
        <f t="shared" si="103"/>
        <v>agosto</v>
      </c>
      <c r="C698" s="27">
        <v>100064</v>
      </c>
      <c r="D698" s="23" t="s">
        <v>20</v>
      </c>
      <c r="E698" s="185" t="s">
        <v>641</v>
      </c>
      <c r="F698" s="22" t="s">
        <v>304</v>
      </c>
      <c r="G698" s="32" t="str">
        <f>IFERROR(VLOOKUP(F698,Productos!$A$2:$D$258,2,0)," ")</f>
        <v>Superficie  Fresno Europeo 150x70 Clasico</v>
      </c>
      <c r="H698" s="7">
        <v>1</v>
      </c>
      <c r="I698" s="32" t="str">
        <f>IFERROR(VLOOKUP(F698,Productos!$A$2:$D$258,3,0)," ")</f>
        <v>Superficie</v>
      </c>
      <c r="J698" s="186" t="s">
        <v>24</v>
      </c>
      <c r="K698" s="186" t="s">
        <v>27</v>
      </c>
      <c r="L698" s="26" t="str">
        <f t="shared" si="101"/>
        <v>Despachado</v>
      </c>
      <c r="M698" s="56" t="s">
        <v>238</v>
      </c>
      <c r="N698" s="139" t="s">
        <v>1355</v>
      </c>
      <c r="O698" s="150">
        <v>45873</v>
      </c>
      <c r="P698" s="151">
        <v>45874</v>
      </c>
      <c r="Q698" s="24" t="str">
        <f t="shared" si="96"/>
        <v>Entregado</v>
      </c>
      <c r="R698" s="25">
        <f>IF(L698="Despachado",NETWORKDAYS.INTL(A698,O698,11,Valores!$A$2:$A$18)-1,"PTE")</f>
        <v>0</v>
      </c>
      <c r="S698" s="25">
        <f>IF(Q698="Entregado",NETWORKDAYS.INTL(A698,P698,11,Valores!$A$2:$A$18)-1,"PTE")</f>
        <v>1</v>
      </c>
      <c r="T698" s="25"/>
      <c r="U698" s="25"/>
      <c r="V698" s="25" t="str">
        <f>IF(Q698="Entregado",IF(S698&lt;=VLOOKUP(K698,Valores!E:F,2,0),"Cumple","No cumple"),"PTE")</f>
        <v>Cumple</v>
      </c>
      <c r="W698" s="25"/>
      <c r="X698" s="29">
        <v>24093</v>
      </c>
      <c r="Y698" s="224"/>
      <c r="Z698" s="28"/>
    </row>
    <row r="699" spans="1:26" hidden="1" x14ac:dyDescent="0.3">
      <c r="A699" s="34">
        <v>45873</v>
      </c>
      <c r="B699" s="7" t="str">
        <f t="shared" si="103"/>
        <v>agosto</v>
      </c>
      <c r="C699" s="27">
        <v>100065</v>
      </c>
      <c r="D699" s="23" t="s">
        <v>20</v>
      </c>
      <c r="E699" s="185" t="s">
        <v>1148</v>
      </c>
      <c r="F699" s="22" t="s">
        <v>133</v>
      </c>
      <c r="G699" s="32" t="str">
        <f>IFERROR(VLOOKUP(F699,Productos!$A$2:$D$258,2,0)," ")</f>
        <v>Electric Standing Desk  PRO Blanco</v>
      </c>
      <c r="H699" s="7">
        <v>1</v>
      </c>
      <c r="I699" s="32" t="str">
        <f>IFERROR(VLOOKUP(F699,Productos!$A$2:$D$258,3,0)," ")</f>
        <v>Standing Desk</v>
      </c>
      <c r="J699" s="139" t="s">
        <v>21</v>
      </c>
      <c r="K699" s="182" t="s">
        <v>22</v>
      </c>
      <c r="L699" s="26" t="str">
        <f t="shared" si="101"/>
        <v>Despachado</v>
      </c>
      <c r="M699" s="56" t="s">
        <v>238</v>
      </c>
      <c r="N699" s="139" t="s">
        <v>1356</v>
      </c>
      <c r="O699" s="150">
        <v>45874</v>
      </c>
      <c r="P699" s="151">
        <v>45877</v>
      </c>
      <c r="Q699" s="24" t="str">
        <f t="shared" si="96"/>
        <v>Entregado</v>
      </c>
      <c r="R699" s="25">
        <f>IF(L699="Despachado",NETWORKDAYS.INTL(A699,O699,11,Valores!$A$2:$A$18)-1,"PTE")</f>
        <v>1</v>
      </c>
      <c r="S699" s="25">
        <f>IF(Q699="Entregado",NETWORKDAYS.INTL(A699,P699,11,Valores!$A$2:$A$18)-1,"PTE")</f>
        <v>3</v>
      </c>
      <c r="T699" s="25"/>
      <c r="U699" s="25"/>
      <c r="V699" s="25" t="str">
        <f>IF(Q699="Entregado",IF(S699&lt;=VLOOKUP(K699,Valores!E:F,2,0),"Cumple","No cumple"),"PTE")</f>
        <v>Cumple</v>
      </c>
      <c r="W699" s="25"/>
      <c r="X699" s="29">
        <v>41593</v>
      </c>
      <c r="Y699" s="224"/>
      <c r="Z699" s="28"/>
    </row>
    <row r="700" spans="1:26" hidden="1" x14ac:dyDescent="0.3">
      <c r="A700" s="34">
        <v>45873</v>
      </c>
      <c r="B700" s="7" t="str">
        <f t="shared" si="103"/>
        <v>agosto</v>
      </c>
      <c r="C700" s="27">
        <v>100065</v>
      </c>
      <c r="D700" s="23" t="s">
        <v>20</v>
      </c>
      <c r="E700" s="185" t="s">
        <v>1148</v>
      </c>
      <c r="F700" s="22" t="s">
        <v>108</v>
      </c>
      <c r="G700" s="32" t="str">
        <f>IFERROR(VLOOKUP(F700,Productos!$A$2:$D$258,2,0)," ")</f>
        <v>Superficie Niebla 120x70 Clasico Small</v>
      </c>
      <c r="H700" s="7">
        <v>1</v>
      </c>
      <c r="I700" s="32" t="str">
        <f>IFERROR(VLOOKUP(F700,Productos!$A$2:$D$258,3,0)," ")</f>
        <v>Superficie</v>
      </c>
      <c r="J700" s="139" t="s">
        <v>21</v>
      </c>
      <c r="K700" s="182" t="s">
        <v>22</v>
      </c>
      <c r="L700" s="26" t="str">
        <f t="shared" si="101"/>
        <v>Despachado</v>
      </c>
      <c r="M700" s="56" t="s">
        <v>238</v>
      </c>
      <c r="N700" s="139" t="s">
        <v>1357</v>
      </c>
      <c r="O700" s="150">
        <v>45874</v>
      </c>
      <c r="P700" s="151">
        <v>45875</v>
      </c>
      <c r="Q700" s="24" t="str">
        <f t="shared" si="96"/>
        <v>Entregado</v>
      </c>
      <c r="R700" s="25">
        <f>IF(L700="Despachado",NETWORKDAYS.INTL(A700,O700,11,Valores!$A$2:$A$18)-1,"PTE")</f>
        <v>1</v>
      </c>
      <c r="S700" s="25">
        <f>IF(Q700="Entregado",NETWORKDAYS.INTL(A700,P700,11,Valores!$A$2:$A$18)-1,"PTE")</f>
        <v>2</v>
      </c>
      <c r="T700" s="25"/>
      <c r="U700" s="25"/>
      <c r="V700" s="25" t="str">
        <f>IF(Q700="Entregado",IF(S700&lt;=VLOOKUP(K700,Valores!E:F,2,0),"Cumple","No cumple"),"PTE")</f>
        <v>Cumple</v>
      </c>
      <c r="W700" s="25"/>
      <c r="X700" s="29">
        <v>24093</v>
      </c>
      <c r="Y700" s="224"/>
      <c r="Z700" s="28"/>
    </row>
    <row r="701" spans="1:26" hidden="1" x14ac:dyDescent="0.3">
      <c r="A701" s="34">
        <v>45873</v>
      </c>
      <c r="B701" s="7" t="str">
        <f t="shared" si="103"/>
        <v>agosto</v>
      </c>
      <c r="C701" s="27">
        <v>100065</v>
      </c>
      <c r="D701" s="23" t="s">
        <v>20</v>
      </c>
      <c r="E701" s="185" t="s">
        <v>1148</v>
      </c>
      <c r="F701" s="22" t="s">
        <v>315</v>
      </c>
      <c r="G701" s="32" t="str">
        <f>IFERROR(VLOOKUP(F701,Productos!$A$2:$D$258,2,0)," ")</f>
        <v>Bandeja de teclado</v>
      </c>
      <c r="H701" s="7">
        <v>1</v>
      </c>
      <c r="I701" s="32" t="str">
        <f>IFERROR(VLOOKUP(F701,Productos!$A$2:$D$258,3,0)," ")</f>
        <v>Accesorio</v>
      </c>
      <c r="J701" s="139" t="s">
        <v>21</v>
      </c>
      <c r="K701" s="182" t="s">
        <v>22</v>
      </c>
      <c r="L701" s="26" t="str">
        <f t="shared" si="101"/>
        <v>Despachado</v>
      </c>
      <c r="M701" s="56" t="s">
        <v>238</v>
      </c>
      <c r="N701" s="139" t="s">
        <v>1358</v>
      </c>
      <c r="O701" s="150">
        <v>45874</v>
      </c>
      <c r="P701" s="151">
        <v>45875</v>
      </c>
      <c r="Q701" s="24" t="str">
        <f t="shared" si="96"/>
        <v>Entregado</v>
      </c>
      <c r="R701" s="25">
        <f>IF(L701="Despachado",NETWORKDAYS.INTL(A701,O701,11,Valores!$A$2:$A$18)-1,"PTE")</f>
        <v>1</v>
      </c>
      <c r="S701" s="25">
        <f>IF(Q701="Entregado",NETWORKDAYS.INTL(A701,P701,11,Valores!$A$2:$A$18)-1,"PTE")</f>
        <v>2</v>
      </c>
      <c r="T701" s="25"/>
      <c r="U701" s="25"/>
      <c r="V701" s="25" t="str">
        <f>IF(Q701="Entregado",IF(S701&lt;=VLOOKUP(K701,Valores!E:F,2,0),"Cumple","No cumple"),"PTE")</f>
        <v>Cumple</v>
      </c>
      <c r="W701" s="25"/>
      <c r="X701" s="29">
        <v>23429</v>
      </c>
      <c r="Y701" s="224"/>
      <c r="Z701" s="28"/>
    </row>
    <row r="702" spans="1:26" hidden="1" x14ac:dyDescent="0.3">
      <c r="A702" s="34">
        <v>45873</v>
      </c>
      <c r="B702" s="7" t="str">
        <f t="shared" ref="B702:B710" si="104">TEXT(A702,"mmmm")</f>
        <v>agosto</v>
      </c>
      <c r="C702" s="27">
        <v>100066</v>
      </c>
      <c r="D702" s="23" t="s">
        <v>20</v>
      </c>
      <c r="E702" s="185" t="s">
        <v>1149</v>
      </c>
      <c r="F702" s="40" t="s">
        <v>123</v>
      </c>
      <c r="G702" s="32" t="str">
        <f>IFERROR(VLOOKUP(F702,Productos!$A$2:$D$258,2,0)," ")</f>
        <v>Electric Standing Desk GO Negro</v>
      </c>
      <c r="H702" s="7">
        <v>1</v>
      </c>
      <c r="I702" s="32" t="str">
        <f>IFERROR(VLOOKUP(F702,Productos!$A$2:$D$258,3,0)," ")</f>
        <v>Standing Desk</v>
      </c>
      <c r="J702" s="186" t="s">
        <v>24</v>
      </c>
      <c r="K702" s="186" t="s">
        <v>27</v>
      </c>
      <c r="L702" s="26" t="str">
        <f t="shared" si="101"/>
        <v>Despachado</v>
      </c>
      <c r="M702" s="56" t="s">
        <v>238</v>
      </c>
      <c r="N702" s="139" t="s">
        <v>1359</v>
      </c>
      <c r="O702" s="150">
        <v>45875</v>
      </c>
      <c r="P702" s="151">
        <v>45876</v>
      </c>
      <c r="Q702" s="24" t="str">
        <f t="shared" si="96"/>
        <v>Entregado</v>
      </c>
      <c r="R702" s="25">
        <f>IF(L702="Despachado",NETWORKDAYS.INTL(A702,O702,11,Valores!$A$2:$A$18)-1,"PTE")</f>
        <v>2</v>
      </c>
      <c r="S702" s="25">
        <f>IF(Q702="Entregado",NETWORKDAYS.INTL(A702,P702,11,Valores!$A$2:$A$18)-1,"PTE")</f>
        <v>2</v>
      </c>
      <c r="T702" s="25"/>
      <c r="U702" s="25"/>
      <c r="V702" s="25" t="str">
        <f>IF(Q702="Entregado",IF(S702&lt;=VLOOKUP(K702,Valores!E:F,2,0),"Cumple","No cumple"),"PTE")</f>
        <v>Cumple</v>
      </c>
      <c r="W702" s="25"/>
      <c r="X702" s="29">
        <v>41593</v>
      </c>
      <c r="Y702" s="224"/>
      <c r="Z702" s="28"/>
    </row>
    <row r="703" spans="1:26" hidden="1" x14ac:dyDescent="0.3">
      <c r="A703" s="34">
        <v>45873</v>
      </c>
      <c r="B703" s="7" t="str">
        <f t="shared" si="104"/>
        <v>agosto</v>
      </c>
      <c r="C703" s="27">
        <v>100066</v>
      </c>
      <c r="D703" s="23" t="s">
        <v>20</v>
      </c>
      <c r="E703" s="185" t="s">
        <v>1149</v>
      </c>
      <c r="F703" s="22" t="s">
        <v>142</v>
      </c>
      <c r="G703" s="32" t="str">
        <f>IFERROR(VLOOKUP(F703,Productos!$A$2:$D$258,2,0)," ")</f>
        <v>Superficie Caramelo 140x70 Clasico</v>
      </c>
      <c r="H703" s="7">
        <v>1</v>
      </c>
      <c r="I703" s="32" t="str">
        <f>IFERROR(VLOOKUP(F703,Productos!$A$2:$D$258,3,0)," ")</f>
        <v>Superficie</v>
      </c>
      <c r="J703" s="186" t="s">
        <v>24</v>
      </c>
      <c r="K703" s="186" t="s">
        <v>27</v>
      </c>
      <c r="L703" s="26" t="str">
        <f t="shared" si="101"/>
        <v>Despachado</v>
      </c>
      <c r="M703" s="56" t="s">
        <v>238</v>
      </c>
      <c r="N703" s="139" t="s">
        <v>1360</v>
      </c>
      <c r="O703" s="150">
        <v>45875</v>
      </c>
      <c r="P703" s="151">
        <v>45876</v>
      </c>
      <c r="Q703" s="24" t="str">
        <f t="shared" si="96"/>
        <v>Entregado</v>
      </c>
      <c r="R703" s="25">
        <f>IF(L703="Despachado",NETWORKDAYS.INTL(A703,O703,11,Valores!$A$2:$A$18)-1,"PTE")</f>
        <v>2</v>
      </c>
      <c r="S703" s="25">
        <f>IF(Q703="Entregado",NETWORKDAYS.INTL(A703,P703,11,Valores!$A$2:$A$18)-1,"PTE")</f>
        <v>2</v>
      </c>
      <c r="T703" s="25"/>
      <c r="U703" s="25"/>
      <c r="V703" s="25" t="str">
        <f>IF(Q703="Entregado",IF(S703&lt;=VLOOKUP(K703,Valores!E:F,2,0),"Cumple","No cumple"),"PTE")</f>
        <v>Cumple</v>
      </c>
      <c r="W703" s="25"/>
      <c r="X703" s="29">
        <v>24093</v>
      </c>
      <c r="Y703" s="224"/>
      <c r="Z703" s="28"/>
    </row>
    <row r="704" spans="1:26" hidden="1" x14ac:dyDescent="0.3">
      <c r="A704" s="34">
        <v>45874</v>
      </c>
      <c r="B704" s="7" t="str">
        <f t="shared" si="104"/>
        <v>agosto</v>
      </c>
      <c r="C704" s="27">
        <v>100068</v>
      </c>
      <c r="D704" s="23" t="s">
        <v>20</v>
      </c>
      <c r="E704" s="185" t="s">
        <v>1150</v>
      </c>
      <c r="F704" s="40" t="s">
        <v>129</v>
      </c>
      <c r="G704" s="32" t="str">
        <f>IFERROR(VLOOKUP(F704,Productos!$A$2:$D$258,2,0)," ")</f>
        <v>Electric Standing Desk  PRO Negro</v>
      </c>
      <c r="H704" s="7">
        <v>1</v>
      </c>
      <c r="I704" s="32" t="str">
        <f>IFERROR(VLOOKUP(F704,Productos!$A$2:$D$258,3,0)," ")</f>
        <v>Standing Desk</v>
      </c>
      <c r="J704" s="139" t="s">
        <v>21</v>
      </c>
      <c r="K704" s="182" t="s">
        <v>22</v>
      </c>
      <c r="L704" s="26" t="str">
        <f t="shared" si="101"/>
        <v>Despachado</v>
      </c>
      <c r="M704" s="56" t="s">
        <v>238</v>
      </c>
      <c r="N704" s="139" t="s">
        <v>1361</v>
      </c>
      <c r="O704" s="150">
        <v>45875</v>
      </c>
      <c r="P704" s="151">
        <v>45877</v>
      </c>
      <c r="Q704" s="24" t="str">
        <f t="shared" si="96"/>
        <v>Entregado</v>
      </c>
      <c r="R704" s="25">
        <f>IF(L704="Despachado",NETWORKDAYS.INTL(A704,O704,11,Valores!$A$2:$A$18)-1,"PTE")</f>
        <v>1</v>
      </c>
      <c r="S704" s="25">
        <f>IF(Q704="Entregado",NETWORKDAYS.INTL(A704,P704,11,Valores!$A$2:$A$18)-1,"PTE")</f>
        <v>2</v>
      </c>
      <c r="T704" s="25"/>
      <c r="U704" s="25"/>
      <c r="V704" s="25" t="str">
        <f>IF(Q704="Entregado",IF(S704&lt;=VLOOKUP(K704,Valores!E:F,2,0),"Cumple","No cumple"),"PTE")</f>
        <v>Cumple</v>
      </c>
      <c r="W704" s="25"/>
      <c r="X704" s="29">
        <v>41593</v>
      </c>
      <c r="Y704" s="224"/>
      <c r="Z704" s="28"/>
    </row>
    <row r="705" spans="1:26" hidden="1" x14ac:dyDescent="0.3">
      <c r="A705" s="34">
        <v>45874</v>
      </c>
      <c r="B705" s="7" t="str">
        <f t="shared" si="104"/>
        <v>agosto</v>
      </c>
      <c r="C705" s="27">
        <v>100068</v>
      </c>
      <c r="D705" s="23" t="s">
        <v>20</v>
      </c>
      <c r="E705" s="185" t="s">
        <v>1150</v>
      </c>
      <c r="F705" s="22" t="s">
        <v>156</v>
      </c>
      <c r="G705" s="32" t="str">
        <f>IFERROR(VLOOKUP(F705,Productos!$A$2:$D$258,2,0)," ")</f>
        <v>Superficie  Roble Negro 170x70 Clasico</v>
      </c>
      <c r="H705" s="7">
        <v>1</v>
      </c>
      <c r="I705" s="32" t="str">
        <f>IFERROR(VLOOKUP(F705,Productos!$A$2:$D$258,3,0)," ")</f>
        <v>Superficie</v>
      </c>
      <c r="J705" s="139" t="s">
        <v>21</v>
      </c>
      <c r="K705" s="182" t="s">
        <v>22</v>
      </c>
      <c r="L705" s="26" t="str">
        <f t="shared" si="101"/>
        <v>Despachado</v>
      </c>
      <c r="M705" s="56" t="s">
        <v>238</v>
      </c>
      <c r="N705" s="139" t="s">
        <v>1362</v>
      </c>
      <c r="O705" s="150">
        <v>45875</v>
      </c>
      <c r="P705" s="151">
        <v>45877</v>
      </c>
      <c r="Q705" s="24" t="str">
        <f t="shared" si="96"/>
        <v>Entregado</v>
      </c>
      <c r="R705" s="25">
        <f>IF(L705="Despachado",NETWORKDAYS.INTL(A705,O705,11,Valores!$A$2:$A$18)-1,"PTE")</f>
        <v>1</v>
      </c>
      <c r="S705" s="25">
        <f>IF(Q705="Entregado",NETWORKDAYS.INTL(A705,P705,11,Valores!$A$2:$A$18)-1,"PTE")</f>
        <v>2</v>
      </c>
      <c r="T705" s="25"/>
      <c r="U705" s="25"/>
      <c r="V705" s="25" t="str">
        <f>IF(Q705="Entregado",IF(S705&lt;=VLOOKUP(K705,Valores!E:F,2,0),"Cumple","No cumple"),"PTE")</f>
        <v>Cumple</v>
      </c>
      <c r="W705" s="25"/>
      <c r="X705" s="29">
        <v>24093</v>
      </c>
      <c r="Y705" s="224"/>
      <c r="Z705" s="28"/>
    </row>
    <row r="706" spans="1:26" hidden="1" x14ac:dyDescent="0.3">
      <c r="A706" s="34">
        <v>45875</v>
      </c>
      <c r="B706" s="7" t="str">
        <f t="shared" si="104"/>
        <v>agosto</v>
      </c>
      <c r="C706" s="27">
        <v>100069</v>
      </c>
      <c r="D706" s="23" t="s">
        <v>20</v>
      </c>
      <c r="E706" s="185" t="s">
        <v>1151</v>
      </c>
      <c r="F706" s="40" t="s">
        <v>123</v>
      </c>
      <c r="G706" s="32" t="str">
        <f>IFERROR(VLOOKUP(F706,Productos!$A$2:$D$258,2,0)," ")</f>
        <v>Electric Standing Desk GO Negro</v>
      </c>
      <c r="H706" s="7">
        <v>1</v>
      </c>
      <c r="I706" s="32" t="str">
        <f>IFERROR(VLOOKUP(F706,Productos!$A$2:$D$258,3,0)," ")</f>
        <v>Standing Desk</v>
      </c>
      <c r="J706" s="139" t="s">
        <v>21</v>
      </c>
      <c r="K706" s="182" t="s">
        <v>22</v>
      </c>
      <c r="L706" s="26" t="str">
        <f t="shared" si="101"/>
        <v>Despachado</v>
      </c>
      <c r="M706" s="56" t="s">
        <v>238</v>
      </c>
      <c r="N706" s="139" t="s">
        <v>1363</v>
      </c>
      <c r="O706" s="150">
        <v>45877</v>
      </c>
      <c r="P706" s="151">
        <v>45880</v>
      </c>
      <c r="Q706" s="24" t="str">
        <f t="shared" si="96"/>
        <v>Entregado</v>
      </c>
      <c r="R706" s="25">
        <f>IF(L706="Despachado",NETWORKDAYS.INTL(A706,O706,11,Valores!$A$2:$A$18)-1,"PTE")</f>
        <v>1</v>
      </c>
      <c r="S706" s="25">
        <f>IF(Q706="Entregado",NETWORKDAYS.INTL(A706,P706,11,Valores!$A$2:$A$18)-1,"PTE")</f>
        <v>3</v>
      </c>
      <c r="T706" s="25"/>
      <c r="U706" s="25"/>
      <c r="V706" s="25" t="str">
        <f>IF(Q706="Entregado",IF(S706&lt;=VLOOKUP(K706,Valores!E:F,2,0),"Cumple","No cumple"),"PTE")</f>
        <v>Cumple</v>
      </c>
      <c r="W706" s="25"/>
      <c r="X706" s="29">
        <v>41593</v>
      </c>
      <c r="Y706" s="224"/>
      <c r="Z706" s="28"/>
    </row>
    <row r="707" spans="1:26" hidden="1" x14ac:dyDescent="0.3">
      <c r="A707" s="34">
        <v>45875</v>
      </c>
      <c r="B707" s="7" t="str">
        <f t="shared" si="104"/>
        <v>agosto</v>
      </c>
      <c r="C707" s="27">
        <v>100069</v>
      </c>
      <c r="D707" s="23" t="s">
        <v>20</v>
      </c>
      <c r="E707" s="185" t="s">
        <v>1151</v>
      </c>
      <c r="F707" s="22" t="s">
        <v>153</v>
      </c>
      <c r="G707" s="32" t="str">
        <f>IFERROR(VLOOKUP(F707,Productos!$A$2:$D$258,2,0)," ")</f>
        <v>Superficie  Roble Negro 130x70 Clasico</v>
      </c>
      <c r="H707" s="7">
        <v>1</v>
      </c>
      <c r="I707" s="32" t="str">
        <f>IFERROR(VLOOKUP(F707,Productos!$A$2:$D$258,3,0)," ")</f>
        <v>Superficie</v>
      </c>
      <c r="J707" s="139" t="s">
        <v>21</v>
      </c>
      <c r="K707" s="182" t="s">
        <v>22</v>
      </c>
      <c r="L707" s="26" t="str">
        <f t="shared" si="101"/>
        <v>Despachado</v>
      </c>
      <c r="M707" s="56" t="s">
        <v>238</v>
      </c>
      <c r="N707" s="139" t="s">
        <v>1364</v>
      </c>
      <c r="O707" s="150">
        <v>45877</v>
      </c>
      <c r="P707" s="151">
        <v>45880</v>
      </c>
      <c r="Q707" s="24" t="str">
        <f t="shared" si="96"/>
        <v>Entregado</v>
      </c>
      <c r="R707" s="25">
        <f>IF(L707="Despachado",NETWORKDAYS.INTL(A707,O707,11,Valores!$A$2:$A$18)-1,"PTE")</f>
        <v>1</v>
      </c>
      <c r="S707" s="25">
        <f>IF(Q707="Entregado",NETWORKDAYS.INTL(A707,P707,11,Valores!$A$2:$A$18)-1,"PTE")</f>
        <v>3</v>
      </c>
      <c r="T707" s="25"/>
      <c r="U707" s="25"/>
      <c r="V707" s="25" t="str">
        <f>IF(Q707="Entregado",IF(S707&lt;=VLOOKUP(K707,Valores!E:F,2,0),"Cumple","No cumple"),"PTE")</f>
        <v>Cumple</v>
      </c>
      <c r="W707" s="25"/>
      <c r="X707" s="29">
        <v>24093</v>
      </c>
      <c r="Y707" s="224"/>
      <c r="Z707" s="28"/>
    </row>
    <row r="708" spans="1:26" hidden="1" x14ac:dyDescent="0.3">
      <c r="A708" s="34">
        <v>45876</v>
      </c>
      <c r="B708" s="7" t="str">
        <f t="shared" si="104"/>
        <v>agosto</v>
      </c>
      <c r="C708" s="27">
        <v>100070</v>
      </c>
      <c r="D708" s="23" t="s">
        <v>20</v>
      </c>
      <c r="E708" s="185" t="s">
        <v>1152</v>
      </c>
      <c r="F708" s="22" t="s">
        <v>732</v>
      </c>
      <c r="G708" s="32" t="str">
        <f>IFERROR(VLOOKUP(F708,Productos!$A$2:$D$258,2,0)," ")</f>
        <v>Electric Standing Desk  PRO Negro circular</v>
      </c>
      <c r="H708" s="7">
        <v>1</v>
      </c>
      <c r="I708" s="32" t="str">
        <f>IFERROR(VLOOKUP(F708,Productos!$A$2:$D$258,3,0)," ")</f>
        <v>Standing Desk</v>
      </c>
      <c r="J708" s="186" t="s">
        <v>37</v>
      </c>
      <c r="K708" s="186" t="s">
        <v>206</v>
      </c>
      <c r="L708" s="26" t="str">
        <f t="shared" si="101"/>
        <v>Despachado</v>
      </c>
      <c r="M708" s="56" t="s">
        <v>238</v>
      </c>
      <c r="N708" s="139" t="s">
        <v>1365</v>
      </c>
      <c r="O708" s="150">
        <v>45877</v>
      </c>
      <c r="P708" s="151">
        <v>45878</v>
      </c>
      <c r="Q708" s="24" t="str">
        <f t="shared" si="96"/>
        <v>Entregado</v>
      </c>
      <c r="R708" s="25">
        <f>IF(L708="Despachado",NETWORKDAYS.INTL(A708,O708,11,Valores!$A$2:$A$18)-1,"PTE")</f>
        <v>0</v>
      </c>
      <c r="S708" s="25">
        <f>IF(Q708="Entregado",NETWORKDAYS.INTL(A708,P708,11,Valores!$A$2:$A$18)-1,"PTE")</f>
        <v>1</v>
      </c>
      <c r="T708" s="25"/>
      <c r="U708" s="25"/>
      <c r="V708" s="25" t="str">
        <f>IF(Q708="Entregado",IF(S708&lt;=VLOOKUP(K708,Valores!E:F,2,0),"Cumple","No cumple"),"PTE")</f>
        <v>Cumple</v>
      </c>
      <c r="W708" s="25"/>
      <c r="X708" s="29">
        <v>34156</v>
      </c>
      <c r="Y708" s="224"/>
      <c r="Z708" s="28"/>
    </row>
    <row r="709" spans="1:26" hidden="1" x14ac:dyDescent="0.3">
      <c r="A709" s="34">
        <v>45876</v>
      </c>
      <c r="B709" s="7" t="str">
        <f t="shared" si="104"/>
        <v>agosto</v>
      </c>
      <c r="C709" s="27">
        <v>100070</v>
      </c>
      <c r="D709" s="23" t="s">
        <v>20</v>
      </c>
      <c r="E709" s="185" t="s">
        <v>1152</v>
      </c>
      <c r="F709" s="22" t="s">
        <v>258</v>
      </c>
      <c r="G709" s="32" t="str">
        <f>IFERROR(VLOOKUP(F709,Productos!$A$2:$D$258,2,0)," ")</f>
        <v>Superficie  Caramelo 160x70 Moderno</v>
      </c>
      <c r="H709" s="7">
        <v>1</v>
      </c>
      <c r="I709" s="32" t="str">
        <f>IFERROR(VLOOKUP(F709,Productos!$A$2:$D$258,3,0)," ")</f>
        <v>Superficie</v>
      </c>
      <c r="J709" s="186" t="s">
        <v>37</v>
      </c>
      <c r="K709" s="186" t="s">
        <v>206</v>
      </c>
      <c r="L709" s="26" t="str">
        <f t="shared" si="101"/>
        <v>Despachado</v>
      </c>
      <c r="M709" s="56" t="s">
        <v>238</v>
      </c>
      <c r="N709" s="139" t="s">
        <v>1366</v>
      </c>
      <c r="O709" s="150">
        <v>45877</v>
      </c>
      <c r="P709" s="151">
        <v>45880</v>
      </c>
      <c r="Q709" s="24" t="str">
        <f t="shared" si="96"/>
        <v>Entregado</v>
      </c>
      <c r="R709" s="25">
        <f>IF(L709="Despachado",NETWORKDAYS.INTL(A709,O709,11,Valores!$A$2:$A$18)-1,"PTE")</f>
        <v>0</v>
      </c>
      <c r="S709" s="25">
        <f>IF(Q709="Entregado",NETWORKDAYS.INTL(A709,P709,11,Valores!$A$2:$A$18)-1,"PTE")</f>
        <v>2</v>
      </c>
      <c r="T709" s="25"/>
      <c r="U709" s="25"/>
      <c r="V709" s="25" t="str">
        <f>IF(Q709="Entregado",IF(S709&lt;=VLOOKUP(K709,Valores!E:F,2,0),"Cumple","No cumple"),"PTE")</f>
        <v>Cumple</v>
      </c>
      <c r="W709" s="25"/>
      <c r="X709" s="29">
        <v>15194</v>
      </c>
      <c r="Y709" s="224"/>
      <c r="Z709" s="28"/>
    </row>
    <row r="710" spans="1:26" hidden="1" x14ac:dyDescent="0.3">
      <c r="A710" s="34">
        <v>45876</v>
      </c>
      <c r="B710" s="7" t="str">
        <f t="shared" si="104"/>
        <v>agosto</v>
      </c>
      <c r="C710" s="27">
        <v>100070</v>
      </c>
      <c r="D710" s="23" t="s">
        <v>20</v>
      </c>
      <c r="E710" s="185" t="s">
        <v>1152</v>
      </c>
      <c r="F710" s="22" t="s">
        <v>68</v>
      </c>
      <c r="G710" s="32" t="str">
        <f>IFERROR(VLOOKUP(F710,Productos!$A$2:$D$258,2,0)," ")</f>
        <v>Archivador TECU  Caramelo</v>
      </c>
      <c r="H710" s="7">
        <v>1</v>
      </c>
      <c r="I710" s="32" t="str">
        <f>IFERROR(VLOOKUP(F710,Productos!$A$2:$D$258,3,0)," ")</f>
        <v>Archivador</v>
      </c>
      <c r="J710" s="186" t="s">
        <v>37</v>
      </c>
      <c r="K710" s="186" t="s">
        <v>206</v>
      </c>
      <c r="L710" s="26" t="str">
        <f t="shared" si="101"/>
        <v>Despachado</v>
      </c>
      <c r="M710" s="56" t="s">
        <v>239</v>
      </c>
      <c r="N710" s="139" t="s">
        <v>1367</v>
      </c>
      <c r="O710" s="150">
        <v>45880</v>
      </c>
      <c r="P710" s="151">
        <v>45881</v>
      </c>
      <c r="Q710" s="24" t="str">
        <f t="shared" si="96"/>
        <v>Entregado</v>
      </c>
      <c r="R710" s="25">
        <f>IF(L710="Despachado",NETWORKDAYS.INTL(A710,O710,11,Valores!$A$2:$A$18)-1,"PTE")</f>
        <v>2</v>
      </c>
      <c r="S710" s="25">
        <f>IF(Q710="Entregado",NETWORKDAYS.INTL(A710,P710,11,Valores!$A$2:$A$18)-1,"PTE")</f>
        <v>3</v>
      </c>
      <c r="T710" s="25"/>
      <c r="U710" s="25"/>
      <c r="V710" s="25" t="str">
        <f>IF(Q710="Entregado",IF(S710&lt;=VLOOKUP(K710,Valores!E:F,2,0),"Cumple","No cumple"),"PTE")</f>
        <v>Cumple</v>
      </c>
      <c r="W710" s="25"/>
      <c r="X710" s="29">
        <v>47267</v>
      </c>
      <c r="Y710" s="224"/>
      <c r="Z710" s="28"/>
    </row>
    <row r="711" spans="1:26" hidden="1" x14ac:dyDescent="0.3">
      <c r="A711" s="34">
        <v>45876</v>
      </c>
      <c r="B711" s="7" t="str">
        <f t="shared" ref="B711:B719" si="105">TEXT(A711,"mmmm")</f>
        <v>agosto</v>
      </c>
      <c r="C711" s="27">
        <v>100071</v>
      </c>
      <c r="D711" s="23" t="s">
        <v>20</v>
      </c>
      <c r="E711" s="185" t="s">
        <v>1153</v>
      </c>
      <c r="F711" s="40" t="s">
        <v>123</v>
      </c>
      <c r="G711" s="32" t="str">
        <f>IFERROR(VLOOKUP(F711,Productos!$A$2:$D$258,2,0)," ")</f>
        <v>Electric Standing Desk GO Negro</v>
      </c>
      <c r="H711" s="7">
        <v>1</v>
      </c>
      <c r="I711" s="32" t="str">
        <f>IFERROR(VLOOKUP(F711,Productos!$A$2:$D$258,3,0)," ")</f>
        <v>Standing Desk</v>
      </c>
      <c r="J711" s="139" t="s">
        <v>21</v>
      </c>
      <c r="K711" s="182" t="s">
        <v>22</v>
      </c>
      <c r="L711" s="26" t="str">
        <f t="shared" si="101"/>
        <v>Despachado</v>
      </c>
      <c r="M711" s="56" t="s">
        <v>238</v>
      </c>
      <c r="N711" s="139" t="s">
        <v>1368</v>
      </c>
      <c r="O711" s="150">
        <v>45877</v>
      </c>
      <c r="P711" s="151">
        <v>45881</v>
      </c>
      <c r="Q711" s="24" t="str">
        <f t="shared" si="96"/>
        <v>Entregado</v>
      </c>
      <c r="R711" s="25">
        <f>IF(L711="Despachado",NETWORKDAYS.INTL(A711,O711,11,Valores!$A$2:$A$18)-1,"PTE")</f>
        <v>0</v>
      </c>
      <c r="S711" s="25">
        <f>IF(Q711="Entregado",NETWORKDAYS.INTL(A711,P711,11,Valores!$A$2:$A$18)-1,"PTE")</f>
        <v>3</v>
      </c>
      <c r="T711" s="25"/>
      <c r="U711" s="25"/>
      <c r="V711" s="25" t="str">
        <f>IF(Q711="Entregado",IF(S711&lt;=VLOOKUP(K711,Valores!E:F,2,0),"Cumple","No cumple"),"PTE")</f>
        <v>Cumple</v>
      </c>
      <c r="W711" s="25"/>
      <c r="X711" s="29">
        <v>41593</v>
      </c>
      <c r="Y711" s="224"/>
      <c r="Z711" s="28"/>
    </row>
    <row r="712" spans="1:26" hidden="1" x14ac:dyDescent="0.3">
      <c r="A712" s="34">
        <v>45876</v>
      </c>
      <c r="B712" s="7" t="str">
        <f t="shared" si="105"/>
        <v>agosto</v>
      </c>
      <c r="C712" s="27">
        <v>100071</v>
      </c>
      <c r="D712" s="23" t="s">
        <v>20</v>
      </c>
      <c r="E712" s="185" t="s">
        <v>1153</v>
      </c>
      <c r="F712" s="22" t="s">
        <v>26</v>
      </c>
      <c r="G712" s="32" t="str">
        <f>IFERROR(VLOOKUP(F712,Productos!$A$2:$D$258,2,0)," ")</f>
        <v>Superficie Caramelo 150x70 Clasico</v>
      </c>
      <c r="H712" s="7">
        <v>1</v>
      </c>
      <c r="I712" s="32" t="str">
        <f>IFERROR(VLOOKUP(F712,Productos!$A$2:$D$258,3,0)," ")</f>
        <v>Superficie</v>
      </c>
      <c r="J712" s="139" t="s">
        <v>21</v>
      </c>
      <c r="K712" s="182" t="s">
        <v>22</v>
      </c>
      <c r="L712" s="26" t="str">
        <f t="shared" si="101"/>
        <v>Despachado</v>
      </c>
      <c r="M712" s="56" t="s">
        <v>238</v>
      </c>
      <c r="N712" s="139" t="s">
        <v>1369</v>
      </c>
      <c r="O712" s="150">
        <v>45877</v>
      </c>
      <c r="P712" s="151">
        <v>45881</v>
      </c>
      <c r="Q712" s="24" t="str">
        <f t="shared" si="96"/>
        <v>Entregado</v>
      </c>
      <c r="R712" s="25">
        <f>IF(L712="Despachado",NETWORKDAYS.INTL(A712,O712,11,Valores!$A$2:$A$18)-1,"PTE")</f>
        <v>0</v>
      </c>
      <c r="S712" s="25">
        <f>IF(Q712="Entregado",NETWORKDAYS.INTL(A712,P712,11,Valores!$A$2:$A$18)-1,"PTE")</f>
        <v>3</v>
      </c>
      <c r="T712" s="25"/>
      <c r="U712" s="25"/>
      <c r="V712" s="25" t="str">
        <f>IF(Q712="Entregado",IF(S712&lt;=VLOOKUP(K712,Valores!E:F,2,0),"Cumple","No cumple"),"PTE")</f>
        <v>Cumple</v>
      </c>
      <c r="W712" s="25"/>
      <c r="X712" s="29">
        <v>24093</v>
      </c>
      <c r="Y712" s="224"/>
      <c r="Z712" s="28"/>
    </row>
    <row r="713" spans="1:26" hidden="1" x14ac:dyDescent="0.3">
      <c r="A713" s="34">
        <v>45876</v>
      </c>
      <c r="B713" s="7" t="str">
        <f t="shared" si="105"/>
        <v>agosto</v>
      </c>
      <c r="C713" s="27">
        <v>100071</v>
      </c>
      <c r="D713" s="23" t="s">
        <v>20</v>
      </c>
      <c r="E713" s="185" t="s">
        <v>1153</v>
      </c>
      <c r="F713" s="22"/>
      <c r="G713" s="32" t="s">
        <v>1796</v>
      </c>
      <c r="H713" s="7">
        <v>1</v>
      </c>
      <c r="I713" s="32" t="s">
        <v>327</v>
      </c>
      <c r="J713" s="139" t="s">
        <v>21</v>
      </c>
      <c r="K713" s="182" t="s">
        <v>22</v>
      </c>
      <c r="L713" s="26" t="str">
        <f t="shared" si="101"/>
        <v>Despachado</v>
      </c>
      <c r="M713" s="56" t="s">
        <v>241</v>
      </c>
      <c r="N713" s="190" t="s">
        <v>241</v>
      </c>
      <c r="O713" s="191" t="s">
        <v>241</v>
      </c>
      <c r="P713" s="192" t="s">
        <v>241</v>
      </c>
      <c r="Q713" s="24" t="str">
        <f t="shared" si="96"/>
        <v>Entregado</v>
      </c>
      <c r="R713" s="25" t="e">
        <f>IF(L713="Despachado",NETWORKDAYS.INTL(A713,O713,11,Valores!$A$2:$A$18)-1,"PTE")</f>
        <v>#VALUE!</v>
      </c>
      <c r="S713" s="25" t="e">
        <f>IF(Q713="Entregado",NETWORKDAYS.INTL(A713,P713,11,Valores!$A$2:$A$18)-1,"PTE")</f>
        <v>#VALUE!</v>
      </c>
      <c r="T713" s="25"/>
      <c r="U713" s="25"/>
      <c r="V713" s="25" t="e">
        <f>IF(Q713="Entregado",IF(S713&lt;=VLOOKUP(K713,Valores!E:F,2,0),"Cumple","No cumple"),"PTE")</f>
        <v>#VALUE!</v>
      </c>
      <c r="W713" s="25"/>
      <c r="X713" s="29">
        <v>0</v>
      </c>
      <c r="Y713" s="224"/>
      <c r="Z713" s="28"/>
    </row>
    <row r="714" spans="1:26" hidden="1" x14ac:dyDescent="0.3">
      <c r="A714" s="34">
        <v>45881</v>
      </c>
      <c r="B714" s="7" t="str">
        <f t="shared" si="105"/>
        <v>agosto</v>
      </c>
      <c r="C714" s="27">
        <v>100072</v>
      </c>
      <c r="D714" s="23" t="s">
        <v>20</v>
      </c>
      <c r="E714" s="185" t="s">
        <v>1154</v>
      </c>
      <c r="F714" s="22" t="s">
        <v>129</v>
      </c>
      <c r="G714" s="32" t="str">
        <f>IFERROR(VLOOKUP(F714,Productos!$A$2:$D$258,2,0)," ")</f>
        <v>Electric Standing Desk  PRO Negro</v>
      </c>
      <c r="H714" s="7">
        <v>1</v>
      </c>
      <c r="I714" s="32" t="str">
        <f>IFERROR(VLOOKUP(F714,Productos!$A$2:$D$258,3,0)," ")</f>
        <v>Standing Desk</v>
      </c>
      <c r="J714" s="139" t="s">
        <v>21</v>
      </c>
      <c r="K714" s="182" t="s">
        <v>22</v>
      </c>
      <c r="L714" s="26" t="str">
        <f t="shared" si="101"/>
        <v>Despachado</v>
      </c>
      <c r="M714" s="56" t="s">
        <v>238</v>
      </c>
      <c r="N714" s="139" t="s">
        <v>1370</v>
      </c>
      <c r="O714" s="150">
        <v>45881</v>
      </c>
      <c r="P714" s="151">
        <v>45885</v>
      </c>
      <c r="Q714" s="24" t="str">
        <f t="shared" si="96"/>
        <v>Entregado</v>
      </c>
      <c r="R714" s="25">
        <f>IF(L714="Despachado",NETWORKDAYS.INTL(A714,O714,11,Valores!$A$2:$A$18)-1,"PTE")</f>
        <v>0</v>
      </c>
      <c r="S714" s="25">
        <f>IF(Q714="Entregado",NETWORKDAYS.INTL(A714,P714,11,Valores!$A$2:$A$18)-1,"PTE")</f>
        <v>4</v>
      </c>
      <c r="T714" s="25"/>
      <c r="U714" s="25"/>
      <c r="V714" s="25" t="str">
        <f>IF(Q714="Entregado",IF(S714&lt;=VLOOKUP(K714,Valores!E:F,2,0),"Cumple","No cumple"),"PTE")</f>
        <v>No cumple</v>
      </c>
      <c r="W714" s="25"/>
      <c r="X714" s="29">
        <v>41593</v>
      </c>
      <c r="Y714" s="224"/>
      <c r="Z714" s="28"/>
    </row>
    <row r="715" spans="1:26" hidden="1" x14ac:dyDescent="0.3">
      <c r="A715" s="34">
        <v>45881</v>
      </c>
      <c r="B715" s="7" t="str">
        <f t="shared" si="105"/>
        <v>agosto</v>
      </c>
      <c r="C715" s="27">
        <v>100072</v>
      </c>
      <c r="D715" s="23" t="s">
        <v>20</v>
      </c>
      <c r="E715" s="185" t="s">
        <v>1154</v>
      </c>
      <c r="F715" s="22" t="s">
        <v>143</v>
      </c>
      <c r="G715" s="32" t="str">
        <f>IFERROR(VLOOKUP(F715,Productos!$A$2:$D$258,2,0)," ")</f>
        <v>Superficie  Caramelo 160x70 Clasico</v>
      </c>
      <c r="H715" s="7">
        <v>1</v>
      </c>
      <c r="I715" s="32" t="str">
        <f>IFERROR(VLOOKUP(F715,Productos!$A$2:$D$258,3,0)," ")</f>
        <v>Superficie</v>
      </c>
      <c r="J715" s="139" t="s">
        <v>21</v>
      </c>
      <c r="K715" s="182" t="s">
        <v>22</v>
      </c>
      <c r="L715" s="26" t="str">
        <f t="shared" si="101"/>
        <v>Despachado</v>
      </c>
      <c r="M715" s="56" t="s">
        <v>238</v>
      </c>
      <c r="N715" s="139" t="s">
        <v>1371</v>
      </c>
      <c r="O715" s="150">
        <v>45881</v>
      </c>
      <c r="P715" s="151">
        <v>45883</v>
      </c>
      <c r="Q715" s="24" t="str">
        <f t="shared" si="96"/>
        <v>Entregado</v>
      </c>
      <c r="R715" s="25">
        <f>IF(L715="Despachado",NETWORKDAYS.INTL(A715,O715,11,Valores!$A$2:$A$18)-1,"PTE")</f>
        <v>0</v>
      </c>
      <c r="S715" s="25">
        <f>IF(Q715="Entregado",NETWORKDAYS.INTL(A715,P715,11,Valores!$A$2:$A$18)-1,"PTE")</f>
        <v>2</v>
      </c>
      <c r="T715" s="25"/>
      <c r="U715" s="25"/>
      <c r="V715" s="25" t="str">
        <f>IF(Q715="Entregado",IF(S715&lt;=VLOOKUP(K715,Valores!E:F,2,0),"Cumple","No cumple"),"PTE")</f>
        <v>Cumple</v>
      </c>
      <c r="W715" s="25"/>
      <c r="X715" s="29">
        <v>24093</v>
      </c>
      <c r="Y715" s="224"/>
      <c r="Z715" s="28"/>
    </row>
    <row r="716" spans="1:26" hidden="1" x14ac:dyDescent="0.3">
      <c r="A716" s="34">
        <v>45881</v>
      </c>
      <c r="B716" s="7" t="str">
        <f t="shared" si="105"/>
        <v>agosto</v>
      </c>
      <c r="C716" s="27">
        <v>100073</v>
      </c>
      <c r="D716" s="23" t="s">
        <v>20</v>
      </c>
      <c r="E716" s="185" t="s">
        <v>1155</v>
      </c>
      <c r="F716" s="22" t="s">
        <v>129</v>
      </c>
      <c r="G716" s="32" t="str">
        <f>IFERROR(VLOOKUP(F716,Productos!$A$2:$D$258,2,0)," ")</f>
        <v>Electric Standing Desk  PRO Negro</v>
      </c>
      <c r="H716" s="7">
        <v>1</v>
      </c>
      <c r="I716" s="32" t="str">
        <f>IFERROR(VLOOKUP(F716,Productos!$A$2:$D$258,3,0)," ")</f>
        <v>Standing Desk</v>
      </c>
      <c r="J716" s="139" t="s">
        <v>21</v>
      </c>
      <c r="K716" s="182" t="s">
        <v>22</v>
      </c>
      <c r="L716" s="26" t="str">
        <f t="shared" si="101"/>
        <v>Despachado</v>
      </c>
      <c r="M716" s="56" t="s">
        <v>238</v>
      </c>
      <c r="N716" s="139" t="s">
        <v>1372</v>
      </c>
      <c r="O716" s="150">
        <v>45881</v>
      </c>
      <c r="P716" s="151">
        <v>45884</v>
      </c>
      <c r="Q716" s="24" t="str">
        <f t="shared" si="96"/>
        <v>Entregado</v>
      </c>
      <c r="R716" s="25">
        <f>IF(L716="Despachado",NETWORKDAYS.INTL(A716,O716,11,Valores!$A$2:$A$18)-1,"PTE")</f>
        <v>0</v>
      </c>
      <c r="S716" s="25">
        <f>IF(Q716="Entregado",NETWORKDAYS.INTL(A716,P716,11,Valores!$A$2:$A$18)-1,"PTE")</f>
        <v>3</v>
      </c>
      <c r="T716" s="25"/>
      <c r="U716" s="25"/>
      <c r="V716" s="25" t="str">
        <f>IF(Q716="Entregado",IF(S716&lt;=VLOOKUP(K716,Valores!E:F,2,0),"Cumple","No cumple"),"PTE")</f>
        <v>Cumple</v>
      </c>
      <c r="W716" s="25"/>
      <c r="X716" s="29">
        <v>41593</v>
      </c>
      <c r="Y716" s="224"/>
      <c r="Z716" s="28"/>
    </row>
    <row r="717" spans="1:26" hidden="1" x14ac:dyDescent="0.3">
      <c r="A717" s="34">
        <v>45881</v>
      </c>
      <c r="B717" s="7" t="str">
        <f t="shared" si="105"/>
        <v>agosto</v>
      </c>
      <c r="C717" s="27">
        <v>100073</v>
      </c>
      <c r="D717" s="23" t="s">
        <v>20</v>
      </c>
      <c r="E717" s="185" t="s">
        <v>1155</v>
      </c>
      <c r="F717" s="22" t="s">
        <v>107</v>
      </c>
      <c r="G717" s="32" t="str">
        <f>IFERROR(VLOOKUP(F717,Productos!$A$2:$D$258,2,0)," ")</f>
        <v>Superficie  Caramelo 120x70 Clasico Small</v>
      </c>
      <c r="H717" s="7">
        <v>1</v>
      </c>
      <c r="I717" s="32" t="str">
        <f>IFERROR(VLOOKUP(F717,Productos!$A$2:$D$258,3,0)," ")</f>
        <v>Superficie</v>
      </c>
      <c r="J717" s="139" t="s">
        <v>21</v>
      </c>
      <c r="K717" s="182" t="s">
        <v>22</v>
      </c>
      <c r="L717" s="26" t="str">
        <f t="shared" ref="L717:L748" si="106">IF(O717&gt;0,"Despachado","En alistamiento")</f>
        <v>Despachado</v>
      </c>
      <c r="M717" s="56" t="s">
        <v>238</v>
      </c>
      <c r="N717" s="139" t="s">
        <v>1373</v>
      </c>
      <c r="O717" s="150">
        <v>45881</v>
      </c>
      <c r="P717" s="151">
        <v>45883</v>
      </c>
      <c r="Q717" s="24" t="str">
        <f t="shared" si="96"/>
        <v>Entregado</v>
      </c>
      <c r="R717" s="25">
        <f>IF(L717="Despachado",NETWORKDAYS.INTL(A717,O717,11,Valores!$A$2:$A$18)-1,"PTE")</f>
        <v>0</v>
      </c>
      <c r="S717" s="25">
        <f>IF(Q717="Entregado",NETWORKDAYS.INTL(A717,P717,11,Valores!$A$2:$A$18)-1,"PTE")</f>
        <v>2</v>
      </c>
      <c r="T717" s="25"/>
      <c r="U717" s="25"/>
      <c r="V717" s="25" t="str">
        <f>IF(Q717="Entregado",IF(S717&lt;=VLOOKUP(K717,Valores!E:F,2,0),"Cumple","No cumple"),"PTE")</f>
        <v>Cumple</v>
      </c>
      <c r="W717" s="25"/>
      <c r="X717" s="29">
        <v>24093</v>
      </c>
      <c r="Y717" s="224"/>
      <c r="Z717" s="28"/>
    </row>
    <row r="718" spans="1:26" hidden="1" x14ac:dyDescent="0.3">
      <c r="A718" s="34">
        <v>45881</v>
      </c>
      <c r="B718" s="7" t="str">
        <f t="shared" si="105"/>
        <v>agosto</v>
      </c>
      <c r="C718" s="27">
        <v>100073</v>
      </c>
      <c r="D718" s="23" t="s">
        <v>20</v>
      </c>
      <c r="E718" s="185" t="s">
        <v>1155</v>
      </c>
      <c r="F718" s="22" t="s">
        <v>107</v>
      </c>
      <c r="G718" s="32" t="str">
        <f>IFERROR(VLOOKUP(F718,Productos!$A$2:$D$258,2,0)," ")</f>
        <v>Superficie  Caramelo 120x70 Clasico Small</v>
      </c>
      <c r="H718" s="7">
        <v>1</v>
      </c>
      <c r="I718" s="32" t="str">
        <f>IFERROR(VLOOKUP(F718,Productos!$A$2:$D$258,3,0)," ")</f>
        <v>Superficie</v>
      </c>
      <c r="J718" s="139" t="s">
        <v>21</v>
      </c>
      <c r="K718" s="182" t="s">
        <v>22</v>
      </c>
      <c r="L718" s="26" t="str">
        <f t="shared" si="106"/>
        <v>Despachado</v>
      </c>
      <c r="M718" s="56" t="s">
        <v>238</v>
      </c>
      <c r="N718" s="139" t="s">
        <v>1374</v>
      </c>
      <c r="O718" s="150">
        <v>45881</v>
      </c>
      <c r="P718" s="151">
        <v>45883</v>
      </c>
      <c r="Q718" s="24" t="str">
        <f t="shared" si="96"/>
        <v>Entregado</v>
      </c>
      <c r="R718" s="25">
        <f>IF(L718="Despachado",NETWORKDAYS.INTL(A718,O718,11,Valores!$A$2:$A$18)-1,"PTE")</f>
        <v>0</v>
      </c>
      <c r="S718" s="25">
        <f>IF(Q718="Entregado",NETWORKDAYS.INTL(A718,P718,11,Valores!$A$2:$A$18)-1,"PTE")</f>
        <v>2</v>
      </c>
      <c r="T718" s="25"/>
      <c r="U718" s="25"/>
      <c r="V718" s="25" t="str">
        <f>IF(Q718="Entregado",IF(S718&lt;=VLOOKUP(K718,Valores!E:F,2,0),"Cumple","No cumple"),"PTE")</f>
        <v>Cumple</v>
      </c>
      <c r="W718" s="25"/>
      <c r="X718" s="29">
        <v>24093</v>
      </c>
      <c r="Y718" s="224"/>
      <c r="Z718" s="28"/>
    </row>
    <row r="719" spans="1:26" hidden="1" x14ac:dyDescent="0.3">
      <c r="A719" s="34">
        <v>45883</v>
      </c>
      <c r="B719" s="7" t="str">
        <f t="shared" si="105"/>
        <v>agosto</v>
      </c>
      <c r="C719" s="27">
        <v>100075</v>
      </c>
      <c r="D719" s="23" t="s">
        <v>20</v>
      </c>
      <c r="E719" s="185" t="s">
        <v>1156</v>
      </c>
      <c r="F719" s="22" t="s">
        <v>313</v>
      </c>
      <c r="G719" s="32" t="str">
        <f>IFERROR(VLOOKUP(F719,Productos!$A$2:$D$258,2,0)," ")</f>
        <v>Bandeja Piano</v>
      </c>
      <c r="H719" s="7">
        <v>1</v>
      </c>
      <c r="I719" s="32" t="str">
        <f>IFERROR(VLOOKUP(F719,Productos!$A$2:$D$258,3,0)," ")</f>
        <v>Accesorio</v>
      </c>
      <c r="J719" s="186" t="s">
        <v>24</v>
      </c>
      <c r="K719" s="186" t="s">
        <v>209</v>
      </c>
      <c r="L719" s="26" t="str">
        <f t="shared" si="106"/>
        <v>Despachado</v>
      </c>
      <c r="M719" s="56" t="s">
        <v>238</v>
      </c>
      <c r="N719" s="139" t="s">
        <v>1375</v>
      </c>
      <c r="O719" s="151">
        <v>45883</v>
      </c>
      <c r="P719" s="151">
        <v>45884</v>
      </c>
      <c r="Q719" s="24" t="str">
        <f t="shared" si="96"/>
        <v>Entregado</v>
      </c>
      <c r="R719" s="25">
        <f>IF(L719="Despachado",NETWORKDAYS.INTL(A719,O719,11,Valores!$A$2:$A$18)-1,"PTE")</f>
        <v>0</v>
      </c>
      <c r="S719" s="25">
        <f>IF(Q719="Entregado",NETWORKDAYS.INTL(A719,P719,11,Valores!$A$2:$A$18)-1,"PTE")</f>
        <v>1</v>
      </c>
      <c r="T719" s="25"/>
      <c r="U719" s="25"/>
      <c r="V719" s="25" t="str">
        <f>IF(Q719="Entregado",IF(S719&lt;=VLOOKUP(K719,Valores!E:F,2,0),"Cumple","No cumple"),"PTE")</f>
        <v>Cumple</v>
      </c>
      <c r="W719" s="25"/>
      <c r="X719" s="29">
        <v>39225</v>
      </c>
      <c r="Y719" s="224"/>
      <c r="Z719" s="28"/>
    </row>
    <row r="720" spans="1:26" hidden="1" x14ac:dyDescent="0.3">
      <c r="A720" s="34">
        <v>45883</v>
      </c>
      <c r="B720" s="7" t="str">
        <f t="shared" ref="B720:B729" si="107">TEXT(A720,"mmmm")</f>
        <v>agosto</v>
      </c>
      <c r="C720" s="27">
        <v>100076</v>
      </c>
      <c r="D720" s="23" t="s">
        <v>20</v>
      </c>
      <c r="E720" s="185" t="s">
        <v>1157</v>
      </c>
      <c r="F720" s="22" t="s">
        <v>129</v>
      </c>
      <c r="G720" s="32" t="str">
        <f>IFERROR(VLOOKUP(F720,Productos!$A$2:$D$258,2,0)," ")</f>
        <v>Electric Standing Desk  PRO Negro</v>
      </c>
      <c r="H720" s="7">
        <v>1</v>
      </c>
      <c r="I720" s="32" t="str">
        <f>IFERROR(VLOOKUP(F720,Productos!$A$2:$D$258,3,0)," ")</f>
        <v>Standing Desk</v>
      </c>
      <c r="J720" s="186" t="s">
        <v>24</v>
      </c>
      <c r="K720" s="186" t="s">
        <v>27</v>
      </c>
      <c r="L720" s="26" t="str">
        <f t="shared" si="106"/>
        <v>Despachado</v>
      </c>
      <c r="M720" s="56" t="s">
        <v>238</v>
      </c>
      <c r="N720" s="139" t="s">
        <v>1376</v>
      </c>
      <c r="O720" s="151">
        <v>45883</v>
      </c>
      <c r="P720" s="151">
        <v>45884</v>
      </c>
      <c r="Q720" s="24" t="str">
        <f t="shared" si="96"/>
        <v>Entregado</v>
      </c>
      <c r="R720" s="25">
        <f>IF(L720="Despachado",NETWORKDAYS.INTL(A720,O720,11,Valores!$A$2:$A$18)-1,"PTE")</f>
        <v>0</v>
      </c>
      <c r="S720" s="25">
        <f>IF(Q720="Entregado",NETWORKDAYS.INTL(A720,P720,11,Valores!$A$2:$A$18)-1,"PTE")</f>
        <v>1</v>
      </c>
      <c r="T720" s="25"/>
      <c r="U720" s="25"/>
      <c r="V720" s="25" t="str">
        <f>IF(Q720="Entregado",IF(S720&lt;=VLOOKUP(K720,Valores!E:F,2,0),"Cumple","No cumple"),"PTE")</f>
        <v>Cumple</v>
      </c>
      <c r="W720" s="25"/>
      <c r="X720" s="29">
        <v>41593</v>
      </c>
      <c r="Y720" s="224"/>
      <c r="Z720" s="28"/>
    </row>
    <row r="721" spans="1:26" hidden="1" x14ac:dyDescent="0.3">
      <c r="A721" s="34">
        <v>45883</v>
      </c>
      <c r="B721" s="7" t="str">
        <f t="shared" si="107"/>
        <v>agosto</v>
      </c>
      <c r="C721" s="27">
        <v>100076</v>
      </c>
      <c r="D721" s="23" t="s">
        <v>20</v>
      </c>
      <c r="E721" s="185" t="s">
        <v>1157</v>
      </c>
      <c r="F721" s="22" t="s">
        <v>107</v>
      </c>
      <c r="G721" s="32" t="str">
        <f>IFERROR(VLOOKUP(F721,Productos!$A$2:$D$258,2,0)," ")</f>
        <v>Superficie  Caramelo 120x70 Clasico Small</v>
      </c>
      <c r="H721" s="7">
        <v>1</v>
      </c>
      <c r="I721" s="32" t="str">
        <f>IFERROR(VLOOKUP(F721,Productos!$A$2:$D$258,3,0)," ")</f>
        <v>Superficie</v>
      </c>
      <c r="J721" s="186" t="s">
        <v>24</v>
      </c>
      <c r="K721" s="186" t="s">
        <v>27</v>
      </c>
      <c r="L721" s="26" t="str">
        <f t="shared" si="106"/>
        <v>Despachado</v>
      </c>
      <c r="M721" s="56" t="s">
        <v>238</v>
      </c>
      <c r="N721" s="139" t="s">
        <v>1377</v>
      </c>
      <c r="O721" s="151">
        <v>45883</v>
      </c>
      <c r="P721" s="151">
        <v>45884</v>
      </c>
      <c r="Q721" s="24" t="str">
        <f t="shared" ref="Q721:Q752" si="108">IF(P721&gt;0,"Entregado","En transito")</f>
        <v>Entregado</v>
      </c>
      <c r="R721" s="25">
        <f>IF(L721="Despachado",NETWORKDAYS.INTL(A721,O721,11,Valores!$A$2:$A$18)-1,"PTE")</f>
        <v>0</v>
      </c>
      <c r="S721" s="25">
        <f>IF(Q721="Entregado",NETWORKDAYS.INTL(A721,P721,11,Valores!$A$2:$A$18)-1,"PTE")</f>
        <v>1</v>
      </c>
      <c r="T721" s="25"/>
      <c r="U721" s="25"/>
      <c r="V721" s="25" t="str">
        <f>IF(Q721="Entregado",IF(S721&lt;=VLOOKUP(K721,Valores!E:F,2,0),"Cumple","No cumple"),"PTE")</f>
        <v>Cumple</v>
      </c>
      <c r="W721" s="25"/>
      <c r="X721" s="29">
        <v>24093</v>
      </c>
      <c r="Y721" s="224"/>
      <c r="Z721" s="28"/>
    </row>
    <row r="722" spans="1:26" hidden="1" x14ac:dyDescent="0.3">
      <c r="A722" s="34">
        <v>45884</v>
      </c>
      <c r="B722" s="7" t="str">
        <f t="shared" si="107"/>
        <v>agosto</v>
      </c>
      <c r="C722" s="27">
        <v>100078</v>
      </c>
      <c r="D722" s="23" t="s">
        <v>20</v>
      </c>
      <c r="E722" s="185" t="s">
        <v>1158</v>
      </c>
      <c r="F722" s="40" t="s">
        <v>123</v>
      </c>
      <c r="G722" s="32" t="str">
        <f>IFERROR(VLOOKUP(F722,Productos!$A$2:$D$258,2,0)," ")</f>
        <v>Electric Standing Desk GO Negro</v>
      </c>
      <c r="H722" s="7">
        <v>1</v>
      </c>
      <c r="I722" s="32" t="str">
        <f>IFERROR(VLOOKUP(F722,Productos!$A$2:$D$258,3,0)," ")</f>
        <v>Standing Desk</v>
      </c>
      <c r="J722" s="139" t="s">
        <v>21</v>
      </c>
      <c r="K722" s="182" t="s">
        <v>22</v>
      </c>
      <c r="L722" s="26" t="str">
        <f t="shared" si="106"/>
        <v>Despachado</v>
      </c>
      <c r="M722" s="56" t="s">
        <v>238</v>
      </c>
      <c r="N722" s="139" t="s">
        <v>1378</v>
      </c>
      <c r="O722" s="150">
        <v>45884</v>
      </c>
      <c r="P722" s="151">
        <v>45888</v>
      </c>
      <c r="Q722" s="24" t="str">
        <f t="shared" si="108"/>
        <v>Entregado</v>
      </c>
      <c r="R722" s="25">
        <f>IF(L722="Despachado",NETWORKDAYS.INTL(A722,O722,11,Valores!$A$2:$A$18)-1,"PTE")</f>
        <v>0</v>
      </c>
      <c r="S722" s="25">
        <f>IF(Q722="Entregado",NETWORKDAYS.INTL(A722,P722,11,Valores!$A$2:$A$18)-1,"PTE")</f>
        <v>2</v>
      </c>
      <c r="T722" s="25"/>
      <c r="U722" s="25"/>
      <c r="V722" s="25" t="str">
        <f>IF(Q722="Entregado",IF(S722&lt;=VLOOKUP(K722,Valores!E:F,2,0),"Cumple","No cumple"),"PTE")</f>
        <v>Cumple</v>
      </c>
      <c r="W722" s="25"/>
      <c r="X722" s="29">
        <v>41593</v>
      </c>
      <c r="Y722" s="224"/>
      <c r="Z722" s="28"/>
    </row>
    <row r="723" spans="1:26" hidden="1" x14ac:dyDescent="0.3">
      <c r="A723" s="34">
        <v>45884</v>
      </c>
      <c r="B723" s="7" t="str">
        <f t="shared" si="107"/>
        <v>agosto</v>
      </c>
      <c r="C723" s="27">
        <v>100078</v>
      </c>
      <c r="D723" s="23" t="s">
        <v>20</v>
      </c>
      <c r="E723" s="185" t="s">
        <v>1158</v>
      </c>
      <c r="F723" s="22" t="s">
        <v>305</v>
      </c>
      <c r="G723" s="32" t="str">
        <f>IFERROR(VLOOKUP(F723,Productos!$A$2:$D$258,2,0)," ")</f>
        <v>Superficie  Fresno Europeo 160x70 Clasico</v>
      </c>
      <c r="H723" s="7">
        <v>1</v>
      </c>
      <c r="I723" s="32" t="str">
        <f>IFERROR(VLOOKUP(F723,Productos!$A$2:$D$258,3,0)," ")</f>
        <v>Superficie</v>
      </c>
      <c r="J723" s="139" t="s">
        <v>21</v>
      </c>
      <c r="K723" s="182" t="s">
        <v>22</v>
      </c>
      <c r="L723" s="26" t="str">
        <f t="shared" si="106"/>
        <v>Despachado</v>
      </c>
      <c r="M723" s="56" t="s">
        <v>238</v>
      </c>
      <c r="N723" s="139" t="s">
        <v>1379</v>
      </c>
      <c r="O723" s="150">
        <v>45884</v>
      </c>
      <c r="P723" s="151">
        <v>45888</v>
      </c>
      <c r="Q723" s="24" t="str">
        <f t="shared" si="108"/>
        <v>Entregado</v>
      </c>
      <c r="R723" s="25">
        <f>IF(L723="Despachado",NETWORKDAYS.INTL(A723,O723,11,Valores!$A$2:$A$18)-1,"PTE")</f>
        <v>0</v>
      </c>
      <c r="S723" s="25">
        <f>IF(Q723="Entregado",NETWORKDAYS.INTL(A723,P723,11,Valores!$A$2:$A$18)-1,"PTE")</f>
        <v>2</v>
      </c>
      <c r="T723" s="25"/>
      <c r="U723" s="25"/>
      <c r="V723" s="25" t="str">
        <f>IF(Q723="Entregado",IF(S723&lt;=VLOOKUP(K723,Valores!E:F,2,0),"Cumple","No cumple"),"PTE")</f>
        <v>Cumple</v>
      </c>
      <c r="W723" s="25"/>
      <c r="X723" s="29">
        <v>24093</v>
      </c>
      <c r="Y723" s="224"/>
      <c r="Z723" s="28"/>
    </row>
    <row r="724" spans="1:26" hidden="1" x14ac:dyDescent="0.3">
      <c r="A724" s="34">
        <v>45885</v>
      </c>
      <c r="B724" s="7" t="str">
        <f t="shared" si="107"/>
        <v>agosto</v>
      </c>
      <c r="C724" s="27">
        <v>100080</v>
      </c>
      <c r="D724" s="23" t="s">
        <v>20</v>
      </c>
      <c r="E724" s="185" t="s">
        <v>1159</v>
      </c>
      <c r="F724" s="22" t="s">
        <v>57</v>
      </c>
      <c r="G724" s="32" t="str">
        <f>IFERROR(VLOOKUP(F724,Productos!$A$2:$D$258,2,0)," ")</f>
        <v>Electric Standing Desk  En L Frame Negro 2.0</v>
      </c>
      <c r="H724" s="7">
        <v>1</v>
      </c>
      <c r="I724" s="32" t="str">
        <f>IFERROR(VLOOKUP(F724,Productos!$A$2:$D$258,3,0)," ")</f>
        <v>Standing Desk</v>
      </c>
      <c r="J724" s="186" t="s">
        <v>24</v>
      </c>
      <c r="K724" s="186" t="s">
        <v>27</v>
      </c>
      <c r="L724" s="26" t="str">
        <f t="shared" si="106"/>
        <v>Despachado</v>
      </c>
      <c r="M724" s="56" t="s">
        <v>238</v>
      </c>
      <c r="N724" s="139" t="s">
        <v>1380</v>
      </c>
      <c r="O724" s="150">
        <v>45888</v>
      </c>
      <c r="P724" s="151">
        <v>45890</v>
      </c>
      <c r="Q724" s="24" t="str">
        <f t="shared" si="108"/>
        <v>Entregado</v>
      </c>
      <c r="R724" s="25">
        <f>IF(L724="Despachado",NETWORKDAYS.INTL(A724,O724,11,Valores!$A$2:$A$18)-1,"PTE")</f>
        <v>1</v>
      </c>
      <c r="S724" s="25">
        <f>IF(Q724="Entregado",NETWORKDAYS.INTL(A724,P724,11,Valores!$A$2:$A$18)-1,"PTE")</f>
        <v>3</v>
      </c>
      <c r="T724" s="25"/>
      <c r="U724" s="25"/>
      <c r="V724" s="25" t="str">
        <f>IF(Q724="Entregado",IF(S724&lt;=VLOOKUP(K724,Valores!E:F,2,0),"Cumple","No cumple"),"PTE")</f>
        <v>Cumple</v>
      </c>
      <c r="W724" s="25"/>
      <c r="X724" s="29">
        <v>62530</v>
      </c>
      <c r="Y724" s="224"/>
      <c r="Z724" s="28"/>
    </row>
    <row r="725" spans="1:26" hidden="1" x14ac:dyDescent="0.3">
      <c r="A725" s="34">
        <v>45885</v>
      </c>
      <c r="B725" s="7" t="str">
        <f t="shared" si="107"/>
        <v>agosto</v>
      </c>
      <c r="C725" s="27">
        <v>100080</v>
      </c>
      <c r="D725" s="23" t="s">
        <v>20</v>
      </c>
      <c r="E725" s="185" t="s">
        <v>1159</v>
      </c>
      <c r="F725" s="22" t="s">
        <v>47</v>
      </c>
      <c r="G725" s="32" t="str">
        <f>IFERROR(VLOOKUP(F725,Productos!$A$2:$D$258,2,0)," ")</f>
        <v>Superficie  en L Niebla 180x150cm x 70</v>
      </c>
      <c r="H725" s="7">
        <v>1</v>
      </c>
      <c r="I725" s="32" t="str">
        <f>IFERROR(VLOOKUP(F725,Productos!$A$2:$D$258,3,0)," ")</f>
        <v>Superficie</v>
      </c>
      <c r="J725" s="186" t="s">
        <v>24</v>
      </c>
      <c r="K725" s="186" t="s">
        <v>27</v>
      </c>
      <c r="L725" s="26" t="str">
        <f t="shared" si="106"/>
        <v>Despachado</v>
      </c>
      <c r="M725" s="56" t="s">
        <v>238</v>
      </c>
      <c r="N725" s="139" t="s">
        <v>1381</v>
      </c>
      <c r="O725" s="150">
        <v>45888</v>
      </c>
      <c r="P725" s="151">
        <v>45890</v>
      </c>
      <c r="Q725" s="24" t="str">
        <f t="shared" si="108"/>
        <v>Entregado</v>
      </c>
      <c r="R725" s="25">
        <f>IF(L725="Despachado",NETWORKDAYS.INTL(A725,O725,11,Valores!$A$2:$A$18)-1,"PTE")</f>
        <v>1</v>
      </c>
      <c r="S725" s="25">
        <f>IF(Q725="Entregado",NETWORKDAYS.INTL(A725,P725,11,Valores!$A$2:$A$18)-1,"PTE")</f>
        <v>3</v>
      </c>
      <c r="T725" s="25"/>
      <c r="U725" s="25"/>
      <c r="V725" s="25" t="str">
        <f>IF(Q725="Entregado",IF(S725&lt;=VLOOKUP(K725,Valores!E:F,2,0),"Cumple","No cumple"),"PTE")</f>
        <v>Cumple</v>
      </c>
      <c r="W725" s="25"/>
      <c r="X725" s="29">
        <v>26749</v>
      </c>
      <c r="Y725" s="224"/>
      <c r="Z725" s="28"/>
    </row>
    <row r="726" spans="1:26" hidden="1" x14ac:dyDescent="0.3">
      <c r="A726" s="34">
        <v>45885</v>
      </c>
      <c r="B726" s="7" t="str">
        <f t="shared" si="107"/>
        <v>agosto</v>
      </c>
      <c r="C726" s="27">
        <v>100080</v>
      </c>
      <c r="D726" s="23" t="s">
        <v>20</v>
      </c>
      <c r="E726" s="185" t="s">
        <v>1159</v>
      </c>
      <c r="F726" s="22" t="s">
        <v>70</v>
      </c>
      <c r="G726" s="32" t="str">
        <f>IFERROR(VLOOKUP(F726,Productos!$A$2:$D$258,2,0)," ")</f>
        <v>Repisa Niebla</v>
      </c>
      <c r="H726" s="7">
        <v>1</v>
      </c>
      <c r="I726" s="32" t="str">
        <f>IFERROR(VLOOKUP(F726,Productos!$A$2:$D$258,3,0)," ")</f>
        <v>Repisa</v>
      </c>
      <c r="J726" s="186" t="s">
        <v>24</v>
      </c>
      <c r="K726" s="186" t="s">
        <v>27</v>
      </c>
      <c r="L726" s="26" t="str">
        <f t="shared" si="106"/>
        <v>Despachado</v>
      </c>
      <c r="M726" s="56" t="s">
        <v>238</v>
      </c>
      <c r="N726" s="139" t="s">
        <v>1382</v>
      </c>
      <c r="O726" s="150">
        <v>45888</v>
      </c>
      <c r="P726" s="151">
        <v>45890</v>
      </c>
      <c r="Q726" s="24" t="str">
        <f t="shared" si="108"/>
        <v>Entregado</v>
      </c>
      <c r="R726" s="25">
        <f>IF(L726="Despachado",NETWORKDAYS.INTL(A726,O726,11,Valores!$A$2:$A$18)-1,"PTE")</f>
        <v>1</v>
      </c>
      <c r="S726" s="25">
        <f>IF(Q726="Entregado",NETWORKDAYS.INTL(A726,P726,11,Valores!$A$2:$A$18)-1,"PTE")</f>
        <v>3</v>
      </c>
      <c r="T726" s="25"/>
      <c r="U726" s="25"/>
      <c r="V726" s="25" t="str">
        <f>IF(Q726="Entregado",IF(S726&lt;=VLOOKUP(K726,Valores!E:F,2,0),"Cumple","No cumple"),"PTE")</f>
        <v>Cumple</v>
      </c>
      <c r="W726" s="25"/>
      <c r="X726" s="29">
        <v>23429</v>
      </c>
      <c r="Y726" s="224"/>
      <c r="Z726" s="28"/>
    </row>
    <row r="727" spans="1:26" hidden="1" x14ac:dyDescent="0.3">
      <c r="A727" s="34">
        <v>45886</v>
      </c>
      <c r="B727" s="7" t="str">
        <f t="shared" si="107"/>
        <v>agosto</v>
      </c>
      <c r="C727" s="27">
        <v>100081</v>
      </c>
      <c r="D727" s="23" t="s">
        <v>20</v>
      </c>
      <c r="E727" s="185" t="s">
        <v>1160</v>
      </c>
      <c r="F727" s="22" t="s">
        <v>240</v>
      </c>
      <c r="G727" s="32" t="str">
        <f>IFERROR(VLOOKUP(F727,Productos!$A$2:$D$258,2,0)," ")</f>
        <v>Bandeja de cables</v>
      </c>
      <c r="H727" s="7">
        <v>1</v>
      </c>
      <c r="I727" s="32" t="str">
        <f>IFERROR(VLOOKUP(F727,Productos!$A$2:$D$258,3,0)," ")</f>
        <v>Accesorio</v>
      </c>
      <c r="J727" s="186" t="s">
        <v>37</v>
      </c>
      <c r="K727" s="186" t="s">
        <v>38</v>
      </c>
      <c r="L727" s="26" t="str">
        <f t="shared" si="106"/>
        <v>Despachado</v>
      </c>
      <c r="M727" s="56" t="s">
        <v>238</v>
      </c>
      <c r="N727" s="139" t="s">
        <v>1383</v>
      </c>
      <c r="O727" s="150">
        <v>45888</v>
      </c>
      <c r="P727" s="151">
        <v>45890</v>
      </c>
      <c r="Q727" s="24" t="str">
        <f t="shared" si="108"/>
        <v>Entregado</v>
      </c>
      <c r="R727" s="25">
        <f>IF(L727="Despachado",NETWORKDAYS.INTL(A727,O727,11,Valores!$A$2:$A$18)-1,"PTE")</f>
        <v>0</v>
      </c>
      <c r="S727" s="25">
        <f>IF(Q727="Entregado",NETWORKDAYS.INTL(A727,P727,11,Valores!$A$2:$A$18)-1,"PTE")</f>
        <v>2</v>
      </c>
      <c r="T727" s="25"/>
      <c r="U727" s="25"/>
      <c r="V727" s="25" t="str">
        <f>IF(Q727="Entregado",IF(S727&lt;=VLOOKUP(K727,Valores!E:F,2,0),"Cumple","No cumple"),"PTE")</f>
        <v>Cumple</v>
      </c>
      <c r="W727" s="25"/>
      <c r="X727" s="29">
        <v>15447</v>
      </c>
      <c r="Y727" s="224"/>
      <c r="Z727" s="28"/>
    </row>
    <row r="728" spans="1:26" hidden="1" x14ac:dyDescent="0.3">
      <c r="A728" s="34">
        <v>45887</v>
      </c>
      <c r="B728" s="7" t="str">
        <f t="shared" si="107"/>
        <v>agosto</v>
      </c>
      <c r="C728" s="27">
        <v>100082</v>
      </c>
      <c r="D728" s="23" t="s">
        <v>20</v>
      </c>
      <c r="E728" s="185" t="s">
        <v>1161</v>
      </c>
      <c r="F728" s="22" t="s">
        <v>129</v>
      </c>
      <c r="G728" s="32" t="str">
        <f>IFERROR(VLOOKUP(F728,Productos!$A$2:$D$258,2,0)," ")</f>
        <v>Electric Standing Desk  PRO Negro</v>
      </c>
      <c r="H728" s="7">
        <v>1</v>
      </c>
      <c r="I728" s="32" t="str">
        <f>IFERROR(VLOOKUP(F728,Productos!$A$2:$D$258,3,0)," ")</f>
        <v>Standing Desk</v>
      </c>
      <c r="J728" s="186" t="s">
        <v>24</v>
      </c>
      <c r="K728" s="186" t="s">
        <v>1162</v>
      </c>
      <c r="L728" s="26" t="str">
        <f t="shared" si="106"/>
        <v>Despachado</v>
      </c>
      <c r="M728" s="56" t="s">
        <v>238</v>
      </c>
      <c r="N728" s="139" t="s">
        <v>1384</v>
      </c>
      <c r="O728" s="150">
        <v>45889</v>
      </c>
      <c r="P728" s="151">
        <v>45890</v>
      </c>
      <c r="Q728" s="24" t="str">
        <f t="shared" si="108"/>
        <v>Entregado</v>
      </c>
      <c r="R728" s="25">
        <f>IF(L728="Despachado",NETWORKDAYS.INTL(A728,O728,11,Valores!$A$2:$A$18)-1,"PTE")</f>
        <v>1</v>
      </c>
      <c r="S728" s="25">
        <f>IF(Q728="Entregado",NETWORKDAYS.INTL(A728,P728,11,Valores!$A$2:$A$18)-1,"PTE")</f>
        <v>2</v>
      </c>
      <c r="T728" s="25"/>
      <c r="U728" s="25"/>
      <c r="V728" s="25" t="e">
        <f>IF(Q728="Entregado",IF(S728&lt;=VLOOKUP(K728,Valores!E:F,2,0),"Cumple","No cumple"),"PTE")</f>
        <v>#N/A</v>
      </c>
      <c r="W728" s="25"/>
      <c r="X728" s="29">
        <v>41593</v>
      </c>
      <c r="Y728" s="224"/>
      <c r="Z728" s="28"/>
    </row>
    <row r="729" spans="1:26" hidden="1" x14ac:dyDescent="0.3">
      <c r="A729" s="34">
        <v>45887</v>
      </c>
      <c r="B729" s="7" t="str">
        <f t="shared" si="107"/>
        <v>agosto</v>
      </c>
      <c r="C729" s="27">
        <v>100082</v>
      </c>
      <c r="D729" s="23" t="s">
        <v>20</v>
      </c>
      <c r="E729" s="185" t="s">
        <v>1161</v>
      </c>
      <c r="F729" s="22" t="s">
        <v>143</v>
      </c>
      <c r="G729" s="32" t="str">
        <f>IFERROR(VLOOKUP(F729,Productos!$A$2:$D$258,2,0)," ")</f>
        <v>Superficie  Caramelo 160x70 Clasico</v>
      </c>
      <c r="H729" s="7">
        <v>1</v>
      </c>
      <c r="I729" s="32" t="str">
        <f>IFERROR(VLOOKUP(F729,Productos!$A$2:$D$258,3,0)," ")</f>
        <v>Superficie</v>
      </c>
      <c r="J729" s="186" t="s">
        <v>24</v>
      </c>
      <c r="K729" s="186" t="s">
        <v>1162</v>
      </c>
      <c r="L729" s="26" t="str">
        <f t="shared" si="106"/>
        <v>Despachado</v>
      </c>
      <c r="M729" s="56" t="s">
        <v>238</v>
      </c>
      <c r="N729" s="139" t="s">
        <v>1385</v>
      </c>
      <c r="O729" s="150">
        <v>45889</v>
      </c>
      <c r="P729" s="151">
        <v>45890</v>
      </c>
      <c r="Q729" s="24" t="str">
        <f t="shared" si="108"/>
        <v>Entregado</v>
      </c>
      <c r="R729" s="25">
        <f>IF(L729="Despachado",NETWORKDAYS.INTL(A729,O729,11,Valores!$A$2:$A$18)-1,"PTE")</f>
        <v>1</v>
      </c>
      <c r="S729" s="25">
        <f>IF(Q729="Entregado",NETWORKDAYS.INTL(A729,P729,11,Valores!$A$2:$A$18)-1,"PTE")</f>
        <v>2</v>
      </c>
      <c r="T729" s="25"/>
      <c r="U729" s="25"/>
      <c r="V729" s="25" t="e">
        <f>IF(Q729="Entregado",IF(S729&lt;=VLOOKUP(K729,Valores!E:F,2,0),"Cumple","No cumple"),"PTE")</f>
        <v>#N/A</v>
      </c>
      <c r="W729" s="25"/>
      <c r="X729" s="29">
        <v>24093</v>
      </c>
      <c r="Y729" s="224"/>
      <c r="Z729" s="28"/>
    </row>
    <row r="730" spans="1:26" hidden="1" x14ac:dyDescent="0.3">
      <c r="A730" s="34">
        <v>45887</v>
      </c>
      <c r="B730" s="7" t="str">
        <f>TEXT(A730,"mmmm")</f>
        <v>agosto</v>
      </c>
      <c r="C730" s="27">
        <v>100083</v>
      </c>
      <c r="D730" s="23" t="s">
        <v>20</v>
      </c>
      <c r="E730" s="185" t="s">
        <v>1163</v>
      </c>
      <c r="F730" s="22" t="s">
        <v>129</v>
      </c>
      <c r="G730" s="32" t="str">
        <f>IFERROR(VLOOKUP(F730,Productos!$A$2:$D$258,2,0)," ")</f>
        <v>Electric Standing Desk  PRO Negro</v>
      </c>
      <c r="H730" s="7">
        <v>1</v>
      </c>
      <c r="I730" s="32" t="str">
        <f>IFERROR(VLOOKUP(F730,Productos!$A$2:$D$258,3,0)," ")</f>
        <v>Standing Desk</v>
      </c>
      <c r="J730" s="139" t="s">
        <v>21</v>
      </c>
      <c r="K730" s="186" t="s">
        <v>198</v>
      </c>
      <c r="L730" s="26" t="str">
        <f t="shared" si="106"/>
        <v>Despachado</v>
      </c>
      <c r="M730" s="56" t="s">
        <v>238</v>
      </c>
      <c r="N730" s="139" t="s">
        <v>1386</v>
      </c>
      <c r="O730" s="150">
        <v>45889</v>
      </c>
      <c r="P730" s="151">
        <v>45890</v>
      </c>
      <c r="Q730" s="24" t="str">
        <f t="shared" si="108"/>
        <v>Entregado</v>
      </c>
      <c r="R730" s="25">
        <f>IF(L730="Despachado",NETWORKDAYS.INTL(A730,O730,11,Valores!$A$2:$A$18)-1,"PTE")</f>
        <v>1</v>
      </c>
      <c r="S730" s="25">
        <f>IF(Q730="Entregado",NETWORKDAYS.INTL(A730,P730,11,Valores!$A$2:$A$18)-1,"PTE")</f>
        <v>2</v>
      </c>
      <c r="T730" s="25"/>
      <c r="U730" s="25"/>
      <c r="V730" s="25" t="str">
        <f>IF(Q730="Entregado",IF(S730&lt;=VLOOKUP(K730,Valores!E:F,2,0),"Cumple","No cumple"),"PTE")</f>
        <v>Cumple</v>
      </c>
      <c r="W730" s="25"/>
      <c r="X730" s="29">
        <v>41593</v>
      </c>
      <c r="Y730" s="224"/>
      <c r="Z730" s="28"/>
    </row>
    <row r="731" spans="1:26" hidden="1" x14ac:dyDescent="0.3">
      <c r="A731" s="34">
        <v>45887</v>
      </c>
      <c r="B731" s="7" t="str">
        <f>TEXT(A731,"mmmm")</f>
        <v>agosto</v>
      </c>
      <c r="C731" s="27">
        <v>100083</v>
      </c>
      <c r="D731" s="23" t="s">
        <v>20</v>
      </c>
      <c r="E731" s="185" t="s">
        <v>1163</v>
      </c>
      <c r="F731" s="22" t="s">
        <v>307</v>
      </c>
      <c r="G731" s="32" t="str">
        <f>IFERROR(VLOOKUP(F731,Productos!$A$2:$D$258,2,0)," ")</f>
        <v>Superficie  Fresno Europeo 180x70 Clasico</v>
      </c>
      <c r="H731" s="7">
        <v>1</v>
      </c>
      <c r="I731" s="32" t="str">
        <f>IFERROR(VLOOKUP(F731,Productos!$A$2:$D$258,3,0)," ")</f>
        <v>Superficie</v>
      </c>
      <c r="J731" s="139" t="s">
        <v>21</v>
      </c>
      <c r="K731" s="186" t="s">
        <v>198</v>
      </c>
      <c r="L731" s="26" t="str">
        <f t="shared" si="106"/>
        <v>Despachado</v>
      </c>
      <c r="M731" s="56" t="s">
        <v>238</v>
      </c>
      <c r="N731" s="139" t="s">
        <v>1387</v>
      </c>
      <c r="O731" s="150">
        <v>45889</v>
      </c>
      <c r="P731" s="151">
        <v>45890</v>
      </c>
      <c r="Q731" s="24" t="str">
        <f t="shared" si="108"/>
        <v>Entregado</v>
      </c>
      <c r="R731" s="25">
        <f>IF(L731="Despachado",NETWORKDAYS.INTL(A731,O731,11,Valores!$A$2:$A$18)-1,"PTE")</f>
        <v>1</v>
      </c>
      <c r="S731" s="25">
        <f>IF(Q731="Entregado",NETWORKDAYS.INTL(A731,P731,11,Valores!$A$2:$A$18)-1,"PTE")</f>
        <v>2</v>
      </c>
      <c r="T731" s="25"/>
      <c r="U731" s="25"/>
      <c r="V731" s="25" t="str">
        <f>IF(Q731="Entregado",IF(S731&lt;=VLOOKUP(K731,Valores!E:F,2,0),"Cumple","No cumple"),"PTE")</f>
        <v>Cumple</v>
      </c>
      <c r="W731" s="25"/>
      <c r="X731" s="29">
        <v>26749</v>
      </c>
      <c r="Y731" s="224"/>
      <c r="Z731" s="28"/>
    </row>
    <row r="732" spans="1:26" hidden="1" x14ac:dyDescent="0.3">
      <c r="A732" s="34">
        <v>45887</v>
      </c>
      <c r="B732" s="7" t="str">
        <f t="shared" ref="B732:B737" si="109">TEXT(A732,"mmmm")</f>
        <v>agosto</v>
      </c>
      <c r="C732" s="27">
        <v>100084</v>
      </c>
      <c r="D732" s="23" t="s">
        <v>20</v>
      </c>
      <c r="E732" s="185" t="s">
        <v>1164</v>
      </c>
      <c r="F732" s="22" t="s">
        <v>732</v>
      </c>
      <c r="G732" s="32" t="str">
        <f>IFERROR(VLOOKUP(F732,Productos!$A$2:$D$258,2,0)," ")</f>
        <v>Electric Standing Desk  PRO Negro circular</v>
      </c>
      <c r="H732" s="7">
        <v>1</v>
      </c>
      <c r="I732" s="32" t="str">
        <f>IFERROR(VLOOKUP(F732,Productos!$A$2:$D$258,3,0)," ")</f>
        <v>Standing Desk</v>
      </c>
      <c r="J732" s="139" t="s">
        <v>21</v>
      </c>
      <c r="K732" s="186" t="s">
        <v>212</v>
      </c>
      <c r="L732" s="26" t="str">
        <f t="shared" si="106"/>
        <v>Despachado</v>
      </c>
      <c r="M732" s="56" t="s">
        <v>238</v>
      </c>
      <c r="N732" s="139" t="s">
        <v>1388</v>
      </c>
      <c r="O732" s="150">
        <v>45889</v>
      </c>
      <c r="P732" s="151">
        <v>45890</v>
      </c>
      <c r="Q732" s="24" t="str">
        <f t="shared" si="108"/>
        <v>Entregado</v>
      </c>
      <c r="R732" s="25">
        <f>IF(L732="Despachado",NETWORKDAYS.INTL(A732,O732,11,Valores!$A$2:$A$18)-1,"PTE")</f>
        <v>1</v>
      </c>
      <c r="S732" s="25">
        <f>IF(Q732="Entregado",NETWORKDAYS.INTL(A732,P732,11,Valores!$A$2:$A$18)-1,"PTE")</f>
        <v>2</v>
      </c>
      <c r="T732" s="25"/>
      <c r="U732" s="25"/>
      <c r="V732" s="25" t="str">
        <f>IF(Q732="Entregado",IF(S732&lt;=VLOOKUP(K732,Valores!E:F,2,0),"Cumple","No cumple"),"PTE")</f>
        <v>Cumple</v>
      </c>
      <c r="W732" s="25"/>
      <c r="X732" s="29">
        <v>41593</v>
      </c>
      <c r="Y732" s="224"/>
      <c r="Z732" s="28"/>
    </row>
    <row r="733" spans="1:26" hidden="1" x14ac:dyDescent="0.3">
      <c r="A733" s="34">
        <v>45887</v>
      </c>
      <c r="B733" s="7" t="str">
        <f t="shared" si="109"/>
        <v>agosto</v>
      </c>
      <c r="C733" s="27">
        <v>100084</v>
      </c>
      <c r="D733" s="23" t="s">
        <v>20</v>
      </c>
      <c r="E733" s="185" t="s">
        <v>1164</v>
      </c>
      <c r="F733" s="22" t="s">
        <v>44</v>
      </c>
      <c r="G733" s="32" t="str">
        <f>IFERROR(VLOOKUP(F733,Productos!$A$2:$D$258,2,0)," ")</f>
        <v>Superficie Niebla 180x70 Clasico</v>
      </c>
      <c r="H733" s="7">
        <v>1</v>
      </c>
      <c r="I733" s="32" t="str">
        <f>IFERROR(VLOOKUP(F733,Productos!$A$2:$D$258,3,0)," ")</f>
        <v>Superficie</v>
      </c>
      <c r="J733" s="139" t="s">
        <v>21</v>
      </c>
      <c r="K733" s="186" t="s">
        <v>212</v>
      </c>
      <c r="L733" s="26" t="str">
        <f t="shared" si="106"/>
        <v>Despachado</v>
      </c>
      <c r="M733" s="56" t="s">
        <v>238</v>
      </c>
      <c r="N733" s="139" t="s">
        <v>1389</v>
      </c>
      <c r="O733" s="150">
        <v>45889</v>
      </c>
      <c r="P733" s="151">
        <v>45890</v>
      </c>
      <c r="Q733" s="24" t="str">
        <f t="shared" si="108"/>
        <v>Entregado</v>
      </c>
      <c r="R733" s="25">
        <f>IF(L733="Despachado",NETWORKDAYS.INTL(A733,O733,11,Valores!$A$2:$A$18)-1,"PTE")</f>
        <v>1</v>
      </c>
      <c r="S733" s="25">
        <f>IF(Q733="Entregado",NETWORKDAYS.INTL(A733,P733,11,Valores!$A$2:$A$18)-1,"PTE")</f>
        <v>2</v>
      </c>
      <c r="T733" s="25"/>
      <c r="U733" s="25"/>
      <c r="V733" s="25" t="str">
        <f>IF(Q733="Entregado",IF(S733&lt;=VLOOKUP(K733,Valores!E:F,2,0),"Cumple","No cumple"),"PTE")</f>
        <v>Cumple</v>
      </c>
      <c r="W733" s="25"/>
      <c r="X733" s="29">
        <v>26749</v>
      </c>
      <c r="Y733" s="224"/>
      <c r="Z733" s="28"/>
    </row>
    <row r="734" spans="1:26" hidden="1" x14ac:dyDescent="0.3">
      <c r="A734" s="34">
        <v>45887</v>
      </c>
      <c r="B734" s="7" t="str">
        <f t="shared" si="109"/>
        <v>agosto</v>
      </c>
      <c r="C734" s="27">
        <v>100084</v>
      </c>
      <c r="D734" s="23" t="s">
        <v>20</v>
      </c>
      <c r="E734" s="185" t="s">
        <v>1164</v>
      </c>
      <c r="F734" s="22" t="s">
        <v>62</v>
      </c>
      <c r="G734" s="32" t="str">
        <f>IFERROR(VLOOKUP(F734,Productos!$A$2:$D$258,2,0)," ")</f>
        <v>Archivador TECU  Blanco (Niebla)</v>
      </c>
      <c r="H734" s="7">
        <v>1</v>
      </c>
      <c r="I734" s="32" t="str">
        <f>IFERROR(VLOOKUP(F734,Productos!$A$2:$D$258,3,0)," ")</f>
        <v>Archivador</v>
      </c>
      <c r="J734" s="139" t="s">
        <v>21</v>
      </c>
      <c r="K734" s="186" t="s">
        <v>212</v>
      </c>
      <c r="L734" s="26" t="str">
        <f t="shared" si="106"/>
        <v>Despachado</v>
      </c>
      <c r="M734" s="56" t="s">
        <v>239</v>
      </c>
      <c r="N734" s="139" t="s">
        <v>1390</v>
      </c>
      <c r="O734" s="150">
        <v>45897</v>
      </c>
      <c r="P734" s="151">
        <v>45898</v>
      </c>
      <c r="Q734" s="24" t="str">
        <f t="shared" si="108"/>
        <v>Entregado</v>
      </c>
      <c r="R734" s="25">
        <f>IF(L734="Despachado",NETWORKDAYS.INTL(A734,O734,11,Valores!$A$2:$A$18)-1,"PTE")</f>
        <v>8</v>
      </c>
      <c r="S734" s="25">
        <f>IF(Q734="Entregado",NETWORKDAYS.INTL(A734,P734,11,Valores!$A$2:$A$18)-1,"PTE")</f>
        <v>9</v>
      </c>
      <c r="T734" s="25"/>
      <c r="U734" s="25"/>
      <c r="V734" s="25" t="str">
        <f>IF(Q734="Entregado",IF(S734&lt;=VLOOKUP(K734,Valores!E:F,2,0),"Cumple","No cumple"),"PTE")</f>
        <v>No cumple</v>
      </c>
      <c r="W734" s="25"/>
      <c r="X734" s="29">
        <v>65682</v>
      </c>
      <c r="Y734" s="224"/>
      <c r="Z734" s="28"/>
    </row>
    <row r="735" spans="1:26" hidden="1" x14ac:dyDescent="0.3">
      <c r="A735" s="34">
        <v>45888</v>
      </c>
      <c r="B735" s="7" t="str">
        <f t="shared" si="109"/>
        <v>agosto</v>
      </c>
      <c r="C735" s="27">
        <v>100085</v>
      </c>
      <c r="D735" s="23" t="s">
        <v>20</v>
      </c>
      <c r="E735" s="185" t="s">
        <v>1165</v>
      </c>
      <c r="F735" s="22" t="s">
        <v>129</v>
      </c>
      <c r="G735" s="32" t="str">
        <f>IFERROR(VLOOKUP(F735,Productos!$A$2:$D$258,2,0)," ")</f>
        <v>Electric Standing Desk  PRO Negro</v>
      </c>
      <c r="H735" s="7">
        <v>1</v>
      </c>
      <c r="I735" s="32" t="str">
        <f>IFERROR(VLOOKUP(F735,Productos!$A$2:$D$258,3,0)," ")</f>
        <v>Standing Desk</v>
      </c>
      <c r="J735" s="186" t="s">
        <v>24</v>
      </c>
      <c r="K735" s="186" t="s">
        <v>27</v>
      </c>
      <c r="L735" s="26" t="str">
        <f t="shared" si="106"/>
        <v>Despachado</v>
      </c>
      <c r="M735" s="56" t="s">
        <v>238</v>
      </c>
      <c r="N735" s="139" t="s">
        <v>1391</v>
      </c>
      <c r="O735" s="150">
        <v>45890</v>
      </c>
      <c r="P735" s="151">
        <v>45891</v>
      </c>
      <c r="Q735" s="24" t="str">
        <f t="shared" si="108"/>
        <v>Entregado</v>
      </c>
      <c r="R735" s="25">
        <f>IF(L735="Despachado",NETWORKDAYS.INTL(A735,O735,11,Valores!$A$2:$A$18)-1,"PTE")</f>
        <v>2</v>
      </c>
      <c r="S735" s="25">
        <f>IF(Q735="Entregado",NETWORKDAYS.INTL(A735,P735,11,Valores!$A$2:$A$18)-1,"PTE")</f>
        <v>3</v>
      </c>
      <c r="T735" s="25"/>
      <c r="U735" s="25"/>
      <c r="V735" s="25" t="str">
        <f>IF(Q735="Entregado",IF(S735&lt;=VLOOKUP(K735,Valores!E:F,2,0),"Cumple","No cumple"),"PTE")</f>
        <v>Cumple</v>
      </c>
      <c r="W735" s="25"/>
      <c r="X735" s="29">
        <v>41593</v>
      </c>
      <c r="Y735" s="224"/>
      <c r="Z735" s="28"/>
    </row>
    <row r="736" spans="1:26" hidden="1" x14ac:dyDescent="0.3">
      <c r="A736" s="34">
        <v>45888</v>
      </c>
      <c r="B736" s="7" t="str">
        <f t="shared" si="109"/>
        <v>agosto</v>
      </c>
      <c r="C736" s="27">
        <v>100085</v>
      </c>
      <c r="D736" s="23" t="s">
        <v>20</v>
      </c>
      <c r="E736" s="185" t="s">
        <v>1165</v>
      </c>
      <c r="F736" s="22" t="s">
        <v>156</v>
      </c>
      <c r="G736" s="32" t="str">
        <f>IFERROR(VLOOKUP(F736,Productos!$A$2:$D$258,2,0)," ")</f>
        <v>Superficie  Roble Negro 170x70 Clasico</v>
      </c>
      <c r="H736" s="7">
        <v>1</v>
      </c>
      <c r="I736" s="32" t="str">
        <f>IFERROR(VLOOKUP(F736,Productos!$A$2:$D$258,3,0)," ")</f>
        <v>Superficie</v>
      </c>
      <c r="J736" s="186" t="s">
        <v>24</v>
      </c>
      <c r="K736" s="186" t="s">
        <v>27</v>
      </c>
      <c r="L736" s="26" t="str">
        <f t="shared" si="106"/>
        <v>Despachado</v>
      </c>
      <c r="M736" s="56" t="s">
        <v>238</v>
      </c>
      <c r="N736" s="139" t="s">
        <v>1392</v>
      </c>
      <c r="O736" s="150">
        <v>45890</v>
      </c>
      <c r="P736" s="151">
        <v>45891</v>
      </c>
      <c r="Q736" s="24" t="str">
        <f t="shared" si="108"/>
        <v>Entregado</v>
      </c>
      <c r="R736" s="25">
        <f>IF(L736="Despachado",NETWORKDAYS.INTL(A736,O736,11,Valores!$A$2:$A$18)-1,"PTE")</f>
        <v>2</v>
      </c>
      <c r="S736" s="25">
        <f>IF(Q736="Entregado",NETWORKDAYS.INTL(A736,P736,11,Valores!$A$2:$A$18)-1,"PTE")</f>
        <v>3</v>
      </c>
      <c r="T736" s="25"/>
      <c r="U736" s="25"/>
      <c r="V736" s="25" t="str">
        <f>IF(Q736="Entregado",IF(S736&lt;=VLOOKUP(K736,Valores!E:F,2,0),"Cumple","No cumple"),"PTE")</f>
        <v>Cumple</v>
      </c>
      <c r="W736" s="25"/>
      <c r="X736" s="29">
        <v>24093</v>
      </c>
      <c r="Y736" s="224"/>
      <c r="Z736" s="28"/>
    </row>
    <row r="737" spans="1:26" hidden="1" x14ac:dyDescent="0.3">
      <c r="A737" s="34">
        <v>45888</v>
      </c>
      <c r="B737" s="7" t="str">
        <f t="shared" si="109"/>
        <v>agosto</v>
      </c>
      <c r="C737" s="27">
        <v>100085</v>
      </c>
      <c r="D737" s="23" t="s">
        <v>20</v>
      </c>
      <c r="E737" s="185" t="s">
        <v>1165</v>
      </c>
      <c r="F737" s="22" t="s">
        <v>240</v>
      </c>
      <c r="G737" s="32" t="str">
        <f>IFERROR(VLOOKUP(F737,Productos!$A$2:$D$258,2,0)," ")</f>
        <v>Bandeja de cables</v>
      </c>
      <c r="H737" s="7">
        <v>1</v>
      </c>
      <c r="I737" s="32" t="str">
        <f>IFERROR(VLOOKUP(F737,Productos!$A$2:$D$258,3,0)," ")</f>
        <v>Accesorio</v>
      </c>
      <c r="J737" s="186" t="s">
        <v>24</v>
      </c>
      <c r="K737" s="186" t="s">
        <v>27</v>
      </c>
      <c r="L737" s="26" t="str">
        <f t="shared" si="106"/>
        <v>Despachado</v>
      </c>
      <c r="M737" s="56" t="s">
        <v>238</v>
      </c>
      <c r="N737" s="139" t="s">
        <v>1393</v>
      </c>
      <c r="O737" s="150">
        <v>45890</v>
      </c>
      <c r="P737" s="151">
        <v>45891</v>
      </c>
      <c r="Q737" s="24" t="str">
        <f t="shared" si="108"/>
        <v>Entregado</v>
      </c>
      <c r="R737" s="25">
        <f>IF(L737="Despachado",NETWORKDAYS.INTL(A737,O737,11,Valores!$A$2:$A$18)-1,"PTE")</f>
        <v>2</v>
      </c>
      <c r="S737" s="25">
        <f>IF(Q737="Entregado",NETWORKDAYS.INTL(A737,P737,11,Valores!$A$2:$A$18)-1,"PTE")</f>
        <v>3</v>
      </c>
      <c r="T737" s="25"/>
      <c r="U737" s="25"/>
      <c r="V737" s="25" t="str">
        <f>IF(Q737="Entregado",IF(S737&lt;=VLOOKUP(K737,Valores!E:F,2,0),"Cumple","No cumple"),"PTE")</f>
        <v>Cumple</v>
      </c>
      <c r="W737" s="25"/>
      <c r="X737" s="29">
        <v>24885</v>
      </c>
      <c r="Y737" s="224"/>
      <c r="Z737" s="28"/>
    </row>
    <row r="738" spans="1:26" hidden="1" x14ac:dyDescent="0.3">
      <c r="A738" s="34">
        <v>45888</v>
      </c>
      <c r="B738" s="7" t="str">
        <f t="shared" ref="B738:B751" si="110">TEXT(A738,"mmmm")</f>
        <v>agosto</v>
      </c>
      <c r="C738" s="27">
        <v>100086</v>
      </c>
      <c r="D738" s="23" t="s">
        <v>20</v>
      </c>
      <c r="E738" s="185" t="s">
        <v>1166</v>
      </c>
      <c r="F738" s="22" t="s">
        <v>129</v>
      </c>
      <c r="G738" s="32" t="str">
        <f>IFERROR(VLOOKUP(F738,Productos!$A$2:$D$258,2,0)," ")</f>
        <v>Electric Standing Desk  PRO Negro</v>
      </c>
      <c r="H738" s="7">
        <v>1</v>
      </c>
      <c r="I738" s="32" t="str">
        <f>IFERROR(VLOOKUP(F738,Productos!$A$2:$D$258,3,0)," ")</f>
        <v>Standing Desk</v>
      </c>
      <c r="J738" s="186" t="s">
        <v>24</v>
      </c>
      <c r="K738" s="186" t="s">
        <v>48</v>
      </c>
      <c r="L738" s="26" t="str">
        <f t="shared" si="106"/>
        <v>Despachado</v>
      </c>
      <c r="M738" s="56" t="s">
        <v>238</v>
      </c>
      <c r="N738" s="139" t="s">
        <v>1394</v>
      </c>
      <c r="O738" s="150">
        <v>45890</v>
      </c>
      <c r="P738" s="151">
        <v>45892</v>
      </c>
      <c r="Q738" s="24" t="str">
        <f t="shared" si="108"/>
        <v>Entregado</v>
      </c>
      <c r="R738" s="25">
        <f>IF(L738="Despachado",NETWORKDAYS.INTL(A738,O738,11,Valores!$A$2:$A$18)-1,"PTE")</f>
        <v>2</v>
      </c>
      <c r="S738" s="25">
        <f>IF(Q738="Entregado",NETWORKDAYS.INTL(A738,P738,11,Valores!$A$2:$A$18)-1,"PTE")</f>
        <v>4</v>
      </c>
      <c r="T738" s="25"/>
      <c r="U738" s="25"/>
      <c r="V738" s="25" t="str">
        <f>IF(Q738="Entregado",IF(S738&lt;=VLOOKUP(K738,Valores!E:F,2,0),"Cumple","No cumple"),"PTE")</f>
        <v>No cumple</v>
      </c>
      <c r="W738" s="25"/>
      <c r="X738" s="29">
        <v>41593</v>
      </c>
      <c r="Y738" s="224"/>
      <c r="Z738" s="28"/>
    </row>
    <row r="739" spans="1:26" hidden="1" x14ac:dyDescent="0.3">
      <c r="A739" s="34">
        <v>45888</v>
      </c>
      <c r="B739" s="7" t="str">
        <f t="shared" si="110"/>
        <v>agosto</v>
      </c>
      <c r="C739" s="27">
        <v>100086</v>
      </c>
      <c r="D739" s="23" t="s">
        <v>20</v>
      </c>
      <c r="E739" s="185" t="s">
        <v>1166</v>
      </c>
      <c r="F739" s="22" t="s">
        <v>142</v>
      </c>
      <c r="G739" s="32" t="str">
        <f>IFERROR(VLOOKUP(F739,Productos!$A$2:$D$258,2,0)," ")</f>
        <v>Superficie Caramelo 140x70 Clasico</v>
      </c>
      <c r="H739" s="7">
        <v>1</v>
      </c>
      <c r="I739" s="32" t="str">
        <f>IFERROR(VLOOKUP(F739,Productos!$A$2:$D$258,3,0)," ")</f>
        <v>Superficie</v>
      </c>
      <c r="J739" s="186" t="s">
        <v>24</v>
      </c>
      <c r="K739" s="186" t="s">
        <v>48</v>
      </c>
      <c r="L739" s="26" t="str">
        <f t="shared" si="106"/>
        <v>Despachado</v>
      </c>
      <c r="M739" s="56" t="s">
        <v>238</v>
      </c>
      <c r="N739" s="139" t="s">
        <v>1395</v>
      </c>
      <c r="O739" s="150">
        <v>45890</v>
      </c>
      <c r="P739" s="151">
        <v>45892</v>
      </c>
      <c r="Q739" s="24" t="str">
        <f t="shared" si="108"/>
        <v>Entregado</v>
      </c>
      <c r="R739" s="25">
        <f>IF(L739="Despachado",NETWORKDAYS.INTL(A739,O739,11,Valores!$A$2:$A$18)-1,"PTE")</f>
        <v>2</v>
      </c>
      <c r="S739" s="25">
        <f>IF(Q739="Entregado",NETWORKDAYS.INTL(A739,P739,11,Valores!$A$2:$A$18)-1,"PTE")</f>
        <v>4</v>
      </c>
      <c r="T739" s="25"/>
      <c r="U739" s="25"/>
      <c r="V739" s="25" t="str">
        <f>IF(Q739="Entregado",IF(S739&lt;=VLOOKUP(K739,Valores!E:F,2,0),"Cumple","No cumple"),"PTE")</f>
        <v>No cumple</v>
      </c>
      <c r="W739" s="25"/>
      <c r="X739" s="29">
        <v>24093</v>
      </c>
      <c r="Y739" s="224"/>
      <c r="Z739" s="28"/>
    </row>
    <row r="740" spans="1:26" hidden="1" x14ac:dyDescent="0.3">
      <c r="A740" s="34">
        <v>45888</v>
      </c>
      <c r="B740" s="7" t="str">
        <f t="shared" si="110"/>
        <v>agosto</v>
      </c>
      <c r="C740" s="27">
        <v>100086</v>
      </c>
      <c r="D740" s="23" t="s">
        <v>20</v>
      </c>
      <c r="E740" s="185" t="s">
        <v>1166</v>
      </c>
      <c r="F740" s="22" t="s">
        <v>240</v>
      </c>
      <c r="G740" s="32" t="str">
        <f>IFERROR(VLOOKUP(F740,Productos!$A$2:$D$258,2,0)," ")</f>
        <v>Bandeja de cables</v>
      </c>
      <c r="H740" s="7">
        <v>1</v>
      </c>
      <c r="I740" s="32" t="str">
        <f>IFERROR(VLOOKUP(F740,Productos!$A$2:$D$258,3,0)," ")</f>
        <v>Accesorio</v>
      </c>
      <c r="J740" s="186" t="s">
        <v>24</v>
      </c>
      <c r="K740" s="186" t="s">
        <v>48</v>
      </c>
      <c r="L740" s="26" t="str">
        <f t="shared" si="106"/>
        <v>Despachado</v>
      </c>
      <c r="M740" s="56" t="s">
        <v>238</v>
      </c>
      <c r="N740" s="139" t="s">
        <v>1396</v>
      </c>
      <c r="O740" s="150">
        <v>45890</v>
      </c>
      <c r="P740" s="151">
        <v>45891</v>
      </c>
      <c r="Q740" s="24" t="str">
        <f t="shared" si="108"/>
        <v>Entregado</v>
      </c>
      <c r="R740" s="25">
        <f>IF(L740="Despachado",NETWORKDAYS.INTL(A740,O740,11,Valores!$A$2:$A$18)-1,"PTE")</f>
        <v>2</v>
      </c>
      <c r="S740" s="25">
        <f>IF(Q740="Entregado",NETWORKDAYS.INTL(A740,P740,11,Valores!$A$2:$A$18)-1,"PTE")</f>
        <v>3</v>
      </c>
      <c r="T740" s="25"/>
      <c r="U740" s="25"/>
      <c r="V740" s="25" t="str">
        <f>IF(Q740="Entregado",IF(S740&lt;=VLOOKUP(K740,Valores!E:F,2,0),"Cumple","No cumple"),"PTE")</f>
        <v>Cumple</v>
      </c>
      <c r="W740" s="25"/>
      <c r="X740" s="29">
        <v>24885</v>
      </c>
      <c r="Y740" s="224"/>
      <c r="Z740" s="28"/>
    </row>
    <row r="741" spans="1:26" hidden="1" x14ac:dyDescent="0.3">
      <c r="A741" s="34">
        <v>45889</v>
      </c>
      <c r="B741" s="7" t="str">
        <f t="shared" si="110"/>
        <v>agosto</v>
      </c>
      <c r="C741" s="27">
        <v>100087</v>
      </c>
      <c r="D741" s="23" t="s">
        <v>20</v>
      </c>
      <c r="E741" s="185" t="s">
        <v>1167</v>
      </c>
      <c r="F741" s="22" t="s">
        <v>732</v>
      </c>
      <c r="G741" s="32" t="str">
        <f>IFERROR(VLOOKUP(F741,Productos!$A$2:$D$258,2,0)," ")</f>
        <v>Electric Standing Desk  PRO Negro circular</v>
      </c>
      <c r="H741" s="7">
        <v>1</v>
      </c>
      <c r="I741" s="32" t="str">
        <f>IFERROR(VLOOKUP(F741,Productos!$A$2:$D$258,3,0)," ")</f>
        <v>Standing Desk</v>
      </c>
      <c r="J741" s="139" t="s">
        <v>21</v>
      </c>
      <c r="K741" s="186" t="s">
        <v>22</v>
      </c>
      <c r="L741" s="26" t="str">
        <f t="shared" si="106"/>
        <v>Despachado</v>
      </c>
      <c r="M741" s="56" t="s">
        <v>238</v>
      </c>
      <c r="N741" s="139" t="s">
        <v>1397</v>
      </c>
      <c r="O741" s="150">
        <v>45890</v>
      </c>
      <c r="P741" s="151">
        <v>45892</v>
      </c>
      <c r="Q741" s="24" t="str">
        <f t="shared" si="108"/>
        <v>Entregado</v>
      </c>
      <c r="R741" s="25">
        <f>IF(L741="Despachado",NETWORKDAYS.INTL(A741,O741,11,Valores!$A$2:$A$18)-1,"PTE")</f>
        <v>1</v>
      </c>
      <c r="S741" s="25">
        <f>IF(Q741="Entregado",NETWORKDAYS.INTL(A741,P741,11,Valores!$A$2:$A$18)-1,"PTE")</f>
        <v>3</v>
      </c>
      <c r="T741" s="25"/>
      <c r="U741" s="25"/>
      <c r="V741" s="25" t="str">
        <f>IF(Q741="Entregado",IF(S741&lt;=VLOOKUP(K741,Valores!E:F,2,0),"Cumple","No cumple"),"PTE")</f>
        <v>Cumple</v>
      </c>
      <c r="W741" s="25"/>
      <c r="X741" s="29">
        <v>41593</v>
      </c>
      <c r="Y741" s="224"/>
      <c r="Z741" s="28"/>
    </row>
    <row r="742" spans="1:26" hidden="1" x14ac:dyDescent="0.3">
      <c r="A742" s="34">
        <v>45889</v>
      </c>
      <c r="B742" s="7" t="str">
        <f t="shared" si="110"/>
        <v>agosto</v>
      </c>
      <c r="C742" s="27">
        <v>100087</v>
      </c>
      <c r="D742" s="23" t="s">
        <v>20</v>
      </c>
      <c r="E742" s="185" t="s">
        <v>1167</v>
      </c>
      <c r="F742" s="22" t="s">
        <v>301</v>
      </c>
      <c r="G742" s="32" t="str">
        <f>IFERROR(VLOOKUP(F742,Productos!$A$2:$D$258,2,0)," ")</f>
        <v>Superficie  Fresno Europeo 120x70 Clasico Small</v>
      </c>
      <c r="H742" s="7">
        <v>1</v>
      </c>
      <c r="I742" s="32" t="str">
        <f>IFERROR(VLOOKUP(F742,Productos!$A$2:$D$258,3,0)," ")</f>
        <v>Superficie</v>
      </c>
      <c r="J742" s="139" t="s">
        <v>21</v>
      </c>
      <c r="K742" s="186" t="s">
        <v>22</v>
      </c>
      <c r="L742" s="26" t="str">
        <f t="shared" si="106"/>
        <v>Despachado</v>
      </c>
      <c r="M742" s="56" t="s">
        <v>238</v>
      </c>
      <c r="N742" s="139" t="s">
        <v>1398</v>
      </c>
      <c r="O742" s="150">
        <v>45890</v>
      </c>
      <c r="P742" s="151">
        <v>45892</v>
      </c>
      <c r="Q742" s="24" t="str">
        <f t="shared" si="108"/>
        <v>Entregado</v>
      </c>
      <c r="R742" s="25">
        <f>IF(L742="Despachado",NETWORKDAYS.INTL(A742,O742,11,Valores!$A$2:$A$18)-1,"PTE")</f>
        <v>1</v>
      </c>
      <c r="S742" s="25">
        <f>IF(Q742="Entregado",NETWORKDAYS.INTL(A742,P742,11,Valores!$A$2:$A$18)-1,"PTE")</f>
        <v>3</v>
      </c>
      <c r="T742" s="25"/>
      <c r="U742" s="25"/>
      <c r="V742" s="25" t="str">
        <f>IF(Q742="Entregado",IF(S742&lt;=VLOOKUP(K742,Valores!E:F,2,0),"Cumple","No cumple"),"PTE")</f>
        <v>Cumple</v>
      </c>
      <c r="W742" s="25"/>
      <c r="X742" s="29">
        <v>24093</v>
      </c>
      <c r="Y742" s="224"/>
      <c r="Z742" s="28"/>
    </row>
    <row r="743" spans="1:26" hidden="1" x14ac:dyDescent="0.3">
      <c r="A743" s="34">
        <v>45889</v>
      </c>
      <c r="B743" s="7" t="str">
        <f t="shared" si="110"/>
        <v>agosto</v>
      </c>
      <c r="C743" s="27">
        <v>100087</v>
      </c>
      <c r="D743" s="23" t="s">
        <v>20</v>
      </c>
      <c r="E743" s="185" t="s">
        <v>1167</v>
      </c>
      <c r="F743" s="22" t="s">
        <v>240</v>
      </c>
      <c r="G743" s="32" t="str">
        <f>IFERROR(VLOOKUP(F743,Productos!$A$2:$D$258,2,0)," ")</f>
        <v>Bandeja de cables</v>
      </c>
      <c r="H743" s="7">
        <v>1</v>
      </c>
      <c r="I743" s="32" t="str">
        <f>IFERROR(VLOOKUP(F743,Productos!$A$2:$D$258,3,0)," ")</f>
        <v>Accesorio</v>
      </c>
      <c r="J743" s="139" t="s">
        <v>21</v>
      </c>
      <c r="K743" s="186" t="s">
        <v>22</v>
      </c>
      <c r="L743" s="26" t="str">
        <f t="shared" si="106"/>
        <v>Despachado</v>
      </c>
      <c r="M743" s="56" t="s">
        <v>238</v>
      </c>
      <c r="N743" s="139" t="s">
        <v>1399</v>
      </c>
      <c r="O743" s="150">
        <v>45890</v>
      </c>
      <c r="P743" s="151">
        <v>45892</v>
      </c>
      <c r="Q743" s="24" t="str">
        <f t="shared" si="108"/>
        <v>Entregado</v>
      </c>
      <c r="R743" s="25">
        <f>IF(L743="Despachado",NETWORKDAYS.INTL(A743,O743,11,Valores!$A$2:$A$18)-1,"PTE")</f>
        <v>1</v>
      </c>
      <c r="S743" s="25">
        <f>IF(Q743="Entregado",NETWORKDAYS.INTL(A743,P743,11,Valores!$A$2:$A$18)-1,"PTE")</f>
        <v>3</v>
      </c>
      <c r="T743" s="25"/>
      <c r="U743" s="25"/>
      <c r="V743" s="25" t="str">
        <f>IF(Q743="Entregado",IF(S743&lt;=VLOOKUP(K743,Valores!E:F,2,0),"Cumple","No cumple"),"PTE")</f>
        <v>Cumple</v>
      </c>
      <c r="W743" s="25"/>
      <c r="X743" s="29">
        <v>24885</v>
      </c>
      <c r="Y743" s="224"/>
      <c r="Z743" s="28"/>
    </row>
    <row r="744" spans="1:26" hidden="1" x14ac:dyDescent="0.3">
      <c r="A744" s="34">
        <v>45891</v>
      </c>
      <c r="B744" s="7" t="str">
        <f t="shared" si="110"/>
        <v>agosto</v>
      </c>
      <c r="C744" s="27">
        <v>100088</v>
      </c>
      <c r="D744" s="23" t="s">
        <v>20</v>
      </c>
      <c r="E744" s="185" t="s">
        <v>1168</v>
      </c>
      <c r="F744" s="22" t="s">
        <v>127</v>
      </c>
      <c r="G744" s="32" t="str">
        <f>IFERROR(VLOOKUP(F744,Productos!$A$2:$D$258,2,0)," ")</f>
        <v>Electric Standing Desk GO Blanco</v>
      </c>
      <c r="H744" s="7">
        <v>1</v>
      </c>
      <c r="I744" s="32" t="str">
        <f>IFERROR(VLOOKUP(F744,Productos!$A$2:$D$258,3,0)," ")</f>
        <v>Standing Desk</v>
      </c>
      <c r="J744" s="139" t="s">
        <v>21</v>
      </c>
      <c r="K744" s="186" t="s">
        <v>22</v>
      </c>
      <c r="L744" s="26" t="str">
        <f t="shared" si="106"/>
        <v>Despachado</v>
      </c>
      <c r="M744" s="56" t="s">
        <v>238</v>
      </c>
      <c r="N744" s="139" t="s">
        <v>1400</v>
      </c>
      <c r="O744" s="150">
        <v>45897</v>
      </c>
      <c r="P744" s="151">
        <v>45901</v>
      </c>
      <c r="Q744" s="24" t="str">
        <f t="shared" si="108"/>
        <v>Entregado</v>
      </c>
      <c r="R744" s="25">
        <f>IF(L744="Despachado",NETWORKDAYS.INTL(A744,O744,11,Valores!$A$2:$A$18)-1,"PTE")</f>
        <v>5</v>
      </c>
      <c r="S744" s="25">
        <f>IF(Q744="Entregado",NETWORKDAYS.INTL(A744,P744,11,Valores!$A$2:$A$18)-1,"PTE")</f>
        <v>8</v>
      </c>
      <c r="T744" s="25"/>
      <c r="U744" s="25"/>
      <c r="V744" s="25" t="str">
        <f>IF(Q744="Entregado",IF(S744&lt;=VLOOKUP(K744,Valores!E:F,2,0),"Cumple","No cumple"),"PTE")</f>
        <v>No cumple</v>
      </c>
      <c r="W744" s="25"/>
      <c r="X744" s="29">
        <v>41593</v>
      </c>
      <c r="Y744" s="224"/>
      <c r="Z744" s="28"/>
    </row>
    <row r="745" spans="1:26" hidden="1" x14ac:dyDescent="0.3">
      <c r="A745" s="34">
        <v>45891</v>
      </c>
      <c r="B745" s="7" t="str">
        <f t="shared" si="110"/>
        <v>agosto</v>
      </c>
      <c r="C745" s="27">
        <v>100088</v>
      </c>
      <c r="D745" s="23" t="s">
        <v>20</v>
      </c>
      <c r="E745" s="185" t="s">
        <v>1168</v>
      </c>
      <c r="F745" s="22" t="s">
        <v>301</v>
      </c>
      <c r="G745" s="32" t="str">
        <f>IFERROR(VLOOKUP(F745,Productos!$A$2:$D$258,2,0)," ")</f>
        <v>Superficie  Fresno Europeo 120x70 Clasico Small</v>
      </c>
      <c r="H745" s="7">
        <v>1</v>
      </c>
      <c r="I745" s="32" t="str">
        <f>IFERROR(VLOOKUP(F745,Productos!$A$2:$D$258,3,0)," ")</f>
        <v>Superficie</v>
      </c>
      <c r="J745" s="139" t="s">
        <v>21</v>
      </c>
      <c r="K745" s="186" t="s">
        <v>22</v>
      </c>
      <c r="L745" s="26" t="str">
        <f t="shared" si="106"/>
        <v>Despachado</v>
      </c>
      <c r="M745" s="56" t="s">
        <v>238</v>
      </c>
      <c r="N745" s="139" t="s">
        <v>1401</v>
      </c>
      <c r="O745" s="150">
        <v>45897</v>
      </c>
      <c r="P745" s="151">
        <v>45901</v>
      </c>
      <c r="Q745" s="24" t="str">
        <f t="shared" si="108"/>
        <v>Entregado</v>
      </c>
      <c r="R745" s="25">
        <f>IF(L745="Despachado",NETWORKDAYS.INTL(A745,O745,11,Valores!$A$2:$A$18)-1,"PTE")</f>
        <v>5</v>
      </c>
      <c r="S745" s="25">
        <f>IF(Q745="Entregado",NETWORKDAYS.INTL(A745,P745,11,Valores!$A$2:$A$18)-1,"PTE")</f>
        <v>8</v>
      </c>
      <c r="T745" s="25"/>
      <c r="U745" s="25"/>
      <c r="V745" s="25" t="str">
        <f>IF(Q745="Entregado",IF(S745&lt;=VLOOKUP(K745,Valores!E:F,2,0),"Cumple","No cumple"),"PTE")</f>
        <v>No cumple</v>
      </c>
      <c r="W745" s="25"/>
      <c r="X745" s="29">
        <v>24093</v>
      </c>
      <c r="Y745" s="224"/>
      <c r="Z745" s="28"/>
    </row>
    <row r="746" spans="1:26" hidden="1" x14ac:dyDescent="0.3">
      <c r="A746" s="34">
        <v>45891</v>
      </c>
      <c r="B746" s="7" t="str">
        <f t="shared" si="110"/>
        <v>agosto</v>
      </c>
      <c r="C746" s="27">
        <v>100088</v>
      </c>
      <c r="D746" s="23" t="s">
        <v>20</v>
      </c>
      <c r="E746" s="185" t="s">
        <v>1168</v>
      </c>
      <c r="F746" s="22"/>
      <c r="G746" s="32" t="s">
        <v>1796</v>
      </c>
      <c r="H746" s="7">
        <v>1</v>
      </c>
      <c r="I746" s="32" t="s">
        <v>327</v>
      </c>
      <c r="J746" s="139" t="s">
        <v>21</v>
      </c>
      <c r="K746" s="186" t="s">
        <v>22</v>
      </c>
      <c r="L746" s="26" t="str">
        <f t="shared" si="106"/>
        <v>Despachado</v>
      </c>
      <c r="M746" s="56" t="s">
        <v>241</v>
      </c>
      <c r="N746" s="190" t="s">
        <v>241</v>
      </c>
      <c r="O746" s="191" t="s">
        <v>241</v>
      </c>
      <c r="P746" s="192" t="s">
        <v>241</v>
      </c>
      <c r="Q746" s="24" t="str">
        <f t="shared" si="108"/>
        <v>Entregado</v>
      </c>
      <c r="R746" s="25" t="e">
        <f>IF(L746="Despachado",NETWORKDAYS.INTL(A746,O746,11,Valores!$A$2:$A$18)-1,"PTE")</f>
        <v>#VALUE!</v>
      </c>
      <c r="S746" s="25" t="e">
        <f>IF(Q746="Entregado",NETWORKDAYS.INTL(A746,P746,11,Valores!$A$2:$A$18)-1,"PTE")</f>
        <v>#VALUE!</v>
      </c>
      <c r="T746" s="25"/>
      <c r="U746" s="25"/>
      <c r="V746" s="25" t="e">
        <f>IF(Q746="Entregado",IF(S746&lt;=VLOOKUP(K746,Valores!E:F,2,0),"Cumple","No cumple"),"PTE")</f>
        <v>#VALUE!</v>
      </c>
      <c r="W746" s="25"/>
      <c r="X746" s="29">
        <v>0</v>
      </c>
      <c r="Y746" s="224"/>
      <c r="Z746" s="28"/>
    </row>
    <row r="747" spans="1:26" hidden="1" x14ac:dyDescent="0.3">
      <c r="A747" s="34">
        <v>45893</v>
      </c>
      <c r="B747" s="7" t="str">
        <f t="shared" si="110"/>
        <v>agosto</v>
      </c>
      <c r="C747" s="27">
        <v>100089</v>
      </c>
      <c r="D747" s="23" t="s">
        <v>20</v>
      </c>
      <c r="E747" s="185" t="s">
        <v>1169</v>
      </c>
      <c r="F747" s="22" t="s">
        <v>129</v>
      </c>
      <c r="G747" s="32" t="str">
        <f>IFERROR(VLOOKUP(F747,Productos!$A$2:$D$258,2,0)," ")</f>
        <v>Electric Standing Desk  PRO Negro</v>
      </c>
      <c r="H747" s="7">
        <v>1</v>
      </c>
      <c r="I747" s="32" t="str">
        <f>IFERROR(VLOOKUP(F747,Productos!$A$2:$D$258,3,0)," ")</f>
        <v>Standing Desk</v>
      </c>
      <c r="J747" s="139" t="s">
        <v>21</v>
      </c>
      <c r="K747" s="186" t="s">
        <v>22</v>
      </c>
      <c r="L747" s="26" t="str">
        <f t="shared" si="106"/>
        <v>Despachado</v>
      </c>
      <c r="M747" s="56" t="s">
        <v>238</v>
      </c>
      <c r="N747" s="139" t="s">
        <v>1402</v>
      </c>
      <c r="O747" s="150">
        <v>45897</v>
      </c>
      <c r="P747" s="151">
        <v>45901</v>
      </c>
      <c r="Q747" s="24" t="str">
        <f t="shared" si="108"/>
        <v>Entregado</v>
      </c>
      <c r="R747" s="25">
        <f>IF(L747="Despachado",NETWORKDAYS.INTL(A747,O747,11,Valores!$A$2:$A$18)-1,"PTE")</f>
        <v>3</v>
      </c>
      <c r="S747" s="25">
        <f>IF(Q747="Entregado",NETWORKDAYS.INTL(A747,P747,11,Valores!$A$2:$A$18)-1,"PTE")</f>
        <v>6</v>
      </c>
      <c r="T747" s="25"/>
      <c r="U747" s="25"/>
      <c r="V747" s="25" t="str">
        <f>IF(Q747="Entregado",IF(S747&lt;=VLOOKUP(K747,Valores!E:F,2,0),"Cumple","No cumple"),"PTE")</f>
        <v>No cumple</v>
      </c>
      <c r="W747" s="25"/>
      <c r="X747" s="29">
        <v>41593</v>
      </c>
      <c r="Y747" s="224"/>
      <c r="Z747" s="28"/>
    </row>
    <row r="748" spans="1:26" hidden="1" x14ac:dyDescent="0.3">
      <c r="A748" s="34">
        <v>45893</v>
      </c>
      <c r="B748" s="7" t="str">
        <f t="shared" si="110"/>
        <v>agosto</v>
      </c>
      <c r="C748" s="27">
        <v>100089</v>
      </c>
      <c r="D748" s="23" t="s">
        <v>20</v>
      </c>
      <c r="E748" s="185" t="s">
        <v>1169</v>
      </c>
      <c r="F748" s="22" t="s">
        <v>111</v>
      </c>
      <c r="G748" s="32" t="str">
        <f>IFERROR(VLOOKUP(F748,Productos!$A$2:$D$258,2,0)," ")</f>
        <v>Superficie  Roble Negro 180x70 Clasico</v>
      </c>
      <c r="H748" s="7">
        <v>1</v>
      </c>
      <c r="I748" s="32" t="str">
        <f>IFERROR(VLOOKUP(F748,Productos!$A$2:$D$258,3,0)," ")</f>
        <v>Superficie</v>
      </c>
      <c r="J748" s="139" t="s">
        <v>21</v>
      </c>
      <c r="K748" s="186" t="s">
        <v>22</v>
      </c>
      <c r="L748" s="26" t="str">
        <f t="shared" si="106"/>
        <v>Despachado</v>
      </c>
      <c r="M748" s="56" t="s">
        <v>238</v>
      </c>
      <c r="N748" s="139" t="s">
        <v>1403</v>
      </c>
      <c r="O748" s="150">
        <v>45897</v>
      </c>
      <c r="P748" s="151">
        <v>45901</v>
      </c>
      <c r="Q748" s="24" t="str">
        <f t="shared" si="108"/>
        <v>Entregado</v>
      </c>
      <c r="R748" s="25">
        <f>IF(L748="Despachado",NETWORKDAYS.INTL(A748,O748,11,Valores!$A$2:$A$18)-1,"PTE")</f>
        <v>3</v>
      </c>
      <c r="S748" s="25">
        <f>IF(Q748="Entregado",NETWORKDAYS.INTL(A748,P748,11,Valores!$A$2:$A$18)-1,"PTE")</f>
        <v>6</v>
      </c>
      <c r="T748" s="25"/>
      <c r="U748" s="25"/>
      <c r="V748" s="25" t="str">
        <f>IF(Q748="Entregado",IF(S748&lt;=VLOOKUP(K748,Valores!E:F,2,0),"Cumple","No cumple"),"PTE")</f>
        <v>No cumple</v>
      </c>
      <c r="W748" s="25"/>
      <c r="X748" s="29">
        <v>26749</v>
      </c>
      <c r="Y748" s="224"/>
      <c r="Z748" s="28"/>
    </row>
    <row r="749" spans="1:26" hidden="1" x14ac:dyDescent="0.3">
      <c r="A749" s="34">
        <v>45893</v>
      </c>
      <c r="B749" s="7" t="str">
        <f t="shared" si="110"/>
        <v>agosto</v>
      </c>
      <c r="C749" s="27">
        <v>100089</v>
      </c>
      <c r="D749" s="23" t="s">
        <v>20</v>
      </c>
      <c r="E749" s="185" t="s">
        <v>1169</v>
      </c>
      <c r="F749" s="22" t="s">
        <v>240</v>
      </c>
      <c r="G749" s="32" t="str">
        <f>IFERROR(VLOOKUP(F749,Productos!$A$2:$D$258,2,0)," ")</f>
        <v>Bandeja de cables</v>
      </c>
      <c r="H749" s="7">
        <v>1</v>
      </c>
      <c r="I749" s="32" t="str">
        <f>IFERROR(VLOOKUP(F749,Productos!$A$2:$D$258,3,0)," ")</f>
        <v>Accesorio</v>
      </c>
      <c r="J749" s="139" t="s">
        <v>21</v>
      </c>
      <c r="K749" s="186" t="s">
        <v>22</v>
      </c>
      <c r="L749" s="26" t="str">
        <f t="shared" ref="L749:L768" si="111">IF(O749&gt;0,"Despachado","En alistamiento")</f>
        <v>Despachado</v>
      </c>
      <c r="M749" s="56" t="s">
        <v>238</v>
      </c>
      <c r="N749" s="139" t="s">
        <v>1404</v>
      </c>
      <c r="O749" s="150">
        <v>45897</v>
      </c>
      <c r="P749" s="151">
        <v>45901</v>
      </c>
      <c r="Q749" s="24" t="str">
        <f t="shared" si="108"/>
        <v>Entregado</v>
      </c>
      <c r="R749" s="25">
        <f>IF(L749="Despachado",NETWORKDAYS.INTL(A749,O749,11,Valores!$A$2:$A$18)-1,"PTE")</f>
        <v>3</v>
      </c>
      <c r="S749" s="25">
        <f>IF(Q749="Entregado",NETWORKDAYS.INTL(A749,P749,11,Valores!$A$2:$A$18)-1,"PTE")</f>
        <v>6</v>
      </c>
      <c r="T749" s="25"/>
      <c r="U749" s="25"/>
      <c r="V749" s="25" t="str">
        <f>IF(Q749="Entregado",IF(S749&lt;=VLOOKUP(K749,Valores!E:F,2,0),"Cumple","No cumple"),"PTE")</f>
        <v>No cumple</v>
      </c>
      <c r="W749" s="25"/>
      <c r="X749" s="29">
        <v>24885</v>
      </c>
      <c r="Y749" s="224"/>
      <c r="Z749" s="28"/>
    </row>
    <row r="750" spans="1:26" hidden="1" x14ac:dyDescent="0.3">
      <c r="A750" s="34">
        <v>45893</v>
      </c>
      <c r="B750" s="7" t="str">
        <f t="shared" si="110"/>
        <v>agosto</v>
      </c>
      <c r="C750" s="27">
        <v>100089</v>
      </c>
      <c r="D750" s="23" t="s">
        <v>20</v>
      </c>
      <c r="E750" s="185" t="s">
        <v>1169</v>
      </c>
      <c r="F750" s="22"/>
      <c r="G750" s="32" t="s">
        <v>1796</v>
      </c>
      <c r="H750" s="7">
        <v>1</v>
      </c>
      <c r="I750" s="32" t="s">
        <v>327</v>
      </c>
      <c r="J750" s="139" t="s">
        <v>21</v>
      </c>
      <c r="K750" s="186" t="s">
        <v>22</v>
      </c>
      <c r="L750" s="26" t="str">
        <f t="shared" si="111"/>
        <v>Despachado</v>
      </c>
      <c r="M750" s="56" t="s">
        <v>241</v>
      </c>
      <c r="N750" s="190" t="s">
        <v>241</v>
      </c>
      <c r="O750" s="191" t="s">
        <v>241</v>
      </c>
      <c r="P750" s="192" t="s">
        <v>241</v>
      </c>
      <c r="Q750" s="24" t="str">
        <f t="shared" si="108"/>
        <v>Entregado</v>
      </c>
      <c r="R750" s="25" t="e">
        <f>IF(L750="Despachado",NETWORKDAYS.INTL(A750,O750,11,Valores!$A$2:$A$18)-1,"PTE")</f>
        <v>#VALUE!</v>
      </c>
      <c r="S750" s="25" t="e">
        <f>IF(Q750="Entregado",NETWORKDAYS.INTL(A750,P750,11,Valores!$A$2:$A$18)-1,"PTE")</f>
        <v>#VALUE!</v>
      </c>
      <c r="T750" s="25"/>
      <c r="U750" s="25"/>
      <c r="V750" s="25" t="e">
        <f>IF(Q750="Entregado",IF(S750&lt;=VLOOKUP(K750,Valores!E:F,2,0),"Cumple","No cumple"),"PTE")</f>
        <v>#VALUE!</v>
      </c>
      <c r="W750" s="25"/>
      <c r="X750" s="29"/>
      <c r="Y750" s="224"/>
      <c r="Z750" s="28"/>
    </row>
    <row r="751" spans="1:26" hidden="1" x14ac:dyDescent="0.3">
      <c r="A751" s="34">
        <v>45894</v>
      </c>
      <c r="B751" s="7" t="str">
        <f t="shared" si="110"/>
        <v>agosto</v>
      </c>
      <c r="C751" s="27">
        <v>100090</v>
      </c>
      <c r="D751" s="23" t="s">
        <v>20</v>
      </c>
      <c r="E751" s="185" t="s">
        <v>1170</v>
      </c>
      <c r="F751" s="22" t="s">
        <v>74</v>
      </c>
      <c r="G751" s="32" t="str">
        <f>IFERROR(VLOOKUP(F751,Productos!$A$2:$D$258,2,0)," ")</f>
        <v>Repisa Caramelo</v>
      </c>
      <c r="H751" s="7">
        <v>1</v>
      </c>
      <c r="I751" s="32" t="str">
        <f>IFERROR(VLOOKUP(F751,Productos!$A$2:$D$258,3,0)," ")</f>
        <v>Repisa</v>
      </c>
      <c r="J751" s="186" t="s">
        <v>189</v>
      </c>
      <c r="K751" s="186" t="s">
        <v>45</v>
      </c>
      <c r="L751" s="26" t="str">
        <f t="shared" si="111"/>
        <v>Despachado</v>
      </c>
      <c r="M751" s="56" t="s">
        <v>238</v>
      </c>
      <c r="N751" s="139" t="s">
        <v>1407</v>
      </c>
      <c r="O751" s="150">
        <v>45896</v>
      </c>
      <c r="P751" s="151">
        <v>45898</v>
      </c>
      <c r="Q751" s="24" t="str">
        <f t="shared" si="108"/>
        <v>Entregado</v>
      </c>
      <c r="R751" s="25">
        <f>IF(L751="Despachado",NETWORKDAYS.INTL(A751,O751,11,Valores!$A$2:$A$18)-1,"PTE")</f>
        <v>2</v>
      </c>
      <c r="S751" s="25">
        <f>IF(Q751="Entregado",NETWORKDAYS.INTL(A751,P751,11,Valores!$A$2:$A$18)-1,"PTE")</f>
        <v>4</v>
      </c>
      <c r="T751" s="25"/>
      <c r="U751" s="25"/>
      <c r="V751" s="25" t="str">
        <f>IF(Q751="Entregado",IF(S751&lt;=VLOOKUP(K751,Valores!E:F,2,0),"Cumple","No cumple"),"PTE")</f>
        <v>Cumple</v>
      </c>
      <c r="W751" s="25"/>
      <c r="X751" s="29">
        <v>37762</v>
      </c>
      <c r="Y751" s="224"/>
      <c r="Z751" s="28"/>
    </row>
    <row r="752" spans="1:26" hidden="1" x14ac:dyDescent="0.3">
      <c r="A752" s="34">
        <v>45894</v>
      </c>
      <c r="B752" s="7" t="str">
        <f t="shared" ref="B752:B761" si="112">TEXT(A752,"mmmm")</f>
        <v>agosto</v>
      </c>
      <c r="C752" s="27">
        <v>100091</v>
      </c>
      <c r="D752" s="23" t="s">
        <v>20</v>
      </c>
      <c r="E752" s="185" t="s">
        <v>1167</v>
      </c>
      <c r="F752" s="22" t="s">
        <v>567</v>
      </c>
      <c r="G752" s="32" t="str">
        <f>IFERROR(VLOOKUP(F752,Productos!$A$2:$D$258,2,0)," ")</f>
        <v>Archivador TECU Fresno Europeo</v>
      </c>
      <c r="H752" s="7">
        <v>1</v>
      </c>
      <c r="I752" s="32" t="str">
        <f>IFERROR(VLOOKUP(F752,Productos!$A$2:$D$258,3,0)," ")</f>
        <v>Archivador</v>
      </c>
      <c r="J752" s="139" t="s">
        <v>21</v>
      </c>
      <c r="K752" s="186" t="s">
        <v>22</v>
      </c>
      <c r="L752" s="26" t="str">
        <f t="shared" si="111"/>
        <v>Despachado</v>
      </c>
      <c r="M752" s="56" t="s">
        <v>238</v>
      </c>
      <c r="N752" s="139" t="s">
        <v>1408</v>
      </c>
      <c r="O752" s="150">
        <v>45896</v>
      </c>
      <c r="P752" s="151">
        <v>45898</v>
      </c>
      <c r="Q752" s="24" t="str">
        <f t="shared" si="108"/>
        <v>Entregado</v>
      </c>
      <c r="R752" s="25">
        <f>IF(L752="Despachado",NETWORKDAYS.INTL(A752,O752,11,Valores!$A$2:$A$18)-1,"PTE")</f>
        <v>2</v>
      </c>
      <c r="S752" s="25">
        <f>IF(Q752="Entregado",NETWORKDAYS.INTL(A752,P752,11,Valores!$A$2:$A$18)-1,"PTE")</f>
        <v>4</v>
      </c>
      <c r="T752" s="25"/>
      <c r="U752" s="25"/>
      <c r="V752" s="25" t="str">
        <f>IF(Q752="Entregado",IF(S752&lt;=VLOOKUP(K752,Valores!E:F,2,0),"Cumple","No cumple"),"PTE")</f>
        <v>No cumple</v>
      </c>
      <c r="W752" s="25"/>
      <c r="X752" s="29">
        <v>59843</v>
      </c>
      <c r="Y752" s="224"/>
      <c r="Z752" s="28"/>
    </row>
    <row r="753" spans="1:26" hidden="1" x14ac:dyDescent="0.3">
      <c r="A753" s="34">
        <v>45895</v>
      </c>
      <c r="B753" s="7" t="str">
        <f t="shared" si="112"/>
        <v>agosto</v>
      </c>
      <c r="C753" s="27">
        <v>100092</v>
      </c>
      <c r="D753" s="23" t="s">
        <v>20</v>
      </c>
      <c r="E753" s="193" t="s">
        <v>1409</v>
      </c>
      <c r="F753" s="40" t="s">
        <v>123</v>
      </c>
      <c r="G753" s="32" t="str">
        <f>IFERROR(VLOOKUP(F753,Productos!$A$2:$D$258,2,0)," ")</f>
        <v>Electric Standing Desk GO Negro</v>
      </c>
      <c r="H753" s="7">
        <v>1</v>
      </c>
      <c r="I753" s="32" t="str">
        <f>IFERROR(VLOOKUP(F753,Productos!$A$2:$D$258,3,0)," ")</f>
        <v>Standing Desk</v>
      </c>
      <c r="J753" s="190" t="s">
        <v>188</v>
      </c>
      <c r="K753" s="190" t="s">
        <v>1410</v>
      </c>
      <c r="L753" s="26" t="str">
        <f t="shared" si="111"/>
        <v>Despachado</v>
      </c>
      <c r="M753" s="56" t="s">
        <v>238</v>
      </c>
      <c r="N753" s="215" t="s">
        <v>1876</v>
      </c>
      <c r="O753" s="150">
        <v>45896</v>
      </c>
      <c r="P753" s="151">
        <v>45900</v>
      </c>
      <c r="Q753" s="24" t="str">
        <f t="shared" ref="Q753:Q768" si="113">IF(P753&gt;0,"Entregado","En transito")</f>
        <v>Entregado</v>
      </c>
      <c r="R753" s="25">
        <f>IF(L753="Despachado",NETWORKDAYS.INTL(A753,O753,11,Valores!$A$2:$A$18)-1,"PTE")</f>
        <v>1</v>
      </c>
      <c r="S753" s="25">
        <f>IF(Q753="Entregado",NETWORKDAYS.INTL(A753,P753,11,Valores!$A$2:$A$18)-1,"PTE")</f>
        <v>4</v>
      </c>
      <c r="T753" s="25"/>
      <c r="U753" s="25"/>
      <c r="V753" s="25" t="e">
        <f>IF(Q753="Entregado",IF(S753&lt;=VLOOKUP(K753,Valores!E:F,2,0),"Cumple","No cumple"),"PTE")</f>
        <v>#N/A</v>
      </c>
      <c r="W753" s="25"/>
      <c r="X753" s="29">
        <v>59835</v>
      </c>
      <c r="Y753" s="224"/>
      <c r="Z753" s="28"/>
    </row>
    <row r="754" spans="1:26" hidden="1" x14ac:dyDescent="0.3">
      <c r="A754" s="34">
        <v>45895</v>
      </c>
      <c r="B754" s="7" t="str">
        <f t="shared" si="112"/>
        <v>agosto</v>
      </c>
      <c r="C754" s="27">
        <v>100092</v>
      </c>
      <c r="D754" s="23" t="s">
        <v>20</v>
      </c>
      <c r="E754" s="193" t="s">
        <v>1409</v>
      </c>
      <c r="F754" s="22" t="s">
        <v>301</v>
      </c>
      <c r="G754" s="32" t="str">
        <f>IFERROR(VLOOKUP(F754,Productos!$A$2:$D$258,2,0)," ")</f>
        <v>Superficie  Fresno Europeo 120x70 Clasico Small</v>
      </c>
      <c r="H754" s="7">
        <v>1</v>
      </c>
      <c r="I754" s="32" t="str">
        <f>IFERROR(VLOOKUP(F754,Productos!$A$2:$D$258,3,0)," ")</f>
        <v>Superficie</v>
      </c>
      <c r="J754" s="190" t="s">
        <v>188</v>
      </c>
      <c r="K754" s="190" t="s">
        <v>1410</v>
      </c>
      <c r="L754" s="26" t="str">
        <f t="shared" si="111"/>
        <v>Despachado</v>
      </c>
      <c r="M754" s="56" t="s">
        <v>238</v>
      </c>
      <c r="N754" s="215" t="s">
        <v>1877</v>
      </c>
      <c r="O754" s="150">
        <v>45896</v>
      </c>
      <c r="P754" s="151">
        <v>45900</v>
      </c>
      <c r="Q754" s="24" t="str">
        <f t="shared" si="113"/>
        <v>Entregado</v>
      </c>
      <c r="R754" s="25">
        <f>IF(L754="Despachado",NETWORKDAYS.INTL(A754,O754,11,Valores!$A$2:$A$18)-1,"PTE")</f>
        <v>1</v>
      </c>
      <c r="S754" s="25">
        <f>IF(Q754="Entregado",NETWORKDAYS.INTL(A754,P754,11,Valores!$A$2:$A$18)-1,"PTE")</f>
        <v>4</v>
      </c>
      <c r="T754" s="25"/>
      <c r="U754" s="25"/>
      <c r="V754" s="25" t="e">
        <f>IF(Q754="Entregado",IF(S754&lt;=VLOOKUP(K754,Valores!E:F,2,0),"Cumple","No cumple"),"PTE")</f>
        <v>#N/A</v>
      </c>
      <c r="W754" s="25"/>
      <c r="X754" s="29">
        <v>39078</v>
      </c>
      <c r="Y754" s="224"/>
      <c r="Z754" s="28"/>
    </row>
    <row r="755" spans="1:26" hidden="1" x14ac:dyDescent="0.3">
      <c r="A755" s="34">
        <v>45896</v>
      </c>
      <c r="B755" s="7" t="str">
        <f t="shared" si="112"/>
        <v>agosto</v>
      </c>
      <c r="C755" s="27">
        <v>100093</v>
      </c>
      <c r="D755" s="23" t="s">
        <v>20</v>
      </c>
      <c r="E755" s="193" t="s">
        <v>1411</v>
      </c>
      <c r="F755" s="22" t="s">
        <v>129</v>
      </c>
      <c r="G755" s="32" t="str">
        <f>IFERROR(VLOOKUP(F755,Productos!$A$2:$D$258,2,0)," ")</f>
        <v>Electric Standing Desk  PRO Negro</v>
      </c>
      <c r="H755" s="7">
        <v>1</v>
      </c>
      <c r="I755" s="32" t="str">
        <f>IFERROR(VLOOKUP(F755,Productos!$A$2:$D$258,3,0)," ")</f>
        <v>Standing Desk</v>
      </c>
      <c r="J755" s="139" t="s">
        <v>21</v>
      </c>
      <c r="K755" s="186" t="s">
        <v>22</v>
      </c>
      <c r="L755" s="26" t="str">
        <f t="shared" si="111"/>
        <v>Despachado</v>
      </c>
      <c r="M755" s="56" t="s">
        <v>238</v>
      </c>
      <c r="N755" s="215" t="s">
        <v>1878</v>
      </c>
      <c r="O755" s="150">
        <v>45898</v>
      </c>
      <c r="P755" s="151">
        <v>45899</v>
      </c>
      <c r="Q755" s="24" t="str">
        <f t="shared" si="113"/>
        <v>Entregado</v>
      </c>
      <c r="R755" s="25">
        <f>IF(L755="Despachado",NETWORKDAYS.INTL(A755,O755,11,Valores!$A$2:$A$18)-1,"PTE")</f>
        <v>2</v>
      </c>
      <c r="S755" s="25">
        <f>IF(Q755="Entregado",NETWORKDAYS.INTL(A755,P755,11,Valores!$A$2:$A$18)-1,"PTE")</f>
        <v>3</v>
      </c>
      <c r="T755" s="25"/>
      <c r="U755" s="25"/>
      <c r="V755" s="25" t="str">
        <f>IF(Q755="Entregado",IF(S755&lt;=VLOOKUP(K755,Valores!E:F,2,0),"Cumple","No cumple"),"PTE")</f>
        <v>Cumple</v>
      </c>
      <c r="W755" s="25"/>
      <c r="X755" s="29">
        <v>41593</v>
      </c>
      <c r="Y755" s="224"/>
      <c r="Z755" s="28"/>
    </row>
    <row r="756" spans="1:26" hidden="1" x14ac:dyDescent="0.3">
      <c r="A756" s="34">
        <v>45896</v>
      </c>
      <c r="B756" s="7" t="str">
        <f t="shared" si="112"/>
        <v>agosto</v>
      </c>
      <c r="C756" s="27">
        <v>100093</v>
      </c>
      <c r="D756" s="23" t="s">
        <v>20</v>
      </c>
      <c r="E756" s="193" t="s">
        <v>1411</v>
      </c>
      <c r="F756" s="40" t="s">
        <v>262</v>
      </c>
      <c r="G756" s="32" t="str">
        <f>IFERROR(VLOOKUP(F756,Productos!$A$2:$D$258,2,0)," ")</f>
        <v>Superficie Roble Miel 150x70 Clasico</v>
      </c>
      <c r="H756" s="7">
        <v>1</v>
      </c>
      <c r="I756" s="32" t="str">
        <f>IFERROR(VLOOKUP(F756,Productos!$A$2:$D$258,3,0)," ")</f>
        <v>Superficie</v>
      </c>
      <c r="J756" s="139" t="s">
        <v>21</v>
      </c>
      <c r="K756" s="186" t="s">
        <v>22</v>
      </c>
      <c r="L756" s="26" t="str">
        <f t="shared" si="111"/>
        <v>Despachado</v>
      </c>
      <c r="M756" s="56" t="s">
        <v>238</v>
      </c>
      <c r="N756" s="215" t="s">
        <v>1879</v>
      </c>
      <c r="O756" s="150">
        <v>45898</v>
      </c>
      <c r="P756" s="151">
        <v>45899</v>
      </c>
      <c r="Q756" s="24" t="str">
        <f t="shared" si="113"/>
        <v>Entregado</v>
      </c>
      <c r="R756" s="25">
        <f>IF(L756="Despachado",NETWORKDAYS.INTL(A756,O756,11,Valores!$A$2:$A$18)-1,"PTE")</f>
        <v>2</v>
      </c>
      <c r="S756" s="25">
        <f>IF(Q756="Entregado",NETWORKDAYS.INTL(A756,P756,11,Valores!$A$2:$A$18)-1,"PTE")</f>
        <v>3</v>
      </c>
      <c r="T756" s="25"/>
      <c r="U756" s="25"/>
      <c r="V756" s="25" t="str">
        <f>IF(Q756="Entregado",IF(S756&lt;=VLOOKUP(K756,Valores!E:F,2,0),"Cumple","No cumple"),"PTE")</f>
        <v>Cumple</v>
      </c>
      <c r="W756" s="25"/>
      <c r="X756" s="29">
        <v>24093</v>
      </c>
      <c r="Y756" s="224"/>
      <c r="Z756" s="28"/>
    </row>
    <row r="757" spans="1:26" hidden="1" x14ac:dyDescent="0.3">
      <c r="A757" s="34">
        <v>45896</v>
      </c>
      <c r="B757" s="7" t="str">
        <f t="shared" si="112"/>
        <v>agosto</v>
      </c>
      <c r="C757" s="27">
        <v>100093</v>
      </c>
      <c r="D757" s="23" t="s">
        <v>20</v>
      </c>
      <c r="E757" s="193" t="s">
        <v>1411</v>
      </c>
      <c r="F757" s="22" t="s">
        <v>240</v>
      </c>
      <c r="G757" s="32" t="str">
        <f>IFERROR(VLOOKUP(F757,Productos!$A$2:$D$258,2,0)," ")</f>
        <v>Bandeja de cables</v>
      </c>
      <c r="H757" s="7">
        <v>1</v>
      </c>
      <c r="I757" s="32" t="str">
        <f>IFERROR(VLOOKUP(F757,Productos!$A$2:$D$258,3,0)," ")</f>
        <v>Accesorio</v>
      </c>
      <c r="J757" s="139" t="s">
        <v>21</v>
      </c>
      <c r="K757" s="186" t="s">
        <v>22</v>
      </c>
      <c r="L757" s="26" t="str">
        <f t="shared" si="111"/>
        <v>Despachado</v>
      </c>
      <c r="M757" s="56" t="s">
        <v>238</v>
      </c>
      <c r="N757" s="215" t="s">
        <v>1880</v>
      </c>
      <c r="O757" s="150">
        <v>45898</v>
      </c>
      <c r="P757" s="151">
        <v>45899</v>
      </c>
      <c r="Q757" s="24" t="str">
        <f t="shared" si="113"/>
        <v>Entregado</v>
      </c>
      <c r="R757" s="25">
        <f>IF(L757="Despachado",NETWORKDAYS.INTL(A757,O757,11,Valores!$A$2:$A$18)-1,"PTE")</f>
        <v>2</v>
      </c>
      <c r="S757" s="25">
        <f>IF(Q757="Entregado",NETWORKDAYS.INTL(A757,P757,11,Valores!$A$2:$A$18)-1,"PTE")</f>
        <v>3</v>
      </c>
      <c r="T757" s="25"/>
      <c r="U757" s="25"/>
      <c r="V757" s="25" t="str">
        <f>IF(Q757="Entregado",IF(S757&lt;=VLOOKUP(K757,Valores!E:F,2,0),"Cumple","No cumple"),"PTE")</f>
        <v>Cumple</v>
      </c>
      <c r="W757" s="25"/>
      <c r="X757" s="29">
        <v>24885</v>
      </c>
      <c r="Y757" s="224"/>
      <c r="Z757" s="28"/>
    </row>
    <row r="758" spans="1:26" hidden="1" x14ac:dyDescent="0.3">
      <c r="A758" s="34">
        <v>45896</v>
      </c>
      <c r="B758" s="7" t="str">
        <f t="shared" si="112"/>
        <v>agosto</v>
      </c>
      <c r="C758" s="27">
        <v>100093</v>
      </c>
      <c r="D758" s="23" t="s">
        <v>20</v>
      </c>
      <c r="E758" s="193" t="s">
        <v>1411</v>
      </c>
      <c r="F758" s="22"/>
      <c r="G758" s="32" t="s">
        <v>1796</v>
      </c>
      <c r="H758" s="7">
        <v>1</v>
      </c>
      <c r="I758" s="32" t="s">
        <v>327</v>
      </c>
      <c r="J758" s="139" t="s">
        <v>21</v>
      </c>
      <c r="K758" s="186" t="s">
        <v>22</v>
      </c>
      <c r="L758" s="26" t="str">
        <f t="shared" si="111"/>
        <v>Despachado</v>
      </c>
      <c r="M758" s="56" t="s">
        <v>241</v>
      </c>
      <c r="N758" s="215" t="s">
        <v>241</v>
      </c>
      <c r="O758" s="150" t="s">
        <v>241</v>
      </c>
      <c r="P758" s="151" t="s">
        <v>241</v>
      </c>
      <c r="Q758" s="24" t="str">
        <f t="shared" si="113"/>
        <v>Entregado</v>
      </c>
      <c r="R758" s="25" t="e">
        <f>IF(L758="Despachado",NETWORKDAYS.INTL(A758,O758,11,Valores!$A$2:$A$18)-1,"PTE")</f>
        <v>#VALUE!</v>
      </c>
      <c r="S758" s="25" t="e">
        <f>IF(Q758="Entregado",NETWORKDAYS.INTL(A758,P758,11,Valores!$A$2:$A$18)-1,"PTE")</f>
        <v>#VALUE!</v>
      </c>
      <c r="T758" s="25"/>
      <c r="U758" s="25"/>
      <c r="V758" s="25" t="e">
        <f>IF(Q758="Entregado",IF(S758&lt;=VLOOKUP(K758,Valores!E:F,2,0),"Cumple","No cumple"),"PTE")</f>
        <v>#VALUE!</v>
      </c>
      <c r="W758" s="25"/>
      <c r="X758" s="29"/>
      <c r="Y758" s="224"/>
      <c r="Z758" s="28"/>
    </row>
    <row r="759" spans="1:26" hidden="1" x14ac:dyDescent="0.3">
      <c r="A759" s="34">
        <v>45897</v>
      </c>
      <c r="B759" s="7" t="str">
        <f t="shared" si="112"/>
        <v>agosto</v>
      </c>
      <c r="C759" s="27">
        <v>100094</v>
      </c>
      <c r="D759" s="23" t="s">
        <v>20</v>
      </c>
      <c r="E759" s="193" t="s">
        <v>1412</v>
      </c>
      <c r="F759" s="22" t="s">
        <v>74</v>
      </c>
      <c r="G759" s="32" t="str">
        <f>IFERROR(VLOOKUP(F759,Productos!$A$2:$D$258,2,0)," ")</f>
        <v>Repisa Caramelo</v>
      </c>
      <c r="H759" s="7">
        <v>1</v>
      </c>
      <c r="I759" s="32" t="str">
        <f>IFERROR(VLOOKUP(F759,Productos!$A$2:$D$258,3,0)," ")</f>
        <v>Repisa</v>
      </c>
      <c r="J759" s="139" t="s">
        <v>21</v>
      </c>
      <c r="K759" s="186" t="s">
        <v>22</v>
      </c>
      <c r="L759" s="26" t="str">
        <f t="shared" si="111"/>
        <v>Despachado</v>
      </c>
      <c r="M759" s="56" t="s">
        <v>238</v>
      </c>
      <c r="N759" s="215" t="s">
        <v>1881</v>
      </c>
      <c r="O759" s="150">
        <v>45897</v>
      </c>
      <c r="P759" s="151">
        <v>45901</v>
      </c>
      <c r="Q759" s="24" t="str">
        <f t="shared" si="113"/>
        <v>Entregado</v>
      </c>
      <c r="R759" s="25">
        <f>IF(L759="Despachado",NETWORKDAYS.INTL(A759,O759,11,Valores!$A$2:$A$18)-1,"PTE")</f>
        <v>0</v>
      </c>
      <c r="S759" s="25">
        <f>IF(Q759="Entregado",NETWORKDAYS.INTL(A759,P759,11,Valores!$A$2:$A$18)-1,"PTE")</f>
        <v>3</v>
      </c>
      <c r="T759" s="25"/>
      <c r="U759" s="25"/>
      <c r="V759" s="25" t="str">
        <f>IF(Q759="Entregado",IF(S759&lt;=VLOOKUP(K759,Valores!E:F,2,0),"Cumple","No cumple"),"PTE")</f>
        <v>Cumple</v>
      </c>
      <c r="W759" s="25"/>
      <c r="X759" s="29">
        <v>33077</v>
      </c>
      <c r="Y759" s="224"/>
      <c r="Z759" s="28"/>
    </row>
    <row r="760" spans="1:26" hidden="1" x14ac:dyDescent="0.3">
      <c r="A760" s="34">
        <v>45897</v>
      </c>
      <c r="B760" s="7" t="str">
        <f t="shared" si="112"/>
        <v>agosto</v>
      </c>
      <c r="C760" s="27">
        <v>100095</v>
      </c>
      <c r="D760" s="23" t="s">
        <v>20</v>
      </c>
      <c r="E760" s="193" t="s">
        <v>1413</v>
      </c>
      <c r="F760" s="22" t="s">
        <v>129</v>
      </c>
      <c r="G760" s="32" t="str">
        <f>IFERROR(VLOOKUP(F760,Productos!$A$2:$D$258,2,0)," ")</f>
        <v>Electric Standing Desk  PRO Negro</v>
      </c>
      <c r="H760" s="7">
        <v>1</v>
      </c>
      <c r="I760" s="32" t="str">
        <f>IFERROR(VLOOKUP(F760,Productos!$A$2:$D$258,3,0)," ")</f>
        <v>Standing Desk</v>
      </c>
      <c r="J760" s="139" t="s">
        <v>21</v>
      </c>
      <c r="K760" s="186" t="s">
        <v>22</v>
      </c>
      <c r="L760" s="26" t="str">
        <f t="shared" si="111"/>
        <v>Despachado</v>
      </c>
      <c r="M760" s="56" t="s">
        <v>238</v>
      </c>
      <c r="N760" s="215" t="s">
        <v>1882</v>
      </c>
      <c r="O760" s="150">
        <v>45898</v>
      </c>
      <c r="P760" s="151">
        <v>45901</v>
      </c>
      <c r="Q760" s="24" t="str">
        <f t="shared" si="113"/>
        <v>Entregado</v>
      </c>
      <c r="R760" s="25">
        <f>IF(L760="Despachado",NETWORKDAYS.INTL(A760,O760,11,Valores!$A$2:$A$18)-1,"PTE")</f>
        <v>1</v>
      </c>
      <c r="S760" s="25">
        <f>IF(Q760="Entregado",NETWORKDAYS.INTL(A760,P760,11,Valores!$A$2:$A$18)-1,"PTE")</f>
        <v>3</v>
      </c>
      <c r="T760" s="25"/>
      <c r="U760" s="25"/>
      <c r="V760" s="25" t="str">
        <f>IF(Q760="Entregado",IF(S760&lt;=VLOOKUP(K760,Valores!E:F,2,0),"Cumple","No cumple"),"PTE")</f>
        <v>Cumple</v>
      </c>
      <c r="W760" s="25"/>
      <c r="X760" s="29">
        <v>41593</v>
      </c>
      <c r="Y760" s="224"/>
      <c r="Z760" s="28"/>
    </row>
    <row r="761" spans="1:26" hidden="1" x14ac:dyDescent="0.3">
      <c r="A761" s="34">
        <v>45897</v>
      </c>
      <c r="B761" s="7" t="str">
        <f t="shared" si="112"/>
        <v>agosto</v>
      </c>
      <c r="C761" s="27">
        <v>100095</v>
      </c>
      <c r="D761" s="23" t="s">
        <v>20</v>
      </c>
      <c r="E761" s="193" t="s">
        <v>1413</v>
      </c>
      <c r="F761" s="22" t="s">
        <v>153</v>
      </c>
      <c r="G761" s="32" t="str">
        <f>IFERROR(VLOOKUP(F761,Productos!$A$2:$D$258,2,0)," ")</f>
        <v>Superficie  Roble Negro 130x70 Clasico</v>
      </c>
      <c r="H761" s="7">
        <v>1</v>
      </c>
      <c r="I761" s="32" t="str">
        <f>IFERROR(VLOOKUP(F761,Productos!$A$2:$D$258,3,0)," ")</f>
        <v>Superficie</v>
      </c>
      <c r="J761" s="139" t="s">
        <v>21</v>
      </c>
      <c r="K761" s="186" t="s">
        <v>22</v>
      </c>
      <c r="L761" s="26" t="str">
        <f t="shared" si="111"/>
        <v>Despachado</v>
      </c>
      <c r="M761" s="56" t="s">
        <v>238</v>
      </c>
      <c r="N761" s="215" t="s">
        <v>1883</v>
      </c>
      <c r="O761" s="150">
        <v>45898</v>
      </c>
      <c r="P761" s="151">
        <v>45901</v>
      </c>
      <c r="Q761" s="24" t="str">
        <f t="shared" si="113"/>
        <v>Entregado</v>
      </c>
      <c r="R761" s="25">
        <f>IF(L761="Despachado",NETWORKDAYS.INTL(A761,O761,11,Valores!$A$2:$A$18)-1,"PTE")</f>
        <v>1</v>
      </c>
      <c r="S761" s="25">
        <f>IF(Q761="Entregado",NETWORKDAYS.INTL(A761,P761,11,Valores!$A$2:$A$18)-1,"PTE")</f>
        <v>3</v>
      </c>
      <c r="T761" s="25"/>
      <c r="U761" s="25"/>
      <c r="V761" s="25" t="str">
        <f>IF(Q761="Entregado",IF(S761&lt;=VLOOKUP(K761,Valores!E:F,2,0),"Cumple","No cumple"),"PTE")</f>
        <v>Cumple</v>
      </c>
      <c r="W761" s="25"/>
      <c r="X761" s="29">
        <v>24093</v>
      </c>
      <c r="Y761" s="224"/>
      <c r="Z761" s="28"/>
    </row>
    <row r="762" spans="1:26" hidden="1" x14ac:dyDescent="0.3">
      <c r="A762" s="34">
        <v>45897</v>
      </c>
      <c r="B762" s="7" t="str">
        <f>TEXT(A762,"mmmm")</f>
        <v>agosto</v>
      </c>
      <c r="C762" s="27">
        <v>100096</v>
      </c>
      <c r="D762" s="23" t="s">
        <v>20</v>
      </c>
      <c r="E762" s="193" t="s">
        <v>1414</v>
      </c>
      <c r="F762" s="22" t="s">
        <v>129</v>
      </c>
      <c r="G762" s="32" t="str">
        <f>IFERROR(VLOOKUP(F762,Productos!$A$2:$D$258,2,0)," ")</f>
        <v>Electric Standing Desk  PRO Negro</v>
      </c>
      <c r="H762" s="7">
        <v>1</v>
      </c>
      <c r="I762" s="32" t="str">
        <f>IFERROR(VLOOKUP(F762,Productos!$A$2:$D$258,3,0)," ")</f>
        <v>Standing Desk</v>
      </c>
      <c r="J762" s="190" t="s">
        <v>24</v>
      </c>
      <c r="K762" s="190" t="s">
        <v>27</v>
      </c>
      <c r="L762" s="26" t="str">
        <f t="shared" si="111"/>
        <v>Despachado</v>
      </c>
      <c r="M762" s="56" t="s">
        <v>238</v>
      </c>
      <c r="N762" s="215" t="s">
        <v>1884</v>
      </c>
      <c r="O762" s="150">
        <v>45901</v>
      </c>
      <c r="P762" s="151">
        <v>45902</v>
      </c>
      <c r="Q762" s="24" t="str">
        <f t="shared" si="113"/>
        <v>Entregado</v>
      </c>
      <c r="R762" s="25">
        <f>IF(L762="Despachado",NETWORKDAYS.INTL(A762,O762,11,Valores!$A$2:$A$18)-1,"PTE")</f>
        <v>3</v>
      </c>
      <c r="S762" s="25">
        <f>IF(Q762="Entregado",NETWORKDAYS.INTL(A762,P762,11,Valores!$A$2:$A$18)-1,"PTE")</f>
        <v>4</v>
      </c>
      <c r="T762" s="25"/>
      <c r="U762" s="25"/>
      <c r="V762" s="25" t="str">
        <f>IF(Q762="Entregado",IF(S762&lt;=VLOOKUP(K762,Valores!E:F,2,0),"Cumple","No cumple"),"PTE")</f>
        <v>No cumple</v>
      </c>
      <c r="W762" s="25"/>
      <c r="X762" s="29">
        <v>41593</v>
      </c>
      <c r="Y762" s="224"/>
      <c r="Z762" s="28"/>
    </row>
    <row r="763" spans="1:26" hidden="1" x14ac:dyDescent="0.3">
      <c r="A763" s="34">
        <v>45897</v>
      </c>
      <c r="B763" s="7" t="str">
        <f>TEXT(A763,"mmmm")</f>
        <v>agosto</v>
      </c>
      <c r="C763" s="27">
        <v>100096</v>
      </c>
      <c r="D763" s="23" t="s">
        <v>20</v>
      </c>
      <c r="E763" s="193" t="s">
        <v>1414</v>
      </c>
      <c r="F763" s="22" t="s">
        <v>113</v>
      </c>
      <c r="G763" s="32" t="str">
        <f>IFERROR(VLOOKUP(F763,Productos!$A$2:$D$258,2,0)," ")</f>
        <v>Superficie  Roble Negro 180x70 Moderno</v>
      </c>
      <c r="H763" s="7">
        <v>1</v>
      </c>
      <c r="I763" s="32" t="str">
        <f>IFERROR(VLOOKUP(F763,Productos!$A$2:$D$258,3,0)," ")</f>
        <v>Superficie</v>
      </c>
      <c r="J763" s="190" t="s">
        <v>24</v>
      </c>
      <c r="K763" s="190" t="s">
        <v>27</v>
      </c>
      <c r="L763" s="26" t="str">
        <f t="shared" si="111"/>
        <v>Despachado</v>
      </c>
      <c r="M763" s="56" t="s">
        <v>238</v>
      </c>
      <c r="N763" s="215" t="s">
        <v>1885</v>
      </c>
      <c r="O763" s="150">
        <v>45901</v>
      </c>
      <c r="P763" s="151">
        <v>45902</v>
      </c>
      <c r="Q763" s="24" t="str">
        <f t="shared" si="113"/>
        <v>Entregado</v>
      </c>
      <c r="R763" s="25">
        <f>IF(L763="Despachado",NETWORKDAYS.INTL(A763,O763,11,Valores!$A$2:$A$18)-1,"PTE")</f>
        <v>3</v>
      </c>
      <c r="S763" s="25">
        <f>IF(Q763="Entregado",NETWORKDAYS.INTL(A763,P763,11,Valores!$A$2:$A$18)-1,"PTE")</f>
        <v>4</v>
      </c>
      <c r="T763" s="25"/>
      <c r="U763" s="25"/>
      <c r="V763" s="25" t="str">
        <f>IF(Q763="Entregado",IF(S763&lt;=VLOOKUP(K763,Valores!E:F,2,0),"Cumple","No cumple"),"PTE")</f>
        <v>No cumple</v>
      </c>
      <c r="W763" s="25"/>
      <c r="X763" s="29">
        <v>26749</v>
      </c>
      <c r="Y763" s="224"/>
      <c r="Z763" s="28"/>
    </row>
    <row r="764" spans="1:26" hidden="1" x14ac:dyDescent="0.3">
      <c r="A764" s="34">
        <v>45897</v>
      </c>
      <c r="B764" s="7" t="str">
        <f>TEXT(A764,"mmmm")</f>
        <v>agosto</v>
      </c>
      <c r="C764" s="27">
        <v>100096</v>
      </c>
      <c r="D764" s="23" t="s">
        <v>20</v>
      </c>
      <c r="E764" s="193" t="s">
        <v>1414</v>
      </c>
      <c r="F764" s="22"/>
      <c r="G764" s="32" t="s">
        <v>1796</v>
      </c>
      <c r="H764" s="7"/>
      <c r="I764" s="32" t="s">
        <v>327</v>
      </c>
      <c r="J764" s="190" t="s">
        <v>24</v>
      </c>
      <c r="K764" s="190" t="s">
        <v>27</v>
      </c>
      <c r="L764" s="26" t="str">
        <f t="shared" si="111"/>
        <v>Despachado</v>
      </c>
      <c r="M764" s="56" t="s">
        <v>241</v>
      </c>
      <c r="N764" s="215" t="s">
        <v>241</v>
      </c>
      <c r="O764" s="216" t="s">
        <v>241</v>
      </c>
      <c r="P764" s="217" t="s">
        <v>241</v>
      </c>
      <c r="Q764" s="24" t="str">
        <f t="shared" si="113"/>
        <v>Entregado</v>
      </c>
      <c r="R764" s="25" t="e">
        <f>IF(L764="Despachado",NETWORKDAYS.INTL(A764,O764,11,Valores!$A$2:$A$18)-1,"PTE")</f>
        <v>#VALUE!</v>
      </c>
      <c r="S764" s="25" t="e">
        <f>IF(Q764="Entregado",NETWORKDAYS.INTL(A764,P764,11,Valores!$A$2:$A$18)-1,"PTE")</f>
        <v>#VALUE!</v>
      </c>
      <c r="T764" s="25"/>
      <c r="U764" s="25"/>
      <c r="V764" s="25" t="e">
        <f>IF(Q764="Entregado",IF(S764&lt;=VLOOKUP(K764,Valores!E:F,2,0),"Cumple","No cumple"),"PTE")</f>
        <v>#VALUE!</v>
      </c>
      <c r="W764" s="25"/>
      <c r="X764" s="29"/>
      <c r="Y764" s="224"/>
      <c r="Z764" s="28"/>
    </row>
    <row r="765" spans="1:26" hidden="1" x14ac:dyDescent="0.3">
      <c r="A765" s="34">
        <v>45897</v>
      </c>
      <c r="B765" s="7" t="str">
        <f t="shared" ref="B765:B782" si="114">TEXT(A765,"mmmm")</f>
        <v>agosto</v>
      </c>
      <c r="C765" s="27">
        <v>100097</v>
      </c>
      <c r="D765" s="23" t="s">
        <v>20</v>
      </c>
      <c r="E765" s="193" t="s">
        <v>1415</v>
      </c>
      <c r="F765" s="22" t="s">
        <v>133</v>
      </c>
      <c r="G765" s="32" t="str">
        <f>IFERROR(VLOOKUP(F765,Productos!$A$2:$D$258,2,0)," ")</f>
        <v>Electric Standing Desk  PRO Blanco</v>
      </c>
      <c r="H765" s="7">
        <v>1</v>
      </c>
      <c r="I765" s="32" t="str">
        <f>IFERROR(VLOOKUP(F765,Productos!$A$2:$D$258,3,0)," ")</f>
        <v>Standing Desk</v>
      </c>
      <c r="J765" s="139" t="s">
        <v>21</v>
      </c>
      <c r="K765" s="186" t="s">
        <v>22</v>
      </c>
      <c r="L765" s="26" t="str">
        <f t="shared" si="111"/>
        <v>Despachado</v>
      </c>
      <c r="M765" s="56" t="s">
        <v>238</v>
      </c>
      <c r="N765" s="215" t="s">
        <v>1886</v>
      </c>
      <c r="O765" s="150">
        <v>45901</v>
      </c>
      <c r="P765" s="151">
        <v>45903</v>
      </c>
      <c r="Q765" s="24" t="str">
        <f t="shared" si="113"/>
        <v>Entregado</v>
      </c>
      <c r="R765" s="25">
        <f>IF(L765="Despachado",NETWORKDAYS.INTL(A765,O765,11,Valores!$A$2:$A$18)-1,"PTE")</f>
        <v>3</v>
      </c>
      <c r="S765" s="25">
        <f>IF(Q765="Entregado",NETWORKDAYS.INTL(A765,P765,11,Valores!$A$2:$A$18)-1,"PTE")</f>
        <v>5</v>
      </c>
      <c r="T765" s="25"/>
      <c r="U765" s="25"/>
      <c r="V765" s="25" t="str">
        <f>IF(Q765="Entregado",IF(S765&lt;=VLOOKUP(K765,Valores!E:F,2,0),"Cumple","No cumple"),"PTE")</f>
        <v>No cumple</v>
      </c>
      <c r="W765" s="25"/>
      <c r="X765" s="29">
        <v>43114</v>
      </c>
      <c r="Y765" s="224"/>
      <c r="Z765" s="28"/>
    </row>
    <row r="766" spans="1:26" hidden="1" x14ac:dyDescent="0.3">
      <c r="A766" s="34">
        <v>45897</v>
      </c>
      <c r="B766" s="7" t="str">
        <f t="shared" si="114"/>
        <v>agosto</v>
      </c>
      <c r="C766" s="27">
        <v>100097</v>
      </c>
      <c r="D766" s="23" t="s">
        <v>20</v>
      </c>
      <c r="E766" s="193" t="s">
        <v>1415</v>
      </c>
      <c r="F766" s="22" t="s">
        <v>107</v>
      </c>
      <c r="G766" s="32" t="str">
        <f>IFERROR(VLOOKUP(F766,Productos!$A$2:$D$258,2,0)," ")</f>
        <v>Superficie  Caramelo 120x70 Clasico Small</v>
      </c>
      <c r="H766" s="7">
        <v>1</v>
      </c>
      <c r="I766" s="32" t="str">
        <f>IFERROR(VLOOKUP(F766,Productos!$A$2:$D$258,3,0)," ")</f>
        <v>Superficie</v>
      </c>
      <c r="J766" s="139" t="s">
        <v>21</v>
      </c>
      <c r="K766" s="186" t="s">
        <v>22</v>
      </c>
      <c r="L766" s="26" t="str">
        <f t="shared" si="111"/>
        <v>Despachado</v>
      </c>
      <c r="M766" s="56" t="s">
        <v>238</v>
      </c>
      <c r="N766" s="215" t="s">
        <v>1887</v>
      </c>
      <c r="O766" s="150">
        <v>45901</v>
      </c>
      <c r="P766" s="151">
        <v>45903</v>
      </c>
      <c r="Q766" s="24" t="str">
        <f t="shared" si="113"/>
        <v>Entregado</v>
      </c>
      <c r="R766" s="25">
        <f>IF(L766="Despachado",NETWORKDAYS.INTL(A766,O766,11,Valores!$A$2:$A$18)-1,"PTE")</f>
        <v>3</v>
      </c>
      <c r="S766" s="25">
        <f>IF(Q766="Entregado",NETWORKDAYS.INTL(A766,P766,11,Valores!$A$2:$A$18)-1,"PTE")</f>
        <v>5</v>
      </c>
      <c r="T766" s="25"/>
      <c r="U766" s="25"/>
      <c r="V766" s="25" t="str">
        <f>IF(Q766="Entregado",IF(S766&lt;=VLOOKUP(K766,Valores!E:F,2,0),"Cumple","No cumple"),"PTE")</f>
        <v>No cumple</v>
      </c>
      <c r="W766" s="25"/>
      <c r="X766" s="29">
        <v>25952</v>
      </c>
      <c r="Y766" s="224"/>
      <c r="Z766" s="28"/>
    </row>
    <row r="767" spans="1:26" hidden="1" x14ac:dyDescent="0.3">
      <c r="A767" s="34">
        <v>45897</v>
      </c>
      <c r="B767" s="7" t="str">
        <f t="shared" si="114"/>
        <v>agosto</v>
      </c>
      <c r="C767" s="27">
        <v>100097</v>
      </c>
      <c r="D767" s="23" t="s">
        <v>20</v>
      </c>
      <c r="E767" s="193" t="s">
        <v>1415</v>
      </c>
      <c r="F767" s="22"/>
      <c r="G767" s="32" t="s">
        <v>1796</v>
      </c>
      <c r="H767" s="7">
        <v>1</v>
      </c>
      <c r="I767" s="32" t="s">
        <v>327</v>
      </c>
      <c r="J767" s="139" t="s">
        <v>21</v>
      </c>
      <c r="K767" s="186" t="s">
        <v>22</v>
      </c>
      <c r="L767" s="26" t="str">
        <f t="shared" si="111"/>
        <v>Despachado</v>
      </c>
      <c r="M767" s="56" t="s">
        <v>241</v>
      </c>
      <c r="N767" s="218" t="s">
        <v>241</v>
      </c>
      <c r="O767" s="219" t="s">
        <v>241</v>
      </c>
      <c r="P767" s="220" t="s">
        <v>241</v>
      </c>
      <c r="Q767" s="24" t="str">
        <f t="shared" si="113"/>
        <v>Entregado</v>
      </c>
      <c r="R767" s="25" t="e">
        <f>IF(L767="Despachado",NETWORKDAYS.INTL(A767,O767,11,Valores!$A$2:$A$18)-1,"PTE")</f>
        <v>#VALUE!</v>
      </c>
      <c r="S767" s="25" t="e">
        <f>IF(Q767="Entregado",NETWORKDAYS.INTL(A767,P767,11,Valores!$A$2:$A$18)-1,"PTE")</f>
        <v>#VALUE!</v>
      </c>
      <c r="T767" s="25"/>
      <c r="U767" s="25"/>
      <c r="V767" s="25" t="e">
        <f>IF(Q767="Entregado",IF(S767&lt;=VLOOKUP(K767,Valores!E:F,2,0),"Cumple","No cumple"),"PTE")</f>
        <v>#VALUE!</v>
      </c>
      <c r="W767" s="25"/>
      <c r="X767" s="29"/>
      <c r="Y767" s="224"/>
      <c r="Z767" s="28"/>
    </row>
    <row r="768" spans="1:26" hidden="1" x14ac:dyDescent="0.3">
      <c r="A768" s="34">
        <v>45899</v>
      </c>
      <c r="B768" s="7" t="str">
        <f t="shared" si="114"/>
        <v>agosto</v>
      </c>
      <c r="C768" s="27">
        <v>100098</v>
      </c>
      <c r="D768" s="23" t="s">
        <v>20</v>
      </c>
      <c r="E768" s="193" t="s">
        <v>1415</v>
      </c>
      <c r="F768" s="22" t="s">
        <v>280</v>
      </c>
      <c r="G768" s="32" t="str">
        <f>IFERROR(VLOOKUP(F768,Productos!$A$2:$D$258,2,0)," ")</f>
        <v>Rodachines con freno para Standing desk x 4 UN</v>
      </c>
      <c r="H768" s="7">
        <v>1</v>
      </c>
      <c r="I768" s="32" t="str">
        <f>IFERROR(VLOOKUP(F768,Productos!$A$2:$D$258,3,0)," ")</f>
        <v>Ruedas</v>
      </c>
      <c r="J768" s="139" t="s">
        <v>21</v>
      </c>
      <c r="K768" s="186" t="s">
        <v>22</v>
      </c>
      <c r="L768" s="26" t="str">
        <f t="shared" si="111"/>
        <v>Despachado</v>
      </c>
      <c r="M768" s="56" t="s">
        <v>238</v>
      </c>
      <c r="N768" s="215" t="s">
        <v>1888</v>
      </c>
      <c r="O768" s="150">
        <v>45901</v>
      </c>
      <c r="P768" s="151">
        <v>45902</v>
      </c>
      <c r="Q768" s="24" t="str">
        <f t="shared" si="113"/>
        <v>Entregado</v>
      </c>
      <c r="R768" s="25">
        <f>IF(L768="Despachado",NETWORKDAYS.INTL(A768,O768,11,Valores!$A$2:$A$18)-1,"PTE")</f>
        <v>1</v>
      </c>
      <c r="S768" s="25">
        <f>IF(Q768="Entregado",NETWORKDAYS.INTL(A768,P768,11,Valores!$A$2:$A$18)-1,"PTE")</f>
        <v>2</v>
      </c>
      <c r="T768" s="25"/>
      <c r="U768" s="25"/>
      <c r="V768" s="25" t="str">
        <f>IF(Q768="Entregado",IF(S768&lt;=VLOOKUP(K768,Valores!E:F,2,0),"Cumple","No cumple"),"PTE")</f>
        <v>Cumple</v>
      </c>
      <c r="W768" s="25"/>
      <c r="X768" s="29">
        <v>25671</v>
      </c>
      <c r="Y768" s="224"/>
      <c r="Z768" s="28"/>
    </row>
    <row r="769" spans="1:26" hidden="1" x14ac:dyDescent="0.3">
      <c r="A769" s="34">
        <v>45899</v>
      </c>
      <c r="B769" s="7" t="str">
        <f t="shared" si="114"/>
        <v>agosto</v>
      </c>
      <c r="C769" s="27">
        <v>100099</v>
      </c>
      <c r="D769" s="23" t="s">
        <v>20</v>
      </c>
      <c r="E769" s="193" t="s">
        <v>1416</v>
      </c>
      <c r="F769" s="22" t="s">
        <v>129</v>
      </c>
      <c r="G769" s="32" t="str">
        <f>IFERROR(VLOOKUP(F769,Productos!$A$2:$D$258,2,0)," ")</f>
        <v>Electric Standing Desk  PRO Negro</v>
      </c>
      <c r="H769" s="7">
        <v>1</v>
      </c>
      <c r="I769" s="32" t="str">
        <f>IFERROR(VLOOKUP(F769,Productos!$A$2:$D$258,3,0)," ")</f>
        <v>Standing Desk</v>
      </c>
      <c r="J769" s="190" t="s">
        <v>24</v>
      </c>
      <c r="K769" s="190" t="s">
        <v>27</v>
      </c>
      <c r="L769" s="26" t="str">
        <f t="shared" ref="L769:L775" si="115">IF(O769&gt;0,"Despachado","En alistamiento")</f>
        <v>Despachado</v>
      </c>
      <c r="M769" s="56" t="s">
        <v>238</v>
      </c>
      <c r="N769" s="215" t="s">
        <v>1889</v>
      </c>
      <c r="O769" s="150">
        <v>45901</v>
      </c>
      <c r="P769" s="151">
        <v>45902</v>
      </c>
      <c r="Q769" s="24" t="str">
        <f t="shared" ref="Q769:Q775" si="116">IF(P769&gt;0,"Entregado","En transito")</f>
        <v>Entregado</v>
      </c>
      <c r="R769" s="25">
        <f>IF(L769="Despachado",NETWORKDAYS.INTL(A769,O769,11,Valores!$A$2:$A$18)-1,"PTE")</f>
        <v>1</v>
      </c>
      <c r="S769" s="25">
        <f>IF(Q769="Entregado",NETWORKDAYS.INTL(A769,P769,11,Valores!$A$2:$A$18)-1,"PTE")</f>
        <v>2</v>
      </c>
      <c r="T769" s="25"/>
      <c r="U769" s="25"/>
      <c r="V769" s="25" t="str">
        <f>IF(Q769="Entregado",IF(S769&lt;=VLOOKUP(K769,Valores!E:F,2,0),"Cumple","No cumple"),"PTE")</f>
        <v>Cumple</v>
      </c>
      <c r="W769" s="25"/>
      <c r="X769" s="29">
        <v>41593</v>
      </c>
      <c r="Y769" s="224"/>
      <c r="Z769" s="28"/>
    </row>
    <row r="770" spans="1:26" hidden="1" x14ac:dyDescent="0.3">
      <c r="A770" s="34">
        <v>45899</v>
      </c>
      <c r="B770" s="7" t="str">
        <f t="shared" si="114"/>
        <v>agosto</v>
      </c>
      <c r="C770" s="27">
        <v>100099</v>
      </c>
      <c r="D770" s="23" t="s">
        <v>20</v>
      </c>
      <c r="E770" s="193" t="s">
        <v>1416</v>
      </c>
      <c r="F770" s="22" t="s">
        <v>258</v>
      </c>
      <c r="G770" s="32" t="str">
        <f>IFERROR(VLOOKUP(F770,Productos!$A$2:$D$258,2,0)," ")</f>
        <v>Superficie  Caramelo 160x70 Moderno</v>
      </c>
      <c r="H770" s="7">
        <v>1</v>
      </c>
      <c r="I770" s="32" t="str">
        <f>IFERROR(VLOOKUP(F770,Productos!$A$2:$D$258,3,0)," ")</f>
        <v>Superficie</v>
      </c>
      <c r="J770" s="190" t="s">
        <v>24</v>
      </c>
      <c r="K770" s="190" t="s">
        <v>27</v>
      </c>
      <c r="L770" s="26" t="str">
        <f t="shared" si="115"/>
        <v>Despachado</v>
      </c>
      <c r="M770" s="56" t="s">
        <v>238</v>
      </c>
      <c r="N770" s="215" t="s">
        <v>1890</v>
      </c>
      <c r="O770" s="150">
        <v>45901</v>
      </c>
      <c r="P770" s="151">
        <v>45902</v>
      </c>
      <c r="Q770" s="24" t="str">
        <f t="shared" si="116"/>
        <v>Entregado</v>
      </c>
      <c r="R770" s="25">
        <f>IF(L770="Despachado",NETWORKDAYS.INTL(A770,O770,11,Valores!$A$2:$A$18)-1,"PTE")</f>
        <v>1</v>
      </c>
      <c r="S770" s="25">
        <f>IF(Q770="Entregado",NETWORKDAYS.INTL(A770,P770,11,Valores!$A$2:$A$18)-1,"PTE")</f>
        <v>2</v>
      </c>
      <c r="T770" s="25"/>
      <c r="U770" s="25"/>
      <c r="V770" s="25" t="str">
        <f>IF(Q770="Entregado",IF(S770&lt;=VLOOKUP(K770,Valores!E:F,2,0),"Cumple","No cumple"),"PTE")</f>
        <v>Cumple</v>
      </c>
      <c r="W770" s="25"/>
      <c r="X770" s="29">
        <v>24093</v>
      </c>
      <c r="Y770" s="224"/>
      <c r="Z770" s="28"/>
    </row>
    <row r="771" spans="1:26" hidden="1" x14ac:dyDescent="0.3">
      <c r="A771" s="34">
        <v>45899</v>
      </c>
      <c r="B771" s="7" t="str">
        <f t="shared" si="114"/>
        <v>agosto</v>
      </c>
      <c r="C771" s="27">
        <v>100099</v>
      </c>
      <c r="D771" s="23" t="s">
        <v>20</v>
      </c>
      <c r="E771" s="193" t="s">
        <v>1416</v>
      </c>
      <c r="F771" s="22" t="s">
        <v>129</v>
      </c>
      <c r="G771" s="32" t="str">
        <f>IFERROR(VLOOKUP(F771,Productos!$A$2:$D$258,2,0)," ")</f>
        <v>Electric Standing Desk  PRO Negro</v>
      </c>
      <c r="H771" s="7">
        <v>1</v>
      </c>
      <c r="I771" s="32" t="str">
        <f>IFERROR(VLOOKUP(F771,Productos!$A$2:$D$258,3,0)," ")</f>
        <v>Standing Desk</v>
      </c>
      <c r="J771" s="190" t="s">
        <v>24</v>
      </c>
      <c r="K771" s="190" t="s">
        <v>27</v>
      </c>
      <c r="L771" s="26" t="str">
        <f t="shared" si="115"/>
        <v>Despachado</v>
      </c>
      <c r="M771" s="56" t="s">
        <v>238</v>
      </c>
      <c r="N771" s="215" t="s">
        <v>1891</v>
      </c>
      <c r="O771" s="150">
        <v>45901</v>
      </c>
      <c r="P771" s="151">
        <v>45902</v>
      </c>
      <c r="Q771" s="24" t="str">
        <f t="shared" si="116"/>
        <v>Entregado</v>
      </c>
      <c r="R771" s="25">
        <f>IF(L771="Despachado",NETWORKDAYS.INTL(A771,O771,11,Valores!$A$2:$A$18)-1,"PTE")</f>
        <v>1</v>
      </c>
      <c r="S771" s="25">
        <f>IF(Q771="Entregado",NETWORKDAYS.INTL(A771,P771,11,Valores!$A$2:$A$18)-1,"PTE")</f>
        <v>2</v>
      </c>
      <c r="T771" s="25"/>
      <c r="U771" s="25"/>
      <c r="V771" s="25" t="str">
        <f>IF(Q771="Entregado",IF(S771&lt;=VLOOKUP(K771,Valores!E:F,2,0),"Cumple","No cumple"),"PTE")</f>
        <v>Cumple</v>
      </c>
      <c r="W771" s="25"/>
      <c r="X771" s="29">
        <v>41593</v>
      </c>
      <c r="Y771" s="224"/>
      <c r="Z771" s="28"/>
    </row>
    <row r="772" spans="1:26" hidden="1" x14ac:dyDescent="0.3">
      <c r="A772" s="34">
        <v>45899</v>
      </c>
      <c r="B772" s="7" t="str">
        <f t="shared" si="114"/>
        <v>agosto</v>
      </c>
      <c r="C772" s="27">
        <v>100099</v>
      </c>
      <c r="D772" s="23" t="s">
        <v>20</v>
      </c>
      <c r="E772" s="193" t="s">
        <v>1416</v>
      </c>
      <c r="F772" s="22" t="s">
        <v>59</v>
      </c>
      <c r="G772" s="32" t="str">
        <f>IFERROR(VLOOKUP(F772,Productos!$A$2:$D$258,2,0)," ")</f>
        <v>Superficie Caramelo 150x70 Moderno</v>
      </c>
      <c r="H772" s="7">
        <v>1</v>
      </c>
      <c r="I772" s="32" t="str">
        <f>IFERROR(VLOOKUP(F772,Productos!$A$2:$D$258,3,0)," ")</f>
        <v>Superficie</v>
      </c>
      <c r="J772" s="190" t="s">
        <v>24</v>
      </c>
      <c r="K772" s="190" t="s">
        <v>27</v>
      </c>
      <c r="L772" s="26" t="str">
        <f t="shared" si="115"/>
        <v>Despachado</v>
      </c>
      <c r="M772" s="56" t="s">
        <v>238</v>
      </c>
      <c r="N772" s="215" t="s">
        <v>1892</v>
      </c>
      <c r="O772" s="150">
        <v>45901</v>
      </c>
      <c r="P772" s="151">
        <v>45902</v>
      </c>
      <c r="Q772" s="24" t="str">
        <f t="shared" si="116"/>
        <v>Entregado</v>
      </c>
      <c r="R772" s="25">
        <f>IF(L772="Despachado",NETWORKDAYS.INTL(A772,O772,11,Valores!$A$2:$A$18)-1,"PTE")</f>
        <v>1</v>
      </c>
      <c r="S772" s="25">
        <f>IF(Q772="Entregado",NETWORKDAYS.INTL(A772,P772,11,Valores!$A$2:$A$18)-1,"PTE")</f>
        <v>2</v>
      </c>
      <c r="T772" s="25"/>
      <c r="U772" s="25"/>
      <c r="V772" s="25" t="str">
        <f>IF(Q772="Entregado",IF(S772&lt;=VLOOKUP(K772,Valores!E:F,2,0),"Cumple","No cumple"),"PTE")</f>
        <v>Cumple</v>
      </c>
      <c r="W772" s="25"/>
      <c r="X772" s="29">
        <v>24093</v>
      </c>
      <c r="Y772" s="224"/>
      <c r="Z772" s="28"/>
    </row>
    <row r="773" spans="1:26" hidden="1" x14ac:dyDescent="0.3">
      <c r="A773" s="34">
        <v>45899</v>
      </c>
      <c r="B773" s="7" t="str">
        <f t="shared" si="114"/>
        <v>agosto</v>
      </c>
      <c r="C773" s="27">
        <v>100099</v>
      </c>
      <c r="D773" s="23" t="s">
        <v>20</v>
      </c>
      <c r="E773" s="193" t="s">
        <v>1416</v>
      </c>
      <c r="F773" s="22" t="s">
        <v>240</v>
      </c>
      <c r="G773" s="32" t="str">
        <f>IFERROR(VLOOKUP(F773,Productos!$A$2:$D$258,2,0)," ")</f>
        <v>Bandeja de cables</v>
      </c>
      <c r="H773" s="7">
        <v>1</v>
      </c>
      <c r="I773" s="32" t="str">
        <f>IFERROR(VLOOKUP(F773,Productos!$A$2:$D$258,3,0)," ")</f>
        <v>Accesorio</v>
      </c>
      <c r="J773" s="190" t="s">
        <v>24</v>
      </c>
      <c r="K773" s="190" t="s">
        <v>27</v>
      </c>
      <c r="L773" s="26" t="str">
        <f t="shared" si="115"/>
        <v>Despachado</v>
      </c>
      <c r="M773" s="56" t="s">
        <v>238</v>
      </c>
      <c r="N773" s="215" t="s">
        <v>1893</v>
      </c>
      <c r="O773" s="150">
        <v>45901</v>
      </c>
      <c r="P773" s="151">
        <v>45902</v>
      </c>
      <c r="Q773" s="24" t="str">
        <f t="shared" si="116"/>
        <v>Entregado</v>
      </c>
      <c r="R773" s="25">
        <f>IF(L773="Despachado",NETWORKDAYS.INTL(A773,O773,11,Valores!$A$2:$A$18)-1,"PTE")</f>
        <v>1</v>
      </c>
      <c r="S773" s="25">
        <f>IF(Q773="Entregado",NETWORKDAYS.INTL(A773,P773,11,Valores!$A$2:$A$18)-1,"PTE")</f>
        <v>2</v>
      </c>
      <c r="T773" s="25"/>
      <c r="U773" s="25"/>
      <c r="V773" s="25" t="str">
        <f>IF(Q773="Entregado",IF(S773&lt;=VLOOKUP(K773,Valores!E:F,2,0),"Cumple","No cumple"),"PTE")</f>
        <v>Cumple</v>
      </c>
      <c r="W773" s="25"/>
      <c r="X773" s="29">
        <v>24885</v>
      </c>
      <c r="Y773" s="224"/>
      <c r="Z773" s="28"/>
    </row>
    <row r="774" spans="1:26" hidden="1" x14ac:dyDescent="0.3">
      <c r="A774" s="34">
        <v>45899</v>
      </c>
      <c r="B774" s="7" t="str">
        <f t="shared" ref="B774" si="117">TEXT(A774,"mmmm")</f>
        <v>agosto</v>
      </c>
      <c r="C774" s="27">
        <v>100099</v>
      </c>
      <c r="D774" s="23" t="s">
        <v>20</v>
      </c>
      <c r="E774" s="193" t="s">
        <v>1416</v>
      </c>
      <c r="F774" s="22" t="s">
        <v>240</v>
      </c>
      <c r="G774" s="32" t="str">
        <f>IFERROR(VLOOKUP(F774,Productos!$A$2:$D$258,2,0)," ")</f>
        <v>Bandeja de cables</v>
      </c>
      <c r="H774" s="7">
        <v>1</v>
      </c>
      <c r="I774" s="32" t="str">
        <f>IFERROR(VLOOKUP(F774,Productos!$A$2:$D$258,3,0)," ")</f>
        <v>Accesorio</v>
      </c>
      <c r="J774" s="190" t="s">
        <v>24</v>
      </c>
      <c r="K774" s="190" t="s">
        <v>27</v>
      </c>
      <c r="L774" s="26" t="str">
        <f t="shared" ref="L774" si="118">IF(O774&gt;0,"Despachado","En alistamiento")</f>
        <v>Despachado</v>
      </c>
      <c r="M774" s="56" t="s">
        <v>238</v>
      </c>
      <c r="N774" s="215" t="s">
        <v>1894</v>
      </c>
      <c r="O774" s="150">
        <v>45901</v>
      </c>
      <c r="P774" s="151">
        <v>45902</v>
      </c>
      <c r="Q774" s="24" t="str">
        <f t="shared" ref="Q774" si="119">IF(P774&gt;0,"Entregado","En transito")</f>
        <v>Entregado</v>
      </c>
      <c r="R774" s="25">
        <f>IF(L774="Despachado",NETWORKDAYS.INTL(A774,O774,11,Valores!$A$2:$A$18)-1,"PTE")</f>
        <v>1</v>
      </c>
      <c r="S774" s="25">
        <f>IF(Q774="Entregado",NETWORKDAYS.INTL(A774,P774,11,Valores!$A$2:$A$18)-1,"PTE")</f>
        <v>2</v>
      </c>
      <c r="T774" s="25"/>
      <c r="U774" s="25"/>
      <c r="V774" s="25" t="str">
        <f>IF(Q774="Entregado",IF(S774&lt;=VLOOKUP(K774,Valores!E:F,2,0),"Cumple","No cumple"),"PTE")</f>
        <v>Cumple</v>
      </c>
      <c r="W774" s="25"/>
      <c r="X774" s="29">
        <v>24885</v>
      </c>
      <c r="Y774" s="224"/>
      <c r="Z774" s="28"/>
    </row>
    <row r="775" spans="1:26" hidden="1" x14ac:dyDescent="0.3">
      <c r="A775" s="34">
        <v>45899</v>
      </c>
      <c r="B775" s="7" t="str">
        <f t="shared" si="114"/>
        <v>agosto</v>
      </c>
      <c r="C775" s="27">
        <v>100099</v>
      </c>
      <c r="D775" s="23" t="s">
        <v>20</v>
      </c>
      <c r="E775" s="193" t="s">
        <v>1416</v>
      </c>
      <c r="F775" s="22" t="s">
        <v>83</v>
      </c>
      <c r="G775" s="32" t="str">
        <f>IFERROR(VLOOKUP(F775,Productos!$A$2:$D$258,2,0)," ")</f>
        <v>Desk Pad B Negro Azul</v>
      </c>
      <c r="H775" s="7">
        <v>1</v>
      </c>
      <c r="I775" s="32" t="str">
        <f>IFERROR(VLOOKUP(F775,Productos!$A$2:$D$258,3,0)," ")</f>
        <v>Accesorio</v>
      </c>
      <c r="J775" s="190" t="s">
        <v>24</v>
      </c>
      <c r="K775" s="190" t="s">
        <v>27</v>
      </c>
      <c r="L775" s="26" t="str">
        <f t="shared" si="115"/>
        <v>Despachado</v>
      </c>
      <c r="M775" s="56" t="s">
        <v>238</v>
      </c>
      <c r="N775" s="215" t="s">
        <v>1895</v>
      </c>
      <c r="O775" s="150">
        <v>45901</v>
      </c>
      <c r="P775" s="151">
        <v>45902</v>
      </c>
      <c r="Q775" s="24" t="str">
        <f t="shared" si="116"/>
        <v>Entregado</v>
      </c>
      <c r="R775" s="25">
        <f>IF(L775="Despachado",NETWORKDAYS.INTL(A775,O775,11,Valores!$A$2:$A$18)-1,"PTE")</f>
        <v>1</v>
      </c>
      <c r="S775" s="25">
        <f>IF(Q775="Entregado",NETWORKDAYS.INTL(A775,P775,11,Valores!$A$2:$A$18)-1,"PTE")</f>
        <v>2</v>
      </c>
      <c r="T775" s="25"/>
      <c r="U775" s="25"/>
      <c r="V775" s="25" t="str">
        <f>IF(Q775="Entregado",IF(S775&lt;=VLOOKUP(K775,Valores!E:F,2,0),"Cumple","No cumple"),"PTE")</f>
        <v>Cumple</v>
      </c>
      <c r="W775" s="25"/>
      <c r="X775" s="29">
        <v>16617</v>
      </c>
      <c r="Y775" s="224"/>
      <c r="Z775" s="28"/>
    </row>
    <row r="776" spans="1:26" hidden="1" x14ac:dyDescent="0.3">
      <c r="A776" s="34">
        <v>45899</v>
      </c>
      <c r="B776" s="7" t="str">
        <f t="shared" ref="B776" si="120">TEXT(A776,"mmmm")</f>
        <v>agosto</v>
      </c>
      <c r="C776" s="27">
        <v>100099</v>
      </c>
      <c r="D776" s="23" t="s">
        <v>20</v>
      </c>
      <c r="E776" s="193" t="s">
        <v>1416</v>
      </c>
      <c r="F776" s="22" t="s">
        <v>83</v>
      </c>
      <c r="G776" s="32" t="str">
        <f>IFERROR(VLOOKUP(F776,Productos!$A$2:$D$258,2,0)," ")</f>
        <v>Desk Pad B Negro Azul</v>
      </c>
      <c r="H776" s="7">
        <v>1</v>
      </c>
      <c r="I776" s="32" t="str">
        <f>IFERROR(VLOOKUP(F776,Productos!$A$2:$D$258,3,0)," ")</f>
        <v>Accesorio</v>
      </c>
      <c r="J776" s="190" t="s">
        <v>24</v>
      </c>
      <c r="K776" s="190" t="s">
        <v>27</v>
      </c>
      <c r="L776" s="26" t="str">
        <f t="shared" ref="L776" si="121">IF(O776&gt;0,"Despachado","En alistamiento")</f>
        <v>Despachado</v>
      </c>
      <c r="M776" s="56" t="s">
        <v>238</v>
      </c>
      <c r="N776" s="215" t="s">
        <v>1896</v>
      </c>
      <c r="O776" s="150">
        <v>45901</v>
      </c>
      <c r="P776" s="151">
        <v>45902</v>
      </c>
      <c r="Q776" s="24" t="str">
        <f t="shared" ref="Q776" si="122">IF(P776&gt;0,"Entregado","En transito")</f>
        <v>Entregado</v>
      </c>
      <c r="R776" s="25">
        <f>IF(L776="Despachado",NETWORKDAYS.INTL(A776,O776,11,Valores!$A$2:$A$18)-1,"PTE")</f>
        <v>1</v>
      </c>
      <c r="S776" s="25">
        <f>IF(Q776="Entregado",NETWORKDAYS.INTL(A776,P776,11,Valores!$A$2:$A$18)-1,"PTE")</f>
        <v>2</v>
      </c>
      <c r="T776" s="25"/>
      <c r="U776" s="25"/>
      <c r="V776" s="25" t="str">
        <f>IF(Q776="Entregado",IF(S776&lt;=VLOOKUP(K776,Valores!E:F,2,0),"Cumple","No cumple"),"PTE")</f>
        <v>Cumple</v>
      </c>
      <c r="W776" s="25"/>
      <c r="X776" s="29">
        <v>16617</v>
      </c>
      <c r="Y776" s="224"/>
      <c r="Z776" s="28"/>
    </row>
    <row r="777" spans="1:26" hidden="1" x14ac:dyDescent="0.3">
      <c r="A777" s="34">
        <v>45901</v>
      </c>
      <c r="B777" s="7" t="str">
        <f t="shared" si="114"/>
        <v>septiembre</v>
      </c>
      <c r="C777" s="27">
        <v>100102</v>
      </c>
      <c r="D777" s="23" t="s">
        <v>20</v>
      </c>
      <c r="E777" s="193" t="s">
        <v>1417</v>
      </c>
      <c r="F777" s="22" t="s">
        <v>129</v>
      </c>
      <c r="G777" s="32" t="str">
        <f>IFERROR(VLOOKUP(F777,Productos!$A$2:$D$258,2,0)," ")</f>
        <v>Electric Standing Desk  PRO Negro</v>
      </c>
      <c r="H777" s="7">
        <v>1</v>
      </c>
      <c r="I777" s="32" t="str">
        <f>IFERROR(VLOOKUP(F777,Productos!$A$2:$D$258,3,0)," ")</f>
        <v>Standing Desk</v>
      </c>
      <c r="J777" s="139" t="s">
        <v>21</v>
      </c>
      <c r="K777" s="190" t="s">
        <v>205</v>
      </c>
      <c r="L777" s="26" t="str">
        <f t="shared" ref="L777:L796" si="123">IF(O777&gt;0,"Despachado","En alistamiento")</f>
        <v>Despachado</v>
      </c>
      <c r="M777" s="56" t="s">
        <v>238</v>
      </c>
      <c r="N777" s="215" t="s">
        <v>1897</v>
      </c>
      <c r="O777" s="150">
        <v>45903</v>
      </c>
      <c r="P777" s="151">
        <v>45905</v>
      </c>
      <c r="Q777" s="24" t="str">
        <f t="shared" ref="Q777:Q778" si="124">IF(P777&gt;0,"Entregado","En transito")</f>
        <v>Entregado</v>
      </c>
      <c r="R777" s="25">
        <f>IF(L777="Despachado",NETWORKDAYS.INTL(A777,O777,11,Valores!$A$2:$A$18)-1,"PTE")</f>
        <v>2</v>
      </c>
      <c r="S777" s="25">
        <f>IF(Q777="Entregado",NETWORKDAYS.INTL(A777,P777,11,Valores!$A$2:$A$18)-1,"PTE")</f>
        <v>4</v>
      </c>
      <c r="T777" s="25"/>
      <c r="U777" s="25"/>
      <c r="V777" s="25" t="str">
        <f>IF(Q777="Entregado",IF(S777&lt;=VLOOKUP(K777,Valores!E:F,2,0),"Cumple","No cumple"),"PTE")</f>
        <v>Cumple</v>
      </c>
      <c r="W777" s="25"/>
      <c r="X777" s="29">
        <v>62759</v>
      </c>
      <c r="Y777" s="224"/>
      <c r="Z777" s="28"/>
    </row>
    <row r="778" spans="1:26" hidden="1" x14ac:dyDescent="0.3">
      <c r="A778" s="34">
        <v>45901</v>
      </c>
      <c r="B778" s="7" t="str">
        <f t="shared" si="114"/>
        <v>septiembre</v>
      </c>
      <c r="C778" s="27">
        <v>100102</v>
      </c>
      <c r="D778" s="23" t="s">
        <v>20</v>
      </c>
      <c r="E778" s="193" t="s">
        <v>1417</v>
      </c>
      <c r="F778" s="22" t="s">
        <v>156</v>
      </c>
      <c r="G778" s="32" t="str">
        <f>IFERROR(VLOOKUP(F778,Productos!$A$2:$D$258,2,0)," ")</f>
        <v>Superficie  Roble Negro 170x70 Clasico</v>
      </c>
      <c r="H778" s="7">
        <v>1</v>
      </c>
      <c r="I778" s="32" t="str">
        <f>IFERROR(VLOOKUP(F778,Productos!$A$2:$D$258,3,0)," ")</f>
        <v>Superficie</v>
      </c>
      <c r="J778" s="139" t="s">
        <v>21</v>
      </c>
      <c r="K778" s="190" t="s">
        <v>205</v>
      </c>
      <c r="L778" s="26" t="str">
        <f t="shared" si="123"/>
        <v>Despachado</v>
      </c>
      <c r="M778" s="56" t="s">
        <v>238</v>
      </c>
      <c r="N778" s="215" t="s">
        <v>1898</v>
      </c>
      <c r="O778" s="150">
        <v>45903</v>
      </c>
      <c r="P778" s="151">
        <v>45905</v>
      </c>
      <c r="Q778" s="24" t="str">
        <f t="shared" si="124"/>
        <v>Entregado</v>
      </c>
      <c r="R778" s="25">
        <f>IF(L778="Despachado",NETWORKDAYS.INTL(A778,O778,11,Valores!$A$2:$A$18)-1,"PTE")</f>
        <v>2</v>
      </c>
      <c r="S778" s="25">
        <f>IF(Q778="Entregado",NETWORKDAYS.INTL(A778,P778,11,Valores!$A$2:$A$18)-1,"PTE")</f>
        <v>4</v>
      </c>
      <c r="T778" s="25"/>
      <c r="U778" s="25"/>
      <c r="V778" s="25" t="str">
        <f>IF(Q778="Entregado",IF(S778&lt;=VLOOKUP(K778,Valores!E:F,2,0),"Cumple","No cumple"),"PTE")</f>
        <v>Cumple</v>
      </c>
      <c r="W778" s="25"/>
      <c r="X778" s="29">
        <v>110011</v>
      </c>
      <c r="Y778" s="224"/>
      <c r="Z778" s="28"/>
    </row>
    <row r="779" spans="1:26" hidden="1" x14ac:dyDescent="0.3">
      <c r="A779" s="34">
        <v>45902</v>
      </c>
      <c r="B779" s="7" t="str">
        <f t="shared" si="114"/>
        <v>septiembre</v>
      </c>
      <c r="C779" s="27">
        <v>100103</v>
      </c>
      <c r="D779" s="23" t="s">
        <v>20</v>
      </c>
      <c r="E779" s="193" t="s">
        <v>1418</v>
      </c>
      <c r="F779" s="22" t="s">
        <v>133</v>
      </c>
      <c r="G779" s="32" t="str">
        <f>IFERROR(VLOOKUP(F779,Productos!$A$2:$D$258,2,0)," ")</f>
        <v>Electric Standing Desk  PRO Blanco</v>
      </c>
      <c r="H779" s="7">
        <v>1</v>
      </c>
      <c r="I779" s="32" t="str">
        <f>IFERROR(VLOOKUP(F779,Productos!$A$2:$D$258,3,0)," ")</f>
        <v>Standing Desk</v>
      </c>
      <c r="J779" s="139" t="s">
        <v>21</v>
      </c>
      <c r="K779" s="190" t="s">
        <v>22</v>
      </c>
      <c r="L779" s="26" t="str">
        <f t="shared" si="123"/>
        <v>En alistamiento</v>
      </c>
      <c r="M779" s="56" t="s">
        <v>238</v>
      </c>
      <c r="N779" s="139"/>
      <c r="O779" s="150"/>
      <c r="P779" s="151"/>
      <c r="Q779" s="24" t="str">
        <f t="shared" ref="Q779:Q842" si="125">IF(P779&gt;0,"Entregado","En transito")</f>
        <v>En transito</v>
      </c>
      <c r="R779" s="25" t="str">
        <f>IF(L779="Despachado",NETWORKDAYS.INTL(A779,O779,11,Valores!$A$2:$A$18)-1,"PTE")</f>
        <v>PTE</v>
      </c>
      <c r="S779" s="25" t="str">
        <f>IF(Q779="Entregado",NETWORKDAYS.INTL(A779,P779,11,Valores!$A$2:$A$18)-1,"PTE")</f>
        <v>PTE</v>
      </c>
      <c r="T779" s="25"/>
      <c r="U779" s="25"/>
      <c r="V779" s="25" t="str">
        <f>IF(Q779="Entregado",IF(S779&lt;=VLOOKUP(K779,Valores!E:F,2,0),"Cumple","No cumple"),"PTE")</f>
        <v>PTE</v>
      </c>
      <c r="W779" s="25"/>
      <c r="X779" s="29"/>
      <c r="Y779" s="224"/>
      <c r="Z779" s="28"/>
    </row>
    <row r="780" spans="1:26" hidden="1" x14ac:dyDescent="0.3">
      <c r="A780" s="34">
        <v>45902</v>
      </c>
      <c r="B780" s="7" t="str">
        <f t="shared" si="114"/>
        <v>septiembre</v>
      </c>
      <c r="C780" s="27">
        <v>100103</v>
      </c>
      <c r="D780" s="23" t="s">
        <v>20</v>
      </c>
      <c r="E780" s="193" t="s">
        <v>1418</v>
      </c>
      <c r="F780" s="22" t="s">
        <v>108</v>
      </c>
      <c r="G780" s="32" t="str">
        <f>IFERROR(VLOOKUP(F780,Productos!$A$2:$D$258,2,0)," ")</f>
        <v>Superficie Niebla 120x70 Clasico Small</v>
      </c>
      <c r="H780" s="7">
        <v>1</v>
      </c>
      <c r="I780" s="32" t="str">
        <f>IFERROR(VLOOKUP(F780,Productos!$A$2:$D$258,3,0)," ")</f>
        <v>Superficie</v>
      </c>
      <c r="J780" s="139" t="s">
        <v>21</v>
      </c>
      <c r="K780" s="190" t="s">
        <v>22</v>
      </c>
      <c r="L780" s="26" t="str">
        <f t="shared" si="123"/>
        <v>En alistamiento</v>
      </c>
      <c r="M780" s="56" t="s">
        <v>238</v>
      </c>
      <c r="N780" s="139"/>
      <c r="O780" s="150"/>
      <c r="P780" s="151"/>
      <c r="Q780" s="24" t="str">
        <f t="shared" si="125"/>
        <v>En transito</v>
      </c>
      <c r="R780" s="25" t="str">
        <f>IF(L780="Despachado",NETWORKDAYS.INTL(A780,O780,11,Valores!$A$2:$A$18)-1,"PTE")</f>
        <v>PTE</v>
      </c>
      <c r="S780" s="25" t="str">
        <f>IF(Q780="Entregado",NETWORKDAYS.INTL(A780,P780,11,Valores!$A$2:$A$18)-1,"PTE")</f>
        <v>PTE</v>
      </c>
      <c r="T780" s="25"/>
      <c r="U780" s="25"/>
      <c r="V780" s="25" t="str">
        <f>IF(Q780="Entregado",IF(S780&lt;=VLOOKUP(K780,Valores!E:F,2,0),"Cumple","No cumple"),"PTE")</f>
        <v>PTE</v>
      </c>
      <c r="W780" s="25"/>
      <c r="X780" s="29"/>
      <c r="Y780" s="224"/>
      <c r="Z780" s="28"/>
    </row>
    <row r="781" spans="1:26" hidden="1" x14ac:dyDescent="0.3">
      <c r="A781" s="34">
        <v>45903</v>
      </c>
      <c r="B781" s="7" t="str">
        <f t="shared" si="114"/>
        <v>septiembre</v>
      </c>
      <c r="C781" s="27">
        <v>100104</v>
      </c>
      <c r="D781" s="23" t="s">
        <v>20</v>
      </c>
      <c r="E781" s="193" t="s">
        <v>1419</v>
      </c>
      <c r="F781" s="22" t="s">
        <v>730</v>
      </c>
      <c r="G781" s="32" t="str">
        <f>IFERROR(VLOOKUP(F781,Productos!$A$2:$D$258,2,0)," ")</f>
        <v>Electric Standing Desk  PRO Blanco circular</v>
      </c>
      <c r="H781" s="7">
        <v>1</v>
      </c>
      <c r="I781" s="32" t="str">
        <f>IFERROR(VLOOKUP(F781,Productos!$A$2:$D$258,3,0)," ")</f>
        <v>Standing Desk</v>
      </c>
      <c r="J781" s="139" t="s">
        <v>21</v>
      </c>
      <c r="K781" s="190" t="s">
        <v>22</v>
      </c>
      <c r="L781" s="26" t="str">
        <f t="shared" si="123"/>
        <v>En alistamiento</v>
      </c>
      <c r="M781" s="56" t="s">
        <v>238</v>
      </c>
      <c r="N781" s="139"/>
      <c r="O781" s="150"/>
      <c r="P781" s="151"/>
      <c r="Q781" s="24" t="str">
        <f t="shared" si="125"/>
        <v>En transito</v>
      </c>
      <c r="R781" s="25" t="str">
        <f>IF(L781="Despachado",NETWORKDAYS.INTL(A781,O781,11,Valores!$A$2:$A$18)-1,"PTE")</f>
        <v>PTE</v>
      </c>
      <c r="S781" s="25" t="str">
        <f>IF(Q781="Entregado",NETWORKDAYS.INTL(A781,P781,11,Valores!$A$2:$A$18)-1,"PTE")</f>
        <v>PTE</v>
      </c>
      <c r="T781" s="25"/>
      <c r="U781" s="25"/>
      <c r="V781" s="25" t="str">
        <f>IF(Q781="Entregado",IF(S781&lt;=VLOOKUP(K781,Valores!E:F,2,0),"Cumple","No cumple"),"PTE")</f>
        <v>PTE</v>
      </c>
      <c r="W781" s="25"/>
      <c r="X781" s="29"/>
      <c r="Y781" s="224"/>
      <c r="Z781" s="28"/>
    </row>
    <row r="782" spans="1:26" hidden="1" x14ac:dyDescent="0.3">
      <c r="A782" s="34">
        <v>45903</v>
      </c>
      <c r="B782" s="7" t="str">
        <f t="shared" si="114"/>
        <v>septiembre</v>
      </c>
      <c r="C782" s="27">
        <v>100104</v>
      </c>
      <c r="D782" s="23" t="s">
        <v>20</v>
      </c>
      <c r="E782" s="193" t="s">
        <v>1419</v>
      </c>
      <c r="F782" s="22" t="s">
        <v>306</v>
      </c>
      <c r="G782" s="32" t="str">
        <f>IFERROR(VLOOKUP(F782,Productos!$A$2:$D$258,2,0)," ")</f>
        <v>Superficie  Fresno Europeo 170x70 Clasico</v>
      </c>
      <c r="H782" s="7">
        <v>1</v>
      </c>
      <c r="I782" s="32" t="str">
        <f>IFERROR(VLOOKUP(F782,Productos!$A$2:$D$258,3,0)," ")</f>
        <v>Superficie</v>
      </c>
      <c r="J782" s="139" t="s">
        <v>21</v>
      </c>
      <c r="K782" s="190" t="s">
        <v>22</v>
      </c>
      <c r="L782" s="26" t="str">
        <f t="shared" si="123"/>
        <v>En alistamiento</v>
      </c>
      <c r="M782" s="56" t="s">
        <v>238</v>
      </c>
      <c r="N782" s="139"/>
      <c r="O782" s="150"/>
      <c r="P782" s="151"/>
      <c r="Q782" s="24" t="str">
        <f t="shared" si="125"/>
        <v>En transito</v>
      </c>
      <c r="R782" s="25" t="str">
        <f>IF(L782="Despachado",NETWORKDAYS.INTL(A782,O782,11,Valores!$A$2:$A$18)-1,"PTE")</f>
        <v>PTE</v>
      </c>
      <c r="S782" s="25" t="str">
        <f>IF(Q782="Entregado",NETWORKDAYS.INTL(A782,P782,11,Valores!$A$2:$A$18)-1,"PTE")</f>
        <v>PTE</v>
      </c>
      <c r="T782" s="25"/>
      <c r="U782" s="25"/>
      <c r="V782" s="25" t="str">
        <f>IF(Q782="Entregado",IF(S782&lt;=VLOOKUP(K782,Valores!E:F,2,0),"Cumple","No cumple"),"PTE")</f>
        <v>PTE</v>
      </c>
      <c r="W782" s="25"/>
      <c r="X782" s="29"/>
      <c r="Y782" s="224"/>
      <c r="Z782" s="28"/>
    </row>
    <row r="783" spans="1:26" hidden="1" x14ac:dyDescent="0.3">
      <c r="A783" s="34">
        <v>45903</v>
      </c>
      <c r="B783" s="7" t="str">
        <f t="shared" ref="B783:B788" si="126">TEXT(A783,"mmmm")</f>
        <v>septiembre</v>
      </c>
      <c r="C783" s="27">
        <v>100105</v>
      </c>
      <c r="D783" s="23" t="s">
        <v>20</v>
      </c>
      <c r="E783" s="193" t="s">
        <v>1420</v>
      </c>
      <c r="F783" s="22" t="s">
        <v>129</v>
      </c>
      <c r="G783" s="32" t="str">
        <f>IFERROR(VLOOKUP(F783,Productos!$A$2:$D$258,2,0)," ")</f>
        <v>Electric Standing Desk  PRO Negro</v>
      </c>
      <c r="H783" s="7">
        <v>1</v>
      </c>
      <c r="I783" s="32" t="str">
        <f>IFERROR(VLOOKUP(F783,Productos!$A$2:$D$258,3,0)," ")</f>
        <v>Standing Desk</v>
      </c>
      <c r="J783" s="190" t="s">
        <v>37</v>
      </c>
      <c r="K783" s="190" t="s">
        <v>206</v>
      </c>
      <c r="L783" s="26" t="str">
        <f t="shared" si="123"/>
        <v>En alistamiento</v>
      </c>
      <c r="M783" s="56" t="s">
        <v>238</v>
      </c>
      <c r="N783" s="139"/>
      <c r="O783" s="150"/>
      <c r="P783" s="151"/>
      <c r="Q783" s="24" t="str">
        <f t="shared" si="125"/>
        <v>En transito</v>
      </c>
      <c r="R783" s="25" t="str">
        <f>IF(L783="Despachado",NETWORKDAYS.INTL(A783,O783,11,Valores!$A$2:$A$18)-1,"PTE")</f>
        <v>PTE</v>
      </c>
      <c r="S783" s="25" t="str">
        <f>IF(Q783="Entregado",NETWORKDAYS.INTL(A783,P783,11,Valores!$A$2:$A$18)-1,"PTE")</f>
        <v>PTE</v>
      </c>
      <c r="T783" s="25"/>
      <c r="U783" s="25"/>
      <c r="V783" s="25" t="str">
        <f>IF(Q783="Entregado",IF(S783&lt;=VLOOKUP(K783,Valores!E:F,2,0),"Cumple","No cumple"),"PTE")</f>
        <v>PTE</v>
      </c>
      <c r="W783" s="25"/>
      <c r="X783" s="29"/>
      <c r="Y783" s="224"/>
      <c r="Z783" s="28"/>
    </row>
    <row r="784" spans="1:26" hidden="1" x14ac:dyDescent="0.3">
      <c r="A784" s="34">
        <v>45903</v>
      </c>
      <c r="B784" s="7" t="str">
        <f t="shared" si="126"/>
        <v>septiembre</v>
      </c>
      <c r="C784" s="27">
        <v>100105</v>
      </c>
      <c r="D784" s="23" t="s">
        <v>20</v>
      </c>
      <c r="E784" s="193" t="s">
        <v>1420</v>
      </c>
      <c r="F784" s="22" t="s">
        <v>107</v>
      </c>
      <c r="G784" s="32" t="str">
        <f>IFERROR(VLOOKUP(F784,Productos!$A$2:$D$258,2,0)," ")</f>
        <v>Superficie  Caramelo 120x70 Clasico Small</v>
      </c>
      <c r="H784" s="7">
        <v>1</v>
      </c>
      <c r="I784" s="32" t="str">
        <f>IFERROR(VLOOKUP(F784,Productos!$A$2:$D$258,3,0)," ")</f>
        <v>Superficie</v>
      </c>
      <c r="J784" s="190" t="s">
        <v>37</v>
      </c>
      <c r="K784" s="190" t="s">
        <v>206</v>
      </c>
      <c r="L784" s="26" t="str">
        <f t="shared" si="123"/>
        <v>En alistamiento</v>
      </c>
      <c r="M784" s="56" t="s">
        <v>238</v>
      </c>
      <c r="N784" s="139"/>
      <c r="O784" s="150"/>
      <c r="P784" s="151"/>
      <c r="Q784" s="24" t="str">
        <f t="shared" si="125"/>
        <v>En transito</v>
      </c>
      <c r="R784" s="25" t="str">
        <f>IF(L784="Despachado",NETWORKDAYS.INTL(A784,O784,11,Valores!$A$2:$A$18)-1,"PTE")</f>
        <v>PTE</v>
      </c>
      <c r="S784" s="25" t="str">
        <f>IF(Q784="Entregado",NETWORKDAYS.INTL(A784,P784,11,Valores!$A$2:$A$18)-1,"PTE")</f>
        <v>PTE</v>
      </c>
      <c r="T784" s="25"/>
      <c r="U784" s="25"/>
      <c r="V784" s="25" t="str">
        <f>IF(Q784="Entregado",IF(S784&lt;=VLOOKUP(K784,Valores!E:F,2,0),"Cumple","No cumple"),"PTE")</f>
        <v>PTE</v>
      </c>
      <c r="W784" s="25"/>
      <c r="X784" s="29"/>
      <c r="Y784" s="224"/>
      <c r="Z784" s="28"/>
    </row>
    <row r="785" spans="1:26" hidden="1" x14ac:dyDescent="0.3">
      <c r="A785" s="34">
        <v>45903</v>
      </c>
      <c r="B785" s="7" t="str">
        <f t="shared" si="126"/>
        <v>septiembre</v>
      </c>
      <c r="C785" s="27">
        <v>100106</v>
      </c>
      <c r="D785" s="23" t="s">
        <v>20</v>
      </c>
      <c r="E785" s="193" t="s">
        <v>1421</v>
      </c>
      <c r="F785" s="22" t="s">
        <v>129</v>
      </c>
      <c r="G785" s="32" t="str">
        <f>IFERROR(VLOOKUP(F785,Productos!$A$2:$D$258,2,0)," ")</f>
        <v>Electric Standing Desk  PRO Negro</v>
      </c>
      <c r="H785" s="7">
        <v>1</v>
      </c>
      <c r="I785" s="32" t="str">
        <f>IFERROR(VLOOKUP(F785,Productos!$A$2:$D$258,3,0)," ")</f>
        <v>Standing Desk</v>
      </c>
      <c r="J785" s="139" t="s">
        <v>21</v>
      </c>
      <c r="K785" s="190" t="s">
        <v>22</v>
      </c>
      <c r="L785" s="26" t="str">
        <f t="shared" si="123"/>
        <v>En alistamiento</v>
      </c>
      <c r="M785" s="56" t="s">
        <v>238</v>
      </c>
      <c r="N785" s="139"/>
      <c r="O785" s="150"/>
      <c r="P785" s="151"/>
      <c r="Q785" s="24" t="str">
        <f t="shared" si="125"/>
        <v>En transito</v>
      </c>
      <c r="R785" s="25" t="str">
        <f>IF(L785="Despachado",NETWORKDAYS.INTL(A785,O785,11,Valores!$A$2:$A$18)-1,"PTE")</f>
        <v>PTE</v>
      </c>
      <c r="S785" s="25" t="str">
        <f>IF(Q785="Entregado",NETWORKDAYS.INTL(A785,P785,11,Valores!$A$2:$A$18)-1,"PTE")</f>
        <v>PTE</v>
      </c>
      <c r="T785" s="25"/>
      <c r="U785" s="25"/>
      <c r="V785" s="25" t="str">
        <f>IF(Q785="Entregado",IF(S785&lt;=VLOOKUP(K785,Valores!E:F,2,0),"Cumple","No cumple"),"PTE")</f>
        <v>PTE</v>
      </c>
      <c r="W785" s="25"/>
      <c r="X785" s="29"/>
      <c r="Y785" s="224"/>
      <c r="Z785" s="28"/>
    </row>
    <row r="786" spans="1:26" hidden="1" x14ac:dyDescent="0.3">
      <c r="A786" s="34">
        <v>45903</v>
      </c>
      <c r="B786" s="7" t="str">
        <f t="shared" si="126"/>
        <v>septiembre</v>
      </c>
      <c r="C786" s="27">
        <v>100106</v>
      </c>
      <c r="D786" s="23" t="s">
        <v>20</v>
      </c>
      <c r="E786" s="193" t="s">
        <v>1421</v>
      </c>
      <c r="F786" s="22" t="s">
        <v>158</v>
      </c>
      <c r="G786" s="32" t="str">
        <f>IFERROR(VLOOKUP(F786,Productos!$A$2:$D$258,2,0)," ")</f>
        <v>Superficie  Roble Negro 200x70 Clasico</v>
      </c>
      <c r="H786" s="7">
        <v>1</v>
      </c>
      <c r="I786" s="32" t="str">
        <f>IFERROR(VLOOKUP(F786,Productos!$A$2:$D$258,3,0)," ")</f>
        <v>Superficie</v>
      </c>
      <c r="J786" s="139" t="s">
        <v>21</v>
      </c>
      <c r="K786" s="190" t="s">
        <v>22</v>
      </c>
      <c r="L786" s="26" t="str">
        <f t="shared" si="123"/>
        <v>En alistamiento</v>
      </c>
      <c r="M786" s="56" t="s">
        <v>238</v>
      </c>
      <c r="N786" s="139"/>
      <c r="O786" s="150"/>
      <c r="P786" s="151"/>
      <c r="Q786" s="24" t="str">
        <f t="shared" si="125"/>
        <v>En transito</v>
      </c>
      <c r="R786" s="25" t="str">
        <f>IF(L786="Despachado",NETWORKDAYS.INTL(A786,O786,11,Valores!$A$2:$A$18)-1,"PTE")</f>
        <v>PTE</v>
      </c>
      <c r="S786" s="25" t="str">
        <f>IF(Q786="Entregado",NETWORKDAYS.INTL(A786,P786,11,Valores!$A$2:$A$18)-1,"PTE")</f>
        <v>PTE</v>
      </c>
      <c r="T786" s="25"/>
      <c r="U786" s="25"/>
      <c r="V786" s="25" t="str">
        <f>IF(Q786="Entregado",IF(S786&lt;=VLOOKUP(K786,Valores!E:F,2,0),"Cumple","No cumple"),"PTE")</f>
        <v>PTE</v>
      </c>
      <c r="W786" s="25"/>
      <c r="X786" s="29"/>
      <c r="Y786" s="224"/>
      <c r="Z786" s="28"/>
    </row>
    <row r="787" spans="1:26" hidden="1" x14ac:dyDescent="0.3">
      <c r="A787" s="34">
        <v>45905</v>
      </c>
      <c r="B787" s="7" t="str">
        <f t="shared" si="126"/>
        <v>septiembre</v>
      </c>
      <c r="C787" s="27">
        <v>100108</v>
      </c>
      <c r="D787" s="23" t="s">
        <v>20</v>
      </c>
      <c r="E787" s="193" t="s">
        <v>1422</v>
      </c>
      <c r="F787" s="40" t="s">
        <v>123</v>
      </c>
      <c r="G787" s="32" t="str">
        <f>IFERROR(VLOOKUP(F787,Productos!$A$2:$D$258,2,0)," ")</f>
        <v>Electric Standing Desk GO Negro</v>
      </c>
      <c r="H787" s="7">
        <v>1</v>
      </c>
      <c r="I787" s="32" t="str">
        <f>IFERROR(VLOOKUP(F787,Productos!$A$2:$D$258,3,0)," ")</f>
        <v>Standing Desk</v>
      </c>
      <c r="J787" s="190" t="s">
        <v>1423</v>
      </c>
      <c r="K787" s="190" t="s">
        <v>1424</v>
      </c>
      <c r="L787" s="26" t="str">
        <f t="shared" si="123"/>
        <v>En alistamiento</v>
      </c>
      <c r="M787" s="56" t="s">
        <v>238</v>
      </c>
      <c r="N787" s="139"/>
      <c r="O787" s="150"/>
      <c r="P787" s="151"/>
      <c r="Q787" s="24" t="str">
        <f t="shared" si="125"/>
        <v>En transito</v>
      </c>
      <c r="R787" s="25" t="str">
        <f>IF(L787="Despachado",NETWORKDAYS.INTL(A787,O787,11,Valores!$A$2:$A$18)-1,"PTE")</f>
        <v>PTE</v>
      </c>
      <c r="S787" s="25" t="str">
        <f>IF(Q787="Entregado",NETWORKDAYS.INTL(A787,P787,11,Valores!$A$2:$A$18)-1,"PTE")</f>
        <v>PTE</v>
      </c>
      <c r="T787" s="25"/>
      <c r="U787" s="25"/>
      <c r="V787" s="25" t="str">
        <f>IF(Q787="Entregado",IF(S787&lt;=VLOOKUP(K787,Valores!E:F,2,0),"Cumple","No cumple"),"PTE")</f>
        <v>PTE</v>
      </c>
      <c r="W787" s="25"/>
      <c r="X787" s="29"/>
      <c r="Y787" s="224"/>
      <c r="Z787" s="28"/>
    </row>
    <row r="788" spans="1:26" hidden="1" x14ac:dyDescent="0.3">
      <c r="A788" s="34">
        <v>45905</v>
      </c>
      <c r="B788" s="7" t="str">
        <f t="shared" si="126"/>
        <v>septiembre</v>
      </c>
      <c r="C788" s="27">
        <v>100108</v>
      </c>
      <c r="D788" s="23" t="s">
        <v>20</v>
      </c>
      <c r="E788" s="193" t="s">
        <v>1422</v>
      </c>
      <c r="F788" s="22" t="s">
        <v>305</v>
      </c>
      <c r="G788" s="32" t="str">
        <f>IFERROR(VLOOKUP(F788,Productos!$A$2:$D$258,2,0)," ")</f>
        <v>Superficie  Fresno Europeo 160x70 Clasico</v>
      </c>
      <c r="H788" s="7">
        <v>1</v>
      </c>
      <c r="I788" s="32" t="str">
        <f>IFERROR(VLOOKUP(F788,Productos!$A$2:$D$258,3,0)," ")</f>
        <v>Superficie</v>
      </c>
      <c r="J788" s="190" t="s">
        <v>1423</v>
      </c>
      <c r="K788" s="190" t="s">
        <v>1424</v>
      </c>
      <c r="L788" s="26" t="str">
        <f t="shared" si="123"/>
        <v>En alistamiento</v>
      </c>
      <c r="M788" s="56" t="s">
        <v>238</v>
      </c>
      <c r="N788" s="139"/>
      <c r="O788" s="150"/>
      <c r="P788" s="151"/>
      <c r="Q788" s="24" t="str">
        <f t="shared" si="125"/>
        <v>En transito</v>
      </c>
      <c r="R788" s="25" t="str">
        <f>IF(L788="Despachado",NETWORKDAYS.INTL(A788,O788,11,Valores!$A$2:$A$18)-1,"PTE")</f>
        <v>PTE</v>
      </c>
      <c r="S788" s="25" t="str">
        <f>IF(Q788="Entregado",NETWORKDAYS.INTL(A788,P788,11,Valores!$A$2:$A$18)-1,"PTE")</f>
        <v>PTE</v>
      </c>
      <c r="T788" s="25"/>
      <c r="U788" s="25"/>
      <c r="V788" s="25" t="str">
        <f>IF(Q788="Entregado",IF(S788&lt;=VLOOKUP(K788,Valores!E:F,2,0),"Cumple","No cumple"),"PTE")</f>
        <v>PTE</v>
      </c>
      <c r="W788" s="25"/>
      <c r="X788" s="29"/>
      <c r="Y788" s="224"/>
      <c r="Z788" s="28"/>
    </row>
    <row r="789" spans="1:26" hidden="1" x14ac:dyDescent="0.3">
      <c r="A789" s="34">
        <v>45905</v>
      </c>
      <c r="B789" s="7" t="str">
        <f t="shared" ref="B789:B796" si="127">TEXT(A789,"mmmm")</f>
        <v>septiembre</v>
      </c>
      <c r="C789" s="27">
        <v>100108</v>
      </c>
      <c r="D789" s="23" t="s">
        <v>20</v>
      </c>
      <c r="E789" s="193" t="s">
        <v>1422</v>
      </c>
      <c r="F789" s="22" t="s">
        <v>567</v>
      </c>
      <c r="G789" s="32" t="str">
        <f>IFERROR(VLOOKUP(F789,Productos!$A$2:$D$258,2,0)," ")</f>
        <v>Archivador TECU Fresno Europeo</v>
      </c>
      <c r="H789" s="7">
        <v>1</v>
      </c>
      <c r="I789" s="32" t="str">
        <f>IFERROR(VLOOKUP(F789,Productos!$A$2:$D$258,3,0)," ")</f>
        <v>Archivador</v>
      </c>
      <c r="J789" s="190" t="s">
        <v>1423</v>
      </c>
      <c r="K789" s="190" t="s">
        <v>1424</v>
      </c>
      <c r="L789" s="26" t="str">
        <f t="shared" si="123"/>
        <v>En alistamiento</v>
      </c>
      <c r="M789" s="56" t="s">
        <v>238</v>
      </c>
      <c r="N789" s="139"/>
      <c r="O789" s="150"/>
      <c r="P789" s="151"/>
      <c r="Q789" s="24" t="str">
        <f t="shared" si="125"/>
        <v>En transito</v>
      </c>
      <c r="R789" s="25" t="str">
        <f>IF(L789="Despachado",NETWORKDAYS.INTL(A789,O789,11,Valores!$A$2:$A$18)-1,"PTE")</f>
        <v>PTE</v>
      </c>
      <c r="S789" s="25" t="str">
        <f>IF(Q789="Entregado",NETWORKDAYS.INTL(A789,P789,11,Valores!$A$2:$A$18)-1,"PTE")</f>
        <v>PTE</v>
      </c>
      <c r="T789" s="25"/>
      <c r="U789" s="25"/>
      <c r="V789" s="25" t="str">
        <f>IF(Q789="Entregado",IF(S789&lt;=VLOOKUP(K789,Valores!E:F,2,0),"Cumple","No cumple"),"PTE")</f>
        <v>PTE</v>
      </c>
      <c r="W789" s="25"/>
      <c r="X789" s="29"/>
      <c r="Y789" s="224"/>
      <c r="Z789" s="28"/>
    </row>
    <row r="790" spans="1:26" hidden="1" x14ac:dyDescent="0.3">
      <c r="A790" s="34">
        <v>45905</v>
      </c>
      <c r="B790" s="7" t="str">
        <f t="shared" si="127"/>
        <v>septiembre</v>
      </c>
      <c r="C790" s="27">
        <v>100108</v>
      </c>
      <c r="D790" s="23" t="s">
        <v>20</v>
      </c>
      <c r="E790" s="193" t="s">
        <v>1422</v>
      </c>
      <c r="F790" s="22" t="s">
        <v>280</v>
      </c>
      <c r="G790" s="32" t="str">
        <f>IFERROR(VLOOKUP(F790,Productos!$A$2:$D$258,2,0)," ")</f>
        <v>Rodachines con freno para Standing desk x 4 UN</v>
      </c>
      <c r="H790" s="7">
        <v>1</v>
      </c>
      <c r="I790" s="32" t="str">
        <f>IFERROR(VLOOKUP(F790,Productos!$A$2:$D$258,3,0)," ")</f>
        <v>Ruedas</v>
      </c>
      <c r="J790" s="190" t="s">
        <v>1423</v>
      </c>
      <c r="K790" s="190" t="s">
        <v>1424</v>
      </c>
      <c r="L790" s="26" t="str">
        <f t="shared" si="123"/>
        <v>En alistamiento</v>
      </c>
      <c r="M790" s="56" t="s">
        <v>238</v>
      </c>
      <c r="N790" s="139"/>
      <c r="O790" s="150"/>
      <c r="P790" s="151"/>
      <c r="Q790" s="24" t="str">
        <f t="shared" si="125"/>
        <v>En transito</v>
      </c>
      <c r="R790" s="25" t="str">
        <f>IF(L790="Despachado",NETWORKDAYS.INTL(A790,O790,11,Valores!$A$2:$A$18)-1,"PTE")</f>
        <v>PTE</v>
      </c>
      <c r="S790" s="25" t="str">
        <f>IF(Q790="Entregado",NETWORKDAYS.INTL(A790,P790,11,Valores!$A$2:$A$18)-1,"PTE")</f>
        <v>PTE</v>
      </c>
      <c r="T790" s="25"/>
      <c r="U790" s="25"/>
      <c r="V790" s="25" t="str">
        <f>IF(Q790="Entregado",IF(S790&lt;=VLOOKUP(K790,Valores!E:F,2,0),"Cumple","No cumple"),"PTE")</f>
        <v>PTE</v>
      </c>
      <c r="W790" s="25"/>
      <c r="X790" s="29"/>
      <c r="Y790" s="224"/>
      <c r="Z790" s="28"/>
    </row>
    <row r="791" spans="1:26" hidden="1" x14ac:dyDescent="0.3">
      <c r="A791" s="34">
        <v>45909</v>
      </c>
      <c r="B791" s="7" t="str">
        <f t="shared" si="127"/>
        <v>septiembre</v>
      </c>
      <c r="C791" s="27">
        <v>100109</v>
      </c>
      <c r="D791" s="23" t="s">
        <v>20</v>
      </c>
      <c r="E791" s="193" t="s">
        <v>1425</v>
      </c>
      <c r="F791" s="22" t="s">
        <v>57</v>
      </c>
      <c r="G791" s="32" t="str">
        <f>IFERROR(VLOOKUP(F791,Productos!$A$2:$D$258,2,0)," ")</f>
        <v>Electric Standing Desk  En L Frame Negro 2.0</v>
      </c>
      <c r="H791" s="7">
        <v>1</v>
      </c>
      <c r="I791" s="32" t="str">
        <f>IFERROR(VLOOKUP(F791,Productos!$A$2:$D$258,3,0)," ")</f>
        <v>Standing Desk</v>
      </c>
      <c r="J791" s="139" t="s">
        <v>21</v>
      </c>
      <c r="K791" s="190" t="s">
        <v>220</v>
      </c>
      <c r="L791" s="26" t="str">
        <f t="shared" si="123"/>
        <v>En alistamiento</v>
      </c>
      <c r="M791" s="56" t="s">
        <v>238</v>
      </c>
      <c r="N791" s="139"/>
      <c r="O791" s="150"/>
      <c r="P791" s="151"/>
      <c r="Q791" s="24" t="str">
        <f t="shared" si="125"/>
        <v>En transito</v>
      </c>
      <c r="R791" s="25" t="str">
        <f>IF(L791="Despachado",NETWORKDAYS.INTL(A791,O791,11,Valores!$A$2:$A$18)-1,"PTE")</f>
        <v>PTE</v>
      </c>
      <c r="S791" s="25" t="str">
        <f>IF(Q791="Entregado",NETWORKDAYS.INTL(A791,P791,11,Valores!$A$2:$A$18)-1,"PTE")</f>
        <v>PTE</v>
      </c>
      <c r="T791" s="25"/>
      <c r="U791" s="25"/>
      <c r="V791" s="25" t="str">
        <f>IF(Q791="Entregado",IF(S791&lt;=VLOOKUP(K791,Valores!E:F,2,0),"Cumple","No cumple"),"PTE")</f>
        <v>PTE</v>
      </c>
      <c r="W791" s="25"/>
      <c r="X791" s="29"/>
      <c r="Y791" s="224"/>
      <c r="Z791" s="28"/>
    </row>
    <row r="792" spans="1:26" hidden="1" x14ac:dyDescent="0.3">
      <c r="A792" s="34">
        <v>45909</v>
      </c>
      <c r="B792" s="7" t="str">
        <f t="shared" si="127"/>
        <v>septiembre</v>
      </c>
      <c r="C792" s="27">
        <v>100109</v>
      </c>
      <c r="D792" s="23" t="s">
        <v>20</v>
      </c>
      <c r="E792" s="193" t="s">
        <v>1425</v>
      </c>
      <c r="F792" s="22" t="s">
        <v>300</v>
      </c>
      <c r="G792" s="32" t="str">
        <f>IFERROR(VLOOKUP(F792,Productos!$A$2:$D$258,2,0)," ")</f>
        <v>Superficie en L Fresno 180x150cm x 70</v>
      </c>
      <c r="H792" s="7">
        <v>1</v>
      </c>
      <c r="I792" s="32" t="str">
        <f>IFERROR(VLOOKUP(F792,Productos!$A$2:$D$258,3,0)," ")</f>
        <v>Superficie</v>
      </c>
      <c r="J792" s="139" t="s">
        <v>21</v>
      </c>
      <c r="K792" s="190" t="s">
        <v>220</v>
      </c>
      <c r="L792" s="26" t="str">
        <f t="shared" si="123"/>
        <v>En alistamiento</v>
      </c>
      <c r="M792" s="56" t="s">
        <v>238</v>
      </c>
      <c r="N792" s="139"/>
      <c r="O792" s="150"/>
      <c r="P792" s="151"/>
      <c r="Q792" s="24" t="str">
        <f t="shared" si="125"/>
        <v>En transito</v>
      </c>
      <c r="R792" s="25" t="str">
        <f>IF(L792="Despachado",NETWORKDAYS.INTL(A792,O792,11,Valores!$A$2:$A$18)-1,"PTE")</f>
        <v>PTE</v>
      </c>
      <c r="S792" s="25" t="str">
        <f>IF(Q792="Entregado",NETWORKDAYS.INTL(A792,P792,11,Valores!$A$2:$A$18)-1,"PTE")</f>
        <v>PTE</v>
      </c>
      <c r="T792" s="25"/>
      <c r="U792" s="25"/>
      <c r="V792" s="25" t="str">
        <f>IF(Q792="Entregado",IF(S792&lt;=VLOOKUP(K792,Valores!E:F,2,0),"Cumple","No cumple"),"PTE")</f>
        <v>PTE</v>
      </c>
      <c r="W792" s="25"/>
      <c r="X792" s="29"/>
      <c r="Y792" s="224"/>
      <c r="Z792" s="28"/>
    </row>
    <row r="793" spans="1:26" hidden="1" x14ac:dyDescent="0.3">
      <c r="A793" s="34">
        <v>45910</v>
      </c>
      <c r="B793" s="7" t="str">
        <f t="shared" si="127"/>
        <v>septiembre</v>
      </c>
      <c r="C793" s="27">
        <v>100110</v>
      </c>
      <c r="D793" s="23" t="s">
        <v>20</v>
      </c>
      <c r="E793" s="193" t="s">
        <v>1426</v>
      </c>
      <c r="F793" s="22" t="s">
        <v>240</v>
      </c>
      <c r="G793" s="32" t="str">
        <f>IFERROR(VLOOKUP(F793,Productos!$A$2:$D$258,2,0)," ")</f>
        <v>Bandeja de cables</v>
      </c>
      <c r="H793" s="7">
        <v>1</v>
      </c>
      <c r="I793" s="32" t="str">
        <f>IFERROR(VLOOKUP(F793,Productos!$A$2:$D$258,3,0)," ")</f>
        <v>Accesorio</v>
      </c>
      <c r="J793" s="139" t="s">
        <v>21</v>
      </c>
      <c r="K793" s="190" t="s">
        <v>22</v>
      </c>
      <c r="L793" s="26" t="str">
        <f t="shared" si="123"/>
        <v>En alistamiento</v>
      </c>
      <c r="M793" s="56" t="s">
        <v>238</v>
      </c>
      <c r="N793" s="139"/>
      <c r="O793" s="150"/>
      <c r="P793" s="151"/>
      <c r="Q793" s="24" t="str">
        <f t="shared" si="125"/>
        <v>En transito</v>
      </c>
      <c r="R793" s="25" t="str">
        <f>IF(L793="Despachado",NETWORKDAYS.INTL(A793,O793,11,Valores!$A$2:$A$18)-1,"PTE")</f>
        <v>PTE</v>
      </c>
      <c r="S793" s="25" t="str">
        <f>IF(Q793="Entregado",NETWORKDAYS.INTL(A793,P793,11,Valores!$A$2:$A$18)-1,"PTE")</f>
        <v>PTE</v>
      </c>
      <c r="T793" s="25"/>
      <c r="U793" s="25"/>
      <c r="V793" s="25" t="str">
        <f>IF(Q793="Entregado",IF(S793&lt;=VLOOKUP(K793,Valores!E:F,2,0),"Cumple","No cumple"),"PTE")</f>
        <v>PTE</v>
      </c>
      <c r="W793" s="25"/>
      <c r="X793" s="29"/>
      <c r="Y793" s="224"/>
      <c r="Z793" s="28"/>
    </row>
    <row r="794" spans="1:26" hidden="1" x14ac:dyDescent="0.3">
      <c r="A794" s="34">
        <v>45911</v>
      </c>
      <c r="B794" s="7" t="str">
        <f t="shared" si="127"/>
        <v>septiembre</v>
      </c>
      <c r="C794" s="194">
        <v>100111</v>
      </c>
      <c r="D794" s="195" t="s">
        <v>20</v>
      </c>
      <c r="E794" s="196" t="s">
        <v>1427</v>
      </c>
      <c r="F794" s="22" t="s">
        <v>129</v>
      </c>
      <c r="G794" s="32" t="str">
        <f>IFERROR(VLOOKUP(F794,Productos!$A$2:$D$258,2,0)," ")</f>
        <v>Electric Standing Desk  PRO Negro</v>
      </c>
      <c r="H794" s="7">
        <v>1</v>
      </c>
      <c r="I794" s="32" t="str">
        <f>IFERROR(VLOOKUP(F794,Productos!$A$2:$D$258,3,0)," ")</f>
        <v>Standing Desk</v>
      </c>
      <c r="J794" s="139" t="s">
        <v>21</v>
      </c>
      <c r="K794" s="190" t="s">
        <v>22</v>
      </c>
      <c r="L794" s="26" t="str">
        <f t="shared" si="123"/>
        <v>En alistamiento</v>
      </c>
      <c r="M794" s="56" t="s">
        <v>238</v>
      </c>
      <c r="N794" s="139"/>
      <c r="O794" s="150"/>
      <c r="P794" s="151"/>
      <c r="Q794" s="24" t="str">
        <f t="shared" si="125"/>
        <v>En transito</v>
      </c>
      <c r="R794" s="25" t="str">
        <f>IF(L794="Despachado",NETWORKDAYS.INTL(A794,O794,11,Valores!$A$2:$A$18)-1,"PTE")</f>
        <v>PTE</v>
      </c>
      <c r="S794" s="25" t="str">
        <f>IF(Q794="Entregado",NETWORKDAYS.INTL(A794,P794,11,Valores!$A$2:$A$18)-1,"PTE")</f>
        <v>PTE</v>
      </c>
      <c r="T794" s="25"/>
      <c r="U794" s="25"/>
      <c r="V794" s="25" t="str">
        <f>IF(Q794="Entregado",IF(S794&lt;=VLOOKUP(K794,Valores!E:F,2,0),"Cumple","No cumple"),"PTE")</f>
        <v>PTE</v>
      </c>
      <c r="W794" s="25"/>
      <c r="X794" s="29"/>
      <c r="Y794" s="224"/>
      <c r="Z794" s="28"/>
    </row>
    <row r="795" spans="1:26" hidden="1" x14ac:dyDescent="0.3">
      <c r="A795" s="34">
        <v>45911</v>
      </c>
      <c r="B795" s="7" t="str">
        <f t="shared" si="127"/>
        <v>septiembre</v>
      </c>
      <c r="C795" s="194">
        <v>100111</v>
      </c>
      <c r="D795" s="195" t="s">
        <v>20</v>
      </c>
      <c r="E795" s="196" t="s">
        <v>1427</v>
      </c>
      <c r="F795" s="22" t="s">
        <v>268</v>
      </c>
      <c r="G795" s="32" t="str">
        <f>IFERROR(VLOOKUP(F795,Productos!$A$2:$D$258,2,0)," ")</f>
        <v>Superficie Roble Caramelo 180x70 Clasico</v>
      </c>
      <c r="H795" s="7">
        <v>1</v>
      </c>
      <c r="I795" s="32" t="str">
        <f>IFERROR(VLOOKUP(F795,Productos!$A$2:$D$258,3,0)," ")</f>
        <v>Superficie</v>
      </c>
      <c r="J795" s="139" t="s">
        <v>21</v>
      </c>
      <c r="K795" s="190" t="s">
        <v>22</v>
      </c>
      <c r="L795" s="26" t="str">
        <f t="shared" si="123"/>
        <v>En alistamiento</v>
      </c>
      <c r="M795" s="56" t="s">
        <v>238</v>
      </c>
      <c r="N795" s="139"/>
      <c r="O795" s="150"/>
      <c r="P795" s="151"/>
      <c r="Q795" s="24" t="str">
        <f t="shared" si="125"/>
        <v>En transito</v>
      </c>
      <c r="R795" s="25" t="str">
        <f>IF(L795="Despachado",NETWORKDAYS.INTL(A795,O795,11,Valores!$A$2:$A$18)-1,"PTE")</f>
        <v>PTE</v>
      </c>
      <c r="S795" s="25" t="str">
        <f>IF(Q795="Entregado",NETWORKDAYS.INTL(A795,P795,11,Valores!$A$2:$A$18)-1,"PTE")</f>
        <v>PTE</v>
      </c>
      <c r="T795" s="25"/>
      <c r="U795" s="25"/>
      <c r="V795" s="25" t="str">
        <f>IF(Q795="Entregado",IF(S795&lt;=VLOOKUP(K795,Valores!E:F,2,0),"Cumple","No cumple"),"PTE")</f>
        <v>PTE</v>
      </c>
      <c r="W795" s="25"/>
      <c r="X795" s="29"/>
      <c r="Y795" s="224"/>
      <c r="Z795" s="28"/>
    </row>
    <row r="796" spans="1:26" hidden="1" x14ac:dyDescent="0.3">
      <c r="A796" s="34">
        <v>45911</v>
      </c>
      <c r="B796" s="7" t="str">
        <f t="shared" si="127"/>
        <v>septiembre</v>
      </c>
      <c r="C796" s="194">
        <v>100111</v>
      </c>
      <c r="D796" s="195" t="s">
        <v>20</v>
      </c>
      <c r="E796" s="196" t="s">
        <v>1427</v>
      </c>
      <c r="F796" s="22" t="s">
        <v>240</v>
      </c>
      <c r="G796" s="32" t="str">
        <f>IFERROR(VLOOKUP(F796,Productos!$A$2:$D$258,2,0)," ")</f>
        <v>Bandeja de cables</v>
      </c>
      <c r="H796" s="7">
        <v>1</v>
      </c>
      <c r="I796" s="32" t="str">
        <f>IFERROR(VLOOKUP(F796,Productos!$A$2:$D$258,3,0)," ")</f>
        <v>Accesorio</v>
      </c>
      <c r="J796" s="139" t="s">
        <v>21</v>
      </c>
      <c r="K796" s="190" t="s">
        <v>22</v>
      </c>
      <c r="L796" s="26" t="str">
        <f t="shared" si="123"/>
        <v>En alistamiento</v>
      </c>
      <c r="M796" s="56" t="s">
        <v>238</v>
      </c>
      <c r="N796" s="139"/>
      <c r="O796" s="150"/>
      <c r="P796" s="151"/>
      <c r="Q796" s="24" t="str">
        <f t="shared" si="125"/>
        <v>En transito</v>
      </c>
      <c r="R796" s="25" t="str">
        <f>IF(L796="Despachado",NETWORKDAYS.INTL(A796,O796,11,Valores!$A$2:$A$18)-1,"PTE")</f>
        <v>PTE</v>
      </c>
      <c r="S796" s="25" t="str">
        <f>IF(Q796="Entregado",NETWORKDAYS.INTL(A796,P796,11,Valores!$A$2:$A$18)-1,"PTE")</f>
        <v>PTE</v>
      </c>
      <c r="T796" s="25"/>
      <c r="U796" s="25"/>
      <c r="V796" s="25" t="str">
        <f>IF(Q796="Entregado",IF(S796&lt;=VLOOKUP(K796,Valores!E:F,2,0),"Cumple","No cumple"),"PTE")</f>
        <v>PTE</v>
      </c>
      <c r="W796" s="25"/>
      <c r="X796" s="29"/>
      <c r="Y796" s="224"/>
      <c r="Z796" s="28"/>
    </row>
    <row r="797" spans="1:26" hidden="1" x14ac:dyDescent="0.3">
      <c r="A797" s="34">
        <v>45911</v>
      </c>
      <c r="B797" s="7" t="str">
        <f>TEXT(A797,"mmmm")</f>
        <v>septiembre</v>
      </c>
      <c r="C797" s="27">
        <v>100112</v>
      </c>
      <c r="D797" s="23" t="s">
        <v>20</v>
      </c>
      <c r="E797" s="193" t="s">
        <v>1428</v>
      </c>
      <c r="F797" s="22" t="s">
        <v>129</v>
      </c>
      <c r="G797" s="32" t="str">
        <f>IFERROR(VLOOKUP(F797,Productos!$A$2:$D$258,2,0)," ")</f>
        <v>Electric Standing Desk  PRO Negro</v>
      </c>
      <c r="H797" s="7">
        <v>1</v>
      </c>
      <c r="I797" s="32" t="str">
        <f>IFERROR(VLOOKUP(F797,Productos!$A$2:$D$258,3,0)," ")</f>
        <v>Standing Desk</v>
      </c>
      <c r="J797" s="190" t="s">
        <v>24</v>
      </c>
      <c r="K797" s="190" t="s">
        <v>27</v>
      </c>
      <c r="L797" s="26" t="str">
        <f t="shared" ref="L797:L803" si="128">IF(O797&gt;0,"Despachado","En alistamiento")</f>
        <v>En alistamiento</v>
      </c>
      <c r="M797" s="56" t="s">
        <v>238</v>
      </c>
      <c r="N797" s="139"/>
      <c r="O797" s="150"/>
      <c r="P797" s="151"/>
      <c r="Q797" s="24" t="str">
        <f t="shared" si="125"/>
        <v>En transito</v>
      </c>
      <c r="R797" s="25" t="str">
        <f>IF(L797="Despachado",NETWORKDAYS.INTL(A797,O797,11,Valores!$A$2:$A$18)-1,"PTE")</f>
        <v>PTE</v>
      </c>
      <c r="S797" s="25" t="str">
        <f>IF(Q797="Entregado",NETWORKDAYS.INTL(A797,P797,11,Valores!$A$2:$A$18)-1,"PTE")</f>
        <v>PTE</v>
      </c>
      <c r="T797" s="25"/>
      <c r="U797" s="25"/>
      <c r="V797" s="25" t="str">
        <f>IF(Q797="Entregado",IF(S797&lt;=VLOOKUP(K797,Valores!E:F,2,0),"Cumple","No cumple"),"PTE")</f>
        <v>PTE</v>
      </c>
      <c r="W797" s="25"/>
      <c r="X797" s="29"/>
      <c r="Y797" s="224"/>
      <c r="Z797" s="28"/>
    </row>
    <row r="798" spans="1:26" hidden="1" x14ac:dyDescent="0.3">
      <c r="A798" s="34">
        <v>45911</v>
      </c>
      <c r="B798" s="7" t="str">
        <f>TEXT(A798,"mmmm")</f>
        <v>septiembre</v>
      </c>
      <c r="C798" s="27">
        <v>100112</v>
      </c>
      <c r="D798" s="23" t="s">
        <v>20</v>
      </c>
      <c r="E798" s="193" t="s">
        <v>1428</v>
      </c>
      <c r="F798" s="22" t="s">
        <v>155</v>
      </c>
      <c r="G798" s="32" t="str">
        <f>IFERROR(VLOOKUP(F798,Productos!$A$2:$D$258,2,0)," ")</f>
        <v>Superficie  Roble Negro 160x70 Clasico</v>
      </c>
      <c r="H798" s="7">
        <v>1</v>
      </c>
      <c r="I798" s="32" t="str">
        <f>IFERROR(VLOOKUP(F798,Productos!$A$2:$D$258,3,0)," ")</f>
        <v>Superficie</v>
      </c>
      <c r="J798" s="190" t="s">
        <v>24</v>
      </c>
      <c r="K798" s="190" t="s">
        <v>27</v>
      </c>
      <c r="L798" s="26" t="str">
        <f t="shared" si="128"/>
        <v>En alistamiento</v>
      </c>
      <c r="M798" s="56" t="s">
        <v>238</v>
      </c>
      <c r="N798" s="139"/>
      <c r="O798" s="150"/>
      <c r="P798" s="151"/>
      <c r="Q798" s="24" t="str">
        <f t="shared" si="125"/>
        <v>En transito</v>
      </c>
      <c r="R798" s="25" t="str">
        <f>IF(L798="Despachado",NETWORKDAYS.INTL(A798,O798,11,Valores!$A$2:$A$18)-1,"PTE")</f>
        <v>PTE</v>
      </c>
      <c r="S798" s="25" t="str">
        <f>IF(Q798="Entregado",NETWORKDAYS.INTL(A798,P798,11,Valores!$A$2:$A$18)-1,"PTE")</f>
        <v>PTE</v>
      </c>
      <c r="T798" s="25"/>
      <c r="U798" s="25"/>
      <c r="V798" s="25" t="str">
        <f>IF(Q798="Entregado",IF(S798&lt;=VLOOKUP(K798,Valores!E:F,2,0),"Cumple","No cumple"),"PTE")</f>
        <v>PTE</v>
      </c>
      <c r="W798" s="25"/>
      <c r="X798" s="29"/>
      <c r="Y798" s="224"/>
      <c r="Z798" s="28"/>
    </row>
    <row r="799" spans="1:26" hidden="1" x14ac:dyDescent="0.3">
      <c r="A799" s="34">
        <v>45911</v>
      </c>
      <c r="B799" s="7" t="str">
        <f>TEXT(A799,"mmmm")</f>
        <v>septiembre</v>
      </c>
      <c r="C799" s="27">
        <v>100112</v>
      </c>
      <c r="D799" s="23" t="s">
        <v>20</v>
      </c>
      <c r="E799" s="193" t="s">
        <v>1428</v>
      </c>
      <c r="F799" s="22" t="s">
        <v>240</v>
      </c>
      <c r="G799" s="32" t="str">
        <f>IFERROR(VLOOKUP(F799,Productos!$A$2:$D$258,2,0)," ")</f>
        <v>Bandeja de cables</v>
      </c>
      <c r="H799" s="7">
        <v>1</v>
      </c>
      <c r="I799" s="32" t="str">
        <f>IFERROR(VLOOKUP(F799,Productos!$A$2:$D$258,3,0)," ")</f>
        <v>Accesorio</v>
      </c>
      <c r="J799" s="190" t="s">
        <v>24</v>
      </c>
      <c r="K799" s="190" t="s">
        <v>27</v>
      </c>
      <c r="L799" s="26" t="str">
        <f t="shared" si="128"/>
        <v>En alistamiento</v>
      </c>
      <c r="M799" s="56" t="s">
        <v>238</v>
      </c>
      <c r="N799" s="139"/>
      <c r="O799" s="150"/>
      <c r="P799" s="151"/>
      <c r="Q799" s="24" t="str">
        <f t="shared" si="125"/>
        <v>En transito</v>
      </c>
      <c r="R799" s="25" t="str">
        <f>IF(L799="Despachado",NETWORKDAYS.INTL(A799,O799,11,Valores!$A$2:$A$18)-1,"PTE")</f>
        <v>PTE</v>
      </c>
      <c r="S799" s="25" t="str">
        <f>IF(Q799="Entregado",NETWORKDAYS.INTL(A799,P799,11,Valores!$A$2:$A$18)-1,"PTE")</f>
        <v>PTE</v>
      </c>
      <c r="T799" s="25"/>
      <c r="U799" s="25"/>
      <c r="V799" s="25" t="str">
        <f>IF(Q799="Entregado",IF(S799&lt;=VLOOKUP(K799,Valores!E:F,2,0),"Cumple","No cumple"),"PTE")</f>
        <v>PTE</v>
      </c>
      <c r="W799" s="25"/>
      <c r="X799" s="29"/>
      <c r="Y799" s="224"/>
      <c r="Z799" s="28"/>
    </row>
    <row r="800" spans="1:26" hidden="1" x14ac:dyDescent="0.3">
      <c r="A800" s="34">
        <v>45911</v>
      </c>
      <c r="B800" s="7" t="str">
        <f t="shared" ref="B800:B807" si="129">TEXT(A800,"mmmm")</f>
        <v>septiembre</v>
      </c>
      <c r="C800" s="27">
        <v>100112</v>
      </c>
      <c r="D800" s="23" t="s">
        <v>20</v>
      </c>
      <c r="E800" s="193" t="s">
        <v>1428</v>
      </c>
      <c r="F800" s="22"/>
      <c r="G800" s="32" t="s">
        <v>1796</v>
      </c>
      <c r="H800" s="7">
        <v>1</v>
      </c>
      <c r="I800" s="32" t="s">
        <v>327</v>
      </c>
      <c r="J800" s="190" t="s">
        <v>24</v>
      </c>
      <c r="K800" s="190" t="s">
        <v>27</v>
      </c>
      <c r="L800" s="26" t="str">
        <f t="shared" si="128"/>
        <v>Despachado</v>
      </c>
      <c r="M800" s="56" t="s">
        <v>241</v>
      </c>
      <c r="N800" s="218" t="s">
        <v>241</v>
      </c>
      <c r="O800" s="219" t="s">
        <v>241</v>
      </c>
      <c r="P800" s="220" t="s">
        <v>241</v>
      </c>
      <c r="Q800" s="24" t="str">
        <f t="shared" si="125"/>
        <v>Entregado</v>
      </c>
      <c r="R800" s="25" t="e">
        <f>IF(L800="Despachado",NETWORKDAYS.INTL(A800,O800,11,Valores!$A$2:$A$18)-1,"PTE")</f>
        <v>#VALUE!</v>
      </c>
      <c r="S800" s="25" t="e">
        <f>IF(Q800="Entregado",NETWORKDAYS.INTL(A800,P800,11,Valores!$A$2:$A$18)-1,"PTE")</f>
        <v>#VALUE!</v>
      </c>
      <c r="T800" s="25"/>
      <c r="U800" s="25"/>
      <c r="V800" s="25" t="e">
        <f>IF(Q800="Entregado",IF(S800&lt;=VLOOKUP(K800,Valores!E:F,2,0),"Cumple","No cumple"),"PTE")</f>
        <v>#VALUE!</v>
      </c>
      <c r="W800" s="25"/>
      <c r="X800" s="29"/>
      <c r="Y800" s="224"/>
      <c r="Z800" s="28"/>
    </row>
    <row r="801" spans="1:26" hidden="1" x14ac:dyDescent="0.3">
      <c r="A801" s="34">
        <v>45912</v>
      </c>
      <c r="B801" s="7" t="str">
        <f t="shared" si="129"/>
        <v>septiembre</v>
      </c>
      <c r="C801" s="27">
        <v>100113</v>
      </c>
      <c r="D801" s="23" t="s">
        <v>20</v>
      </c>
      <c r="E801" s="193" t="s">
        <v>1429</v>
      </c>
      <c r="F801" s="22" t="s">
        <v>133</v>
      </c>
      <c r="G801" s="32" t="str">
        <f>IFERROR(VLOOKUP(F801,Productos!$A$2:$D$258,2,0)," ")</f>
        <v>Electric Standing Desk  PRO Blanco</v>
      </c>
      <c r="H801" s="7">
        <v>1</v>
      </c>
      <c r="I801" s="32" t="str">
        <f>IFERROR(VLOOKUP(F801,Productos!$A$2:$D$258,3,0)," ")</f>
        <v>Standing Desk</v>
      </c>
      <c r="J801" s="139" t="s">
        <v>21</v>
      </c>
      <c r="K801" s="190" t="s">
        <v>830</v>
      </c>
      <c r="L801" s="26" t="str">
        <f t="shared" si="128"/>
        <v>En alistamiento</v>
      </c>
      <c r="M801" s="56" t="s">
        <v>238</v>
      </c>
      <c r="N801" s="139"/>
      <c r="O801" s="150"/>
      <c r="P801" s="151"/>
      <c r="Q801" s="24" t="str">
        <f t="shared" si="125"/>
        <v>En transito</v>
      </c>
      <c r="R801" s="25" t="str">
        <f>IF(L801="Despachado",NETWORKDAYS.INTL(A801,O801,11,Valores!$A$2:$A$18)-1,"PTE")</f>
        <v>PTE</v>
      </c>
      <c r="S801" s="25" t="str">
        <f>IF(Q801="Entregado",NETWORKDAYS.INTL(A801,P801,11,Valores!$A$2:$A$18)-1,"PTE")</f>
        <v>PTE</v>
      </c>
      <c r="T801" s="25"/>
      <c r="U801" s="25"/>
      <c r="V801" s="25" t="str">
        <f>IF(Q801="Entregado",IF(S801&lt;=VLOOKUP(K801,Valores!E:F,2,0),"Cumple","No cumple"),"PTE")</f>
        <v>PTE</v>
      </c>
      <c r="W801" s="25"/>
      <c r="X801" s="29"/>
      <c r="Y801" s="224"/>
      <c r="Z801" s="28"/>
    </row>
    <row r="802" spans="1:26" hidden="1" x14ac:dyDescent="0.3">
      <c r="A802" s="34">
        <v>45912</v>
      </c>
      <c r="B802" s="7" t="str">
        <f t="shared" si="129"/>
        <v>septiembre</v>
      </c>
      <c r="C802" s="27">
        <v>100113</v>
      </c>
      <c r="D802" s="23" t="s">
        <v>20</v>
      </c>
      <c r="E802" s="193" t="s">
        <v>1429</v>
      </c>
      <c r="F802" s="22" t="s">
        <v>310</v>
      </c>
      <c r="G802" s="32" t="str">
        <f>IFERROR(VLOOKUP(F802,Productos!$A$2:$D$258,2,0)," ")</f>
        <v>Superficie  Fresno Europeo 160x70 Moderno</v>
      </c>
      <c r="H802" s="7">
        <v>1</v>
      </c>
      <c r="I802" s="32" t="str">
        <f>IFERROR(VLOOKUP(F802,Productos!$A$2:$D$258,3,0)," ")</f>
        <v>Superficie</v>
      </c>
      <c r="J802" s="139" t="s">
        <v>21</v>
      </c>
      <c r="K802" s="190" t="s">
        <v>830</v>
      </c>
      <c r="L802" s="26" t="str">
        <f t="shared" si="128"/>
        <v>En alistamiento</v>
      </c>
      <c r="M802" s="56" t="s">
        <v>238</v>
      </c>
      <c r="N802" s="139"/>
      <c r="O802" s="150"/>
      <c r="P802" s="151"/>
      <c r="Q802" s="24" t="str">
        <f t="shared" si="125"/>
        <v>En transito</v>
      </c>
      <c r="R802" s="25" t="str">
        <f>IF(L802="Despachado",NETWORKDAYS.INTL(A802,O802,11,Valores!$A$2:$A$18)-1,"PTE")</f>
        <v>PTE</v>
      </c>
      <c r="S802" s="25" t="str">
        <f>IF(Q802="Entregado",NETWORKDAYS.INTL(A802,P802,11,Valores!$A$2:$A$18)-1,"PTE")</f>
        <v>PTE</v>
      </c>
      <c r="T802" s="25"/>
      <c r="U802" s="25"/>
      <c r="V802" s="25" t="str">
        <f>IF(Q802="Entregado",IF(S802&lt;=VLOOKUP(K802,Valores!E:F,2,0),"Cumple","No cumple"),"PTE")</f>
        <v>PTE</v>
      </c>
      <c r="W802" s="25"/>
      <c r="X802" s="29"/>
      <c r="Y802" s="224"/>
      <c r="Z802" s="28"/>
    </row>
    <row r="803" spans="1:26" hidden="1" x14ac:dyDescent="0.3">
      <c r="A803" s="34">
        <v>45912</v>
      </c>
      <c r="B803" s="7" t="str">
        <f t="shared" si="129"/>
        <v>septiembre</v>
      </c>
      <c r="C803" s="27">
        <v>100113</v>
      </c>
      <c r="D803" s="23" t="s">
        <v>20</v>
      </c>
      <c r="E803" s="193" t="s">
        <v>1429</v>
      </c>
      <c r="F803" s="22"/>
      <c r="G803" s="32" t="s">
        <v>1796</v>
      </c>
      <c r="H803" s="7">
        <v>1</v>
      </c>
      <c r="I803" s="32" t="s">
        <v>327</v>
      </c>
      <c r="J803" s="139" t="s">
        <v>21</v>
      </c>
      <c r="K803" s="190" t="s">
        <v>830</v>
      </c>
      <c r="L803" s="26" t="str">
        <f t="shared" si="128"/>
        <v>Despachado</v>
      </c>
      <c r="M803" s="56" t="s">
        <v>241</v>
      </c>
      <c r="N803" s="218" t="s">
        <v>241</v>
      </c>
      <c r="O803" s="219" t="s">
        <v>241</v>
      </c>
      <c r="P803" s="220" t="s">
        <v>241</v>
      </c>
      <c r="Q803" s="24" t="str">
        <f t="shared" si="125"/>
        <v>Entregado</v>
      </c>
      <c r="R803" s="25" t="e">
        <f>IF(L803="Despachado",NETWORKDAYS.INTL(A803,O803,11,Valores!$A$2:$A$18)-1,"PTE")</f>
        <v>#VALUE!</v>
      </c>
      <c r="S803" s="25" t="e">
        <f>IF(Q803="Entregado",NETWORKDAYS.INTL(A803,P803,11,Valores!$A$2:$A$18)-1,"PTE")</f>
        <v>#VALUE!</v>
      </c>
      <c r="T803" s="25"/>
      <c r="U803" s="25"/>
      <c r="V803" s="25" t="e">
        <f>IF(Q803="Entregado",IF(S803&lt;=VLOOKUP(K803,Valores!E:F,2,0),"Cumple","No cumple"),"PTE")</f>
        <v>#VALUE!</v>
      </c>
      <c r="W803" s="25"/>
      <c r="X803" s="29"/>
      <c r="Y803" s="224"/>
      <c r="Z803" s="28"/>
    </row>
    <row r="804" spans="1:26" hidden="1" x14ac:dyDescent="0.3">
      <c r="A804" s="34">
        <v>45848</v>
      </c>
      <c r="B804" s="7" t="str">
        <f t="shared" si="129"/>
        <v>julio</v>
      </c>
      <c r="C804" s="27" t="s">
        <v>1431</v>
      </c>
      <c r="D804" s="23" t="s">
        <v>20</v>
      </c>
      <c r="E804" s="197" t="s">
        <v>1433</v>
      </c>
      <c r="F804" s="22" t="s">
        <v>129</v>
      </c>
      <c r="G804" s="32" t="str">
        <f>IFERROR(VLOOKUP(F804,Productos!$A$2:$D$258,2,0)," ")</f>
        <v>Electric Standing Desk  PRO Negro</v>
      </c>
      <c r="H804" s="7">
        <v>1</v>
      </c>
      <c r="I804" s="32" t="str">
        <f>IFERROR(VLOOKUP(F804,Productos!$A$2:$D$258,3,0)," ")</f>
        <v>Standing Desk</v>
      </c>
      <c r="J804" s="139" t="s">
        <v>21</v>
      </c>
      <c r="K804" s="198" t="s">
        <v>22</v>
      </c>
      <c r="L804" s="26" t="str">
        <f>IF(O804&gt;0,"Despachado","En alistamiento")</f>
        <v>Despachado</v>
      </c>
      <c r="M804" s="56" t="s">
        <v>238</v>
      </c>
      <c r="N804" s="198" t="s">
        <v>1435</v>
      </c>
      <c r="O804" s="150">
        <v>45848</v>
      </c>
      <c r="P804" s="151">
        <v>45849</v>
      </c>
      <c r="Q804" s="24" t="str">
        <f t="shared" si="125"/>
        <v>Entregado</v>
      </c>
      <c r="R804" s="25">
        <f>IF(L804="Despachado",NETWORKDAYS.INTL(A804,O804,11,Valores!$A$2:$A$18)-1,"PTE")</f>
        <v>0</v>
      </c>
      <c r="S804" s="25">
        <f>IF(Q804="Entregado",NETWORKDAYS.INTL(A804,P804,11,Valores!$A$2:$A$18)-1,"PTE")</f>
        <v>1</v>
      </c>
      <c r="T804" s="25"/>
      <c r="U804" s="25"/>
      <c r="V804" s="25" t="str">
        <f>IF(Q804="Entregado",IF(S804&lt;=VLOOKUP(K804,Valores!E:F,2,0),"Cumple","No cumple"),"PTE")</f>
        <v>Cumple</v>
      </c>
      <c r="W804" s="25"/>
      <c r="X804" s="29">
        <v>47921</v>
      </c>
      <c r="Y804" s="224"/>
      <c r="Z804" s="28"/>
    </row>
    <row r="805" spans="1:26" hidden="1" x14ac:dyDescent="0.3">
      <c r="A805" s="34">
        <v>45848</v>
      </c>
      <c r="B805" s="7" t="str">
        <f t="shared" si="129"/>
        <v>julio</v>
      </c>
      <c r="C805" s="27" t="s">
        <v>1431</v>
      </c>
      <c r="D805" s="23" t="s">
        <v>20</v>
      </c>
      <c r="E805" s="197" t="s">
        <v>1433</v>
      </c>
      <c r="F805" s="22" t="s">
        <v>59</v>
      </c>
      <c r="G805" s="32" t="str">
        <f>IFERROR(VLOOKUP(F805,Productos!$A$2:$D$258,2,0)," ")</f>
        <v>Superficie Caramelo 150x70 Moderno</v>
      </c>
      <c r="H805" s="7">
        <v>1</v>
      </c>
      <c r="I805" s="32" t="str">
        <f>IFERROR(VLOOKUP(F805,Productos!$A$2:$D$258,3,0)," ")</f>
        <v>Superficie</v>
      </c>
      <c r="J805" s="139" t="s">
        <v>21</v>
      </c>
      <c r="K805" s="198" t="s">
        <v>22</v>
      </c>
      <c r="L805" s="26" t="str">
        <f>IF(O805&gt;0,"Despachado","En alistamiento")</f>
        <v>Despachado</v>
      </c>
      <c r="M805" s="56" t="s">
        <v>238</v>
      </c>
      <c r="N805" s="198" t="s">
        <v>1436</v>
      </c>
      <c r="O805" s="150">
        <v>45848</v>
      </c>
      <c r="P805" s="151">
        <v>45849</v>
      </c>
      <c r="Q805" s="24" t="str">
        <f t="shared" si="125"/>
        <v>Entregado</v>
      </c>
      <c r="R805" s="25">
        <f>IF(L805="Despachado",NETWORKDAYS.INTL(A805,O805,11,Valores!$A$2:$A$18)-1,"PTE")</f>
        <v>0</v>
      </c>
      <c r="S805" s="25">
        <f>IF(Q805="Entregado",NETWORKDAYS.INTL(A805,P805,11,Valores!$A$2:$A$18)-1,"PTE")</f>
        <v>1</v>
      </c>
      <c r="T805" s="25"/>
      <c r="U805" s="25"/>
      <c r="V805" s="25" t="str">
        <f>IF(Q805="Entregado",IF(S805&lt;=VLOOKUP(K805,Valores!E:F,2,0),"Cumple","No cumple"),"PTE")</f>
        <v>Cumple</v>
      </c>
      <c r="W805" s="25"/>
      <c r="X805" s="29">
        <v>28593</v>
      </c>
      <c r="Y805" s="224"/>
      <c r="Z805" s="28"/>
    </row>
    <row r="806" spans="1:26" hidden="1" x14ac:dyDescent="0.3">
      <c r="A806" s="34">
        <v>45848</v>
      </c>
      <c r="B806" s="7" t="str">
        <f t="shared" si="129"/>
        <v>julio</v>
      </c>
      <c r="C806" s="27" t="s">
        <v>1432</v>
      </c>
      <c r="D806" s="23" t="s">
        <v>20</v>
      </c>
      <c r="E806" s="197" t="s">
        <v>1434</v>
      </c>
      <c r="F806" s="22" t="s">
        <v>127</v>
      </c>
      <c r="G806" s="32" t="str">
        <f>IFERROR(VLOOKUP(F806,Productos!$A$2:$D$258,2,0)," ")</f>
        <v>Electric Standing Desk GO Blanco</v>
      </c>
      <c r="H806" s="7">
        <v>1</v>
      </c>
      <c r="I806" s="32" t="str">
        <f>IFERROR(VLOOKUP(F806,Productos!$A$2:$D$258,3,0)," ")</f>
        <v>Standing Desk</v>
      </c>
      <c r="J806" s="198" t="s">
        <v>189</v>
      </c>
      <c r="K806" s="198" t="s">
        <v>45</v>
      </c>
      <c r="L806" s="26" t="str">
        <f t="shared" ref="L806:L811" si="130">IF(O806&gt;0,"Despachado","En alistamiento")</f>
        <v>Despachado</v>
      </c>
      <c r="M806" s="56" t="s">
        <v>238</v>
      </c>
      <c r="N806" s="198" t="s">
        <v>1437</v>
      </c>
      <c r="O806" s="150">
        <v>45848</v>
      </c>
      <c r="P806" s="151">
        <v>45850</v>
      </c>
      <c r="Q806" s="24" t="str">
        <f t="shared" si="125"/>
        <v>Entregado</v>
      </c>
      <c r="R806" s="25">
        <f>IF(L806="Despachado",NETWORKDAYS.INTL(A806,O806,11,Valores!$A$2:$A$18)-1,"PTE")</f>
        <v>0</v>
      </c>
      <c r="S806" s="25">
        <f>IF(Q806="Entregado",NETWORKDAYS.INTL(A806,P806,11,Valores!$A$2:$A$18)-1,"PTE")</f>
        <v>2</v>
      </c>
      <c r="T806" s="25"/>
      <c r="U806" s="25"/>
      <c r="V806" s="25" t="str">
        <f>IF(Q806="Entregado",IF(S806&lt;=VLOOKUP(K806,Valores!E:F,2,0),"Cumple","No cumple"),"PTE")</f>
        <v>Cumple</v>
      </c>
      <c r="W806" s="25"/>
      <c r="X806" s="29">
        <v>66151</v>
      </c>
      <c r="Y806" s="224"/>
      <c r="Z806" s="28"/>
    </row>
    <row r="807" spans="1:26" hidden="1" x14ac:dyDescent="0.3">
      <c r="A807" s="34">
        <v>45848</v>
      </c>
      <c r="B807" s="7" t="str">
        <f t="shared" si="129"/>
        <v>julio</v>
      </c>
      <c r="C807" s="27" t="s">
        <v>1432</v>
      </c>
      <c r="D807" s="23" t="s">
        <v>20</v>
      </c>
      <c r="E807" s="197" t="s">
        <v>1434</v>
      </c>
      <c r="F807" s="22" t="s">
        <v>108</v>
      </c>
      <c r="G807" s="32" t="str">
        <f>IFERROR(VLOOKUP(F807,Productos!$A$2:$D$258,2,0)," ")</f>
        <v>Superficie Niebla 120x70 Clasico Small</v>
      </c>
      <c r="H807" s="7">
        <v>1</v>
      </c>
      <c r="I807" s="32" t="str">
        <f>IFERROR(VLOOKUP(F807,Productos!$A$2:$D$258,3,0)," ")</f>
        <v>Superficie</v>
      </c>
      <c r="J807" s="198" t="s">
        <v>189</v>
      </c>
      <c r="K807" s="198" t="s">
        <v>45</v>
      </c>
      <c r="L807" s="26" t="str">
        <f t="shared" si="130"/>
        <v>Despachado</v>
      </c>
      <c r="M807" s="56" t="s">
        <v>238</v>
      </c>
      <c r="N807" s="198" t="s">
        <v>1438</v>
      </c>
      <c r="O807" s="150">
        <v>45848</v>
      </c>
      <c r="P807" s="151">
        <v>45850</v>
      </c>
      <c r="Q807" s="24" t="str">
        <f t="shared" si="125"/>
        <v>Entregado</v>
      </c>
      <c r="R807" s="25">
        <f>IF(L807="Despachado",NETWORKDAYS.INTL(A807,O807,11,Valores!$A$2:$A$18)-1,"PTE")</f>
        <v>0</v>
      </c>
      <c r="S807" s="25">
        <f>IF(Q807="Entregado",NETWORKDAYS.INTL(A807,P807,11,Valores!$A$2:$A$18)-1,"PTE")</f>
        <v>2</v>
      </c>
      <c r="T807" s="25"/>
      <c r="U807" s="25"/>
      <c r="V807" s="25" t="str">
        <f>IF(Q807="Entregado",IF(S807&lt;=VLOOKUP(K807,Valores!E:F,2,0),"Cumple","No cumple"),"PTE")</f>
        <v>Cumple</v>
      </c>
      <c r="W807" s="25"/>
      <c r="X807" s="29">
        <v>42262</v>
      </c>
      <c r="Y807" s="224"/>
      <c r="Z807" s="28"/>
    </row>
    <row r="808" spans="1:26" hidden="1" x14ac:dyDescent="0.3">
      <c r="A808" s="34">
        <v>45848</v>
      </c>
      <c r="B808" s="7" t="str">
        <f t="shared" ref="B808:B818" si="131">TEXT(A808,"mmmm")</f>
        <v>julio</v>
      </c>
      <c r="C808" s="27" t="s">
        <v>1432</v>
      </c>
      <c r="D808" s="23" t="s">
        <v>20</v>
      </c>
      <c r="E808" s="197" t="s">
        <v>1434</v>
      </c>
      <c r="F808" s="22" t="s">
        <v>60</v>
      </c>
      <c r="G808" s="32" t="str">
        <f>IFERROR(VLOOKUP(F808,Productos!$A$2:$D$258,2,0)," ")</f>
        <v>Superficie Niebla 180x70 Moderno</v>
      </c>
      <c r="H808" s="7">
        <v>1</v>
      </c>
      <c r="I808" s="32" t="str">
        <f>IFERROR(VLOOKUP(F808,Productos!$A$2:$D$258,3,0)," ")</f>
        <v>Superficie</v>
      </c>
      <c r="J808" s="198" t="s">
        <v>189</v>
      </c>
      <c r="K808" s="198" t="s">
        <v>45</v>
      </c>
      <c r="L808" s="26" t="str">
        <f t="shared" si="130"/>
        <v>Despachado</v>
      </c>
      <c r="M808" s="56" t="s">
        <v>238</v>
      </c>
      <c r="N808" s="198" t="s">
        <v>1439</v>
      </c>
      <c r="O808" s="150">
        <v>45855</v>
      </c>
      <c r="P808" s="151">
        <v>45859</v>
      </c>
      <c r="Q808" s="24" t="str">
        <f t="shared" si="125"/>
        <v>Entregado</v>
      </c>
      <c r="R808" s="25">
        <f>IF(L808="Despachado",NETWORKDAYS.INTL(A808,O808,11,Valores!$A$2:$A$18)-1,"PTE")</f>
        <v>6</v>
      </c>
      <c r="S808" s="25">
        <f>IF(Q808="Entregado",NETWORKDAYS.INTL(A808,P808,11,Valores!$A$2:$A$18)-1,"PTE")</f>
        <v>9</v>
      </c>
      <c r="T808" s="25"/>
      <c r="U808" s="25"/>
      <c r="V808" s="25" t="str">
        <f>IF(Q808="Entregado",IF(S808&lt;=VLOOKUP(K808,Valores!E:F,2,0),"Cumple","No cumple"),"PTE")</f>
        <v>No cumple</v>
      </c>
      <c r="W808" s="25"/>
      <c r="X808" s="29">
        <v>47524</v>
      </c>
      <c r="Y808" s="224"/>
      <c r="Z808" s="28"/>
    </row>
    <row r="809" spans="1:26" hidden="1" x14ac:dyDescent="0.3">
      <c r="A809" s="34">
        <v>45916</v>
      </c>
      <c r="B809" s="7" t="str">
        <f t="shared" si="131"/>
        <v>septiembre</v>
      </c>
      <c r="C809" s="27">
        <v>100114</v>
      </c>
      <c r="D809" s="23" t="s">
        <v>20</v>
      </c>
      <c r="E809" s="199" t="s">
        <v>1440</v>
      </c>
      <c r="F809" s="22" t="s">
        <v>57</v>
      </c>
      <c r="G809" s="32" t="str">
        <f>IFERROR(VLOOKUP(F809,Productos!$A$2:$D$258,2,0)," ")</f>
        <v>Electric Standing Desk  En L Frame Negro 2.0</v>
      </c>
      <c r="H809" s="7">
        <v>1</v>
      </c>
      <c r="I809" s="32" t="str">
        <f>IFERROR(VLOOKUP(F809,Productos!$A$2:$D$258,3,0)," ")</f>
        <v>Standing Desk</v>
      </c>
      <c r="J809" s="139" t="s">
        <v>21</v>
      </c>
      <c r="K809" s="198" t="s">
        <v>22</v>
      </c>
      <c r="L809" s="26" t="str">
        <f t="shared" si="130"/>
        <v>En alistamiento</v>
      </c>
      <c r="M809" s="56" t="s">
        <v>238</v>
      </c>
      <c r="N809" s="198"/>
      <c r="O809" s="150"/>
      <c r="P809" s="151"/>
      <c r="Q809" s="24" t="str">
        <f t="shared" si="125"/>
        <v>En transito</v>
      </c>
      <c r="R809" s="25" t="str">
        <f>IF(L809="Despachado",NETWORKDAYS.INTL(A809,O809,11,Valores!$A$2:$A$18)-1,"PTE")</f>
        <v>PTE</v>
      </c>
      <c r="S809" s="25" t="str">
        <f>IF(Q809="Entregado",NETWORKDAYS.INTL(A809,P809,11,Valores!$A$2:$A$18)-1,"PTE")</f>
        <v>PTE</v>
      </c>
      <c r="T809" s="25"/>
      <c r="U809" s="25"/>
      <c r="V809" s="25" t="str">
        <f>IF(Q809="Entregado",IF(S809&lt;=VLOOKUP(K809,Valores!E:F,2,0),"Cumple","No cumple"),"PTE")</f>
        <v>PTE</v>
      </c>
      <c r="W809" s="25"/>
      <c r="X809" s="29"/>
      <c r="Y809" s="224"/>
      <c r="Z809" s="28"/>
    </row>
    <row r="810" spans="1:26" hidden="1" x14ac:dyDescent="0.3">
      <c r="A810" s="34">
        <v>45916</v>
      </c>
      <c r="B810" s="7" t="str">
        <f t="shared" si="131"/>
        <v>septiembre</v>
      </c>
      <c r="C810" s="27">
        <v>100114</v>
      </c>
      <c r="D810" s="23" t="s">
        <v>20</v>
      </c>
      <c r="E810" s="199" t="s">
        <v>1440</v>
      </c>
      <c r="F810" s="22" t="s">
        <v>300</v>
      </c>
      <c r="G810" s="32" t="str">
        <f>IFERROR(VLOOKUP(F810,Productos!$A$2:$D$258,2,0)," ")</f>
        <v>Superficie en L Fresno 180x150cm x 70</v>
      </c>
      <c r="H810" s="7">
        <v>1</v>
      </c>
      <c r="I810" s="32" t="str">
        <f>IFERROR(VLOOKUP(F810,Productos!$A$2:$D$258,3,0)," ")</f>
        <v>Superficie</v>
      </c>
      <c r="J810" s="139" t="s">
        <v>21</v>
      </c>
      <c r="K810" s="198" t="s">
        <v>22</v>
      </c>
      <c r="L810" s="26" t="str">
        <f t="shared" si="130"/>
        <v>En alistamiento</v>
      </c>
      <c r="M810" s="56" t="s">
        <v>238</v>
      </c>
      <c r="N810" s="198"/>
      <c r="O810" s="150"/>
      <c r="P810" s="151"/>
      <c r="Q810" s="24" t="str">
        <f t="shared" si="125"/>
        <v>En transito</v>
      </c>
      <c r="R810" s="25" t="str">
        <f>IF(L810="Despachado",NETWORKDAYS.INTL(A810,O810,11,Valores!$A$2:$A$18)-1,"PTE")</f>
        <v>PTE</v>
      </c>
      <c r="S810" s="25" t="str">
        <f>IF(Q810="Entregado",NETWORKDAYS.INTL(A810,P810,11,Valores!$A$2:$A$18)-1,"PTE")</f>
        <v>PTE</v>
      </c>
      <c r="T810" s="25"/>
      <c r="U810" s="25"/>
      <c r="V810" s="25" t="str">
        <f>IF(Q810="Entregado",IF(S810&lt;=VLOOKUP(K810,Valores!E:F,2,0),"Cumple","No cumple"),"PTE")</f>
        <v>PTE</v>
      </c>
      <c r="W810" s="25"/>
      <c r="X810" s="29"/>
      <c r="Y810" s="224"/>
      <c r="Z810" s="28"/>
    </row>
    <row r="811" spans="1:26" hidden="1" x14ac:dyDescent="0.3">
      <c r="A811" s="34">
        <v>45916</v>
      </c>
      <c r="B811" s="7" t="str">
        <f t="shared" si="131"/>
        <v>septiembre</v>
      </c>
      <c r="C811" s="27">
        <v>100114</v>
      </c>
      <c r="D811" s="23" t="s">
        <v>20</v>
      </c>
      <c r="E811" s="199" t="s">
        <v>1440</v>
      </c>
      <c r="F811" s="22"/>
      <c r="G811" s="32" t="s">
        <v>1796</v>
      </c>
      <c r="H811" s="7">
        <v>1</v>
      </c>
      <c r="I811" s="32" t="s">
        <v>327</v>
      </c>
      <c r="J811" s="139" t="s">
        <v>21</v>
      </c>
      <c r="K811" s="198" t="s">
        <v>22</v>
      </c>
      <c r="L811" s="26" t="str">
        <f t="shared" si="130"/>
        <v>Despachado</v>
      </c>
      <c r="M811" s="56" t="s">
        <v>241</v>
      </c>
      <c r="N811" s="218" t="s">
        <v>241</v>
      </c>
      <c r="O811" s="219" t="s">
        <v>241</v>
      </c>
      <c r="P811" s="220" t="s">
        <v>241</v>
      </c>
      <c r="Q811" s="24" t="str">
        <f t="shared" si="125"/>
        <v>Entregado</v>
      </c>
      <c r="R811" s="25" t="e">
        <f>IF(L811="Despachado",NETWORKDAYS.INTL(A811,O811,11,Valores!$A$2:$A$18)-1,"PTE")</f>
        <v>#VALUE!</v>
      </c>
      <c r="S811" s="25" t="e">
        <f>IF(Q811="Entregado",NETWORKDAYS.INTL(A811,P811,11,Valores!$A$2:$A$18)-1,"PTE")</f>
        <v>#VALUE!</v>
      </c>
      <c r="T811" s="25"/>
      <c r="U811" s="25"/>
      <c r="V811" s="25" t="e">
        <f>IF(Q811="Entregado",IF(S811&lt;=VLOOKUP(K811,Valores!E:F,2,0),"Cumple","No cumple"),"PTE")</f>
        <v>#VALUE!</v>
      </c>
      <c r="W811" s="25"/>
      <c r="X811" s="29"/>
      <c r="Y811" s="224"/>
      <c r="Z811" s="28"/>
    </row>
    <row r="812" spans="1:26" hidden="1" x14ac:dyDescent="0.3">
      <c r="A812" s="34">
        <v>45916</v>
      </c>
      <c r="B812" s="7" t="str">
        <f t="shared" si="131"/>
        <v>septiembre</v>
      </c>
      <c r="C812" s="27">
        <v>100115</v>
      </c>
      <c r="D812" s="23" t="s">
        <v>20</v>
      </c>
      <c r="E812" s="199" t="s">
        <v>1441</v>
      </c>
      <c r="F812" s="22" t="s">
        <v>240</v>
      </c>
      <c r="G812" s="32" t="str">
        <f>IFERROR(VLOOKUP(F812,Productos!$A$2:$D$258,2,0)," ")</f>
        <v>Bandeja de cables</v>
      </c>
      <c r="H812" s="7">
        <v>1</v>
      </c>
      <c r="I812" s="32" t="str">
        <f>IFERROR(VLOOKUP(F812,Productos!$A$2:$D$258,3,0)," ")</f>
        <v>Accesorio</v>
      </c>
      <c r="J812" s="139" t="s">
        <v>21</v>
      </c>
      <c r="K812" s="198" t="s">
        <v>22</v>
      </c>
      <c r="L812" s="26" t="str">
        <f t="shared" ref="L812:L830" si="132">IF(O812&gt;0,"Despachado","En alistamiento")</f>
        <v>En alistamiento</v>
      </c>
      <c r="M812" s="56" t="s">
        <v>238</v>
      </c>
      <c r="N812" s="198"/>
      <c r="O812" s="150"/>
      <c r="P812" s="151"/>
      <c r="Q812" s="24" t="str">
        <f t="shared" si="125"/>
        <v>En transito</v>
      </c>
      <c r="R812" s="25" t="str">
        <f>IF(L812="Despachado",NETWORKDAYS.INTL(A812,O812,11,Valores!$A$2:$A$18)-1,"PTE")</f>
        <v>PTE</v>
      </c>
      <c r="S812" s="25" t="str">
        <f>IF(Q812="Entregado",NETWORKDAYS.INTL(A812,P812,11,Valores!$A$2:$A$18)-1,"PTE")</f>
        <v>PTE</v>
      </c>
      <c r="T812" s="25"/>
      <c r="U812" s="25"/>
      <c r="V812" s="25" t="str">
        <f>IF(Q812="Entregado",IF(S812&lt;=VLOOKUP(K812,Valores!E:F,2,0),"Cumple","No cumple"),"PTE")</f>
        <v>PTE</v>
      </c>
      <c r="W812" s="25"/>
      <c r="X812" s="29"/>
      <c r="Y812" s="224"/>
      <c r="Z812" s="28"/>
    </row>
    <row r="813" spans="1:26" hidden="1" x14ac:dyDescent="0.3">
      <c r="A813" s="34">
        <v>45916</v>
      </c>
      <c r="B813" s="7" t="str">
        <f t="shared" si="131"/>
        <v>septiembre</v>
      </c>
      <c r="C813" s="27">
        <v>100116</v>
      </c>
      <c r="D813" s="23" t="s">
        <v>20</v>
      </c>
      <c r="E813" s="199" t="s">
        <v>1442</v>
      </c>
      <c r="F813" s="40" t="s">
        <v>123</v>
      </c>
      <c r="G813" s="32" t="str">
        <f>IFERROR(VLOOKUP(F813,Productos!$A$2:$D$258,2,0)," ")</f>
        <v>Electric Standing Desk GO Negro</v>
      </c>
      <c r="H813" s="7">
        <v>1</v>
      </c>
      <c r="I813" s="32" t="str">
        <f>IFERROR(VLOOKUP(F813,Productos!$A$2:$D$258,3,0)," ")</f>
        <v>Standing Desk</v>
      </c>
      <c r="J813" s="139" t="s">
        <v>21</v>
      </c>
      <c r="K813" s="198" t="s">
        <v>22</v>
      </c>
      <c r="L813" s="26" t="str">
        <f t="shared" si="132"/>
        <v>En alistamiento</v>
      </c>
      <c r="M813" s="56" t="s">
        <v>238</v>
      </c>
      <c r="N813" s="198"/>
      <c r="O813" s="150"/>
      <c r="P813" s="151"/>
      <c r="Q813" s="24" t="str">
        <f t="shared" si="125"/>
        <v>En transito</v>
      </c>
      <c r="R813" s="25" t="str">
        <f>IF(L813="Despachado",NETWORKDAYS.INTL(A813,O813,11,Valores!$A$2:$A$18)-1,"PTE")</f>
        <v>PTE</v>
      </c>
      <c r="S813" s="25" t="str">
        <f>IF(Q813="Entregado",NETWORKDAYS.INTL(A813,P813,11,Valores!$A$2:$A$18)-1,"PTE")</f>
        <v>PTE</v>
      </c>
      <c r="T813" s="25"/>
      <c r="U813" s="25"/>
      <c r="V813" s="25" t="str">
        <f>IF(Q813="Entregado",IF(S813&lt;=VLOOKUP(K813,Valores!E:F,2,0),"Cumple","No cumple"),"PTE")</f>
        <v>PTE</v>
      </c>
      <c r="W813" s="25"/>
      <c r="X813" s="29"/>
      <c r="Y813" s="224"/>
      <c r="Z813" s="28"/>
    </row>
    <row r="814" spans="1:26" hidden="1" x14ac:dyDescent="0.3">
      <c r="A814" s="34">
        <v>45917</v>
      </c>
      <c r="B814" s="7" t="str">
        <f t="shared" si="131"/>
        <v>septiembre</v>
      </c>
      <c r="C814" s="27">
        <v>100117</v>
      </c>
      <c r="D814" s="23" t="s">
        <v>20</v>
      </c>
      <c r="E814" s="199" t="s">
        <v>1443</v>
      </c>
      <c r="F814" s="22" t="s">
        <v>129</v>
      </c>
      <c r="G814" s="32" t="str">
        <f>IFERROR(VLOOKUP(F814,Productos!$A$2:$D$258,2,0)," ")</f>
        <v>Electric Standing Desk  PRO Negro</v>
      </c>
      <c r="H814" s="7">
        <v>1</v>
      </c>
      <c r="I814" s="32" t="str">
        <f>IFERROR(VLOOKUP(F814,Productos!$A$2:$D$258,3,0)," ")</f>
        <v>Standing Desk</v>
      </c>
      <c r="J814" s="200" t="s">
        <v>189</v>
      </c>
      <c r="K814" s="200" t="s">
        <v>45</v>
      </c>
      <c r="L814" s="26" t="str">
        <f t="shared" si="132"/>
        <v>En alistamiento</v>
      </c>
      <c r="M814" s="56" t="s">
        <v>238</v>
      </c>
      <c r="N814" s="198"/>
      <c r="O814" s="150"/>
      <c r="P814" s="151"/>
      <c r="Q814" s="24" t="str">
        <f t="shared" si="125"/>
        <v>En transito</v>
      </c>
      <c r="R814" s="25" t="str">
        <f>IF(L814="Despachado",NETWORKDAYS.INTL(A814,O814,11,Valores!$A$2:$A$18)-1,"PTE")</f>
        <v>PTE</v>
      </c>
      <c r="S814" s="25" t="str">
        <f>IF(Q814="Entregado",NETWORKDAYS.INTL(A814,P814,11,Valores!$A$2:$A$18)-1,"PTE")</f>
        <v>PTE</v>
      </c>
      <c r="T814" s="25"/>
      <c r="U814" s="25"/>
      <c r="V814" s="25" t="str">
        <f>IF(Q814="Entregado",IF(S814&lt;=VLOOKUP(K814,Valores!E:F,2,0),"Cumple","No cumple"),"PTE")</f>
        <v>PTE</v>
      </c>
      <c r="W814" s="25"/>
      <c r="X814" s="29"/>
      <c r="Y814" s="224"/>
      <c r="Z814" s="28"/>
    </row>
    <row r="815" spans="1:26" hidden="1" x14ac:dyDescent="0.3">
      <c r="A815" s="34">
        <v>45917</v>
      </c>
      <c r="B815" s="7" t="str">
        <f t="shared" si="131"/>
        <v>septiembre</v>
      </c>
      <c r="C815" s="27">
        <v>100117</v>
      </c>
      <c r="D815" s="23" t="s">
        <v>20</v>
      </c>
      <c r="E815" s="199" t="s">
        <v>1443</v>
      </c>
      <c r="F815" s="22" t="s">
        <v>301</v>
      </c>
      <c r="G815" s="32" t="str">
        <f>IFERROR(VLOOKUP(F815,Productos!$A$2:$D$258,2,0)," ")</f>
        <v>Superficie  Fresno Europeo 120x70 Clasico Small</v>
      </c>
      <c r="H815" s="7">
        <v>1</v>
      </c>
      <c r="I815" s="32" t="str">
        <f>IFERROR(VLOOKUP(F815,Productos!$A$2:$D$258,3,0)," ")</f>
        <v>Superficie</v>
      </c>
      <c r="J815" s="200" t="s">
        <v>189</v>
      </c>
      <c r="K815" s="200" t="s">
        <v>45</v>
      </c>
      <c r="L815" s="26" t="str">
        <f t="shared" si="132"/>
        <v>En alistamiento</v>
      </c>
      <c r="M815" s="56" t="s">
        <v>238</v>
      </c>
      <c r="N815" s="198"/>
      <c r="O815" s="150"/>
      <c r="P815" s="151"/>
      <c r="Q815" s="24" t="str">
        <f t="shared" si="125"/>
        <v>En transito</v>
      </c>
      <c r="R815" s="25" t="str">
        <f>IF(L815="Despachado",NETWORKDAYS.INTL(A815,O815,11,Valores!$A$2:$A$18)-1,"PTE")</f>
        <v>PTE</v>
      </c>
      <c r="S815" s="25" t="str">
        <f>IF(Q815="Entregado",NETWORKDAYS.INTL(A815,P815,11,Valores!$A$2:$A$18)-1,"PTE")</f>
        <v>PTE</v>
      </c>
      <c r="T815" s="25"/>
      <c r="U815" s="25"/>
      <c r="V815" s="25" t="str">
        <f>IF(Q815="Entregado",IF(S815&lt;=VLOOKUP(K815,Valores!E:F,2,0),"Cumple","No cumple"),"PTE")</f>
        <v>PTE</v>
      </c>
      <c r="W815" s="25"/>
      <c r="X815" s="29"/>
      <c r="Y815" s="224"/>
      <c r="Z815" s="28"/>
    </row>
    <row r="816" spans="1:26" hidden="1" x14ac:dyDescent="0.3">
      <c r="A816" s="34">
        <v>45917</v>
      </c>
      <c r="B816" s="7" t="str">
        <f t="shared" si="131"/>
        <v>septiembre</v>
      </c>
      <c r="C816" s="27">
        <v>100117</v>
      </c>
      <c r="D816" s="23" t="s">
        <v>20</v>
      </c>
      <c r="E816" s="199" t="s">
        <v>1443</v>
      </c>
      <c r="F816" s="22" t="s">
        <v>240</v>
      </c>
      <c r="G816" s="32" t="str">
        <f>IFERROR(VLOOKUP(F816,Productos!$A$2:$D$258,2,0)," ")</f>
        <v>Bandeja de cables</v>
      </c>
      <c r="H816" s="7">
        <v>1</v>
      </c>
      <c r="I816" s="32" t="str">
        <f>IFERROR(VLOOKUP(F816,Productos!$A$2:$D$258,3,0)," ")</f>
        <v>Accesorio</v>
      </c>
      <c r="J816" s="200" t="s">
        <v>189</v>
      </c>
      <c r="K816" s="200" t="s">
        <v>45</v>
      </c>
      <c r="L816" s="26" t="str">
        <f t="shared" si="132"/>
        <v>En alistamiento</v>
      </c>
      <c r="M816" s="56" t="s">
        <v>238</v>
      </c>
      <c r="N816" s="198"/>
      <c r="O816" s="150"/>
      <c r="P816" s="151"/>
      <c r="Q816" s="24" t="str">
        <f t="shared" si="125"/>
        <v>En transito</v>
      </c>
      <c r="R816" s="25" t="str">
        <f>IF(L816="Despachado",NETWORKDAYS.INTL(A816,O816,11,Valores!$A$2:$A$18)-1,"PTE")</f>
        <v>PTE</v>
      </c>
      <c r="S816" s="25" t="str">
        <f>IF(Q816="Entregado",NETWORKDAYS.INTL(A816,P816,11,Valores!$A$2:$A$18)-1,"PTE")</f>
        <v>PTE</v>
      </c>
      <c r="T816" s="25"/>
      <c r="U816" s="25"/>
      <c r="V816" s="25" t="str">
        <f>IF(Q816="Entregado",IF(S816&lt;=VLOOKUP(K816,Valores!E:F,2,0),"Cumple","No cumple"),"PTE")</f>
        <v>PTE</v>
      </c>
      <c r="W816" s="25"/>
      <c r="X816" s="29"/>
      <c r="Y816" s="224"/>
      <c r="Z816" s="28"/>
    </row>
    <row r="817" spans="1:26" hidden="1" x14ac:dyDescent="0.3">
      <c r="A817" s="34">
        <v>45917</v>
      </c>
      <c r="B817" s="7" t="str">
        <f t="shared" si="131"/>
        <v>septiembre</v>
      </c>
      <c r="C817" s="27">
        <v>100118</v>
      </c>
      <c r="D817" s="23" t="s">
        <v>20</v>
      </c>
      <c r="E817" s="199" t="s">
        <v>1444</v>
      </c>
      <c r="F817" s="22" t="s">
        <v>129</v>
      </c>
      <c r="G817" s="32" t="str">
        <f>IFERROR(VLOOKUP(F817,Productos!$A$2:$D$258,2,0)," ")</f>
        <v>Electric Standing Desk  PRO Negro</v>
      </c>
      <c r="H817" s="7">
        <v>1</v>
      </c>
      <c r="I817" s="32" t="str">
        <f>IFERROR(VLOOKUP(F817,Productos!$A$2:$D$258,3,0)," ")</f>
        <v>Standing Desk</v>
      </c>
      <c r="J817" s="200" t="s">
        <v>24</v>
      </c>
      <c r="K817" s="200" t="s">
        <v>1086</v>
      </c>
      <c r="L817" s="26" t="str">
        <f t="shared" si="132"/>
        <v>En alistamiento</v>
      </c>
      <c r="M817" s="56" t="s">
        <v>238</v>
      </c>
      <c r="N817" s="198"/>
      <c r="O817" s="150"/>
      <c r="P817" s="151"/>
      <c r="Q817" s="24" t="str">
        <f t="shared" si="125"/>
        <v>En transito</v>
      </c>
      <c r="R817" s="25" t="str">
        <f>IF(L817="Despachado",NETWORKDAYS.INTL(A817,O817,11,Valores!$A$2:$A$18)-1,"PTE")</f>
        <v>PTE</v>
      </c>
      <c r="S817" s="25" t="str">
        <f>IF(Q817="Entregado",NETWORKDAYS.INTL(A817,P817,11,Valores!$A$2:$A$18)-1,"PTE")</f>
        <v>PTE</v>
      </c>
      <c r="T817" s="25"/>
      <c r="U817" s="25"/>
      <c r="V817" s="25" t="str">
        <f>IF(Q817="Entregado",IF(S817&lt;=VLOOKUP(K817,Valores!E:F,2,0),"Cumple","No cumple"),"PTE")</f>
        <v>PTE</v>
      </c>
      <c r="W817" s="25"/>
      <c r="X817" s="29"/>
      <c r="Y817" s="224"/>
      <c r="Z817" s="28"/>
    </row>
    <row r="818" spans="1:26" hidden="1" x14ac:dyDescent="0.3">
      <c r="A818" s="34">
        <v>45917</v>
      </c>
      <c r="B818" s="7" t="str">
        <f t="shared" si="131"/>
        <v>septiembre</v>
      </c>
      <c r="C818" s="27">
        <v>100118</v>
      </c>
      <c r="D818" s="23" t="s">
        <v>20</v>
      </c>
      <c r="E818" s="199" t="s">
        <v>1444</v>
      </c>
      <c r="F818" s="22" t="s">
        <v>110</v>
      </c>
      <c r="G818" s="32" t="str">
        <f>IFERROR(VLOOKUP(F818,Productos!$A$2:$D$258,2,0)," ")</f>
        <v>Superficie  Roble negro 150x70 Clasico</v>
      </c>
      <c r="H818" s="7">
        <v>1</v>
      </c>
      <c r="I818" s="32" t="str">
        <f>IFERROR(VLOOKUP(F818,Productos!$A$2:$D$258,3,0)," ")</f>
        <v>Superficie</v>
      </c>
      <c r="J818" s="200" t="s">
        <v>24</v>
      </c>
      <c r="K818" s="200" t="s">
        <v>1086</v>
      </c>
      <c r="L818" s="26" t="str">
        <f t="shared" si="132"/>
        <v>En alistamiento</v>
      </c>
      <c r="M818" s="56" t="s">
        <v>238</v>
      </c>
      <c r="N818" s="198"/>
      <c r="O818" s="150"/>
      <c r="P818" s="151"/>
      <c r="Q818" s="24" t="str">
        <f t="shared" si="125"/>
        <v>En transito</v>
      </c>
      <c r="R818" s="25" t="str">
        <f>IF(L818="Despachado",NETWORKDAYS.INTL(A818,O818,11,Valores!$A$2:$A$18)-1,"PTE")</f>
        <v>PTE</v>
      </c>
      <c r="S818" s="25" t="str">
        <f>IF(Q818="Entregado",NETWORKDAYS.INTL(A818,P818,11,Valores!$A$2:$A$18)-1,"PTE")</f>
        <v>PTE</v>
      </c>
      <c r="T818" s="25"/>
      <c r="U818" s="25"/>
      <c r="V818" s="25" t="str">
        <f>IF(Q818="Entregado",IF(S818&lt;=VLOOKUP(K818,Valores!E:F,2,0),"Cumple","No cumple"),"PTE")</f>
        <v>PTE</v>
      </c>
      <c r="W818" s="25"/>
      <c r="X818" s="29"/>
      <c r="Y818" s="224"/>
      <c r="Z818" s="28"/>
    </row>
    <row r="819" spans="1:26" hidden="1" x14ac:dyDescent="0.3">
      <c r="A819" s="34">
        <v>45917</v>
      </c>
      <c r="B819" s="7" t="str">
        <f t="shared" ref="B819:B829" si="133">TEXT(A819,"mmmm")</f>
        <v>septiembre</v>
      </c>
      <c r="C819" s="27">
        <v>100118</v>
      </c>
      <c r="D819" s="23" t="s">
        <v>20</v>
      </c>
      <c r="E819" s="199" t="s">
        <v>1444</v>
      </c>
      <c r="F819" s="22" t="s">
        <v>65</v>
      </c>
      <c r="G819" s="32" t="str">
        <f>IFERROR(VLOOKUP(F819,Productos!$A$2:$D$258,2,0)," ")</f>
        <v>Archivador TECU  Negro</v>
      </c>
      <c r="H819" s="7">
        <v>1</v>
      </c>
      <c r="I819" s="32" t="str">
        <f>IFERROR(VLOOKUP(F819,Productos!$A$2:$D$258,3,0)," ")</f>
        <v>Archivador</v>
      </c>
      <c r="J819" s="200" t="s">
        <v>24</v>
      </c>
      <c r="K819" s="200" t="s">
        <v>1086</v>
      </c>
      <c r="L819" s="26" t="str">
        <f t="shared" si="132"/>
        <v>En alistamiento</v>
      </c>
      <c r="M819" s="56" t="s">
        <v>238</v>
      </c>
      <c r="N819" s="198"/>
      <c r="O819" s="150"/>
      <c r="P819" s="151"/>
      <c r="Q819" s="24" t="str">
        <f t="shared" si="125"/>
        <v>En transito</v>
      </c>
      <c r="R819" s="25" t="str">
        <f>IF(L819="Despachado",NETWORKDAYS.INTL(A819,O819,11,Valores!$A$2:$A$18)-1,"PTE")</f>
        <v>PTE</v>
      </c>
      <c r="S819" s="25" t="str">
        <f>IF(Q819="Entregado",NETWORKDAYS.INTL(A819,P819,11,Valores!$A$2:$A$18)-1,"PTE")</f>
        <v>PTE</v>
      </c>
      <c r="T819" s="25"/>
      <c r="U819" s="25"/>
      <c r="V819" s="25" t="str">
        <f>IF(Q819="Entregado",IF(S819&lt;=VLOOKUP(K819,Valores!E:F,2,0),"Cumple","No cumple"),"PTE")</f>
        <v>PTE</v>
      </c>
      <c r="W819" s="25"/>
      <c r="X819" s="29"/>
      <c r="Y819" s="224"/>
      <c r="Z819" s="28"/>
    </row>
    <row r="820" spans="1:26" hidden="1" x14ac:dyDescent="0.3">
      <c r="A820" s="34">
        <v>45918</v>
      </c>
      <c r="B820" s="7" t="str">
        <f t="shared" si="133"/>
        <v>septiembre</v>
      </c>
      <c r="C820" s="27">
        <v>100119</v>
      </c>
      <c r="D820" s="23" t="s">
        <v>20</v>
      </c>
      <c r="E820" s="201" t="s">
        <v>1445</v>
      </c>
      <c r="F820" s="22" t="s">
        <v>129</v>
      </c>
      <c r="G820" s="32" t="str">
        <f>IFERROR(VLOOKUP(F820,Productos!$A$2:$D$258,2,0)," ")</f>
        <v>Electric Standing Desk  PRO Negro</v>
      </c>
      <c r="H820" s="7">
        <v>1</v>
      </c>
      <c r="I820" s="32" t="str">
        <f>IFERROR(VLOOKUP(F820,Productos!$A$2:$D$258,3,0)," ")</f>
        <v>Standing Desk</v>
      </c>
      <c r="J820" s="200" t="s">
        <v>24</v>
      </c>
      <c r="K820" s="202" t="s">
        <v>27</v>
      </c>
      <c r="L820" s="26" t="str">
        <f t="shared" si="132"/>
        <v>En alistamiento</v>
      </c>
      <c r="M820" s="56" t="s">
        <v>238</v>
      </c>
      <c r="N820" s="198"/>
      <c r="O820" s="150"/>
      <c r="P820" s="151"/>
      <c r="Q820" s="24" t="str">
        <f t="shared" si="125"/>
        <v>En transito</v>
      </c>
      <c r="R820" s="25" t="str">
        <f>IF(L820="Despachado",NETWORKDAYS.INTL(A820,O820,11,Valores!$A$2:$A$18)-1,"PTE")</f>
        <v>PTE</v>
      </c>
      <c r="S820" s="25" t="str">
        <f>IF(Q820="Entregado",NETWORKDAYS.INTL(A820,P820,11,Valores!$A$2:$A$18)-1,"PTE")</f>
        <v>PTE</v>
      </c>
      <c r="T820" s="25"/>
      <c r="U820" s="25"/>
      <c r="V820" s="25" t="str">
        <f>IF(Q820="Entregado",IF(S820&lt;=VLOOKUP(K820,Valores!E:F,2,0),"Cumple","No cumple"),"PTE")</f>
        <v>PTE</v>
      </c>
      <c r="W820" s="25"/>
      <c r="X820" s="29"/>
      <c r="Y820" s="224"/>
      <c r="Z820" s="28"/>
    </row>
    <row r="821" spans="1:26" hidden="1" x14ac:dyDescent="0.3">
      <c r="A821" s="34">
        <v>45918</v>
      </c>
      <c r="B821" s="7" t="str">
        <f t="shared" si="133"/>
        <v>septiembre</v>
      </c>
      <c r="C821" s="27">
        <v>100119</v>
      </c>
      <c r="D821" s="23" t="s">
        <v>20</v>
      </c>
      <c r="E821" s="201" t="s">
        <v>1445</v>
      </c>
      <c r="F821" s="22" t="s">
        <v>107</v>
      </c>
      <c r="G821" s="32" t="str">
        <f>IFERROR(VLOOKUP(F821,Productos!$A$2:$D$258,2,0)," ")</f>
        <v>Superficie  Caramelo 120x70 Clasico Small</v>
      </c>
      <c r="H821" s="7">
        <v>1</v>
      </c>
      <c r="I821" s="32" t="str">
        <f>IFERROR(VLOOKUP(F821,Productos!$A$2:$D$258,3,0)," ")</f>
        <v>Superficie</v>
      </c>
      <c r="J821" s="200" t="s">
        <v>24</v>
      </c>
      <c r="K821" s="202" t="s">
        <v>27</v>
      </c>
      <c r="L821" s="26" t="str">
        <f t="shared" si="132"/>
        <v>En alistamiento</v>
      </c>
      <c r="M821" s="56" t="s">
        <v>238</v>
      </c>
      <c r="N821" s="198"/>
      <c r="O821" s="150"/>
      <c r="P821" s="151"/>
      <c r="Q821" s="24" t="str">
        <f t="shared" si="125"/>
        <v>En transito</v>
      </c>
      <c r="R821" s="25" t="str">
        <f>IF(L821="Despachado",NETWORKDAYS.INTL(A821,O821,11,Valores!$A$2:$A$18)-1,"PTE")</f>
        <v>PTE</v>
      </c>
      <c r="S821" s="25" t="str">
        <f>IF(Q821="Entregado",NETWORKDAYS.INTL(A821,P821,11,Valores!$A$2:$A$18)-1,"PTE")</f>
        <v>PTE</v>
      </c>
      <c r="T821" s="25"/>
      <c r="U821" s="25"/>
      <c r="V821" s="25" t="str">
        <f>IF(Q821="Entregado",IF(S821&lt;=VLOOKUP(K821,Valores!E:F,2,0),"Cumple","No cumple"),"PTE")</f>
        <v>PTE</v>
      </c>
      <c r="W821" s="25"/>
      <c r="X821" s="29"/>
      <c r="Y821" s="224"/>
      <c r="Z821" s="28"/>
    </row>
    <row r="822" spans="1:26" hidden="1" x14ac:dyDescent="0.3">
      <c r="A822" s="34">
        <v>45918</v>
      </c>
      <c r="B822" s="7" t="str">
        <f t="shared" si="133"/>
        <v>septiembre</v>
      </c>
      <c r="C822" s="27">
        <v>100119</v>
      </c>
      <c r="D822" s="23" t="s">
        <v>20</v>
      </c>
      <c r="E822" s="201" t="s">
        <v>1445</v>
      </c>
      <c r="F822" s="22"/>
      <c r="G822" s="32" t="s">
        <v>1796</v>
      </c>
      <c r="H822" s="7">
        <v>1</v>
      </c>
      <c r="I822" s="32" t="s">
        <v>327</v>
      </c>
      <c r="J822" s="200" t="s">
        <v>24</v>
      </c>
      <c r="K822" s="202" t="s">
        <v>27</v>
      </c>
      <c r="L822" s="26" t="str">
        <f t="shared" si="132"/>
        <v>Despachado</v>
      </c>
      <c r="M822" s="56" t="s">
        <v>241</v>
      </c>
      <c r="N822" s="218" t="s">
        <v>241</v>
      </c>
      <c r="O822" s="219" t="s">
        <v>241</v>
      </c>
      <c r="P822" s="220" t="s">
        <v>241</v>
      </c>
      <c r="Q822" s="24" t="str">
        <f t="shared" si="125"/>
        <v>Entregado</v>
      </c>
      <c r="R822" s="25" t="e">
        <f>IF(L822="Despachado",NETWORKDAYS.INTL(A822,O822,11,Valores!$A$2:$A$18)-1,"PTE")</f>
        <v>#VALUE!</v>
      </c>
      <c r="S822" s="25" t="e">
        <f>IF(Q822="Entregado",NETWORKDAYS.INTL(A822,P822,11,Valores!$A$2:$A$18)-1,"PTE")</f>
        <v>#VALUE!</v>
      </c>
      <c r="T822" s="25"/>
      <c r="U822" s="25"/>
      <c r="V822" s="25" t="e">
        <f>IF(Q822="Entregado",IF(S822&lt;=VLOOKUP(K822,Valores!E:F,2,0),"Cumple","No cumple"),"PTE")</f>
        <v>#VALUE!</v>
      </c>
      <c r="W822" s="25"/>
      <c r="X822" s="29"/>
      <c r="Y822" s="224"/>
      <c r="Z822" s="28"/>
    </row>
    <row r="823" spans="1:26" hidden="1" x14ac:dyDescent="0.3">
      <c r="A823" s="34">
        <v>45919</v>
      </c>
      <c r="B823" s="7" t="str">
        <f t="shared" si="133"/>
        <v>septiembre</v>
      </c>
      <c r="C823" s="27">
        <v>100120</v>
      </c>
      <c r="D823" s="23" t="s">
        <v>20</v>
      </c>
      <c r="E823" s="201" t="s">
        <v>1446</v>
      </c>
      <c r="F823" s="22" t="s">
        <v>129</v>
      </c>
      <c r="G823" s="32" t="str">
        <f>IFERROR(VLOOKUP(F823,Productos!$A$2:$D$258,2,0)," ")</f>
        <v>Electric Standing Desk  PRO Negro</v>
      </c>
      <c r="H823" s="7">
        <v>1</v>
      </c>
      <c r="I823" s="32" t="str">
        <f>IFERROR(VLOOKUP(F823,Productos!$A$2:$D$258,3,0)," ")</f>
        <v>Standing Desk</v>
      </c>
      <c r="J823" s="200" t="s">
        <v>24</v>
      </c>
      <c r="K823" s="202" t="s">
        <v>25</v>
      </c>
      <c r="L823" s="26" t="str">
        <f t="shared" si="132"/>
        <v>En alistamiento</v>
      </c>
      <c r="M823" s="56" t="s">
        <v>238</v>
      </c>
      <c r="N823" s="198"/>
      <c r="O823" s="150"/>
      <c r="P823" s="151"/>
      <c r="Q823" s="24" t="str">
        <f t="shared" si="125"/>
        <v>En transito</v>
      </c>
      <c r="R823" s="25" t="str">
        <f>IF(L823="Despachado",NETWORKDAYS.INTL(A823,O823,11,Valores!$A$2:$A$18)-1,"PTE")</f>
        <v>PTE</v>
      </c>
      <c r="S823" s="25" t="str">
        <f>IF(Q823="Entregado",NETWORKDAYS.INTL(A823,P823,11,Valores!$A$2:$A$18)-1,"PTE")</f>
        <v>PTE</v>
      </c>
      <c r="T823" s="25"/>
      <c r="U823" s="25"/>
      <c r="V823" s="25" t="str">
        <f>IF(Q823="Entregado",IF(S823&lt;=VLOOKUP(K823,Valores!E:F,2,0),"Cumple","No cumple"),"PTE")</f>
        <v>PTE</v>
      </c>
      <c r="W823" s="25"/>
      <c r="X823" s="29"/>
      <c r="Y823" s="224"/>
      <c r="Z823" s="28"/>
    </row>
    <row r="824" spans="1:26" hidden="1" x14ac:dyDescent="0.3">
      <c r="A824" s="34">
        <v>45919</v>
      </c>
      <c r="B824" s="7" t="str">
        <f t="shared" si="133"/>
        <v>septiembre</v>
      </c>
      <c r="C824" s="27">
        <v>100120</v>
      </c>
      <c r="D824" s="23" t="s">
        <v>20</v>
      </c>
      <c r="E824" s="201" t="s">
        <v>1446</v>
      </c>
      <c r="F824" s="22" t="s">
        <v>33</v>
      </c>
      <c r="G824" s="32" t="str">
        <f>IFERROR(VLOOKUP(F824,Productos!$A$2:$D$258,2,0)," ")</f>
        <v>Superficie  Caramelo 180x70 Clasico</v>
      </c>
      <c r="H824" s="7">
        <v>1</v>
      </c>
      <c r="I824" s="32" t="str">
        <f>IFERROR(VLOOKUP(F824,Productos!$A$2:$D$258,3,0)," ")</f>
        <v>Superficie</v>
      </c>
      <c r="J824" s="200" t="s">
        <v>24</v>
      </c>
      <c r="K824" s="202" t="s">
        <v>25</v>
      </c>
      <c r="L824" s="26" t="str">
        <f t="shared" si="132"/>
        <v>En alistamiento</v>
      </c>
      <c r="M824" s="56" t="s">
        <v>238</v>
      </c>
      <c r="N824" s="198"/>
      <c r="O824" s="150"/>
      <c r="P824" s="151"/>
      <c r="Q824" s="24" t="str">
        <f t="shared" si="125"/>
        <v>En transito</v>
      </c>
      <c r="R824" s="25" t="str">
        <f>IF(L824="Despachado",NETWORKDAYS.INTL(A824,O824,11,Valores!$A$2:$A$18)-1,"PTE")</f>
        <v>PTE</v>
      </c>
      <c r="S824" s="25" t="str">
        <f>IF(Q824="Entregado",NETWORKDAYS.INTL(A824,P824,11,Valores!$A$2:$A$18)-1,"PTE")</f>
        <v>PTE</v>
      </c>
      <c r="T824" s="25"/>
      <c r="U824" s="25"/>
      <c r="V824" s="25" t="str">
        <f>IF(Q824="Entregado",IF(S824&lt;=VLOOKUP(K824,Valores!E:F,2,0),"Cumple","No cumple"),"PTE")</f>
        <v>PTE</v>
      </c>
      <c r="W824" s="25"/>
      <c r="X824" s="29"/>
      <c r="Y824" s="224"/>
      <c r="Z824" s="28"/>
    </row>
    <row r="825" spans="1:26" hidden="1" x14ac:dyDescent="0.3">
      <c r="A825" s="34">
        <v>45922</v>
      </c>
      <c r="B825" s="7" t="str">
        <f t="shared" si="133"/>
        <v>septiembre</v>
      </c>
      <c r="C825" s="27">
        <v>100121</v>
      </c>
      <c r="D825" s="23" t="s">
        <v>20</v>
      </c>
      <c r="E825" s="201" t="s">
        <v>1447</v>
      </c>
      <c r="F825" s="22" t="s">
        <v>133</v>
      </c>
      <c r="G825" s="32" t="str">
        <f>IFERROR(VLOOKUP(F825,Productos!$A$2:$D$258,2,0)," ")</f>
        <v>Electric Standing Desk  PRO Blanco</v>
      </c>
      <c r="H825" s="7">
        <v>1</v>
      </c>
      <c r="I825" s="32" t="str">
        <f>IFERROR(VLOOKUP(F825,Productos!$A$2:$D$258,3,0)," ")</f>
        <v>Standing Desk</v>
      </c>
      <c r="J825" s="202" t="s">
        <v>21</v>
      </c>
      <c r="K825" s="202" t="s">
        <v>22</v>
      </c>
      <c r="L825" s="26" t="str">
        <f t="shared" si="132"/>
        <v>En alistamiento</v>
      </c>
      <c r="M825" s="56" t="s">
        <v>238</v>
      </c>
      <c r="N825" s="198"/>
      <c r="O825" s="150"/>
      <c r="P825" s="151"/>
      <c r="Q825" s="24" t="str">
        <f t="shared" si="125"/>
        <v>En transito</v>
      </c>
      <c r="R825" s="25" t="str">
        <f>IF(L825="Despachado",NETWORKDAYS.INTL(A825,O825,11,Valores!$A$2:$A$18)-1,"PTE")</f>
        <v>PTE</v>
      </c>
      <c r="S825" s="25" t="str">
        <f>IF(Q825="Entregado",NETWORKDAYS.INTL(A825,P825,11,Valores!$A$2:$A$18)-1,"PTE")</f>
        <v>PTE</v>
      </c>
      <c r="T825" s="25"/>
      <c r="U825" s="25"/>
      <c r="V825" s="25" t="str">
        <f>IF(Q825="Entregado",IF(S825&lt;=VLOOKUP(K825,Valores!E:F,2,0),"Cumple","No cumple"),"PTE")</f>
        <v>PTE</v>
      </c>
      <c r="W825" s="25"/>
      <c r="X825" s="29"/>
      <c r="Y825" s="224"/>
      <c r="Z825" s="28"/>
    </row>
    <row r="826" spans="1:26" hidden="1" x14ac:dyDescent="0.3">
      <c r="A826" s="34">
        <v>45922</v>
      </c>
      <c r="B826" s="7" t="str">
        <f t="shared" si="133"/>
        <v>septiembre</v>
      </c>
      <c r="C826" s="27">
        <v>100121</v>
      </c>
      <c r="D826" s="23" t="s">
        <v>20</v>
      </c>
      <c r="E826" s="201" t="s">
        <v>1447</v>
      </c>
      <c r="F826" s="22" t="s">
        <v>146</v>
      </c>
      <c r="G826" s="32" t="str">
        <f>IFERROR(VLOOKUP(F826,Productos!$A$2:$D$258,2,0)," ")</f>
        <v>Superficie  Caramelo 200x70 Clasico</v>
      </c>
      <c r="H826" s="7">
        <v>1</v>
      </c>
      <c r="I826" s="32" t="str">
        <f>IFERROR(VLOOKUP(F826,Productos!$A$2:$D$258,3,0)," ")</f>
        <v>Superficie</v>
      </c>
      <c r="J826" s="202" t="s">
        <v>21</v>
      </c>
      <c r="K826" s="202" t="s">
        <v>22</v>
      </c>
      <c r="L826" s="26" t="str">
        <f t="shared" si="132"/>
        <v>En alistamiento</v>
      </c>
      <c r="M826" s="56" t="s">
        <v>238</v>
      </c>
      <c r="N826" s="198"/>
      <c r="O826" s="150"/>
      <c r="P826" s="151"/>
      <c r="Q826" s="24" t="str">
        <f t="shared" si="125"/>
        <v>En transito</v>
      </c>
      <c r="R826" s="25" t="str">
        <f>IF(L826="Despachado",NETWORKDAYS.INTL(A826,O826,11,Valores!$A$2:$A$18)-1,"PTE")</f>
        <v>PTE</v>
      </c>
      <c r="S826" s="25" t="str">
        <f>IF(Q826="Entregado",NETWORKDAYS.INTL(A826,P826,11,Valores!$A$2:$A$18)-1,"PTE")</f>
        <v>PTE</v>
      </c>
      <c r="T826" s="25"/>
      <c r="U826" s="25"/>
      <c r="V826" s="25" t="str">
        <f>IF(Q826="Entregado",IF(S826&lt;=VLOOKUP(K826,Valores!E:F,2,0),"Cumple","No cumple"),"PTE")</f>
        <v>PTE</v>
      </c>
      <c r="W826" s="25"/>
      <c r="X826" s="29"/>
      <c r="Y826" s="224"/>
      <c r="Z826" s="28"/>
    </row>
    <row r="827" spans="1:26" hidden="1" x14ac:dyDescent="0.3">
      <c r="A827" s="34">
        <v>45922</v>
      </c>
      <c r="B827" s="7" t="str">
        <f t="shared" si="133"/>
        <v>septiembre</v>
      </c>
      <c r="C827" s="27">
        <v>100121</v>
      </c>
      <c r="D827" s="23" t="s">
        <v>20</v>
      </c>
      <c r="E827" s="201" t="s">
        <v>1447</v>
      </c>
      <c r="F827" s="22" t="s">
        <v>133</v>
      </c>
      <c r="G827" s="32" t="str">
        <f>IFERROR(VLOOKUP(F827,Productos!$A$2:$D$258,2,0)," ")</f>
        <v>Electric Standing Desk  PRO Blanco</v>
      </c>
      <c r="H827" s="7">
        <v>1</v>
      </c>
      <c r="I827" s="32" t="str">
        <f>IFERROR(VLOOKUP(F827,Productos!$A$2:$D$258,3,0)," ")</f>
        <v>Standing Desk</v>
      </c>
      <c r="J827" s="202" t="s">
        <v>21</v>
      </c>
      <c r="K827" s="202" t="s">
        <v>22</v>
      </c>
      <c r="L827" s="26" t="str">
        <f t="shared" si="132"/>
        <v>En alistamiento</v>
      </c>
      <c r="M827" s="56" t="s">
        <v>238</v>
      </c>
      <c r="N827" s="198"/>
      <c r="O827" s="150"/>
      <c r="P827" s="151"/>
      <c r="Q827" s="24" t="str">
        <f t="shared" si="125"/>
        <v>En transito</v>
      </c>
      <c r="R827" s="25" t="str">
        <f>IF(L827="Despachado",NETWORKDAYS.INTL(A827,O827,11,Valores!$A$2:$A$18)-1,"PTE")</f>
        <v>PTE</v>
      </c>
      <c r="S827" s="25" t="str">
        <f>IF(Q827="Entregado",NETWORKDAYS.INTL(A827,P827,11,Valores!$A$2:$A$18)-1,"PTE")</f>
        <v>PTE</v>
      </c>
      <c r="T827" s="25"/>
      <c r="U827" s="25"/>
      <c r="V827" s="25" t="str">
        <f>IF(Q827="Entregado",IF(S827&lt;=VLOOKUP(K827,Valores!E:F,2,0),"Cumple","No cumple"),"PTE")</f>
        <v>PTE</v>
      </c>
      <c r="W827" s="25"/>
      <c r="X827" s="29"/>
      <c r="Y827" s="224"/>
      <c r="Z827" s="28"/>
    </row>
    <row r="828" spans="1:26" hidden="1" x14ac:dyDescent="0.3">
      <c r="A828" s="34">
        <v>45922</v>
      </c>
      <c r="B828" s="7" t="str">
        <f t="shared" si="133"/>
        <v>septiembre</v>
      </c>
      <c r="C828" s="27">
        <v>100121</v>
      </c>
      <c r="D828" s="23" t="s">
        <v>20</v>
      </c>
      <c r="E828" s="201" t="s">
        <v>1447</v>
      </c>
      <c r="F828" s="22" t="s">
        <v>33</v>
      </c>
      <c r="G828" s="32" t="str">
        <f>IFERROR(VLOOKUP(F828,Productos!$A$2:$D$258,2,0)," ")</f>
        <v>Superficie  Caramelo 180x70 Clasico</v>
      </c>
      <c r="H828" s="7">
        <v>1</v>
      </c>
      <c r="I828" s="32" t="str">
        <f>IFERROR(VLOOKUP(F828,Productos!$A$2:$D$258,3,0)," ")</f>
        <v>Superficie</v>
      </c>
      <c r="J828" s="202" t="s">
        <v>21</v>
      </c>
      <c r="K828" s="202" t="s">
        <v>22</v>
      </c>
      <c r="L828" s="26" t="str">
        <f t="shared" si="132"/>
        <v>En alistamiento</v>
      </c>
      <c r="M828" s="56" t="s">
        <v>238</v>
      </c>
      <c r="N828" s="198"/>
      <c r="O828" s="150"/>
      <c r="P828" s="151"/>
      <c r="Q828" s="24" t="str">
        <f t="shared" si="125"/>
        <v>En transito</v>
      </c>
      <c r="R828" s="25" t="str">
        <f>IF(L828="Despachado",NETWORKDAYS.INTL(A828,O828,11,Valores!$A$2:$A$18)-1,"PTE")</f>
        <v>PTE</v>
      </c>
      <c r="S828" s="25" t="str">
        <f>IF(Q828="Entregado",NETWORKDAYS.INTL(A828,P828,11,Valores!$A$2:$A$18)-1,"PTE")</f>
        <v>PTE</v>
      </c>
      <c r="T828" s="25"/>
      <c r="U828" s="25"/>
      <c r="V828" s="25" t="str">
        <f>IF(Q828="Entregado",IF(S828&lt;=VLOOKUP(K828,Valores!E:F,2,0),"Cumple","No cumple"),"PTE")</f>
        <v>PTE</v>
      </c>
      <c r="W828" s="25"/>
      <c r="X828" s="29"/>
      <c r="Y828" s="224"/>
      <c r="Z828" s="28"/>
    </row>
    <row r="829" spans="1:26" hidden="1" x14ac:dyDescent="0.3">
      <c r="A829" s="34">
        <v>45922</v>
      </c>
      <c r="B829" s="7" t="str">
        <f t="shared" si="133"/>
        <v>septiembre</v>
      </c>
      <c r="C829" s="27">
        <v>100121</v>
      </c>
      <c r="D829" s="23" t="s">
        <v>20</v>
      </c>
      <c r="E829" s="201" t="s">
        <v>1447</v>
      </c>
      <c r="F829" s="22" t="s">
        <v>313</v>
      </c>
      <c r="G829" s="32" t="str">
        <f>IFERROR(VLOOKUP(F829,Productos!$A$2:$D$258,2,0)," ")</f>
        <v>Bandeja Piano</v>
      </c>
      <c r="H829" s="7">
        <v>1</v>
      </c>
      <c r="I829" s="32" t="str">
        <f>IFERROR(VLOOKUP(F829,Productos!$A$2:$D$258,3,0)," ")</f>
        <v>Accesorio</v>
      </c>
      <c r="J829" s="202" t="s">
        <v>21</v>
      </c>
      <c r="K829" s="202" t="s">
        <v>22</v>
      </c>
      <c r="L829" s="26" t="str">
        <f t="shared" si="132"/>
        <v>En alistamiento</v>
      </c>
      <c r="M829" s="56" t="s">
        <v>238</v>
      </c>
      <c r="N829" s="198"/>
      <c r="O829" s="150"/>
      <c r="P829" s="151"/>
      <c r="Q829" s="24" t="str">
        <f t="shared" si="125"/>
        <v>En transito</v>
      </c>
      <c r="R829" s="25" t="str">
        <f>IF(L829="Despachado",NETWORKDAYS.INTL(A829,O829,11,Valores!$A$2:$A$18)-1,"PTE")</f>
        <v>PTE</v>
      </c>
      <c r="S829" s="25" t="str">
        <f>IF(Q829="Entregado",NETWORKDAYS.INTL(A829,P829,11,Valores!$A$2:$A$18)-1,"PTE")</f>
        <v>PTE</v>
      </c>
      <c r="T829" s="25"/>
      <c r="U829" s="25"/>
      <c r="V829" s="25" t="str">
        <f>IF(Q829="Entregado",IF(S829&lt;=VLOOKUP(K829,Valores!E:F,2,0),"Cumple","No cumple"),"PTE")</f>
        <v>PTE</v>
      </c>
      <c r="W829" s="25"/>
      <c r="X829" s="29"/>
      <c r="Y829" s="224"/>
      <c r="Z829" s="28"/>
    </row>
    <row r="830" spans="1:26" hidden="1" x14ac:dyDescent="0.3">
      <c r="A830" s="34">
        <v>45922</v>
      </c>
      <c r="B830" s="7" t="str">
        <f t="shared" ref="B830:B836" si="134">TEXT(A830,"mmmm")</f>
        <v>septiembre</v>
      </c>
      <c r="C830" s="27">
        <v>100122</v>
      </c>
      <c r="D830" s="23" t="s">
        <v>20</v>
      </c>
      <c r="E830" s="201" t="s">
        <v>1448</v>
      </c>
      <c r="F830" s="22" t="s">
        <v>62</v>
      </c>
      <c r="G830" s="32" t="str">
        <f>IFERROR(VLOOKUP(F830,Productos!$A$2:$D$258,2,0)," ")</f>
        <v>Archivador TECU  Blanco (Niebla)</v>
      </c>
      <c r="H830" s="7">
        <v>1</v>
      </c>
      <c r="I830" s="32" t="str">
        <f>IFERROR(VLOOKUP(F830,Productos!$A$2:$D$258,3,0)," ")</f>
        <v>Archivador</v>
      </c>
      <c r="J830" s="202" t="s">
        <v>21</v>
      </c>
      <c r="K830" s="202" t="s">
        <v>22</v>
      </c>
      <c r="L830" s="26" t="str">
        <f t="shared" si="132"/>
        <v>En alistamiento</v>
      </c>
      <c r="M830" s="56" t="s">
        <v>238</v>
      </c>
      <c r="N830" s="198"/>
      <c r="O830" s="150"/>
      <c r="P830" s="151"/>
      <c r="Q830" s="24" t="str">
        <f t="shared" si="125"/>
        <v>En transito</v>
      </c>
      <c r="R830" s="25" t="str">
        <f>IF(L830="Despachado",NETWORKDAYS.INTL(A830,O830,11,Valores!$A$2:$A$18)-1,"PTE")</f>
        <v>PTE</v>
      </c>
      <c r="S830" s="25" t="str">
        <f>IF(Q830="Entregado",NETWORKDAYS.INTL(A830,P830,11,Valores!$A$2:$A$18)-1,"PTE")</f>
        <v>PTE</v>
      </c>
      <c r="T830" s="25"/>
      <c r="U830" s="25"/>
      <c r="V830" s="25" t="str">
        <f>IF(Q830="Entregado",IF(S830&lt;=VLOOKUP(K830,Valores!E:F,2,0),"Cumple","No cumple"),"PTE")</f>
        <v>PTE</v>
      </c>
      <c r="W830" s="25"/>
      <c r="X830" s="29"/>
      <c r="Y830" s="224"/>
      <c r="Z830" s="28"/>
    </row>
    <row r="831" spans="1:26" hidden="1" x14ac:dyDescent="0.3">
      <c r="A831" s="34">
        <v>45924</v>
      </c>
      <c r="B831" s="7" t="str">
        <f t="shared" si="134"/>
        <v>septiembre</v>
      </c>
      <c r="C831" s="27">
        <v>100123</v>
      </c>
      <c r="D831" s="23" t="s">
        <v>20</v>
      </c>
      <c r="E831" s="201" t="s">
        <v>1449</v>
      </c>
      <c r="F831" s="22" t="s">
        <v>129</v>
      </c>
      <c r="G831" s="32" t="str">
        <f>IFERROR(VLOOKUP(F831,Productos!$A$2:$D$258,2,0)," ")</f>
        <v>Electric Standing Desk  PRO Negro</v>
      </c>
      <c r="H831" s="7">
        <v>1</v>
      </c>
      <c r="I831" s="32" t="str">
        <f>IFERROR(VLOOKUP(F831,Productos!$A$2:$D$258,3,0)," ")</f>
        <v>Standing Desk</v>
      </c>
      <c r="J831" s="202" t="s">
        <v>21</v>
      </c>
      <c r="K831" s="202" t="s">
        <v>22</v>
      </c>
      <c r="L831" s="26" t="str">
        <f t="shared" ref="L831:L836" si="135">IF(O831&gt;0,"Despachado","En alistamiento")</f>
        <v>En alistamiento</v>
      </c>
      <c r="M831" s="56" t="s">
        <v>238</v>
      </c>
      <c r="N831" s="198"/>
      <c r="O831" s="150"/>
      <c r="P831" s="151"/>
      <c r="Q831" s="24" t="str">
        <f t="shared" si="125"/>
        <v>En transito</v>
      </c>
      <c r="R831" s="25" t="str">
        <f>IF(L831="Despachado",NETWORKDAYS.INTL(A831,O831,11,Valores!$A$2:$A$18)-1,"PTE")</f>
        <v>PTE</v>
      </c>
      <c r="S831" s="25" t="str">
        <f>IF(Q831="Entregado",NETWORKDAYS.INTL(A831,P831,11,Valores!$A$2:$A$18)-1,"PTE")</f>
        <v>PTE</v>
      </c>
      <c r="T831" s="25"/>
      <c r="U831" s="25"/>
      <c r="V831" s="25" t="str">
        <f>IF(Q831="Entregado",IF(S831&lt;=VLOOKUP(K831,Valores!E:F,2,0),"Cumple","No cumple"),"PTE")</f>
        <v>PTE</v>
      </c>
      <c r="W831" s="25"/>
      <c r="X831" s="29"/>
      <c r="Y831" s="224"/>
      <c r="Z831" s="28"/>
    </row>
    <row r="832" spans="1:26" hidden="1" x14ac:dyDescent="0.3">
      <c r="A832" s="34">
        <v>45924</v>
      </c>
      <c r="B832" s="7" t="str">
        <f t="shared" si="134"/>
        <v>septiembre</v>
      </c>
      <c r="C832" s="27">
        <v>100123</v>
      </c>
      <c r="D832" s="23" t="s">
        <v>20</v>
      </c>
      <c r="E832" s="201" t="s">
        <v>1449</v>
      </c>
      <c r="F832" s="22" t="s">
        <v>111</v>
      </c>
      <c r="G832" s="32" t="str">
        <f>IFERROR(VLOOKUP(F832,Productos!$A$2:$D$258,2,0)," ")</f>
        <v>Superficie  Roble Negro 180x70 Clasico</v>
      </c>
      <c r="H832" s="7">
        <v>1</v>
      </c>
      <c r="I832" s="32" t="str">
        <f>IFERROR(VLOOKUP(F832,Productos!$A$2:$D$258,3,0)," ")</f>
        <v>Superficie</v>
      </c>
      <c r="J832" s="202" t="s">
        <v>21</v>
      </c>
      <c r="K832" s="202" t="s">
        <v>22</v>
      </c>
      <c r="L832" s="26" t="str">
        <f t="shared" si="135"/>
        <v>En alistamiento</v>
      </c>
      <c r="M832" s="56" t="s">
        <v>238</v>
      </c>
      <c r="N832" s="198"/>
      <c r="O832" s="150"/>
      <c r="P832" s="151"/>
      <c r="Q832" s="24" t="str">
        <f t="shared" si="125"/>
        <v>En transito</v>
      </c>
      <c r="R832" s="25" t="str">
        <f>IF(L832="Despachado",NETWORKDAYS.INTL(A832,O832,11,Valores!$A$2:$A$18)-1,"PTE")</f>
        <v>PTE</v>
      </c>
      <c r="S832" s="25" t="str">
        <f>IF(Q832="Entregado",NETWORKDAYS.INTL(A832,P832,11,Valores!$A$2:$A$18)-1,"PTE")</f>
        <v>PTE</v>
      </c>
      <c r="T832" s="25"/>
      <c r="U832" s="25"/>
      <c r="V832" s="25" t="str">
        <f>IF(Q832="Entregado",IF(S832&lt;=VLOOKUP(K832,Valores!E:F,2,0),"Cumple","No cumple"),"PTE")</f>
        <v>PTE</v>
      </c>
      <c r="W832" s="25"/>
      <c r="X832" s="29"/>
      <c r="Y832" s="224"/>
      <c r="Z832" s="28"/>
    </row>
    <row r="833" spans="1:26" hidden="1" x14ac:dyDescent="0.3">
      <c r="A833" s="34">
        <v>45924</v>
      </c>
      <c r="B833" s="7" t="str">
        <f t="shared" si="134"/>
        <v>septiembre</v>
      </c>
      <c r="C833" s="27">
        <v>100123</v>
      </c>
      <c r="D833" s="23" t="s">
        <v>20</v>
      </c>
      <c r="E833" s="201" t="s">
        <v>1449</v>
      </c>
      <c r="F833" s="22" t="s">
        <v>83</v>
      </c>
      <c r="G833" s="32" t="str">
        <f>IFERROR(VLOOKUP(F833,Productos!$A$2:$D$258,2,0)," ")</f>
        <v>Desk Pad B Negro Azul</v>
      </c>
      <c r="H833" s="7">
        <v>1</v>
      </c>
      <c r="I833" s="32" t="str">
        <f>IFERROR(VLOOKUP(F833,Productos!$A$2:$D$258,3,0)," ")</f>
        <v>Accesorio</v>
      </c>
      <c r="J833" s="202" t="s">
        <v>21</v>
      </c>
      <c r="K833" s="202" t="s">
        <v>22</v>
      </c>
      <c r="L833" s="26" t="str">
        <f t="shared" si="135"/>
        <v>En alistamiento</v>
      </c>
      <c r="M833" s="56" t="s">
        <v>238</v>
      </c>
      <c r="N833" s="198"/>
      <c r="O833" s="150"/>
      <c r="P833" s="151"/>
      <c r="Q833" s="24" t="str">
        <f t="shared" si="125"/>
        <v>En transito</v>
      </c>
      <c r="R833" s="25" t="str">
        <f>IF(L833="Despachado",NETWORKDAYS.INTL(A833,O833,11,Valores!$A$2:$A$18)-1,"PTE")</f>
        <v>PTE</v>
      </c>
      <c r="S833" s="25" t="str">
        <f>IF(Q833="Entregado",NETWORKDAYS.INTL(A833,P833,11,Valores!$A$2:$A$18)-1,"PTE")</f>
        <v>PTE</v>
      </c>
      <c r="T833" s="25"/>
      <c r="U833" s="25"/>
      <c r="V833" s="25" t="str">
        <f>IF(Q833="Entregado",IF(S833&lt;=VLOOKUP(K833,Valores!E:F,2,0),"Cumple","No cumple"),"PTE")</f>
        <v>PTE</v>
      </c>
      <c r="W833" s="25"/>
      <c r="X833" s="29"/>
      <c r="Y833" s="224"/>
      <c r="Z833" s="28"/>
    </row>
    <row r="834" spans="1:26" hidden="1" x14ac:dyDescent="0.3">
      <c r="A834" s="34">
        <v>45924</v>
      </c>
      <c r="B834" s="7" t="str">
        <f t="shared" si="134"/>
        <v>septiembre</v>
      </c>
      <c r="C834" s="27">
        <v>100123</v>
      </c>
      <c r="D834" s="23" t="s">
        <v>20</v>
      </c>
      <c r="E834" s="201" t="s">
        <v>1449</v>
      </c>
      <c r="F834" s="22" t="s">
        <v>240</v>
      </c>
      <c r="G834" s="32" t="str">
        <f>IFERROR(VLOOKUP(F834,Productos!$A$2:$D$258,2,0)," ")</f>
        <v>Bandeja de cables</v>
      </c>
      <c r="H834" s="7">
        <v>1</v>
      </c>
      <c r="I834" s="32" t="str">
        <f>IFERROR(VLOOKUP(F834,Productos!$A$2:$D$258,3,0)," ")</f>
        <v>Accesorio</v>
      </c>
      <c r="J834" s="202" t="s">
        <v>21</v>
      </c>
      <c r="K834" s="202" t="s">
        <v>22</v>
      </c>
      <c r="L834" s="26" t="str">
        <f t="shared" si="135"/>
        <v>En alistamiento</v>
      </c>
      <c r="M834" s="56" t="s">
        <v>238</v>
      </c>
      <c r="N834" s="198"/>
      <c r="O834" s="150"/>
      <c r="P834" s="151"/>
      <c r="Q834" s="24" t="str">
        <f t="shared" si="125"/>
        <v>En transito</v>
      </c>
      <c r="R834" s="25" t="str">
        <f>IF(L834="Despachado",NETWORKDAYS.INTL(A834,O834,11,Valores!$A$2:$A$18)-1,"PTE")</f>
        <v>PTE</v>
      </c>
      <c r="S834" s="25" t="str">
        <f>IF(Q834="Entregado",NETWORKDAYS.INTL(A834,P834,11,Valores!$A$2:$A$18)-1,"PTE")</f>
        <v>PTE</v>
      </c>
      <c r="T834" s="25"/>
      <c r="U834" s="25"/>
      <c r="V834" s="25" t="str">
        <f>IF(Q834="Entregado",IF(S834&lt;=VLOOKUP(K834,Valores!E:F,2,0),"Cumple","No cumple"),"PTE")</f>
        <v>PTE</v>
      </c>
      <c r="W834" s="25"/>
      <c r="X834" s="29"/>
      <c r="Y834" s="224"/>
      <c r="Z834" s="28"/>
    </row>
    <row r="835" spans="1:26" hidden="1" x14ac:dyDescent="0.3">
      <c r="A835" s="34">
        <v>45924</v>
      </c>
      <c r="B835" s="7" t="str">
        <f t="shared" si="134"/>
        <v>septiembre</v>
      </c>
      <c r="C835" s="27">
        <v>100123</v>
      </c>
      <c r="D835" s="23" t="s">
        <v>20</v>
      </c>
      <c r="E835" s="201" t="s">
        <v>1449</v>
      </c>
      <c r="F835" s="22" t="s">
        <v>89</v>
      </c>
      <c r="G835" s="32" t="str">
        <f>IFERROR(VLOOKUP(F835,Productos!$A$2:$D$258,2,0)," ")</f>
        <v>Desk Stool Gris Silla ajustable</v>
      </c>
      <c r="H835" s="7">
        <v>1</v>
      </c>
      <c r="I835" s="32" t="str">
        <f>IFERROR(VLOOKUP(F835,Productos!$A$2:$D$258,3,0)," ")</f>
        <v>Silla</v>
      </c>
      <c r="J835" s="202" t="s">
        <v>21</v>
      </c>
      <c r="K835" s="202" t="s">
        <v>22</v>
      </c>
      <c r="L835" s="26" t="str">
        <f t="shared" si="135"/>
        <v>En alistamiento</v>
      </c>
      <c r="M835" s="56" t="s">
        <v>238</v>
      </c>
      <c r="N835" s="198"/>
      <c r="O835" s="150"/>
      <c r="P835" s="151"/>
      <c r="Q835" s="24" t="str">
        <f t="shared" si="125"/>
        <v>En transito</v>
      </c>
      <c r="R835" s="25" t="str">
        <f>IF(L835="Despachado",NETWORKDAYS.INTL(A835,O835,11,Valores!$A$2:$A$18)-1,"PTE")</f>
        <v>PTE</v>
      </c>
      <c r="S835" s="25" t="str">
        <f>IF(Q835="Entregado",NETWORKDAYS.INTL(A835,P835,11,Valores!$A$2:$A$18)-1,"PTE")</f>
        <v>PTE</v>
      </c>
      <c r="T835" s="25"/>
      <c r="U835" s="25"/>
      <c r="V835" s="25" t="str">
        <f>IF(Q835="Entregado",IF(S835&lt;=VLOOKUP(K835,Valores!E:F,2,0),"Cumple","No cumple"),"PTE")</f>
        <v>PTE</v>
      </c>
      <c r="W835" s="25"/>
      <c r="X835" s="29"/>
      <c r="Y835" s="224"/>
      <c r="Z835" s="28"/>
    </row>
    <row r="836" spans="1:26" hidden="1" x14ac:dyDescent="0.3">
      <c r="A836" s="34">
        <v>45924</v>
      </c>
      <c r="B836" s="7" t="str">
        <f t="shared" si="134"/>
        <v>septiembre</v>
      </c>
      <c r="C836" s="27">
        <v>100123</v>
      </c>
      <c r="D836" s="23" t="s">
        <v>20</v>
      </c>
      <c r="E836" s="201" t="s">
        <v>1449</v>
      </c>
      <c r="F836" s="22"/>
      <c r="G836" s="32" t="s">
        <v>1796</v>
      </c>
      <c r="H836" s="7">
        <v>1</v>
      </c>
      <c r="I836" s="32" t="s">
        <v>327</v>
      </c>
      <c r="J836" s="202" t="s">
        <v>21</v>
      </c>
      <c r="K836" s="202" t="s">
        <v>22</v>
      </c>
      <c r="L836" s="26" t="str">
        <f t="shared" si="135"/>
        <v>Despachado</v>
      </c>
      <c r="M836" s="56" t="s">
        <v>241</v>
      </c>
      <c r="N836" s="218" t="s">
        <v>241</v>
      </c>
      <c r="O836" s="219" t="s">
        <v>241</v>
      </c>
      <c r="P836" s="220" t="s">
        <v>241</v>
      </c>
      <c r="Q836" s="24" t="str">
        <f t="shared" si="125"/>
        <v>Entregado</v>
      </c>
      <c r="R836" s="25" t="e">
        <f>IF(L836="Despachado",NETWORKDAYS.INTL(A836,O836,11,Valores!$A$2:$A$18)-1,"PTE")</f>
        <v>#VALUE!</v>
      </c>
      <c r="S836" s="25" t="e">
        <f>IF(Q836="Entregado",NETWORKDAYS.INTL(A836,P836,11,Valores!$A$2:$A$18)-1,"PTE")</f>
        <v>#VALUE!</v>
      </c>
      <c r="T836" s="25"/>
      <c r="U836" s="25"/>
      <c r="V836" s="25" t="e">
        <f>IF(Q836="Entregado",IF(S836&lt;=VLOOKUP(K836,Valores!E:F,2,0),"Cumple","No cumple"),"PTE")</f>
        <v>#VALUE!</v>
      </c>
      <c r="W836" s="25"/>
      <c r="X836" s="29"/>
      <c r="Y836" s="224"/>
      <c r="Z836" s="28"/>
    </row>
    <row r="837" spans="1:26" hidden="1" x14ac:dyDescent="0.3">
      <c r="A837" s="34">
        <v>45924</v>
      </c>
      <c r="B837" s="7" t="str">
        <f t="shared" ref="B837:B842" si="136">TEXT(A837,"mmmm")</f>
        <v>septiembre</v>
      </c>
      <c r="C837" s="27">
        <v>100124</v>
      </c>
      <c r="D837" s="23" t="s">
        <v>20</v>
      </c>
      <c r="E837" s="201" t="s">
        <v>1450</v>
      </c>
      <c r="F837" s="22" t="s">
        <v>133</v>
      </c>
      <c r="G837" s="32" t="str">
        <f>IFERROR(VLOOKUP(F837,Productos!$A$2:$D$258,2,0)," ")</f>
        <v>Electric Standing Desk  PRO Blanco</v>
      </c>
      <c r="H837" s="7">
        <v>1</v>
      </c>
      <c r="I837" s="32" t="str">
        <f>IFERROR(VLOOKUP(F837,Productos!$A$2:$D$258,3,0)," ")</f>
        <v>Standing Desk</v>
      </c>
      <c r="J837" s="202" t="s">
        <v>21</v>
      </c>
      <c r="K837" s="202" t="s">
        <v>22</v>
      </c>
      <c r="L837" s="26" t="str">
        <f t="shared" ref="L837:L849" si="137">IF(O837&gt;0,"Despachado","En alistamiento")</f>
        <v>En alistamiento</v>
      </c>
      <c r="M837" s="56" t="s">
        <v>238</v>
      </c>
      <c r="N837" s="198"/>
      <c r="O837" s="150"/>
      <c r="P837" s="151"/>
      <c r="Q837" s="24" t="str">
        <f t="shared" si="125"/>
        <v>En transito</v>
      </c>
      <c r="R837" s="25" t="str">
        <f>IF(L837="Despachado",NETWORKDAYS.INTL(A837,O837,11,Valores!$A$2:$A$18)-1,"PTE")</f>
        <v>PTE</v>
      </c>
      <c r="S837" s="25" t="str">
        <f>IF(Q837="Entregado",NETWORKDAYS.INTL(A837,P837,11,Valores!$A$2:$A$18)-1,"PTE")</f>
        <v>PTE</v>
      </c>
      <c r="T837" s="25"/>
      <c r="U837" s="25"/>
      <c r="V837" s="25" t="str">
        <f>IF(Q837="Entregado",IF(S837&lt;=VLOOKUP(K837,Valores!E:F,2,0),"Cumple","No cumple"),"PTE")</f>
        <v>PTE</v>
      </c>
      <c r="W837" s="25"/>
      <c r="X837" s="29"/>
      <c r="Y837" s="224"/>
      <c r="Z837" s="28"/>
    </row>
    <row r="838" spans="1:26" hidden="1" x14ac:dyDescent="0.3">
      <c r="A838" s="34">
        <v>45925</v>
      </c>
      <c r="B838" s="7" t="str">
        <f t="shared" si="136"/>
        <v>septiembre</v>
      </c>
      <c r="C838" s="27">
        <v>100125</v>
      </c>
      <c r="D838" s="23" t="s">
        <v>20</v>
      </c>
      <c r="E838" s="201" t="s">
        <v>1451</v>
      </c>
      <c r="F838" s="22" t="s">
        <v>133</v>
      </c>
      <c r="G838" s="32" t="str">
        <f>IFERROR(VLOOKUP(F838,Productos!$A$2:$D$258,2,0)," ")</f>
        <v>Electric Standing Desk  PRO Blanco</v>
      </c>
      <c r="H838" s="7">
        <v>1</v>
      </c>
      <c r="I838" s="32" t="str">
        <f>IFERROR(VLOOKUP(F838,Productos!$A$2:$D$258,3,0)," ")</f>
        <v>Standing Desk</v>
      </c>
      <c r="J838" s="202" t="s">
        <v>21</v>
      </c>
      <c r="K838" s="202" t="s">
        <v>22</v>
      </c>
      <c r="L838" s="26" t="str">
        <f t="shared" si="137"/>
        <v>En alistamiento</v>
      </c>
      <c r="M838" s="56" t="s">
        <v>238</v>
      </c>
      <c r="N838" s="198"/>
      <c r="O838" s="150"/>
      <c r="P838" s="151"/>
      <c r="Q838" s="24" t="str">
        <f t="shared" si="125"/>
        <v>En transito</v>
      </c>
      <c r="R838" s="25" t="str">
        <f>IF(L838="Despachado",NETWORKDAYS.INTL(A838,O838,11,Valores!$A$2:$A$18)-1,"PTE")</f>
        <v>PTE</v>
      </c>
      <c r="S838" s="25" t="str">
        <f>IF(Q838="Entregado",NETWORKDAYS.INTL(A838,P838,11,Valores!$A$2:$A$18)-1,"PTE")</f>
        <v>PTE</v>
      </c>
      <c r="T838" s="25"/>
      <c r="U838" s="25"/>
      <c r="V838" s="25" t="str">
        <f>IF(Q838="Entregado",IF(S838&lt;=VLOOKUP(K838,Valores!E:F,2,0),"Cumple","No cumple"),"PTE")</f>
        <v>PTE</v>
      </c>
      <c r="W838" s="25"/>
      <c r="X838" s="29"/>
      <c r="Y838" s="224"/>
      <c r="Z838" s="28"/>
    </row>
    <row r="839" spans="1:26" hidden="1" x14ac:dyDescent="0.3">
      <c r="A839" s="34">
        <v>45925</v>
      </c>
      <c r="B839" s="7" t="str">
        <f t="shared" si="136"/>
        <v>septiembre</v>
      </c>
      <c r="C839" s="27">
        <v>100125</v>
      </c>
      <c r="D839" s="23" t="s">
        <v>20</v>
      </c>
      <c r="E839" s="201" t="s">
        <v>1451</v>
      </c>
      <c r="F839" s="22" t="s">
        <v>143</v>
      </c>
      <c r="G839" s="32" t="str">
        <f>IFERROR(VLOOKUP(F839,Productos!$A$2:$D$258,2,0)," ")</f>
        <v>Superficie  Caramelo 160x70 Clasico</v>
      </c>
      <c r="H839" s="7">
        <v>1</v>
      </c>
      <c r="I839" s="32" t="str">
        <f>IFERROR(VLOOKUP(F839,Productos!$A$2:$D$258,3,0)," ")</f>
        <v>Superficie</v>
      </c>
      <c r="J839" s="202" t="s">
        <v>21</v>
      </c>
      <c r="K839" s="202" t="s">
        <v>22</v>
      </c>
      <c r="L839" s="26" t="str">
        <f t="shared" si="137"/>
        <v>En alistamiento</v>
      </c>
      <c r="M839" s="56" t="s">
        <v>238</v>
      </c>
      <c r="N839" s="198"/>
      <c r="O839" s="150"/>
      <c r="P839" s="151"/>
      <c r="Q839" s="24" t="str">
        <f t="shared" si="125"/>
        <v>En transito</v>
      </c>
      <c r="R839" s="25" t="str">
        <f>IF(L839="Despachado",NETWORKDAYS.INTL(A839,O839,11,Valores!$A$2:$A$18)-1,"PTE")</f>
        <v>PTE</v>
      </c>
      <c r="S839" s="25" t="str">
        <f>IF(Q839="Entregado",NETWORKDAYS.INTL(A839,P839,11,Valores!$A$2:$A$18)-1,"PTE")</f>
        <v>PTE</v>
      </c>
      <c r="T839" s="25"/>
      <c r="U839" s="25"/>
      <c r="V839" s="25" t="str">
        <f>IF(Q839="Entregado",IF(S839&lt;=VLOOKUP(K839,Valores!E:F,2,0),"Cumple","No cumple"),"PTE")</f>
        <v>PTE</v>
      </c>
      <c r="W839" s="25"/>
      <c r="X839" s="29"/>
      <c r="Y839" s="224"/>
      <c r="Z839" s="28"/>
    </row>
    <row r="840" spans="1:26" hidden="1" x14ac:dyDescent="0.3">
      <c r="A840" s="34">
        <v>45926</v>
      </c>
      <c r="B840" s="7" t="str">
        <f t="shared" si="136"/>
        <v>septiembre</v>
      </c>
      <c r="C840" s="27">
        <v>100126</v>
      </c>
      <c r="D840" s="23" t="s">
        <v>20</v>
      </c>
      <c r="E840" s="201" t="s">
        <v>1452</v>
      </c>
      <c r="F840" s="22" t="s">
        <v>123</v>
      </c>
      <c r="G840" s="32" t="str">
        <f>IFERROR(VLOOKUP(F840,Productos!$A$2:$D$258,2,0)," ")</f>
        <v>Electric Standing Desk GO Negro</v>
      </c>
      <c r="H840" s="7">
        <v>1</v>
      </c>
      <c r="I840" s="32" t="str">
        <f>IFERROR(VLOOKUP(F840,Productos!$A$2:$D$258,3,0)," ")</f>
        <v>Standing Desk</v>
      </c>
      <c r="J840" s="202" t="s">
        <v>24</v>
      </c>
      <c r="K840" s="202" t="s">
        <v>27</v>
      </c>
      <c r="L840" s="26" t="str">
        <f t="shared" si="137"/>
        <v>En alistamiento</v>
      </c>
      <c r="M840" s="56" t="s">
        <v>238</v>
      </c>
      <c r="N840" s="198"/>
      <c r="O840" s="150"/>
      <c r="P840" s="151"/>
      <c r="Q840" s="24" t="str">
        <f t="shared" si="125"/>
        <v>En transito</v>
      </c>
      <c r="R840" s="25" t="str">
        <f>IF(L840="Despachado",NETWORKDAYS.INTL(A840,O840,11,Valores!$A$2:$A$18)-1,"PTE")</f>
        <v>PTE</v>
      </c>
      <c r="S840" s="25" t="str">
        <f>IF(Q840="Entregado",NETWORKDAYS.INTL(A840,P840,11,Valores!$A$2:$A$18)-1,"PTE")</f>
        <v>PTE</v>
      </c>
      <c r="T840" s="25"/>
      <c r="U840" s="25"/>
      <c r="V840" s="25" t="str">
        <f>IF(Q840="Entregado",IF(S840&lt;=VLOOKUP(K840,Valores!E:F,2,0),"Cumple","No cumple"),"PTE")</f>
        <v>PTE</v>
      </c>
      <c r="W840" s="25"/>
      <c r="X840" s="29"/>
      <c r="Y840" s="224"/>
      <c r="Z840" s="28"/>
    </row>
    <row r="841" spans="1:26" hidden="1" x14ac:dyDescent="0.3">
      <c r="A841" s="34">
        <v>45926</v>
      </c>
      <c r="B841" s="7" t="str">
        <f t="shared" si="136"/>
        <v>septiembre</v>
      </c>
      <c r="C841" s="27">
        <v>100126</v>
      </c>
      <c r="D841" s="23" t="s">
        <v>20</v>
      </c>
      <c r="E841" s="201" t="s">
        <v>1452</v>
      </c>
      <c r="F841" s="22" t="s">
        <v>301</v>
      </c>
      <c r="G841" s="32" t="str">
        <f>IFERROR(VLOOKUP(F841,Productos!$A$2:$D$258,2,0)," ")</f>
        <v>Superficie  Fresno Europeo 120x70 Clasico Small</v>
      </c>
      <c r="H841" s="7">
        <v>1</v>
      </c>
      <c r="I841" s="32" t="str">
        <f>IFERROR(VLOOKUP(F841,Productos!$A$2:$D$258,3,0)," ")</f>
        <v>Superficie</v>
      </c>
      <c r="J841" s="202" t="s">
        <v>24</v>
      </c>
      <c r="K841" s="202" t="s">
        <v>27</v>
      </c>
      <c r="L841" s="26" t="str">
        <f t="shared" si="137"/>
        <v>En alistamiento</v>
      </c>
      <c r="M841" s="56" t="s">
        <v>238</v>
      </c>
      <c r="N841" s="198"/>
      <c r="O841" s="150"/>
      <c r="P841" s="151"/>
      <c r="Q841" s="24" t="str">
        <f t="shared" si="125"/>
        <v>En transito</v>
      </c>
      <c r="R841" s="25" t="str">
        <f>IF(L841="Despachado",NETWORKDAYS.INTL(A841,O841,11,Valores!$A$2:$A$18)-1,"PTE")</f>
        <v>PTE</v>
      </c>
      <c r="S841" s="25" t="str">
        <f>IF(Q841="Entregado",NETWORKDAYS.INTL(A841,P841,11,Valores!$A$2:$A$18)-1,"PTE")</f>
        <v>PTE</v>
      </c>
      <c r="T841" s="25"/>
      <c r="U841" s="25"/>
      <c r="V841" s="25" t="str">
        <f>IF(Q841="Entregado",IF(S841&lt;=VLOOKUP(K841,Valores!E:F,2,0),"Cumple","No cumple"),"PTE")</f>
        <v>PTE</v>
      </c>
      <c r="W841" s="25"/>
      <c r="X841" s="29"/>
      <c r="Y841" s="224"/>
      <c r="Z841" s="28"/>
    </row>
    <row r="842" spans="1:26" hidden="1" x14ac:dyDescent="0.3">
      <c r="A842" s="34">
        <v>45927</v>
      </c>
      <c r="B842" s="7" t="str">
        <f t="shared" si="136"/>
        <v>septiembre</v>
      </c>
      <c r="C842" s="27">
        <v>100127</v>
      </c>
      <c r="D842" s="23" t="s">
        <v>20</v>
      </c>
      <c r="E842" s="201" t="s">
        <v>1453</v>
      </c>
      <c r="F842" s="22" t="s">
        <v>303</v>
      </c>
      <c r="G842" s="32" t="str">
        <f>IFERROR(VLOOKUP(F842,Productos!$A$2:$D$258,2,0)," ")</f>
        <v>Superficie  Fresno Europeo 140x70 Clasico</v>
      </c>
      <c r="H842" s="7">
        <v>1</v>
      </c>
      <c r="I842" s="32" t="str">
        <f>IFERROR(VLOOKUP(F842,Productos!$A$2:$D$258,3,0)," ")</f>
        <v>Superficie</v>
      </c>
      <c r="J842" s="202" t="s">
        <v>21</v>
      </c>
      <c r="K842" s="202" t="s">
        <v>22</v>
      </c>
      <c r="L842" s="26" t="str">
        <f t="shared" si="137"/>
        <v>En alistamiento</v>
      </c>
      <c r="M842" s="56" t="s">
        <v>238</v>
      </c>
      <c r="N842" s="198"/>
      <c r="O842" s="150"/>
      <c r="P842" s="151"/>
      <c r="Q842" s="24" t="str">
        <f t="shared" si="125"/>
        <v>En transito</v>
      </c>
      <c r="R842" s="25" t="str">
        <f>IF(L842="Despachado",NETWORKDAYS.INTL(A842,O842,11,Valores!$A$2:$A$18)-1,"PTE")</f>
        <v>PTE</v>
      </c>
      <c r="S842" s="25" t="str">
        <f>IF(Q842="Entregado",NETWORKDAYS.INTL(A842,P842,11,Valores!$A$2:$A$18)-1,"PTE")</f>
        <v>PTE</v>
      </c>
      <c r="T842" s="25"/>
      <c r="U842" s="25"/>
      <c r="V842" s="25" t="str">
        <f>IF(Q842="Entregado",IF(S842&lt;=VLOOKUP(K842,Valores!E:F,2,0),"Cumple","No cumple"),"PTE")</f>
        <v>PTE</v>
      </c>
      <c r="W842" s="25"/>
      <c r="X842" s="29"/>
      <c r="Y842" s="224"/>
      <c r="Z842" s="28"/>
    </row>
    <row r="843" spans="1:26" hidden="1" x14ac:dyDescent="0.3">
      <c r="A843" s="34">
        <v>45927</v>
      </c>
      <c r="B843" s="7" t="str">
        <f t="shared" ref="B843:B850" si="138">TEXT(A843,"mmmm")</f>
        <v>septiembre</v>
      </c>
      <c r="C843" s="27">
        <v>100129</v>
      </c>
      <c r="D843" s="23" t="s">
        <v>20</v>
      </c>
      <c r="E843" s="201" t="s">
        <v>1454</v>
      </c>
      <c r="F843" s="22" t="s">
        <v>129</v>
      </c>
      <c r="G843" s="32" t="str">
        <f>IFERROR(VLOOKUP(F843,Productos!$A$2:$D$258,2,0)," ")</f>
        <v>Electric Standing Desk  PRO Negro</v>
      </c>
      <c r="H843" s="7">
        <v>1</v>
      </c>
      <c r="I843" s="32" t="str">
        <f>IFERROR(VLOOKUP(F843,Productos!$A$2:$D$258,3,0)," ")</f>
        <v>Standing Desk</v>
      </c>
      <c r="J843" s="202" t="s">
        <v>259</v>
      </c>
      <c r="K843" s="202" t="s">
        <v>34</v>
      </c>
      <c r="L843" s="26" t="str">
        <f t="shared" si="137"/>
        <v>En alistamiento</v>
      </c>
      <c r="M843" s="56" t="s">
        <v>238</v>
      </c>
      <c r="N843" s="198"/>
      <c r="O843" s="150"/>
      <c r="P843" s="151"/>
      <c r="Q843" s="24" t="str">
        <f t="shared" ref="Q843:Q906" si="139">IF(P843&gt;0,"Entregado","En transito")</f>
        <v>En transito</v>
      </c>
      <c r="R843" s="25" t="str">
        <f>IF(L843="Despachado",NETWORKDAYS.INTL(A843,O843,11,Valores!$A$2:$A$18)-1,"PTE")</f>
        <v>PTE</v>
      </c>
      <c r="S843" s="25" t="str">
        <f>IF(Q843="Entregado",NETWORKDAYS.INTL(A843,P843,11,Valores!$A$2:$A$18)-1,"PTE")</f>
        <v>PTE</v>
      </c>
      <c r="T843" s="25"/>
      <c r="U843" s="25"/>
      <c r="V843" s="25" t="str">
        <f>IF(Q843="Entregado",IF(S843&lt;=VLOOKUP(K843,Valores!E:F,2,0),"Cumple","No cumple"),"PTE")</f>
        <v>PTE</v>
      </c>
      <c r="W843" s="25"/>
      <c r="X843" s="29"/>
      <c r="Y843" s="224"/>
      <c r="Z843" s="28"/>
    </row>
    <row r="844" spans="1:26" hidden="1" x14ac:dyDescent="0.3">
      <c r="A844" s="34">
        <v>45927</v>
      </c>
      <c r="B844" s="7" t="str">
        <f t="shared" si="138"/>
        <v>septiembre</v>
      </c>
      <c r="C844" s="27">
        <v>100129</v>
      </c>
      <c r="D844" s="23" t="s">
        <v>20</v>
      </c>
      <c r="E844" s="201" t="s">
        <v>1454</v>
      </c>
      <c r="F844" s="22" t="s">
        <v>262</v>
      </c>
      <c r="G844" s="32" t="str">
        <f>IFERROR(VLOOKUP(F844,Productos!$A$2:$D$258,2,0)," ")</f>
        <v>Superficie Roble Miel 150x70 Clasico</v>
      </c>
      <c r="H844" s="7">
        <v>1</v>
      </c>
      <c r="I844" s="32" t="str">
        <f>IFERROR(VLOOKUP(F844,Productos!$A$2:$D$258,3,0)," ")</f>
        <v>Superficie</v>
      </c>
      <c r="J844" s="202" t="s">
        <v>259</v>
      </c>
      <c r="K844" s="202" t="s">
        <v>34</v>
      </c>
      <c r="L844" s="26" t="str">
        <f t="shared" si="137"/>
        <v>En alistamiento</v>
      </c>
      <c r="M844" s="56" t="s">
        <v>238</v>
      </c>
      <c r="N844" s="198"/>
      <c r="O844" s="150"/>
      <c r="P844" s="151"/>
      <c r="Q844" s="24" t="str">
        <f t="shared" si="139"/>
        <v>En transito</v>
      </c>
      <c r="R844" s="25" t="str">
        <f>IF(L844="Despachado",NETWORKDAYS.INTL(A844,O844,11,Valores!$A$2:$A$18)-1,"PTE")</f>
        <v>PTE</v>
      </c>
      <c r="S844" s="25" t="str">
        <f>IF(Q844="Entregado",NETWORKDAYS.INTL(A844,P844,11,Valores!$A$2:$A$18)-1,"PTE")</f>
        <v>PTE</v>
      </c>
      <c r="T844" s="25"/>
      <c r="U844" s="25"/>
      <c r="V844" s="25" t="str">
        <f>IF(Q844="Entregado",IF(S844&lt;=VLOOKUP(K844,Valores!E:F,2,0),"Cumple","No cumple"),"PTE")</f>
        <v>PTE</v>
      </c>
      <c r="W844" s="25"/>
      <c r="X844" s="29"/>
      <c r="Y844" s="224"/>
      <c r="Z844" s="28"/>
    </row>
    <row r="845" spans="1:26" hidden="1" x14ac:dyDescent="0.3">
      <c r="A845" s="34">
        <v>45927</v>
      </c>
      <c r="B845" s="7" t="str">
        <f t="shared" si="138"/>
        <v>septiembre</v>
      </c>
      <c r="C845" s="27">
        <v>100129</v>
      </c>
      <c r="D845" s="23" t="s">
        <v>20</v>
      </c>
      <c r="E845" s="201" t="s">
        <v>1454</v>
      </c>
      <c r="F845" s="22" t="s">
        <v>240</v>
      </c>
      <c r="G845" s="32" t="str">
        <f>IFERROR(VLOOKUP(F845,Productos!$A$2:$D$258,2,0)," ")</f>
        <v>Bandeja de cables</v>
      </c>
      <c r="H845" s="7">
        <v>1</v>
      </c>
      <c r="I845" s="32" t="str">
        <f>IFERROR(VLOOKUP(F845,Productos!$A$2:$D$258,3,0)," ")</f>
        <v>Accesorio</v>
      </c>
      <c r="J845" s="202" t="s">
        <v>259</v>
      </c>
      <c r="K845" s="202" t="s">
        <v>34</v>
      </c>
      <c r="L845" s="26" t="str">
        <f t="shared" si="137"/>
        <v>En alistamiento</v>
      </c>
      <c r="M845" s="56" t="s">
        <v>238</v>
      </c>
      <c r="N845" s="198"/>
      <c r="O845" s="150"/>
      <c r="P845" s="151"/>
      <c r="Q845" s="24" t="str">
        <f t="shared" si="139"/>
        <v>En transito</v>
      </c>
      <c r="R845" s="25" t="str">
        <f>IF(L845="Despachado",NETWORKDAYS.INTL(A845,O845,11,Valores!$A$2:$A$18)-1,"PTE")</f>
        <v>PTE</v>
      </c>
      <c r="S845" s="25" t="str">
        <f>IF(Q845="Entregado",NETWORKDAYS.INTL(A845,P845,11,Valores!$A$2:$A$18)-1,"PTE")</f>
        <v>PTE</v>
      </c>
      <c r="T845" s="25"/>
      <c r="U845" s="25"/>
      <c r="V845" s="25" t="str">
        <f>IF(Q845="Entregado",IF(S845&lt;=VLOOKUP(K845,Valores!E:F,2,0),"Cumple","No cumple"),"PTE")</f>
        <v>PTE</v>
      </c>
      <c r="W845" s="25"/>
      <c r="X845" s="29"/>
      <c r="Y845" s="224"/>
      <c r="Z845" s="28"/>
    </row>
    <row r="846" spans="1:26" hidden="1" x14ac:dyDescent="0.3">
      <c r="A846" s="34">
        <v>45928</v>
      </c>
      <c r="B846" s="7" t="str">
        <f t="shared" si="138"/>
        <v>septiembre</v>
      </c>
      <c r="C846" s="27">
        <v>100130</v>
      </c>
      <c r="D846" s="23" t="s">
        <v>20</v>
      </c>
      <c r="E846" s="201" t="s">
        <v>1449</v>
      </c>
      <c r="F846" s="22" t="s">
        <v>65</v>
      </c>
      <c r="G846" s="32" t="str">
        <f>IFERROR(VLOOKUP(F846,Productos!$A$2:$D$258,2,0)," ")</f>
        <v>Archivador TECU  Negro</v>
      </c>
      <c r="H846" s="7">
        <v>1</v>
      </c>
      <c r="I846" s="32" t="str">
        <f>IFERROR(VLOOKUP(F846,Productos!$A$2:$D$258,3,0)," ")</f>
        <v>Archivador</v>
      </c>
      <c r="J846" s="202" t="s">
        <v>21</v>
      </c>
      <c r="K846" s="202" t="s">
        <v>22</v>
      </c>
      <c r="L846" s="26" t="str">
        <f t="shared" si="137"/>
        <v>En alistamiento</v>
      </c>
      <c r="M846" s="56" t="s">
        <v>238</v>
      </c>
      <c r="N846" s="198"/>
      <c r="O846" s="150"/>
      <c r="P846" s="151"/>
      <c r="Q846" s="24" t="str">
        <f t="shared" si="139"/>
        <v>En transito</v>
      </c>
      <c r="R846" s="25" t="str">
        <f>IF(L846="Despachado",NETWORKDAYS.INTL(A846,O846,11,Valores!$A$2:$A$18)-1,"PTE")</f>
        <v>PTE</v>
      </c>
      <c r="S846" s="25" t="str">
        <f>IF(Q846="Entregado",NETWORKDAYS.INTL(A846,P846,11,Valores!$A$2:$A$18)-1,"PTE")</f>
        <v>PTE</v>
      </c>
      <c r="T846" s="25"/>
      <c r="U846" s="25"/>
      <c r="V846" s="25" t="str">
        <f>IF(Q846="Entregado",IF(S846&lt;=VLOOKUP(K846,Valores!E:F,2,0),"Cumple","No cumple"),"PTE")</f>
        <v>PTE</v>
      </c>
      <c r="W846" s="25"/>
      <c r="X846" s="29"/>
      <c r="Y846" s="224"/>
      <c r="Z846" s="28"/>
    </row>
    <row r="847" spans="1:26" hidden="1" x14ac:dyDescent="0.3">
      <c r="A847" s="34">
        <v>45929</v>
      </c>
      <c r="B847" s="7" t="str">
        <f t="shared" si="138"/>
        <v>septiembre</v>
      </c>
      <c r="C847" s="27">
        <v>100131</v>
      </c>
      <c r="D847" s="23" t="s">
        <v>20</v>
      </c>
      <c r="E847" s="201" t="s">
        <v>1455</v>
      </c>
      <c r="F847" s="22" t="s">
        <v>66</v>
      </c>
      <c r="G847" s="32" t="str">
        <f>IFERROR(VLOOKUP(F847,Productos!$A$2:$D$258,2,0)," ")</f>
        <v>Archivador TECU  Miel</v>
      </c>
      <c r="H847" s="7">
        <v>1</v>
      </c>
      <c r="I847" s="32" t="str">
        <f>IFERROR(VLOOKUP(F847,Productos!$A$2:$D$258,3,0)," ")</f>
        <v>Archivador</v>
      </c>
      <c r="J847" s="202" t="s">
        <v>24</v>
      </c>
      <c r="K847" s="202" t="s">
        <v>209</v>
      </c>
      <c r="L847" s="26" t="str">
        <f t="shared" si="137"/>
        <v>En alistamiento</v>
      </c>
      <c r="M847" s="56" t="s">
        <v>238</v>
      </c>
      <c r="N847" s="198"/>
      <c r="O847" s="150"/>
      <c r="P847" s="151"/>
      <c r="Q847" s="24" t="str">
        <f t="shared" si="139"/>
        <v>En transito</v>
      </c>
      <c r="R847" s="25" t="str">
        <f>IF(L847="Despachado",NETWORKDAYS.INTL(A847,O847,11,Valores!$A$2:$A$18)-1,"PTE")</f>
        <v>PTE</v>
      </c>
      <c r="S847" s="25" t="str">
        <f>IF(Q847="Entregado",NETWORKDAYS.INTL(A847,P847,11,Valores!$A$2:$A$18)-1,"PTE")</f>
        <v>PTE</v>
      </c>
      <c r="T847" s="25"/>
      <c r="U847" s="25"/>
      <c r="V847" s="25" t="str">
        <f>IF(Q847="Entregado",IF(S847&lt;=VLOOKUP(K847,Valores!E:F,2,0),"Cumple","No cumple"),"PTE")</f>
        <v>PTE</v>
      </c>
      <c r="W847" s="25"/>
      <c r="X847" s="29"/>
      <c r="Y847" s="224"/>
      <c r="Z847" s="28"/>
    </row>
    <row r="848" spans="1:26" hidden="1" x14ac:dyDescent="0.3">
      <c r="A848" s="34">
        <v>45929</v>
      </c>
      <c r="B848" s="7" t="str">
        <f t="shared" si="138"/>
        <v>septiembre</v>
      </c>
      <c r="C848" s="27">
        <v>100134</v>
      </c>
      <c r="D848" s="23" t="s">
        <v>20</v>
      </c>
      <c r="E848" s="201" t="s">
        <v>1456</v>
      </c>
      <c r="F848" s="22" t="s">
        <v>123</v>
      </c>
      <c r="G848" s="32" t="str">
        <f>IFERROR(VLOOKUP(F848,Productos!$A$2:$D$258,2,0)," ")</f>
        <v>Electric Standing Desk GO Negro</v>
      </c>
      <c r="H848" s="7">
        <v>1</v>
      </c>
      <c r="I848" s="32" t="str">
        <f>IFERROR(VLOOKUP(F848,Productos!$A$2:$D$258,3,0)," ")</f>
        <v>Standing Desk</v>
      </c>
      <c r="J848" s="202" t="s">
        <v>21</v>
      </c>
      <c r="K848" s="202" t="s">
        <v>22</v>
      </c>
      <c r="L848" s="26" t="str">
        <f t="shared" si="137"/>
        <v>En alistamiento</v>
      </c>
      <c r="M848" s="56" t="s">
        <v>238</v>
      </c>
      <c r="N848" s="198"/>
      <c r="O848" s="150"/>
      <c r="P848" s="151"/>
      <c r="Q848" s="24" t="str">
        <f t="shared" si="139"/>
        <v>En transito</v>
      </c>
      <c r="R848" s="25" t="str">
        <f>IF(L848="Despachado",NETWORKDAYS.INTL(A848,O848,11,Valores!$A$2:$A$18)-1,"PTE")</f>
        <v>PTE</v>
      </c>
      <c r="S848" s="25" t="str">
        <f>IF(Q848="Entregado",NETWORKDAYS.INTL(A848,P848,11,Valores!$A$2:$A$18)-1,"PTE")</f>
        <v>PTE</v>
      </c>
      <c r="T848" s="25"/>
      <c r="U848" s="25"/>
      <c r="V848" s="25" t="str">
        <f>IF(Q848="Entregado",IF(S848&lt;=VLOOKUP(K848,Valores!E:F,2,0),"Cumple","No cumple"),"PTE")</f>
        <v>PTE</v>
      </c>
      <c r="W848" s="25"/>
      <c r="X848" s="29"/>
      <c r="Y848" s="224"/>
      <c r="Z848" s="28"/>
    </row>
    <row r="849" spans="1:26" hidden="1" x14ac:dyDescent="0.3">
      <c r="A849" s="34">
        <v>45929</v>
      </c>
      <c r="B849" s="7" t="str">
        <f t="shared" si="138"/>
        <v>septiembre</v>
      </c>
      <c r="C849" s="27">
        <v>100134</v>
      </c>
      <c r="D849" s="23" t="s">
        <v>20</v>
      </c>
      <c r="E849" s="201" t="s">
        <v>1456</v>
      </c>
      <c r="F849" s="22" t="s">
        <v>144</v>
      </c>
      <c r="G849" s="32" t="str">
        <f>IFERROR(VLOOKUP(F849,Productos!$A$2:$D$258,2,0)," ")</f>
        <v>Superficie  Caramelo 170x70 Clasico</v>
      </c>
      <c r="H849" s="7">
        <v>1</v>
      </c>
      <c r="I849" s="32" t="str">
        <f>IFERROR(VLOOKUP(F849,Productos!$A$2:$D$258,3,0)," ")</f>
        <v>Superficie</v>
      </c>
      <c r="J849" s="202" t="s">
        <v>21</v>
      </c>
      <c r="K849" s="202" t="s">
        <v>22</v>
      </c>
      <c r="L849" s="26" t="str">
        <f t="shared" si="137"/>
        <v>En alistamiento</v>
      </c>
      <c r="M849" s="56" t="s">
        <v>238</v>
      </c>
      <c r="N849" s="198"/>
      <c r="O849" s="150"/>
      <c r="P849" s="151"/>
      <c r="Q849" s="24" t="str">
        <f t="shared" si="139"/>
        <v>En transito</v>
      </c>
      <c r="R849" s="25" t="str">
        <f>IF(L849="Despachado",NETWORKDAYS.INTL(A849,O849,11,Valores!$A$2:$A$18)-1,"PTE")</f>
        <v>PTE</v>
      </c>
      <c r="S849" s="25" t="str">
        <f>IF(Q849="Entregado",NETWORKDAYS.INTL(A849,P849,11,Valores!$A$2:$A$18)-1,"PTE")</f>
        <v>PTE</v>
      </c>
      <c r="T849" s="25"/>
      <c r="U849" s="25"/>
      <c r="V849" s="25" t="str">
        <f>IF(Q849="Entregado",IF(S849&lt;=VLOOKUP(K849,Valores!E:F,2,0),"Cumple","No cumple"),"PTE")</f>
        <v>PTE</v>
      </c>
      <c r="W849" s="25"/>
      <c r="X849" s="29"/>
      <c r="Y849" s="224"/>
      <c r="Z849" s="28"/>
    </row>
    <row r="850" spans="1:26" hidden="1" x14ac:dyDescent="0.3">
      <c r="A850" s="34">
        <v>45931</v>
      </c>
      <c r="B850" s="7" t="str">
        <f t="shared" si="138"/>
        <v>octubre</v>
      </c>
      <c r="C850" s="27">
        <v>100135</v>
      </c>
      <c r="D850" s="23" t="s">
        <v>20</v>
      </c>
      <c r="E850" s="203" t="s">
        <v>1449</v>
      </c>
      <c r="F850" s="22" t="s">
        <v>111</v>
      </c>
      <c r="G850" s="32" t="str">
        <f>IFERROR(VLOOKUP(F850,Productos!$A$2:$D$258,2,0)," ")</f>
        <v>Superficie  Roble Negro 180x70 Clasico</v>
      </c>
      <c r="H850" s="7">
        <v>1</v>
      </c>
      <c r="I850" s="32" t="str">
        <f>IFERROR(VLOOKUP(F850,Productos!$A$2:$D$258,3,0)," ")</f>
        <v>Superficie</v>
      </c>
      <c r="J850" s="202" t="s">
        <v>21</v>
      </c>
      <c r="K850" s="202" t="s">
        <v>22</v>
      </c>
      <c r="L850" s="26" t="str">
        <f t="shared" ref="L850" si="140">IF(O850&gt;0,"Despachado","En alistamiento")</f>
        <v>En alistamiento</v>
      </c>
      <c r="M850" s="56" t="s">
        <v>238</v>
      </c>
      <c r="N850" s="198"/>
      <c r="O850" s="150"/>
      <c r="P850" s="151"/>
      <c r="Q850" s="24" t="str">
        <f t="shared" si="139"/>
        <v>En transito</v>
      </c>
      <c r="R850" s="25" t="str">
        <f>IF(L850="Despachado",NETWORKDAYS.INTL(A850,O850,11,Valores!$A$2:$A$18)-1,"PTE")</f>
        <v>PTE</v>
      </c>
      <c r="S850" s="25" t="str">
        <f>IF(Q850="Entregado",NETWORKDAYS.INTL(A850,P850,11,Valores!$A$2:$A$18)-1,"PTE")</f>
        <v>PTE</v>
      </c>
      <c r="T850" s="25"/>
      <c r="U850" s="25"/>
      <c r="V850" s="25" t="str">
        <f>IF(Q850="Entregado",IF(S850&lt;=VLOOKUP(K850,Valores!E:F,2,0),"Cumple","No cumple"),"PTE")</f>
        <v>PTE</v>
      </c>
      <c r="W850" s="25"/>
      <c r="X850" s="29"/>
      <c r="Y850" s="224"/>
      <c r="Z850" s="28"/>
    </row>
    <row r="851" spans="1:26" hidden="1" x14ac:dyDescent="0.3">
      <c r="A851" s="34">
        <v>45931</v>
      </c>
      <c r="B851" s="7" t="str">
        <f t="shared" ref="B851:B857" si="141">TEXT(A851,"mmmm")</f>
        <v>octubre</v>
      </c>
      <c r="C851" s="27">
        <v>100136</v>
      </c>
      <c r="D851" s="23" t="s">
        <v>20</v>
      </c>
      <c r="E851" s="203" t="s">
        <v>1457</v>
      </c>
      <c r="F851" s="22" t="s">
        <v>123</v>
      </c>
      <c r="G851" s="32" t="str">
        <f>IFERROR(VLOOKUP(F851,Productos!$A$2:$D$258,2,0)," ")</f>
        <v>Electric Standing Desk GO Negro</v>
      </c>
      <c r="H851" s="7">
        <v>1</v>
      </c>
      <c r="I851" s="32" t="str">
        <f>IFERROR(VLOOKUP(F851,Productos!$A$2:$D$258,3,0)," ")</f>
        <v>Standing Desk</v>
      </c>
      <c r="J851" s="202" t="s">
        <v>21</v>
      </c>
      <c r="K851" s="202" t="s">
        <v>22</v>
      </c>
      <c r="L851" s="26" t="str">
        <f t="shared" ref="L851" si="142">IF(O851&gt;0,"Despachado","En alistamiento")</f>
        <v>En alistamiento</v>
      </c>
      <c r="M851" s="56" t="s">
        <v>238</v>
      </c>
      <c r="N851" s="198"/>
      <c r="O851" s="150"/>
      <c r="P851" s="151"/>
      <c r="Q851" s="24" t="str">
        <f t="shared" si="139"/>
        <v>En transito</v>
      </c>
      <c r="R851" s="25" t="str">
        <f>IF(L851="Despachado",NETWORKDAYS.INTL(A851,O851,11,Valores!$A$2:$A$18)-1,"PTE")</f>
        <v>PTE</v>
      </c>
      <c r="S851" s="25" t="str">
        <f>IF(Q851="Entregado",NETWORKDAYS.INTL(A851,P851,11,Valores!$A$2:$A$18)-1,"PTE")</f>
        <v>PTE</v>
      </c>
      <c r="T851" s="25"/>
      <c r="U851" s="25"/>
      <c r="V851" s="25" t="str">
        <f>IF(Q851="Entregado",IF(S851&lt;=VLOOKUP(K851,Valores!E:F,2,0),"Cumple","No cumple"),"PTE")</f>
        <v>PTE</v>
      </c>
      <c r="W851" s="25"/>
      <c r="X851" s="29"/>
      <c r="Y851" s="224"/>
      <c r="Z851" s="28"/>
    </row>
    <row r="852" spans="1:26" hidden="1" x14ac:dyDescent="0.3">
      <c r="A852" s="34">
        <v>45931</v>
      </c>
      <c r="B852" s="7" t="str">
        <f t="shared" si="141"/>
        <v>octubre</v>
      </c>
      <c r="C852" s="27">
        <v>100136</v>
      </c>
      <c r="D852" s="23" t="s">
        <v>20</v>
      </c>
      <c r="E852" s="203" t="s">
        <v>1457</v>
      </c>
      <c r="F852" s="22" t="s">
        <v>303</v>
      </c>
      <c r="G852" s="32" t="str">
        <f>IFERROR(VLOOKUP(F852,Productos!$A$2:$D$258,2,0)," ")</f>
        <v>Superficie  Fresno Europeo 140x70 Clasico</v>
      </c>
      <c r="H852" s="7">
        <v>1</v>
      </c>
      <c r="I852" s="32" t="str">
        <f>IFERROR(VLOOKUP(F852,Productos!$A$2:$D$258,3,0)," ")</f>
        <v>Superficie</v>
      </c>
      <c r="J852" s="202" t="s">
        <v>21</v>
      </c>
      <c r="K852" s="202" t="s">
        <v>22</v>
      </c>
      <c r="L852" s="26" t="str">
        <f t="shared" ref="L852" si="143">IF(O852&gt;0,"Despachado","En alistamiento")</f>
        <v>En alistamiento</v>
      </c>
      <c r="M852" s="56" t="s">
        <v>238</v>
      </c>
      <c r="N852" s="198"/>
      <c r="O852" s="150"/>
      <c r="P852" s="151"/>
      <c r="Q852" s="24" t="str">
        <f t="shared" si="139"/>
        <v>En transito</v>
      </c>
      <c r="R852" s="25" t="str">
        <f>IF(L852="Despachado",NETWORKDAYS.INTL(A852,O852,11,Valores!$A$2:$A$18)-1,"PTE")</f>
        <v>PTE</v>
      </c>
      <c r="S852" s="25" t="str">
        <f>IF(Q852="Entregado",NETWORKDAYS.INTL(A852,P852,11,Valores!$A$2:$A$18)-1,"PTE")</f>
        <v>PTE</v>
      </c>
      <c r="T852" s="25"/>
      <c r="U852" s="25"/>
      <c r="V852" s="25" t="str">
        <f>IF(Q852="Entregado",IF(S852&lt;=VLOOKUP(K852,Valores!E:F,2,0),"Cumple","No cumple"),"PTE")</f>
        <v>PTE</v>
      </c>
      <c r="W852" s="25"/>
      <c r="X852" s="29"/>
      <c r="Y852" s="224"/>
      <c r="Z852" s="28"/>
    </row>
    <row r="853" spans="1:26" hidden="1" x14ac:dyDescent="0.3">
      <c r="A853" s="34">
        <v>45932</v>
      </c>
      <c r="B853" s="7" t="str">
        <f t="shared" si="141"/>
        <v>octubre</v>
      </c>
      <c r="C853" s="27">
        <v>100137</v>
      </c>
      <c r="D853" s="23" t="s">
        <v>20</v>
      </c>
      <c r="E853" s="201" t="s">
        <v>1458</v>
      </c>
      <c r="F853" s="22" t="s">
        <v>123</v>
      </c>
      <c r="G853" s="32" t="str">
        <f>IFERROR(VLOOKUP(F853,Productos!$A$2:$D$258,2,0)," ")</f>
        <v>Electric Standing Desk GO Negro</v>
      </c>
      <c r="H853" s="7">
        <v>1</v>
      </c>
      <c r="I853" s="32" t="str">
        <f>IFERROR(VLOOKUP(F853,Productos!$A$2:$D$258,3,0)," ")</f>
        <v>Standing Desk</v>
      </c>
      <c r="J853" s="202" t="s">
        <v>21</v>
      </c>
      <c r="K853" s="202" t="s">
        <v>22</v>
      </c>
      <c r="L853" s="26" t="str">
        <f t="shared" ref="L853:L856" si="144">IF(O853&gt;0,"Despachado","En alistamiento")</f>
        <v>En alistamiento</v>
      </c>
      <c r="M853" s="56" t="s">
        <v>238</v>
      </c>
      <c r="N853" s="198"/>
      <c r="O853" s="150"/>
      <c r="P853" s="151"/>
      <c r="Q853" s="24" t="str">
        <f t="shared" si="139"/>
        <v>En transito</v>
      </c>
      <c r="R853" s="25" t="str">
        <f>IF(L853="Despachado",NETWORKDAYS.INTL(A853,O853,11,Valores!$A$2:$A$18)-1,"PTE")</f>
        <v>PTE</v>
      </c>
      <c r="S853" s="25" t="str">
        <f>IF(Q853="Entregado",NETWORKDAYS.INTL(A853,P853,11,Valores!$A$2:$A$18)-1,"PTE")</f>
        <v>PTE</v>
      </c>
      <c r="T853" s="25"/>
      <c r="U853" s="25"/>
      <c r="V853" s="25" t="str">
        <f>IF(Q853="Entregado",IF(S853&lt;=VLOOKUP(K853,Valores!E:F,2,0),"Cumple","No cumple"),"PTE")</f>
        <v>PTE</v>
      </c>
      <c r="W853" s="25"/>
      <c r="X853" s="29"/>
      <c r="Y853" s="224"/>
      <c r="Z853" s="28"/>
    </row>
    <row r="854" spans="1:26" hidden="1" x14ac:dyDescent="0.3">
      <c r="A854" s="34">
        <v>45932</v>
      </c>
      <c r="B854" s="7" t="str">
        <f t="shared" si="141"/>
        <v>octubre</v>
      </c>
      <c r="C854" s="27">
        <v>100137</v>
      </c>
      <c r="D854" s="23" t="s">
        <v>20</v>
      </c>
      <c r="E854" s="201" t="s">
        <v>1458</v>
      </c>
      <c r="F854" s="22" t="s">
        <v>1467</v>
      </c>
      <c r="G854" s="32" t="str">
        <f>IFERROR(VLOOKUP(F854,Productos!$A$2:$D$258,2,0)," ")</f>
        <v>Superficie Escritorio Caramelo 160x60 Clasico</v>
      </c>
      <c r="H854" s="7">
        <v>1</v>
      </c>
      <c r="I854" s="32" t="str">
        <f>IFERROR(VLOOKUP(F854,Productos!$A$2:$D$258,3,0)," ")</f>
        <v>Superficie</v>
      </c>
      <c r="J854" s="202" t="s">
        <v>21</v>
      </c>
      <c r="K854" s="202" t="s">
        <v>22</v>
      </c>
      <c r="L854" s="26" t="str">
        <f t="shared" si="144"/>
        <v>En alistamiento</v>
      </c>
      <c r="M854" s="56" t="s">
        <v>238</v>
      </c>
      <c r="N854" s="198"/>
      <c r="O854" s="150"/>
      <c r="P854" s="151"/>
      <c r="Q854" s="24" t="str">
        <f t="shared" si="139"/>
        <v>En transito</v>
      </c>
      <c r="R854" s="25" t="str">
        <f>IF(L854="Despachado",NETWORKDAYS.INTL(A854,O854,11,Valores!$A$2:$A$18)-1,"PTE")</f>
        <v>PTE</v>
      </c>
      <c r="S854" s="25" t="str">
        <f>IF(Q854="Entregado",NETWORKDAYS.INTL(A854,P854,11,Valores!$A$2:$A$18)-1,"PTE")</f>
        <v>PTE</v>
      </c>
      <c r="T854" s="25"/>
      <c r="U854" s="25"/>
      <c r="V854" s="25" t="str">
        <f>IF(Q854="Entregado",IF(S854&lt;=VLOOKUP(K854,Valores!E:F,2,0),"Cumple","No cumple"),"PTE")</f>
        <v>PTE</v>
      </c>
      <c r="W854" s="25"/>
      <c r="X854" s="29"/>
      <c r="Y854" s="224"/>
      <c r="Z854" s="28"/>
    </row>
    <row r="855" spans="1:26" hidden="1" x14ac:dyDescent="0.3">
      <c r="A855" s="34">
        <v>45932</v>
      </c>
      <c r="B855" s="7" t="str">
        <f t="shared" si="141"/>
        <v>octubre</v>
      </c>
      <c r="C855" s="27">
        <v>100137</v>
      </c>
      <c r="D855" s="23" t="s">
        <v>20</v>
      </c>
      <c r="E855" s="201" t="s">
        <v>1458</v>
      </c>
      <c r="F855" s="22" t="s">
        <v>1694</v>
      </c>
      <c r="G855" s="32" t="str">
        <f>IFERROR(VLOOKUP(F855,Productos!$A$2:$D$258,2,0)," ")</f>
        <v>Repisa Flotante Caramelo x 80cm</v>
      </c>
      <c r="H855" s="7">
        <v>1</v>
      </c>
      <c r="I855" s="32" t="str">
        <f>IFERROR(VLOOKUP(F855,Productos!$A$2:$D$258,3,0)," ")</f>
        <v>Repisa</v>
      </c>
      <c r="J855" s="202" t="s">
        <v>21</v>
      </c>
      <c r="K855" s="202" t="s">
        <v>22</v>
      </c>
      <c r="L855" s="26" t="str">
        <f t="shared" si="144"/>
        <v>En alistamiento</v>
      </c>
      <c r="M855" s="56" t="s">
        <v>238</v>
      </c>
      <c r="N855" s="198"/>
      <c r="O855" s="150"/>
      <c r="P855" s="151"/>
      <c r="Q855" s="24" t="str">
        <f t="shared" si="139"/>
        <v>En transito</v>
      </c>
      <c r="R855" s="25" t="str">
        <f>IF(L855="Despachado",NETWORKDAYS.INTL(A855,O855,11,Valores!$A$2:$A$18)-1,"PTE")</f>
        <v>PTE</v>
      </c>
      <c r="S855" s="25" t="str">
        <f>IF(Q855="Entregado",NETWORKDAYS.INTL(A855,P855,11,Valores!$A$2:$A$18)-1,"PTE")</f>
        <v>PTE</v>
      </c>
      <c r="T855" s="25"/>
      <c r="U855" s="25"/>
      <c r="V855" s="25" t="str">
        <f>IF(Q855="Entregado",IF(S855&lt;=VLOOKUP(K855,Valores!E:F,2,0),"Cumple","No cumple"),"PTE")</f>
        <v>PTE</v>
      </c>
      <c r="W855" s="25"/>
      <c r="X855" s="29"/>
      <c r="Y855" s="224"/>
      <c r="Z855" s="28"/>
    </row>
    <row r="856" spans="1:26" hidden="1" x14ac:dyDescent="0.3">
      <c r="A856" s="34">
        <v>45932</v>
      </c>
      <c r="B856" s="7" t="str">
        <f t="shared" si="141"/>
        <v>octubre</v>
      </c>
      <c r="C856" s="27">
        <v>100137</v>
      </c>
      <c r="D856" s="23" t="s">
        <v>20</v>
      </c>
      <c r="E856" s="201" t="s">
        <v>1458</v>
      </c>
      <c r="F856" s="22" t="s">
        <v>68</v>
      </c>
      <c r="G856" s="32" t="str">
        <f>IFERROR(VLOOKUP(F856,Productos!$A$2:$D$258,2,0)," ")</f>
        <v>Archivador TECU  Caramelo</v>
      </c>
      <c r="H856" s="7">
        <v>1</v>
      </c>
      <c r="I856" s="32" t="str">
        <f>IFERROR(VLOOKUP(F856,Productos!$A$2:$D$258,3,0)," ")</f>
        <v>Archivador</v>
      </c>
      <c r="J856" s="202" t="s">
        <v>21</v>
      </c>
      <c r="K856" s="202" t="s">
        <v>22</v>
      </c>
      <c r="L856" s="26" t="str">
        <f t="shared" si="144"/>
        <v>En alistamiento</v>
      </c>
      <c r="M856" s="56" t="s">
        <v>238</v>
      </c>
      <c r="N856" s="198"/>
      <c r="O856" s="150"/>
      <c r="P856" s="151"/>
      <c r="Q856" s="24" t="str">
        <f t="shared" si="139"/>
        <v>En transito</v>
      </c>
      <c r="R856" s="25" t="str">
        <f>IF(L856="Despachado",NETWORKDAYS.INTL(A856,O856,11,Valores!$A$2:$A$18)-1,"PTE")</f>
        <v>PTE</v>
      </c>
      <c r="S856" s="25" t="str">
        <f>IF(Q856="Entregado",NETWORKDAYS.INTL(A856,P856,11,Valores!$A$2:$A$18)-1,"PTE")</f>
        <v>PTE</v>
      </c>
      <c r="T856" s="25"/>
      <c r="U856" s="25"/>
      <c r="V856" s="25" t="str">
        <f>IF(Q856="Entregado",IF(S856&lt;=VLOOKUP(K856,Valores!E:F,2,0),"Cumple","No cumple"),"PTE")</f>
        <v>PTE</v>
      </c>
      <c r="W856" s="25"/>
      <c r="X856" s="29"/>
      <c r="Y856" s="224"/>
      <c r="Z856" s="28"/>
    </row>
    <row r="857" spans="1:26" hidden="1" x14ac:dyDescent="0.3">
      <c r="A857" s="34">
        <v>45932</v>
      </c>
      <c r="B857" s="7" t="str">
        <f t="shared" si="141"/>
        <v>octubre</v>
      </c>
      <c r="C857" s="27">
        <v>100137</v>
      </c>
      <c r="D857" s="23" t="s">
        <v>20</v>
      </c>
      <c r="E857" s="201" t="s">
        <v>1458</v>
      </c>
      <c r="F857" s="22"/>
      <c r="G857" s="32" t="s">
        <v>1796</v>
      </c>
      <c r="H857" s="7">
        <v>1</v>
      </c>
      <c r="I857" s="32" t="s">
        <v>327</v>
      </c>
      <c r="J857" s="202" t="s">
        <v>21</v>
      </c>
      <c r="K857" s="202" t="s">
        <v>22</v>
      </c>
      <c r="L857" s="26" t="str">
        <f t="shared" ref="L857" si="145">IF(O857&gt;0,"Despachado","En alistamiento")</f>
        <v>Despachado</v>
      </c>
      <c r="M857" s="56" t="s">
        <v>241</v>
      </c>
      <c r="N857" s="218" t="s">
        <v>241</v>
      </c>
      <c r="O857" s="219" t="s">
        <v>241</v>
      </c>
      <c r="P857" s="220" t="s">
        <v>241</v>
      </c>
      <c r="Q857" s="24" t="str">
        <f t="shared" si="139"/>
        <v>Entregado</v>
      </c>
      <c r="R857" s="25" t="e">
        <f>IF(L857="Despachado",NETWORKDAYS.INTL(A857,O857,11,Valores!$A$2:$A$18)-1,"PTE")</f>
        <v>#VALUE!</v>
      </c>
      <c r="S857" s="25" t="e">
        <f>IF(Q857="Entregado",NETWORKDAYS.INTL(A857,P857,11,Valores!$A$2:$A$18)-1,"PTE")</f>
        <v>#VALUE!</v>
      </c>
      <c r="T857" s="25"/>
      <c r="U857" s="25"/>
      <c r="V857" s="25" t="e">
        <f>IF(Q857="Entregado",IF(S857&lt;=VLOOKUP(K857,Valores!E:F,2,0),"Cumple","No cumple"),"PTE")</f>
        <v>#VALUE!</v>
      </c>
      <c r="W857" s="25"/>
      <c r="X857" s="29"/>
      <c r="Y857" s="224"/>
      <c r="Z857" s="28"/>
    </row>
    <row r="858" spans="1:26" hidden="1" x14ac:dyDescent="0.3">
      <c r="A858" s="34">
        <v>45932</v>
      </c>
      <c r="B858" s="7" t="str">
        <f t="shared" ref="B858:B861" si="146">TEXT(A858,"mmmm")</f>
        <v>octubre</v>
      </c>
      <c r="C858" s="27">
        <v>100138</v>
      </c>
      <c r="D858" s="23" t="s">
        <v>20</v>
      </c>
      <c r="E858" s="203" t="s">
        <v>966</v>
      </c>
      <c r="F858" s="22" t="s">
        <v>240</v>
      </c>
      <c r="G858" s="32" t="str">
        <f>IFERROR(VLOOKUP(F858,Productos!$A$2:$D$258,2,0)," ")</f>
        <v>Bandeja de cables</v>
      </c>
      <c r="H858" s="7">
        <v>1</v>
      </c>
      <c r="I858" s="32" t="str">
        <f>IFERROR(VLOOKUP(F858,Productos!$A$2:$D$258,3,0)," ")</f>
        <v>Accesorio</v>
      </c>
      <c r="J858" s="202" t="s">
        <v>21</v>
      </c>
      <c r="K858" s="202" t="s">
        <v>22</v>
      </c>
      <c r="L858" s="26" t="str">
        <f t="shared" ref="L858" si="147">IF(O858&gt;0,"Despachado","En alistamiento")</f>
        <v>En alistamiento</v>
      </c>
      <c r="M858" s="56" t="s">
        <v>238</v>
      </c>
      <c r="N858" s="198"/>
      <c r="O858" s="150"/>
      <c r="P858" s="151"/>
      <c r="Q858" s="24" t="str">
        <f t="shared" si="139"/>
        <v>En transito</v>
      </c>
      <c r="R858" s="25" t="str">
        <f>IF(L858="Despachado",NETWORKDAYS.INTL(A858,O858,11,Valores!$A$2:$A$18)-1,"PTE")</f>
        <v>PTE</v>
      </c>
      <c r="S858" s="25" t="str">
        <f>IF(Q858="Entregado",NETWORKDAYS.INTL(A858,P858,11,Valores!$A$2:$A$18)-1,"PTE")</f>
        <v>PTE</v>
      </c>
      <c r="T858" s="25"/>
      <c r="U858" s="25"/>
      <c r="V858" s="25" t="str">
        <f>IF(Q858="Entregado",IF(S858&lt;=VLOOKUP(K858,Valores!E:F,2,0),"Cumple","No cumple"),"PTE")</f>
        <v>PTE</v>
      </c>
      <c r="W858" s="25"/>
      <c r="X858" s="29"/>
      <c r="Y858" s="224"/>
      <c r="Z858" s="28"/>
    </row>
    <row r="859" spans="1:26" hidden="1" x14ac:dyDescent="0.3">
      <c r="A859" s="34">
        <v>45934</v>
      </c>
      <c r="B859" s="7" t="str">
        <f t="shared" si="146"/>
        <v>octubre</v>
      </c>
      <c r="C859" s="27">
        <v>100139</v>
      </c>
      <c r="D859" s="23" t="s">
        <v>20</v>
      </c>
      <c r="E859" s="203" t="s">
        <v>1714</v>
      </c>
      <c r="F859" s="22" t="s">
        <v>1608</v>
      </c>
      <c r="G859" s="32" t="str">
        <f>IFERROR(VLOOKUP(F859,Productos!$A$2:$D$258,2,0)," ")</f>
        <v>Cajonero 2.0 Bicolor Caramelo x77cm</v>
      </c>
      <c r="H859" s="7">
        <v>1</v>
      </c>
      <c r="I859" s="32" t="str">
        <f>IFERROR(VLOOKUP(F859,Productos!$A$2:$D$258,3,0)," ")</f>
        <v>Archivador</v>
      </c>
      <c r="J859" s="204" t="s">
        <v>24</v>
      </c>
      <c r="K859" s="204" t="s">
        <v>39</v>
      </c>
      <c r="L859" s="26" t="str">
        <f t="shared" ref="L859" si="148">IF(O859&gt;0,"Despachado","En alistamiento")</f>
        <v>En alistamiento</v>
      </c>
      <c r="M859" s="56" t="s">
        <v>238</v>
      </c>
      <c r="N859" s="198"/>
      <c r="O859" s="150"/>
      <c r="P859" s="151"/>
      <c r="Q859" s="24" t="str">
        <f t="shared" si="139"/>
        <v>En transito</v>
      </c>
      <c r="R859" s="25" t="str">
        <f>IF(L859="Despachado",NETWORKDAYS.INTL(A859,O859,11,Valores!$A$2:$A$18)-1,"PTE")</f>
        <v>PTE</v>
      </c>
      <c r="S859" s="25" t="str">
        <f>IF(Q859="Entregado",NETWORKDAYS.INTL(A859,P859,11,Valores!$A$2:$A$18)-1,"PTE")</f>
        <v>PTE</v>
      </c>
      <c r="T859" s="25"/>
      <c r="U859" s="25"/>
      <c r="V859" s="25" t="str">
        <f>IF(Q859="Entregado",IF(S859&lt;=VLOOKUP(K859,Valores!E:F,2,0),"Cumple","No cumple"),"PTE")</f>
        <v>PTE</v>
      </c>
      <c r="W859" s="25"/>
      <c r="X859" s="29"/>
      <c r="Y859" s="224"/>
      <c r="Z859" s="28"/>
    </row>
    <row r="860" spans="1:26" hidden="1" x14ac:dyDescent="0.3">
      <c r="A860" s="34">
        <v>45934</v>
      </c>
      <c r="B860" s="7" t="str">
        <f t="shared" ref="B860" si="149">TEXT(A860,"mmmm")</f>
        <v>octubre</v>
      </c>
      <c r="C860" s="27">
        <v>100139</v>
      </c>
      <c r="D860" s="23" t="s">
        <v>275</v>
      </c>
      <c r="E860" s="203" t="s">
        <v>1714</v>
      </c>
      <c r="F860" s="22" t="s">
        <v>1694</v>
      </c>
      <c r="G860" s="32" t="str">
        <f>IFERROR(VLOOKUP(F860,Productos!$A$2:$D$258,2,0)," ")</f>
        <v>Repisa Flotante Caramelo x 80cm</v>
      </c>
      <c r="H860" s="7">
        <v>1</v>
      </c>
      <c r="I860" s="32" t="str">
        <f>IFERROR(VLOOKUP(F860,Productos!$A$2:$D$258,3,0)," ")</f>
        <v>Repisa</v>
      </c>
      <c r="J860" s="204" t="s">
        <v>24</v>
      </c>
      <c r="K860" s="204" t="s">
        <v>39</v>
      </c>
      <c r="L860" s="26" t="str">
        <f t="shared" ref="L860" si="150">IF(O860&gt;0,"Despachado","En alistamiento")</f>
        <v>En alistamiento</v>
      </c>
      <c r="M860" s="56" t="s">
        <v>238</v>
      </c>
      <c r="N860" s="198"/>
      <c r="O860" s="150"/>
      <c r="P860" s="151"/>
      <c r="Q860" s="24" t="str">
        <f t="shared" si="139"/>
        <v>En transito</v>
      </c>
      <c r="R860" s="25" t="str">
        <f>IF(L860="Despachado",NETWORKDAYS.INTL(A860,O860,11,Valores!$A$2:$A$18)-1,"PTE")</f>
        <v>PTE</v>
      </c>
      <c r="S860" s="25" t="str">
        <f>IF(Q860="Entregado",NETWORKDAYS.INTL(A860,P860,11,Valores!$A$2:$A$18)-1,"PTE")</f>
        <v>PTE</v>
      </c>
      <c r="T860" s="25"/>
      <c r="U860" s="25"/>
      <c r="V860" s="25" t="str">
        <f>IF(Q860="Entregado",IF(S860&lt;=VLOOKUP(K860,Valores!E:F,2,0),"Cumple","No cumple"),"PTE")</f>
        <v>PTE</v>
      </c>
      <c r="W860" s="25"/>
      <c r="X860" s="29"/>
      <c r="Y860" s="224"/>
      <c r="Z860" s="28"/>
    </row>
    <row r="861" spans="1:26" hidden="1" x14ac:dyDescent="0.3">
      <c r="A861" s="34">
        <v>45936</v>
      </c>
      <c r="B861" s="7" t="str">
        <f t="shared" si="146"/>
        <v>octubre</v>
      </c>
      <c r="C861" s="27">
        <v>100140</v>
      </c>
      <c r="D861" s="23" t="s">
        <v>20</v>
      </c>
      <c r="E861" s="203" t="s">
        <v>1715</v>
      </c>
      <c r="F861" s="22" t="s">
        <v>123</v>
      </c>
      <c r="G861" s="32" t="str">
        <f>IFERROR(VLOOKUP(F861,Productos!$A$2:$D$258,2,0)," ")</f>
        <v>Electric Standing Desk GO Negro</v>
      </c>
      <c r="H861" s="7">
        <v>1</v>
      </c>
      <c r="I861" s="32" t="str">
        <f>IFERROR(VLOOKUP(F861,Productos!$A$2:$D$258,3,0)," ")</f>
        <v>Standing Desk</v>
      </c>
      <c r="J861" s="204" t="s">
        <v>24</v>
      </c>
      <c r="K861" s="204" t="s">
        <v>209</v>
      </c>
      <c r="L861" s="26" t="str">
        <f t="shared" ref="L861:L866" si="151">IF(O861&gt;0,"Despachado","En alistamiento")</f>
        <v>En alistamiento</v>
      </c>
      <c r="M861" s="56" t="s">
        <v>238</v>
      </c>
      <c r="N861" s="198"/>
      <c r="O861" s="150"/>
      <c r="P861" s="151"/>
      <c r="Q861" s="24" t="str">
        <f t="shared" si="139"/>
        <v>En transito</v>
      </c>
      <c r="R861" s="25" t="str">
        <f>IF(L861="Despachado",NETWORKDAYS.INTL(A861,O861,11,Valores!$A$2:$A$18)-1,"PTE")</f>
        <v>PTE</v>
      </c>
      <c r="S861" s="25" t="str">
        <f>IF(Q861="Entregado",NETWORKDAYS.INTL(A861,P861,11,Valores!$A$2:$A$18)-1,"PTE")</f>
        <v>PTE</v>
      </c>
      <c r="T861" s="25"/>
      <c r="U861" s="25"/>
      <c r="V861" s="25" t="str">
        <f>IF(Q861="Entregado",IF(S861&lt;=VLOOKUP(K861,Valores!E:F,2,0),"Cumple","No cumple"),"PTE")</f>
        <v>PTE</v>
      </c>
      <c r="W861" s="25"/>
      <c r="X861" s="29"/>
      <c r="Y861" s="224"/>
      <c r="Z861" s="28"/>
    </row>
    <row r="862" spans="1:26" hidden="1" x14ac:dyDescent="0.3">
      <c r="A862" s="34">
        <v>45936</v>
      </c>
      <c r="B862" s="7" t="str">
        <f t="shared" ref="B862:B864" si="152">TEXT(A862,"mmmm")</f>
        <v>octubre</v>
      </c>
      <c r="C862" s="27">
        <v>100140</v>
      </c>
      <c r="D862" s="23" t="s">
        <v>20</v>
      </c>
      <c r="E862" s="203" t="s">
        <v>1715</v>
      </c>
      <c r="F862" s="22" t="s">
        <v>26</v>
      </c>
      <c r="G862" s="32" t="str">
        <f>IFERROR(VLOOKUP(F862,Productos!$A$2:$D$258,2,0)," ")</f>
        <v>Superficie Caramelo 150x70 Clasico</v>
      </c>
      <c r="H862" s="7">
        <v>1</v>
      </c>
      <c r="I862" s="32" t="str">
        <f>IFERROR(VLOOKUP(F862,Productos!$A$2:$D$258,3,0)," ")</f>
        <v>Superficie</v>
      </c>
      <c r="J862" s="204" t="s">
        <v>24</v>
      </c>
      <c r="K862" s="204" t="s">
        <v>209</v>
      </c>
      <c r="L862" s="26" t="str">
        <f t="shared" si="151"/>
        <v>En alistamiento</v>
      </c>
      <c r="M862" s="56" t="s">
        <v>238</v>
      </c>
      <c r="N862" s="198"/>
      <c r="O862" s="150"/>
      <c r="P862" s="151"/>
      <c r="Q862" s="24" t="str">
        <f t="shared" si="139"/>
        <v>En transito</v>
      </c>
      <c r="R862" s="25" t="str">
        <f>IF(L862="Despachado",NETWORKDAYS.INTL(A862,O862,11,Valores!$A$2:$A$18)-1,"PTE")</f>
        <v>PTE</v>
      </c>
      <c r="S862" s="25" t="str">
        <f>IF(Q862="Entregado",NETWORKDAYS.INTL(A862,P862,11,Valores!$A$2:$A$18)-1,"PTE")</f>
        <v>PTE</v>
      </c>
      <c r="T862" s="25"/>
      <c r="U862" s="25"/>
      <c r="V862" s="25" t="str">
        <f>IF(Q862="Entregado",IF(S862&lt;=VLOOKUP(K862,Valores!E:F,2,0),"Cumple","No cumple"),"PTE")</f>
        <v>PTE</v>
      </c>
      <c r="W862" s="25"/>
      <c r="X862" s="29"/>
      <c r="Y862" s="224"/>
      <c r="Z862" s="28"/>
    </row>
    <row r="863" spans="1:26" hidden="1" x14ac:dyDescent="0.3">
      <c r="A863" s="34">
        <v>45937</v>
      </c>
      <c r="B863" s="7" t="str">
        <f t="shared" si="152"/>
        <v>octubre</v>
      </c>
      <c r="C863" s="27">
        <v>100143</v>
      </c>
      <c r="D863" s="23" t="s">
        <v>20</v>
      </c>
      <c r="E863" s="203" t="s">
        <v>1716</v>
      </c>
      <c r="F863" s="22" t="s">
        <v>129</v>
      </c>
      <c r="G863" s="32" t="str">
        <f>IFERROR(VLOOKUP(F863,Productos!$A$2:$D$258,2,0)," ")</f>
        <v>Electric Standing Desk  PRO Negro</v>
      </c>
      <c r="H863" s="7">
        <v>1</v>
      </c>
      <c r="I863" s="32" t="str">
        <f>IFERROR(VLOOKUP(F863,Productos!$A$2:$D$258,3,0)," ")</f>
        <v>Standing Desk</v>
      </c>
      <c r="J863" s="202" t="s">
        <v>21</v>
      </c>
      <c r="K863" s="202" t="s">
        <v>22</v>
      </c>
      <c r="L863" s="26" t="str">
        <f t="shared" si="151"/>
        <v>En alistamiento</v>
      </c>
      <c r="M863" s="56" t="s">
        <v>238</v>
      </c>
      <c r="N863" s="198"/>
      <c r="O863" s="150"/>
      <c r="P863" s="151"/>
      <c r="Q863" s="24" t="str">
        <f t="shared" si="139"/>
        <v>En transito</v>
      </c>
      <c r="R863" s="25" t="str">
        <f>IF(L863="Despachado",NETWORKDAYS.INTL(A863,O863,11,Valores!$A$2:$A$18)-1,"PTE")</f>
        <v>PTE</v>
      </c>
      <c r="S863" s="25" t="str">
        <f>IF(Q863="Entregado",NETWORKDAYS.INTL(A863,P863,11,Valores!$A$2:$A$18)-1,"PTE")</f>
        <v>PTE</v>
      </c>
      <c r="T863" s="25"/>
      <c r="U863" s="25"/>
      <c r="V863" s="25" t="str">
        <f>IF(Q863="Entregado",IF(S863&lt;=VLOOKUP(K863,Valores!E:F,2,0),"Cumple","No cumple"),"PTE")</f>
        <v>PTE</v>
      </c>
      <c r="W863" s="25"/>
      <c r="X863" s="29"/>
      <c r="Y863" s="224"/>
      <c r="Z863" s="28"/>
    </row>
    <row r="864" spans="1:26" hidden="1" x14ac:dyDescent="0.3">
      <c r="A864" s="34">
        <v>45937</v>
      </c>
      <c r="B864" s="7" t="str">
        <f t="shared" si="152"/>
        <v>octubre</v>
      </c>
      <c r="C864" s="27">
        <v>100143</v>
      </c>
      <c r="D864" s="23" t="s">
        <v>20</v>
      </c>
      <c r="E864" s="203" t="s">
        <v>1716</v>
      </c>
      <c r="F864" s="22" t="s">
        <v>1461</v>
      </c>
      <c r="G864" s="32" t="str">
        <f>IFERROR(VLOOKUP(F864,Productos!$A$2:$D$258,2,0)," ")</f>
        <v>Superficie Escritorio Caramelo 130x60 Clasico</v>
      </c>
      <c r="H864" s="7">
        <v>1</v>
      </c>
      <c r="I864" s="32" t="str">
        <f>IFERROR(VLOOKUP(F864,Productos!$A$2:$D$258,3,0)," ")</f>
        <v>Superficie</v>
      </c>
      <c r="J864" s="202" t="s">
        <v>21</v>
      </c>
      <c r="K864" s="202" t="s">
        <v>22</v>
      </c>
      <c r="L864" s="26" t="str">
        <f t="shared" si="151"/>
        <v>En alistamiento</v>
      </c>
      <c r="M864" s="56" t="s">
        <v>238</v>
      </c>
      <c r="N864" s="198"/>
      <c r="O864" s="150"/>
      <c r="P864" s="151"/>
      <c r="Q864" s="24" t="str">
        <f t="shared" si="139"/>
        <v>En transito</v>
      </c>
      <c r="R864" s="25" t="str">
        <f>IF(L864="Despachado",NETWORKDAYS.INTL(A864,O864,11,Valores!$A$2:$A$18)-1,"PTE")</f>
        <v>PTE</v>
      </c>
      <c r="S864" s="25" t="str">
        <f>IF(Q864="Entregado",NETWORKDAYS.INTL(A864,P864,11,Valores!$A$2:$A$18)-1,"PTE")</f>
        <v>PTE</v>
      </c>
      <c r="T864" s="25"/>
      <c r="U864" s="25"/>
      <c r="V864" s="25" t="str">
        <f>IF(Q864="Entregado",IF(S864&lt;=VLOOKUP(K864,Valores!E:F,2,0),"Cumple","No cumple"),"PTE")</f>
        <v>PTE</v>
      </c>
      <c r="W864" s="25"/>
      <c r="X864" s="29"/>
      <c r="Y864" s="224"/>
      <c r="Z864" s="28"/>
    </row>
    <row r="865" spans="1:26" hidden="1" x14ac:dyDescent="0.3">
      <c r="A865" s="34">
        <v>45937</v>
      </c>
      <c r="B865" s="7" t="str">
        <f t="shared" ref="B865:B866" si="153">TEXT(A865,"mmmm")</f>
        <v>octubre</v>
      </c>
      <c r="C865" s="27">
        <v>100143</v>
      </c>
      <c r="D865" s="23" t="s">
        <v>20</v>
      </c>
      <c r="E865" s="203" t="s">
        <v>1716</v>
      </c>
      <c r="F865" s="22" t="s">
        <v>240</v>
      </c>
      <c r="G865" s="32" t="str">
        <f>IFERROR(VLOOKUP(F865,Productos!$A$2:$D$258,2,0)," ")</f>
        <v>Bandeja de cables</v>
      </c>
      <c r="H865" s="7">
        <v>1</v>
      </c>
      <c r="I865" s="32" t="str">
        <f>IFERROR(VLOOKUP(F865,Productos!$A$2:$D$258,3,0)," ")</f>
        <v>Accesorio</v>
      </c>
      <c r="J865" s="202" t="s">
        <v>21</v>
      </c>
      <c r="K865" s="202" t="s">
        <v>22</v>
      </c>
      <c r="L865" s="26" t="str">
        <f t="shared" si="151"/>
        <v>En alistamiento</v>
      </c>
      <c r="M865" s="56" t="s">
        <v>238</v>
      </c>
      <c r="N865" s="198"/>
      <c r="O865" s="150"/>
      <c r="P865" s="151"/>
      <c r="Q865" s="24" t="str">
        <f t="shared" si="139"/>
        <v>En transito</v>
      </c>
      <c r="R865" s="25" t="str">
        <f>IF(L865="Despachado",NETWORKDAYS.INTL(A865,O865,11,Valores!$A$2:$A$18)-1,"PTE")</f>
        <v>PTE</v>
      </c>
      <c r="S865" s="25" t="str">
        <f>IF(Q865="Entregado",NETWORKDAYS.INTL(A865,P865,11,Valores!$A$2:$A$18)-1,"PTE")</f>
        <v>PTE</v>
      </c>
      <c r="T865" s="25"/>
      <c r="U865" s="25"/>
      <c r="V865" s="25" t="str">
        <f>IF(Q865="Entregado",IF(S865&lt;=VLOOKUP(K865,Valores!E:F,2,0),"Cumple","No cumple"),"PTE")</f>
        <v>PTE</v>
      </c>
      <c r="W865" s="25"/>
      <c r="X865" s="29"/>
      <c r="Y865" s="224"/>
      <c r="Z865" s="28"/>
    </row>
    <row r="866" spans="1:26" hidden="1" x14ac:dyDescent="0.3">
      <c r="A866" s="34">
        <v>45937</v>
      </c>
      <c r="B866" s="7" t="str">
        <f t="shared" si="153"/>
        <v>octubre</v>
      </c>
      <c r="C866" s="27">
        <v>100143</v>
      </c>
      <c r="D866" s="23" t="s">
        <v>20</v>
      </c>
      <c r="E866" s="203" t="s">
        <v>1716</v>
      </c>
      <c r="F866" s="22"/>
      <c r="G866" s="32" t="s">
        <v>1796</v>
      </c>
      <c r="H866" s="7">
        <v>1</v>
      </c>
      <c r="I866" s="32" t="s">
        <v>327</v>
      </c>
      <c r="J866" s="202" t="s">
        <v>21</v>
      </c>
      <c r="K866" s="202" t="s">
        <v>22</v>
      </c>
      <c r="L866" s="26" t="str">
        <f t="shared" si="151"/>
        <v>Despachado</v>
      </c>
      <c r="M866" s="56" t="s">
        <v>241</v>
      </c>
      <c r="N866" s="218" t="s">
        <v>241</v>
      </c>
      <c r="O866" s="219" t="s">
        <v>241</v>
      </c>
      <c r="P866" s="220" t="s">
        <v>241</v>
      </c>
      <c r="Q866" s="24" t="str">
        <f t="shared" si="139"/>
        <v>Entregado</v>
      </c>
      <c r="R866" s="25" t="e">
        <f>IF(L866="Despachado",NETWORKDAYS.INTL(A866,O866,11,Valores!$A$2:$A$18)-1,"PTE")</f>
        <v>#VALUE!</v>
      </c>
      <c r="S866" s="25" t="e">
        <f>IF(Q866="Entregado",NETWORKDAYS.INTL(A866,P866,11,Valores!$A$2:$A$18)-1,"PTE")</f>
        <v>#VALUE!</v>
      </c>
      <c r="T866" s="25"/>
      <c r="U866" s="25"/>
      <c r="V866" s="25" t="e">
        <f>IF(Q866="Entregado",IF(S866&lt;=VLOOKUP(K866,Valores!E:F,2,0),"Cumple","No cumple"),"PTE")</f>
        <v>#VALUE!</v>
      </c>
      <c r="W866" s="25"/>
      <c r="X866" s="29"/>
      <c r="Y866" s="224"/>
      <c r="Z866" s="28"/>
    </row>
    <row r="867" spans="1:26" hidden="1" x14ac:dyDescent="0.3">
      <c r="A867" s="34">
        <v>45937</v>
      </c>
      <c r="B867" s="7" t="str">
        <f t="shared" ref="B867:B868" si="154">TEXT(A867,"mmmm")</f>
        <v>octubre</v>
      </c>
      <c r="C867" s="27">
        <v>100144</v>
      </c>
      <c r="D867" s="23" t="s">
        <v>20</v>
      </c>
      <c r="E867" s="203" t="s">
        <v>1717</v>
      </c>
      <c r="F867" s="22" t="s">
        <v>129</v>
      </c>
      <c r="G867" s="32" t="str">
        <f>IFERROR(VLOOKUP(F867,Productos!$A$2:$D$258,2,0)," ")</f>
        <v>Electric Standing Desk  PRO Negro</v>
      </c>
      <c r="H867" s="7">
        <v>1</v>
      </c>
      <c r="I867" s="32" t="str">
        <f>IFERROR(VLOOKUP(F867,Productos!$A$2:$D$258,3,0)," ")</f>
        <v>Standing Desk</v>
      </c>
      <c r="J867" s="204" t="s">
        <v>1423</v>
      </c>
      <c r="K867" s="204" t="s">
        <v>41</v>
      </c>
      <c r="L867" s="26" t="str">
        <f t="shared" ref="L867:L868" si="155">IF(O867&gt;0,"Despachado","En alistamiento")</f>
        <v>En alistamiento</v>
      </c>
      <c r="M867" s="56" t="s">
        <v>238</v>
      </c>
      <c r="N867" s="198"/>
      <c r="O867" s="150"/>
      <c r="P867" s="151"/>
      <c r="Q867" s="24" t="str">
        <f t="shared" si="139"/>
        <v>En transito</v>
      </c>
      <c r="R867" s="25" t="str">
        <f>IF(L867="Despachado",NETWORKDAYS.INTL(A867,O867,11,Valores!$A$2:$A$18)-1,"PTE")</f>
        <v>PTE</v>
      </c>
      <c r="S867" s="25" t="str">
        <f>IF(Q867="Entregado",NETWORKDAYS.INTL(A867,P867,11,Valores!$A$2:$A$18)-1,"PTE")</f>
        <v>PTE</v>
      </c>
      <c r="T867" s="25"/>
      <c r="U867" s="25"/>
      <c r="V867" s="25" t="str">
        <f>IF(Q867="Entregado",IF(S867&lt;=VLOOKUP(K867,Valores!E:F,2,0),"Cumple","No cumple"),"PTE")</f>
        <v>PTE</v>
      </c>
      <c r="W867" s="25"/>
      <c r="X867" s="29"/>
      <c r="Y867" s="224"/>
      <c r="Z867" s="28"/>
    </row>
    <row r="868" spans="1:26" hidden="1" x14ac:dyDescent="0.3">
      <c r="A868" s="34">
        <v>45937</v>
      </c>
      <c r="B868" s="7" t="str">
        <f t="shared" si="154"/>
        <v>octubre</v>
      </c>
      <c r="C868" s="27">
        <v>100144</v>
      </c>
      <c r="D868" s="23" t="s">
        <v>20</v>
      </c>
      <c r="E868" s="203" t="s">
        <v>1717</v>
      </c>
      <c r="F868" s="22" t="s">
        <v>305</v>
      </c>
      <c r="G868" s="32" t="str">
        <f>IFERROR(VLOOKUP(F868,Productos!$A$2:$D$258,2,0)," ")</f>
        <v>Superficie  Fresno Europeo 160x70 Clasico</v>
      </c>
      <c r="H868" s="7">
        <v>1</v>
      </c>
      <c r="I868" s="32" t="str">
        <f>IFERROR(VLOOKUP(F868,Productos!$A$2:$D$258,3,0)," ")</f>
        <v>Superficie</v>
      </c>
      <c r="J868" s="204" t="s">
        <v>1423</v>
      </c>
      <c r="K868" s="204" t="s">
        <v>41</v>
      </c>
      <c r="L868" s="26" t="str">
        <f t="shared" si="155"/>
        <v>En alistamiento</v>
      </c>
      <c r="M868" s="56" t="s">
        <v>238</v>
      </c>
      <c r="N868" s="198"/>
      <c r="O868" s="150"/>
      <c r="P868" s="151"/>
      <c r="Q868" s="24" t="str">
        <f t="shared" si="139"/>
        <v>En transito</v>
      </c>
      <c r="R868" s="25" t="str">
        <f>IF(L868="Despachado",NETWORKDAYS.INTL(A868,O868,11,Valores!$A$2:$A$18)-1,"PTE")</f>
        <v>PTE</v>
      </c>
      <c r="S868" s="25" t="str">
        <f>IF(Q868="Entregado",NETWORKDAYS.INTL(A868,P868,11,Valores!$A$2:$A$18)-1,"PTE")</f>
        <v>PTE</v>
      </c>
      <c r="T868" s="25"/>
      <c r="U868" s="25"/>
      <c r="V868" s="25" t="str">
        <f>IF(Q868="Entregado",IF(S868&lt;=VLOOKUP(K868,Valores!E:F,2,0),"Cumple","No cumple"),"PTE")</f>
        <v>PTE</v>
      </c>
      <c r="W868" s="25"/>
      <c r="X868" s="29"/>
      <c r="Y868" s="224"/>
      <c r="Z868" s="28"/>
    </row>
    <row r="869" spans="1:26" hidden="1" x14ac:dyDescent="0.3">
      <c r="A869" s="34">
        <v>45937</v>
      </c>
      <c r="B869" s="7" t="str">
        <f t="shared" ref="B869" si="156">TEXT(A869,"mmmm")</f>
        <v>octubre</v>
      </c>
      <c r="C869" s="27">
        <v>100145</v>
      </c>
      <c r="D869" s="23" t="s">
        <v>20</v>
      </c>
      <c r="E869" s="203" t="s">
        <v>1718</v>
      </c>
      <c r="F869" s="22" t="s">
        <v>1672</v>
      </c>
      <c r="G869" s="32" t="str">
        <f>IFERROR(VLOOKUP(F869,Productos!$A$2:$D$258,2,0)," ")</f>
        <v>Repisa Escritorio Fresno Europeo x 110cm</v>
      </c>
      <c r="H869" s="7">
        <v>1</v>
      </c>
      <c r="I869" s="32" t="str">
        <f>IFERROR(VLOOKUP(F869,Productos!$A$2:$D$258,3,0)," ")</f>
        <v>Repisa</v>
      </c>
      <c r="J869" s="204" t="s">
        <v>1719</v>
      </c>
      <c r="K869" s="204" t="s">
        <v>1720</v>
      </c>
      <c r="L869" s="26" t="str">
        <f t="shared" ref="L869:L870" si="157">IF(O869&gt;0,"Despachado","En alistamiento")</f>
        <v>En alistamiento</v>
      </c>
      <c r="M869" s="56" t="s">
        <v>238</v>
      </c>
      <c r="N869" s="198"/>
      <c r="O869" s="150"/>
      <c r="P869" s="151"/>
      <c r="Q869" s="24" t="str">
        <f t="shared" si="139"/>
        <v>En transito</v>
      </c>
      <c r="R869" s="25" t="str">
        <f>IF(L869="Despachado",NETWORKDAYS.INTL(A869,O869,11,Valores!$A$2:$A$18)-1,"PTE")</f>
        <v>PTE</v>
      </c>
      <c r="S869" s="25" t="str">
        <f>IF(Q869="Entregado",NETWORKDAYS.INTL(A869,P869,11,Valores!$A$2:$A$18)-1,"PTE")</f>
        <v>PTE</v>
      </c>
      <c r="T869" s="25"/>
      <c r="U869" s="25"/>
      <c r="V869" s="25" t="str">
        <f>IF(Q869="Entregado",IF(S869&lt;=VLOOKUP(K869,Valores!E:F,2,0),"Cumple","No cumple"),"PTE")</f>
        <v>PTE</v>
      </c>
      <c r="W869" s="25"/>
      <c r="X869" s="29"/>
      <c r="Y869" s="224"/>
      <c r="Z869" s="28"/>
    </row>
    <row r="870" spans="1:26" hidden="1" x14ac:dyDescent="0.3">
      <c r="A870" s="34">
        <v>45937</v>
      </c>
      <c r="B870" s="7" t="str">
        <f t="shared" ref="B870:B872" si="158">TEXT(A870,"mmmm")</f>
        <v>octubre</v>
      </c>
      <c r="C870" s="27">
        <v>100146</v>
      </c>
      <c r="D870" s="23" t="s">
        <v>20</v>
      </c>
      <c r="E870" s="203" t="s">
        <v>1721</v>
      </c>
      <c r="F870" s="22" t="s">
        <v>240</v>
      </c>
      <c r="G870" s="32" t="str">
        <f>IFERROR(VLOOKUP(F870,Productos!$A$2:$D$258,2,0)," ")</f>
        <v>Bandeja de cables</v>
      </c>
      <c r="H870" s="7">
        <v>1</v>
      </c>
      <c r="I870" s="32" t="str">
        <f>IFERROR(VLOOKUP(F870,Productos!$A$2:$D$258,3,0)," ")</f>
        <v>Accesorio</v>
      </c>
      <c r="J870" s="202" t="s">
        <v>21</v>
      </c>
      <c r="K870" s="202" t="s">
        <v>22</v>
      </c>
      <c r="L870" s="26" t="str">
        <f t="shared" si="157"/>
        <v>En alistamiento</v>
      </c>
      <c r="M870" s="56" t="s">
        <v>238</v>
      </c>
      <c r="N870" s="198"/>
      <c r="O870" s="150"/>
      <c r="P870" s="151"/>
      <c r="Q870" s="24" t="str">
        <f t="shared" si="139"/>
        <v>En transito</v>
      </c>
      <c r="R870" s="25" t="str">
        <f>IF(L870="Despachado",NETWORKDAYS.INTL(A870,O870,11,Valores!$A$2:$A$18)-1,"PTE")</f>
        <v>PTE</v>
      </c>
      <c r="S870" s="25" t="str">
        <f>IF(Q870="Entregado",NETWORKDAYS.INTL(A870,P870,11,Valores!$A$2:$A$18)-1,"PTE")</f>
        <v>PTE</v>
      </c>
      <c r="T870" s="25"/>
      <c r="U870" s="25"/>
      <c r="V870" s="25" t="str">
        <f>IF(Q870="Entregado",IF(S870&lt;=VLOOKUP(K870,Valores!E:F,2,0),"Cumple","No cumple"),"PTE")</f>
        <v>PTE</v>
      </c>
      <c r="W870" s="25"/>
      <c r="X870" s="29"/>
      <c r="Y870" s="224"/>
      <c r="Z870" s="28"/>
    </row>
    <row r="871" spans="1:26" hidden="1" x14ac:dyDescent="0.3">
      <c r="A871" s="34">
        <v>45939</v>
      </c>
      <c r="B871" s="7" t="str">
        <f t="shared" si="158"/>
        <v>octubre</v>
      </c>
      <c r="C871" s="27">
        <v>100148</v>
      </c>
      <c r="D871" s="23" t="s">
        <v>20</v>
      </c>
      <c r="E871" s="203" t="s">
        <v>1722</v>
      </c>
      <c r="F871" s="22" t="s">
        <v>129</v>
      </c>
      <c r="G871" s="32" t="str">
        <f>IFERROR(VLOOKUP(F871,Productos!$A$2:$D$258,2,0)," ")</f>
        <v>Electric Standing Desk  PRO Negro</v>
      </c>
      <c r="H871" s="7">
        <v>1</v>
      </c>
      <c r="I871" s="32" t="str">
        <f>IFERROR(VLOOKUP(F871,Productos!$A$2:$D$258,3,0)," ")</f>
        <v>Standing Desk</v>
      </c>
      <c r="J871" s="205" t="s">
        <v>24</v>
      </c>
      <c r="K871" s="205" t="s">
        <v>185</v>
      </c>
      <c r="L871" s="26" t="str">
        <f t="shared" ref="L871:L872" si="159">IF(O871&gt;0,"Despachado","En alistamiento")</f>
        <v>En alistamiento</v>
      </c>
      <c r="M871" s="56" t="s">
        <v>238</v>
      </c>
      <c r="N871" s="198"/>
      <c r="O871" s="150"/>
      <c r="P871" s="151"/>
      <c r="Q871" s="24" t="str">
        <f t="shared" si="139"/>
        <v>En transito</v>
      </c>
      <c r="R871" s="25" t="str">
        <f>IF(L871="Despachado",NETWORKDAYS.INTL(A871,O871,11,Valores!$A$2:$A$18)-1,"PTE")</f>
        <v>PTE</v>
      </c>
      <c r="S871" s="25" t="str">
        <f>IF(Q871="Entregado",NETWORKDAYS.INTL(A871,P871,11,Valores!$A$2:$A$18)-1,"PTE")</f>
        <v>PTE</v>
      </c>
      <c r="T871" s="25"/>
      <c r="U871" s="25"/>
      <c r="V871" s="25" t="str">
        <f>IF(Q871="Entregado",IF(S871&lt;=VLOOKUP(K871,Valores!E:F,2,0),"Cumple","No cumple"),"PTE")</f>
        <v>PTE</v>
      </c>
      <c r="W871" s="25"/>
      <c r="X871" s="29"/>
      <c r="Y871" s="224"/>
      <c r="Z871" s="28"/>
    </row>
    <row r="872" spans="1:26" hidden="1" x14ac:dyDescent="0.3">
      <c r="A872" s="34">
        <v>45939</v>
      </c>
      <c r="B872" s="7" t="str">
        <f t="shared" si="158"/>
        <v>octubre</v>
      </c>
      <c r="C872" s="27">
        <v>100148</v>
      </c>
      <c r="D872" s="23" t="s">
        <v>20</v>
      </c>
      <c r="E872" s="203" t="s">
        <v>1722</v>
      </c>
      <c r="F872" s="22" t="s">
        <v>264</v>
      </c>
      <c r="G872" s="32" t="str">
        <f>IFERROR(VLOOKUP(F872,Productos!$A$2:$D$258,2,0)," ")</f>
        <v>Superficie Roble Miel 180x70 Clasico</v>
      </c>
      <c r="H872" s="7">
        <v>1</v>
      </c>
      <c r="I872" s="32" t="str">
        <f>IFERROR(VLOOKUP(F872,Productos!$A$2:$D$258,3,0)," ")</f>
        <v>Superficie</v>
      </c>
      <c r="J872" s="205" t="s">
        <v>24</v>
      </c>
      <c r="K872" s="205" t="s">
        <v>185</v>
      </c>
      <c r="L872" s="26" t="str">
        <f t="shared" si="159"/>
        <v>En alistamiento</v>
      </c>
      <c r="M872" s="56" t="s">
        <v>238</v>
      </c>
      <c r="N872" s="198"/>
      <c r="O872" s="150"/>
      <c r="P872" s="151"/>
      <c r="Q872" s="24" t="str">
        <f t="shared" si="139"/>
        <v>En transito</v>
      </c>
      <c r="R872" s="25" t="str">
        <f>IF(L872="Despachado",NETWORKDAYS.INTL(A872,O872,11,Valores!$A$2:$A$18)-1,"PTE")</f>
        <v>PTE</v>
      </c>
      <c r="S872" s="25" t="str">
        <f>IF(Q872="Entregado",NETWORKDAYS.INTL(A872,P872,11,Valores!$A$2:$A$18)-1,"PTE")</f>
        <v>PTE</v>
      </c>
      <c r="T872" s="25"/>
      <c r="U872" s="25"/>
      <c r="V872" s="25" t="str">
        <f>IF(Q872="Entregado",IF(S872&lt;=VLOOKUP(K872,Valores!E:F,2,0),"Cumple","No cumple"),"PTE")</f>
        <v>PTE</v>
      </c>
      <c r="W872" s="25"/>
      <c r="X872" s="29"/>
      <c r="Y872" s="224"/>
      <c r="Z872" s="28"/>
    </row>
    <row r="873" spans="1:26" hidden="1" x14ac:dyDescent="0.3">
      <c r="A873" s="34">
        <v>45939</v>
      </c>
      <c r="B873" s="7" t="str">
        <f t="shared" ref="B873" si="160">TEXT(A873,"mmmm")</f>
        <v>octubre</v>
      </c>
      <c r="C873" s="27">
        <v>100148</v>
      </c>
      <c r="D873" s="23" t="s">
        <v>20</v>
      </c>
      <c r="E873" s="203" t="s">
        <v>1722</v>
      </c>
      <c r="F873" s="22" t="s">
        <v>240</v>
      </c>
      <c r="G873" s="32" t="str">
        <f>IFERROR(VLOOKUP(F873,Productos!$A$2:$D$258,2,0)," ")</f>
        <v>Bandeja de cables</v>
      </c>
      <c r="H873" s="7">
        <v>1</v>
      </c>
      <c r="I873" s="32" t="str">
        <f>IFERROR(VLOOKUP(F873,Productos!$A$2:$D$258,3,0)," ")</f>
        <v>Accesorio</v>
      </c>
      <c r="J873" s="205" t="s">
        <v>24</v>
      </c>
      <c r="K873" s="205" t="s">
        <v>185</v>
      </c>
      <c r="L873" s="26" t="str">
        <f t="shared" ref="L873:L877" si="161">IF(O873&gt;0,"Despachado","En alistamiento")</f>
        <v>En alistamiento</v>
      </c>
      <c r="M873" s="56" t="s">
        <v>238</v>
      </c>
      <c r="N873" s="198"/>
      <c r="O873" s="150"/>
      <c r="P873" s="151"/>
      <c r="Q873" s="24" t="str">
        <f t="shared" si="139"/>
        <v>En transito</v>
      </c>
      <c r="R873" s="25" t="str">
        <f>IF(L873="Despachado",NETWORKDAYS.INTL(A873,O873,11,Valores!$A$2:$A$18)-1,"PTE")</f>
        <v>PTE</v>
      </c>
      <c r="S873" s="25" t="str">
        <f>IF(Q873="Entregado",NETWORKDAYS.INTL(A873,P873,11,Valores!$A$2:$A$18)-1,"PTE")</f>
        <v>PTE</v>
      </c>
      <c r="T873" s="25"/>
      <c r="U873" s="25"/>
      <c r="V873" s="25" t="str">
        <f>IF(Q873="Entregado",IF(S873&lt;=VLOOKUP(K873,Valores!E:F,2,0),"Cumple","No cumple"),"PTE")</f>
        <v>PTE</v>
      </c>
      <c r="W873" s="25"/>
      <c r="X873" s="29"/>
      <c r="Y873" s="224"/>
      <c r="Z873" s="28"/>
    </row>
    <row r="874" spans="1:26" hidden="1" x14ac:dyDescent="0.3">
      <c r="A874" s="34">
        <v>45939</v>
      </c>
      <c r="B874" s="7" t="str">
        <f t="shared" ref="B874:B876" si="162">TEXT(A874,"mmmm")</f>
        <v>octubre</v>
      </c>
      <c r="C874" s="27">
        <v>100149</v>
      </c>
      <c r="D874" s="23" t="s">
        <v>20</v>
      </c>
      <c r="E874" s="206" t="s">
        <v>1447</v>
      </c>
      <c r="F874" s="22" t="s">
        <v>129</v>
      </c>
      <c r="G874" s="32" t="str">
        <f>IFERROR(VLOOKUP(F874,Productos!$A$2:$D$258,2,0)," ")</f>
        <v>Electric Standing Desk  PRO Negro</v>
      </c>
      <c r="H874" s="7">
        <v>1</v>
      </c>
      <c r="I874" s="32" t="str">
        <f>IFERROR(VLOOKUP(F874,Productos!$A$2:$D$258,3,0)," ")</f>
        <v>Standing Desk</v>
      </c>
      <c r="J874" s="202" t="s">
        <v>21</v>
      </c>
      <c r="K874" s="202" t="s">
        <v>22</v>
      </c>
      <c r="L874" s="26" t="str">
        <f t="shared" si="161"/>
        <v>En alistamiento</v>
      </c>
      <c r="M874" s="56" t="s">
        <v>238</v>
      </c>
      <c r="N874" s="198"/>
      <c r="O874" s="150"/>
      <c r="P874" s="151"/>
      <c r="Q874" s="24" t="str">
        <f t="shared" si="139"/>
        <v>En transito</v>
      </c>
      <c r="R874" s="25" t="str">
        <f>IF(L874="Despachado",NETWORKDAYS.INTL(A874,O874,11,Valores!$A$2:$A$18)-1,"PTE")</f>
        <v>PTE</v>
      </c>
      <c r="S874" s="25" t="str">
        <f>IF(Q874="Entregado",NETWORKDAYS.INTL(A874,P874,11,Valores!$A$2:$A$18)-1,"PTE")</f>
        <v>PTE</v>
      </c>
      <c r="T874" s="25"/>
      <c r="U874" s="25"/>
      <c r="V874" s="25" t="str">
        <f>IF(Q874="Entregado",IF(S874&lt;=VLOOKUP(K874,Valores!E:F,2,0),"Cumple","No cumple"),"PTE")</f>
        <v>PTE</v>
      </c>
      <c r="W874" s="25"/>
      <c r="X874" s="29"/>
      <c r="Y874" s="224"/>
      <c r="Z874" s="28"/>
    </row>
    <row r="875" spans="1:26" hidden="1" x14ac:dyDescent="0.3">
      <c r="A875" s="34">
        <v>45939</v>
      </c>
      <c r="B875" s="7" t="str">
        <f t="shared" si="162"/>
        <v>octubre</v>
      </c>
      <c r="C875" s="27">
        <v>100149</v>
      </c>
      <c r="D875" s="23" t="s">
        <v>20</v>
      </c>
      <c r="E875" s="206" t="s">
        <v>1447</v>
      </c>
      <c r="F875" s="22" t="s">
        <v>146</v>
      </c>
      <c r="G875" s="32" t="str">
        <f>IFERROR(VLOOKUP(F875,Productos!$A$2:$D$258,2,0)," ")</f>
        <v>Superficie  Caramelo 200x70 Clasico</v>
      </c>
      <c r="H875" s="7">
        <v>1</v>
      </c>
      <c r="I875" s="32" t="str">
        <f>IFERROR(VLOOKUP(F875,Productos!$A$2:$D$258,3,0)," ")</f>
        <v>Superficie</v>
      </c>
      <c r="J875" s="202" t="s">
        <v>21</v>
      </c>
      <c r="K875" s="202" t="s">
        <v>22</v>
      </c>
      <c r="L875" s="26" t="str">
        <f t="shared" si="161"/>
        <v>En alistamiento</v>
      </c>
      <c r="M875" s="56" t="s">
        <v>238</v>
      </c>
      <c r="N875" s="198"/>
      <c r="O875" s="150"/>
      <c r="P875" s="151"/>
      <c r="Q875" s="24" t="str">
        <f t="shared" si="139"/>
        <v>En transito</v>
      </c>
      <c r="R875" s="25" t="str">
        <f>IF(L875="Despachado",NETWORKDAYS.INTL(A875,O875,11,Valores!$A$2:$A$18)-1,"PTE")</f>
        <v>PTE</v>
      </c>
      <c r="S875" s="25" t="str">
        <f>IF(Q875="Entregado",NETWORKDAYS.INTL(A875,P875,11,Valores!$A$2:$A$18)-1,"PTE")</f>
        <v>PTE</v>
      </c>
      <c r="T875" s="25"/>
      <c r="U875" s="25"/>
      <c r="V875" s="25" t="str">
        <f>IF(Q875="Entregado",IF(S875&lt;=VLOOKUP(K875,Valores!E:F,2,0),"Cumple","No cumple"),"PTE")</f>
        <v>PTE</v>
      </c>
      <c r="W875" s="25"/>
      <c r="X875" s="29"/>
      <c r="Y875" s="224"/>
      <c r="Z875" s="28"/>
    </row>
    <row r="876" spans="1:26" hidden="1" x14ac:dyDescent="0.3">
      <c r="A876" s="34">
        <v>45939</v>
      </c>
      <c r="B876" s="7" t="str">
        <f t="shared" si="162"/>
        <v>octubre</v>
      </c>
      <c r="C876" s="27">
        <v>100149</v>
      </c>
      <c r="D876" s="23" t="s">
        <v>20</v>
      </c>
      <c r="E876" s="206" t="s">
        <v>1447</v>
      </c>
      <c r="F876" s="22" t="s">
        <v>240</v>
      </c>
      <c r="G876" s="32" t="str">
        <f>IFERROR(VLOOKUP(F876,Productos!$A$2:$D$258,2,0)," ")</f>
        <v>Bandeja de cables</v>
      </c>
      <c r="H876" s="7">
        <v>1</v>
      </c>
      <c r="I876" s="32" t="str">
        <f>IFERROR(VLOOKUP(F876,Productos!$A$2:$D$258,3,0)," ")</f>
        <v>Accesorio</v>
      </c>
      <c r="J876" s="202" t="s">
        <v>21</v>
      </c>
      <c r="K876" s="202" t="s">
        <v>22</v>
      </c>
      <c r="L876" s="26" t="str">
        <f t="shared" si="161"/>
        <v>En alistamiento</v>
      </c>
      <c r="M876" s="56" t="s">
        <v>238</v>
      </c>
      <c r="N876" s="198"/>
      <c r="O876" s="150"/>
      <c r="P876" s="151"/>
      <c r="Q876" s="24" t="str">
        <f t="shared" si="139"/>
        <v>En transito</v>
      </c>
      <c r="R876" s="25" t="str">
        <f>IF(L876="Despachado",NETWORKDAYS.INTL(A876,O876,11,Valores!$A$2:$A$18)-1,"PTE")</f>
        <v>PTE</v>
      </c>
      <c r="S876" s="25" t="str">
        <f>IF(Q876="Entregado",NETWORKDAYS.INTL(A876,P876,11,Valores!$A$2:$A$18)-1,"PTE")</f>
        <v>PTE</v>
      </c>
      <c r="T876" s="25"/>
      <c r="U876" s="25"/>
      <c r="V876" s="25" t="str">
        <f>IF(Q876="Entregado",IF(S876&lt;=VLOOKUP(K876,Valores!E:F,2,0),"Cumple","No cumple"),"PTE")</f>
        <v>PTE</v>
      </c>
      <c r="W876" s="25"/>
      <c r="X876" s="29"/>
      <c r="Y876" s="224"/>
      <c r="Z876" s="28"/>
    </row>
    <row r="877" spans="1:26" hidden="1" x14ac:dyDescent="0.3">
      <c r="A877" s="34">
        <v>45939</v>
      </c>
      <c r="B877" s="7" t="str">
        <f t="shared" ref="B877:B879" si="163">TEXT(A877,"mmmm")</f>
        <v>octubre</v>
      </c>
      <c r="C877" s="27">
        <v>100149</v>
      </c>
      <c r="D877" s="23" t="s">
        <v>20</v>
      </c>
      <c r="E877" s="206" t="s">
        <v>1447</v>
      </c>
      <c r="F877" s="22"/>
      <c r="G877" s="32" t="s">
        <v>1796</v>
      </c>
      <c r="H877" s="7">
        <v>1</v>
      </c>
      <c r="I877" s="32" t="s">
        <v>327</v>
      </c>
      <c r="J877" s="202" t="s">
        <v>21</v>
      </c>
      <c r="K877" s="202" t="s">
        <v>22</v>
      </c>
      <c r="L877" s="26" t="str">
        <f t="shared" si="161"/>
        <v>Despachado</v>
      </c>
      <c r="M877" s="56" t="s">
        <v>241</v>
      </c>
      <c r="N877" s="218" t="s">
        <v>241</v>
      </c>
      <c r="O877" s="219" t="s">
        <v>241</v>
      </c>
      <c r="P877" s="220" t="s">
        <v>241</v>
      </c>
      <c r="Q877" s="24" t="str">
        <f t="shared" si="139"/>
        <v>Entregado</v>
      </c>
      <c r="R877" s="25" t="e">
        <f>IF(L877="Despachado",NETWORKDAYS.INTL(A877,O877,11,Valores!$A$2:$A$18)-1,"PTE")</f>
        <v>#VALUE!</v>
      </c>
      <c r="S877" s="25" t="e">
        <f>IF(Q877="Entregado",NETWORKDAYS.INTL(A877,P877,11,Valores!$A$2:$A$18)-1,"PTE")</f>
        <v>#VALUE!</v>
      </c>
      <c r="T877" s="25"/>
      <c r="U877" s="25"/>
      <c r="V877" s="25" t="e">
        <f>IF(Q877="Entregado",IF(S877&lt;=VLOOKUP(K877,Valores!E:F,2,0),"Cumple","No cumple"),"PTE")</f>
        <v>#VALUE!</v>
      </c>
      <c r="W877" s="25"/>
      <c r="X877" s="29"/>
      <c r="Y877" s="224"/>
      <c r="Z877" s="28"/>
    </row>
    <row r="878" spans="1:26" hidden="1" x14ac:dyDescent="0.3">
      <c r="A878" s="34">
        <v>45940</v>
      </c>
      <c r="B878" s="7" t="str">
        <f t="shared" si="163"/>
        <v>octubre</v>
      </c>
      <c r="C878" s="27">
        <v>100150</v>
      </c>
      <c r="D878" s="23" t="s">
        <v>20</v>
      </c>
      <c r="E878" s="206" t="s">
        <v>1723</v>
      </c>
      <c r="F878" s="22" t="s">
        <v>1676</v>
      </c>
      <c r="G878" s="32" t="str">
        <f>IFERROR(VLOOKUP(F878,Productos!$A$2:$D$258,2,0)," ")</f>
        <v>Repisa Escritorio Negro x 80cm</v>
      </c>
      <c r="H878" s="7">
        <v>1</v>
      </c>
      <c r="I878" s="32" t="str">
        <f>IFERROR(VLOOKUP(F878,Productos!$A$2:$D$258,3,0)," ")</f>
        <v>Repisa</v>
      </c>
      <c r="J878" s="205" t="s">
        <v>24</v>
      </c>
      <c r="K878" s="205" t="s">
        <v>185</v>
      </c>
      <c r="L878" s="26" t="str">
        <f t="shared" ref="L878" si="164">IF(O878&gt;0,"Despachado","En alistamiento")</f>
        <v>En alistamiento</v>
      </c>
      <c r="M878" s="56" t="s">
        <v>238</v>
      </c>
      <c r="N878" s="198"/>
      <c r="O878" s="150"/>
      <c r="P878" s="151"/>
      <c r="Q878" s="24" t="str">
        <f t="shared" si="139"/>
        <v>En transito</v>
      </c>
      <c r="R878" s="25" t="str">
        <f>IF(L878="Despachado",NETWORKDAYS.INTL(A878,O878,11,Valores!$A$2:$A$18)-1,"PTE")</f>
        <v>PTE</v>
      </c>
      <c r="S878" s="25" t="str">
        <f>IF(Q878="Entregado",NETWORKDAYS.INTL(A878,P878,11,Valores!$A$2:$A$18)-1,"PTE")</f>
        <v>PTE</v>
      </c>
      <c r="T878" s="25"/>
      <c r="U878" s="25"/>
      <c r="V878" s="25" t="str">
        <f>IF(Q878="Entregado",IF(S878&lt;=VLOOKUP(K878,Valores!E:F,2,0),"Cumple","No cumple"),"PTE")</f>
        <v>PTE</v>
      </c>
      <c r="W878" s="25"/>
      <c r="X878" s="29"/>
      <c r="Y878" s="224"/>
      <c r="Z878" s="28"/>
    </row>
    <row r="879" spans="1:26" hidden="1" x14ac:dyDescent="0.3">
      <c r="A879" s="34">
        <v>45941</v>
      </c>
      <c r="B879" s="7" t="str">
        <f t="shared" si="163"/>
        <v>octubre</v>
      </c>
      <c r="C879" s="27">
        <v>100151</v>
      </c>
      <c r="D879" s="23" t="s">
        <v>20</v>
      </c>
      <c r="E879" s="206" t="s">
        <v>1724</v>
      </c>
      <c r="F879" s="22" t="s">
        <v>123</v>
      </c>
      <c r="G879" s="32" t="str">
        <f>IFERROR(VLOOKUP(F879,Productos!$A$2:$D$258,2,0)," ")</f>
        <v>Electric Standing Desk GO Negro</v>
      </c>
      <c r="H879" s="7">
        <v>1</v>
      </c>
      <c r="I879" s="32" t="str">
        <f>IFERROR(VLOOKUP(F879,Productos!$A$2:$D$258,3,0)," ")</f>
        <v>Standing Desk</v>
      </c>
      <c r="J879" s="202" t="s">
        <v>21</v>
      </c>
      <c r="K879" s="205" t="s">
        <v>947</v>
      </c>
      <c r="L879" s="26" t="str">
        <f t="shared" ref="L879:L880" si="165">IF(O879&gt;0,"Despachado","En alistamiento")</f>
        <v>En alistamiento</v>
      </c>
      <c r="M879" s="56" t="s">
        <v>238</v>
      </c>
      <c r="N879" s="198"/>
      <c r="O879" s="150"/>
      <c r="P879" s="151"/>
      <c r="Q879" s="24" t="str">
        <f t="shared" si="139"/>
        <v>En transito</v>
      </c>
      <c r="R879" s="25" t="str">
        <f>IF(L879="Despachado",NETWORKDAYS.INTL(A879,O879,11,Valores!$A$2:$A$18)-1,"PTE")</f>
        <v>PTE</v>
      </c>
      <c r="S879" s="25" t="str">
        <f>IF(Q879="Entregado",NETWORKDAYS.INTL(A879,P879,11,Valores!$A$2:$A$18)-1,"PTE")</f>
        <v>PTE</v>
      </c>
      <c r="T879" s="25"/>
      <c r="U879" s="25"/>
      <c r="V879" s="25" t="str">
        <f>IF(Q879="Entregado",IF(S879&lt;=VLOOKUP(K879,Valores!E:F,2,0),"Cumple","No cumple"),"PTE")</f>
        <v>PTE</v>
      </c>
      <c r="W879" s="25"/>
      <c r="X879" s="29"/>
      <c r="Y879" s="224"/>
      <c r="Z879" s="28"/>
    </row>
    <row r="880" spans="1:26" hidden="1" x14ac:dyDescent="0.3">
      <c r="A880" s="34">
        <v>45941</v>
      </c>
      <c r="B880" s="7" t="str">
        <f t="shared" ref="B880" si="166">TEXT(A880,"mmmm")</f>
        <v>octubre</v>
      </c>
      <c r="C880" s="27">
        <v>100151</v>
      </c>
      <c r="D880" s="23" t="s">
        <v>20</v>
      </c>
      <c r="E880" s="206" t="s">
        <v>1724</v>
      </c>
      <c r="F880" s="22" t="s">
        <v>304</v>
      </c>
      <c r="G880" s="32" t="str">
        <f>IFERROR(VLOOKUP(F880,Productos!$A$2:$D$258,2,0)," ")</f>
        <v>Superficie  Fresno Europeo 150x70 Clasico</v>
      </c>
      <c r="H880" s="7">
        <v>1</v>
      </c>
      <c r="I880" s="32" t="str">
        <f>IFERROR(VLOOKUP(F880,Productos!$A$2:$D$258,3,0)," ")</f>
        <v>Superficie</v>
      </c>
      <c r="J880" s="202" t="s">
        <v>21</v>
      </c>
      <c r="K880" s="205" t="s">
        <v>947</v>
      </c>
      <c r="L880" s="26" t="str">
        <f t="shared" si="165"/>
        <v>En alistamiento</v>
      </c>
      <c r="M880" s="56" t="s">
        <v>238</v>
      </c>
      <c r="N880" s="198"/>
      <c r="O880" s="150"/>
      <c r="P880" s="151"/>
      <c r="Q880" s="24" t="str">
        <f t="shared" si="139"/>
        <v>En transito</v>
      </c>
      <c r="R880" s="25" t="str">
        <f>IF(L880="Despachado",NETWORKDAYS.INTL(A880,O880,11,Valores!$A$2:$A$18)-1,"PTE")</f>
        <v>PTE</v>
      </c>
      <c r="S880" s="25" t="str">
        <f>IF(Q880="Entregado",NETWORKDAYS.INTL(A880,P880,11,Valores!$A$2:$A$18)-1,"PTE")</f>
        <v>PTE</v>
      </c>
      <c r="T880" s="25"/>
      <c r="U880" s="25"/>
      <c r="V880" s="25" t="str">
        <f>IF(Q880="Entregado",IF(S880&lt;=VLOOKUP(K880,Valores!E:F,2,0),"Cumple","No cumple"),"PTE")</f>
        <v>PTE</v>
      </c>
      <c r="W880" s="25"/>
      <c r="X880" s="29"/>
      <c r="Y880" s="224"/>
      <c r="Z880" s="28"/>
    </row>
    <row r="881" spans="1:26" hidden="1" x14ac:dyDescent="0.3">
      <c r="A881" s="34">
        <v>45943</v>
      </c>
      <c r="B881" s="7" t="str">
        <f t="shared" ref="B881:B883" si="167">TEXT(A881,"mmmm")</f>
        <v>octubre</v>
      </c>
      <c r="C881" s="27">
        <v>100152</v>
      </c>
      <c r="D881" s="23" t="s">
        <v>20</v>
      </c>
      <c r="E881" s="206" t="s">
        <v>1725</v>
      </c>
      <c r="F881" s="22" t="s">
        <v>57</v>
      </c>
      <c r="G881" s="32" t="str">
        <f>IFERROR(VLOOKUP(F881,Productos!$A$2:$D$258,2,0)," ")</f>
        <v>Electric Standing Desk  En L Frame Negro 2.0</v>
      </c>
      <c r="H881" s="7">
        <v>1</v>
      </c>
      <c r="I881" s="32" t="str">
        <f>IFERROR(VLOOKUP(F881,Productos!$A$2:$D$258,3,0)," ")</f>
        <v>Standing Desk</v>
      </c>
      <c r="J881" s="205" t="s">
        <v>188</v>
      </c>
      <c r="K881" s="205" t="s">
        <v>1410</v>
      </c>
      <c r="L881" s="26" t="str">
        <f t="shared" ref="L881" si="168">IF(O881&gt;0,"Despachado","En alistamiento")</f>
        <v>En alistamiento</v>
      </c>
      <c r="M881" s="56" t="s">
        <v>238</v>
      </c>
      <c r="N881" s="198"/>
      <c r="O881" s="150"/>
      <c r="P881" s="151"/>
      <c r="Q881" s="24" t="str">
        <f t="shared" si="139"/>
        <v>En transito</v>
      </c>
      <c r="R881" s="25" t="str">
        <f>IF(L881="Despachado",NETWORKDAYS.INTL(A881,O881,11,Valores!$A$2:$A$18)-1,"PTE")</f>
        <v>PTE</v>
      </c>
      <c r="S881" s="25" t="str">
        <f>IF(Q881="Entregado",NETWORKDAYS.INTL(A881,P881,11,Valores!$A$2:$A$18)-1,"PTE")</f>
        <v>PTE</v>
      </c>
      <c r="T881" s="25"/>
      <c r="U881" s="25"/>
      <c r="V881" s="25" t="str">
        <f>IF(Q881="Entregado",IF(S881&lt;=VLOOKUP(K881,Valores!E:F,2,0),"Cumple","No cumple"),"PTE")</f>
        <v>PTE</v>
      </c>
      <c r="W881" s="25"/>
      <c r="X881" s="29"/>
      <c r="Y881" s="224"/>
      <c r="Z881" s="28"/>
    </row>
    <row r="882" spans="1:26" hidden="1" x14ac:dyDescent="0.3">
      <c r="A882" s="34">
        <v>45944</v>
      </c>
      <c r="B882" s="7" t="str">
        <f t="shared" si="167"/>
        <v>octubre</v>
      </c>
      <c r="C882" s="27">
        <v>100153</v>
      </c>
      <c r="D882" s="23" t="s">
        <v>20</v>
      </c>
      <c r="E882" s="206" t="s">
        <v>1726</v>
      </c>
      <c r="F882" s="22" t="s">
        <v>129</v>
      </c>
      <c r="G882" s="32" t="str">
        <f>IFERROR(VLOOKUP(F882,Productos!$A$2:$D$258,2,0)," ")</f>
        <v>Electric Standing Desk  PRO Negro</v>
      </c>
      <c r="H882" s="7">
        <v>1</v>
      </c>
      <c r="I882" s="32" t="str">
        <f>IFERROR(VLOOKUP(F882,Productos!$A$2:$D$258,3,0)," ")</f>
        <v>Standing Desk</v>
      </c>
      <c r="J882" s="205" t="s">
        <v>203</v>
      </c>
      <c r="K882" s="205" t="s">
        <v>214</v>
      </c>
      <c r="L882" s="26" t="str">
        <f t="shared" ref="L882:L883" si="169">IF(O882&gt;0,"Despachado","En alistamiento")</f>
        <v>En alistamiento</v>
      </c>
      <c r="M882" s="56" t="s">
        <v>238</v>
      </c>
      <c r="N882" s="198"/>
      <c r="O882" s="150"/>
      <c r="P882" s="151"/>
      <c r="Q882" s="24" t="str">
        <f t="shared" si="139"/>
        <v>En transito</v>
      </c>
      <c r="R882" s="25" t="str">
        <f>IF(L882="Despachado",NETWORKDAYS.INTL(A882,O882,11,Valores!$A$2:$A$18)-1,"PTE")</f>
        <v>PTE</v>
      </c>
      <c r="S882" s="25" t="str">
        <f>IF(Q882="Entregado",NETWORKDAYS.INTL(A882,P882,11,Valores!$A$2:$A$18)-1,"PTE")</f>
        <v>PTE</v>
      </c>
      <c r="T882" s="25"/>
      <c r="U882" s="25"/>
      <c r="V882" s="25" t="str">
        <f>IF(Q882="Entregado",IF(S882&lt;=VLOOKUP(K882,Valores!E:F,2,0),"Cumple","No cumple"),"PTE")</f>
        <v>PTE</v>
      </c>
      <c r="W882" s="25"/>
      <c r="X882" s="29"/>
      <c r="Y882" s="224"/>
      <c r="Z882" s="28"/>
    </row>
    <row r="883" spans="1:26" hidden="1" x14ac:dyDescent="0.3">
      <c r="A883" s="34">
        <v>45944</v>
      </c>
      <c r="B883" s="7" t="str">
        <f t="shared" si="167"/>
        <v>octubre</v>
      </c>
      <c r="C883" s="27">
        <v>100153</v>
      </c>
      <c r="D883" s="23" t="s">
        <v>20</v>
      </c>
      <c r="E883" s="206" t="s">
        <v>1726</v>
      </c>
      <c r="F883" s="22" t="s">
        <v>1495</v>
      </c>
      <c r="G883" s="32" t="str">
        <f>IFERROR(VLOOKUP(F883,Productos!$A$2:$D$258,2,0)," ")</f>
        <v>Superficie Escritorio Fresno Europeo 120x60 Clasico Small</v>
      </c>
      <c r="H883" s="7">
        <v>1</v>
      </c>
      <c r="I883" s="32" t="str">
        <f>IFERROR(VLOOKUP(F883,Productos!$A$2:$D$258,3,0)," ")</f>
        <v>Superficie</v>
      </c>
      <c r="J883" s="205" t="s">
        <v>203</v>
      </c>
      <c r="K883" s="205" t="s">
        <v>214</v>
      </c>
      <c r="L883" s="26" t="str">
        <f t="shared" si="169"/>
        <v>En alistamiento</v>
      </c>
      <c r="M883" s="56" t="s">
        <v>238</v>
      </c>
      <c r="N883" s="198"/>
      <c r="O883" s="150"/>
      <c r="P883" s="151"/>
      <c r="Q883" s="24" t="str">
        <f t="shared" si="139"/>
        <v>En transito</v>
      </c>
      <c r="R883" s="25" t="str">
        <f>IF(L883="Despachado",NETWORKDAYS.INTL(A883,O883,11,Valores!$A$2:$A$18)-1,"PTE")</f>
        <v>PTE</v>
      </c>
      <c r="S883" s="25" t="str">
        <f>IF(Q883="Entregado",NETWORKDAYS.INTL(A883,P883,11,Valores!$A$2:$A$18)-1,"PTE")</f>
        <v>PTE</v>
      </c>
      <c r="T883" s="25"/>
      <c r="U883" s="25"/>
      <c r="V883" s="25" t="str">
        <f>IF(Q883="Entregado",IF(S883&lt;=VLOOKUP(K883,Valores!E:F,2,0),"Cumple","No cumple"),"PTE")</f>
        <v>PTE</v>
      </c>
      <c r="W883" s="25"/>
      <c r="X883" s="29"/>
      <c r="Y883" s="224"/>
      <c r="Z883" s="28"/>
    </row>
    <row r="884" spans="1:26" hidden="1" x14ac:dyDescent="0.3">
      <c r="A884" s="34">
        <v>45944</v>
      </c>
      <c r="B884" s="7" t="str">
        <f t="shared" ref="B884:B885" si="170">TEXT(A884,"mmmm")</f>
        <v>octubre</v>
      </c>
      <c r="C884" s="27">
        <v>100154</v>
      </c>
      <c r="D884" s="23" t="s">
        <v>20</v>
      </c>
      <c r="E884" s="206" t="s">
        <v>1727</v>
      </c>
      <c r="F884" s="22" t="s">
        <v>1598</v>
      </c>
      <c r="G884" s="32" t="str">
        <f>IFERROR(VLOOKUP(F884,Productos!$A$2:$D$258,2,0)," ")</f>
        <v>Escritorio FIjo Linea - T x 72,5 cm</v>
      </c>
      <c r="H884" s="7">
        <v>1</v>
      </c>
      <c r="I884" s="32" t="str">
        <f>IFERROR(VLOOKUP(F884,Productos!$A$2:$D$258,3,0)," ")</f>
        <v>Escritorio Fijo</v>
      </c>
      <c r="J884" s="205" t="s">
        <v>1719</v>
      </c>
      <c r="K884" s="205" t="s">
        <v>1720</v>
      </c>
      <c r="L884" s="26" t="str">
        <f t="shared" ref="L884:L885" si="171">IF(O884&gt;0,"Despachado","En alistamiento")</f>
        <v>En alistamiento</v>
      </c>
      <c r="M884" s="56" t="s">
        <v>238</v>
      </c>
      <c r="N884" s="198"/>
      <c r="O884" s="150"/>
      <c r="P884" s="151"/>
      <c r="Q884" s="24" t="str">
        <f t="shared" si="139"/>
        <v>En transito</v>
      </c>
      <c r="R884" s="25" t="str">
        <f>IF(L884="Despachado",NETWORKDAYS.INTL(A884,O884,11,Valores!$A$2:$A$18)-1,"PTE")</f>
        <v>PTE</v>
      </c>
      <c r="S884" s="25" t="str">
        <f>IF(Q884="Entregado",NETWORKDAYS.INTL(A884,P884,11,Valores!$A$2:$A$18)-1,"PTE")</f>
        <v>PTE</v>
      </c>
      <c r="T884" s="25"/>
      <c r="U884" s="25"/>
      <c r="V884" s="25" t="str">
        <f>IF(Q884="Entregado",IF(S884&lt;=VLOOKUP(K884,Valores!E:F,2,0),"Cumple","No cumple"),"PTE")</f>
        <v>PTE</v>
      </c>
      <c r="W884" s="25"/>
      <c r="X884" s="29"/>
      <c r="Y884" s="224"/>
      <c r="Z884" s="28"/>
    </row>
    <row r="885" spans="1:26" hidden="1" x14ac:dyDescent="0.3">
      <c r="A885" s="34">
        <v>45944</v>
      </c>
      <c r="B885" s="7" t="str">
        <f t="shared" si="170"/>
        <v>octubre</v>
      </c>
      <c r="C885" s="27">
        <v>100154</v>
      </c>
      <c r="D885" s="23" t="s">
        <v>20</v>
      </c>
      <c r="E885" s="206" t="s">
        <v>1727</v>
      </c>
      <c r="F885" s="22" t="s">
        <v>1465</v>
      </c>
      <c r="G885" s="32" t="str">
        <f>IFERROR(VLOOKUP(F885,Productos!$A$2:$D$258,2,0)," ")</f>
        <v>Superficie Escritorio Caramelo 150x60 Clasico</v>
      </c>
      <c r="H885" s="7">
        <v>1</v>
      </c>
      <c r="I885" s="32" t="str">
        <f>IFERROR(VLOOKUP(F885,Productos!$A$2:$D$258,3,0)," ")</f>
        <v>Superficie</v>
      </c>
      <c r="J885" s="205" t="s">
        <v>1719</v>
      </c>
      <c r="K885" s="205" t="s">
        <v>1720</v>
      </c>
      <c r="L885" s="26" t="str">
        <f t="shared" si="171"/>
        <v>En alistamiento</v>
      </c>
      <c r="M885" s="56" t="s">
        <v>238</v>
      </c>
      <c r="N885" s="198"/>
      <c r="O885" s="150"/>
      <c r="P885" s="151"/>
      <c r="Q885" s="24" t="str">
        <f t="shared" si="139"/>
        <v>En transito</v>
      </c>
      <c r="R885" s="25" t="str">
        <f>IF(L885="Despachado",NETWORKDAYS.INTL(A885,O885,11,Valores!$A$2:$A$18)-1,"PTE")</f>
        <v>PTE</v>
      </c>
      <c r="S885" s="25" t="str">
        <f>IF(Q885="Entregado",NETWORKDAYS.INTL(A885,P885,11,Valores!$A$2:$A$18)-1,"PTE")</f>
        <v>PTE</v>
      </c>
      <c r="T885" s="25"/>
      <c r="U885" s="25"/>
      <c r="V885" s="25" t="str">
        <f>IF(Q885="Entregado",IF(S885&lt;=VLOOKUP(K885,Valores!E:F,2,0),"Cumple","No cumple"),"PTE")</f>
        <v>PTE</v>
      </c>
      <c r="W885" s="25"/>
      <c r="X885" s="29"/>
      <c r="Y885" s="224"/>
      <c r="Z885" s="28"/>
    </row>
    <row r="886" spans="1:26" hidden="1" x14ac:dyDescent="0.3">
      <c r="A886" s="34">
        <v>45944</v>
      </c>
      <c r="B886" s="7" t="str">
        <f t="shared" ref="B886" si="172">TEXT(A886,"mmmm")</f>
        <v>octubre</v>
      </c>
      <c r="C886" s="27">
        <v>100154</v>
      </c>
      <c r="D886" s="23" t="s">
        <v>275</v>
      </c>
      <c r="E886" s="206" t="s">
        <v>1727</v>
      </c>
      <c r="F886" s="22" t="s">
        <v>85</v>
      </c>
      <c r="G886" s="32" t="str">
        <f>IFERROR(VLOOKUP(F886,Productos!$A$2:$D$258,2,0)," ")</f>
        <v>Desk Pad B Negro Café Miel</v>
      </c>
      <c r="H886" s="7">
        <v>1</v>
      </c>
      <c r="I886" s="32" t="str">
        <f>IFERROR(VLOOKUP(F886,Productos!$A$2:$D$258,3,0)," ")</f>
        <v>Accesorio</v>
      </c>
      <c r="J886" s="205" t="s">
        <v>1719</v>
      </c>
      <c r="K886" s="205" t="s">
        <v>1720</v>
      </c>
      <c r="L886" s="26" t="str">
        <f t="shared" ref="L886" si="173">IF(O886&gt;0,"Despachado","En alistamiento")</f>
        <v>En alistamiento</v>
      </c>
      <c r="M886" s="56" t="s">
        <v>238</v>
      </c>
      <c r="N886" s="198"/>
      <c r="O886" s="150"/>
      <c r="P886" s="151"/>
      <c r="Q886" s="24" t="str">
        <f t="shared" si="139"/>
        <v>En transito</v>
      </c>
      <c r="R886" s="25" t="str">
        <f>IF(L886="Despachado",NETWORKDAYS.INTL(A886,O886,11,Valores!$A$2:$A$18)-1,"PTE")</f>
        <v>PTE</v>
      </c>
      <c r="S886" s="25" t="str">
        <f>IF(Q886="Entregado",NETWORKDAYS.INTL(A886,P886,11,Valores!$A$2:$A$18)-1,"PTE")</f>
        <v>PTE</v>
      </c>
      <c r="T886" s="25"/>
      <c r="U886" s="25"/>
      <c r="V886" s="25" t="str">
        <f>IF(Q886="Entregado",IF(S886&lt;=VLOOKUP(K886,Valores!E:F,2,0),"Cumple","No cumple"),"PTE")</f>
        <v>PTE</v>
      </c>
      <c r="W886" s="25"/>
      <c r="X886" s="29"/>
      <c r="Y886" s="224"/>
      <c r="Z886" s="28"/>
    </row>
    <row r="887" spans="1:26" hidden="1" x14ac:dyDescent="0.3">
      <c r="A887" s="34">
        <v>45944</v>
      </c>
      <c r="B887" s="7" t="str">
        <f t="shared" ref="B887" si="174">TEXT(A887,"mmmm")</f>
        <v>octubre</v>
      </c>
      <c r="C887" s="27">
        <v>100155</v>
      </c>
      <c r="D887" s="23" t="s">
        <v>20</v>
      </c>
      <c r="E887" s="206" t="s">
        <v>1447</v>
      </c>
      <c r="F887" s="22" t="s">
        <v>89</v>
      </c>
      <c r="G887" s="32" t="str">
        <f>IFERROR(VLOOKUP(F887,Productos!$A$2:$D$258,2,0)," ")</f>
        <v>Desk Stool Gris Silla ajustable</v>
      </c>
      <c r="H887" s="7">
        <v>1</v>
      </c>
      <c r="I887" s="32" t="str">
        <f>IFERROR(VLOOKUP(F887,Productos!$A$2:$D$258,3,0)," ")</f>
        <v>Silla</v>
      </c>
      <c r="J887" s="202" t="s">
        <v>21</v>
      </c>
      <c r="K887" s="205" t="s">
        <v>22</v>
      </c>
      <c r="L887" s="26" t="str">
        <f t="shared" ref="L887:L888" si="175">IF(O887&gt;0,"Despachado","En alistamiento")</f>
        <v>En alistamiento</v>
      </c>
      <c r="M887" s="56" t="s">
        <v>238</v>
      </c>
      <c r="N887" s="198"/>
      <c r="O887" s="150"/>
      <c r="P887" s="151"/>
      <c r="Q887" s="24" t="str">
        <f t="shared" si="139"/>
        <v>En transito</v>
      </c>
      <c r="R887" s="25" t="str">
        <f>IF(L887="Despachado",NETWORKDAYS.INTL(A887,O887,11,Valores!$A$2:$A$18)-1,"PTE")</f>
        <v>PTE</v>
      </c>
      <c r="S887" s="25" t="str">
        <f>IF(Q887="Entregado",NETWORKDAYS.INTL(A887,P887,11,Valores!$A$2:$A$18)-1,"PTE")</f>
        <v>PTE</v>
      </c>
      <c r="T887" s="25"/>
      <c r="U887" s="25"/>
      <c r="V887" s="25" t="str">
        <f>IF(Q887="Entregado",IF(S887&lt;=VLOOKUP(K887,Valores!E:F,2,0),"Cumple","No cumple"),"PTE")</f>
        <v>PTE</v>
      </c>
      <c r="W887" s="25"/>
      <c r="X887" s="29"/>
      <c r="Y887" s="224"/>
      <c r="Z887" s="28"/>
    </row>
    <row r="888" spans="1:26" hidden="1" x14ac:dyDescent="0.3">
      <c r="A888" s="34">
        <v>45944</v>
      </c>
      <c r="B888" s="7" t="str">
        <f t="shared" ref="B888:B890" si="176">TEXT(A888,"mmmm")</f>
        <v>octubre</v>
      </c>
      <c r="C888" s="27">
        <v>100155</v>
      </c>
      <c r="D888" s="23" t="s">
        <v>20</v>
      </c>
      <c r="E888" s="206" t="s">
        <v>1447</v>
      </c>
      <c r="F888" s="22" t="s">
        <v>89</v>
      </c>
      <c r="G888" s="32" t="str">
        <f>IFERROR(VLOOKUP(F888,Productos!$A$2:$D$258,2,0)," ")</f>
        <v>Desk Stool Gris Silla ajustable</v>
      </c>
      <c r="H888" s="7">
        <v>1</v>
      </c>
      <c r="I888" s="32" t="str">
        <f>IFERROR(VLOOKUP(F888,Productos!$A$2:$D$258,3,0)," ")</f>
        <v>Silla</v>
      </c>
      <c r="J888" s="202" t="s">
        <v>21</v>
      </c>
      <c r="K888" s="205" t="s">
        <v>22</v>
      </c>
      <c r="L888" s="26" t="str">
        <f t="shared" si="175"/>
        <v>En alistamiento</v>
      </c>
      <c r="M888" s="56" t="s">
        <v>238</v>
      </c>
      <c r="N888" s="198"/>
      <c r="O888" s="150"/>
      <c r="P888" s="151"/>
      <c r="Q888" s="24" t="str">
        <f t="shared" si="139"/>
        <v>En transito</v>
      </c>
      <c r="R888" s="25" t="str">
        <f>IF(L888="Despachado",NETWORKDAYS.INTL(A888,O888,11,Valores!$A$2:$A$18)-1,"PTE")</f>
        <v>PTE</v>
      </c>
      <c r="S888" s="25" t="str">
        <f>IF(Q888="Entregado",NETWORKDAYS.INTL(A888,P888,11,Valores!$A$2:$A$18)-1,"PTE")</f>
        <v>PTE</v>
      </c>
      <c r="T888" s="25"/>
      <c r="U888" s="25"/>
      <c r="V888" s="25" t="str">
        <f>IF(Q888="Entregado",IF(S888&lt;=VLOOKUP(K888,Valores!E:F,2,0),"Cumple","No cumple"),"PTE")</f>
        <v>PTE</v>
      </c>
      <c r="W888" s="25"/>
      <c r="X888" s="29"/>
      <c r="Y888" s="224"/>
      <c r="Z888" s="28"/>
    </row>
    <row r="889" spans="1:26" hidden="1" x14ac:dyDescent="0.3">
      <c r="A889" s="34">
        <v>45946</v>
      </c>
      <c r="B889" s="7" t="str">
        <f t="shared" si="176"/>
        <v>octubre</v>
      </c>
      <c r="C889" s="27">
        <v>100156</v>
      </c>
      <c r="D889" s="23" t="s">
        <v>20</v>
      </c>
      <c r="E889" s="206" t="s">
        <v>1449</v>
      </c>
      <c r="F889" s="22" t="s">
        <v>65</v>
      </c>
      <c r="G889" s="32" t="str">
        <f>IFERROR(VLOOKUP(F889,Productos!$A$2:$D$258,2,0)," ")</f>
        <v>Archivador TECU  Negro</v>
      </c>
      <c r="H889" s="7">
        <v>1</v>
      </c>
      <c r="I889" s="32" t="str">
        <f>IFERROR(VLOOKUP(F889,Productos!$A$2:$D$258,3,0)," ")</f>
        <v>Archivador</v>
      </c>
      <c r="J889" s="202" t="s">
        <v>21</v>
      </c>
      <c r="K889" s="205" t="s">
        <v>22</v>
      </c>
      <c r="L889" s="26" t="str">
        <f t="shared" ref="L889" si="177">IF(O889&gt;0,"Despachado","En alistamiento")</f>
        <v>En alistamiento</v>
      </c>
      <c r="M889" s="56" t="s">
        <v>238</v>
      </c>
      <c r="N889" s="198"/>
      <c r="O889" s="150"/>
      <c r="P889" s="151"/>
      <c r="Q889" s="24" t="str">
        <f t="shared" si="139"/>
        <v>En transito</v>
      </c>
      <c r="R889" s="25" t="str">
        <f>IF(L889="Despachado",NETWORKDAYS.INTL(A889,O889,11,Valores!$A$2:$A$18)-1,"PTE")</f>
        <v>PTE</v>
      </c>
      <c r="S889" s="25" t="str">
        <f>IF(Q889="Entregado",NETWORKDAYS.INTL(A889,P889,11,Valores!$A$2:$A$18)-1,"PTE")</f>
        <v>PTE</v>
      </c>
      <c r="T889" s="25"/>
      <c r="U889" s="25"/>
      <c r="V889" s="25" t="str">
        <f>IF(Q889="Entregado",IF(S889&lt;=VLOOKUP(K889,Valores!E:F,2,0),"Cumple","No cumple"),"PTE")</f>
        <v>PTE</v>
      </c>
      <c r="W889" s="25"/>
      <c r="X889" s="29"/>
      <c r="Y889" s="224"/>
      <c r="Z889" s="28"/>
    </row>
    <row r="890" spans="1:26" hidden="1" x14ac:dyDescent="0.3">
      <c r="A890" s="34">
        <v>45948</v>
      </c>
      <c r="B890" s="7" t="str">
        <f t="shared" si="176"/>
        <v>octubre</v>
      </c>
      <c r="C890" s="27">
        <v>100158</v>
      </c>
      <c r="D890" s="23" t="s">
        <v>20</v>
      </c>
      <c r="E890" s="206" t="s">
        <v>1728</v>
      </c>
      <c r="F890" s="22" t="s">
        <v>732</v>
      </c>
      <c r="G890" s="32" t="str">
        <f>IFERROR(VLOOKUP(F890,Productos!$A$2:$D$258,2,0)," ")</f>
        <v>Electric Standing Desk  PRO Negro circular</v>
      </c>
      <c r="H890" s="7">
        <v>1</v>
      </c>
      <c r="I890" s="32" t="str">
        <f>IFERROR(VLOOKUP(F890,Productos!$A$2:$D$258,3,0)," ")</f>
        <v>Standing Desk</v>
      </c>
      <c r="J890" s="202" t="s">
        <v>21</v>
      </c>
      <c r="K890" s="205" t="s">
        <v>22</v>
      </c>
      <c r="L890" s="26" t="str">
        <f t="shared" ref="L890:L894" si="178">IF(O890&gt;0,"Despachado","En alistamiento")</f>
        <v>En alistamiento</v>
      </c>
      <c r="M890" s="56" t="s">
        <v>238</v>
      </c>
      <c r="N890" s="198"/>
      <c r="O890" s="150"/>
      <c r="P890" s="151"/>
      <c r="Q890" s="24" t="str">
        <f t="shared" si="139"/>
        <v>En transito</v>
      </c>
      <c r="R890" s="25" t="str">
        <f>IF(L890="Despachado",NETWORKDAYS.INTL(A890,O890,11,Valores!$A$2:$A$18)-1,"PTE")</f>
        <v>PTE</v>
      </c>
      <c r="S890" s="25" t="str">
        <f>IF(Q890="Entregado",NETWORKDAYS.INTL(A890,P890,11,Valores!$A$2:$A$18)-1,"PTE")</f>
        <v>PTE</v>
      </c>
      <c r="T890" s="25"/>
      <c r="U890" s="25"/>
      <c r="V890" s="25" t="str">
        <f>IF(Q890="Entregado",IF(S890&lt;=VLOOKUP(K890,Valores!E:F,2,0),"Cumple","No cumple"),"PTE")</f>
        <v>PTE</v>
      </c>
      <c r="W890" s="25"/>
      <c r="X890" s="29"/>
      <c r="Y890" s="224"/>
      <c r="Z890" s="28"/>
    </row>
    <row r="891" spans="1:26" hidden="1" x14ac:dyDescent="0.3">
      <c r="A891" s="34">
        <v>45948</v>
      </c>
      <c r="B891" s="7" t="str">
        <f t="shared" ref="B891:B898" si="179">TEXT(A891,"mmmm")</f>
        <v>octubre</v>
      </c>
      <c r="C891" s="27">
        <v>100158</v>
      </c>
      <c r="D891" s="23" t="s">
        <v>20</v>
      </c>
      <c r="E891" s="206" t="s">
        <v>1728</v>
      </c>
      <c r="F891" s="22" t="s">
        <v>142</v>
      </c>
      <c r="G891" s="32" t="str">
        <f>IFERROR(VLOOKUP(F891,Productos!$A$2:$D$258,2,0)," ")</f>
        <v>Superficie Caramelo 140x70 Clasico</v>
      </c>
      <c r="H891" s="7">
        <v>1</v>
      </c>
      <c r="I891" s="32" t="str">
        <f>IFERROR(VLOOKUP(F891,Productos!$A$2:$D$258,3,0)," ")</f>
        <v>Superficie</v>
      </c>
      <c r="J891" s="202" t="s">
        <v>21</v>
      </c>
      <c r="K891" s="205" t="s">
        <v>22</v>
      </c>
      <c r="L891" s="26" t="str">
        <f t="shared" si="178"/>
        <v>En alistamiento</v>
      </c>
      <c r="M891" s="56" t="s">
        <v>238</v>
      </c>
      <c r="N891" s="198"/>
      <c r="O891" s="150"/>
      <c r="P891" s="151"/>
      <c r="Q891" s="24" t="str">
        <f t="shared" si="139"/>
        <v>En transito</v>
      </c>
      <c r="R891" s="25" t="str">
        <f>IF(L891="Despachado",NETWORKDAYS.INTL(A891,O891,11,Valores!$A$2:$A$18)-1,"PTE")</f>
        <v>PTE</v>
      </c>
      <c r="S891" s="25" t="str">
        <f>IF(Q891="Entregado",NETWORKDAYS.INTL(A891,P891,11,Valores!$A$2:$A$18)-1,"PTE")</f>
        <v>PTE</v>
      </c>
      <c r="T891" s="25"/>
      <c r="U891" s="25"/>
      <c r="V891" s="25" t="str">
        <f>IF(Q891="Entregado",IF(S891&lt;=VLOOKUP(K891,Valores!E:F,2,0),"Cumple","No cumple"),"PTE")</f>
        <v>PTE</v>
      </c>
      <c r="W891" s="25"/>
      <c r="X891" s="29"/>
      <c r="Y891" s="224"/>
      <c r="Z891" s="28"/>
    </row>
    <row r="892" spans="1:26" hidden="1" x14ac:dyDescent="0.3">
      <c r="A892" s="34">
        <v>45948</v>
      </c>
      <c r="B892" s="7" t="str">
        <f t="shared" si="179"/>
        <v>octubre</v>
      </c>
      <c r="C892" s="27">
        <v>100158</v>
      </c>
      <c r="D892" s="23" t="s">
        <v>20</v>
      </c>
      <c r="E892" s="206" t="s">
        <v>1728</v>
      </c>
      <c r="F892" s="22" t="s">
        <v>1670</v>
      </c>
      <c r="G892" s="32" t="str">
        <f>IFERROR(VLOOKUP(F892,Productos!$A$2:$D$258,2,0)," ")</f>
        <v>Repisa Escritorio Caramelo x 110cm</v>
      </c>
      <c r="H892" s="7">
        <v>1</v>
      </c>
      <c r="I892" s="32" t="str">
        <f>IFERROR(VLOOKUP(F892,Productos!$A$2:$D$258,3,0)," ")</f>
        <v>Repisa</v>
      </c>
      <c r="J892" s="202" t="s">
        <v>21</v>
      </c>
      <c r="K892" s="205" t="s">
        <v>22</v>
      </c>
      <c r="L892" s="26" t="str">
        <f t="shared" si="178"/>
        <v>En alistamiento</v>
      </c>
      <c r="M892" s="56" t="s">
        <v>238</v>
      </c>
      <c r="N892" s="198"/>
      <c r="O892" s="150"/>
      <c r="P892" s="151"/>
      <c r="Q892" s="24" t="str">
        <f t="shared" si="139"/>
        <v>En transito</v>
      </c>
      <c r="R892" s="25" t="str">
        <f>IF(L892="Despachado",NETWORKDAYS.INTL(A892,O892,11,Valores!$A$2:$A$18)-1,"PTE")</f>
        <v>PTE</v>
      </c>
      <c r="S892" s="25" t="str">
        <f>IF(Q892="Entregado",NETWORKDAYS.INTL(A892,P892,11,Valores!$A$2:$A$18)-1,"PTE")</f>
        <v>PTE</v>
      </c>
      <c r="T892" s="25"/>
      <c r="U892" s="25"/>
      <c r="V892" s="25" t="str">
        <f>IF(Q892="Entregado",IF(S892&lt;=VLOOKUP(K892,Valores!E:F,2,0),"Cumple","No cumple"),"PTE")</f>
        <v>PTE</v>
      </c>
      <c r="W892" s="25"/>
      <c r="X892" s="29"/>
      <c r="Y892" s="224"/>
      <c r="Z892" s="28"/>
    </row>
    <row r="893" spans="1:26" hidden="1" x14ac:dyDescent="0.3">
      <c r="A893" s="34">
        <v>45948</v>
      </c>
      <c r="B893" s="7" t="str">
        <f t="shared" si="179"/>
        <v>octubre</v>
      </c>
      <c r="C893" s="27">
        <v>100158</v>
      </c>
      <c r="D893" s="23" t="s">
        <v>20</v>
      </c>
      <c r="E893" s="206" t="s">
        <v>1728</v>
      </c>
      <c r="F893" s="22" t="s">
        <v>240</v>
      </c>
      <c r="G893" s="32" t="str">
        <f>IFERROR(VLOOKUP(F893,Productos!$A$2:$D$258,2,0)," ")</f>
        <v>Bandeja de cables</v>
      </c>
      <c r="H893" s="7">
        <v>1</v>
      </c>
      <c r="I893" s="32" t="str">
        <f>IFERROR(VLOOKUP(F893,Productos!$A$2:$D$258,3,0)," ")</f>
        <v>Accesorio</v>
      </c>
      <c r="J893" s="202" t="s">
        <v>21</v>
      </c>
      <c r="K893" s="205" t="s">
        <v>22</v>
      </c>
      <c r="L893" s="26" t="str">
        <f t="shared" si="178"/>
        <v>En alistamiento</v>
      </c>
      <c r="M893" s="56" t="s">
        <v>238</v>
      </c>
      <c r="N893" s="198"/>
      <c r="O893" s="150"/>
      <c r="P893" s="151"/>
      <c r="Q893" s="24" t="str">
        <f t="shared" si="139"/>
        <v>En transito</v>
      </c>
      <c r="R893" s="25" t="str">
        <f>IF(L893="Despachado",NETWORKDAYS.INTL(A893,O893,11,Valores!$A$2:$A$18)-1,"PTE")</f>
        <v>PTE</v>
      </c>
      <c r="S893" s="25" t="str">
        <f>IF(Q893="Entregado",NETWORKDAYS.INTL(A893,P893,11,Valores!$A$2:$A$18)-1,"PTE")</f>
        <v>PTE</v>
      </c>
      <c r="T893" s="25"/>
      <c r="U893" s="25"/>
      <c r="V893" s="25" t="str">
        <f>IF(Q893="Entregado",IF(S893&lt;=VLOOKUP(K893,Valores!E:F,2,0),"Cumple","No cumple"),"PTE")</f>
        <v>PTE</v>
      </c>
      <c r="W893" s="25"/>
      <c r="X893" s="29"/>
      <c r="Y893" s="224"/>
      <c r="Z893" s="28"/>
    </row>
    <row r="894" spans="1:26" hidden="1" x14ac:dyDescent="0.3">
      <c r="A894" s="34">
        <v>45948</v>
      </c>
      <c r="B894" s="7" t="str">
        <f t="shared" si="179"/>
        <v>octubre</v>
      </c>
      <c r="C894" s="27">
        <v>100158</v>
      </c>
      <c r="D894" s="23" t="s">
        <v>20</v>
      </c>
      <c r="E894" s="206" t="s">
        <v>1728</v>
      </c>
      <c r="F894" s="22" t="s">
        <v>1606</v>
      </c>
      <c r="G894" s="32" t="str">
        <f>IFERROR(VLOOKUP(F894,Productos!$A$2:$D$258,2,0)," ")</f>
        <v>Cajonero 2.0 Bicolor Caramelo x73cm</v>
      </c>
      <c r="H894" s="7">
        <v>1</v>
      </c>
      <c r="I894" s="32" t="str">
        <f>IFERROR(VLOOKUP(F894,Productos!$A$2:$D$258,3,0)," ")</f>
        <v>Archivador</v>
      </c>
      <c r="J894" s="202" t="s">
        <v>21</v>
      </c>
      <c r="K894" s="205" t="s">
        <v>22</v>
      </c>
      <c r="L894" s="26" t="str">
        <f t="shared" si="178"/>
        <v>En alistamiento</v>
      </c>
      <c r="M894" s="56" t="s">
        <v>238</v>
      </c>
      <c r="N894" s="198"/>
      <c r="O894" s="150"/>
      <c r="P894" s="151"/>
      <c r="Q894" s="24" t="str">
        <f t="shared" si="139"/>
        <v>En transito</v>
      </c>
      <c r="R894" s="25" t="str">
        <f>IF(L894="Despachado",NETWORKDAYS.INTL(A894,O894,11,Valores!$A$2:$A$18)-1,"PTE")</f>
        <v>PTE</v>
      </c>
      <c r="S894" s="25" t="str">
        <f>IF(Q894="Entregado",NETWORKDAYS.INTL(A894,P894,11,Valores!$A$2:$A$18)-1,"PTE")</f>
        <v>PTE</v>
      </c>
      <c r="T894" s="25"/>
      <c r="U894" s="25"/>
      <c r="V894" s="25" t="str">
        <f>IF(Q894="Entregado",IF(S894&lt;=VLOOKUP(K894,Valores!E:F,2,0),"Cumple","No cumple"),"PTE")</f>
        <v>PTE</v>
      </c>
      <c r="W894" s="25"/>
      <c r="X894" s="29"/>
      <c r="Y894" s="224"/>
      <c r="Z894" s="28"/>
    </row>
    <row r="895" spans="1:26" hidden="1" x14ac:dyDescent="0.3">
      <c r="A895" s="34">
        <v>45948</v>
      </c>
      <c r="B895" s="7" t="str">
        <f t="shared" si="179"/>
        <v>octubre</v>
      </c>
      <c r="C895" s="27">
        <v>100158</v>
      </c>
      <c r="D895" s="23" t="s">
        <v>20</v>
      </c>
      <c r="E895" s="206" t="s">
        <v>1728</v>
      </c>
      <c r="F895" s="22"/>
      <c r="G895" s="32" t="s">
        <v>1796</v>
      </c>
      <c r="H895" s="7">
        <v>1</v>
      </c>
      <c r="I895" s="32" t="s">
        <v>327</v>
      </c>
      <c r="J895" s="202" t="s">
        <v>21</v>
      </c>
      <c r="K895" s="205" t="s">
        <v>22</v>
      </c>
      <c r="L895" s="26" t="str">
        <f t="shared" ref="L895:L897" si="180">IF(O895&gt;0,"Despachado","En alistamiento")</f>
        <v>Despachado</v>
      </c>
      <c r="M895" s="56" t="s">
        <v>241</v>
      </c>
      <c r="N895" s="218" t="s">
        <v>241</v>
      </c>
      <c r="O895" s="219" t="s">
        <v>241</v>
      </c>
      <c r="P895" s="220" t="s">
        <v>241</v>
      </c>
      <c r="Q895" s="24" t="str">
        <f t="shared" si="139"/>
        <v>Entregado</v>
      </c>
      <c r="R895" s="25" t="e">
        <f>IF(L895="Despachado",NETWORKDAYS.INTL(A895,O895,11,Valores!$A$2:$A$18)-1,"PTE")</f>
        <v>#VALUE!</v>
      </c>
      <c r="S895" s="25" t="e">
        <f>IF(Q895="Entregado",NETWORKDAYS.INTL(A895,P895,11,Valores!$A$2:$A$18)-1,"PTE")</f>
        <v>#VALUE!</v>
      </c>
      <c r="T895" s="25"/>
      <c r="U895" s="25"/>
      <c r="V895" s="25" t="e">
        <f>IF(Q895="Entregado",IF(S895&lt;=VLOOKUP(K895,Valores!E:F,2,0),"Cumple","No cumple"),"PTE")</f>
        <v>#VALUE!</v>
      </c>
      <c r="W895" s="25"/>
      <c r="X895" s="29"/>
      <c r="Y895" s="224"/>
      <c r="Z895" s="28"/>
    </row>
    <row r="896" spans="1:26" hidden="1" x14ac:dyDescent="0.3">
      <c r="A896" s="34">
        <v>45950</v>
      </c>
      <c r="B896" s="7" t="str">
        <f t="shared" si="179"/>
        <v>octubre</v>
      </c>
      <c r="C896" s="27">
        <v>100159</v>
      </c>
      <c r="D896" s="23" t="s">
        <v>20</v>
      </c>
      <c r="E896" s="206" t="s">
        <v>1111</v>
      </c>
      <c r="F896" s="22" t="s">
        <v>129</v>
      </c>
      <c r="G896" s="32" t="str">
        <f>IFERROR(VLOOKUP(F896,Productos!$A$2:$D$258,2,0)," ")</f>
        <v>Electric Standing Desk  PRO Negro</v>
      </c>
      <c r="H896" s="7">
        <v>1</v>
      </c>
      <c r="I896" s="32" t="str">
        <f>IFERROR(VLOOKUP(F896,Productos!$A$2:$D$258,3,0)," ")</f>
        <v>Standing Desk</v>
      </c>
      <c r="J896" s="202" t="s">
        <v>21</v>
      </c>
      <c r="K896" s="205" t="s">
        <v>22</v>
      </c>
      <c r="L896" s="26" t="str">
        <f t="shared" si="180"/>
        <v>En alistamiento</v>
      </c>
      <c r="M896" s="56" t="s">
        <v>238</v>
      </c>
      <c r="N896" s="198"/>
      <c r="O896" s="150"/>
      <c r="P896" s="151"/>
      <c r="Q896" s="24" t="str">
        <f t="shared" si="139"/>
        <v>En transito</v>
      </c>
      <c r="R896" s="25" t="str">
        <f>IF(L896="Despachado",NETWORKDAYS.INTL(A896,O896,11,Valores!$A$2:$A$18)-1,"PTE")</f>
        <v>PTE</v>
      </c>
      <c r="S896" s="25" t="str">
        <f>IF(Q896="Entregado",NETWORKDAYS.INTL(A896,P896,11,Valores!$A$2:$A$18)-1,"PTE")</f>
        <v>PTE</v>
      </c>
      <c r="T896" s="25"/>
      <c r="U896" s="25"/>
      <c r="V896" s="25" t="str">
        <f>IF(Q896="Entregado",IF(S896&lt;=VLOOKUP(K896,Valores!E:F,2,0),"Cumple","No cumple"),"PTE")</f>
        <v>PTE</v>
      </c>
      <c r="W896" s="25"/>
      <c r="X896" s="29"/>
      <c r="Y896" s="224"/>
      <c r="Z896" s="28"/>
    </row>
    <row r="897" spans="1:26" hidden="1" x14ac:dyDescent="0.3">
      <c r="A897" s="34">
        <v>45950</v>
      </c>
      <c r="B897" s="7" t="str">
        <f t="shared" si="179"/>
        <v>octubre</v>
      </c>
      <c r="C897" s="27">
        <v>100159</v>
      </c>
      <c r="D897" s="23" t="s">
        <v>20</v>
      </c>
      <c r="E897" s="206" t="s">
        <v>1111</v>
      </c>
      <c r="F897" s="22" t="s">
        <v>141</v>
      </c>
      <c r="G897" s="32" t="str">
        <f>IFERROR(VLOOKUP(F897,Productos!$A$2:$D$258,2,0)," ")</f>
        <v>Superficie Caramelo 130x70 Clasico</v>
      </c>
      <c r="H897" s="7">
        <v>1</v>
      </c>
      <c r="I897" s="32" t="str">
        <f>IFERROR(VLOOKUP(F897,Productos!$A$2:$D$258,3,0)," ")</f>
        <v>Superficie</v>
      </c>
      <c r="J897" s="202" t="s">
        <v>21</v>
      </c>
      <c r="K897" s="205" t="s">
        <v>22</v>
      </c>
      <c r="L897" s="26" t="str">
        <f t="shared" si="180"/>
        <v>En alistamiento</v>
      </c>
      <c r="M897" s="56" t="s">
        <v>238</v>
      </c>
      <c r="N897" s="198"/>
      <c r="O897" s="150"/>
      <c r="P897" s="151"/>
      <c r="Q897" s="24" t="str">
        <f t="shared" si="139"/>
        <v>En transito</v>
      </c>
      <c r="R897" s="25" t="str">
        <f>IF(L897="Despachado",NETWORKDAYS.INTL(A897,O897,11,Valores!$A$2:$A$18)-1,"PTE")</f>
        <v>PTE</v>
      </c>
      <c r="S897" s="25" t="str">
        <f>IF(Q897="Entregado",NETWORKDAYS.INTL(A897,P897,11,Valores!$A$2:$A$18)-1,"PTE")</f>
        <v>PTE</v>
      </c>
      <c r="T897" s="25"/>
      <c r="U897" s="25"/>
      <c r="V897" s="25" t="str">
        <f>IF(Q897="Entregado",IF(S897&lt;=VLOOKUP(K897,Valores!E:F,2,0),"Cumple","No cumple"),"PTE")</f>
        <v>PTE</v>
      </c>
      <c r="W897" s="25"/>
      <c r="X897" s="29"/>
      <c r="Y897" s="224"/>
      <c r="Z897" s="28"/>
    </row>
    <row r="898" spans="1:26" hidden="1" x14ac:dyDescent="0.3">
      <c r="A898" s="34">
        <v>45950</v>
      </c>
      <c r="B898" s="7" t="str">
        <f t="shared" si="179"/>
        <v>octubre</v>
      </c>
      <c r="C898" s="27">
        <v>100159</v>
      </c>
      <c r="D898" s="23" t="s">
        <v>20</v>
      </c>
      <c r="E898" s="206" t="s">
        <v>1111</v>
      </c>
      <c r="F898" s="22"/>
      <c r="G898" s="32" t="s">
        <v>1796</v>
      </c>
      <c r="H898" s="7">
        <v>1</v>
      </c>
      <c r="I898" s="32" t="s">
        <v>327</v>
      </c>
      <c r="J898" s="202" t="s">
        <v>21</v>
      </c>
      <c r="K898" s="205" t="s">
        <v>22</v>
      </c>
      <c r="L898" s="26" t="str">
        <f t="shared" ref="L898:L900" si="181">IF(O898&gt;0,"Despachado","En alistamiento")</f>
        <v>Despachado</v>
      </c>
      <c r="M898" s="56" t="s">
        <v>241</v>
      </c>
      <c r="N898" s="218" t="s">
        <v>241</v>
      </c>
      <c r="O898" s="219" t="s">
        <v>241</v>
      </c>
      <c r="P898" s="220" t="s">
        <v>241</v>
      </c>
      <c r="Q898" s="24" t="str">
        <f t="shared" si="139"/>
        <v>Entregado</v>
      </c>
      <c r="R898" s="25" t="e">
        <f>IF(L898="Despachado",NETWORKDAYS.INTL(A898,O898,11,Valores!$A$2:$A$18)-1,"PTE")</f>
        <v>#VALUE!</v>
      </c>
      <c r="S898" s="25" t="e">
        <f>IF(Q898="Entregado",NETWORKDAYS.INTL(A898,P898,11,Valores!$A$2:$A$18)-1,"PTE")</f>
        <v>#VALUE!</v>
      </c>
      <c r="T898" s="25"/>
      <c r="U898" s="25"/>
      <c r="V898" s="25" t="e">
        <f>IF(Q898="Entregado",IF(S898&lt;=VLOOKUP(K898,Valores!E:F,2,0),"Cumple","No cumple"),"PTE")</f>
        <v>#VALUE!</v>
      </c>
      <c r="W898" s="25"/>
      <c r="X898" s="29"/>
      <c r="Y898" s="224"/>
      <c r="Z898" s="28"/>
    </row>
    <row r="899" spans="1:26" hidden="1" x14ac:dyDescent="0.3">
      <c r="A899" s="34">
        <v>45950</v>
      </c>
      <c r="B899" s="7" t="str">
        <f t="shared" ref="B899:B900" si="182">TEXT(A899,"mmmm")</f>
        <v>octubre</v>
      </c>
      <c r="C899" s="27">
        <v>100160</v>
      </c>
      <c r="D899" s="23" t="s">
        <v>20</v>
      </c>
      <c r="E899" s="206" t="s">
        <v>1731</v>
      </c>
      <c r="F899" s="22" t="s">
        <v>133</v>
      </c>
      <c r="G899" s="32" t="str">
        <f>IFERROR(VLOOKUP(F899,Productos!$A$2:$D$258,2,0)," ")</f>
        <v>Electric Standing Desk  PRO Blanco</v>
      </c>
      <c r="H899" s="7">
        <v>1</v>
      </c>
      <c r="I899" s="32" t="str">
        <f>IFERROR(VLOOKUP(F899,Productos!$A$2:$D$258,3,0)," ")</f>
        <v>Standing Desk</v>
      </c>
      <c r="J899" s="202" t="s">
        <v>21</v>
      </c>
      <c r="K899" s="205" t="s">
        <v>22</v>
      </c>
      <c r="L899" s="26" t="str">
        <f t="shared" si="181"/>
        <v>En alistamiento</v>
      </c>
      <c r="M899" s="56" t="s">
        <v>238</v>
      </c>
      <c r="N899" s="198"/>
      <c r="O899" s="150"/>
      <c r="P899" s="151"/>
      <c r="Q899" s="24" t="str">
        <f t="shared" si="139"/>
        <v>En transito</v>
      </c>
      <c r="R899" s="25" t="str">
        <f>IF(L899="Despachado",NETWORKDAYS.INTL(A899,O899,11,Valores!$A$2:$A$18)-1,"PTE")</f>
        <v>PTE</v>
      </c>
      <c r="S899" s="25" t="str">
        <f>IF(Q899="Entregado",NETWORKDAYS.INTL(A899,P899,11,Valores!$A$2:$A$18)-1,"PTE")</f>
        <v>PTE</v>
      </c>
      <c r="T899" s="25"/>
      <c r="U899" s="25"/>
      <c r="V899" s="25" t="str">
        <f>IF(Q899="Entregado",IF(S899&lt;=VLOOKUP(K899,Valores!E:F,2,0),"Cumple","No cumple"),"PTE")</f>
        <v>PTE</v>
      </c>
      <c r="W899" s="25"/>
      <c r="X899" s="29"/>
      <c r="Y899" s="224"/>
      <c r="Z899" s="28"/>
    </row>
    <row r="900" spans="1:26" hidden="1" x14ac:dyDescent="0.3">
      <c r="A900" s="34">
        <v>45950</v>
      </c>
      <c r="B900" s="7" t="str">
        <f t="shared" si="182"/>
        <v>octubre</v>
      </c>
      <c r="C900" s="27">
        <v>100160</v>
      </c>
      <c r="D900" s="23" t="s">
        <v>20</v>
      </c>
      <c r="E900" s="206" t="s">
        <v>1731</v>
      </c>
      <c r="F900" s="22" t="s">
        <v>1729</v>
      </c>
      <c r="G900" s="32" t="str">
        <f>IFERROR(VLOOKUP(F900,Productos!$A$2:$D$258,2,0)," ")</f>
        <v>Superficie  Fresno Europeo 190x70 Clasico</v>
      </c>
      <c r="H900" s="7">
        <v>1</v>
      </c>
      <c r="I900" s="32" t="str">
        <f>IFERROR(VLOOKUP(F900,Productos!$A$2:$D$258,3,0)," ")</f>
        <v>Superficie</v>
      </c>
      <c r="J900" s="202" t="s">
        <v>21</v>
      </c>
      <c r="K900" s="205" t="s">
        <v>22</v>
      </c>
      <c r="L900" s="26" t="str">
        <f t="shared" si="181"/>
        <v>En alistamiento</v>
      </c>
      <c r="M900" s="56" t="s">
        <v>238</v>
      </c>
      <c r="N900" s="198"/>
      <c r="O900" s="150"/>
      <c r="P900" s="151"/>
      <c r="Q900" s="24" t="str">
        <f t="shared" si="139"/>
        <v>En transito</v>
      </c>
      <c r="R900" s="25" t="str">
        <f>IF(L900="Despachado",NETWORKDAYS.INTL(A900,O900,11,Valores!$A$2:$A$18)-1,"PTE")</f>
        <v>PTE</v>
      </c>
      <c r="S900" s="25" t="str">
        <f>IF(Q900="Entregado",NETWORKDAYS.INTL(A900,P900,11,Valores!$A$2:$A$18)-1,"PTE")</f>
        <v>PTE</v>
      </c>
      <c r="T900" s="25"/>
      <c r="U900" s="25"/>
      <c r="V900" s="25" t="str">
        <f>IF(Q900="Entregado",IF(S900&lt;=VLOOKUP(K900,Valores!E:F,2,0),"Cumple","No cumple"),"PTE")</f>
        <v>PTE</v>
      </c>
      <c r="W900" s="25"/>
      <c r="X900" s="29"/>
      <c r="Y900" s="224"/>
      <c r="Z900" s="28"/>
    </row>
    <row r="901" spans="1:26" hidden="1" x14ac:dyDescent="0.3">
      <c r="A901" s="34">
        <v>45950</v>
      </c>
      <c r="B901" s="7" t="str">
        <f t="shared" ref="B901:B906" si="183">TEXT(A901,"mmmm")</f>
        <v>octubre</v>
      </c>
      <c r="C901" s="27">
        <v>100161</v>
      </c>
      <c r="D901" s="23" t="s">
        <v>20</v>
      </c>
      <c r="E901" s="206" t="s">
        <v>1732</v>
      </c>
      <c r="F901" s="22" t="s">
        <v>127</v>
      </c>
      <c r="G901" s="32" t="str">
        <f>IFERROR(VLOOKUP(F901,Productos!$A$2:$D$258,2,0)," ")</f>
        <v>Electric Standing Desk GO Blanco</v>
      </c>
      <c r="H901" s="7">
        <v>1</v>
      </c>
      <c r="I901" s="32" t="str">
        <f>IFERROR(VLOOKUP(F901,Productos!$A$2:$D$258,3,0)," ")</f>
        <v>Standing Desk</v>
      </c>
      <c r="J901" s="202" t="s">
        <v>21</v>
      </c>
      <c r="K901" s="205" t="s">
        <v>22</v>
      </c>
      <c r="L901" s="26" t="str">
        <f t="shared" ref="L901:L902" si="184">IF(O901&gt;0,"Despachado","En alistamiento")</f>
        <v>En alistamiento</v>
      </c>
      <c r="M901" s="56" t="s">
        <v>238</v>
      </c>
      <c r="N901" s="198"/>
      <c r="O901" s="150"/>
      <c r="P901" s="151"/>
      <c r="Q901" s="24" t="str">
        <f t="shared" si="139"/>
        <v>En transito</v>
      </c>
      <c r="R901" s="25" t="str">
        <f>IF(L901="Despachado",NETWORKDAYS.INTL(A901,O901,11,Valores!$A$2:$A$18)-1,"PTE")</f>
        <v>PTE</v>
      </c>
      <c r="S901" s="25" t="str">
        <f>IF(Q901="Entregado",NETWORKDAYS.INTL(A901,P901,11,Valores!$A$2:$A$18)-1,"PTE")</f>
        <v>PTE</v>
      </c>
      <c r="T901" s="25"/>
      <c r="U901" s="25"/>
      <c r="V901" s="25" t="str">
        <f>IF(Q901="Entregado",IF(S901&lt;=VLOOKUP(K901,Valores!E:F,2,0),"Cumple","No cumple"),"PTE")</f>
        <v>PTE</v>
      </c>
      <c r="W901" s="25"/>
      <c r="X901" s="29"/>
      <c r="Y901" s="224"/>
      <c r="Z901" s="28"/>
    </row>
    <row r="902" spans="1:26" hidden="1" x14ac:dyDescent="0.3">
      <c r="A902" s="34">
        <v>45950</v>
      </c>
      <c r="B902" s="7" t="str">
        <f t="shared" si="183"/>
        <v>octubre</v>
      </c>
      <c r="C902" s="27">
        <v>100161</v>
      </c>
      <c r="D902" s="23" t="s">
        <v>20</v>
      </c>
      <c r="E902" s="206" t="s">
        <v>1732</v>
      </c>
      <c r="F902" s="22" t="s">
        <v>1561</v>
      </c>
      <c r="G902" s="32" t="str">
        <f>IFERROR(VLOOKUP(F902,Productos!$A$2:$D$258,2,0)," ")</f>
        <v>Superficie Escritorio Blanco (Niebla) 130x60 Clasico</v>
      </c>
      <c r="H902" s="7">
        <v>1</v>
      </c>
      <c r="I902" s="32" t="str">
        <f>IFERROR(VLOOKUP(F902,Productos!$A$2:$D$258,3,0)," ")</f>
        <v>Superficie</v>
      </c>
      <c r="J902" s="202" t="s">
        <v>21</v>
      </c>
      <c r="K902" s="205" t="s">
        <v>22</v>
      </c>
      <c r="L902" s="26" t="str">
        <f t="shared" si="184"/>
        <v>En alistamiento</v>
      </c>
      <c r="M902" s="56" t="s">
        <v>238</v>
      </c>
      <c r="N902" s="198"/>
      <c r="O902" s="150"/>
      <c r="P902" s="151"/>
      <c r="Q902" s="24" t="str">
        <f t="shared" si="139"/>
        <v>En transito</v>
      </c>
      <c r="R902" s="25" t="str">
        <f>IF(L902="Despachado",NETWORKDAYS.INTL(A902,O902,11,Valores!$A$2:$A$18)-1,"PTE")</f>
        <v>PTE</v>
      </c>
      <c r="S902" s="25" t="str">
        <f>IF(Q902="Entregado",NETWORKDAYS.INTL(A902,P902,11,Valores!$A$2:$A$18)-1,"PTE")</f>
        <v>PTE</v>
      </c>
      <c r="T902" s="25"/>
      <c r="U902" s="25"/>
      <c r="V902" s="25" t="str">
        <f>IF(Q902="Entregado",IF(S902&lt;=VLOOKUP(K902,Valores!E:F,2,0),"Cumple","No cumple"),"PTE")</f>
        <v>PTE</v>
      </c>
      <c r="W902" s="25"/>
      <c r="X902" s="29"/>
      <c r="Y902" s="224"/>
      <c r="Z902" s="28"/>
    </row>
    <row r="903" spans="1:26" hidden="1" x14ac:dyDescent="0.3">
      <c r="A903" s="34">
        <v>45951</v>
      </c>
      <c r="B903" s="7" t="str">
        <f t="shared" si="183"/>
        <v>octubre</v>
      </c>
      <c r="C903" s="27">
        <v>100162</v>
      </c>
      <c r="D903" s="23" t="s">
        <v>20</v>
      </c>
      <c r="E903" s="206" t="s">
        <v>523</v>
      </c>
      <c r="F903" s="22" t="s">
        <v>89</v>
      </c>
      <c r="G903" s="32" t="str">
        <f>IFERROR(VLOOKUP(F903,Productos!$A$2:$D$258,2,0)," ")</f>
        <v>Desk Stool Gris Silla ajustable</v>
      </c>
      <c r="H903" s="7">
        <v>1</v>
      </c>
      <c r="I903" s="32" t="str">
        <f>IFERROR(VLOOKUP(F903,Productos!$A$2:$D$258,3,0)," ")</f>
        <v>Silla</v>
      </c>
      <c r="J903" s="205" t="s">
        <v>259</v>
      </c>
      <c r="K903" s="205" t="s">
        <v>34</v>
      </c>
      <c r="L903" s="26" t="str">
        <f t="shared" ref="L903:L905" si="185">IF(O903&gt;0,"Despachado","En alistamiento")</f>
        <v>En alistamiento</v>
      </c>
      <c r="M903" s="56" t="s">
        <v>238</v>
      </c>
      <c r="N903" s="198"/>
      <c r="O903" s="150"/>
      <c r="P903" s="151"/>
      <c r="Q903" s="24" t="str">
        <f t="shared" si="139"/>
        <v>En transito</v>
      </c>
      <c r="R903" s="25" t="str">
        <f>IF(L903="Despachado",NETWORKDAYS.INTL(A903,O903,11,Valores!$A$2:$A$18)-1,"PTE")</f>
        <v>PTE</v>
      </c>
      <c r="S903" s="25" t="str">
        <f>IF(Q903="Entregado",NETWORKDAYS.INTL(A903,P903,11,Valores!$A$2:$A$18)-1,"PTE")</f>
        <v>PTE</v>
      </c>
      <c r="T903" s="25"/>
      <c r="U903" s="25"/>
      <c r="V903" s="25" t="str">
        <f>IF(Q903="Entregado",IF(S903&lt;=VLOOKUP(K903,Valores!E:F,2,0),"Cumple","No cumple"),"PTE")</f>
        <v>PTE</v>
      </c>
      <c r="W903" s="25"/>
      <c r="X903" s="29"/>
      <c r="Y903" s="224"/>
      <c r="Z903" s="28"/>
    </row>
    <row r="904" spans="1:26" hidden="1" x14ac:dyDescent="0.3">
      <c r="A904" s="34">
        <v>45952</v>
      </c>
      <c r="B904" s="7" t="str">
        <f t="shared" si="183"/>
        <v>octubre</v>
      </c>
      <c r="C904" s="27">
        <v>100163</v>
      </c>
      <c r="D904" s="23" t="s">
        <v>20</v>
      </c>
      <c r="E904" s="206" t="s">
        <v>1733</v>
      </c>
      <c r="F904" s="22" t="s">
        <v>133</v>
      </c>
      <c r="G904" s="32" t="str">
        <f>IFERROR(VLOOKUP(F904,Productos!$A$2:$D$258,2,0)," ")</f>
        <v>Electric Standing Desk  PRO Blanco</v>
      </c>
      <c r="H904" s="7">
        <v>1</v>
      </c>
      <c r="I904" s="32" t="str">
        <f>IFERROR(VLOOKUP(F904,Productos!$A$2:$D$258,3,0)," ")</f>
        <v>Standing Desk</v>
      </c>
      <c r="J904" s="202" t="s">
        <v>21</v>
      </c>
      <c r="K904" s="205" t="s">
        <v>22</v>
      </c>
      <c r="L904" s="26" t="str">
        <f t="shared" si="185"/>
        <v>En alistamiento</v>
      </c>
      <c r="M904" s="56" t="s">
        <v>238</v>
      </c>
      <c r="N904" s="198"/>
      <c r="O904" s="150"/>
      <c r="P904" s="151"/>
      <c r="Q904" s="24" t="str">
        <f t="shared" si="139"/>
        <v>En transito</v>
      </c>
      <c r="R904" s="25" t="str">
        <f>IF(L904="Despachado",NETWORKDAYS.INTL(A904,O904,11,Valores!$A$2:$A$18)-1,"PTE")</f>
        <v>PTE</v>
      </c>
      <c r="S904" s="25" t="str">
        <f>IF(Q904="Entregado",NETWORKDAYS.INTL(A904,P904,11,Valores!$A$2:$A$18)-1,"PTE")</f>
        <v>PTE</v>
      </c>
      <c r="T904" s="25"/>
      <c r="U904" s="25"/>
      <c r="V904" s="25" t="str">
        <f>IF(Q904="Entregado",IF(S904&lt;=VLOOKUP(K904,Valores!E:F,2,0),"Cumple","No cumple"),"PTE")</f>
        <v>PTE</v>
      </c>
      <c r="W904" s="25"/>
      <c r="X904" s="29"/>
      <c r="Y904" s="224"/>
      <c r="Z904" s="28"/>
    </row>
    <row r="905" spans="1:26" hidden="1" x14ac:dyDescent="0.3">
      <c r="A905" s="34">
        <v>45952</v>
      </c>
      <c r="B905" s="7" t="str">
        <f t="shared" si="183"/>
        <v>octubre</v>
      </c>
      <c r="C905" s="27">
        <v>100163</v>
      </c>
      <c r="D905" s="23" t="s">
        <v>20</v>
      </c>
      <c r="E905" s="206" t="s">
        <v>1733</v>
      </c>
      <c r="F905" s="22" t="s">
        <v>1523</v>
      </c>
      <c r="G905" s="32" t="str">
        <f>IFERROR(VLOOKUP(F905,Productos!$A$2:$D$258,2,0)," ")</f>
        <v>Superficie Escritorio Fresno Europeo 180x80 Clasico</v>
      </c>
      <c r="H905" s="7">
        <v>1</v>
      </c>
      <c r="I905" s="32" t="str">
        <f>IFERROR(VLOOKUP(F905,Productos!$A$2:$D$258,3,0)," ")</f>
        <v>Superficie</v>
      </c>
      <c r="J905" s="202" t="s">
        <v>21</v>
      </c>
      <c r="K905" s="205" t="s">
        <v>22</v>
      </c>
      <c r="L905" s="26" t="str">
        <f t="shared" si="185"/>
        <v>En alistamiento</v>
      </c>
      <c r="M905" s="56" t="s">
        <v>238</v>
      </c>
      <c r="N905" s="198"/>
      <c r="O905" s="150"/>
      <c r="P905" s="151"/>
      <c r="Q905" s="24" t="str">
        <f t="shared" si="139"/>
        <v>En transito</v>
      </c>
      <c r="R905" s="25" t="str">
        <f>IF(L905="Despachado",NETWORKDAYS.INTL(A905,O905,11,Valores!$A$2:$A$18)-1,"PTE")</f>
        <v>PTE</v>
      </c>
      <c r="S905" s="25" t="str">
        <f>IF(Q905="Entregado",NETWORKDAYS.INTL(A905,P905,11,Valores!$A$2:$A$18)-1,"PTE")</f>
        <v>PTE</v>
      </c>
      <c r="T905" s="25"/>
      <c r="U905" s="25"/>
      <c r="V905" s="25" t="str">
        <f>IF(Q905="Entregado",IF(S905&lt;=VLOOKUP(K905,Valores!E:F,2,0),"Cumple","No cumple"),"PTE")</f>
        <v>PTE</v>
      </c>
      <c r="W905" s="25"/>
      <c r="X905" s="29"/>
      <c r="Y905" s="224"/>
      <c r="Z905" s="28"/>
    </row>
    <row r="906" spans="1:26" hidden="1" x14ac:dyDescent="0.3">
      <c r="A906" s="34">
        <v>45954</v>
      </c>
      <c r="B906" s="7" t="str">
        <f t="shared" si="183"/>
        <v>octubre</v>
      </c>
      <c r="C906" s="27">
        <v>100164</v>
      </c>
      <c r="D906" s="23" t="s">
        <v>20</v>
      </c>
      <c r="E906" s="206" t="s">
        <v>1734</v>
      </c>
      <c r="F906" s="22" t="s">
        <v>129</v>
      </c>
      <c r="G906" s="32" t="str">
        <f>IFERROR(VLOOKUP(F906,Productos!$A$2:$D$258,2,0)," ")</f>
        <v>Electric Standing Desk  PRO Negro</v>
      </c>
      <c r="H906" s="7">
        <v>1</v>
      </c>
      <c r="I906" s="32" t="str">
        <f>IFERROR(VLOOKUP(F906,Productos!$A$2:$D$258,3,0)," ")</f>
        <v>Standing Desk</v>
      </c>
      <c r="J906" s="202" t="s">
        <v>21</v>
      </c>
      <c r="K906" s="205" t="s">
        <v>22</v>
      </c>
      <c r="L906" s="26" t="str">
        <f t="shared" ref="L906:L908" si="186">IF(O906&gt;0,"Despachado","En alistamiento")</f>
        <v>En alistamiento</v>
      </c>
      <c r="M906" s="56" t="s">
        <v>238</v>
      </c>
      <c r="N906" s="198"/>
      <c r="O906" s="150"/>
      <c r="P906" s="151"/>
      <c r="Q906" s="24" t="str">
        <f t="shared" si="139"/>
        <v>En transito</v>
      </c>
      <c r="R906" s="25" t="str">
        <f>IF(L906="Despachado",NETWORKDAYS.INTL(A906,O906,11,Valores!$A$2:$A$18)-1,"PTE")</f>
        <v>PTE</v>
      </c>
      <c r="S906" s="25" t="str">
        <f>IF(Q906="Entregado",NETWORKDAYS.INTL(A906,P906,11,Valores!$A$2:$A$18)-1,"PTE")</f>
        <v>PTE</v>
      </c>
      <c r="T906" s="25"/>
      <c r="U906" s="25"/>
      <c r="V906" s="25" t="str">
        <f>IF(Q906="Entregado",IF(S906&lt;=VLOOKUP(K906,Valores!E:F,2,0),"Cumple","No cumple"),"PTE")</f>
        <v>PTE</v>
      </c>
      <c r="W906" s="25"/>
      <c r="X906" s="29"/>
      <c r="Y906" s="224"/>
      <c r="Z906" s="28"/>
    </row>
    <row r="907" spans="1:26" hidden="1" x14ac:dyDescent="0.3">
      <c r="A907" s="34">
        <v>45954</v>
      </c>
      <c r="B907" s="7" t="str">
        <f t="shared" ref="B907" si="187">TEXT(A907,"mmmm")</f>
        <v>octubre</v>
      </c>
      <c r="C907" s="27">
        <v>100164</v>
      </c>
      <c r="D907" s="23" t="s">
        <v>20</v>
      </c>
      <c r="E907" s="206" t="s">
        <v>1734</v>
      </c>
      <c r="F907" s="22" t="s">
        <v>1735</v>
      </c>
      <c r="G907" s="32" t="str">
        <f>IFERROR(VLOOKUP(F907,Productos!$A$2:$D$258,2,0)," ")</f>
        <v>Superficie Escritorio Fresno Europeo 180x80 Moderno</v>
      </c>
      <c r="H907" s="7">
        <v>1</v>
      </c>
      <c r="I907" s="32" t="str">
        <f>IFERROR(VLOOKUP(F907,Productos!$A$2:$D$258,3,0)," ")</f>
        <v>Superficie</v>
      </c>
      <c r="J907" s="202" t="s">
        <v>21</v>
      </c>
      <c r="K907" s="205" t="s">
        <v>22</v>
      </c>
      <c r="L907" s="26" t="str">
        <f t="shared" si="186"/>
        <v>En alistamiento</v>
      </c>
      <c r="M907" s="56" t="s">
        <v>238</v>
      </c>
      <c r="N907" s="198"/>
      <c r="O907" s="150"/>
      <c r="P907" s="151"/>
      <c r="Q907" s="24" t="str">
        <f t="shared" ref="Q907:Q970" si="188">IF(P907&gt;0,"Entregado","En transito")</f>
        <v>En transito</v>
      </c>
      <c r="R907" s="25" t="str">
        <f>IF(L907="Despachado",NETWORKDAYS.INTL(A907,O907,11,Valores!$A$2:$A$18)-1,"PTE")</f>
        <v>PTE</v>
      </c>
      <c r="S907" s="25" t="str">
        <f>IF(Q907="Entregado",NETWORKDAYS.INTL(A907,P907,11,Valores!$A$2:$A$18)-1,"PTE")</f>
        <v>PTE</v>
      </c>
      <c r="T907" s="25"/>
      <c r="U907" s="25"/>
      <c r="V907" s="25" t="str">
        <f>IF(Q907="Entregado",IF(S907&lt;=VLOOKUP(K907,Valores!E:F,2,0),"Cumple","No cumple"),"PTE")</f>
        <v>PTE</v>
      </c>
      <c r="W907" s="25"/>
      <c r="X907" s="29"/>
      <c r="Y907" s="224"/>
      <c r="Z907" s="28"/>
    </row>
    <row r="908" spans="1:26" hidden="1" x14ac:dyDescent="0.3">
      <c r="A908" s="34">
        <v>45954</v>
      </c>
      <c r="B908" s="7" t="str">
        <f t="shared" ref="B908" si="189">TEXT(A908,"mmmm")</f>
        <v>octubre</v>
      </c>
      <c r="C908" s="27">
        <v>100164</v>
      </c>
      <c r="D908" s="23" t="s">
        <v>20</v>
      </c>
      <c r="E908" s="206" t="s">
        <v>1734</v>
      </c>
      <c r="F908" s="22"/>
      <c r="G908" s="32" t="s">
        <v>1796</v>
      </c>
      <c r="H908" s="7">
        <v>1</v>
      </c>
      <c r="I908" s="32" t="s">
        <v>327</v>
      </c>
      <c r="J908" s="202" t="s">
        <v>21</v>
      </c>
      <c r="K908" s="205" t="s">
        <v>22</v>
      </c>
      <c r="L908" s="26" t="str">
        <f t="shared" si="186"/>
        <v>Despachado</v>
      </c>
      <c r="M908" s="56" t="s">
        <v>241</v>
      </c>
      <c r="N908" s="218" t="s">
        <v>241</v>
      </c>
      <c r="O908" s="219" t="s">
        <v>241</v>
      </c>
      <c r="P908" s="220" t="s">
        <v>241</v>
      </c>
      <c r="Q908" s="24" t="str">
        <f t="shared" si="188"/>
        <v>Entregado</v>
      </c>
      <c r="R908" s="25" t="e">
        <f>IF(L908="Despachado",NETWORKDAYS.INTL(A908,O908,11,Valores!$A$2:$A$18)-1,"PTE")</f>
        <v>#VALUE!</v>
      </c>
      <c r="S908" s="25" t="e">
        <f>IF(Q908="Entregado",NETWORKDAYS.INTL(A908,P908,11,Valores!$A$2:$A$18)-1,"PTE")</f>
        <v>#VALUE!</v>
      </c>
      <c r="T908" s="25"/>
      <c r="U908" s="25"/>
      <c r="V908" s="25" t="e">
        <f>IF(Q908="Entregado",IF(S908&lt;=VLOOKUP(K908,Valores!E:F,2,0),"Cumple","No cumple"),"PTE")</f>
        <v>#VALUE!</v>
      </c>
      <c r="W908" s="25"/>
      <c r="X908" s="29"/>
      <c r="Y908" s="224"/>
      <c r="Z908" s="28"/>
    </row>
    <row r="909" spans="1:26" hidden="1" x14ac:dyDescent="0.3">
      <c r="A909" s="34">
        <v>45954</v>
      </c>
      <c r="B909" s="7" t="str">
        <f t="shared" ref="B909:B910" si="190">TEXT(A909,"mmmm")</f>
        <v>octubre</v>
      </c>
      <c r="C909" s="27">
        <v>100165</v>
      </c>
      <c r="D909" s="23" t="s">
        <v>20</v>
      </c>
      <c r="E909" s="206" t="s">
        <v>1733</v>
      </c>
      <c r="F909" s="22" t="s">
        <v>57</v>
      </c>
      <c r="G909" s="32" t="str">
        <f>IFERROR(VLOOKUP(F909,Productos!$A$2:$D$258,2,0)," ")</f>
        <v>Electric Standing Desk  En L Frame Negro 2.0</v>
      </c>
      <c r="H909" s="7">
        <v>1</v>
      </c>
      <c r="I909" s="32" t="str">
        <f>IFERROR(VLOOKUP(F909,Productos!$A$2:$D$258,3,0)," ")</f>
        <v>Standing Desk</v>
      </c>
      <c r="J909" s="202" t="s">
        <v>21</v>
      </c>
      <c r="K909" s="205" t="s">
        <v>22</v>
      </c>
      <c r="L909" s="26" t="str">
        <f t="shared" ref="L909:L910" si="191">IF(O909&gt;0,"Despachado","En alistamiento")</f>
        <v>En alistamiento</v>
      </c>
      <c r="M909" s="56" t="s">
        <v>238</v>
      </c>
      <c r="N909" s="198"/>
      <c r="O909" s="150"/>
      <c r="P909" s="151"/>
      <c r="Q909" s="24" t="str">
        <f t="shared" si="188"/>
        <v>En transito</v>
      </c>
      <c r="R909" s="25" t="str">
        <f>IF(L909="Despachado",NETWORKDAYS.INTL(A909,O909,11,Valores!$A$2:$A$18)-1,"PTE")</f>
        <v>PTE</v>
      </c>
      <c r="S909" s="25" t="str">
        <f>IF(Q909="Entregado",NETWORKDAYS.INTL(A909,P909,11,Valores!$A$2:$A$18)-1,"PTE")</f>
        <v>PTE</v>
      </c>
      <c r="T909" s="25"/>
      <c r="U909" s="25"/>
      <c r="V909" s="25" t="str">
        <f>IF(Q909="Entregado",IF(S909&lt;=VLOOKUP(K909,Valores!E:F,2,0),"Cumple","No cumple"),"PTE")</f>
        <v>PTE</v>
      </c>
      <c r="W909" s="25"/>
      <c r="X909" s="29"/>
      <c r="Y909" s="224"/>
      <c r="Z909" s="28"/>
    </row>
    <row r="910" spans="1:26" hidden="1" x14ac:dyDescent="0.3">
      <c r="A910" s="34">
        <v>45954</v>
      </c>
      <c r="B910" s="7" t="str">
        <f t="shared" si="190"/>
        <v>octubre</v>
      </c>
      <c r="C910" s="27">
        <v>100165</v>
      </c>
      <c r="D910" s="23" t="s">
        <v>20</v>
      </c>
      <c r="E910" s="206" t="s">
        <v>1733</v>
      </c>
      <c r="F910" s="22" t="s">
        <v>1753</v>
      </c>
      <c r="G910" s="32" t="str">
        <f>IFERROR(VLOOKUP(F910,Productos!$A$2:$D$258,2,0)," ")</f>
        <v>Superficie  en L Roble Negro 150x150cm x60</v>
      </c>
      <c r="H910" s="7">
        <v>1</v>
      </c>
      <c r="I910" s="32" t="str">
        <f>IFERROR(VLOOKUP(F910,Productos!$A$2:$D$258,3,0)," ")</f>
        <v>Superficie</v>
      </c>
      <c r="J910" s="202" t="s">
        <v>21</v>
      </c>
      <c r="K910" s="205" t="s">
        <v>22</v>
      </c>
      <c r="L910" s="26" t="str">
        <f t="shared" si="191"/>
        <v>En alistamiento</v>
      </c>
      <c r="M910" s="56" t="s">
        <v>238</v>
      </c>
      <c r="N910" s="198"/>
      <c r="O910" s="150"/>
      <c r="P910" s="151"/>
      <c r="Q910" s="24" t="str">
        <f t="shared" si="188"/>
        <v>En transito</v>
      </c>
      <c r="R910" s="25" t="str">
        <f>IF(L910="Despachado",NETWORKDAYS.INTL(A910,O910,11,Valores!$A$2:$A$18)-1,"PTE")</f>
        <v>PTE</v>
      </c>
      <c r="S910" s="25" t="str">
        <f>IF(Q910="Entregado",NETWORKDAYS.INTL(A910,P910,11,Valores!$A$2:$A$18)-1,"PTE")</f>
        <v>PTE</v>
      </c>
      <c r="T910" s="25"/>
      <c r="U910" s="25"/>
      <c r="V910" s="25" t="str">
        <f>IF(Q910="Entregado",IF(S910&lt;=VLOOKUP(K910,Valores!E:F,2,0),"Cumple","No cumple"),"PTE")</f>
        <v>PTE</v>
      </c>
      <c r="W910" s="25"/>
      <c r="X910" s="29"/>
      <c r="Y910" s="224"/>
      <c r="Z910" s="28"/>
    </row>
    <row r="911" spans="1:26" hidden="1" x14ac:dyDescent="0.3">
      <c r="A911" s="34">
        <v>45954</v>
      </c>
      <c r="B911" s="7" t="str">
        <f t="shared" ref="B911:B912" si="192">TEXT(A911,"mmmm")</f>
        <v>octubre</v>
      </c>
      <c r="C911" s="27">
        <v>100166</v>
      </c>
      <c r="D911" s="23" t="s">
        <v>20</v>
      </c>
      <c r="E911" s="206" t="s">
        <v>1767</v>
      </c>
      <c r="F911" s="22" t="s">
        <v>732</v>
      </c>
      <c r="G911" s="32" t="str">
        <f>IFERROR(VLOOKUP(F911,Productos!$A$2:$D$258,2,0)," ")</f>
        <v>Electric Standing Desk  PRO Negro circular</v>
      </c>
      <c r="H911" s="7">
        <v>1</v>
      </c>
      <c r="I911" s="32" t="str">
        <f>IFERROR(VLOOKUP(F911,Productos!$A$2:$D$258,3,0)," ")</f>
        <v>Standing Desk</v>
      </c>
      <c r="J911" s="202" t="s">
        <v>1073</v>
      </c>
      <c r="K911" s="205" t="s">
        <v>40</v>
      </c>
      <c r="L911" s="26" t="str">
        <f t="shared" ref="L911:L912" si="193">IF(O911&gt;0,"Despachado","En alistamiento")</f>
        <v>En alistamiento</v>
      </c>
      <c r="M911" s="56" t="s">
        <v>238</v>
      </c>
      <c r="N911" s="198"/>
      <c r="O911" s="150"/>
      <c r="P911" s="151"/>
      <c r="Q911" s="24" t="str">
        <f t="shared" si="188"/>
        <v>En transito</v>
      </c>
      <c r="R911" s="25" t="str">
        <f>IF(L911="Despachado",NETWORKDAYS.INTL(A911,O911,11,Valores!$A$2:$A$18)-1,"PTE")</f>
        <v>PTE</v>
      </c>
      <c r="S911" s="25" t="str">
        <f>IF(Q911="Entregado",NETWORKDAYS.INTL(A911,P911,11,Valores!$A$2:$A$18)-1,"PTE")</f>
        <v>PTE</v>
      </c>
      <c r="T911" s="25"/>
      <c r="U911" s="25"/>
      <c r="V911" s="25" t="str">
        <f>IF(Q911="Entregado",IF(S911&lt;=VLOOKUP(K911,Valores!E:F,2,0),"Cumple","No cumple"),"PTE")</f>
        <v>PTE</v>
      </c>
      <c r="W911" s="25"/>
      <c r="X911" s="29"/>
      <c r="Y911" s="224"/>
      <c r="Z911" s="28"/>
    </row>
    <row r="912" spans="1:26" hidden="1" x14ac:dyDescent="0.3">
      <c r="A912" s="34">
        <v>45954</v>
      </c>
      <c r="B912" s="7" t="str">
        <f t="shared" si="192"/>
        <v>octubre</v>
      </c>
      <c r="C912" s="27">
        <v>100166</v>
      </c>
      <c r="D912" s="23" t="s">
        <v>20</v>
      </c>
      <c r="E912" s="206" t="s">
        <v>1767</v>
      </c>
      <c r="F912" s="22" t="s">
        <v>1559</v>
      </c>
      <c r="G912" s="32" t="str">
        <f>IFERROR(VLOOKUP(F912,Productos!$A$2:$D$258,2,0)," ")</f>
        <v>Superficie Escritorio Blanco (Niebla) 120x60 Clasico Small</v>
      </c>
      <c r="H912" s="7">
        <v>1</v>
      </c>
      <c r="I912" s="32" t="str">
        <f>IFERROR(VLOOKUP(F912,Productos!$A$2:$D$258,3,0)," ")</f>
        <v>Superficie</v>
      </c>
      <c r="J912" s="202" t="s">
        <v>1073</v>
      </c>
      <c r="K912" s="205" t="s">
        <v>40</v>
      </c>
      <c r="L912" s="26" t="str">
        <f t="shared" si="193"/>
        <v>En alistamiento</v>
      </c>
      <c r="M912" s="56" t="s">
        <v>238</v>
      </c>
      <c r="N912" s="198"/>
      <c r="O912" s="150"/>
      <c r="P912" s="151"/>
      <c r="Q912" s="24" t="str">
        <f t="shared" si="188"/>
        <v>En transito</v>
      </c>
      <c r="R912" s="25" t="str">
        <f>IF(L912="Despachado",NETWORKDAYS.INTL(A912,O912,11,Valores!$A$2:$A$18)-1,"PTE")</f>
        <v>PTE</v>
      </c>
      <c r="S912" s="25" t="str">
        <f>IF(Q912="Entregado",NETWORKDAYS.INTL(A912,P912,11,Valores!$A$2:$A$18)-1,"PTE")</f>
        <v>PTE</v>
      </c>
      <c r="T912" s="25"/>
      <c r="U912" s="25"/>
      <c r="V912" s="25" t="str">
        <f>IF(Q912="Entregado",IF(S912&lt;=VLOOKUP(K912,Valores!E:F,2,0),"Cumple","No cumple"),"PTE")</f>
        <v>PTE</v>
      </c>
      <c r="W912" s="25"/>
      <c r="X912" s="29"/>
      <c r="Y912" s="224"/>
      <c r="Z912" s="28"/>
    </row>
    <row r="913" spans="1:26" hidden="1" x14ac:dyDescent="0.3">
      <c r="A913" s="34">
        <v>45954</v>
      </c>
      <c r="B913" s="7" t="str">
        <f t="shared" ref="B913:B916" si="194">TEXT(A913,"mmmm")</f>
        <v>octubre</v>
      </c>
      <c r="C913" s="27">
        <v>100166</v>
      </c>
      <c r="D913" s="23" t="s">
        <v>20</v>
      </c>
      <c r="E913" s="206" t="s">
        <v>1767</v>
      </c>
      <c r="F913" s="22"/>
      <c r="G913" s="32" t="str">
        <f>IFERROR(VLOOKUP(F913,Productos!$A$2:$D$258,2,0)," ")</f>
        <v xml:space="preserve"> </v>
      </c>
      <c r="H913" s="7">
        <v>1</v>
      </c>
      <c r="I913" s="32" t="str">
        <f>IFERROR(VLOOKUP(F913,Productos!$A$2:$D$258,3,0)," ")</f>
        <v xml:space="preserve"> </v>
      </c>
      <c r="J913" s="202" t="s">
        <v>1073</v>
      </c>
      <c r="K913" s="205" t="s">
        <v>40</v>
      </c>
      <c r="L913" s="26" t="str">
        <f t="shared" ref="L913:L917" si="195">IF(O913&gt;0,"Despachado","En alistamiento")</f>
        <v>En alistamiento</v>
      </c>
      <c r="M913" s="56" t="s">
        <v>238</v>
      </c>
      <c r="N913" s="198"/>
      <c r="O913" s="150"/>
      <c r="P913" s="151"/>
      <c r="Q913" s="24" t="str">
        <f t="shared" si="188"/>
        <v>En transito</v>
      </c>
      <c r="R913" s="25" t="str">
        <f>IF(L913="Despachado",NETWORKDAYS.INTL(A913,O913,11,Valores!$A$2:$A$18)-1,"PTE")</f>
        <v>PTE</v>
      </c>
      <c r="S913" s="25" t="str">
        <f>IF(Q913="Entregado",NETWORKDAYS.INTL(A913,P913,11,Valores!$A$2:$A$18)-1,"PTE")</f>
        <v>PTE</v>
      </c>
      <c r="T913" s="25"/>
      <c r="U913" s="25"/>
      <c r="V913" s="25" t="str">
        <f>IF(Q913="Entregado",IF(S913&lt;=VLOOKUP(K913,Valores!E:F,2,0),"Cumple","No cumple"),"PTE")</f>
        <v>PTE</v>
      </c>
      <c r="W913" s="25"/>
      <c r="X913" s="29"/>
      <c r="Y913" s="224"/>
      <c r="Z913" s="28"/>
    </row>
    <row r="914" spans="1:26" hidden="1" x14ac:dyDescent="0.3">
      <c r="A914" s="34">
        <v>45955</v>
      </c>
      <c r="B914" s="7" t="str">
        <f t="shared" si="194"/>
        <v>octubre</v>
      </c>
      <c r="C914" s="27">
        <v>100167</v>
      </c>
      <c r="D914" s="23" t="s">
        <v>20</v>
      </c>
      <c r="E914" s="206" t="s">
        <v>1768</v>
      </c>
      <c r="F914" s="22" t="s">
        <v>57</v>
      </c>
      <c r="G914" s="32" t="str">
        <f>IFERROR(VLOOKUP(F914,Productos!$A$2:$D$258,2,0)," ")</f>
        <v>Electric Standing Desk  En L Frame Negro 2.0</v>
      </c>
      <c r="H914" s="7">
        <v>1</v>
      </c>
      <c r="I914" s="32" t="str">
        <f>IFERROR(VLOOKUP(F914,Productos!$A$2:$D$258,3,0)," ")</f>
        <v>Standing Desk</v>
      </c>
      <c r="J914" s="202" t="s">
        <v>21</v>
      </c>
      <c r="K914" s="205" t="s">
        <v>22</v>
      </c>
      <c r="L914" s="26" t="str">
        <f t="shared" si="195"/>
        <v>En alistamiento</v>
      </c>
      <c r="M914" s="56" t="s">
        <v>238</v>
      </c>
      <c r="N914" s="198"/>
      <c r="O914" s="150"/>
      <c r="P914" s="151"/>
      <c r="Q914" s="24" t="str">
        <f t="shared" si="188"/>
        <v>En transito</v>
      </c>
      <c r="R914" s="25" t="str">
        <f>IF(L914="Despachado",NETWORKDAYS.INTL(A914,O914,11,Valores!$A$2:$A$18)-1,"PTE")</f>
        <v>PTE</v>
      </c>
      <c r="S914" s="25" t="str">
        <f>IF(Q914="Entregado",NETWORKDAYS.INTL(A914,P914,11,Valores!$A$2:$A$18)-1,"PTE")</f>
        <v>PTE</v>
      </c>
      <c r="T914" s="25"/>
      <c r="U914" s="25"/>
      <c r="V914" s="25" t="str">
        <f>IF(Q914="Entregado",IF(S914&lt;=VLOOKUP(K914,Valores!E:F,2,0),"Cumple","No cumple"),"PTE")</f>
        <v>PTE</v>
      </c>
      <c r="W914" s="25"/>
      <c r="X914" s="29"/>
      <c r="Y914" s="224"/>
      <c r="Z914" s="28"/>
    </row>
    <row r="915" spans="1:26" hidden="1" x14ac:dyDescent="0.3">
      <c r="A915" s="34">
        <v>45955</v>
      </c>
      <c r="B915" s="7" t="str">
        <f t="shared" si="194"/>
        <v>octubre</v>
      </c>
      <c r="C915" s="27">
        <v>100167</v>
      </c>
      <c r="D915" s="23" t="s">
        <v>20</v>
      </c>
      <c r="E915" s="206" t="s">
        <v>1768</v>
      </c>
      <c r="F915" s="22" t="s">
        <v>29</v>
      </c>
      <c r="G915" s="32" t="str">
        <f>IFERROR(VLOOKUP(F915,Productos!$A$2:$D$258,2,0)," ")</f>
        <v>Superficie  en L Caramelo 180x150cm x 70</v>
      </c>
      <c r="H915" s="7">
        <v>1</v>
      </c>
      <c r="I915" s="32" t="str">
        <f>IFERROR(VLOOKUP(F915,Productos!$A$2:$D$258,3,0)," ")</f>
        <v>Superficie</v>
      </c>
      <c r="J915" s="202" t="s">
        <v>21</v>
      </c>
      <c r="K915" s="205" t="s">
        <v>22</v>
      </c>
      <c r="L915" s="26" t="str">
        <f t="shared" si="195"/>
        <v>En alistamiento</v>
      </c>
      <c r="M915" s="56" t="s">
        <v>238</v>
      </c>
      <c r="N915" s="198"/>
      <c r="O915" s="150"/>
      <c r="P915" s="151"/>
      <c r="Q915" s="24" t="str">
        <f t="shared" si="188"/>
        <v>En transito</v>
      </c>
      <c r="R915" s="25" t="str">
        <f>IF(L915="Despachado",NETWORKDAYS.INTL(A915,O915,11,Valores!$A$2:$A$18)-1,"PTE")</f>
        <v>PTE</v>
      </c>
      <c r="S915" s="25" t="str">
        <f>IF(Q915="Entregado",NETWORKDAYS.INTL(A915,P915,11,Valores!$A$2:$A$18)-1,"PTE")</f>
        <v>PTE</v>
      </c>
      <c r="T915" s="25"/>
      <c r="U915" s="25"/>
      <c r="V915" s="25" t="str">
        <f>IF(Q915="Entregado",IF(S915&lt;=VLOOKUP(K915,Valores!E:F,2,0),"Cumple","No cumple"),"PTE")</f>
        <v>PTE</v>
      </c>
      <c r="W915" s="25"/>
      <c r="X915" s="29"/>
      <c r="Y915" s="224"/>
      <c r="Z915" s="28"/>
    </row>
    <row r="916" spans="1:26" hidden="1" x14ac:dyDescent="0.3">
      <c r="A916" s="34">
        <v>45955</v>
      </c>
      <c r="B916" s="7" t="str">
        <f t="shared" si="194"/>
        <v>octubre</v>
      </c>
      <c r="C916" s="27">
        <v>100167</v>
      </c>
      <c r="D916" s="23" t="s">
        <v>20</v>
      </c>
      <c r="E916" s="206" t="s">
        <v>1768</v>
      </c>
      <c r="F916" s="22" t="s">
        <v>240</v>
      </c>
      <c r="G916" s="32" t="str">
        <f>IFERROR(VLOOKUP(F916,Productos!$A$2:$D$258,2,0)," ")</f>
        <v>Bandeja de cables</v>
      </c>
      <c r="H916" s="7">
        <v>1</v>
      </c>
      <c r="I916" s="32" t="str">
        <f>IFERROR(VLOOKUP(F916,Productos!$A$2:$D$258,3,0)," ")</f>
        <v>Accesorio</v>
      </c>
      <c r="J916" s="202" t="s">
        <v>21</v>
      </c>
      <c r="K916" s="205" t="s">
        <v>22</v>
      </c>
      <c r="L916" s="26" t="str">
        <f t="shared" si="195"/>
        <v>En alistamiento</v>
      </c>
      <c r="M916" s="56" t="s">
        <v>238</v>
      </c>
      <c r="N916" s="198"/>
      <c r="O916" s="150"/>
      <c r="P916" s="151"/>
      <c r="Q916" s="24" t="str">
        <f t="shared" si="188"/>
        <v>En transito</v>
      </c>
      <c r="R916" s="25" t="str">
        <f>IF(L916="Despachado",NETWORKDAYS.INTL(A916,O916,11,Valores!$A$2:$A$18)-1,"PTE")</f>
        <v>PTE</v>
      </c>
      <c r="S916" s="25" t="str">
        <f>IF(Q916="Entregado",NETWORKDAYS.INTL(A916,P916,11,Valores!$A$2:$A$18)-1,"PTE")</f>
        <v>PTE</v>
      </c>
      <c r="T916" s="25"/>
      <c r="U916" s="25"/>
      <c r="V916" s="25" t="str">
        <f>IF(Q916="Entregado",IF(S916&lt;=VLOOKUP(K916,Valores!E:F,2,0),"Cumple","No cumple"),"PTE")</f>
        <v>PTE</v>
      </c>
      <c r="W916" s="25"/>
      <c r="X916" s="29"/>
      <c r="Y916" s="224"/>
      <c r="Z916" s="28"/>
    </row>
    <row r="917" spans="1:26" hidden="1" x14ac:dyDescent="0.3">
      <c r="A917" s="34">
        <v>45955</v>
      </c>
      <c r="B917" s="7" t="str">
        <f t="shared" ref="B917:B918" si="196">TEXT(A917,"mmmm")</f>
        <v>octubre</v>
      </c>
      <c r="C917" s="27">
        <v>100167</v>
      </c>
      <c r="D917" s="23" t="s">
        <v>20</v>
      </c>
      <c r="E917" s="206" t="s">
        <v>1768</v>
      </c>
      <c r="F917" s="22" t="s">
        <v>1670</v>
      </c>
      <c r="G917" s="32" t="str">
        <f>IFERROR(VLOOKUP(F917,Productos!$A$2:$D$258,2,0)," ")</f>
        <v>Repisa Escritorio Caramelo x 110cm</v>
      </c>
      <c r="H917" s="7">
        <v>1</v>
      </c>
      <c r="I917" s="32" t="str">
        <f>IFERROR(VLOOKUP(F917,Productos!$A$2:$D$258,3,0)," ")</f>
        <v>Repisa</v>
      </c>
      <c r="J917" s="202" t="s">
        <v>21</v>
      </c>
      <c r="K917" s="205" t="s">
        <v>22</v>
      </c>
      <c r="L917" s="26" t="str">
        <f t="shared" si="195"/>
        <v>En alistamiento</v>
      </c>
      <c r="M917" s="56" t="s">
        <v>238</v>
      </c>
      <c r="N917" s="198"/>
      <c r="O917" s="150"/>
      <c r="P917" s="151"/>
      <c r="Q917" s="24" t="str">
        <f t="shared" si="188"/>
        <v>En transito</v>
      </c>
      <c r="R917" s="25" t="str">
        <f>IF(L917="Despachado",NETWORKDAYS.INTL(A917,O917,11,Valores!$A$2:$A$18)-1,"PTE")</f>
        <v>PTE</v>
      </c>
      <c r="S917" s="25" t="str">
        <f>IF(Q917="Entregado",NETWORKDAYS.INTL(A917,P917,11,Valores!$A$2:$A$18)-1,"PTE")</f>
        <v>PTE</v>
      </c>
      <c r="T917" s="25"/>
      <c r="U917" s="25"/>
      <c r="V917" s="25" t="str">
        <f>IF(Q917="Entregado",IF(S917&lt;=VLOOKUP(K917,Valores!E:F,2,0),"Cumple","No cumple"),"PTE")</f>
        <v>PTE</v>
      </c>
      <c r="W917" s="25"/>
      <c r="X917" s="29"/>
      <c r="Y917" s="224"/>
      <c r="Z917" s="28"/>
    </row>
    <row r="918" spans="1:26" hidden="1" x14ac:dyDescent="0.3">
      <c r="A918" s="34">
        <v>45957</v>
      </c>
      <c r="B918" s="7" t="str">
        <f t="shared" si="196"/>
        <v>octubre</v>
      </c>
      <c r="C918" s="27">
        <v>100168</v>
      </c>
      <c r="D918" s="23" t="s">
        <v>20</v>
      </c>
      <c r="E918" s="206" t="s">
        <v>1769</v>
      </c>
      <c r="F918" s="22" t="s">
        <v>146</v>
      </c>
      <c r="G918" s="32" t="str">
        <f>IFERROR(VLOOKUP(F918,Productos!$A$2:$D$258,2,0)," ")</f>
        <v>Superficie  Caramelo 200x70 Clasico</v>
      </c>
      <c r="H918" s="7">
        <v>1</v>
      </c>
      <c r="I918" s="32" t="str">
        <f>IFERROR(VLOOKUP(F918,Productos!$A$2:$D$258,3,0)," ")</f>
        <v>Superficie</v>
      </c>
      <c r="J918" s="202" t="s">
        <v>21</v>
      </c>
      <c r="K918" s="205" t="s">
        <v>22</v>
      </c>
      <c r="L918" s="26" t="str">
        <f t="shared" ref="L918" si="197">IF(O918&gt;0,"Despachado","En alistamiento")</f>
        <v>En alistamiento</v>
      </c>
      <c r="M918" s="56" t="s">
        <v>238</v>
      </c>
      <c r="N918" s="198"/>
      <c r="O918" s="150"/>
      <c r="P918" s="151"/>
      <c r="Q918" s="24" t="str">
        <f t="shared" si="188"/>
        <v>En transito</v>
      </c>
      <c r="R918" s="25" t="str">
        <f>IF(L918="Despachado",NETWORKDAYS.INTL(A918,O918,11,Valores!$A$2:$A$18)-1,"PTE")</f>
        <v>PTE</v>
      </c>
      <c r="S918" s="25" t="str">
        <f>IF(Q918="Entregado",NETWORKDAYS.INTL(A918,P918,11,Valores!$A$2:$A$18)-1,"PTE")</f>
        <v>PTE</v>
      </c>
      <c r="T918" s="25"/>
      <c r="U918" s="25"/>
      <c r="V918" s="25" t="str">
        <f>IF(Q918="Entregado",IF(S918&lt;=VLOOKUP(K918,Valores!E:F,2,0),"Cumple","No cumple"),"PTE")</f>
        <v>PTE</v>
      </c>
      <c r="W918" s="25"/>
      <c r="X918" s="29"/>
      <c r="Y918" s="224"/>
      <c r="Z918" s="28"/>
    </row>
    <row r="919" spans="1:26" hidden="1" x14ac:dyDescent="0.3">
      <c r="A919" s="34">
        <v>45957</v>
      </c>
      <c r="B919" s="7" t="str">
        <f t="shared" ref="B919:B924" si="198">TEXT(A919,"mmmm")</f>
        <v>octubre</v>
      </c>
      <c r="C919" s="27">
        <v>100169</v>
      </c>
      <c r="D919" s="23" t="s">
        <v>20</v>
      </c>
      <c r="E919" s="206" t="s">
        <v>1770</v>
      </c>
      <c r="F919" s="22" t="s">
        <v>129</v>
      </c>
      <c r="G919" s="32" t="str">
        <f>IFERROR(VLOOKUP(F919,Productos!$A$2:$D$258,2,0)," ")</f>
        <v>Electric Standing Desk  PRO Negro</v>
      </c>
      <c r="H919" s="7">
        <v>1</v>
      </c>
      <c r="I919" s="32" t="str">
        <f>IFERROR(VLOOKUP(F919,Productos!$A$2:$D$258,3,0)," ")</f>
        <v>Standing Desk</v>
      </c>
      <c r="J919" s="205" t="s">
        <v>216</v>
      </c>
      <c r="K919" s="205" t="s">
        <v>196</v>
      </c>
      <c r="L919" s="26" t="str">
        <f t="shared" ref="L919:L925" si="199">IF(O919&gt;0,"Despachado","En alistamiento")</f>
        <v>En alistamiento</v>
      </c>
      <c r="M919" s="56" t="s">
        <v>519</v>
      </c>
      <c r="N919" s="198"/>
      <c r="O919" s="150"/>
      <c r="P919" s="151"/>
      <c r="Q919" s="24" t="str">
        <f t="shared" si="188"/>
        <v>En transito</v>
      </c>
      <c r="R919" s="25" t="str">
        <f>IF(L919="Despachado",NETWORKDAYS.INTL(A919,O919,11,Valores!$A$2:$A$18)-1,"PTE")</f>
        <v>PTE</v>
      </c>
      <c r="S919" s="25" t="str">
        <f>IF(Q919="Entregado",NETWORKDAYS.INTL(A919,P919,11,Valores!$A$2:$A$18)-1,"PTE")</f>
        <v>PTE</v>
      </c>
      <c r="T919" s="25"/>
      <c r="U919" s="25"/>
      <c r="V919" s="25" t="str">
        <f>IF(Q919="Entregado",IF(S919&lt;=VLOOKUP(K919,Valores!E:F,2,0),"Cumple","No cumple"),"PTE")</f>
        <v>PTE</v>
      </c>
      <c r="W919" s="25"/>
      <c r="X919" s="29"/>
      <c r="Y919" s="224"/>
      <c r="Z919" s="28"/>
    </row>
    <row r="920" spans="1:26" hidden="1" x14ac:dyDescent="0.3">
      <c r="A920" s="34">
        <v>45957</v>
      </c>
      <c r="B920" s="7" t="str">
        <f t="shared" si="198"/>
        <v>octubre</v>
      </c>
      <c r="C920" s="27">
        <v>100169</v>
      </c>
      <c r="D920" s="23" t="s">
        <v>20</v>
      </c>
      <c r="E920" s="206" t="s">
        <v>1770</v>
      </c>
      <c r="F920" s="22" t="s">
        <v>307</v>
      </c>
      <c r="G920" s="32" t="str">
        <f>IFERROR(VLOOKUP(F920,Productos!$A$2:$D$258,2,0)," ")</f>
        <v>Superficie  Fresno Europeo 180x70 Clasico</v>
      </c>
      <c r="H920" s="7">
        <v>1</v>
      </c>
      <c r="I920" s="32" t="str">
        <f>IFERROR(VLOOKUP(F920,Productos!$A$2:$D$258,3,0)," ")</f>
        <v>Superficie</v>
      </c>
      <c r="J920" s="205" t="s">
        <v>216</v>
      </c>
      <c r="K920" s="205" t="s">
        <v>196</v>
      </c>
      <c r="L920" s="26" t="str">
        <f t="shared" si="199"/>
        <v>En alistamiento</v>
      </c>
      <c r="M920" s="56" t="s">
        <v>519</v>
      </c>
      <c r="N920" s="198"/>
      <c r="O920" s="150"/>
      <c r="P920" s="151"/>
      <c r="Q920" s="24" t="str">
        <f t="shared" si="188"/>
        <v>En transito</v>
      </c>
      <c r="R920" s="25" t="str">
        <f>IF(L920="Despachado",NETWORKDAYS.INTL(A920,O920,11,Valores!$A$2:$A$18)-1,"PTE")</f>
        <v>PTE</v>
      </c>
      <c r="S920" s="25" t="str">
        <f>IF(Q920="Entregado",NETWORKDAYS.INTL(A920,P920,11,Valores!$A$2:$A$18)-1,"PTE")</f>
        <v>PTE</v>
      </c>
      <c r="T920" s="25"/>
      <c r="U920" s="25"/>
      <c r="V920" s="25" t="str">
        <f>IF(Q920="Entregado",IF(S920&lt;=VLOOKUP(K920,Valores!E:F,2,0),"Cumple","No cumple"),"PTE")</f>
        <v>PTE</v>
      </c>
      <c r="W920" s="25"/>
      <c r="X920" s="29"/>
      <c r="Y920" s="224"/>
      <c r="Z920" s="28"/>
    </row>
    <row r="921" spans="1:26" hidden="1" x14ac:dyDescent="0.3">
      <c r="A921" s="34">
        <v>45961</v>
      </c>
      <c r="B921" s="7" t="str">
        <f t="shared" si="198"/>
        <v>octubre</v>
      </c>
      <c r="C921" s="27">
        <v>100170</v>
      </c>
      <c r="D921" s="23" t="s">
        <v>20</v>
      </c>
      <c r="E921" s="206" t="s">
        <v>1771</v>
      </c>
      <c r="F921" s="22" t="s">
        <v>301</v>
      </c>
      <c r="G921" s="32" t="str">
        <f>IFERROR(VLOOKUP(F921,Productos!$A$2:$D$258,2,0)," ")</f>
        <v>Superficie  Fresno Europeo 120x70 Clasico Small</v>
      </c>
      <c r="H921" s="7">
        <v>1</v>
      </c>
      <c r="I921" s="32" t="str">
        <f>IFERROR(VLOOKUP(F921,Productos!$A$2:$D$258,3,0)," ")</f>
        <v>Superficie</v>
      </c>
      <c r="J921" s="205" t="s">
        <v>24</v>
      </c>
      <c r="K921" s="205" t="s">
        <v>25</v>
      </c>
      <c r="L921" s="26" t="str">
        <f t="shared" si="199"/>
        <v>En alistamiento</v>
      </c>
      <c r="M921" s="56" t="s">
        <v>238</v>
      </c>
      <c r="N921" s="198"/>
      <c r="O921" s="150"/>
      <c r="P921" s="151"/>
      <c r="Q921" s="24" t="str">
        <f t="shared" si="188"/>
        <v>En transito</v>
      </c>
      <c r="R921" s="25" t="str">
        <f>IF(L921="Despachado",NETWORKDAYS.INTL(A921,O921,11,Valores!$A$2:$A$18)-1,"PTE")</f>
        <v>PTE</v>
      </c>
      <c r="S921" s="25" t="str">
        <f>IF(Q921="Entregado",NETWORKDAYS.INTL(A921,P921,11,Valores!$A$2:$A$18)-1,"PTE")</f>
        <v>PTE</v>
      </c>
      <c r="T921" s="25"/>
      <c r="U921" s="25"/>
      <c r="V921" s="25" t="str">
        <f>IF(Q921="Entregado",IF(S921&lt;=VLOOKUP(K921,Valores!E:F,2,0),"Cumple","No cumple"),"PTE")</f>
        <v>PTE</v>
      </c>
      <c r="W921" s="25"/>
      <c r="X921" s="29"/>
      <c r="Y921" s="224"/>
      <c r="Z921" s="28"/>
    </row>
    <row r="922" spans="1:26" hidden="1" x14ac:dyDescent="0.3">
      <c r="A922" s="34">
        <v>45961</v>
      </c>
      <c r="B922" s="7" t="str">
        <f t="shared" si="198"/>
        <v>octubre</v>
      </c>
      <c r="C922" s="27">
        <v>100170</v>
      </c>
      <c r="D922" s="23" t="s">
        <v>20</v>
      </c>
      <c r="E922" s="206" t="s">
        <v>1771</v>
      </c>
      <c r="F922" s="22" t="s">
        <v>308</v>
      </c>
      <c r="G922" s="32" t="str">
        <f>IFERROR(VLOOKUP(F922,Productos!$A$2:$D$258,2,0)," ")</f>
        <v>Repisa TECU Fresno Europeo</v>
      </c>
      <c r="H922" s="7">
        <v>1</v>
      </c>
      <c r="I922" s="32" t="str">
        <f>IFERROR(VLOOKUP(F922,Productos!$A$2:$D$258,3,0)," ")</f>
        <v>Repisa</v>
      </c>
      <c r="J922" s="205" t="s">
        <v>24</v>
      </c>
      <c r="K922" s="205" t="s">
        <v>25</v>
      </c>
      <c r="L922" s="26" t="str">
        <f t="shared" si="199"/>
        <v>En alistamiento</v>
      </c>
      <c r="M922" s="56" t="s">
        <v>238</v>
      </c>
      <c r="N922" s="198"/>
      <c r="O922" s="150"/>
      <c r="P922" s="151"/>
      <c r="Q922" s="24" t="str">
        <f t="shared" si="188"/>
        <v>En transito</v>
      </c>
      <c r="R922" s="25" t="str">
        <f>IF(L922="Despachado",NETWORKDAYS.INTL(A922,O922,11,Valores!$A$2:$A$18)-1,"PTE")</f>
        <v>PTE</v>
      </c>
      <c r="S922" s="25" t="str">
        <f>IF(Q922="Entregado",NETWORKDAYS.INTL(A922,P922,11,Valores!$A$2:$A$18)-1,"PTE")</f>
        <v>PTE</v>
      </c>
      <c r="T922" s="25"/>
      <c r="U922" s="25"/>
      <c r="V922" s="25" t="str">
        <f>IF(Q922="Entregado",IF(S922&lt;=VLOOKUP(K922,Valores!E:F,2,0),"Cumple","No cumple"),"PTE")</f>
        <v>PTE</v>
      </c>
      <c r="W922" s="25"/>
      <c r="X922" s="29"/>
      <c r="Y922" s="224"/>
      <c r="Z922" s="28"/>
    </row>
    <row r="923" spans="1:26" hidden="1" x14ac:dyDescent="0.3">
      <c r="A923" s="34">
        <v>45961</v>
      </c>
      <c r="B923" s="7" t="str">
        <f t="shared" si="198"/>
        <v>octubre</v>
      </c>
      <c r="C923" s="27">
        <v>100172</v>
      </c>
      <c r="D923" s="23" t="s">
        <v>20</v>
      </c>
      <c r="E923" s="206" t="s">
        <v>1772</v>
      </c>
      <c r="F923" s="22" t="s">
        <v>129</v>
      </c>
      <c r="G923" s="32" t="str">
        <f>IFERROR(VLOOKUP(F923,Productos!$A$2:$D$258,2,0)," ")</f>
        <v>Electric Standing Desk  PRO Negro</v>
      </c>
      <c r="H923" s="7">
        <v>1</v>
      </c>
      <c r="I923" s="32" t="str">
        <f>IFERROR(VLOOKUP(F923,Productos!$A$2:$D$258,3,0)," ")</f>
        <v>Standing Desk</v>
      </c>
      <c r="J923" s="205" t="s">
        <v>1423</v>
      </c>
      <c r="K923" s="205" t="s">
        <v>41</v>
      </c>
      <c r="L923" s="26" t="str">
        <f t="shared" si="199"/>
        <v>En alistamiento</v>
      </c>
      <c r="M923" s="56" t="s">
        <v>238</v>
      </c>
      <c r="N923" s="198"/>
      <c r="O923" s="150"/>
      <c r="P923" s="151"/>
      <c r="Q923" s="24" t="str">
        <f t="shared" si="188"/>
        <v>En transito</v>
      </c>
      <c r="R923" s="25" t="str">
        <f>IF(L923="Despachado",NETWORKDAYS.INTL(A923,O923,11,Valores!$A$2:$A$18)-1,"PTE")</f>
        <v>PTE</v>
      </c>
      <c r="S923" s="25" t="str">
        <f>IF(Q923="Entregado",NETWORKDAYS.INTL(A923,P923,11,Valores!$A$2:$A$18)-1,"PTE")</f>
        <v>PTE</v>
      </c>
      <c r="T923" s="25"/>
      <c r="U923" s="25"/>
      <c r="V923" s="25" t="str">
        <f>IF(Q923="Entregado",IF(S923&lt;=VLOOKUP(K923,Valores!E:F,2,0),"Cumple","No cumple"),"PTE")</f>
        <v>PTE</v>
      </c>
      <c r="W923" s="25"/>
      <c r="X923" s="29"/>
      <c r="Y923" s="224"/>
      <c r="Z923" s="28"/>
    </row>
    <row r="924" spans="1:26" hidden="1" x14ac:dyDescent="0.3">
      <c r="A924" s="34">
        <v>45961</v>
      </c>
      <c r="B924" s="7" t="str">
        <f t="shared" si="198"/>
        <v>octubre</v>
      </c>
      <c r="C924" s="27">
        <v>100172</v>
      </c>
      <c r="D924" s="23" t="s">
        <v>20</v>
      </c>
      <c r="E924" s="206" t="s">
        <v>1772</v>
      </c>
      <c r="F924" s="22" t="s">
        <v>33</v>
      </c>
      <c r="G924" s="32" t="str">
        <f>IFERROR(VLOOKUP(F924,Productos!$A$2:$D$258,2,0)," ")</f>
        <v>Superficie  Caramelo 180x70 Clasico</v>
      </c>
      <c r="H924" s="7">
        <v>1</v>
      </c>
      <c r="I924" s="32" t="str">
        <f>IFERROR(VLOOKUP(F924,Productos!$A$2:$D$258,3,0)," ")</f>
        <v>Superficie</v>
      </c>
      <c r="J924" s="205" t="s">
        <v>1423</v>
      </c>
      <c r="K924" s="205" t="s">
        <v>41</v>
      </c>
      <c r="L924" s="26" t="str">
        <f t="shared" si="199"/>
        <v>En alistamiento</v>
      </c>
      <c r="M924" s="56" t="s">
        <v>238</v>
      </c>
      <c r="N924" s="198"/>
      <c r="O924" s="150"/>
      <c r="P924" s="151"/>
      <c r="Q924" s="24" t="str">
        <f t="shared" si="188"/>
        <v>En transito</v>
      </c>
      <c r="R924" s="25" t="str">
        <f>IF(L924="Despachado",NETWORKDAYS.INTL(A924,O924,11,Valores!$A$2:$A$18)-1,"PTE")</f>
        <v>PTE</v>
      </c>
      <c r="S924" s="25" t="str">
        <f>IF(Q924="Entregado",NETWORKDAYS.INTL(A924,P924,11,Valores!$A$2:$A$18)-1,"PTE")</f>
        <v>PTE</v>
      </c>
      <c r="T924" s="25"/>
      <c r="U924" s="25"/>
      <c r="V924" s="25" t="str">
        <f>IF(Q924="Entregado",IF(S924&lt;=VLOOKUP(K924,Valores!E:F,2,0),"Cumple","No cumple"),"PTE")</f>
        <v>PTE</v>
      </c>
      <c r="W924" s="25"/>
      <c r="X924" s="29"/>
      <c r="Y924" s="224"/>
      <c r="Z924" s="28"/>
    </row>
    <row r="925" spans="1:26" hidden="1" x14ac:dyDescent="0.3">
      <c r="A925" s="34">
        <v>45961</v>
      </c>
      <c r="B925" s="7" t="str">
        <f t="shared" ref="B925:B927" si="200">TEXT(A925,"mmmm")</f>
        <v>octubre</v>
      </c>
      <c r="C925" s="27">
        <v>100173</v>
      </c>
      <c r="D925" s="23" t="s">
        <v>20</v>
      </c>
      <c r="E925" s="206" t="s">
        <v>1773</v>
      </c>
      <c r="F925" s="22" t="s">
        <v>1642</v>
      </c>
      <c r="G925" s="32" t="str">
        <f>IFERROR(VLOOKUP(F925,Productos!$A$2:$D$258,2,0)," ")</f>
        <v>Cajonero 2.0 Unicolor Fresno Europeo x65cm</v>
      </c>
      <c r="H925" s="7">
        <v>1</v>
      </c>
      <c r="I925" s="32" t="str">
        <f>IFERROR(VLOOKUP(F925,Productos!$A$2:$D$258,3,0)," ")</f>
        <v>Archivador</v>
      </c>
      <c r="J925" s="202" t="s">
        <v>21</v>
      </c>
      <c r="K925" s="205" t="s">
        <v>22</v>
      </c>
      <c r="L925" s="26" t="str">
        <f t="shared" si="199"/>
        <v>En alistamiento</v>
      </c>
      <c r="M925" s="56" t="s">
        <v>239</v>
      </c>
      <c r="N925" s="198"/>
      <c r="O925" s="150"/>
      <c r="P925" s="151"/>
      <c r="Q925" s="24" t="str">
        <f t="shared" si="188"/>
        <v>En transito</v>
      </c>
      <c r="R925" s="25" t="str">
        <f>IF(L925="Despachado",NETWORKDAYS.INTL(A925,O925,11,Valores!$A$2:$A$18)-1,"PTE")</f>
        <v>PTE</v>
      </c>
      <c r="S925" s="25" t="str">
        <f>IF(Q925="Entregado",NETWORKDAYS.INTL(A925,P925,11,Valores!$A$2:$A$18)-1,"PTE")</f>
        <v>PTE</v>
      </c>
      <c r="T925" s="25"/>
      <c r="U925" s="25"/>
      <c r="V925" s="25" t="str">
        <f>IF(Q925="Entregado",IF(S925&lt;=VLOOKUP(K925,Valores!E:F,2,0),"Cumple","No cumple"),"PTE")</f>
        <v>PTE</v>
      </c>
      <c r="W925" s="25"/>
      <c r="X925" s="29"/>
      <c r="Y925" s="224"/>
      <c r="Z925" s="28"/>
    </row>
    <row r="926" spans="1:26" hidden="1" x14ac:dyDescent="0.3">
      <c r="A926" s="34">
        <v>45963</v>
      </c>
      <c r="B926" s="7" t="str">
        <f t="shared" si="200"/>
        <v>noviembre</v>
      </c>
      <c r="C926" s="27">
        <v>100174</v>
      </c>
      <c r="D926" s="23" t="s">
        <v>20</v>
      </c>
      <c r="E926" s="206" t="s">
        <v>1774</v>
      </c>
      <c r="F926" s="22" t="s">
        <v>123</v>
      </c>
      <c r="G926" s="32" t="str">
        <f>IFERROR(VLOOKUP(F926,Productos!$A$2:$D$258,2,0)," ")</f>
        <v>Electric Standing Desk GO Negro</v>
      </c>
      <c r="H926" s="7">
        <v>1</v>
      </c>
      <c r="I926" s="32" t="str">
        <f>IFERROR(VLOOKUP(F926,Productos!$A$2:$D$258,3,0)," ")</f>
        <v>Standing Desk</v>
      </c>
      <c r="J926" s="205" t="s">
        <v>24</v>
      </c>
      <c r="K926" s="205" t="s">
        <v>25</v>
      </c>
      <c r="L926" s="26" t="str">
        <f t="shared" ref="L926:L927" si="201">IF(O926&gt;0,"Despachado","En alistamiento")</f>
        <v>En alistamiento</v>
      </c>
      <c r="M926" s="56" t="s">
        <v>238</v>
      </c>
      <c r="N926" s="198"/>
      <c r="O926" s="150"/>
      <c r="P926" s="151"/>
      <c r="Q926" s="24" t="str">
        <f t="shared" si="188"/>
        <v>En transito</v>
      </c>
      <c r="R926" s="25" t="str">
        <f>IF(L926="Despachado",NETWORKDAYS.INTL(A926,O926,11,Valores!$A$2:$A$18)-1,"PTE")</f>
        <v>PTE</v>
      </c>
      <c r="S926" s="25" t="str">
        <f>IF(Q926="Entregado",NETWORKDAYS.INTL(A926,P926,11,Valores!$A$2:$A$18)-1,"PTE")</f>
        <v>PTE</v>
      </c>
      <c r="T926" s="25"/>
      <c r="U926" s="25"/>
      <c r="V926" s="25" t="str">
        <f>IF(Q926="Entregado",IF(S926&lt;=VLOOKUP(K926,Valores!E:F,2,0),"Cumple","No cumple"),"PTE")</f>
        <v>PTE</v>
      </c>
      <c r="W926" s="25"/>
      <c r="X926" s="29"/>
      <c r="Y926" s="224"/>
      <c r="Z926" s="28"/>
    </row>
    <row r="927" spans="1:26" hidden="1" x14ac:dyDescent="0.3">
      <c r="A927" s="34">
        <v>45963</v>
      </c>
      <c r="B927" s="7" t="str">
        <f t="shared" si="200"/>
        <v>noviembre</v>
      </c>
      <c r="C927" s="27">
        <v>100174</v>
      </c>
      <c r="D927" s="23" t="s">
        <v>20</v>
      </c>
      <c r="E927" s="206" t="s">
        <v>1774</v>
      </c>
      <c r="F927" s="22" t="s">
        <v>144</v>
      </c>
      <c r="G927" s="32" t="str">
        <f>IFERROR(VLOOKUP(F927,Productos!$A$2:$D$258,2,0)," ")</f>
        <v>Superficie  Caramelo 170x70 Clasico</v>
      </c>
      <c r="H927" s="7">
        <v>1</v>
      </c>
      <c r="I927" s="32" t="str">
        <f>IFERROR(VLOOKUP(F927,Productos!$A$2:$D$258,3,0)," ")</f>
        <v>Superficie</v>
      </c>
      <c r="J927" s="205" t="s">
        <v>24</v>
      </c>
      <c r="K927" s="205" t="s">
        <v>25</v>
      </c>
      <c r="L927" s="26" t="str">
        <f t="shared" si="201"/>
        <v>En alistamiento</v>
      </c>
      <c r="M927" s="56" t="s">
        <v>238</v>
      </c>
      <c r="N927" s="198"/>
      <c r="O927" s="150"/>
      <c r="P927" s="151"/>
      <c r="Q927" s="24" t="str">
        <f t="shared" si="188"/>
        <v>En transito</v>
      </c>
      <c r="R927" s="25" t="str">
        <f>IF(L927="Despachado",NETWORKDAYS.INTL(A927,O927,11,Valores!$A$2:$A$18)-1,"PTE")</f>
        <v>PTE</v>
      </c>
      <c r="S927" s="25" t="str">
        <f>IF(Q927="Entregado",NETWORKDAYS.INTL(A927,P927,11,Valores!$A$2:$A$18)-1,"PTE")</f>
        <v>PTE</v>
      </c>
      <c r="T927" s="25"/>
      <c r="U927" s="25"/>
      <c r="V927" s="25" t="str">
        <f>IF(Q927="Entregado",IF(S927&lt;=VLOOKUP(K927,Valores!E:F,2,0),"Cumple","No cumple"),"PTE")</f>
        <v>PTE</v>
      </c>
      <c r="W927" s="25"/>
      <c r="X927" s="29"/>
      <c r="Y927" s="224"/>
      <c r="Z927" s="28"/>
    </row>
    <row r="928" spans="1:26" hidden="1" x14ac:dyDescent="0.3">
      <c r="A928" s="34">
        <v>45963</v>
      </c>
      <c r="B928" s="7" t="str">
        <f t="shared" ref="B928:B931" si="202">TEXT(A928,"mmmm")</f>
        <v>noviembre</v>
      </c>
      <c r="C928" s="27">
        <v>100174</v>
      </c>
      <c r="D928" s="23" t="s">
        <v>20</v>
      </c>
      <c r="E928" s="206" t="s">
        <v>1774</v>
      </c>
      <c r="F928" s="22" t="s">
        <v>1670</v>
      </c>
      <c r="G928" s="32" t="str">
        <f>IFERROR(VLOOKUP(F928,Productos!$A$2:$D$258,2,0)," ")</f>
        <v>Repisa Escritorio Caramelo x 110cm</v>
      </c>
      <c r="H928" s="7">
        <v>1</v>
      </c>
      <c r="I928" s="32" t="str">
        <f>IFERROR(VLOOKUP(F928,Productos!$A$2:$D$258,3,0)," ")</f>
        <v>Repisa</v>
      </c>
      <c r="J928" s="205" t="s">
        <v>24</v>
      </c>
      <c r="K928" s="205" t="s">
        <v>25</v>
      </c>
      <c r="L928" s="26" t="str">
        <f t="shared" ref="L928:L931" si="203">IF(O928&gt;0,"Despachado","En alistamiento")</f>
        <v>En alistamiento</v>
      </c>
      <c r="M928" s="56" t="s">
        <v>238</v>
      </c>
      <c r="N928" s="198"/>
      <c r="O928" s="150"/>
      <c r="P928" s="151"/>
      <c r="Q928" s="24" t="str">
        <f t="shared" si="188"/>
        <v>En transito</v>
      </c>
      <c r="R928" s="25" t="str">
        <f>IF(L928="Despachado",NETWORKDAYS.INTL(A928,O928,11,Valores!$A$2:$A$18)-1,"PTE")</f>
        <v>PTE</v>
      </c>
      <c r="S928" s="25" t="str">
        <f>IF(Q928="Entregado",NETWORKDAYS.INTL(A928,P928,11,Valores!$A$2:$A$18)-1,"PTE")</f>
        <v>PTE</v>
      </c>
      <c r="T928" s="25"/>
      <c r="U928" s="25"/>
      <c r="V928" s="25" t="str">
        <f>IF(Q928="Entregado",IF(S928&lt;=VLOOKUP(K928,Valores!E:F,2,0),"Cumple","No cumple"),"PTE")</f>
        <v>PTE</v>
      </c>
      <c r="W928" s="25"/>
      <c r="X928" s="29"/>
      <c r="Y928" s="224"/>
      <c r="Z928" s="28"/>
    </row>
    <row r="929" spans="1:26" hidden="1" x14ac:dyDescent="0.3">
      <c r="A929" s="34">
        <v>45963</v>
      </c>
      <c r="B929" s="7" t="str">
        <f t="shared" si="202"/>
        <v>noviembre</v>
      </c>
      <c r="C929" s="27">
        <v>100174</v>
      </c>
      <c r="D929" s="23" t="s">
        <v>20</v>
      </c>
      <c r="E929" s="206" t="s">
        <v>1774</v>
      </c>
      <c r="F929" s="22" t="s">
        <v>240</v>
      </c>
      <c r="G929" s="32" t="str">
        <f>IFERROR(VLOOKUP(F929,Productos!$A$2:$D$258,2,0)," ")</f>
        <v>Bandeja de cables</v>
      </c>
      <c r="H929" s="7">
        <v>1</v>
      </c>
      <c r="I929" s="32" t="str">
        <f>IFERROR(VLOOKUP(F929,Productos!$A$2:$D$258,3,0)," ")</f>
        <v>Accesorio</v>
      </c>
      <c r="J929" s="205" t="s">
        <v>24</v>
      </c>
      <c r="K929" s="205" t="s">
        <v>25</v>
      </c>
      <c r="L929" s="26" t="str">
        <f t="shared" si="203"/>
        <v>En alistamiento</v>
      </c>
      <c r="M929" s="56" t="s">
        <v>238</v>
      </c>
      <c r="N929" s="198"/>
      <c r="O929" s="150"/>
      <c r="P929" s="151"/>
      <c r="Q929" s="24" t="str">
        <f t="shared" si="188"/>
        <v>En transito</v>
      </c>
      <c r="R929" s="25" t="str">
        <f>IF(L929="Despachado",NETWORKDAYS.INTL(A929,O929,11,Valores!$A$2:$A$18)-1,"PTE")</f>
        <v>PTE</v>
      </c>
      <c r="S929" s="25" t="str">
        <f>IF(Q929="Entregado",NETWORKDAYS.INTL(A929,P929,11,Valores!$A$2:$A$18)-1,"PTE")</f>
        <v>PTE</v>
      </c>
      <c r="T929" s="25"/>
      <c r="U929" s="25"/>
      <c r="V929" s="25" t="str">
        <f>IF(Q929="Entregado",IF(S929&lt;=VLOOKUP(K929,Valores!E:F,2,0),"Cumple","No cumple"),"PTE")</f>
        <v>PTE</v>
      </c>
      <c r="W929" s="25"/>
      <c r="X929" s="29"/>
      <c r="Y929" s="224"/>
      <c r="Z929" s="28"/>
    </row>
    <row r="930" spans="1:26" hidden="1" x14ac:dyDescent="0.3">
      <c r="A930" s="34">
        <v>45963</v>
      </c>
      <c r="B930" s="7" t="str">
        <f t="shared" si="202"/>
        <v>noviembre</v>
      </c>
      <c r="C930" s="27">
        <v>100174</v>
      </c>
      <c r="D930" s="23" t="s">
        <v>20</v>
      </c>
      <c r="E930" s="206" t="s">
        <v>1774</v>
      </c>
      <c r="F930" s="22"/>
      <c r="G930" s="32" t="s">
        <v>1796</v>
      </c>
      <c r="H930" s="7">
        <v>1</v>
      </c>
      <c r="I930" s="32" t="s">
        <v>327</v>
      </c>
      <c r="J930" s="205" t="s">
        <v>24</v>
      </c>
      <c r="K930" s="205" t="s">
        <v>25</v>
      </c>
      <c r="L930" s="26" t="str">
        <f t="shared" si="203"/>
        <v>Despachado</v>
      </c>
      <c r="M930" s="56" t="s">
        <v>241</v>
      </c>
      <c r="N930" s="218" t="s">
        <v>241</v>
      </c>
      <c r="O930" s="219" t="s">
        <v>241</v>
      </c>
      <c r="P930" s="220" t="s">
        <v>241</v>
      </c>
      <c r="Q930" s="24" t="str">
        <f t="shared" si="188"/>
        <v>Entregado</v>
      </c>
      <c r="R930" s="25" t="e">
        <f>IF(L930="Despachado",NETWORKDAYS.INTL(A930,O930,11,Valores!$A$2:$A$18)-1,"PTE")</f>
        <v>#VALUE!</v>
      </c>
      <c r="S930" s="25" t="e">
        <f>IF(Q930="Entregado",NETWORKDAYS.INTL(A930,P930,11,Valores!$A$2:$A$18)-1,"PTE")</f>
        <v>#VALUE!</v>
      </c>
      <c r="T930" s="25"/>
      <c r="U930" s="25"/>
      <c r="V930" s="25" t="e">
        <f>IF(Q930="Entregado",IF(S930&lt;=VLOOKUP(K930,Valores!E:F,2,0),"Cumple","No cumple"),"PTE")</f>
        <v>#VALUE!</v>
      </c>
      <c r="W930" s="25"/>
      <c r="X930" s="29"/>
      <c r="Y930" s="224"/>
      <c r="Z930" s="28"/>
    </row>
    <row r="931" spans="1:26" hidden="1" x14ac:dyDescent="0.3">
      <c r="A931" s="34">
        <v>45967</v>
      </c>
      <c r="B931" s="7" t="str">
        <f t="shared" si="202"/>
        <v>noviembre</v>
      </c>
      <c r="C931" s="27">
        <v>100175</v>
      </c>
      <c r="D931" s="23" t="s">
        <v>20</v>
      </c>
      <c r="E931" s="206" t="s">
        <v>1447</v>
      </c>
      <c r="F931" s="22" t="s">
        <v>89</v>
      </c>
      <c r="G931" s="32" t="str">
        <f>IFERROR(VLOOKUP(F931,Productos!$A$2:$D$258,2,0)," ")</f>
        <v>Desk Stool Gris Silla ajustable</v>
      </c>
      <c r="H931" s="7">
        <v>1</v>
      </c>
      <c r="I931" s="32" t="str">
        <f>IFERROR(VLOOKUP(F931,Productos!$A$2:$D$258,3,0)," ")</f>
        <v>Silla</v>
      </c>
      <c r="J931" s="202" t="s">
        <v>21</v>
      </c>
      <c r="K931" s="205" t="s">
        <v>22</v>
      </c>
      <c r="L931" s="26" t="str">
        <f t="shared" si="203"/>
        <v>En alistamiento</v>
      </c>
      <c r="M931" s="56"/>
      <c r="N931" s="198"/>
      <c r="O931" s="150"/>
      <c r="P931" s="151"/>
      <c r="Q931" s="24" t="str">
        <f t="shared" si="188"/>
        <v>En transito</v>
      </c>
      <c r="R931" s="25" t="str">
        <f>IF(L931="Despachado",NETWORKDAYS.INTL(A931,O931,11,Valores!$A$2:$A$18)-1,"PTE")</f>
        <v>PTE</v>
      </c>
      <c r="S931" s="25" t="str">
        <f>IF(Q931="Entregado",NETWORKDAYS.INTL(A931,P931,11,Valores!$A$2:$A$18)-1,"PTE")</f>
        <v>PTE</v>
      </c>
      <c r="T931" s="25"/>
      <c r="U931" s="25"/>
      <c r="V931" s="25" t="str">
        <f>IF(Q931="Entregado",IF(S931&lt;=VLOOKUP(K931,Valores!E:F,2,0),"Cumple","No cumple"),"PTE")</f>
        <v>PTE</v>
      </c>
      <c r="W931" s="25"/>
      <c r="X931" s="29"/>
      <c r="Y931" s="224"/>
      <c r="Z931" s="28"/>
    </row>
    <row r="932" spans="1:26" hidden="1" x14ac:dyDescent="0.3">
      <c r="A932" s="34">
        <v>45967</v>
      </c>
      <c r="B932" s="7" t="str">
        <f t="shared" ref="B932:B933" si="204">TEXT(A932,"mmmm")</f>
        <v>noviembre</v>
      </c>
      <c r="C932" s="27">
        <v>100176</v>
      </c>
      <c r="D932" s="23" t="s">
        <v>20</v>
      </c>
      <c r="E932" s="206" t="s">
        <v>1447</v>
      </c>
      <c r="F932" s="22" t="s">
        <v>89</v>
      </c>
      <c r="G932" s="32" t="str">
        <f>IFERROR(VLOOKUP(F932,Productos!$A$2:$D$258,2,0)," ")</f>
        <v>Desk Stool Gris Silla ajustable</v>
      </c>
      <c r="H932" s="7">
        <v>2</v>
      </c>
      <c r="I932" s="32" t="str">
        <f>IFERROR(VLOOKUP(F932,Productos!$A$2:$D$258,3,0)," ")</f>
        <v>Silla</v>
      </c>
      <c r="J932" s="205" t="s">
        <v>188</v>
      </c>
      <c r="K932" s="205" t="s">
        <v>1410</v>
      </c>
      <c r="L932" s="26" t="str">
        <f t="shared" ref="L932:L933" si="205">IF(O932&gt;0,"Despachado","En alistamiento")</f>
        <v>En alistamiento</v>
      </c>
      <c r="M932" s="56"/>
      <c r="N932" s="198"/>
      <c r="O932" s="150"/>
      <c r="P932" s="151"/>
      <c r="Q932" s="24" t="str">
        <f t="shared" si="188"/>
        <v>En transito</v>
      </c>
      <c r="R932" s="25" t="str">
        <f>IF(L932="Despachado",NETWORKDAYS.INTL(A932,O932,11,Valores!$A$2:$A$18)-1,"PTE")</f>
        <v>PTE</v>
      </c>
      <c r="S932" s="25" t="str">
        <f>IF(Q932="Entregado",NETWORKDAYS.INTL(A932,P932,11,Valores!$A$2:$A$18)-1,"PTE")</f>
        <v>PTE</v>
      </c>
      <c r="T932" s="25"/>
      <c r="U932" s="25"/>
      <c r="V932" s="25" t="str">
        <f>IF(Q932="Entregado",IF(S932&lt;=VLOOKUP(K932,Valores!E:F,2,0),"Cumple","No cumple"),"PTE")</f>
        <v>PTE</v>
      </c>
      <c r="W932" s="25"/>
      <c r="X932" s="29"/>
      <c r="Y932" s="224"/>
      <c r="Z932" s="28"/>
    </row>
    <row r="933" spans="1:26" hidden="1" x14ac:dyDescent="0.3">
      <c r="A933" s="34">
        <v>45968</v>
      </c>
      <c r="B933" s="7" t="str">
        <f t="shared" si="204"/>
        <v>noviembre</v>
      </c>
      <c r="C933" s="27">
        <v>100177</v>
      </c>
      <c r="D933" s="23" t="s">
        <v>20</v>
      </c>
      <c r="E933" s="206" t="s">
        <v>1775</v>
      </c>
      <c r="F933" s="22" t="s">
        <v>1678</v>
      </c>
      <c r="G933" s="32" t="str">
        <f>IFERROR(VLOOKUP(F933,Productos!$A$2:$D$258,2,0)," ")</f>
        <v>Repisa Escritorio Caramelo x 80cm</v>
      </c>
      <c r="H933" s="7">
        <v>1</v>
      </c>
      <c r="I933" s="32" t="str">
        <f>IFERROR(VLOOKUP(F933,Productos!$A$2:$D$258,3,0)," ")</f>
        <v>Repisa</v>
      </c>
      <c r="J933" s="202" t="s">
        <v>21</v>
      </c>
      <c r="K933" s="205" t="s">
        <v>22</v>
      </c>
      <c r="L933" s="26" t="str">
        <f t="shared" si="205"/>
        <v>En alistamiento</v>
      </c>
      <c r="M933" s="56"/>
      <c r="N933" s="198"/>
      <c r="O933" s="150"/>
      <c r="P933" s="151"/>
      <c r="Q933" s="24" t="str">
        <f t="shared" si="188"/>
        <v>En transito</v>
      </c>
      <c r="R933" s="25" t="str">
        <f>IF(L933="Despachado",NETWORKDAYS.INTL(A933,O933,11,Valores!$A$2:$A$18)-1,"PTE")</f>
        <v>PTE</v>
      </c>
      <c r="S933" s="25" t="str">
        <f>IF(Q933="Entregado",NETWORKDAYS.INTL(A933,P933,11,Valores!$A$2:$A$18)-1,"PTE")</f>
        <v>PTE</v>
      </c>
      <c r="T933" s="25"/>
      <c r="U933" s="25"/>
      <c r="V933" s="25" t="str">
        <f>IF(Q933="Entregado",IF(S933&lt;=VLOOKUP(K933,Valores!E:F,2,0),"Cumple","No cumple"),"PTE")</f>
        <v>PTE</v>
      </c>
      <c r="W933" s="25"/>
      <c r="X933" s="29"/>
      <c r="Y933" s="224"/>
      <c r="Z933" s="28"/>
    </row>
    <row r="934" spans="1:26" hidden="1" x14ac:dyDescent="0.3">
      <c r="A934" s="34">
        <v>45968</v>
      </c>
      <c r="B934" s="7" t="str">
        <f t="shared" ref="B934:B935" si="206">TEXT(A934,"mmmm")</f>
        <v>noviembre</v>
      </c>
      <c r="C934" s="27">
        <v>100178</v>
      </c>
      <c r="D934" s="23" t="s">
        <v>20</v>
      </c>
      <c r="E934" s="206" t="s">
        <v>1776</v>
      </c>
      <c r="F934" s="22" t="s">
        <v>1672</v>
      </c>
      <c r="G934" s="32" t="str">
        <f>IFERROR(VLOOKUP(F934,Productos!$A$2:$D$258,2,0)," ")</f>
        <v>Repisa Escritorio Fresno Europeo x 110cm</v>
      </c>
      <c r="H934" s="7">
        <v>1</v>
      </c>
      <c r="I934" s="32" t="str">
        <f>IFERROR(VLOOKUP(F934,Productos!$A$2:$D$258,3,0)," ")</f>
        <v>Repisa</v>
      </c>
      <c r="J934" s="202" t="s">
        <v>21</v>
      </c>
      <c r="K934" s="205" t="s">
        <v>830</v>
      </c>
      <c r="L934" s="26" t="str">
        <f t="shared" ref="L934:L939" si="207">IF(O934&gt;0,"Despachado","En alistamiento")</f>
        <v>En alistamiento</v>
      </c>
      <c r="M934" s="56"/>
      <c r="N934" s="198"/>
      <c r="O934" s="150"/>
      <c r="P934" s="151"/>
      <c r="Q934" s="24" t="str">
        <f t="shared" si="188"/>
        <v>En transito</v>
      </c>
      <c r="R934" s="25" t="str">
        <f>IF(L934="Despachado",NETWORKDAYS.INTL(A934,O934,11,Valores!$A$2:$A$18)-1,"PTE")</f>
        <v>PTE</v>
      </c>
      <c r="S934" s="25" t="str">
        <f>IF(Q934="Entregado",NETWORKDAYS.INTL(A934,P934,11,Valores!$A$2:$A$18)-1,"PTE")</f>
        <v>PTE</v>
      </c>
      <c r="T934" s="25"/>
      <c r="U934" s="25"/>
      <c r="V934" s="25" t="str">
        <f>IF(Q934="Entregado",IF(S934&lt;=VLOOKUP(K934,Valores!E:F,2,0),"Cumple","No cumple"),"PTE")</f>
        <v>PTE</v>
      </c>
      <c r="W934" s="25"/>
      <c r="X934" s="29"/>
      <c r="Y934" s="224"/>
      <c r="Z934" s="28"/>
    </row>
    <row r="935" spans="1:26" hidden="1" x14ac:dyDescent="0.3">
      <c r="A935" s="34">
        <v>45969</v>
      </c>
      <c r="B935" s="7" t="str">
        <f t="shared" si="206"/>
        <v>noviembre</v>
      </c>
      <c r="C935" s="27">
        <v>100179</v>
      </c>
      <c r="D935" s="23" t="s">
        <v>20</v>
      </c>
      <c r="E935" s="206" t="s">
        <v>1777</v>
      </c>
      <c r="F935" s="22" t="s">
        <v>129</v>
      </c>
      <c r="G935" s="32" t="str">
        <f>IFERROR(VLOOKUP(F935,Productos!$A$2:$D$258,2,0)," ")</f>
        <v>Electric Standing Desk  PRO Negro</v>
      </c>
      <c r="H935" s="7">
        <v>1</v>
      </c>
      <c r="I935" s="32" t="str">
        <f>IFERROR(VLOOKUP(F935,Productos!$A$2:$D$258,3,0)," ")</f>
        <v>Standing Desk</v>
      </c>
      <c r="J935" s="202" t="s">
        <v>21</v>
      </c>
      <c r="K935" s="205" t="s">
        <v>22</v>
      </c>
      <c r="L935" s="26" t="str">
        <f t="shared" si="207"/>
        <v>En alistamiento</v>
      </c>
      <c r="M935" s="56"/>
      <c r="N935" s="198"/>
      <c r="O935" s="150"/>
      <c r="P935" s="151"/>
      <c r="Q935" s="24" t="str">
        <f t="shared" si="188"/>
        <v>En transito</v>
      </c>
      <c r="R935" s="25" t="str">
        <f>IF(L935="Despachado",NETWORKDAYS.INTL(A935,O935,11,Valores!$A$2:$A$18)-1,"PTE")</f>
        <v>PTE</v>
      </c>
      <c r="S935" s="25" t="str">
        <f>IF(Q935="Entregado",NETWORKDAYS.INTL(A935,P935,11,Valores!$A$2:$A$18)-1,"PTE")</f>
        <v>PTE</v>
      </c>
      <c r="T935" s="25"/>
      <c r="U935" s="25"/>
      <c r="V935" s="25" t="str">
        <f>IF(Q935="Entregado",IF(S935&lt;=VLOOKUP(K935,Valores!E:F,2,0),"Cumple","No cumple"),"PTE")</f>
        <v>PTE</v>
      </c>
      <c r="W935" s="25"/>
      <c r="X935" s="29"/>
      <c r="Y935" s="224"/>
      <c r="Z935" s="28"/>
    </row>
    <row r="936" spans="1:26" hidden="1" x14ac:dyDescent="0.3">
      <c r="A936" s="34">
        <v>45969</v>
      </c>
      <c r="B936" s="7" t="str">
        <f t="shared" ref="B936:B939" si="208">TEXT(A936,"mmmm")</f>
        <v>noviembre</v>
      </c>
      <c r="C936" s="27">
        <v>100179</v>
      </c>
      <c r="D936" s="23" t="s">
        <v>20</v>
      </c>
      <c r="E936" s="206" t="s">
        <v>1777</v>
      </c>
      <c r="F936" s="22" t="s">
        <v>1519</v>
      </c>
      <c r="G936" s="32" t="str">
        <f>IFERROR(VLOOKUP(F936,Productos!$A$2:$D$258,2,0)," ")</f>
        <v>Superficie Escritorio Fresno Europeo 160x80 Clasico</v>
      </c>
      <c r="H936" s="7">
        <v>1</v>
      </c>
      <c r="I936" s="32" t="str">
        <f>IFERROR(VLOOKUP(F936,Productos!$A$2:$D$258,3,0)," ")</f>
        <v>Superficie</v>
      </c>
      <c r="J936" s="202" t="s">
        <v>21</v>
      </c>
      <c r="K936" s="205" t="s">
        <v>22</v>
      </c>
      <c r="L936" s="26" t="str">
        <f t="shared" si="207"/>
        <v>En alistamiento</v>
      </c>
      <c r="M936" s="56"/>
      <c r="N936" s="198"/>
      <c r="O936" s="150"/>
      <c r="P936" s="151"/>
      <c r="Q936" s="24" t="str">
        <f t="shared" si="188"/>
        <v>En transito</v>
      </c>
      <c r="R936" s="25" t="str">
        <f>IF(L936="Despachado",NETWORKDAYS.INTL(A936,O936,11,Valores!$A$2:$A$18)-1,"PTE")</f>
        <v>PTE</v>
      </c>
      <c r="S936" s="25" t="str">
        <f>IF(Q936="Entregado",NETWORKDAYS.INTL(A936,P936,11,Valores!$A$2:$A$18)-1,"PTE")</f>
        <v>PTE</v>
      </c>
      <c r="T936" s="25"/>
      <c r="U936" s="25"/>
      <c r="V936" s="25" t="str">
        <f>IF(Q936="Entregado",IF(S936&lt;=VLOOKUP(K936,Valores!E:F,2,0),"Cumple","No cumple"),"PTE")</f>
        <v>PTE</v>
      </c>
      <c r="W936" s="25"/>
      <c r="X936" s="29"/>
      <c r="Y936" s="224"/>
      <c r="Z936" s="28"/>
    </row>
    <row r="937" spans="1:26" hidden="1" x14ac:dyDescent="0.3">
      <c r="A937" s="34">
        <v>45969</v>
      </c>
      <c r="B937" s="7" t="str">
        <f t="shared" si="208"/>
        <v>noviembre</v>
      </c>
      <c r="C937" s="27">
        <v>100180</v>
      </c>
      <c r="D937" s="23" t="s">
        <v>20</v>
      </c>
      <c r="E937" s="212" t="s">
        <v>1778</v>
      </c>
      <c r="F937" s="22" t="s">
        <v>129</v>
      </c>
      <c r="G937" s="32" t="str">
        <f>IFERROR(VLOOKUP(F937,Productos!$A$2:$D$258,2,0)," ")</f>
        <v>Electric Standing Desk  PRO Negro</v>
      </c>
      <c r="H937" s="7">
        <v>1</v>
      </c>
      <c r="I937" s="32" t="str">
        <f>IFERROR(VLOOKUP(F937,Productos!$A$2:$D$258,3,0)," ")</f>
        <v>Standing Desk</v>
      </c>
      <c r="J937" s="202" t="s">
        <v>21</v>
      </c>
      <c r="K937" s="213" t="s">
        <v>212</v>
      </c>
      <c r="L937" s="26" t="str">
        <f t="shared" si="207"/>
        <v>En alistamiento</v>
      </c>
      <c r="M937" s="56"/>
      <c r="N937" s="198"/>
      <c r="O937" s="150"/>
      <c r="P937" s="151"/>
      <c r="Q937" s="24" t="str">
        <f t="shared" si="188"/>
        <v>En transito</v>
      </c>
      <c r="R937" s="25" t="str">
        <f>IF(L937="Despachado",NETWORKDAYS.INTL(A937,O937,11,Valores!$A$2:$A$18)-1,"PTE")</f>
        <v>PTE</v>
      </c>
      <c r="S937" s="25" t="str">
        <f>IF(Q937="Entregado",NETWORKDAYS.INTL(A937,P937,11,Valores!$A$2:$A$18)-1,"PTE")</f>
        <v>PTE</v>
      </c>
      <c r="T937" s="25"/>
      <c r="U937" s="25"/>
      <c r="V937" s="25" t="str">
        <f>IF(Q937="Entregado",IF(S937&lt;=VLOOKUP(K937,Valores!E:F,2,0),"Cumple","No cumple"),"PTE")</f>
        <v>PTE</v>
      </c>
      <c r="W937" s="25"/>
      <c r="X937" s="29"/>
      <c r="Y937" s="224"/>
      <c r="Z937" s="28"/>
    </row>
    <row r="938" spans="1:26" hidden="1" x14ac:dyDescent="0.3">
      <c r="A938" s="34">
        <v>45970</v>
      </c>
      <c r="B938" s="7" t="str">
        <f t="shared" si="208"/>
        <v>noviembre</v>
      </c>
      <c r="C938" s="27">
        <v>100181</v>
      </c>
      <c r="D938" s="23" t="s">
        <v>20</v>
      </c>
      <c r="E938" s="212" t="s">
        <v>1779</v>
      </c>
      <c r="F938" s="22" t="s">
        <v>129</v>
      </c>
      <c r="G938" s="32" t="str">
        <f>IFERROR(VLOOKUP(F938,Productos!$A$2:$D$258,2,0)," ")</f>
        <v>Electric Standing Desk  PRO Negro</v>
      </c>
      <c r="H938" s="7">
        <v>1</v>
      </c>
      <c r="I938" s="32" t="str">
        <f>IFERROR(VLOOKUP(F938,Productos!$A$2:$D$258,3,0)," ")</f>
        <v>Standing Desk</v>
      </c>
      <c r="J938" s="213" t="s">
        <v>1780</v>
      </c>
      <c r="K938" s="213" t="s">
        <v>1781</v>
      </c>
      <c r="L938" s="26" t="str">
        <f t="shared" si="207"/>
        <v>En alistamiento</v>
      </c>
      <c r="M938" s="56"/>
      <c r="N938" s="198"/>
      <c r="O938" s="150"/>
      <c r="P938" s="151"/>
      <c r="Q938" s="24" t="str">
        <f t="shared" si="188"/>
        <v>En transito</v>
      </c>
      <c r="R938" s="25" t="str">
        <f>IF(L938="Despachado",NETWORKDAYS.INTL(A938,O938,11,Valores!$A$2:$A$18)-1,"PTE")</f>
        <v>PTE</v>
      </c>
      <c r="S938" s="25" t="str">
        <f>IF(Q938="Entregado",NETWORKDAYS.INTL(A938,P938,11,Valores!$A$2:$A$18)-1,"PTE")</f>
        <v>PTE</v>
      </c>
      <c r="T938" s="25"/>
      <c r="U938" s="25"/>
      <c r="V938" s="25" t="str">
        <f>IF(Q938="Entregado",IF(S938&lt;=VLOOKUP(K938,Valores!E:F,2,0),"Cumple","No cumple"),"PTE")</f>
        <v>PTE</v>
      </c>
      <c r="W938" s="25"/>
      <c r="X938" s="29"/>
      <c r="Y938" s="224"/>
      <c r="Z938" s="28"/>
    </row>
    <row r="939" spans="1:26" hidden="1" x14ac:dyDescent="0.3">
      <c r="A939" s="34">
        <v>45970</v>
      </c>
      <c r="B939" s="7" t="str">
        <f t="shared" si="208"/>
        <v>noviembre</v>
      </c>
      <c r="C939" s="27">
        <v>100181</v>
      </c>
      <c r="D939" s="23" t="s">
        <v>20</v>
      </c>
      <c r="E939" s="212" t="s">
        <v>1779</v>
      </c>
      <c r="F939" s="22" t="s">
        <v>1557</v>
      </c>
      <c r="G939" s="32" t="str">
        <f>IFERROR(VLOOKUP(F939,Productos!$A$2:$D$258,2,0)," ")</f>
        <v>Superficie Escritorio Roble Negro 200x80 Clasico</v>
      </c>
      <c r="H939" s="7">
        <v>1</v>
      </c>
      <c r="I939" s="32" t="str">
        <f>IFERROR(VLOOKUP(F939,Productos!$A$2:$D$258,3,0)," ")</f>
        <v>Superficie</v>
      </c>
      <c r="J939" s="213" t="s">
        <v>1780</v>
      </c>
      <c r="K939" s="213" t="s">
        <v>1781</v>
      </c>
      <c r="L939" s="26" t="str">
        <f t="shared" si="207"/>
        <v>En alistamiento</v>
      </c>
      <c r="M939" s="56"/>
      <c r="N939" s="198"/>
      <c r="O939" s="150"/>
      <c r="P939" s="151"/>
      <c r="Q939" s="24" t="str">
        <f t="shared" si="188"/>
        <v>En transito</v>
      </c>
      <c r="R939" s="25" t="str">
        <f>IF(L939="Despachado",NETWORKDAYS.INTL(A939,O939,11,Valores!$A$2:$A$18)-1,"PTE")</f>
        <v>PTE</v>
      </c>
      <c r="S939" s="25" t="str">
        <f>IF(Q939="Entregado",NETWORKDAYS.INTL(A939,P939,11,Valores!$A$2:$A$18)-1,"PTE")</f>
        <v>PTE</v>
      </c>
      <c r="T939" s="25"/>
      <c r="U939" s="25"/>
      <c r="V939" s="25" t="str">
        <f>IF(Q939="Entregado",IF(S939&lt;=VLOOKUP(K939,Valores!E:F,2,0),"Cumple","No cumple"),"PTE")</f>
        <v>PTE</v>
      </c>
      <c r="W939" s="25"/>
      <c r="X939" s="29"/>
      <c r="Y939" s="224"/>
      <c r="Z939" s="28"/>
    </row>
    <row r="940" spans="1:26" hidden="1" x14ac:dyDescent="0.3">
      <c r="A940" s="34">
        <v>45970</v>
      </c>
      <c r="B940" s="7" t="str">
        <f t="shared" ref="B940" si="209">TEXT(A940,"mmmm")</f>
        <v>noviembre</v>
      </c>
      <c r="C940" s="27">
        <v>100182</v>
      </c>
      <c r="D940" s="23" t="s">
        <v>20</v>
      </c>
      <c r="E940" s="212" t="s">
        <v>1782</v>
      </c>
      <c r="F940" s="22" t="s">
        <v>57</v>
      </c>
      <c r="G940" s="32" t="str">
        <f>IFERROR(VLOOKUP(F940,Productos!$A$2:$D$258,2,0)," ")</f>
        <v>Electric Standing Desk  En L Frame Negro 2.0</v>
      </c>
      <c r="H940" s="7">
        <v>1</v>
      </c>
      <c r="I940" s="32" t="str">
        <f>IFERROR(VLOOKUP(F940,Productos!$A$2:$D$258,3,0)," ")</f>
        <v>Standing Desk</v>
      </c>
      <c r="J940" s="202" t="s">
        <v>21</v>
      </c>
      <c r="K940" s="205" t="s">
        <v>22</v>
      </c>
      <c r="L940" s="26" t="str">
        <f t="shared" ref="L940:L945" si="210">IF(O940&gt;0,"Despachado","En alistamiento")</f>
        <v>En alistamiento</v>
      </c>
      <c r="M940" s="56"/>
      <c r="N940" s="198"/>
      <c r="O940" s="150"/>
      <c r="P940" s="151"/>
      <c r="Q940" s="24" t="str">
        <f t="shared" si="188"/>
        <v>En transito</v>
      </c>
      <c r="R940" s="25" t="str">
        <f>IF(L940="Despachado",NETWORKDAYS.INTL(A940,O940,11,Valores!$A$2:$A$18)-1,"PTE")</f>
        <v>PTE</v>
      </c>
      <c r="S940" s="25" t="str">
        <f>IF(Q940="Entregado",NETWORKDAYS.INTL(A940,P940,11,Valores!$A$2:$A$18)-1,"PTE")</f>
        <v>PTE</v>
      </c>
      <c r="T940" s="25"/>
      <c r="U940" s="25"/>
      <c r="V940" s="25" t="str">
        <f>IF(Q940="Entregado",IF(S940&lt;=VLOOKUP(K940,Valores!E:F,2,0),"Cumple","No cumple"),"PTE")</f>
        <v>PTE</v>
      </c>
      <c r="W940" s="25"/>
      <c r="X940" s="29"/>
      <c r="Y940" s="224"/>
      <c r="Z940" s="28"/>
    </row>
    <row r="941" spans="1:26" hidden="1" x14ac:dyDescent="0.3">
      <c r="A941" s="34">
        <v>45970</v>
      </c>
      <c r="B941" s="7" t="str">
        <f t="shared" ref="B941" si="211">TEXT(A941,"mmmm")</f>
        <v>noviembre</v>
      </c>
      <c r="C941" s="27">
        <v>100182</v>
      </c>
      <c r="D941" s="23" t="s">
        <v>20</v>
      </c>
      <c r="E941" s="212" t="s">
        <v>1782</v>
      </c>
      <c r="F941" s="22" t="s">
        <v>1766</v>
      </c>
      <c r="G941" s="32" t="str">
        <f>IFERROR(VLOOKUP(F941,Productos!$A$2:$D$258,2,0)," ")</f>
        <v>Superficie  en L Fresno 180x150cm x60</v>
      </c>
      <c r="H941" s="7">
        <v>1</v>
      </c>
      <c r="I941" s="32" t="str">
        <f>IFERROR(VLOOKUP(F941,Productos!$A$2:$D$258,3,0)," ")</f>
        <v>Superficie</v>
      </c>
      <c r="J941" s="202" t="s">
        <v>21</v>
      </c>
      <c r="K941" s="205" t="s">
        <v>22</v>
      </c>
      <c r="L941" s="26" t="str">
        <f t="shared" si="210"/>
        <v>En alistamiento</v>
      </c>
      <c r="M941" s="56"/>
      <c r="N941" s="198"/>
      <c r="O941" s="150"/>
      <c r="P941" s="151"/>
      <c r="Q941" s="24" t="str">
        <f t="shared" si="188"/>
        <v>En transito</v>
      </c>
      <c r="R941" s="25" t="str">
        <f>IF(L941="Despachado",NETWORKDAYS.INTL(A941,O941,11,Valores!$A$2:$A$18)-1,"PTE")</f>
        <v>PTE</v>
      </c>
      <c r="S941" s="25" t="str">
        <f>IF(Q941="Entregado",NETWORKDAYS.INTL(A941,P941,11,Valores!$A$2:$A$18)-1,"PTE")</f>
        <v>PTE</v>
      </c>
      <c r="T941" s="25"/>
      <c r="U941" s="25"/>
      <c r="V941" s="25" t="str">
        <f>IF(Q941="Entregado",IF(S941&lt;=VLOOKUP(K941,Valores!E:F,2,0),"Cumple","No cumple"),"PTE")</f>
        <v>PTE</v>
      </c>
      <c r="W941" s="25"/>
      <c r="X941" s="29"/>
      <c r="Y941" s="224"/>
      <c r="Z941" s="28"/>
    </row>
    <row r="942" spans="1:26" hidden="1" x14ac:dyDescent="0.3">
      <c r="A942" s="34">
        <v>45970</v>
      </c>
      <c r="B942" s="7" t="str">
        <f t="shared" ref="B942:B946" si="212">TEXT(A942,"mmmm")</f>
        <v>noviembre</v>
      </c>
      <c r="C942" s="27">
        <v>100182</v>
      </c>
      <c r="D942" s="23" t="s">
        <v>20</v>
      </c>
      <c r="E942" s="212" t="s">
        <v>1782</v>
      </c>
      <c r="F942" s="22" t="s">
        <v>1696</v>
      </c>
      <c r="G942" s="32" t="str">
        <f>IFERROR(VLOOKUP(F942,Productos!$A$2:$D$258,2,0)," ")</f>
        <v>Repisa Flotante Fresno Europeo x 80cm</v>
      </c>
      <c r="H942" s="7">
        <v>1</v>
      </c>
      <c r="I942" s="32" t="str">
        <f>IFERROR(VLOOKUP(F942,Productos!$A$2:$D$258,3,0)," ")</f>
        <v>Repisa</v>
      </c>
      <c r="J942" s="202" t="s">
        <v>21</v>
      </c>
      <c r="K942" s="205" t="s">
        <v>22</v>
      </c>
      <c r="L942" s="26" t="str">
        <f t="shared" si="210"/>
        <v>En alistamiento</v>
      </c>
      <c r="M942" s="56"/>
      <c r="N942" s="198"/>
      <c r="O942" s="150"/>
      <c r="P942" s="151"/>
      <c r="Q942" s="24" t="str">
        <f t="shared" si="188"/>
        <v>En transito</v>
      </c>
      <c r="R942" s="25" t="str">
        <f>IF(L942="Despachado",NETWORKDAYS.INTL(A942,O942,11,Valores!$A$2:$A$18)-1,"PTE")</f>
        <v>PTE</v>
      </c>
      <c r="S942" s="25" t="str">
        <f>IF(Q942="Entregado",NETWORKDAYS.INTL(A942,P942,11,Valores!$A$2:$A$18)-1,"PTE")</f>
        <v>PTE</v>
      </c>
      <c r="T942" s="25"/>
      <c r="U942" s="25"/>
      <c r="V942" s="25" t="str">
        <f>IF(Q942="Entregado",IF(S942&lt;=VLOOKUP(K942,Valores!E:F,2,0),"Cumple","No cumple"),"PTE")</f>
        <v>PTE</v>
      </c>
      <c r="W942" s="25"/>
      <c r="X942" s="29"/>
      <c r="Y942" s="224"/>
      <c r="Z942" s="28"/>
    </row>
    <row r="943" spans="1:26" hidden="1" x14ac:dyDescent="0.3">
      <c r="A943" s="34">
        <v>45970</v>
      </c>
      <c r="B943" s="7" t="str">
        <f t="shared" si="212"/>
        <v>noviembre</v>
      </c>
      <c r="C943" s="27">
        <v>100182</v>
      </c>
      <c r="D943" s="23" t="s">
        <v>20</v>
      </c>
      <c r="E943" s="212" t="s">
        <v>1782</v>
      </c>
      <c r="F943" s="22" t="s">
        <v>1614</v>
      </c>
      <c r="G943" s="32" t="str">
        <f>IFERROR(VLOOKUP(F943,Productos!$A$2:$D$258,2,0)," ")</f>
        <v>Cajonero 2.0 Bicolor Fresno Europeo x73cm</v>
      </c>
      <c r="H943" s="7">
        <v>1</v>
      </c>
      <c r="I943" s="32" t="str">
        <f>IFERROR(VLOOKUP(F943,Productos!$A$2:$D$258,3,0)," ")</f>
        <v>Archivador</v>
      </c>
      <c r="J943" s="202" t="s">
        <v>21</v>
      </c>
      <c r="K943" s="205" t="s">
        <v>22</v>
      </c>
      <c r="L943" s="26" t="str">
        <f t="shared" si="210"/>
        <v>En alistamiento</v>
      </c>
      <c r="M943" s="56"/>
      <c r="N943" s="198"/>
      <c r="O943" s="150"/>
      <c r="P943" s="151"/>
      <c r="Q943" s="24" t="str">
        <f t="shared" si="188"/>
        <v>En transito</v>
      </c>
      <c r="R943" s="25" t="str">
        <f>IF(L943="Despachado",NETWORKDAYS.INTL(A943,O943,11,Valores!$A$2:$A$18)-1,"PTE")</f>
        <v>PTE</v>
      </c>
      <c r="S943" s="25" t="str">
        <f>IF(Q943="Entregado",NETWORKDAYS.INTL(A943,P943,11,Valores!$A$2:$A$18)-1,"PTE")</f>
        <v>PTE</v>
      </c>
      <c r="T943" s="25"/>
      <c r="U943" s="25"/>
      <c r="V943" s="25" t="str">
        <f>IF(Q943="Entregado",IF(S943&lt;=VLOOKUP(K943,Valores!E:F,2,0),"Cumple","No cumple"),"PTE")</f>
        <v>PTE</v>
      </c>
      <c r="W943" s="25"/>
      <c r="X943" s="29"/>
      <c r="Y943" s="224"/>
      <c r="Z943" s="28"/>
    </row>
    <row r="944" spans="1:26" hidden="1" x14ac:dyDescent="0.3">
      <c r="A944" s="34">
        <v>45970</v>
      </c>
      <c r="B944" s="7" t="str">
        <f t="shared" si="212"/>
        <v>noviembre</v>
      </c>
      <c r="C944" s="27">
        <v>100182</v>
      </c>
      <c r="D944" s="23" t="s">
        <v>20</v>
      </c>
      <c r="E944" s="212" t="s">
        <v>1782</v>
      </c>
      <c r="F944" s="22" t="s">
        <v>83</v>
      </c>
      <c r="G944" s="32" t="str">
        <f>IFERROR(VLOOKUP(F944,Productos!$A$2:$D$258,2,0)," ")</f>
        <v>Desk Pad B Negro Azul</v>
      </c>
      <c r="H944" s="7">
        <v>1</v>
      </c>
      <c r="I944" s="32" t="str">
        <f>IFERROR(VLOOKUP(F944,Productos!$A$2:$D$258,3,0)," ")</f>
        <v>Accesorio</v>
      </c>
      <c r="J944" s="202" t="s">
        <v>21</v>
      </c>
      <c r="K944" s="205" t="s">
        <v>22</v>
      </c>
      <c r="L944" s="26" t="str">
        <f t="shared" si="210"/>
        <v>En alistamiento</v>
      </c>
      <c r="M944" s="56"/>
      <c r="N944" s="198"/>
      <c r="O944" s="150"/>
      <c r="P944" s="151"/>
      <c r="Q944" s="24" t="str">
        <f t="shared" si="188"/>
        <v>En transito</v>
      </c>
      <c r="R944" s="25" t="str">
        <f>IF(L944="Despachado",NETWORKDAYS.INTL(A944,O944,11,Valores!$A$2:$A$18)-1,"PTE")</f>
        <v>PTE</v>
      </c>
      <c r="S944" s="25" t="str">
        <f>IF(Q944="Entregado",NETWORKDAYS.INTL(A944,P944,11,Valores!$A$2:$A$18)-1,"PTE")</f>
        <v>PTE</v>
      </c>
      <c r="T944" s="25"/>
      <c r="U944" s="25"/>
      <c r="V944" s="25" t="str">
        <f>IF(Q944="Entregado",IF(S944&lt;=VLOOKUP(K944,Valores!E:F,2,0),"Cumple","No cumple"),"PTE")</f>
        <v>PTE</v>
      </c>
      <c r="W944" s="25"/>
      <c r="X944" s="29"/>
      <c r="Y944" s="224"/>
      <c r="Z944" s="28"/>
    </row>
    <row r="945" spans="1:26" hidden="1" x14ac:dyDescent="0.3">
      <c r="A945" s="34">
        <v>45970</v>
      </c>
      <c r="B945" s="7" t="str">
        <f t="shared" si="212"/>
        <v>noviembre</v>
      </c>
      <c r="C945" s="27">
        <v>100182</v>
      </c>
      <c r="D945" s="23" t="s">
        <v>20</v>
      </c>
      <c r="E945" s="212" t="s">
        <v>1782</v>
      </c>
      <c r="F945" s="22"/>
      <c r="G945" s="32" t="s">
        <v>1796</v>
      </c>
      <c r="H945" s="7">
        <v>1</v>
      </c>
      <c r="I945" s="32" t="s">
        <v>327</v>
      </c>
      <c r="J945" s="202" t="s">
        <v>21</v>
      </c>
      <c r="K945" s="205" t="s">
        <v>22</v>
      </c>
      <c r="L945" s="26" t="str">
        <f t="shared" si="210"/>
        <v>Despachado</v>
      </c>
      <c r="M945" s="56" t="s">
        <v>241</v>
      </c>
      <c r="N945" s="218" t="s">
        <v>241</v>
      </c>
      <c r="O945" s="219" t="s">
        <v>241</v>
      </c>
      <c r="P945" s="220" t="s">
        <v>241</v>
      </c>
      <c r="Q945" s="24" t="str">
        <f t="shared" si="188"/>
        <v>Entregado</v>
      </c>
      <c r="R945" s="25" t="e">
        <f>IF(L945="Despachado",NETWORKDAYS.INTL(A945,O945,11,Valores!$A$2:$A$18)-1,"PTE")</f>
        <v>#VALUE!</v>
      </c>
      <c r="S945" s="25" t="e">
        <f>IF(Q945="Entregado",NETWORKDAYS.INTL(A945,P945,11,Valores!$A$2:$A$18)-1,"PTE")</f>
        <v>#VALUE!</v>
      </c>
      <c r="T945" s="25"/>
      <c r="U945" s="25"/>
      <c r="V945" s="25" t="e">
        <f>IF(Q945="Entregado",IF(S945&lt;=VLOOKUP(K945,Valores!E:F,2,0),"Cumple","No cumple"),"PTE")</f>
        <v>#VALUE!</v>
      </c>
      <c r="W945" s="25"/>
      <c r="X945" s="29"/>
      <c r="Y945" s="224"/>
      <c r="Z945" s="28"/>
    </row>
    <row r="946" spans="1:26" hidden="1" x14ac:dyDescent="0.3">
      <c r="A946" s="34">
        <v>45975</v>
      </c>
      <c r="B946" s="7" t="str">
        <f t="shared" si="212"/>
        <v>noviembre</v>
      </c>
      <c r="C946" s="27">
        <v>100183</v>
      </c>
      <c r="D946" s="23" t="s">
        <v>20</v>
      </c>
      <c r="E946" s="212" t="s">
        <v>1783</v>
      </c>
      <c r="F946" s="22" t="s">
        <v>732</v>
      </c>
      <c r="G946" s="32" t="str">
        <f>IFERROR(VLOOKUP(F946,Productos!$A$2:$D$258,2,0)," ")</f>
        <v>Electric Standing Desk  PRO Negro circular</v>
      </c>
      <c r="H946" s="7">
        <v>1</v>
      </c>
      <c r="I946" s="32" t="str">
        <f>IFERROR(VLOOKUP(F946,Productos!$A$2:$D$258,3,0)," ")</f>
        <v>Standing Desk</v>
      </c>
      <c r="J946" s="213" t="s">
        <v>189</v>
      </c>
      <c r="K946" s="213" t="s">
        <v>45</v>
      </c>
      <c r="L946" s="26" t="str">
        <f t="shared" ref="L946:L951" si="213">IF(O946&gt;0,"Despachado","En alistamiento")</f>
        <v>En alistamiento</v>
      </c>
      <c r="M946" s="56"/>
      <c r="N946" s="198"/>
      <c r="O946" s="150"/>
      <c r="P946" s="151"/>
      <c r="Q946" s="24" t="str">
        <f t="shared" si="188"/>
        <v>En transito</v>
      </c>
      <c r="R946" s="25" t="str">
        <f>IF(L946="Despachado",NETWORKDAYS.INTL(A946,O946,11,Valores!$A$2:$A$18)-1,"PTE")</f>
        <v>PTE</v>
      </c>
      <c r="S946" s="25" t="str">
        <f>IF(Q946="Entregado",NETWORKDAYS.INTL(A946,P946,11,Valores!$A$2:$A$18)-1,"PTE")</f>
        <v>PTE</v>
      </c>
      <c r="T946" s="25"/>
      <c r="U946" s="25"/>
      <c r="V946" s="25" t="str">
        <f>IF(Q946="Entregado",IF(S946&lt;=VLOOKUP(K946,Valores!E:F,2,0),"Cumple","No cumple"),"PTE")</f>
        <v>PTE</v>
      </c>
      <c r="W946" s="25"/>
      <c r="X946" s="29"/>
      <c r="Y946" s="224"/>
      <c r="Z946" s="28"/>
    </row>
    <row r="947" spans="1:26" hidden="1" x14ac:dyDescent="0.3">
      <c r="A947" s="34">
        <v>45975</v>
      </c>
      <c r="B947" s="7" t="str">
        <f t="shared" ref="B947" si="214">TEXT(A947,"mmmm")</f>
        <v>noviembre</v>
      </c>
      <c r="C947" s="27">
        <v>100183</v>
      </c>
      <c r="D947" s="23" t="s">
        <v>20</v>
      </c>
      <c r="E947" s="212" t="s">
        <v>1783</v>
      </c>
      <c r="F947" s="22" t="s">
        <v>150</v>
      </c>
      <c r="G947" s="32" t="str">
        <f>IFERROR(VLOOKUP(F947,Productos!$A$2:$D$258,2,0)," ")</f>
        <v>Superficie Niebla 170x70 Clasico</v>
      </c>
      <c r="H947" s="7">
        <v>1</v>
      </c>
      <c r="I947" s="32" t="str">
        <f>IFERROR(VLOOKUP(F947,Productos!$A$2:$D$258,3,0)," ")</f>
        <v>Superficie</v>
      </c>
      <c r="J947" s="213" t="s">
        <v>189</v>
      </c>
      <c r="K947" s="213" t="s">
        <v>45</v>
      </c>
      <c r="L947" s="26" t="str">
        <f t="shared" si="213"/>
        <v>En alistamiento</v>
      </c>
      <c r="M947" s="56"/>
      <c r="N947" s="198"/>
      <c r="O947" s="150"/>
      <c r="P947" s="151"/>
      <c r="Q947" s="24" t="str">
        <f t="shared" si="188"/>
        <v>En transito</v>
      </c>
      <c r="R947" s="25" t="str">
        <f>IF(L947="Despachado",NETWORKDAYS.INTL(A947,O947,11,Valores!$A$2:$A$18)-1,"PTE")</f>
        <v>PTE</v>
      </c>
      <c r="S947" s="25" t="str">
        <f>IF(Q947="Entregado",NETWORKDAYS.INTL(A947,P947,11,Valores!$A$2:$A$18)-1,"PTE")</f>
        <v>PTE</v>
      </c>
      <c r="T947" s="25"/>
      <c r="U947" s="25"/>
      <c r="V947" s="25" t="str">
        <f>IF(Q947="Entregado",IF(S947&lt;=VLOOKUP(K947,Valores!E:F,2,0),"Cumple","No cumple"),"PTE")</f>
        <v>PTE</v>
      </c>
      <c r="W947" s="25"/>
      <c r="X947" s="29"/>
      <c r="Y947" s="224"/>
      <c r="Z947" s="28"/>
    </row>
    <row r="948" spans="1:26" hidden="1" x14ac:dyDescent="0.3">
      <c r="A948" s="34">
        <v>45975</v>
      </c>
      <c r="B948" s="7" t="str">
        <f t="shared" ref="B948:B953" si="215">TEXT(A948,"mmmm")</f>
        <v>noviembre</v>
      </c>
      <c r="C948" s="27">
        <v>100184</v>
      </c>
      <c r="D948" s="23" t="s">
        <v>20</v>
      </c>
      <c r="E948" s="212" t="s">
        <v>1784</v>
      </c>
      <c r="F948" s="22" t="s">
        <v>133</v>
      </c>
      <c r="G948" s="32" t="str">
        <f>IFERROR(VLOOKUP(F948,Productos!$A$2:$D$258,2,0)," ")</f>
        <v>Electric Standing Desk  PRO Blanco</v>
      </c>
      <c r="H948" s="7">
        <v>1</v>
      </c>
      <c r="I948" s="32" t="str">
        <f>IFERROR(VLOOKUP(F948,Productos!$A$2:$D$258,3,0)," ")</f>
        <v>Standing Desk</v>
      </c>
      <c r="J948" s="202" t="s">
        <v>21</v>
      </c>
      <c r="K948" s="205" t="s">
        <v>22</v>
      </c>
      <c r="L948" s="26" t="str">
        <f t="shared" si="213"/>
        <v>En alistamiento</v>
      </c>
      <c r="M948" s="56"/>
      <c r="N948" s="198"/>
      <c r="O948" s="150"/>
      <c r="P948" s="151"/>
      <c r="Q948" s="24" t="str">
        <f t="shared" si="188"/>
        <v>En transito</v>
      </c>
      <c r="R948" s="25" t="str">
        <f>IF(L948="Despachado",NETWORKDAYS.INTL(A948,O948,11,Valores!$A$2:$A$18)-1,"PTE")</f>
        <v>PTE</v>
      </c>
      <c r="S948" s="25" t="str">
        <f>IF(Q948="Entregado",NETWORKDAYS.INTL(A948,P948,11,Valores!$A$2:$A$18)-1,"PTE")</f>
        <v>PTE</v>
      </c>
      <c r="T948" s="25"/>
      <c r="U948" s="25"/>
      <c r="V948" s="25" t="str">
        <f>IF(Q948="Entregado",IF(S948&lt;=VLOOKUP(K948,Valores!E:F,2,0),"Cumple","No cumple"),"PTE")</f>
        <v>PTE</v>
      </c>
      <c r="W948" s="25"/>
      <c r="X948" s="29"/>
      <c r="Y948" s="224"/>
      <c r="Z948" s="28"/>
    </row>
    <row r="949" spans="1:26" hidden="1" x14ac:dyDescent="0.3">
      <c r="A949" s="34">
        <v>45975</v>
      </c>
      <c r="B949" s="7" t="str">
        <f t="shared" si="215"/>
        <v>noviembre</v>
      </c>
      <c r="C949" s="27">
        <v>100184</v>
      </c>
      <c r="D949" s="23" t="s">
        <v>20</v>
      </c>
      <c r="E949" s="212" t="s">
        <v>1784</v>
      </c>
      <c r="F949" s="22" t="s">
        <v>33</v>
      </c>
      <c r="G949" s="32" t="str">
        <f>IFERROR(VLOOKUP(F949,Productos!$A$2:$D$258,2,0)," ")</f>
        <v>Superficie  Caramelo 180x70 Clasico</v>
      </c>
      <c r="H949" s="7">
        <v>1</v>
      </c>
      <c r="I949" s="32" t="str">
        <f>IFERROR(VLOOKUP(F949,Productos!$A$2:$D$258,3,0)," ")</f>
        <v>Superficie</v>
      </c>
      <c r="J949" s="202" t="s">
        <v>21</v>
      </c>
      <c r="K949" s="205" t="s">
        <v>22</v>
      </c>
      <c r="L949" s="26" t="str">
        <f t="shared" si="213"/>
        <v>En alistamiento</v>
      </c>
      <c r="M949" s="56"/>
      <c r="N949" s="198"/>
      <c r="O949" s="150"/>
      <c r="P949" s="151"/>
      <c r="Q949" s="24" t="str">
        <f t="shared" si="188"/>
        <v>En transito</v>
      </c>
      <c r="R949" s="25" t="str">
        <f>IF(L949="Despachado",NETWORKDAYS.INTL(A949,O949,11,Valores!$A$2:$A$18)-1,"PTE")</f>
        <v>PTE</v>
      </c>
      <c r="S949" s="25" t="str">
        <f>IF(Q949="Entregado",NETWORKDAYS.INTL(A949,P949,11,Valores!$A$2:$A$18)-1,"PTE")</f>
        <v>PTE</v>
      </c>
      <c r="T949" s="25"/>
      <c r="U949" s="25"/>
      <c r="V949" s="25" t="str">
        <f>IF(Q949="Entregado",IF(S949&lt;=VLOOKUP(K949,Valores!E:F,2,0),"Cumple","No cumple"),"PTE")</f>
        <v>PTE</v>
      </c>
      <c r="W949" s="25"/>
      <c r="X949" s="29"/>
      <c r="Y949" s="224"/>
      <c r="Z949" s="28"/>
    </row>
    <row r="950" spans="1:26" hidden="1" x14ac:dyDescent="0.3">
      <c r="A950" s="34">
        <v>45976</v>
      </c>
      <c r="B950" s="7" t="str">
        <f t="shared" si="215"/>
        <v>noviembre</v>
      </c>
      <c r="C950" s="27">
        <v>100185</v>
      </c>
      <c r="D950" s="23" t="s">
        <v>20</v>
      </c>
      <c r="E950" s="212" t="s">
        <v>1785</v>
      </c>
      <c r="F950" s="22" t="s">
        <v>127</v>
      </c>
      <c r="G950" s="32" t="str">
        <f>IFERROR(VLOOKUP(F950,Productos!$A$2:$D$258,2,0)," ")</f>
        <v>Electric Standing Desk GO Blanco</v>
      </c>
      <c r="H950" s="7">
        <v>1</v>
      </c>
      <c r="I950" s="32" t="str">
        <f>IFERROR(VLOOKUP(F950,Productos!$A$2:$D$258,3,0)," ")</f>
        <v>Standing Desk</v>
      </c>
      <c r="J950" s="213" t="s">
        <v>203</v>
      </c>
      <c r="K950" s="213" t="s">
        <v>219</v>
      </c>
      <c r="L950" s="26" t="str">
        <f t="shared" si="213"/>
        <v>En alistamiento</v>
      </c>
      <c r="M950" s="56"/>
      <c r="N950" s="198"/>
      <c r="O950" s="150"/>
      <c r="P950" s="151"/>
      <c r="Q950" s="24" t="str">
        <f t="shared" si="188"/>
        <v>En transito</v>
      </c>
      <c r="R950" s="25" t="str">
        <f>IF(L950="Despachado",NETWORKDAYS.INTL(A950,O950,11,Valores!$A$2:$A$18)-1,"PTE")</f>
        <v>PTE</v>
      </c>
      <c r="S950" s="25" t="str">
        <f>IF(Q950="Entregado",NETWORKDAYS.INTL(A950,P950,11,Valores!$A$2:$A$18)-1,"PTE")</f>
        <v>PTE</v>
      </c>
      <c r="T950" s="25"/>
      <c r="U950" s="25"/>
      <c r="V950" s="25" t="str">
        <f>IF(Q950="Entregado",IF(S950&lt;=VLOOKUP(K950,Valores!E:F,2,0),"Cumple","No cumple"),"PTE")</f>
        <v>PTE</v>
      </c>
      <c r="W950" s="25"/>
      <c r="X950" s="29"/>
      <c r="Y950" s="224"/>
      <c r="Z950" s="28"/>
    </row>
    <row r="951" spans="1:26" hidden="1" x14ac:dyDescent="0.3">
      <c r="A951" s="34">
        <v>45976</v>
      </c>
      <c r="B951" s="7" t="str">
        <f t="shared" si="215"/>
        <v>noviembre</v>
      </c>
      <c r="C951" s="27">
        <v>100185</v>
      </c>
      <c r="D951" s="23" t="s">
        <v>20</v>
      </c>
      <c r="E951" s="212" t="s">
        <v>1785</v>
      </c>
      <c r="F951" s="22" t="s">
        <v>1527</v>
      </c>
      <c r="G951" s="32" t="str">
        <f>IFERROR(VLOOKUP(F951,Productos!$A$2:$D$258,2,0)," ")</f>
        <v>Superficie Escritorio Roble Negro 120x60 Clasico Small</v>
      </c>
      <c r="H951" s="7">
        <v>1</v>
      </c>
      <c r="I951" s="32" t="str">
        <f>IFERROR(VLOOKUP(F951,Productos!$A$2:$D$258,3,0)," ")</f>
        <v>Superficie</v>
      </c>
      <c r="J951" s="213" t="s">
        <v>203</v>
      </c>
      <c r="K951" s="213" t="s">
        <v>219</v>
      </c>
      <c r="L951" s="26" t="str">
        <f t="shared" si="213"/>
        <v>En alistamiento</v>
      </c>
      <c r="M951" s="56"/>
      <c r="N951" s="198"/>
      <c r="O951" s="150"/>
      <c r="P951" s="151"/>
      <c r="Q951" s="24" t="str">
        <f t="shared" si="188"/>
        <v>En transito</v>
      </c>
      <c r="R951" s="25" t="str">
        <f>IF(L951="Despachado",NETWORKDAYS.INTL(A951,O951,11,Valores!$A$2:$A$18)-1,"PTE")</f>
        <v>PTE</v>
      </c>
      <c r="S951" s="25" t="str">
        <f>IF(Q951="Entregado",NETWORKDAYS.INTL(A951,P951,11,Valores!$A$2:$A$18)-1,"PTE")</f>
        <v>PTE</v>
      </c>
      <c r="T951" s="25"/>
      <c r="U951" s="25"/>
      <c r="V951" s="25" t="str">
        <f>IF(Q951="Entregado",IF(S951&lt;=VLOOKUP(K951,Valores!E:F,2,0),"Cumple","No cumple"),"PTE")</f>
        <v>PTE</v>
      </c>
      <c r="W951" s="25"/>
      <c r="X951" s="29"/>
      <c r="Y951" s="224"/>
      <c r="Z951" s="28"/>
    </row>
    <row r="952" spans="1:26" hidden="1" x14ac:dyDescent="0.3">
      <c r="A952" s="34">
        <v>45979</v>
      </c>
      <c r="B952" s="7" t="str">
        <f t="shared" si="215"/>
        <v>noviembre</v>
      </c>
      <c r="C952" s="27">
        <v>100187</v>
      </c>
      <c r="D952" s="23" t="s">
        <v>20</v>
      </c>
      <c r="E952" s="212" t="s">
        <v>1786</v>
      </c>
      <c r="F952" s="22" t="s">
        <v>133</v>
      </c>
      <c r="G952" s="32" t="str">
        <f>IFERROR(VLOOKUP(F952,Productos!$A$2:$D$258,2,0)," ")</f>
        <v>Electric Standing Desk  PRO Blanco</v>
      </c>
      <c r="H952" s="7">
        <v>1</v>
      </c>
      <c r="I952" s="32" t="str">
        <f>IFERROR(VLOOKUP(F952,Productos!$A$2:$D$258,3,0)," ")</f>
        <v>Standing Desk</v>
      </c>
      <c r="J952" s="202" t="s">
        <v>21</v>
      </c>
      <c r="K952" s="205" t="s">
        <v>22</v>
      </c>
      <c r="L952" s="26" t="str">
        <f t="shared" ref="L952:L953" si="216">IF(O952&gt;0,"Despachado","En alistamiento")</f>
        <v>En alistamiento</v>
      </c>
      <c r="M952" s="56"/>
      <c r="N952" s="198"/>
      <c r="O952" s="150"/>
      <c r="P952" s="151"/>
      <c r="Q952" s="24" t="str">
        <f t="shared" si="188"/>
        <v>En transito</v>
      </c>
      <c r="R952" s="25" t="str">
        <f>IF(L952="Despachado",NETWORKDAYS.INTL(A952,O952,11,Valores!$A$2:$A$18)-1,"PTE")</f>
        <v>PTE</v>
      </c>
      <c r="S952" s="25" t="str">
        <f>IF(Q952="Entregado",NETWORKDAYS.INTL(A952,P952,11,Valores!$A$2:$A$18)-1,"PTE")</f>
        <v>PTE</v>
      </c>
      <c r="T952" s="25"/>
      <c r="U952" s="25"/>
      <c r="V952" s="25" t="str">
        <f>IF(Q952="Entregado",IF(S952&lt;=VLOOKUP(K952,Valores!E:F,2,0),"Cumple","No cumple"),"PTE")</f>
        <v>PTE</v>
      </c>
      <c r="W952" s="25"/>
      <c r="X952" s="29"/>
      <c r="Y952" s="224"/>
      <c r="Z952" s="28"/>
    </row>
    <row r="953" spans="1:26" hidden="1" x14ac:dyDescent="0.3">
      <c r="A953" s="34">
        <v>45979</v>
      </c>
      <c r="B953" s="7" t="str">
        <f t="shared" si="215"/>
        <v>noviembre</v>
      </c>
      <c r="C953" s="27">
        <v>100187</v>
      </c>
      <c r="D953" s="23" t="s">
        <v>20</v>
      </c>
      <c r="E953" s="212" t="s">
        <v>1786</v>
      </c>
      <c r="F953" s="22" t="s">
        <v>305</v>
      </c>
      <c r="G953" s="32" t="str">
        <f>IFERROR(VLOOKUP(F953,Productos!$A$2:$D$258,2,0)," ")</f>
        <v>Superficie  Fresno Europeo 160x70 Clasico</v>
      </c>
      <c r="H953" s="7">
        <v>1</v>
      </c>
      <c r="I953" s="32" t="str">
        <f>IFERROR(VLOOKUP(F953,Productos!$A$2:$D$258,3,0)," ")</f>
        <v>Superficie</v>
      </c>
      <c r="J953" s="202" t="s">
        <v>21</v>
      </c>
      <c r="K953" s="205" t="s">
        <v>22</v>
      </c>
      <c r="L953" s="26" t="str">
        <f t="shared" si="216"/>
        <v>En alistamiento</v>
      </c>
      <c r="M953" s="56"/>
      <c r="N953" s="198"/>
      <c r="O953" s="150"/>
      <c r="P953" s="151"/>
      <c r="Q953" s="24" t="str">
        <f t="shared" si="188"/>
        <v>En transito</v>
      </c>
      <c r="R953" s="25" t="str">
        <f>IF(L953="Despachado",NETWORKDAYS.INTL(A953,O953,11,Valores!$A$2:$A$18)-1,"PTE")</f>
        <v>PTE</v>
      </c>
      <c r="S953" s="25" t="str">
        <f>IF(Q953="Entregado",NETWORKDAYS.INTL(A953,P953,11,Valores!$A$2:$A$18)-1,"PTE")</f>
        <v>PTE</v>
      </c>
      <c r="T953" s="25"/>
      <c r="U953" s="25"/>
      <c r="V953" s="25" t="str">
        <f>IF(Q953="Entregado",IF(S953&lt;=VLOOKUP(K953,Valores!E:F,2,0),"Cumple","No cumple"),"PTE")</f>
        <v>PTE</v>
      </c>
      <c r="W953" s="25"/>
      <c r="X953" s="29"/>
      <c r="Y953" s="224"/>
      <c r="Z953" s="28"/>
    </row>
    <row r="954" spans="1:26" hidden="1" x14ac:dyDescent="0.3">
      <c r="A954" s="34">
        <v>45979</v>
      </c>
      <c r="B954" s="7" t="str">
        <f t="shared" ref="B954:B958" si="217">TEXT(A954,"mmmm")</f>
        <v>noviembre</v>
      </c>
      <c r="C954" s="27">
        <v>100188</v>
      </c>
      <c r="D954" s="23" t="s">
        <v>20</v>
      </c>
      <c r="E954" s="212" t="s">
        <v>1787</v>
      </c>
      <c r="F954" s="22" t="s">
        <v>133</v>
      </c>
      <c r="G954" s="32" t="str">
        <f>IFERROR(VLOOKUP(F954,Productos!$A$2:$D$258,2,0)," ")</f>
        <v>Electric Standing Desk  PRO Blanco</v>
      </c>
      <c r="H954" s="7">
        <v>1</v>
      </c>
      <c r="I954" s="32" t="str">
        <f>IFERROR(VLOOKUP(F954,Productos!$A$2:$D$258,3,0)," ")</f>
        <v>Standing Desk</v>
      </c>
      <c r="J954" s="202" t="s">
        <v>21</v>
      </c>
      <c r="K954" s="205" t="s">
        <v>22</v>
      </c>
      <c r="L954" s="26" t="str">
        <f t="shared" ref="L954:L960" si="218">IF(O954&gt;0,"Despachado","En alistamiento")</f>
        <v>En alistamiento</v>
      </c>
      <c r="M954" s="56"/>
      <c r="N954" s="198"/>
      <c r="O954" s="150"/>
      <c r="P954" s="151"/>
      <c r="Q954" s="24" t="str">
        <f t="shared" si="188"/>
        <v>En transito</v>
      </c>
      <c r="R954" s="25" t="str">
        <f>IF(L954="Despachado",NETWORKDAYS.INTL(A954,O954,11,Valores!$A$2:$A$18)-1,"PTE")</f>
        <v>PTE</v>
      </c>
      <c r="S954" s="25" t="str">
        <f>IF(Q954="Entregado",NETWORKDAYS.INTL(A954,P954,11,Valores!$A$2:$A$18)-1,"PTE")</f>
        <v>PTE</v>
      </c>
      <c r="T954" s="25"/>
      <c r="U954" s="25"/>
      <c r="V954" s="25" t="str">
        <f>IF(Q954="Entregado",IF(S954&lt;=VLOOKUP(K954,Valores!E:F,2,0),"Cumple","No cumple"),"PTE")</f>
        <v>PTE</v>
      </c>
      <c r="W954" s="25"/>
      <c r="X954" s="29"/>
      <c r="Y954" s="224"/>
      <c r="Z954" s="28"/>
    </row>
    <row r="955" spans="1:26" hidden="1" x14ac:dyDescent="0.3">
      <c r="A955" s="34">
        <v>45979</v>
      </c>
      <c r="B955" s="7" t="str">
        <f t="shared" si="217"/>
        <v>noviembre</v>
      </c>
      <c r="C955" s="27">
        <v>100188</v>
      </c>
      <c r="D955" s="23" t="s">
        <v>20</v>
      </c>
      <c r="E955" s="212" t="s">
        <v>1787</v>
      </c>
      <c r="F955" s="22" t="s">
        <v>317</v>
      </c>
      <c r="G955" s="32" t="str">
        <f>IFERROR(VLOOKUP(F955,Productos!$A$2:$D$258,2,0)," ")</f>
        <v>Superficie  Fresno Europeo 150x70 Moderno</v>
      </c>
      <c r="H955" s="7">
        <v>1</v>
      </c>
      <c r="I955" s="32" t="str">
        <f>IFERROR(VLOOKUP(F955,Productos!$A$2:$D$258,3,0)," ")</f>
        <v>Superficie</v>
      </c>
      <c r="J955" s="202" t="s">
        <v>21</v>
      </c>
      <c r="K955" s="205" t="s">
        <v>22</v>
      </c>
      <c r="L955" s="26" t="str">
        <f t="shared" si="218"/>
        <v>En alistamiento</v>
      </c>
      <c r="M955" s="56"/>
      <c r="N955" s="198"/>
      <c r="O955" s="150"/>
      <c r="P955" s="151"/>
      <c r="Q955" s="24" t="str">
        <f t="shared" si="188"/>
        <v>En transito</v>
      </c>
      <c r="R955" s="25" t="str">
        <f>IF(L955="Despachado",NETWORKDAYS.INTL(A955,O955,11,Valores!$A$2:$A$18)-1,"PTE")</f>
        <v>PTE</v>
      </c>
      <c r="S955" s="25" t="str">
        <f>IF(Q955="Entregado",NETWORKDAYS.INTL(A955,P955,11,Valores!$A$2:$A$18)-1,"PTE")</f>
        <v>PTE</v>
      </c>
      <c r="T955" s="25"/>
      <c r="U955" s="25"/>
      <c r="V955" s="25" t="str">
        <f>IF(Q955="Entregado",IF(S955&lt;=VLOOKUP(K955,Valores!E:F,2,0),"Cumple","No cumple"),"PTE")</f>
        <v>PTE</v>
      </c>
      <c r="W955" s="25"/>
      <c r="X955" s="29"/>
      <c r="Y955" s="224"/>
      <c r="Z955" s="28"/>
    </row>
    <row r="956" spans="1:26" hidden="1" x14ac:dyDescent="0.3">
      <c r="A956" s="34">
        <v>45979</v>
      </c>
      <c r="B956" s="7" t="str">
        <f t="shared" si="217"/>
        <v>noviembre</v>
      </c>
      <c r="C956" s="27">
        <v>100188</v>
      </c>
      <c r="D956" s="23" t="s">
        <v>20</v>
      </c>
      <c r="E956" s="212" t="s">
        <v>1787</v>
      </c>
      <c r="F956" s="22" t="s">
        <v>89</v>
      </c>
      <c r="G956" s="32" t="str">
        <f>IFERROR(VLOOKUP(F956,Productos!$A$2:$D$258,2,0)," ")</f>
        <v>Desk Stool Gris Silla ajustable</v>
      </c>
      <c r="H956" s="7">
        <v>1</v>
      </c>
      <c r="I956" s="32" t="str">
        <f>IFERROR(VLOOKUP(F956,Productos!$A$2:$D$258,3,0)," ")</f>
        <v>Silla</v>
      </c>
      <c r="J956" s="202" t="s">
        <v>21</v>
      </c>
      <c r="K956" s="205" t="s">
        <v>22</v>
      </c>
      <c r="L956" s="26" t="str">
        <f t="shared" si="218"/>
        <v>En alistamiento</v>
      </c>
      <c r="M956" s="56"/>
      <c r="N956" s="198"/>
      <c r="O956" s="150"/>
      <c r="P956" s="151"/>
      <c r="Q956" s="24" t="str">
        <f t="shared" si="188"/>
        <v>En transito</v>
      </c>
      <c r="R956" s="25" t="str">
        <f>IF(L956="Despachado",NETWORKDAYS.INTL(A956,O956,11,Valores!$A$2:$A$18)-1,"PTE")</f>
        <v>PTE</v>
      </c>
      <c r="S956" s="25" t="str">
        <f>IF(Q956="Entregado",NETWORKDAYS.INTL(A956,P956,11,Valores!$A$2:$A$18)-1,"PTE")</f>
        <v>PTE</v>
      </c>
      <c r="T956" s="25"/>
      <c r="U956" s="25"/>
      <c r="V956" s="25" t="str">
        <f>IF(Q956="Entregado",IF(S956&lt;=VLOOKUP(K956,Valores!E:F,2,0),"Cumple","No cumple"),"PTE")</f>
        <v>PTE</v>
      </c>
      <c r="W956" s="25"/>
      <c r="X956" s="29"/>
      <c r="Y956" s="224"/>
      <c r="Z956" s="28"/>
    </row>
    <row r="957" spans="1:26" hidden="1" x14ac:dyDescent="0.3">
      <c r="A957" s="34">
        <v>45980</v>
      </c>
      <c r="B957" s="7" t="str">
        <f t="shared" si="217"/>
        <v>noviembre</v>
      </c>
      <c r="C957" s="27">
        <v>100189</v>
      </c>
      <c r="D957" s="23" t="s">
        <v>20</v>
      </c>
      <c r="E957" s="212" t="s">
        <v>1788</v>
      </c>
      <c r="F957" s="22" t="s">
        <v>133</v>
      </c>
      <c r="G957" s="32" t="str">
        <f>IFERROR(VLOOKUP(F957,Productos!$A$2:$D$258,2,0)," ")</f>
        <v>Electric Standing Desk  PRO Blanco</v>
      </c>
      <c r="H957" s="7">
        <v>1</v>
      </c>
      <c r="I957" s="32" t="str">
        <f>IFERROR(VLOOKUP(F957,Productos!$A$2:$D$258,3,0)," ")</f>
        <v>Standing Desk</v>
      </c>
      <c r="J957" s="213" t="s">
        <v>1423</v>
      </c>
      <c r="K957" s="213" t="s">
        <v>41</v>
      </c>
      <c r="L957" s="26" t="str">
        <f t="shared" si="218"/>
        <v>En alistamiento</v>
      </c>
      <c r="M957" s="56"/>
      <c r="N957" s="198"/>
      <c r="O957" s="150"/>
      <c r="P957" s="151"/>
      <c r="Q957" s="24" t="str">
        <f t="shared" si="188"/>
        <v>En transito</v>
      </c>
      <c r="R957" s="25" t="str">
        <f>IF(L957="Despachado",NETWORKDAYS.INTL(A957,O957,11,Valores!$A$2:$A$18)-1,"PTE")</f>
        <v>PTE</v>
      </c>
      <c r="S957" s="25" t="str">
        <f>IF(Q957="Entregado",NETWORKDAYS.INTL(A957,P957,11,Valores!$A$2:$A$18)-1,"PTE")</f>
        <v>PTE</v>
      </c>
      <c r="T957" s="25"/>
      <c r="U957" s="25"/>
      <c r="V957" s="25" t="str">
        <f>IF(Q957="Entregado",IF(S957&lt;=VLOOKUP(K957,Valores!E:F,2,0),"Cumple","No cumple"),"PTE")</f>
        <v>PTE</v>
      </c>
      <c r="W957" s="25"/>
      <c r="X957" s="29"/>
      <c r="Y957" s="224"/>
      <c r="Z957" s="28"/>
    </row>
    <row r="958" spans="1:26" hidden="1" x14ac:dyDescent="0.3">
      <c r="A958" s="34">
        <v>45980</v>
      </c>
      <c r="B958" s="7" t="str">
        <f t="shared" si="217"/>
        <v>noviembre</v>
      </c>
      <c r="C958" s="27">
        <v>100189</v>
      </c>
      <c r="D958" s="23" t="s">
        <v>20</v>
      </c>
      <c r="E958" s="212" t="s">
        <v>1788</v>
      </c>
      <c r="F958" s="22" t="s">
        <v>1499</v>
      </c>
      <c r="G958" s="32" t="str">
        <f>IFERROR(VLOOKUP(F958,Productos!$A$2:$D$258,2,0)," ")</f>
        <v>Superficie Escritorio Fresno Europeo 140x60 Clasico</v>
      </c>
      <c r="H958" s="7">
        <v>1</v>
      </c>
      <c r="I958" s="32" t="str">
        <f>IFERROR(VLOOKUP(F958,Productos!$A$2:$D$258,3,0)," ")</f>
        <v>Superficie</v>
      </c>
      <c r="J958" s="213" t="s">
        <v>1423</v>
      </c>
      <c r="K958" s="213" t="s">
        <v>41</v>
      </c>
      <c r="L958" s="26" t="str">
        <f t="shared" si="218"/>
        <v>En alistamiento</v>
      </c>
      <c r="M958" s="56"/>
      <c r="N958" s="198"/>
      <c r="O958" s="150"/>
      <c r="P958" s="151"/>
      <c r="Q958" s="24" t="str">
        <f t="shared" si="188"/>
        <v>En transito</v>
      </c>
      <c r="R958" s="25" t="str">
        <f>IF(L958="Despachado",NETWORKDAYS.INTL(A958,O958,11,Valores!$A$2:$A$18)-1,"PTE")</f>
        <v>PTE</v>
      </c>
      <c r="S958" s="25" t="str">
        <f>IF(Q958="Entregado",NETWORKDAYS.INTL(A958,P958,11,Valores!$A$2:$A$18)-1,"PTE")</f>
        <v>PTE</v>
      </c>
      <c r="T958" s="25"/>
      <c r="U958" s="25"/>
      <c r="V958" s="25" t="str">
        <f>IF(Q958="Entregado",IF(S958&lt;=VLOOKUP(K958,Valores!E:F,2,0),"Cumple","No cumple"),"PTE")</f>
        <v>PTE</v>
      </c>
      <c r="W958" s="25"/>
      <c r="X958" s="29"/>
      <c r="Y958" s="224"/>
      <c r="Z958" s="28"/>
    </row>
    <row r="959" spans="1:26" hidden="1" x14ac:dyDescent="0.3">
      <c r="A959" s="34">
        <v>45980</v>
      </c>
      <c r="B959" s="7" t="str">
        <f t="shared" ref="B959:B960" si="219">TEXT(A959,"mmmm")</f>
        <v>noviembre</v>
      </c>
      <c r="C959" s="27">
        <v>100190</v>
      </c>
      <c r="D959" s="23" t="s">
        <v>20</v>
      </c>
      <c r="E959" s="212" t="s">
        <v>1789</v>
      </c>
      <c r="F959" s="22" t="s">
        <v>129</v>
      </c>
      <c r="G959" s="32" t="str">
        <f>IFERROR(VLOOKUP(F959,Productos!$A$2:$D$258,2,0)," ")</f>
        <v>Electric Standing Desk  PRO Negro</v>
      </c>
      <c r="H959" s="7">
        <v>1</v>
      </c>
      <c r="I959" s="32" t="str">
        <f>IFERROR(VLOOKUP(F959,Productos!$A$2:$D$258,3,0)," ")</f>
        <v>Standing Desk</v>
      </c>
      <c r="J959" s="213" t="s">
        <v>24</v>
      </c>
      <c r="K959" s="213" t="s">
        <v>27</v>
      </c>
      <c r="L959" s="26" t="str">
        <f t="shared" si="218"/>
        <v>En alistamiento</v>
      </c>
      <c r="M959" s="56"/>
      <c r="N959" s="198"/>
      <c r="O959" s="150"/>
      <c r="P959" s="151"/>
      <c r="Q959" s="24" t="str">
        <f t="shared" si="188"/>
        <v>En transito</v>
      </c>
      <c r="R959" s="25" t="str">
        <f>IF(L959="Despachado",NETWORKDAYS.INTL(A959,O959,11,Valores!$A$2:$A$18)-1,"PTE")</f>
        <v>PTE</v>
      </c>
      <c r="S959" s="25" t="str">
        <f>IF(Q959="Entregado",NETWORKDAYS.INTL(A959,P959,11,Valores!$A$2:$A$18)-1,"PTE")</f>
        <v>PTE</v>
      </c>
      <c r="T959" s="25"/>
      <c r="U959" s="25"/>
      <c r="V959" s="25" t="str">
        <f>IF(Q959="Entregado",IF(S959&lt;=VLOOKUP(K959,Valores!E:F,2,0),"Cumple","No cumple"),"PTE")</f>
        <v>PTE</v>
      </c>
      <c r="W959" s="25"/>
      <c r="X959" s="29"/>
      <c r="Y959" s="224"/>
      <c r="Z959" s="28"/>
    </row>
    <row r="960" spans="1:26" hidden="1" x14ac:dyDescent="0.3">
      <c r="A960" s="34">
        <v>45980</v>
      </c>
      <c r="B960" s="7" t="str">
        <f t="shared" si="219"/>
        <v>noviembre</v>
      </c>
      <c r="C960" s="27">
        <v>100190</v>
      </c>
      <c r="D960" s="23" t="s">
        <v>20</v>
      </c>
      <c r="E960" s="212" t="s">
        <v>1789</v>
      </c>
      <c r="F960" s="22" t="s">
        <v>1583</v>
      </c>
      <c r="G960" s="32" t="str">
        <f>IFERROR(VLOOKUP(F960,Productos!$A$2:$D$258,2,0)," ")</f>
        <v>Superficie Escritorio Blanco (Niebla) 160x80 Clasico</v>
      </c>
      <c r="H960" s="7">
        <v>1</v>
      </c>
      <c r="I960" s="32" t="str">
        <f>IFERROR(VLOOKUP(F960,Productos!$A$2:$D$258,3,0)," ")</f>
        <v>Superficie</v>
      </c>
      <c r="J960" s="213" t="s">
        <v>24</v>
      </c>
      <c r="K960" s="213" t="s">
        <v>27</v>
      </c>
      <c r="L960" s="26" t="str">
        <f t="shared" si="218"/>
        <v>En alistamiento</v>
      </c>
      <c r="M960" s="56"/>
      <c r="N960" s="198"/>
      <c r="O960" s="150"/>
      <c r="P960" s="151"/>
      <c r="Q960" s="24" t="str">
        <f t="shared" si="188"/>
        <v>En transito</v>
      </c>
      <c r="R960" s="25" t="str">
        <f>IF(L960="Despachado",NETWORKDAYS.INTL(A960,O960,11,Valores!$A$2:$A$18)-1,"PTE")</f>
        <v>PTE</v>
      </c>
      <c r="S960" s="25" t="str">
        <f>IF(Q960="Entregado",NETWORKDAYS.INTL(A960,P960,11,Valores!$A$2:$A$18)-1,"PTE")</f>
        <v>PTE</v>
      </c>
      <c r="T960" s="25"/>
      <c r="U960" s="25"/>
      <c r="V960" s="25" t="str">
        <f>IF(Q960="Entregado",IF(S960&lt;=VLOOKUP(K960,Valores!E:F,2,0),"Cumple","No cumple"),"PTE")</f>
        <v>PTE</v>
      </c>
      <c r="W960" s="25"/>
      <c r="X960" s="29"/>
      <c r="Y960" s="224"/>
      <c r="Z960" s="28"/>
    </row>
    <row r="961" spans="1:26" hidden="1" x14ac:dyDescent="0.3">
      <c r="A961" s="34">
        <v>45980</v>
      </c>
      <c r="B961" s="7" t="str">
        <f t="shared" ref="B961" si="220">TEXT(A961,"mmmm")</f>
        <v>noviembre</v>
      </c>
      <c r="C961" s="27">
        <v>100191</v>
      </c>
      <c r="D961" s="23" t="s">
        <v>20</v>
      </c>
      <c r="E961" s="212" t="s">
        <v>1790</v>
      </c>
      <c r="F961" s="22" t="s">
        <v>129</v>
      </c>
      <c r="G961" s="32" t="str">
        <f>IFERROR(VLOOKUP(F961,Productos!$A$2:$D$258,2,0)," ")</f>
        <v>Electric Standing Desk  PRO Negro</v>
      </c>
      <c r="H961" s="7">
        <v>1</v>
      </c>
      <c r="I961" s="32" t="str">
        <f>IFERROR(VLOOKUP(F961,Productos!$A$2:$D$258,3,0)," ")</f>
        <v>Standing Desk</v>
      </c>
      <c r="J961" s="202" t="s">
        <v>21</v>
      </c>
      <c r="K961" s="205" t="s">
        <v>22</v>
      </c>
      <c r="L961" s="26" t="str">
        <f t="shared" ref="L961:L963" si="221">IF(O961&gt;0,"Despachado","En alistamiento")</f>
        <v>En alistamiento</v>
      </c>
      <c r="M961" s="56"/>
      <c r="N961" s="198"/>
      <c r="O961" s="150"/>
      <c r="P961" s="151"/>
      <c r="Q961" s="24" t="str">
        <f t="shared" si="188"/>
        <v>En transito</v>
      </c>
      <c r="R961" s="25" t="str">
        <f>IF(L961="Despachado",NETWORKDAYS.INTL(A961,O961,11,Valores!$A$2:$A$18)-1,"PTE")</f>
        <v>PTE</v>
      </c>
      <c r="S961" s="25" t="str">
        <f>IF(Q961="Entregado",NETWORKDAYS.INTL(A961,P961,11,Valores!$A$2:$A$18)-1,"PTE")</f>
        <v>PTE</v>
      </c>
      <c r="T961" s="25"/>
      <c r="U961" s="25"/>
      <c r="V961" s="25" t="str">
        <f>IF(Q961="Entregado",IF(S961&lt;=VLOOKUP(K961,Valores!E:F,2,0),"Cumple","No cumple"),"PTE")</f>
        <v>PTE</v>
      </c>
      <c r="W961" s="25"/>
      <c r="X961" s="29"/>
      <c r="Y961" s="224"/>
      <c r="Z961" s="28"/>
    </row>
    <row r="962" spans="1:26" hidden="1" x14ac:dyDescent="0.3">
      <c r="A962" s="34">
        <v>45980</v>
      </c>
      <c r="B962" s="7" t="str">
        <f t="shared" ref="B962" si="222">TEXT(A962,"mmmm")</f>
        <v>noviembre</v>
      </c>
      <c r="C962" s="27">
        <v>100191</v>
      </c>
      <c r="D962" s="23" t="s">
        <v>20</v>
      </c>
      <c r="E962" s="212" t="s">
        <v>1790</v>
      </c>
      <c r="F962" s="22" t="s">
        <v>1583</v>
      </c>
      <c r="G962" s="32" t="str">
        <f>IFERROR(VLOOKUP(F962,Productos!$A$2:$D$258,2,0)," ")</f>
        <v>Superficie Escritorio Blanco (Niebla) 160x80 Clasico</v>
      </c>
      <c r="H962" s="7">
        <v>1</v>
      </c>
      <c r="I962" s="32" t="str">
        <f>IFERROR(VLOOKUP(F962,Productos!$A$2:$D$258,3,0)," ")</f>
        <v>Superficie</v>
      </c>
      <c r="J962" s="202" t="s">
        <v>21</v>
      </c>
      <c r="K962" s="205" t="s">
        <v>22</v>
      </c>
      <c r="L962" s="26" t="str">
        <f t="shared" si="221"/>
        <v>En alistamiento</v>
      </c>
      <c r="M962" s="56"/>
      <c r="N962" s="198"/>
      <c r="O962" s="150"/>
      <c r="P962" s="151"/>
      <c r="Q962" s="24" t="str">
        <f t="shared" si="188"/>
        <v>En transito</v>
      </c>
      <c r="R962" s="25" t="str">
        <f>IF(L962="Despachado",NETWORKDAYS.INTL(A962,O962,11,Valores!$A$2:$A$18)-1,"PTE")</f>
        <v>PTE</v>
      </c>
      <c r="S962" s="25" t="str">
        <f>IF(Q962="Entregado",NETWORKDAYS.INTL(A962,P962,11,Valores!$A$2:$A$18)-1,"PTE")</f>
        <v>PTE</v>
      </c>
      <c r="T962" s="25"/>
      <c r="U962" s="25"/>
      <c r="V962" s="25" t="str">
        <f>IF(Q962="Entregado",IF(S962&lt;=VLOOKUP(K962,Valores!E:F,2,0),"Cumple","No cumple"),"PTE")</f>
        <v>PTE</v>
      </c>
      <c r="W962" s="25"/>
      <c r="X962" s="29"/>
      <c r="Y962" s="224"/>
      <c r="Z962" s="28"/>
    </row>
    <row r="963" spans="1:26" hidden="1" x14ac:dyDescent="0.3">
      <c r="A963" s="34">
        <v>45980</v>
      </c>
      <c r="B963" s="7" t="str">
        <f t="shared" ref="B963" si="223">TEXT(A963,"mmmm")</f>
        <v>noviembre</v>
      </c>
      <c r="C963" s="27">
        <v>100191</v>
      </c>
      <c r="D963" s="23" t="s">
        <v>20</v>
      </c>
      <c r="E963" s="212" t="s">
        <v>1790</v>
      </c>
      <c r="F963" s="22"/>
      <c r="G963" s="32" t="s">
        <v>1796</v>
      </c>
      <c r="H963" s="7">
        <v>1</v>
      </c>
      <c r="I963" s="32" t="s">
        <v>327</v>
      </c>
      <c r="J963" s="202" t="s">
        <v>21</v>
      </c>
      <c r="K963" s="205" t="s">
        <v>22</v>
      </c>
      <c r="L963" s="26" t="str">
        <f t="shared" si="221"/>
        <v>Despachado</v>
      </c>
      <c r="M963" s="56" t="s">
        <v>241</v>
      </c>
      <c r="N963" s="218" t="s">
        <v>241</v>
      </c>
      <c r="O963" s="219" t="s">
        <v>241</v>
      </c>
      <c r="P963" s="220" t="s">
        <v>241</v>
      </c>
      <c r="Q963" s="24" t="str">
        <f t="shared" si="188"/>
        <v>Entregado</v>
      </c>
      <c r="R963" s="25" t="e">
        <f>IF(L963="Despachado",NETWORKDAYS.INTL(A963,O963,11,Valores!$A$2:$A$18)-1,"PTE")</f>
        <v>#VALUE!</v>
      </c>
      <c r="S963" s="25" t="e">
        <f>IF(Q963="Entregado",NETWORKDAYS.INTL(A963,P963,11,Valores!$A$2:$A$18)-1,"PTE")</f>
        <v>#VALUE!</v>
      </c>
      <c r="T963" s="25"/>
      <c r="U963" s="25"/>
      <c r="V963" s="25" t="e">
        <f>IF(Q963="Entregado",IF(S963&lt;=VLOOKUP(K963,Valores!E:F,2,0),"Cumple","No cumple"),"PTE")</f>
        <v>#VALUE!</v>
      </c>
      <c r="W963" s="25"/>
      <c r="X963" s="29"/>
      <c r="Y963" s="224"/>
      <c r="Z963" s="28"/>
    </row>
    <row r="964" spans="1:26" hidden="1" x14ac:dyDescent="0.3">
      <c r="A964" s="34">
        <v>45980</v>
      </c>
      <c r="B964" s="7" t="str">
        <f t="shared" ref="B964:B971" si="224">TEXT(A964,"mmmm")</f>
        <v>noviembre</v>
      </c>
      <c r="C964" s="27">
        <v>100192</v>
      </c>
      <c r="D964" s="23" t="s">
        <v>20</v>
      </c>
      <c r="E964" s="212" t="s">
        <v>1791</v>
      </c>
      <c r="F964" s="22" t="s">
        <v>123</v>
      </c>
      <c r="G964" s="32" t="str">
        <f>IFERROR(VLOOKUP(F964,Productos!$A$2:$D$258,2,0)," ")</f>
        <v>Electric Standing Desk GO Negro</v>
      </c>
      <c r="H964" s="7">
        <v>1</v>
      </c>
      <c r="I964" s="32" t="str">
        <f>IFERROR(VLOOKUP(F964,Productos!$A$2:$D$258,3,0)," ")</f>
        <v>Standing Desk</v>
      </c>
      <c r="J964" s="202" t="s">
        <v>21</v>
      </c>
      <c r="K964" s="205" t="s">
        <v>22</v>
      </c>
      <c r="L964" s="26" t="str">
        <f t="shared" ref="L964:L965" si="225">IF(O964&gt;0,"Despachado","En alistamiento")</f>
        <v>En alistamiento</v>
      </c>
      <c r="M964" s="56"/>
      <c r="N964" s="198"/>
      <c r="O964" s="150"/>
      <c r="P964" s="151"/>
      <c r="Q964" s="24" t="str">
        <f t="shared" si="188"/>
        <v>En transito</v>
      </c>
      <c r="R964" s="25" t="str">
        <f>IF(L964="Despachado",NETWORKDAYS.INTL(A964,O964,11,Valores!$A$2:$A$18)-1,"PTE")</f>
        <v>PTE</v>
      </c>
      <c r="S964" s="25" t="str">
        <f>IF(Q964="Entregado",NETWORKDAYS.INTL(A964,P964,11,Valores!$A$2:$A$18)-1,"PTE")</f>
        <v>PTE</v>
      </c>
      <c r="T964" s="25"/>
      <c r="U964" s="25"/>
      <c r="V964" s="25" t="str">
        <f>IF(Q964="Entregado",IF(S964&lt;=VLOOKUP(K964,Valores!E:F,2,0),"Cumple","No cumple"),"PTE")</f>
        <v>PTE</v>
      </c>
      <c r="W964" s="25"/>
      <c r="X964" s="29"/>
      <c r="Y964" s="224"/>
      <c r="Z964" s="28"/>
    </row>
    <row r="965" spans="1:26" hidden="1" x14ac:dyDescent="0.3">
      <c r="A965" s="34">
        <v>45980</v>
      </c>
      <c r="B965" s="7" t="str">
        <f t="shared" si="224"/>
        <v>noviembre</v>
      </c>
      <c r="C965" s="27">
        <v>100192</v>
      </c>
      <c r="D965" s="23" t="s">
        <v>20</v>
      </c>
      <c r="E965" s="212" t="s">
        <v>1791</v>
      </c>
      <c r="F965" s="22" t="s">
        <v>26</v>
      </c>
      <c r="G965" s="32" t="str">
        <f>IFERROR(VLOOKUP(F965,Productos!$A$2:$D$258,2,0)," ")</f>
        <v>Superficie Caramelo 150x70 Clasico</v>
      </c>
      <c r="H965" s="7">
        <v>1</v>
      </c>
      <c r="I965" s="32" t="str">
        <f>IFERROR(VLOOKUP(F965,Productos!$A$2:$D$258,3,0)," ")</f>
        <v>Superficie</v>
      </c>
      <c r="J965" s="202" t="s">
        <v>21</v>
      </c>
      <c r="K965" s="205" t="s">
        <v>22</v>
      </c>
      <c r="L965" s="26" t="str">
        <f t="shared" si="225"/>
        <v>En alistamiento</v>
      </c>
      <c r="M965" s="56"/>
      <c r="N965" s="198"/>
      <c r="O965" s="150"/>
      <c r="P965" s="151"/>
      <c r="Q965" s="24" t="str">
        <f t="shared" si="188"/>
        <v>En transito</v>
      </c>
      <c r="R965" s="25" t="str">
        <f>IF(L965="Despachado",NETWORKDAYS.INTL(A965,O965,11,Valores!$A$2:$A$18)-1,"PTE")</f>
        <v>PTE</v>
      </c>
      <c r="S965" s="25" t="str">
        <f>IF(Q965="Entregado",NETWORKDAYS.INTL(A965,P965,11,Valores!$A$2:$A$18)-1,"PTE")</f>
        <v>PTE</v>
      </c>
      <c r="T965" s="25"/>
      <c r="U965" s="25"/>
      <c r="V965" s="25" t="str">
        <f>IF(Q965="Entregado",IF(S965&lt;=VLOOKUP(K965,Valores!E:F,2,0),"Cumple","No cumple"),"PTE")</f>
        <v>PTE</v>
      </c>
      <c r="W965" s="25"/>
      <c r="X965" s="29"/>
      <c r="Y965" s="224"/>
      <c r="Z965" s="28"/>
    </row>
    <row r="966" spans="1:26" hidden="1" x14ac:dyDescent="0.3">
      <c r="A966" s="34">
        <v>45981</v>
      </c>
      <c r="B966" s="7" t="str">
        <f t="shared" si="224"/>
        <v>noviembre</v>
      </c>
      <c r="C966" s="27">
        <v>100193</v>
      </c>
      <c r="D966" s="23" t="s">
        <v>20</v>
      </c>
      <c r="E966" s="212" t="s">
        <v>1792</v>
      </c>
      <c r="F966" s="22" t="s">
        <v>129</v>
      </c>
      <c r="G966" s="32" t="str">
        <f>IFERROR(VLOOKUP(F966,Productos!$A$2:$D$258,2,0)," ")</f>
        <v>Electric Standing Desk  PRO Negro</v>
      </c>
      <c r="H966" s="7">
        <v>1</v>
      </c>
      <c r="I966" s="32" t="str">
        <f>IFERROR(VLOOKUP(F966,Productos!$A$2:$D$258,3,0)," ")</f>
        <v>Standing Desk</v>
      </c>
      <c r="J966" s="202" t="s">
        <v>21</v>
      </c>
      <c r="K966" s="205" t="s">
        <v>22</v>
      </c>
      <c r="L966" s="26" t="str">
        <f t="shared" ref="L966:L969" si="226">IF(O966&gt;0,"Despachado","En alistamiento")</f>
        <v>En alistamiento</v>
      </c>
      <c r="M966" s="56"/>
      <c r="N966" s="198"/>
      <c r="O966" s="150"/>
      <c r="P966" s="151"/>
      <c r="Q966" s="24" t="str">
        <f t="shared" si="188"/>
        <v>En transito</v>
      </c>
      <c r="R966" s="25" t="str">
        <f>IF(L966="Despachado",NETWORKDAYS.INTL(A966,O966,11,Valores!$A$2:$A$18)-1,"PTE")</f>
        <v>PTE</v>
      </c>
      <c r="S966" s="25" t="str">
        <f>IF(Q966="Entregado",NETWORKDAYS.INTL(A966,P966,11,Valores!$A$2:$A$18)-1,"PTE")</f>
        <v>PTE</v>
      </c>
      <c r="T966" s="25"/>
      <c r="U966" s="25"/>
      <c r="V966" s="25" t="str">
        <f>IF(Q966="Entregado",IF(S966&lt;=VLOOKUP(K966,Valores!E:F,2,0),"Cumple","No cumple"),"PTE")</f>
        <v>PTE</v>
      </c>
      <c r="W966" s="25"/>
      <c r="X966" s="29"/>
      <c r="Y966" s="224"/>
      <c r="Z966" s="28"/>
    </row>
    <row r="967" spans="1:26" hidden="1" x14ac:dyDescent="0.3">
      <c r="A967" s="34">
        <v>45981</v>
      </c>
      <c r="B967" s="7" t="str">
        <f t="shared" si="224"/>
        <v>noviembre</v>
      </c>
      <c r="C967" s="27">
        <v>100193</v>
      </c>
      <c r="D967" s="23" t="s">
        <v>20</v>
      </c>
      <c r="E967" s="212" t="s">
        <v>1792</v>
      </c>
      <c r="F967" s="22" t="s">
        <v>1459</v>
      </c>
      <c r="G967" s="32" t="str">
        <f>IFERROR(VLOOKUP(F967,Productos!$A$2:$D$258,2,0)," ")</f>
        <v>Superficie Escritorio Caramelo 120x60 Clasico Small</v>
      </c>
      <c r="H967" s="7">
        <v>1</v>
      </c>
      <c r="I967" s="32" t="str">
        <f>IFERROR(VLOOKUP(F967,Productos!$A$2:$D$258,3,0)," ")</f>
        <v>Superficie</v>
      </c>
      <c r="J967" s="202" t="s">
        <v>21</v>
      </c>
      <c r="K967" s="205" t="s">
        <v>22</v>
      </c>
      <c r="L967" s="26" t="str">
        <f t="shared" si="226"/>
        <v>En alistamiento</v>
      </c>
      <c r="M967" s="56"/>
      <c r="N967" s="198"/>
      <c r="O967" s="150"/>
      <c r="P967" s="151"/>
      <c r="Q967" s="24" t="str">
        <f t="shared" si="188"/>
        <v>En transito</v>
      </c>
      <c r="R967" s="25" t="str">
        <f>IF(L967="Despachado",NETWORKDAYS.INTL(A967,O967,11,Valores!$A$2:$A$18)-1,"PTE")</f>
        <v>PTE</v>
      </c>
      <c r="S967" s="25" t="str">
        <f>IF(Q967="Entregado",NETWORKDAYS.INTL(A967,P967,11,Valores!$A$2:$A$18)-1,"PTE")</f>
        <v>PTE</v>
      </c>
      <c r="T967" s="25"/>
      <c r="U967" s="25"/>
      <c r="V967" s="25" t="str">
        <f>IF(Q967="Entregado",IF(S967&lt;=VLOOKUP(K967,Valores!E:F,2,0),"Cumple","No cumple"),"PTE")</f>
        <v>PTE</v>
      </c>
      <c r="W967" s="25"/>
      <c r="X967" s="29"/>
      <c r="Y967" s="224"/>
      <c r="Z967" s="28"/>
    </row>
    <row r="968" spans="1:26" hidden="1" x14ac:dyDescent="0.3">
      <c r="A968" s="34">
        <v>45982</v>
      </c>
      <c r="B968" s="7" t="str">
        <f t="shared" si="224"/>
        <v>noviembre</v>
      </c>
      <c r="C968" s="27">
        <v>100194</v>
      </c>
      <c r="D968" s="23" t="s">
        <v>20</v>
      </c>
      <c r="E968" s="212" t="s">
        <v>1793</v>
      </c>
      <c r="F968" s="22" t="s">
        <v>129</v>
      </c>
      <c r="G968" s="32" t="str">
        <f>IFERROR(VLOOKUP(F968,Productos!$A$2:$D$258,2,0)," ")</f>
        <v>Electric Standing Desk  PRO Negro</v>
      </c>
      <c r="H968" s="7">
        <v>1</v>
      </c>
      <c r="I968" s="32" t="str">
        <f>IFERROR(VLOOKUP(F968,Productos!$A$2:$D$258,3,0)," ")</f>
        <v>Standing Desk</v>
      </c>
      <c r="J968" s="213" t="s">
        <v>216</v>
      </c>
      <c r="K968" s="213" t="s">
        <v>196</v>
      </c>
      <c r="L968" s="26" t="str">
        <f t="shared" si="226"/>
        <v>En alistamiento</v>
      </c>
      <c r="M968" s="56"/>
      <c r="N968" s="198"/>
      <c r="O968" s="150"/>
      <c r="P968" s="151"/>
      <c r="Q968" s="24" t="str">
        <f t="shared" si="188"/>
        <v>En transito</v>
      </c>
      <c r="R968" s="25" t="str">
        <f>IF(L968="Despachado",NETWORKDAYS.INTL(A968,O968,11,Valores!$A$2:$A$18)-1,"PTE")</f>
        <v>PTE</v>
      </c>
      <c r="S968" s="25" t="str">
        <f>IF(Q968="Entregado",NETWORKDAYS.INTL(A968,P968,11,Valores!$A$2:$A$18)-1,"PTE")</f>
        <v>PTE</v>
      </c>
      <c r="T968" s="25"/>
      <c r="U968" s="25"/>
      <c r="V968" s="25" t="str">
        <f>IF(Q968="Entregado",IF(S968&lt;=VLOOKUP(K968,Valores!E:F,2,0),"Cumple","No cumple"),"PTE")</f>
        <v>PTE</v>
      </c>
      <c r="W968" s="25"/>
      <c r="X968" s="29"/>
      <c r="Y968" s="224"/>
      <c r="Z968" s="28"/>
    </row>
    <row r="969" spans="1:26" hidden="1" x14ac:dyDescent="0.3">
      <c r="A969" s="34">
        <v>45982</v>
      </c>
      <c r="B969" s="7" t="str">
        <f t="shared" si="224"/>
        <v>noviembre</v>
      </c>
      <c r="C969" s="27">
        <v>100194</v>
      </c>
      <c r="D969" s="23" t="s">
        <v>20</v>
      </c>
      <c r="E969" s="212" t="s">
        <v>1793</v>
      </c>
      <c r="F969" s="22" t="s">
        <v>145</v>
      </c>
      <c r="G969" s="32" t="str">
        <f>IFERROR(VLOOKUP(F969,Productos!$A$2:$D$258,2,0)," ")</f>
        <v>Superficie  Caramelo 190x70 Clasico</v>
      </c>
      <c r="H969" s="7">
        <v>1</v>
      </c>
      <c r="I969" s="32" t="str">
        <f>IFERROR(VLOOKUP(F969,Productos!$A$2:$D$258,3,0)," ")</f>
        <v>Superficie</v>
      </c>
      <c r="J969" s="213" t="s">
        <v>216</v>
      </c>
      <c r="K969" s="213" t="s">
        <v>196</v>
      </c>
      <c r="L969" s="26" t="str">
        <f t="shared" si="226"/>
        <v>En alistamiento</v>
      </c>
      <c r="M969" s="56"/>
      <c r="N969" s="198"/>
      <c r="O969" s="150"/>
      <c r="P969" s="151"/>
      <c r="Q969" s="24" t="str">
        <f t="shared" si="188"/>
        <v>En transito</v>
      </c>
      <c r="R969" s="25" t="str">
        <f>IF(L969="Despachado",NETWORKDAYS.INTL(A969,O969,11,Valores!$A$2:$A$18)-1,"PTE")</f>
        <v>PTE</v>
      </c>
      <c r="S969" s="25" t="str">
        <f>IF(Q969="Entregado",NETWORKDAYS.INTL(A969,P969,11,Valores!$A$2:$A$18)-1,"PTE")</f>
        <v>PTE</v>
      </c>
      <c r="T969" s="25"/>
      <c r="U969" s="25"/>
      <c r="V969" s="25" t="str">
        <f>IF(Q969="Entregado",IF(S969&lt;=VLOOKUP(K969,Valores!E:F,2,0),"Cumple","No cumple"),"PTE")</f>
        <v>PTE</v>
      </c>
      <c r="W969" s="25"/>
      <c r="X969" s="29"/>
      <c r="Y969" s="224"/>
      <c r="Z969" s="28"/>
    </row>
    <row r="970" spans="1:26" hidden="1" x14ac:dyDescent="0.3">
      <c r="A970" s="34">
        <v>45983</v>
      </c>
      <c r="B970" s="7" t="str">
        <f t="shared" si="224"/>
        <v>noviembre</v>
      </c>
      <c r="C970" s="27">
        <v>100195</v>
      </c>
      <c r="D970" s="23" t="s">
        <v>20</v>
      </c>
      <c r="E970" s="212" t="s">
        <v>1794</v>
      </c>
      <c r="F970" s="22" t="s">
        <v>123</v>
      </c>
      <c r="G970" s="32" t="str">
        <f>IFERROR(VLOOKUP(F970,Productos!$A$2:$D$258,2,0)," ")</f>
        <v>Electric Standing Desk GO Negro</v>
      </c>
      <c r="H970" s="7">
        <v>1</v>
      </c>
      <c r="I970" s="32" t="str">
        <f>IFERROR(VLOOKUP(F970,Productos!$A$2:$D$258,3,0)," ")</f>
        <v>Standing Desk</v>
      </c>
      <c r="J970" s="202" t="s">
        <v>21</v>
      </c>
      <c r="K970" s="205" t="s">
        <v>22</v>
      </c>
      <c r="L970" s="26" t="str">
        <f t="shared" ref="L970:L971" si="227">IF(O970&gt;0,"Despachado","En alistamiento")</f>
        <v>En alistamiento</v>
      </c>
      <c r="M970" s="56"/>
      <c r="N970" s="198"/>
      <c r="O970" s="150"/>
      <c r="P970" s="151"/>
      <c r="Q970" s="24" t="str">
        <f t="shared" si="188"/>
        <v>En transito</v>
      </c>
      <c r="R970" s="25" t="str">
        <f>IF(L970="Despachado",NETWORKDAYS.INTL(A970,O970,11,Valores!$A$2:$A$18)-1,"PTE")</f>
        <v>PTE</v>
      </c>
      <c r="S970" s="25" t="str">
        <f>IF(Q970="Entregado",NETWORKDAYS.INTL(A970,P970,11,Valores!$A$2:$A$18)-1,"PTE")</f>
        <v>PTE</v>
      </c>
      <c r="T970" s="25"/>
      <c r="U970" s="25"/>
      <c r="V970" s="25" t="str">
        <f>IF(Q970="Entregado",IF(S970&lt;=VLOOKUP(K970,Valores!E:F,2,0),"Cumple","No cumple"),"PTE")</f>
        <v>PTE</v>
      </c>
      <c r="W970" s="25"/>
      <c r="X970" s="29"/>
      <c r="Y970" s="224"/>
      <c r="Z970" s="28"/>
    </row>
    <row r="971" spans="1:26" hidden="1" x14ac:dyDescent="0.3">
      <c r="A971" s="34">
        <v>45983</v>
      </c>
      <c r="B971" s="7" t="str">
        <f t="shared" si="224"/>
        <v>noviembre</v>
      </c>
      <c r="C971" s="27">
        <v>100195</v>
      </c>
      <c r="D971" s="23" t="s">
        <v>20</v>
      </c>
      <c r="E971" s="212" t="s">
        <v>1794</v>
      </c>
      <c r="F971" s="22" t="s">
        <v>1459</v>
      </c>
      <c r="G971" s="32" t="str">
        <f>IFERROR(VLOOKUP(F971,Productos!$A$2:$D$258,2,0)," ")</f>
        <v>Superficie Escritorio Caramelo 120x60 Clasico Small</v>
      </c>
      <c r="H971" s="7">
        <v>1</v>
      </c>
      <c r="I971" s="32" t="str">
        <f>IFERROR(VLOOKUP(F971,Productos!$A$2:$D$258,3,0)," ")</f>
        <v>Superficie</v>
      </c>
      <c r="J971" s="202" t="s">
        <v>21</v>
      </c>
      <c r="K971" s="205" t="s">
        <v>22</v>
      </c>
      <c r="L971" s="26" t="str">
        <f t="shared" si="227"/>
        <v>En alistamiento</v>
      </c>
      <c r="M971" s="56"/>
      <c r="N971" s="198"/>
      <c r="O971" s="150"/>
      <c r="P971" s="151"/>
      <c r="Q971" s="24" t="str">
        <f t="shared" ref="Q971:Q1034" si="228">IF(P971&gt;0,"Entregado","En transito")</f>
        <v>En transito</v>
      </c>
      <c r="R971" s="25" t="str">
        <f>IF(L971="Despachado",NETWORKDAYS.INTL(A971,O971,11,Valores!$A$2:$A$18)-1,"PTE")</f>
        <v>PTE</v>
      </c>
      <c r="S971" s="25" t="str">
        <f>IF(Q971="Entregado",NETWORKDAYS.INTL(A971,P971,11,Valores!$A$2:$A$18)-1,"PTE")</f>
        <v>PTE</v>
      </c>
      <c r="T971" s="25"/>
      <c r="U971" s="25"/>
      <c r="V971" s="25" t="str">
        <f>IF(Q971="Entregado",IF(S971&lt;=VLOOKUP(K971,Valores!E:F,2,0),"Cumple","No cumple"),"PTE")</f>
        <v>PTE</v>
      </c>
      <c r="W971" s="25"/>
      <c r="X971" s="29"/>
      <c r="Y971" s="224"/>
      <c r="Z971" s="28"/>
    </row>
    <row r="972" spans="1:26" hidden="1" x14ac:dyDescent="0.3">
      <c r="A972" s="34">
        <v>45983</v>
      </c>
      <c r="B972" s="7" t="str">
        <f t="shared" ref="B972:B973" si="229">TEXT(A972,"mmmm")</f>
        <v>noviembre</v>
      </c>
      <c r="C972" s="27">
        <v>100196</v>
      </c>
      <c r="D972" s="23" t="s">
        <v>20</v>
      </c>
      <c r="E972" s="212" t="s">
        <v>1795</v>
      </c>
      <c r="F972" s="22" t="s">
        <v>732</v>
      </c>
      <c r="G972" s="32" t="str">
        <f>IFERROR(VLOOKUP(F972,Productos!$A$2:$D$258,2,0)," ")</f>
        <v>Electric Standing Desk  PRO Negro circular</v>
      </c>
      <c r="H972" s="7">
        <v>1</v>
      </c>
      <c r="I972" s="32" t="str">
        <f>IFERROR(VLOOKUP(F972,Productos!$A$2:$D$258,3,0)," ")</f>
        <v>Standing Desk</v>
      </c>
      <c r="J972" s="213" t="s">
        <v>1423</v>
      </c>
      <c r="K972" s="213" t="s">
        <v>41</v>
      </c>
      <c r="L972" s="26" t="str">
        <f t="shared" ref="L972:L973" si="230">IF(O972&gt;0,"Despachado","En alistamiento")</f>
        <v>En alistamiento</v>
      </c>
      <c r="M972" s="56"/>
      <c r="N972" s="198"/>
      <c r="O972" s="150"/>
      <c r="P972" s="151"/>
      <c r="Q972" s="24" t="str">
        <f t="shared" si="228"/>
        <v>En transito</v>
      </c>
      <c r="R972" s="25" t="str">
        <f>IF(L972="Despachado",NETWORKDAYS.INTL(A972,O972,11,Valores!$A$2:$A$18)-1,"PTE")</f>
        <v>PTE</v>
      </c>
      <c r="S972" s="25" t="str">
        <f>IF(Q972="Entregado",NETWORKDAYS.INTL(A972,P972,11,Valores!$A$2:$A$18)-1,"PTE")</f>
        <v>PTE</v>
      </c>
      <c r="T972" s="25"/>
      <c r="U972" s="25"/>
      <c r="V972" s="25" t="str">
        <f>IF(Q972="Entregado",IF(S972&lt;=VLOOKUP(K972,Valores!E:F,2,0),"Cumple","No cumple"),"PTE")</f>
        <v>PTE</v>
      </c>
      <c r="W972" s="25"/>
      <c r="X972" s="29"/>
      <c r="Y972" s="224"/>
      <c r="Z972" s="28"/>
    </row>
    <row r="973" spans="1:26" hidden="1" x14ac:dyDescent="0.3">
      <c r="A973" s="34">
        <v>45983</v>
      </c>
      <c r="B973" s="7" t="str">
        <f t="shared" si="229"/>
        <v>noviembre</v>
      </c>
      <c r="C973" s="27">
        <v>100196</v>
      </c>
      <c r="D973" s="23" t="s">
        <v>20</v>
      </c>
      <c r="E973" s="212" t="s">
        <v>1795</v>
      </c>
      <c r="F973" s="22" t="s">
        <v>1517</v>
      </c>
      <c r="G973" s="32" t="str">
        <f>IFERROR(VLOOKUP(F973,Productos!$A$2:$D$258,2,0)," ")</f>
        <v>Superficie Escritorio Fresno Europeo 150x80 Clasico</v>
      </c>
      <c r="H973" s="7">
        <v>1</v>
      </c>
      <c r="I973" s="32" t="str">
        <f>IFERROR(VLOOKUP(F973,Productos!$A$2:$D$258,3,0)," ")</f>
        <v>Superficie</v>
      </c>
      <c r="J973" s="213" t="s">
        <v>1423</v>
      </c>
      <c r="K973" s="213" t="s">
        <v>41</v>
      </c>
      <c r="L973" s="26" t="str">
        <f t="shared" si="230"/>
        <v>En alistamiento</v>
      </c>
      <c r="M973" s="56"/>
      <c r="N973" s="198"/>
      <c r="O973" s="150"/>
      <c r="P973" s="151"/>
      <c r="Q973" s="24" t="str">
        <f t="shared" si="228"/>
        <v>En transito</v>
      </c>
      <c r="R973" s="25" t="str">
        <f>IF(L973="Despachado",NETWORKDAYS.INTL(A973,O973,11,Valores!$A$2:$A$18)-1,"PTE")</f>
        <v>PTE</v>
      </c>
      <c r="S973" s="25" t="str">
        <f>IF(Q973="Entregado",NETWORKDAYS.INTL(A973,P973,11,Valores!$A$2:$A$18)-1,"PTE")</f>
        <v>PTE</v>
      </c>
      <c r="T973" s="25"/>
      <c r="U973" s="25"/>
      <c r="V973" s="25" t="str">
        <f>IF(Q973="Entregado",IF(S973&lt;=VLOOKUP(K973,Valores!E:F,2,0),"Cumple","No cumple"),"PTE")</f>
        <v>PTE</v>
      </c>
      <c r="W973" s="25"/>
      <c r="X973" s="29"/>
      <c r="Y973" s="224"/>
      <c r="Z973" s="28"/>
    </row>
    <row r="974" spans="1:26" hidden="1" x14ac:dyDescent="0.3">
      <c r="A974" s="34">
        <v>45983</v>
      </c>
      <c r="B974" s="7" t="str">
        <f t="shared" ref="B974:B980" si="231">TEXT(A974,"mmmm")</f>
        <v>noviembre</v>
      </c>
      <c r="C974" s="27">
        <v>100196</v>
      </c>
      <c r="D974" s="23" t="s">
        <v>20</v>
      </c>
      <c r="E974" s="212" t="s">
        <v>1795</v>
      </c>
      <c r="F974" s="22" t="s">
        <v>240</v>
      </c>
      <c r="G974" s="32" t="str">
        <f>IFERROR(VLOOKUP(F974,Productos!$A$2:$D$258,2,0)," ")</f>
        <v>Bandeja de cables</v>
      </c>
      <c r="H974" s="7">
        <v>1</v>
      </c>
      <c r="I974" s="32" t="str">
        <f>IFERROR(VLOOKUP(F974,Productos!$A$2:$D$258,3,0)," ")</f>
        <v>Accesorio</v>
      </c>
      <c r="J974" s="213" t="s">
        <v>1423</v>
      </c>
      <c r="K974" s="213" t="s">
        <v>41</v>
      </c>
      <c r="L974" s="26" t="str">
        <f t="shared" ref="L974:L976" si="232">IF(O974&gt;0,"Despachado","En alistamiento")</f>
        <v>En alistamiento</v>
      </c>
      <c r="M974" s="56"/>
      <c r="N974" s="198"/>
      <c r="O974" s="150"/>
      <c r="P974" s="151"/>
      <c r="Q974" s="24" t="str">
        <f t="shared" si="228"/>
        <v>En transito</v>
      </c>
      <c r="R974" s="25" t="str">
        <f>IF(L974="Despachado",NETWORKDAYS.INTL(A974,O974,11,Valores!$A$2:$A$18)-1,"PTE")</f>
        <v>PTE</v>
      </c>
      <c r="S974" s="25" t="str">
        <f>IF(Q974="Entregado",NETWORKDAYS.INTL(A974,P974,11,Valores!$A$2:$A$18)-1,"PTE")</f>
        <v>PTE</v>
      </c>
      <c r="T974" s="25"/>
      <c r="U974" s="25"/>
      <c r="V974" s="25" t="str">
        <f>IF(Q974="Entregado",IF(S974&lt;=VLOOKUP(K974,Valores!E:F,2,0),"Cumple","No cumple"),"PTE")</f>
        <v>PTE</v>
      </c>
      <c r="W974" s="25"/>
      <c r="X974" s="29"/>
      <c r="Y974" s="224"/>
      <c r="Z974" s="28"/>
    </row>
    <row r="975" spans="1:26" hidden="1" x14ac:dyDescent="0.3">
      <c r="A975" s="34">
        <v>45984</v>
      </c>
      <c r="B975" s="7" t="str">
        <f t="shared" si="231"/>
        <v>noviembre</v>
      </c>
      <c r="C975" s="27">
        <v>100197</v>
      </c>
      <c r="D975" s="23" t="s">
        <v>20</v>
      </c>
      <c r="E975" s="212" t="s">
        <v>1797</v>
      </c>
      <c r="F975" s="22" t="s">
        <v>133</v>
      </c>
      <c r="G975" s="32" t="str">
        <f>IFERROR(VLOOKUP(F975,Productos!$A$2:$D$258,2,0)," ")</f>
        <v>Electric Standing Desk  PRO Blanco</v>
      </c>
      <c r="H975" s="7">
        <v>1</v>
      </c>
      <c r="I975" s="32" t="str">
        <f>IFERROR(VLOOKUP(F975,Productos!$A$2:$D$258,3,0)," ")</f>
        <v>Standing Desk</v>
      </c>
      <c r="J975" s="202" t="s">
        <v>21</v>
      </c>
      <c r="K975" s="205" t="s">
        <v>22</v>
      </c>
      <c r="L975" s="26" t="str">
        <f t="shared" si="232"/>
        <v>En alistamiento</v>
      </c>
      <c r="M975" s="56"/>
      <c r="N975" s="198"/>
      <c r="O975" s="150"/>
      <c r="P975" s="151"/>
      <c r="Q975" s="24" t="str">
        <f t="shared" si="228"/>
        <v>En transito</v>
      </c>
      <c r="R975" s="25" t="str">
        <f>IF(L975="Despachado",NETWORKDAYS.INTL(A975,O975,11,Valores!$A$2:$A$18)-1,"PTE")</f>
        <v>PTE</v>
      </c>
      <c r="S975" s="25" t="str">
        <f>IF(Q975="Entregado",NETWORKDAYS.INTL(A975,P975,11,Valores!$A$2:$A$18)-1,"PTE")</f>
        <v>PTE</v>
      </c>
      <c r="T975" s="25"/>
      <c r="U975" s="25"/>
      <c r="V975" s="25" t="str">
        <f>IF(Q975="Entregado",IF(S975&lt;=VLOOKUP(K975,Valores!E:F,2,0),"Cumple","No cumple"),"PTE")</f>
        <v>PTE</v>
      </c>
      <c r="W975" s="25"/>
      <c r="X975" s="29"/>
      <c r="Y975" s="224"/>
      <c r="Z975" s="28"/>
    </row>
    <row r="976" spans="1:26" hidden="1" x14ac:dyDescent="0.3">
      <c r="A976" s="34">
        <v>45984</v>
      </c>
      <c r="B976" s="7" t="str">
        <f t="shared" si="231"/>
        <v>noviembre</v>
      </c>
      <c r="C976" s="27">
        <v>100197</v>
      </c>
      <c r="D976" s="23" t="s">
        <v>20</v>
      </c>
      <c r="E976" s="212" t="s">
        <v>1797</v>
      </c>
      <c r="F976" s="22" t="s">
        <v>303</v>
      </c>
      <c r="G976" s="32" t="str">
        <f>IFERROR(VLOOKUP(F976,Productos!$A$2:$D$258,2,0)," ")</f>
        <v>Superficie  Fresno Europeo 140x70 Clasico</v>
      </c>
      <c r="H976" s="7">
        <v>1</v>
      </c>
      <c r="I976" s="32" t="str">
        <f>IFERROR(VLOOKUP(F976,Productos!$A$2:$D$258,3,0)," ")</f>
        <v>Superficie</v>
      </c>
      <c r="J976" s="202" t="s">
        <v>21</v>
      </c>
      <c r="K976" s="205" t="s">
        <v>22</v>
      </c>
      <c r="L976" s="26" t="str">
        <f t="shared" si="232"/>
        <v>En alistamiento</v>
      </c>
      <c r="M976" s="56"/>
      <c r="N976" s="198"/>
      <c r="O976" s="150"/>
      <c r="P976" s="151"/>
      <c r="Q976" s="24" t="str">
        <f t="shared" si="228"/>
        <v>En transito</v>
      </c>
      <c r="R976" s="25" t="str">
        <f>IF(L976="Despachado",NETWORKDAYS.INTL(A976,O976,11,Valores!$A$2:$A$18)-1,"PTE")</f>
        <v>PTE</v>
      </c>
      <c r="S976" s="25" t="str">
        <f>IF(Q976="Entregado",NETWORKDAYS.INTL(A976,P976,11,Valores!$A$2:$A$18)-1,"PTE")</f>
        <v>PTE</v>
      </c>
      <c r="T976" s="25"/>
      <c r="U976" s="25"/>
      <c r="V976" s="25" t="str">
        <f>IF(Q976="Entregado",IF(S976&lt;=VLOOKUP(K976,Valores!E:F,2,0),"Cumple","No cumple"),"PTE")</f>
        <v>PTE</v>
      </c>
      <c r="W976" s="25"/>
      <c r="X976" s="29"/>
      <c r="Y976" s="224"/>
      <c r="Z976" s="28"/>
    </row>
    <row r="977" spans="1:26" hidden="1" x14ac:dyDescent="0.3">
      <c r="A977" s="34">
        <v>45985</v>
      </c>
      <c r="B977" s="7" t="str">
        <f t="shared" si="231"/>
        <v>noviembre</v>
      </c>
      <c r="C977" s="27">
        <v>100198</v>
      </c>
      <c r="D977" s="23" t="s">
        <v>20</v>
      </c>
      <c r="E977" s="212" t="s">
        <v>1798</v>
      </c>
      <c r="F977" s="22" t="s">
        <v>129</v>
      </c>
      <c r="G977" s="32" t="str">
        <f>IFERROR(VLOOKUP(F977,Productos!$A$2:$D$258,2,0)," ")</f>
        <v>Electric Standing Desk  PRO Negro</v>
      </c>
      <c r="H977" s="7">
        <v>1</v>
      </c>
      <c r="I977" s="32" t="str">
        <f>IFERROR(VLOOKUP(F977,Productos!$A$2:$D$258,3,0)," ")</f>
        <v>Standing Desk</v>
      </c>
      <c r="J977" s="202" t="s">
        <v>21</v>
      </c>
      <c r="K977" s="205" t="s">
        <v>22</v>
      </c>
      <c r="L977" s="26" t="str">
        <f t="shared" ref="L977:L982" si="233">IF(O977&gt;0,"Despachado","En alistamiento")</f>
        <v>En alistamiento</v>
      </c>
      <c r="M977" s="56"/>
      <c r="N977" s="198"/>
      <c r="O977" s="150"/>
      <c r="P977" s="151"/>
      <c r="Q977" s="24" t="str">
        <f t="shared" si="228"/>
        <v>En transito</v>
      </c>
      <c r="R977" s="25" t="str">
        <f>IF(L977="Despachado",NETWORKDAYS.INTL(A977,O977,11,Valores!$A$2:$A$18)-1,"PTE")</f>
        <v>PTE</v>
      </c>
      <c r="S977" s="25" t="str">
        <f>IF(Q977="Entregado",NETWORKDAYS.INTL(A977,P977,11,Valores!$A$2:$A$18)-1,"PTE")</f>
        <v>PTE</v>
      </c>
      <c r="T977" s="25"/>
      <c r="U977" s="25"/>
      <c r="V977" s="25" t="str">
        <f>IF(Q977="Entregado",IF(S977&lt;=VLOOKUP(K977,Valores!E:F,2,0),"Cumple","No cumple"),"PTE")</f>
        <v>PTE</v>
      </c>
      <c r="W977" s="25"/>
      <c r="X977" s="29"/>
      <c r="Y977" s="224"/>
      <c r="Z977" s="28"/>
    </row>
    <row r="978" spans="1:26" hidden="1" x14ac:dyDescent="0.3">
      <c r="A978" s="34">
        <v>45985</v>
      </c>
      <c r="B978" s="7" t="str">
        <f t="shared" si="231"/>
        <v>noviembre</v>
      </c>
      <c r="C978" s="27">
        <v>100198</v>
      </c>
      <c r="D978" s="23" t="s">
        <v>20</v>
      </c>
      <c r="E978" s="212" t="s">
        <v>1798</v>
      </c>
      <c r="F978" s="22" t="s">
        <v>264</v>
      </c>
      <c r="G978" s="32" t="str">
        <f>IFERROR(VLOOKUP(F978,Productos!$A$2:$D$258,2,0)," ")</f>
        <v>Superficie Roble Miel 180x70 Clasico</v>
      </c>
      <c r="H978" s="7">
        <v>1</v>
      </c>
      <c r="I978" s="32" t="str">
        <f>IFERROR(VLOOKUP(F978,Productos!$A$2:$D$258,3,0)," ")</f>
        <v>Superficie</v>
      </c>
      <c r="J978" s="202" t="s">
        <v>21</v>
      </c>
      <c r="K978" s="205" t="s">
        <v>22</v>
      </c>
      <c r="L978" s="26" t="str">
        <f t="shared" si="233"/>
        <v>En alistamiento</v>
      </c>
      <c r="M978" s="56"/>
      <c r="N978" s="198"/>
      <c r="O978" s="150"/>
      <c r="P978" s="151"/>
      <c r="Q978" s="24" t="str">
        <f t="shared" si="228"/>
        <v>En transito</v>
      </c>
      <c r="R978" s="25" t="str">
        <f>IF(L978="Despachado",NETWORKDAYS.INTL(A978,O978,11,Valores!$A$2:$A$18)-1,"PTE")</f>
        <v>PTE</v>
      </c>
      <c r="S978" s="25" t="str">
        <f>IF(Q978="Entregado",NETWORKDAYS.INTL(A978,P978,11,Valores!$A$2:$A$18)-1,"PTE")</f>
        <v>PTE</v>
      </c>
      <c r="T978" s="25"/>
      <c r="U978" s="25"/>
      <c r="V978" s="25" t="str">
        <f>IF(Q978="Entregado",IF(S978&lt;=VLOOKUP(K978,Valores!E:F,2,0),"Cumple","No cumple"),"PTE")</f>
        <v>PTE</v>
      </c>
      <c r="W978" s="25"/>
      <c r="X978" s="29"/>
      <c r="Y978" s="224"/>
      <c r="Z978" s="28"/>
    </row>
    <row r="979" spans="1:26" hidden="1" x14ac:dyDescent="0.3">
      <c r="A979" s="34">
        <v>45985</v>
      </c>
      <c r="B979" s="7" t="str">
        <f t="shared" si="231"/>
        <v>noviembre</v>
      </c>
      <c r="C979" s="27">
        <v>100198</v>
      </c>
      <c r="D979" s="23" t="s">
        <v>20</v>
      </c>
      <c r="E979" s="212" t="s">
        <v>1798</v>
      </c>
      <c r="F979" s="22" t="s">
        <v>240</v>
      </c>
      <c r="G979" s="32" t="str">
        <f>IFERROR(VLOOKUP(F979,Productos!$A$2:$D$258,2,0)," ")</f>
        <v>Bandeja de cables</v>
      </c>
      <c r="H979" s="7">
        <v>1</v>
      </c>
      <c r="I979" s="32" t="str">
        <f>IFERROR(VLOOKUP(F979,Productos!$A$2:$D$258,3,0)," ")</f>
        <v>Accesorio</v>
      </c>
      <c r="J979" s="202" t="s">
        <v>21</v>
      </c>
      <c r="K979" s="205" t="s">
        <v>22</v>
      </c>
      <c r="L979" s="26" t="str">
        <f t="shared" si="233"/>
        <v>En alistamiento</v>
      </c>
      <c r="M979" s="56"/>
      <c r="N979" s="198"/>
      <c r="O979" s="150"/>
      <c r="P979" s="151"/>
      <c r="Q979" s="24" t="str">
        <f t="shared" si="228"/>
        <v>En transito</v>
      </c>
      <c r="R979" s="25" t="str">
        <f>IF(L979="Despachado",NETWORKDAYS.INTL(A979,O979,11,Valores!$A$2:$A$18)-1,"PTE")</f>
        <v>PTE</v>
      </c>
      <c r="S979" s="25" t="str">
        <f>IF(Q979="Entregado",NETWORKDAYS.INTL(A979,P979,11,Valores!$A$2:$A$18)-1,"PTE")</f>
        <v>PTE</v>
      </c>
      <c r="T979" s="25"/>
      <c r="U979" s="25"/>
      <c r="V979" s="25" t="str">
        <f>IF(Q979="Entregado",IF(S979&lt;=VLOOKUP(K979,Valores!E:F,2,0),"Cumple","No cumple"),"PTE")</f>
        <v>PTE</v>
      </c>
      <c r="W979" s="25"/>
      <c r="X979" s="29"/>
      <c r="Y979" s="224"/>
      <c r="Z979" s="28"/>
    </row>
    <row r="980" spans="1:26" hidden="1" x14ac:dyDescent="0.3">
      <c r="A980" s="34">
        <v>45985</v>
      </c>
      <c r="B980" s="7" t="str">
        <f t="shared" si="231"/>
        <v>noviembre</v>
      </c>
      <c r="C980" s="27">
        <v>100199</v>
      </c>
      <c r="D980" s="23" t="s">
        <v>20</v>
      </c>
      <c r="E980" s="212" t="s">
        <v>1799</v>
      </c>
      <c r="F980" s="22" t="s">
        <v>74</v>
      </c>
      <c r="G980" s="32" t="str">
        <f>IFERROR(VLOOKUP(F980,Productos!$A$2:$D$258,2,0)," ")</f>
        <v>Repisa Caramelo</v>
      </c>
      <c r="H980" s="7">
        <v>1</v>
      </c>
      <c r="I980" s="32" t="str">
        <f>IFERROR(VLOOKUP(F980,Productos!$A$2:$D$258,3,0)," ")</f>
        <v>Repisa</v>
      </c>
      <c r="J980" s="213" t="s">
        <v>24</v>
      </c>
      <c r="K980" s="213" t="s">
        <v>644</v>
      </c>
      <c r="L980" s="26" t="str">
        <f t="shared" si="233"/>
        <v>En alistamiento</v>
      </c>
      <c r="M980" s="56"/>
      <c r="N980" s="198"/>
      <c r="O980" s="150"/>
      <c r="P980" s="151"/>
      <c r="Q980" s="24" t="str">
        <f t="shared" si="228"/>
        <v>En transito</v>
      </c>
      <c r="R980" s="25" t="str">
        <f>IF(L980="Despachado",NETWORKDAYS.INTL(A980,O980,11,Valores!$A$2:$A$18)-1,"PTE")</f>
        <v>PTE</v>
      </c>
      <c r="S980" s="25" t="str">
        <f>IF(Q980="Entregado",NETWORKDAYS.INTL(A980,P980,11,Valores!$A$2:$A$18)-1,"PTE")</f>
        <v>PTE</v>
      </c>
      <c r="T980" s="25"/>
      <c r="U980" s="25"/>
      <c r="V980" s="25" t="str">
        <f>IF(Q980="Entregado",IF(S980&lt;=VLOOKUP(K980,Valores!E:F,2,0),"Cumple","No cumple"),"PTE")</f>
        <v>PTE</v>
      </c>
      <c r="W980" s="25"/>
      <c r="X980" s="29"/>
      <c r="Y980" s="224"/>
      <c r="Z980" s="28"/>
    </row>
    <row r="981" spans="1:26" hidden="1" x14ac:dyDescent="0.3">
      <c r="A981" s="34">
        <v>45985</v>
      </c>
      <c r="B981" s="7" t="str">
        <f t="shared" ref="B981:B982" si="234">TEXT(A981,"mmmm")</f>
        <v>noviembre</v>
      </c>
      <c r="C981" s="27">
        <v>100200</v>
      </c>
      <c r="D981" s="23" t="s">
        <v>20</v>
      </c>
      <c r="E981" s="212" t="s">
        <v>1800</v>
      </c>
      <c r="F981" s="22" t="s">
        <v>127</v>
      </c>
      <c r="G981" s="32" t="str">
        <f>IFERROR(VLOOKUP(F981,Productos!$A$2:$D$258,2,0)," ")</f>
        <v>Electric Standing Desk GO Blanco</v>
      </c>
      <c r="H981" s="7">
        <v>1</v>
      </c>
      <c r="I981" s="32" t="str">
        <f>IFERROR(VLOOKUP(F981,Productos!$A$2:$D$258,3,0)," ")</f>
        <v>Standing Desk</v>
      </c>
      <c r="J981" s="213" t="s">
        <v>24</v>
      </c>
      <c r="K981" s="213" t="s">
        <v>27</v>
      </c>
      <c r="L981" s="26" t="str">
        <f t="shared" si="233"/>
        <v>En alistamiento</v>
      </c>
      <c r="M981" s="56"/>
      <c r="N981" s="198"/>
      <c r="O981" s="150"/>
      <c r="P981" s="151"/>
      <c r="Q981" s="24" t="str">
        <f t="shared" si="228"/>
        <v>En transito</v>
      </c>
      <c r="R981" s="25" t="str">
        <f>IF(L981="Despachado",NETWORKDAYS.INTL(A981,O981,11,Valores!$A$2:$A$18)-1,"PTE")</f>
        <v>PTE</v>
      </c>
      <c r="S981" s="25" t="str">
        <f>IF(Q981="Entregado",NETWORKDAYS.INTL(A981,P981,11,Valores!$A$2:$A$18)-1,"PTE")</f>
        <v>PTE</v>
      </c>
      <c r="T981" s="25"/>
      <c r="U981" s="25"/>
      <c r="V981" s="25" t="str">
        <f>IF(Q981="Entregado",IF(S981&lt;=VLOOKUP(K981,Valores!E:F,2,0),"Cumple","No cumple"),"PTE")</f>
        <v>PTE</v>
      </c>
      <c r="W981" s="25"/>
      <c r="X981" s="29"/>
      <c r="Y981" s="224"/>
      <c r="Z981" s="28"/>
    </row>
    <row r="982" spans="1:26" hidden="1" x14ac:dyDescent="0.3">
      <c r="A982" s="34">
        <v>45985</v>
      </c>
      <c r="B982" s="7" t="str">
        <f t="shared" si="234"/>
        <v>noviembre</v>
      </c>
      <c r="C982" s="27">
        <v>100200</v>
      </c>
      <c r="D982" s="23" t="s">
        <v>20</v>
      </c>
      <c r="E982" s="212" t="s">
        <v>1800</v>
      </c>
      <c r="F982" s="22" t="s">
        <v>1527</v>
      </c>
      <c r="G982" s="32" t="str">
        <f>IFERROR(VLOOKUP(F982,Productos!$A$2:$D$258,2,0)," ")</f>
        <v>Superficie Escritorio Roble Negro 120x60 Clasico Small</v>
      </c>
      <c r="H982" s="7">
        <v>1</v>
      </c>
      <c r="I982" s="32" t="str">
        <f>IFERROR(VLOOKUP(F982,Productos!$A$2:$D$258,3,0)," ")</f>
        <v>Superficie</v>
      </c>
      <c r="J982" s="213" t="s">
        <v>24</v>
      </c>
      <c r="K982" s="213" t="s">
        <v>27</v>
      </c>
      <c r="L982" s="26" t="str">
        <f t="shared" si="233"/>
        <v>En alistamiento</v>
      </c>
      <c r="M982" s="56"/>
      <c r="N982" s="198"/>
      <c r="O982" s="150"/>
      <c r="P982" s="151"/>
      <c r="Q982" s="24" t="str">
        <f t="shared" si="228"/>
        <v>En transito</v>
      </c>
      <c r="R982" s="25" t="str">
        <f>IF(L982="Despachado",NETWORKDAYS.INTL(A982,O982,11,Valores!$A$2:$A$18)-1,"PTE")</f>
        <v>PTE</v>
      </c>
      <c r="S982" s="25" t="str">
        <f>IF(Q982="Entregado",NETWORKDAYS.INTL(A982,P982,11,Valores!$A$2:$A$18)-1,"PTE")</f>
        <v>PTE</v>
      </c>
      <c r="T982" s="25"/>
      <c r="U982" s="25"/>
      <c r="V982" s="25" t="str">
        <f>IF(Q982="Entregado",IF(S982&lt;=VLOOKUP(K982,Valores!E:F,2,0),"Cumple","No cumple"),"PTE")</f>
        <v>PTE</v>
      </c>
      <c r="W982" s="25"/>
      <c r="X982" s="29"/>
      <c r="Y982" s="224"/>
      <c r="Z982" s="28"/>
    </row>
    <row r="983" spans="1:26" hidden="1" x14ac:dyDescent="0.3">
      <c r="A983" s="34">
        <v>45985</v>
      </c>
      <c r="B983" s="7" t="str">
        <f t="shared" ref="B983" si="235">TEXT(A983,"mmmm")</f>
        <v>noviembre</v>
      </c>
      <c r="C983" s="27">
        <v>100201</v>
      </c>
      <c r="D983" s="23" t="s">
        <v>20</v>
      </c>
      <c r="E983" s="212" t="s">
        <v>1801</v>
      </c>
      <c r="F983" s="22" t="s">
        <v>240</v>
      </c>
      <c r="G983" s="32" t="str">
        <f>IFERROR(VLOOKUP(F983,Productos!$A$2:$D$258,2,0)," ")</f>
        <v>Bandeja de cables</v>
      </c>
      <c r="H983" s="7">
        <v>1</v>
      </c>
      <c r="I983" s="32" t="str">
        <f>IFERROR(VLOOKUP(F983,Productos!$A$2:$D$258,3,0)," ")</f>
        <v>Accesorio</v>
      </c>
      <c r="J983" s="213" t="s">
        <v>24</v>
      </c>
      <c r="K983" s="213" t="s">
        <v>39</v>
      </c>
      <c r="L983" s="26" t="str">
        <f t="shared" ref="L983:L988" si="236">IF(O983&gt;0,"Despachado","En alistamiento")</f>
        <v>En alistamiento</v>
      </c>
      <c r="M983" s="56"/>
      <c r="N983" s="198"/>
      <c r="O983" s="150"/>
      <c r="P983" s="151"/>
      <c r="Q983" s="24" t="str">
        <f t="shared" si="228"/>
        <v>En transito</v>
      </c>
      <c r="R983" s="25" t="str">
        <f>IF(L983="Despachado",NETWORKDAYS.INTL(A983,O983,11,Valores!$A$2:$A$18)-1,"PTE")</f>
        <v>PTE</v>
      </c>
      <c r="S983" s="25" t="str">
        <f>IF(Q983="Entregado",NETWORKDAYS.INTL(A983,P983,11,Valores!$A$2:$A$18)-1,"PTE")</f>
        <v>PTE</v>
      </c>
      <c r="T983" s="25"/>
      <c r="U983" s="25"/>
      <c r="V983" s="25" t="str">
        <f>IF(Q983="Entregado",IF(S983&lt;=VLOOKUP(K983,Valores!E:F,2,0),"Cumple","No cumple"),"PTE")</f>
        <v>PTE</v>
      </c>
      <c r="W983" s="25"/>
      <c r="X983" s="29"/>
      <c r="Y983" s="224"/>
      <c r="Z983" s="28"/>
    </row>
    <row r="984" spans="1:26" hidden="1" x14ac:dyDescent="0.3">
      <c r="A984" s="34">
        <v>45985</v>
      </c>
      <c r="B984" s="7" t="str">
        <f t="shared" ref="B984" si="237">TEXT(A984,"mmmm")</f>
        <v>noviembre</v>
      </c>
      <c r="C984" s="27">
        <v>100202</v>
      </c>
      <c r="D984" s="23" t="s">
        <v>20</v>
      </c>
      <c r="E984" s="212" t="s">
        <v>1802</v>
      </c>
      <c r="F984" s="22" t="s">
        <v>1602</v>
      </c>
      <c r="G984" s="32" t="str">
        <f>IFERROR(VLOOKUP(F984,Productos!$A$2:$D$258,2,0)," ")</f>
        <v>Cajonero 2.0 Bicolor Caramelo x65cm</v>
      </c>
      <c r="H984" s="7">
        <v>1</v>
      </c>
      <c r="I984" s="32" t="str">
        <f>IFERROR(VLOOKUP(F984,Productos!$A$2:$D$258,3,0)," ")</f>
        <v>Archivador</v>
      </c>
      <c r="J984" s="213" t="s">
        <v>222</v>
      </c>
      <c r="K984" s="213" t="s">
        <v>223</v>
      </c>
      <c r="L984" s="26" t="str">
        <f t="shared" si="236"/>
        <v>En alistamiento</v>
      </c>
      <c r="M984" s="56"/>
      <c r="N984" s="198"/>
      <c r="O984" s="150"/>
      <c r="P984" s="151"/>
      <c r="Q984" s="24" t="str">
        <f t="shared" si="228"/>
        <v>En transito</v>
      </c>
      <c r="R984" s="25" t="str">
        <f>IF(L984="Despachado",NETWORKDAYS.INTL(A984,O984,11,Valores!$A$2:$A$18)-1,"PTE")</f>
        <v>PTE</v>
      </c>
      <c r="S984" s="25" t="str">
        <f>IF(Q984="Entregado",NETWORKDAYS.INTL(A984,P984,11,Valores!$A$2:$A$18)-1,"PTE")</f>
        <v>PTE</v>
      </c>
      <c r="T984" s="25"/>
      <c r="U984" s="25"/>
      <c r="V984" s="25" t="str">
        <f>IF(Q984="Entregado",IF(S984&lt;=VLOOKUP(K984,Valores!E:F,2,0),"Cumple","No cumple"),"PTE")</f>
        <v>PTE</v>
      </c>
      <c r="W984" s="25"/>
      <c r="X984" s="29"/>
      <c r="Y984" s="224"/>
      <c r="Z984" s="28"/>
    </row>
    <row r="985" spans="1:26" hidden="1" x14ac:dyDescent="0.3">
      <c r="A985" s="34">
        <v>45985</v>
      </c>
      <c r="B985" s="7" t="str">
        <f t="shared" ref="B985" si="238">TEXT(A985,"mmmm")</f>
        <v>noviembre</v>
      </c>
      <c r="C985" s="27">
        <v>100203</v>
      </c>
      <c r="D985" s="23" t="s">
        <v>20</v>
      </c>
      <c r="E985" s="212" t="s">
        <v>1803</v>
      </c>
      <c r="F985" s="22" t="s">
        <v>127</v>
      </c>
      <c r="G985" s="32" t="str">
        <f>IFERROR(VLOOKUP(F985,Productos!$A$2:$D$258,2,0)," ")</f>
        <v>Electric Standing Desk GO Blanco</v>
      </c>
      <c r="H985" s="7">
        <v>1</v>
      </c>
      <c r="I985" s="32" t="str">
        <f>IFERROR(VLOOKUP(F985,Productos!$A$2:$D$258,3,0)," ")</f>
        <v>Standing Desk</v>
      </c>
      <c r="J985" s="213" t="s">
        <v>24</v>
      </c>
      <c r="K985" s="213" t="s">
        <v>48</v>
      </c>
      <c r="L985" s="26" t="str">
        <f t="shared" si="236"/>
        <v>En alistamiento</v>
      </c>
      <c r="M985" s="56"/>
      <c r="N985" s="198"/>
      <c r="O985" s="150"/>
      <c r="P985" s="151"/>
      <c r="Q985" s="24" t="str">
        <f t="shared" si="228"/>
        <v>En transito</v>
      </c>
      <c r="R985" s="25" t="str">
        <f>IF(L985="Despachado",NETWORKDAYS.INTL(A985,O985,11,Valores!$A$2:$A$18)-1,"PTE")</f>
        <v>PTE</v>
      </c>
      <c r="S985" s="25" t="str">
        <f>IF(Q985="Entregado",NETWORKDAYS.INTL(A985,P985,11,Valores!$A$2:$A$18)-1,"PTE")</f>
        <v>PTE</v>
      </c>
      <c r="T985" s="25"/>
      <c r="U985" s="25"/>
      <c r="V985" s="25" t="str">
        <f>IF(Q985="Entregado",IF(S985&lt;=VLOOKUP(K985,Valores!E:F,2,0),"Cumple","No cumple"),"PTE")</f>
        <v>PTE</v>
      </c>
      <c r="W985" s="25"/>
      <c r="X985" s="29"/>
      <c r="Y985" s="224"/>
      <c r="Z985" s="28"/>
    </row>
    <row r="986" spans="1:26" hidden="1" x14ac:dyDescent="0.3">
      <c r="A986" s="34">
        <v>45985</v>
      </c>
      <c r="B986" s="7" t="str">
        <f t="shared" ref="B986" si="239">TEXT(A986,"mmmm")</f>
        <v>noviembre</v>
      </c>
      <c r="C986" s="27">
        <v>100203</v>
      </c>
      <c r="D986" s="23" t="s">
        <v>20</v>
      </c>
      <c r="E986" s="212" t="s">
        <v>1803</v>
      </c>
      <c r="F986" s="22" t="s">
        <v>1499</v>
      </c>
      <c r="G986" s="32" t="str">
        <f>IFERROR(VLOOKUP(F986,Productos!$A$2:$D$258,2,0)," ")</f>
        <v>Superficie Escritorio Fresno Europeo 140x60 Clasico</v>
      </c>
      <c r="H986" s="7">
        <v>1</v>
      </c>
      <c r="I986" s="32" t="str">
        <f>IFERROR(VLOOKUP(F986,Productos!$A$2:$D$258,3,0)," ")</f>
        <v>Superficie</v>
      </c>
      <c r="J986" s="213" t="s">
        <v>24</v>
      </c>
      <c r="K986" s="213" t="s">
        <v>48</v>
      </c>
      <c r="L986" s="26" t="str">
        <f t="shared" si="236"/>
        <v>En alistamiento</v>
      </c>
      <c r="M986" s="56"/>
      <c r="N986" s="198"/>
      <c r="O986" s="150"/>
      <c r="P986" s="151"/>
      <c r="Q986" s="24" t="str">
        <f t="shared" si="228"/>
        <v>En transito</v>
      </c>
      <c r="R986" s="25" t="str">
        <f>IF(L986="Despachado",NETWORKDAYS.INTL(A986,O986,11,Valores!$A$2:$A$18)-1,"PTE")</f>
        <v>PTE</v>
      </c>
      <c r="S986" s="25" t="str">
        <f>IF(Q986="Entregado",NETWORKDAYS.INTL(A986,P986,11,Valores!$A$2:$A$18)-1,"PTE")</f>
        <v>PTE</v>
      </c>
      <c r="T986" s="25"/>
      <c r="U986" s="25"/>
      <c r="V986" s="25" t="str">
        <f>IF(Q986="Entregado",IF(S986&lt;=VLOOKUP(K986,Valores!E:F,2,0),"Cumple","No cumple"),"PTE")</f>
        <v>PTE</v>
      </c>
      <c r="W986" s="25"/>
      <c r="X986" s="29"/>
      <c r="Y986" s="224"/>
      <c r="Z986" s="28"/>
    </row>
    <row r="987" spans="1:26" hidden="1" x14ac:dyDescent="0.3">
      <c r="A987" s="34">
        <v>45985</v>
      </c>
      <c r="B987" s="7" t="str">
        <f t="shared" ref="B987:B990" si="240">TEXT(A987,"mmmm")</f>
        <v>noviembre</v>
      </c>
      <c r="C987" s="27">
        <v>100204</v>
      </c>
      <c r="D987" s="23" t="s">
        <v>20</v>
      </c>
      <c r="E987" s="212" t="s">
        <v>1804</v>
      </c>
      <c r="F987" s="22" t="s">
        <v>133</v>
      </c>
      <c r="G987" s="32" t="str">
        <f>IFERROR(VLOOKUP(F987,Productos!$A$2:$D$258,2,0)," ")</f>
        <v>Electric Standing Desk  PRO Blanco</v>
      </c>
      <c r="H987" s="7">
        <v>1</v>
      </c>
      <c r="I987" s="32" t="str">
        <f>IFERROR(VLOOKUP(F987,Productos!$A$2:$D$258,3,0)," ")</f>
        <v>Standing Desk</v>
      </c>
      <c r="J987" s="202" t="s">
        <v>21</v>
      </c>
      <c r="K987" s="205" t="s">
        <v>22</v>
      </c>
      <c r="L987" s="26" t="str">
        <f t="shared" si="236"/>
        <v>En alistamiento</v>
      </c>
      <c r="M987" s="56"/>
      <c r="N987" s="198"/>
      <c r="O987" s="150"/>
      <c r="P987" s="151"/>
      <c r="Q987" s="24" t="str">
        <f t="shared" si="228"/>
        <v>En transito</v>
      </c>
      <c r="R987" s="25" t="str">
        <f>IF(L987="Despachado",NETWORKDAYS.INTL(A987,O987,11,Valores!$A$2:$A$18)-1,"PTE")</f>
        <v>PTE</v>
      </c>
      <c r="S987" s="25" t="str">
        <f>IF(Q987="Entregado",NETWORKDAYS.INTL(A987,P987,11,Valores!$A$2:$A$18)-1,"PTE")</f>
        <v>PTE</v>
      </c>
      <c r="T987" s="25"/>
      <c r="U987" s="25"/>
      <c r="V987" s="25" t="str">
        <f>IF(Q987="Entregado",IF(S987&lt;=VLOOKUP(K987,Valores!E:F,2,0),"Cumple","No cumple"),"PTE")</f>
        <v>PTE</v>
      </c>
      <c r="W987" s="25"/>
      <c r="X987" s="29"/>
      <c r="Y987" s="224"/>
      <c r="Z987" s="28"/>
    </row>
    <row r="988" spans="1:26" hidden="1" x14ac:dyDescent="0.3">
      <c r="A988" s="34">
        <v>45985</v>
      </c>
      <c r="B988" s="7" t="str">
        <f t="shared" si="240"/>
        <v>noviembre</v>
      </c>
      <c r="C988" s="27">
        <v>100204</v>
      </c>
      <c r="D988" s="23" t="s">
        <v>20</v>
      </c>
      <c r="E988" s="212" t="s">
        <v>1804</v>
      </c>
      <c r="F988" s="22" t="s">
        <v>303</v>
      </c>
      <c r="G988" s="32" t="str">
        <f>IFERROR(VLOOKUP(F988,Productos!$A$2:$D$258,2,0)," ")</f>
        <v>Superficie  Fresno Europeo 140x70 Clasico</v>
      </c>
      <c r="H988" s="7">
        <v>1</v>
      </c>
      <c r="I988" s="32" t="str">
        <f>IFERROR(VLOOKUP(F988,Productos!$A$2:$D$258,3,0)," ")</f>
        <v>Superficie</v>
      </c>
      <c r="J988" s="202" t="s">
        <v>21</v>
      </c>
      <c r="K988" s="205" t="s">
        <v>22</v>
      </c>
      <c r="L988" s="26" t="str">
        <f t="shared" si="236"/>
        <v>En alistamiento</v>
      </c>
      <c r="M988" s="56"/>
      <c r="N988" s="198"/>
      <c r="O988" s="150"/>
      <c r="P988" s="151"/>
      <c r="Q988" s="24" t="str">
        <f t="shared" si="228"/>
        <v>En transito</v>
      </c>
      <c r="R988" s="25" t="str">
        <f>IF(L988="Despachado",NETWORKDAYS.INTL(A988,O988,11,Valores!$A$2:$A$18)-1,"PTE")</f>
        <v>PTE</v>
      </c>
      <c r="S988" s="25" t="str">
        <f>IF(Q988="Entregado",NETWORKDAYS.INTL(A988,P988,11,Valores!$A$2:$A$18)-1,"PTE")</f>
        <v>PTE</v>
      </c>
      <c r="T988" s="25"/>
      <c r="U988" s="25"/>
      <c r="V988" s="25" t="str">
        <f>IF(Q988="Entregado",IF(S988&lt;=VLOOKUP(K988,Valores!E:F,2,0),"Cumple","No cumple"),"PTE")</f>
        <v>PTE</v>
      </c>
      <c r="W988" s="25"/>
      <c r="X988" s="29"/>
      <c r="Y988" s="224"/>
      <c r="Z988" s="28"/>
    </row>
    <row r="989" spans="1:26" hidden="1" x14ac:dyDescent="0.3">
      <c r="A989" s="34">
        <v>45986</v>
      </c>
      <c r="B989" s="7" t="str">
        <f t="shared" si="240"/>
        <v>noviembre</v>
      </c>
      <c r="C989" s="27">
        <v>100205</v>
      </c>
      <c r="D989" s="23" t="s">
        <v>20</v>
      </c>
      <c r="E989" s="212" t="s">
        <v>1805</v>
      </c>
      <c r="F989" s="22" t="s">
        <v>127</v>
      </c>
      <c r="G989" s="32" t="str">
        <f>IFERROR(VLOOKUP(F989,Productos!$A$2:$D$258,2,0)," ")</f>
        <v>Electric Standing Desk GO Blanco</v>
      </c>
      <c r="H989" s="7">
        <v>1</v>
      </c>
      <c r="I989" s="32" t="str">
        <f>IFERROR(VLOOKUP(F989,Productos!$A$2:$D$258,3,0)," ")</f>
        <v>Standing Desk</v>
      </c>
      <c r="J989" s="213" t="s">
        <v>206</v>
      </c>
      <c r="K989" s="213" t="s">
        <v>37</v>
      </c>
      <c r="L989" s="26" t="str">
        <f t="shared" ref="L989:L996" si="241">IF(O989&gt;0,"Despachado","En alistamiento")</f>
        <v>En alistamiento</v>
      </c>
      <c r="M989" s="56"/>
      <c r="N989" s="198"/>
      <c r="O989" s="150"/>
      <c r="P989" s="151"/>
      <c r="Q989" s="24" t="str">
        <f t="shared" si="228"/>
        <v>En transito</v>
      </c>
      <c r="R989" s="25" t="str">
        <f>IF(L989="Despachado",NETWORKDAYS.INTL(A989,O989,11,Valores!$A$2:$A$18)-1,"PTE")</f>
        <v>PTE</v>
      </c>
      <c r="S989" s="25" t="str">
        <f>IF(Q989="Entregado",NETWORKDAYS.INTL(A989,P989,11,Valores!$A$2:$A$18)-1,"PTE")</f>
        <v>PTE</v>
      </c>
      <c r="T989" s="25"/>
      <c r="U989" s="25"/>
      <c r="V989" s="25" t="str">
        <f>IF(Q989="Entregado",IF(S989&lt;=VLOOKUP(K989,Valores!E:F,2,0),"Cumple","No cumple"),"PTE")</f>
        <v>PTE</v>
      </c>
      <c r="W989" s="25"/>
      <c r="X989" s="29"/>
      <c r="Y989" s="224"/>
      <c r="Z989" s="28"/>
    </row>
    <row r="990" spans="1:26" hidden="1" x14ac:dyDescent="0.3">
      <c r="A990" s="34">
        <v>45986</v>
      </c>
      <c r="B990" s="7" t="str">
        <f t="shared" si="240"/>
        <v>noviembre</v>
      </c>
      <c r="C990" s="27">
        <v>100205</v>
      </c>
      <c r="D990" s="23" t="s">
        <v>20</v>
      </c>
      <c r="E990" s="212" t="s">
        <v>1805</v>
      </c>
      <c r="F990" s="22" t="s">
        <v>1459</v>
      </c>
      <c r="G990" s="32" t="str">
        <f>IFERROR(VLOOKUP(F990,Productos!$A$2:$D$258,2,0)," ")</f>
        <v>Superficie Escritorio Caramelo 120x60 Clasico Small</v>
      </c>
      <c r="H990" s="7">
        <v>1</v>
      </c>
      <c r="I990" s="32" t="str">
        <f>IFERROR(VLOOKUP(F990,Productos!$A$2:$D$258,3,0)," ")</f>
        <v>Superficie</v>
      </c>
      <c r="J990" s="213" t="s">
        <v>206</v>
      </c>
      <c r="K990" s="213" t="s">
        <v>37</v>
      </c>
      <c r="L990" s="26" t="str">
        <f t="shared" si="241"/>
        <v>En alistamiento</v>
      </c>
      <c r="M990" s="56"/>
      <c r="N990" s="198"/>
      <c r="O990" s="150"/>
      <c r="P990" s="151"/>
      <c r="Q990" s="24" t="str">
        <f t="shared" si="228"/>
        <v>En transito</v>
      </c>
      <c r="R990" s="25" t="str">
        <f>IF(L990="Despachado",NETWORKDAYS.INTL(A990,O990,11,Valores!$A$2:$A$18)-1,"PTE")</f>
        <v>PTE</v>
      </c>
      <c r="S990" s="25" t="str">
        <f>IF(Q990="Entregado",NETWORKDAYS.INTL(A990,P990,11,Valores!$A$2:$A$18)-1,"PTE")</f>
        <v>PTE</v>
      </c>
      <c r="T990" s="25"/>
      <c r="U990" s="25"/>
      <c r="V990" s="25" t="str">
        <f>IF(Q990="Entregado",IF(S990&lt;=VLOOKUP(K990,Valores!E:F,2,0),"Cumple","No cumple"),"PTE")</f>
        <v>PTE</v>
      </c>
      <c r="W990" s="25"/>
      <c r="X990" s="29"/>
      <c r="Y990" s="224"/>
      <c r="Z990" s="28"/>
    </row>
    <row r="991" spans="1:26" hidden="1" x14ac:dyDescent="0.3">
      <c r="A991" s="34">
        <v>45986</v>
      </c>
      <c r="B991" s="7" t="str">
        <f t="shared" ref="B991:B997" si="242">TEXT(A991,"mmmm")</f>
        <v>noviembre</v>
      </c>
      <c r="C991" s="27">
        <v>100206</v>
      </c>
      <c r="D991" s="23" t="s">
        <v>20</v>
      </c>
      <c r="E991" s="212" t="s">
        <v>1806</v>
      </c>
      <c r="F991" s="22" t="s">
        <v>129</v>
      </c>
      <c r="G991" s="32" t="str">
        <f>IFERROR(VLOOKUP(F991,Productos!$A$2:$D$258,2,0)," ")</f>
        <v>Electric Standing Desk  PRO Negro</v>
      </c>
      <c r="H991" s="7">
        <v>1</v>
      </c>
      <c r="I991" s="32" t="str">
        <f>IFERROR(VLOOKUP(F991,Productos!$A$2:$D$258,3,0)," ")</f>
        <v>Standing Desk</v>
      </c>
      <c r="J991" s="213" t="s">
        <v>24</v>
      </c>
      <c r="K991" s="213" t="s">
        <v>185</v>
      </c>
      <c r="L991" s="26" t="str">
        <f t="shared" si="241"/>
        <v>En alistamiento</v>
      </c>
      <c r="M991" s="56"/>
      <c r="N991" s="198"/>
      <c r="O991" s="150"/>
      <c r="P991" s="151"/>
      <c r="Q991" s="24" t="str">
        <f t="shared" si="228"/>
        <v>En transito</v>
      </c>
      <c r="R991" s="25" t="str">
        <f>IF(L991="Despachado",NETWORKDAYS.INTL(A991,O991,11,Valores!$A$2:$A$18)-1,"PTE")</f>
        <v>PTE</v>
      </c>
      <c r="S991" s="25" t="str">
        <f>IF(Q991="Entregado",NETWORKDAYS.INTL(A991,P991,11,Valores!$A$2:$A$18)-1,"PTE")</f>
        <v>PTE</v>
      </c>
      <c r="T991" s="25"/>
      <c r="U991" s="25"/>
      <c r="V991" s="25" t="str">
        <f>IF(Q991="Entregado",IF(S991&lt;=VLOOKUP(K991,Valores!E:F,2,0),"Cumple","No cumple"),"PTE")</f>
        <v>PTE</v>
      </c>
      <c r="W991" s="25"/>
      <c r="X991" s="29"/>
      <c r="Y991" s="224"/>
      <c r="Z991" s="28"/>
    </row>
    <row r="992" spans="1:26" hidden="1" x14ac:dyDescent="0.3">
      <c r="A992" s="34">
        <v>45986</v>
      </c>
      <c r="B992" s="7" t="str">
        <f t="shared" si="242"/>
        <v>noviembre</v>
      </c>
      <c r="C992" s="27">
        <v>100206</v>
      </c>
      <c r="D992" s="23" t="s">
        <v>20</v>
      </c>
      <c r="E992" s="212" t="s">
        <v>1806</v>
      </c>
      <c r="F992" s="22" t="s">
        <v>110</v>
      </c>
      <c r="G992" s="32" t="str">
        <f>IFERROR(VLOOKUP(F992,Productos!$A$2:$D$258,2,0)," ")</f>
        <v>Superficie  Roble negro 150x70 Clasico</v>
      </c>
      <c r="H992" s="7">
        <v>1</v>
      </c>
      <c r="I992" s="32" t="str">
        <f>IFERROR(VLOOKUP(F992,Productos!$A$2:$D$258,3,0)," ")</f>
        <v>Superficie</v>
      </c>
      <c r="J992" s="213" t="s">
        <v>24</v>
      </c>
      <c r="K992" s="213" t="s">
        <v>185</v>
      </c>
      <c r="L992" s="26" t="str">
        <f t="shared" si="241"/>
        <v>En alistamiento</v>
      </c>
      <c r="M992" s="56"/>
      <c r="N992" s="198"/>
      <c r="O992" s="150"/>
      <c r="P992" s="151"/>
      <c r="Q992" s="24" t="str">
        <f t="shared" si="228"/>
        <v>En transito</v>
      </c>
      <c r="R992" s="25" t="str">
        <f>IF(L992="Despachado",NETWORKDAYS.INTL(A992,O992,11,Valores!$A$2:$A$18)-1,"PTE")</f>
        <v>PTE</v>
      </c>
      <c r="S992" s="25" t="str">
        <f>IF(Q992="Entregado",NETWORKDAYS.INTL(A992,P992,11,Valores!$A$2:$A$18)-1,"PTE")</f>
        <v>PTE</v>
      </c>
      <c r="T992" s="25"/>
      <c r="U992" s="25"/>
      <c r="V992" s="25" t="str">
        <f>IF(Q992="Entregado",IF(S992&lt;=VLOOKUP(K992,Valores!E:F,2,0),"Cumple","No cumple"),"PTE")</f>
        <v>PTE</v>
      </c>
      <c r="W992" s="25"/>
      <c r="X992" s="29"/>
      <c r="Y992" s="224"/>
      <c r="Z992" s="28"/>
    </row>
    <row r="993" spans="1:26" hidden="1" x14ac:dyDescent="0.3">
      <c r="A993" s="34">
        <v>45987</v>
      </c>
      <c r="B993" s="7" t="str">
        <f t="shared" si="242"/>
        <v>noviembre</v>
      </c>
      <c r="C993" s="27">
        <v>100207</v>
      </c>
      <c r="D993" s="23" t="s">
        <v>20</v>
      </c>
      <c r="E993" s="212" t="s">
        <v>1807</v>
      </c>
      <c r="F993" s="22" t="s">
        <v>129</v>
      </c>
      <c r="G993" s="32" t="str">
        <f>IFERROR(VLOOKUP(F993,Productos!$A$2:$D$258,2,0)," ")</f>
        <v>Electric Standing Desk  PRO Negro</v>
      </c>
      <c r="H993" s="7">
        <v>1</v>
      </c>
      <c r="I993" s="32" t="str">
        <f>IFERROR(VLOOKUP(F993,Productos!$A$2:$D$258,3,0)," ")</f>
        <v>Standing Desk</v>
      </c>
      <c r="J993" s="202" t="s">
        <v>21</v>
      </c>
      <c r="K993" s="205" t="s">
        <v>22</v>
      </c>
      <c r="L993" s="26" t="str">
        <f t="shared" si="241"/>
        <v>En alistamiento</v>
      </c>
      <c r="M993" s="56"/>
      <c r="N993" s="198"/>
      <c r="O993" s="150"/>
      <c r="P993" s="151"/>
      <c r="Q993" s="24" t="str">
        <f t="shared" si="228"/>
        <v>En transito</v>
      </c>
      <c r="R993" s="25" t="str">
        <f>IF(L993="Despachado",NETWORKDAYS.INTL(A993,O993,11,Valores!$A$2:$A$18)-1,"PTE")</f>
        <v>PTE</v>
      </c>
      <c r="S993" s="25" t="str">
        <f>IF(Q993="Entregado",NETWORKDAYS.INTL(A993,P993,11,Valores!$A$2:$A$18)-1,"PTE")</f>
        <v>PTE</v>
      </c>
      <c r="T993" s="25"/>
      <c r="U993" s="25"/>
      <c r="V993" s="25" t="str">
        <f>IF(Q993="Entregado",IF(S993&lt;=VLOOKUP(K993,Valores!E:F,2,0),"Cumple","No cumple"),"PTE")</f>
        <v>PTE</v>
      </c>
      <c r="W993" s="25"/>
      <c r="X993" s="29"/>
      <c r="Y993" s="224"/>
      <c r="Z993" s="28"/>
    </row>
    <row r="994" spans="1:26" hidden="1" x14ac:dyDescent="0.3">
      <c r="A994" s="34">
        <v>45987</v>
      </c>
      <c r="B994" s="7" t="str">
        <f t="shared" si="242"/>
        <v>noviembre</v>
      </c>
      <c r="C994" s="27">
        <v>100207</v>
      </c>
      <c r="D994" s="23" t="s">
        <v>20</v>
      </c>
      <c r="E994" s="212" t="s">
        <v>1807</v>
      </c>
      <c r="F994" s="22" t="s">
        <v>1503</v>
      </c>
      <c r="G994" s="32" t="str">
        <f>IFERROR(VLOOKUP(F994,Productos!$A$2:$D$258,2,0)," ")</f>
        <v>Superficie Escritorio Fresno Europeo 160x60 Clasico</v>
      </c>
      <c r="H994" s="7">
        <v>1</v>
      </c>
      <c r="I994" s="32" t="str">
        <f>IFERROR(VLOOKUP(F994,Productos!$A$2:$D$258,3,0)," ")</f>
        <v>Superficie</v>
      </c>
      <c r="J994" s="202" t="s">
        <v>21</v>
      </c>
      <c r="K994" s="205" t="s">
        <v>22</v>
      </c>
      <c r="L994" s="26" t="str">
        <f t="shared" si="241"/>
        <v>En alistamiento</v>
      </c>
      <c r="M994" s="56"/>
      <c r="N994" s="198"/>
      <c r="O994" s="150"/>
      <c r="P994" s="151"/>
      <c r="Q994" s="24" t="str">
        <f t="shared" si="228"/>
        <v>En transito</v>
      </c>
      <c r="R994" s="25" t="str">
        <f>IF(L994="Despachado",NETWORKDAYS.INTL(A994,O994,11,Valores!$A$2:$A$18)-1,"PTE")</f>
        <v>PTE</v>
      </c>
      <c r="S994" s="25" t="str">
        <f>IF(Q994="Entregado",NETWORKDAYS.INTL(A994,P994,11,Valores!$A$2:$A$18)-1,"PTE")</f>
        <v>PTE</v>
      </c>
      <c r="T994" s="25"/>
      <c r="U994" s="25"/>
      <c r="V994" s="25" t="str">
        <f>IF(Q994="Entregado",IF(S994&lt;=VLOOKUP(K994,Valores!E:F,2,0),"Cumple","No cumple"),"PTE")</f>
        <v>PTE</v>
      </c>
      <c r="W994" s="25"/>
      <c r="X994" s="29"/>
      <c r="Y994" s="224"/>
      <c r="Z994" s="28"/>
    </row>
    <row r="995" spans="1:26" hidden="1" x14ac:dyDescent="0.3">
      <c r="A995" s="34">
        <v>45988</v>
      </c>
      <c r="B995" s="7" t="str">
        <f t="shared" si="242"/>
        <v>noviembre</v>
      </c>
      <c r="C995" s="27">
        <v>100208</v>
      </c>
      <c r="D995" s="23" t="s">
        <v>20</v>
      </c>
      <c r="E995" s="212" t="s">
        <v>1808</v>
      </c>
      <c r="F995" s="22" t="s">
        <v>57</v>
      </c>
      <c r="G995" s="32" t="str">
        <f>IFERROR(VLOOKUP(F995,Productos!$A$2:$D$258,2,0)," ")</f>
        <v>Electric Standing Desk  En L Frame Negro 2.0</v>
      </c>
      <c r="H995" s="7">
        <v>1</v>
      </c>
      <c r="I995" s="32" t="str">
        <f>IFERROR(VLOOKUP(F995,Productos!$A$2:$D$258,3,0)," ")</f>
        <v>Standing Desk</v>
      </c>
      <c r="J995" s="213" t="s">
        <v>24</v>
      </c>
      <c r="K995" s="213" t="s">
        <v>217</v>
      </c>
      <c r="L995" s="26" t="str">
        <f t="shared" si="241"/>
        <v>En alistamiento</v>
      </c>
      <c r="M995" s="56"/>
      <c r="N995" s="198"/>
      <c r="O995" s="150"/>
      <c r="P995" s="151"/>
      <c r="Q995" s="24" t="str">
        <f t="shared" si="228"/>
        <v>En transito</v>
      </c>
      <c r="R995" s="25" t="str">
        <f>IF(L995="Despachado",NETWORKDAYS.INTL(A995,O995,11,Valores!$A$2:$A$18)-1,"PTE")</f>
        <v>PTE</v>
      </c>
      <c r="S995" s="25" t="str">
        <f>IF(Q995="Entregado",NETWORKDAYS.INTL(A995,P995,11,Valores!$A$2:$A$18)-1,"PTE")</f>
        <v>PTE</v>
      </c>
      <c r="T995" s="25"/>
      <c r="U995" s="25"/>
      <c r="V995" s="25" t="str">
        <f>IF(Q995="Entregado",IF(S995&lt;=VLOOKUP(K995,Valores!E:F,2,0),"Cumple","No cumple"),"PTE")</f>
        <v>PTE</v>
      </c>
      <c r="W995" s="25"/>
      <c r="X995" s="29"/>
      <c r="Y995" s="224"/>
      <c r="Z995" s="28"/>
    </row>
    <row r="996" spans="1:26" hidden="1" x14ac:dyDescent="0.3">
      <c r="A996" s="34">
        <v>45988</v>
      </c>
      <c r="B996" s="7" t="str">
        <f t="shared" si="242"/>
        <v>noviembre</v>
      </c>
      <c r="C996" s="27">
        <v>100208</v>
      </c>
      <c r="D996" s="23" t="s">
        <v>20</v>
      </c>
      <c r="E996" s="212" t="s">
        <v>1808</v>
      </c>
      <c r="F996" s="22" t="s">
        <v>1809</v>
      </c>
      <c r="G996" s="32" t="str">
        <f>IFERROR(VLOOKUP(F996,Productos!$A$2:$D$270,2,0)," ")</f>
        <v>Superficie Escritorio Caramelo en L 150x70</v>
      </c>
      <c r="H996" s="7">
        <v>1</v>
      </c>
      <c r="I996" s="32" t="str">
        <f>IFERROR(VLOOKUP(F996,Productos!$A$2:$D$270,3,0)," ")</f>
        <v>Superficie</v>
      </c>
      <c r="J996" s="213" t="s">
        <v>24</v>
      </c>
      <c r="K996" s="213" t="s">
        <v>217</v>
      </c>
      <c r="L996" s="26" t="str">
        <f t="shared" si="241"/>
        <v>En alistamiento</v>
      </c>
      <c r="M996" s="56"/>
      <c r="N996" s="198"/>
      <c r="O996" s="150"/>
      <c r="P996" s="151"/>
      <c r="Q996" s="24" t="str">
        <f t="shared" si="228"/>
        <v>En transito</v>
      </c>
      <c r="R996" s="25" t="str">
        <f>IF(L996="Despachado",NETWORKDAYS.INTL(A996,O996,11,Valores!$A$2:$A$18)-1,"PTE")</f>
        <v>PTE</v>
      </c>
      <c r="S996" s="25" t="str">
        <f>IF(Q996="Entregado",NETWORKDAYS.INTL(A996,P996,11,Valores!$A$2:$A$18)-1,"PTE")</f>
        <v>PTE</v>
      </c>
      <c r="T996" s="25"/>
      <c r="U996" s="25"/>
      <c r="V996" s="25" t="str">
        <f>IF(Q996="Entregado",IF(S996&lt;=VLOOKUP(K996,Valores!E:F,2,0),"Cumple","No cumple"),"PTE")</f>
        <v>PTE</v>
      </c>
      <c r="W996" s="25"/>
      <c r="X996" s="29"/>
      <c r="Y996" s="224"/>
      <c r="Z996" s="28"/>
    </row>
    <row r="997" spans="1:26" hidden="1" x14ac:dyDescent="0.3">
      <c r="A997" s="34">
        <v>45988</v>
      </c>
      <c r="B997" s="7" t="str">
        <f t="shared" si="242"/>
        <v>noviembre</v>
      </c>
      <c r="C997" s="27">
        <v>100208</v>
      </c>
      <c r="D997" s="23" t="s">
        <v>20</v>
      </c>
      <c r="E997" s="212" t="s">
        <v>1808</v>
      </c>
      <c r="F997" s="22" t="s">
        <v>240</v>
      </c>
      <c r="G997" s="32" t="str">
        <f>IFERROR(VLOOKUP(F997,Productos!$A$2:$D$258,2,0)," ")</f>
        <v>Bandeja de cables</v>
      </c>
      <c r="H997" s="7">
        <v>1</v>
      </c>
      <c r="I997" s="32" t="str">
        <f>IFERROR(VLOOKUP(F997,Productos!$A$2:$D$270,3,0)," ")</f>
        <v>Accesorio</v>
      </c>
      <c r="J997" s="213" t="s">
        <v>24</v>
      </c>
      <c r="K997" s="213" t="s">
        <v>217</v>
      </c>
      <c r="L997" s="26" t="str">
        <f t="shared" ref="L997:L998" si="243">IF(O997&gt;0,"Despachado","En alistamiento")</f>
        <v>En alistamiento</v>
      </c>
      <c r="M997" s="56"/>
      <c r="N997" s="198"/>
      <c r="O997" s="150"/>
      <c r="P997" s="151"/>
      <c r="Q997" s="24" t="str">
        <f t="shared" si="228"/>
        <v>En transito</v>
      </c>
      <c r="R997" s="25" t="str">
        <f>IF(L997="Despachado",NETWORKDAYS.INTL(A997,O997,11,Valores!$A$2:$A$18)-1,"PTE")</f>
        <v>PTE</v>
      </c>
      <c r="S997" s="25" t="str">
        <f>IF(Q997="Entregado",NETWORKDAYS.INTL(A997,P997,11,Valores!$A$2:$A$18)-1,"PTE")</f>
        <v>PTE</v>
      </c>
      <c r="T997" s="25"/>
      <c r="U997" s="25"/>
      <c r="V997" s="25" t="str">
        <f>IF(Q997="Entregado",IF(S997&lt;=VLOOKUP(K997,Valores!E:F,2,0),"Cumple","No cumple"),"PTE")</f>
        <v>PTE</v>
      </c>
      <c r="W997" s="25"/>
      <c r="X997" s="29"/>
      <c r="Y997" s="224"/>
      <c r="Z997" s="28"/>
    </row>
    <row r="998" spans="1:26" hidden="1" x14ac:dyDescent="0.3">
      <c r="A998" s="34">
        <v>45988</v>
      </c>
      <c r="B998" s="7" t="str">
        <f t="shared" ref="B998" si="244">TEXT(A998,"mmmm")</f>
        <v>noviembre</v>
      </c>
      <c r="C998" s="27">
        <v>100209</v>
      </c>
      <c r="D998" s="23" t="s">
        <v>20</v>
      </c>
      <c r="E998" s="212" t="s">
        <v>1833</v>
      </c>
      <c r="F998" s="22" t="s">
        <v>129</v>
      </c>
      <c r="G998" s="32" t="str">
        <f>IFERROR(VLOOKUP(F998,Productos!$A$2:$D$258,2,0)," ")</f>
        <v>Electric Standing Desk  PRO Negro</v>
      </c>
      <c r="H998" s="7">
        <v>1</v>
      </c>
      <c r="I998" s="32" t="str">
        <f>IFERROR(VLOOKUP(F998,Productos!$A$2:$D$270,3,0)," ")</f>
        <v>Standing Desk</v>
      </c>
      <c r="J998" s="202" t="s">
        <v>21</v>
      </c>
      <c r="K998" s="205" t="s">
        <v>22</v>
      </c>
      <c r="L998" s="26" t="str">
        <f t="shared" si="243"/>
        <v>En alistamiento</v>
      </c>
      <c r="M998" s="56"/>
      <c r="N998" s="198"/>
      <c r="O998" s="150"/>
      <c r="P998" s="151"/>
      <c r="Q998" s="24" t="str">
        <f t="shared" si="228"/>
        <v>En transito</v>
      </c>
      <c r="R998" s="25" t="str">
        <f>IF(L998="Despachado",NETWORKDAYS.INTL(A998,O998,11,Valores!$A$2:$A$18)-1,"PTE")</f>
        <v>PTE</v>
      </c>
      <c r="S998" s="25" t="str">
        <f>IF(Q998="Entregado",NETWORKDAYS.INTL(A998,P998,11,Valores!$A$2:$A$18)-1,"PTE")</f>
        <v>PTE</v>
      </c>
      <c r="T998" s="25"/>
      <c r="U998" s="25"/>
      <c r="V998" s="25" t="str">
        <f>IF(Q998="Entregado",IF(S998&lt;=VLOOKUP(K998,Valores!E:F,2,0),"Cumple","No cumple"),"PTE")</f>
        <v>PTE</v>
      </c>
      <c r="W998" s="25"/>
      <c r="X998" s="29"/>
      <c r="Y998" s="224"/>
      <c r="Z998" s="28"/>
    </row>
    <row r="999" spans="1:26" hidden="1" x14ac:dyDescent="0.3">
      <c r="A999" s="34">
        <v>45988</v>
      </c>
      <c r="B999" s="7" t="str">
        <f t="shared" ref="B999:B1001" si="245">TEXT(A999,"mmmm")</f>
        <v>noviembre</v>
      </c>
      <c r="C999" s="27">
        <v>100210</v>
      </c>
      <c r="D999" s="23" t="s">
        <v>20</v>
      </c>
      <c r="E999" s="212" t="s">
        <v>1834</v>
      </c>
      <c r="F999" s="22" t="s">
        <v>129</v>
      </c>
      <c r="G999" s="32" t="str">
        <f>IFERROR(VLOOKUP(F999,Productos!$A$2:$D$258,2,0)," ")</f>
        <v>Electric Standing Desk  PRO Negro</v>
      </c>
      <c r="H999" s="7">
        <v>1</v>
      </c>
      <c r="I999" s="32" t="str">
        <f>IFERROR(VLOOKUP(F999,Productos!$A$2:$D$270,3,0)," ")</f>
        <v>Standing Desk</v>
      </c>
      <c r="J999" s="213" t="s">
        <v>192</v>
      </c>
      <c r="K999" s="213" t="s">
        <v>1835</v>
      </c>
      <c r="L999" s="26" t="str">
        <f t="shared" ref="L999:L1002" si="246">IF(O999&gt;0,"Despachado","En alistamiento")</f>
        <v>En alistamiento</v>
      </c>
      <c r="M999" s="56"/>
      <c r="N999" s="198"/>
      <c r="O999" s="150"/>
      <c r="P999" s="151"/>
      <c r="Q999" s="24" t="str">
        <f t="shared" si="228"/>
        <v>En transito</v>
      </c>
      <c r="R999" s="25" t="str">
        <f>IF(L999="Despachado",NETWORKDAYS.INTL(A999,O999,11,Valores!$A$2:$A$18)-1,"PTE")</f>
        <v>PTE</v>
      </c>
      <c r="S999" s="25" t="str">
        <f>IF(Q999="Entregado",NETWORKDAYS.INTL(A999,P999,11,Valores!$A$2:$A$18)-1,"PTE")</f>
        <v>PTE</v>
      </c>
      <c r="T999" s="25"/>
      <c r="U999" s="25"/>
      <c r="V999" s="25" t="str">
        <f>IF(Q999="Entregado",IF(S999&lt;=VLOOKUP(K999,Valores!E:F,2,0),"Cumple","No cumple"),"PTE")</f>
        <v>PTE</v>
      </c>
      <c r="W999" s="25"/>
      <c r="X999" s="29"/>
      <c r="Y999" s="224"/>
      <c r="Z999" s="28"/>
    </row>
    <row r="1000" spans="1:26" hidden="1" x14ac:dyDescent="0.3">
      <c r="A1000" s="34">
        <v>45988</v>
      </c>
      <c r="B1000" s="7" t="str">
        <f t="shared" si="245"/>
        <v>noviembre</v>
      </c>
      <c r="C1000" s="27">
        <v>100210</v>
      </c>
      <c r="D1000" s="23" t="s">
        <v>20</v>
      </c>
      <c r="E1000" s="212" t="s">
        <v>1834</v>
      </c>
      <c r="F1000" s="22" t="s">
        <v>143</v>
      </c>
      <c r="G1000" s="32" t="str">
        <f>IFERROR(VLOOKUP(F1000,Productos!$A$2:$D$258,2,0)," ")</f>
        <v>Superficie  Caramelo 160x70 Clasico</v>
      </c>
      <c r="H1000" s="7">
        <v>1</v>
      </c>
      <c r="I1000" s="32" t="str">
        <f>IFERROR(VLOOKUP(F1000,Productos!$A$2:$D$270,3,0)," ")</f>
        <v>Superficie</v>
      </c>
      <c r="J1000" s="213" t="s">
        <v>192</v>
      </c>
      <c r="K1000" s="213" t="s">
        <v>1835</v>
      </c>
      <c r="L1000" s="26" t="str">
        <f t="shared" si="246"/>
        <v>En alistamiento</v>
      </c>
      <c r="M1000" s="56"/>
      <c r="N1000" s="198"/>
      <c r="O1000" s="150"/>
      <c r="P1000" s="151"/>
      <c r="Q1000" s="24" t="str">
        <f t="shared" si="228"/>
        <v>En transito</v>
      </c>
      <c r="R1000" s="25" t="str">
        <f>IF(L1000="Despachado",NETWORKDAYS.INTL(A1000,O1000,11,Valores!$A$2:$A$18)-1,"PTE")</f>
        <v>PTE</v>
      </c>
      <c r="S1000" s="25" t="str">
        <f>IF(Q1000="Entregado",NETWORKDAYS.INTL(A1000,P1000,11,Valores!$A$2:$A$18)-1,"PTE")</f>
        <v>PTE</v>
      </c>
      <c r="T1000" s="25"/>
      <c r="U1000" s="25"/>
      <c r="V1000" s="25" t="str">
        <f>IF(Q1000="Entregado",IF(S1000&lt;=VLOOKUP(K1000,Valores!E:F,2,0),"Cumple","No cumple"),"PTE")</f>
        <v>PTE</v>
      </c>
      <c r="W1000" s="25"/>
      <c r="X1000" s="29"/>
      <c r="Y1000" s="224"/>
      <c r="Z1000" s="28"/>
    </row>
    <row r="1001" spans="1:26" hidden="1" x14ac:dyDescent="0.3">
      <c r="A1001" s="34">
        <v>45989</v>
      </c>
      <c r="B1001" s="7" t="str">
        <f t="shared" si="245"/>
        <v>noviembre</v>
      </c>
      <c r="C1001" s="27">
        <v>100211</v>
      </c>
      <c r="D1001" s="23" t="s">
        <v>20</v>
      </c>
      <c r="E1001" s="212" t="s">
        <v>1836</v>
      </c>
      <c r="F1001" s="22" t="s">
        <v>57</v>
      </c>
      <c r="G1001" s="32" t="str">
        <f>IFERROR(VLOOKUP(F1001,Productos!$A$2:$D$258,2,0)," ")</f>
        <v>Electric Standing Desk  En L Frame Negro 2.0</v>
      </c>
      <c r="H1001" s="7">
        <v>1</v>
      </c>
      <c r="I1001" s="32" t="str">
        <f>IFERROR(VLOOKUP(F1001,Productos!$A$2:$D$270,3,0)," ")</f>
        <v>Standing Desk</v>
      </c>
      <c r="J1001" s="202" t="s">
        <v>21</v>
      </c>
      <c r="K1001" s="205" t="s">
        <v>22</v>
      </c>
      <c r="L1001" s="26" t="str">
        <f t="shared" si="246"/>
        <v>En alistamiento</v>
      </c>
      <c r="M1001" s="56"/>
      <c r="N1001" s="198"/>
      <c r="O1001" s="150"/>
      <c r="P1001" s="151"/>
      <c r="Q1001" s="24" t="str">
        <f t="shared" si="228"/>
        <v>En transito</v>
      </c>
      <c r="R1001" s="25" t="str">
        <f>IF(L1001="Despachado",NETWORKDAYS.INTL(A1001,O1001,11,Valores!$A$2:$A$18)-1,"PTE")</f>
        <v>PTE</v>
      </c>
      <c r="S1001" s="25" t="str">
        <f>IF(Q1001="Entregado",NETWORKDAYS.INTL(A1001,P1001,11,Valores!$A$2:$A$18)-1,"PTE")</f>
        <v>PTE</v>
      </c>
      <c r="T1001" s="25"/>
      <c r="U1001" s="25"/>
      <c r="V1001" s="25" t="str">
        <f>IF(Q1001="Entregado",IF(S1001&lt;=VLOOKUP(K1001,Valores!E:F,2,0),"Cumple","No cumple"),"PTE")</f>
        <v>PTE</v>
      </c>
      <c r="W1001" s="25"/>
      <c r="X1001" s="29"/>
      <c r="Y1001" s="224"/>
      <c r="Z1001" s="28"/>
    </row>
    <row r="1002" spans="1:26" hidden="1" x14ac:dyDescent="0.3">
      <c r="A1002" s="34">
        <v>45989</v>
      </c>
      <c r="B1002" s="7" t="str">
        <f t="shared" ref="B1002" si="247">TEXT(A1002,"mmmm")</f>
        <v>noviembre</v>
      </c>
      <c r="C1002" s="27">
        <v>100212</v>
      </c>
      <c r="D1002" s="23" t="s">
        <v>20</v>
      </c>
      <c r="E1002" s="212" t="s">
        <v>1837</v>
      </c>
      <c r="F1002" s="22" t="s">
        <v>1467</v>
      </c>
      <c r="G1002" s="32" t="str">
        <f>IFERROR(VLOOKUP(F1002,Productos!$A$2:$D$258,2,0)," ")</f>
        <v>Superficie Escritorio Caramelo 160x60 Clasico</v>
      </c>
      <c r="H1002" s="7">
        <v>1</v>
      </c>
      <c r="I1002" s="32" t="str">
        <f>IFERROR(VLOOKUP(F1002,Productos!$A$2:$D$270,3,0)," ")</f>
        <v>Superficie</v>
      </c>
      <c r="J1002" s="213" t="s">
        <v>192</v>
      </c>
      <c r="K1002" s="213" t="s">
        <v>191</v>
      </c>
      <c r="L1002" s="26" t="str">
        <f t="shared" si="246"/>
        <v>En alistamiento</v>
      </c>
      <c r="M1002" s="56"/>
      <c r="N1002" s="198"/>
      <c r="O1002" s="150"/>
      <c r="P1002" s="151"/>
      <c r="Q1002" s="24" t="str">
        <f t="shared" si="228"/>
        <v>En transito</v>
      </c>
      <c r="R1002" s="25" t="str">
        <f>IF(L1002="Despachado",NETWORKDAYS.INTL(A1002,O1002,11,Valores!$A$2:$A$18)-1,"PTE")</f>
        <v>PTE</v>
      </c>
      <c r="S1002" s="25" t="str">
        <f>IF(Q1002="Entregado",NETWORKDAYS.INTL(A1002,P1002,11,Valores!$A$2:$A$18)-1,"PTE")</f>
        <v>PTE</v>
      </c>
      <c r="T1002" s="25"/>
      <c r="U1002" s="25"/>
      <c r="V1002" s="25" t="str">
        <f>IF(Q1002="Entregado",IF(S1002&lt;=VLOOKUP(K1002,Valores!E:F,2,0),"Cumple","No cumple"),"PTE")</f>
        <v>PTE</v>
      </c>
      <c r="W1002" s="25"/>
      <c r="X1002" s="29"/>
      <c r="Y1002" s="224"/>
      <c r="Z1002" s="28"/>
    </row>
    <row r="1003" spans="1:26" hidden="1" x14ac:dyDescent="0.3">
      <c r="A1003" s="34">
        <v>45989</v>
      </c>
      <c r="B1003" s="7" t="str">
        <f t="shared" ref="B1003" si="248">TEXT(A1003,"mmmm")</f>
        <v>noviembre</v>
      </c>
      <c r="C1003" s="27">
        <v>100212</v>
      </c>
      <c r="D1003" s="23" t="s">
        <v>20</v>
      </c>
      <c r="E1003" s="212" t="s">
        <v>1837</v>
      </c>
      <c r="F1003" s="22" t="s">
        <v>1606</v>
      </c>
      <c r="G1003" s="32" t="str">
        <f>IFERROR(VLOOKUP(F1003,Productos!$A$2:$D$258,2,0)," ")</f>
        <v>Cajonero 2.0 Bicolor Caramelo x73cm</v>
      </c>
      <c r="H1003" s="7">
        <v>1</v>
      </c>
      <c r="I1003" s="32" t="str">
        <f>IFERROR(VLOOKUP(F1003,Productos!$A$2:$D$270,3,0)," ")</f>
        <v>Archivador</v>
      </c>
      <c r="J1003" s="213" t="s">
        <v>192</v>
      </c>
      <c r="K1003" s="213" t="s">
        <v>191</v>
      </c>
      <c r="L1003" s="26" t="str">
        <f t="shared" ref="L1003:L1012" si="249">IF(O1003&gt;0,"Despachado","En alistamiento")</f>
        <v>En alistamiento</v>
      </c>
      <c r="M1003" s="56"/>
      <c r="N1003" s="198"/>
      <c r="O1003" s="150"/>
      <c r="P1003" s="151"/>
      <c r="Q1003" s="24" t="str">
        <f t="shared" si="228"/>
        <v>En transito</v>
      </c>
      <c r="R1003" s="25" t="str">
        <f>IF(L1003="Despachado",NETWORKDAYS.INTL(A1003,O1003,11,Valores!$A$2:$A$18)-1,"PTE")</f>
        <v>PTE</v>
      </c>
      <c r="S1003" s="25" t="str">
        <f>IF(Q1003="Entregado",NETWORKDAYS.INTL(A1003,P1003,11,Valores!$A$2:$A$18)-1,"PTE")</f>
        <v>PTE</v>
      </c>
      <c r="T1003" s="25"/>
      <c r="U1003" s="25"/>
      <c r="V1003" s="25" t="str">
        <f>IF(Q1003="Entregado",IF(S1003&lt;=VLOOKUP(K1003,Valores!E:F,2,0),"Cumple","No cumple"),"PTE")</f>
        <v>PTE</v>
      </c>
      <c r="W1003" s="25"/>
      <c r="X1003" s="29"/>
      <c r="Y1003" s="224"/>
      <c r="Z1003" s="28"/>
    </row>
    <row r="1004" spans="1:26" hidden="1" x14ac:dyDescent="0.3">
      <c r="A1004" s="34">
        <v>45989</v>
      </c>
      <c r="B1004" s="7" t="str">
        <f t="shared" ref="B1004" si="250">TEXT(A1004,"mmmm")</f>
        <v>noviembre</v>
      </c>
      <c r="C1004" s="27">
        <v>100212</v>
      </c>
      <c r="D1004" s="23" t="s">
        <v>20</v>
      </c>
      <c r="E1004" s="212" t="s">
        <v>1837</v>
      </c>
      <c r="F1004" s="22" t="s">
        <v>1842</v>
      </c>
      <c r="G1004" s="32" t="str">
        <f>IFERROR(VLOOKUP(F1004,Productos!$A$2:$D$274,2,0)," ")</f>
        <v>Escritorio FIjo Linea - E x 72,5 cm</v>
      </c>
      <c r="H1004" s="7">
        <v>1</v>
      </c>
      <c r="I1004" s="32" t="str">
        <f>IFERROR(VLOOKUP(F1004,Productos!$A$2:$D$274,3,0)," ")</f>
        <v>Escritorio Fijo</v>
      </c>
      <c r="J1004" s="213" t="s">
        <v>192</v>
      </c>
      <c r="K1004" s="213" t="s">
        <v>191</v>
      </c>
      <c r="L1004" s="26" t="str">
        <f t="shared" si="249"/>
        <v>En alistamiento</v>
      </c>
      <c r="M1004" s="56"/>
      <c r="N1004" s="198"/>
      <c r="O1004" s="150"/>
      <c r="P1004" s="151"/>
      <c r="Q1004" s="24" t="str">
        <f t="shared" si="228"/>
        <v>En transito</v>
      </c>
      <c r="R1004" s="25" t="str">
        <f>IF(L1004="Despachado",NETWORKDAYS.INTL(A1004,O1004,11,Valores!$A$2:$A$18)-1,"PTE")</f>
        <v>PTE</v>
      </c>
      <c r="S1004" s="25" t="str">
        <f>IF(Q1004="Entregado",NETWORKDAYS.INTL(A1004,P1004,11,Valores!$A$2:$A$18)-1,"PTE")</f>
        <v>PTE</v>
      </c>
      <c r="T1004" s="25"/>
      <c r="U1004" s="25"/>
      <c r="V1004" s="25" t="str">
        <f>IF(Q1004="Entregado",IF(S1004&lt;=VLOOKUP(K1004,Valores!E:F,2,0),"Cumple","No cumple"),"PTE")</f>
        <v>PTE</v>
      </c>
      <c r="W1004" s="25"/>
      <c r="X1004" s="29"/>
      <c r="Y1004" s="224"/>
      <c r="Z1004" s="28"/>
    </row>
    <row r="1005" spans="1:26" hidden="1" x14ac:dyDescent="0.3">
      <c r="A1005" s="34">
        <v>45989</v>
      </c>
      <c r="B1005" s="7" t="str">
        <f t="shared" ref="B1005:B1006" si="251">TEXT(A1005,"mmmm")</f>
        <v>noviembre</v>
      </c>
      <c r="C1005" s="27">
        <v>100213</v>
      </c>
      <c r="D1005" s="23" t="s">
        <v>20</v>
      </c>
      <c r="E1005" s="212" t="s">
        <v>1846</v>
      </c>
      <c r="F1005" s="22" t="s">
        <v>129</v>
      </c>
      <c r="G1005" s="32" t="str">
        <f>IFERROR(VLOOKUP(F1005,Productos!$A$2:$D$274,2,0)," ")</f>
        <v>Electric Standing Desk  PRO Negro</v>
      </c>
      <c r="H1005" s="7">
        <v>1</v>
      </c>
      <c r="I1005" s="32" t="str">
        <f>IFERROR(VLOOKUP(F1005,Productos!$A$2:$D$274,3,0)," ")</f>
        <v>Standing Desk</v>
      </c>
      <c r="J1005" s="213" t="s">
        <v>24</v>
      </c>
      <c r="K1005" s="213" t="s">
        <v>25</v>
      </c>
      <c r="L1005" s="26" t="str">
        <f t="shared" si="249"/>
        <v>En alistamiento</v>
      </c>
      <c r="M1005" s="56"/>
      <c r="N1005" s="198"/>
      <c r="O1005" s="150"/>
      <c r="P1005" s="151"/>
      <c r="Q1005" s="24" t="str">
        <f t="shared" si="228"/>
        <v>En transito</v>
      </c>
      <c r="R1005" s="25" t="str">
        <f>IF(L1005="Despachado",NETWORKDAYS.INTL(A1005,O1005,11,Valores!$A$2:$A$18)-1,"PTE")</f>
        <v>PTE</v>
      </c>
      <c r="S1005" s="25" t="str">
        <f>IF(Q1005="Entregado",NETWORKDAYS.INTL(A1005,P1005,11,Valores!$A$2:$A$18)-1,"PTE")</f>
        <v>PTE</v>
      </c>
      <c r="T1005" s="25"/>
      <c r="U1005" s="25"/>
      <c r="V1005" s="25" t="str">
        <f>IF(Q1005="Entregado",IF(S1005&lt;=VLOOKUP(K1005,Valores!E:F,2,0),"Cumple","No cumple"),"PTE")</f>
        <v>PTE</v>
      </c>
      <c r="W1005" s="25"/>
      <c r="X1005" s="29"/>
      <c r="Y1005" s="224"/>
      <c r="Z1005" s="28"/>
    </row>
    <row r="1006" spans="1:26" hidden="1" x14ac:dyDescent="0.3">
      <c r="A1006" s="34">
        <v>45989</v>
      </c>
      <c r="B1006" s="7" t="str">
        <f t="shared" si="251"/>
        <v>noviembre</v>
      </c>
      <c r="C1006" s="27">
        <v>100213</v>
      </c>
      <c r="D1006" s="23" t="s">
        <v>20</v>
      </c>
      <c r="E1006" s="212" t="s">
        <v>1846</v>
      </c>
      <c r="F1006" s="22" t="s">
        <v>1511</v>
      </c>
      <c r="G1006" s="32" t="str">
        <f>IFERROR(VLOOKUP(F1006,Productos!$A$2:$D$274,2,0)," ")</f>
        <v>Superficie Escritorio Fresno Europeo 120x80 Clasico Small</v>
      </c>
      <c r="H1006" s="7">
        <v>1</v>
      </c>
      <c r="I1006" s="32" t="str">
        <f>IFERROR(VLOOKUP(F1006,Productos!$A$2:$D$274,3,0)," ")</f>
        <v>Superficie</v>
      </c>
      <c r="J1006" s="213" t="s">
        <v>24</v>
      </c>
      <c r="K1006" s="213" t="s">
        <v>25</v>
      </c>
      <c r="L1006" s="26" t="str">
        <f t="shared" si="249"/>
        <v>En alistamiento</v>
      </c>
      <c r="M1006" s="56"/>
      <c r="N1006" s="198"/>
      <c r="O1006" s="150"/>
      <c r="P1006" s="151"/>
      <c r="Q1006" s="24" t="str">
        <f t="shared" si="228"/>
        <v>En transito</v>
      </c>
      <c r="R1006" s="25" t="str">
        <f>IF(L1006="Despachado",NETWORKDAYS.INTL(A1006,O1006,11,Valores!$A$2:$A$18)-1,"PTE")</f>
        <v>PTE</v>
      </c>
      <c r="S1006" s="25" t="str">
        <f>IF(Q1006="Entregado",NETWORKDAYS.INTL(A1006,P1006,11,Valores!$A$2:$A$18)-1,"PTE")</f>
        <v>PTE</v>
      </c>
      <c r="T1006" s="25"/>
      <c r="U1006" s="25"/>
      <c r="V1006" s="25" t="str">
        <f>IF(Q1006="Entregado",IF(S1006&lt;=VLOOKUP(K1006,Valores!E:F,2,0),"Cumple","No cumple"),"PTE")</f>
        <v>PTE</v>
      </c>
      <c r="W1006" s="25"/>
      <c r="X1006" s="29"/>
      <c r="Y1006" s="224"/>
      <c r="Z1006" s="28"/>
    </row>
    <row r="1007" spans="1:26" hidden="1" x14ac:dyDescent="0.3">
      <c r="A1007" s="34">
        <v>45989</v>
      </c>
      <c r="B1007" s="7" t="str">
        <f t="shared" ref="B1007" si="252">TEXT(A1007,"mmmm")</f>
        <v>noviembre</v>
      </c>
      <c r="C1007" s="27">
        <v>100214</v>
      </c>
      <c r="D1007" s="23" t="s">
        <v>20</v>
      </c>
      <c r="E1007" s="212" t="s">
        <v>1847</v>
      </c>
      <c r="F1007" s="22" t="s">
        <v>133</v>
      </c>
      <c r="G1007" s="32" t="str">
        <f>IFERROR(VLOOKUP(F1007,Productos!$A$2:$D$274,2,0)," ")</f>
        <v>Electric Standing Desk  PRO Blanco</v>
      </c>
      <c r="H1007" s="7">
        <v>1</v>
      </c>
      <c r="I1007" s="32" t="str">
        <f>IFERROR(VLOOKUP(F1007,Productos!$A$2:$D$274,3,0)," ")</f>
        <v>Standing Desk</v>
      </c>
      <c r="J1007" s="213" t="s">
        <v>24</v>
      </c>
      <c r="K1007" s="213" t="s">
        <v>39</v>
      </c>
      <c r="L1007" s="26" t="str">
        <f t="shared" si="249"/>
        <v>En alistamiento</v>
      </c>
      <c r="M1007" s="56"/>
      <c r="N1007" s="198"/>
      <c r="O1007" s="150"/>
      <c r="P1007" s="151"/>
      <c r="Q1007" s="24" t="str">
        <f t="shared" si="228"/>
        <v>En transito</v>
      </c>
      <c r="R1007" s="25" t="str">
        <f>IF(L1007="Despachado",NETWORKDAYS.INTL(A1007,O1007,11,Valores!$A$2:$A$18)-1,"PTE")</f>
        <v>PTE</v>
      </c>
      <c r="S1007" s="25" t="str">
        <f>IF(Q1007="Entregado",NETWORKDAYS.INTL(A1007,P1007,11,Valores!$A$2:$A$18)-1,"PTE")</f>
        <v>PTE</v>
      </c>
      <c r="T1007" s="25"/>
      <c r="U1007" s="25"/>
      <c r="V1007" s="25" t="str">
        <f>IF(Q1007="Entregado",IF(S1007&lt;=VLOOKUP(K1007,Valores!E:F,2,0),"Cumple","No cumple"),"PTE")</f>
        <v>PTE</v>
      </c>
      <c r="W1007" s="25"/>
      <c r="X1007" s="29"/>
      <c r="Y1007" s="224"/>
      <c r="Z1007" s="28"/>
    </row>
    <row r="1008" spans="1:26" hidden="1" x14ac:dyDescent="0.3">
      <c r="A1008" s="34">
        <v>45989</v>
      </c>
      <c r="B1008" s="7" t="str">
        <f t="shared" ref="B1008" si="253">TEXT(A1008,"mmmm")</f>
        <v>noviembre</v>
      </c>
      <c r="C1008" s="27">
        <v>100214</v>
      </c>
      <c r="D1008" s="23" t="s">
        <v>20</v>
      </c>
      <c r="E1008" s="212" t="s">
        <v>1847</v>
      </c>
      <c r="F1008" s="22" t="s">
        <v>306</v>
      </c>
      <c r="G1008" s="32" t="str">
        <f>IFERROR(VLOOKUP(F1008,Productos!$A$2:$D$274,2,0)," ")</f>
        <v>Superficie  Fresno Europeo 170x70 Clasico</v>
      </c>
      <c r="H1008" s="7">
        <v>1</v>
      </c>
      <c r="I1008" s="32" t="str">
        <f>IFERROR(VLOOKUP(F1008,Productos!$A$2:$D$274,3,0)," ")</f>
        <v>Superficie</v>
      </c>
      <c r="J1008" s="213" t="s">
        <v>24</v>
      </c>
      <c r="K1008" s="213" t="s">
        <v>39</v>
      </c>
      <c r="L1008" s="26" t="str">
        <f t="shared" si="249"/>
        <v>En alistamiento</v>
      </c>
      <c r="M1008" s="56"/>
      <c r="N1008" s="198"/>
      <c r="O1008" s="150"/>
      <c r="P1008" s="151"/>
      <c r="Q1008" s="24" t="str">
        <f t="shared" si="228"/>
        <v>En transito</v>
      </c>
      <c r="R1008" s="25" t="str">
        <f>IF(L1008="Despachado",NETWORKDAYS.INTL(A1008,O1008,11,Valores!$A$2:$A$18)-1,"PTE")</f>
        <v>PTE</v>
      </c>
      <c r="S1008" s="25" t="str">
        <f>IF(Q1008="Entregado",NETWORKDAYS.INTL(A1008,P1008,11,Valores!$A$2:$A$18)-1,"PTE")</f>
        <v>PTE</v>
      </c>
      <c r="T1008" s="25"/>
      <c r="U1008" s="25"/>
      <c r="V1008" s="25" t="str">
        <f>IF(Q1008="Entregado",IF(S1008&lt;=VLOOKUP(K1008,Valores!E:F,2,0),"Cumple","No cumple"),"PTE")</f>
        <v>PTE</v>
      </c>
      <c r="W1008" s="25"/>
      <c r="X1008" s="29"/>
      <c r="Y1008" s="224"/>
      <c r="Z1008" s="28"/>
    </row>
    <row r="1009" spans="1:26" hidden="1" x14ac:dyDescent="0.3">
      <c r="A1009" s="34">
        <v>45989</v>
      </c>
      <c r="B1009" s="7" t="str">
        <f t="shared" ref="B1009" si="254">TEXT(A1009,"mmmm")</f>
        <v>noviembre</v>
      </c>
      <c r="C1009" s="27">
        <v>100215</v>
      </c>
      <c r="D1009" s="23" t="s">
        <v>20</v>
      </c>
      <c r="E1009" s="212" t="s">
        <v>1848</v>
      </c>
      <c r="F1009" s="22" t="s">
        <v>308</v>
      </c>
      <c r="G1009" s="32" t="str">
        <f>IFERROR(VLOOKUP(F1009,Productos!$A$2:$D$274,2,0)," ")</f>
        <v>Repisa TECU Fresno Europeo</v>
      </c>
      <c r="H1009" s="7">
        <v>1</v>
      </c>
      <c r="I1009" s="32" t="str">
        <f>IFERROR(VLOOKUP(F1009,Productos!$A$2:$D$274,3,0)," ")</f>
        <v>Repisa</v>
      </c>
      <c r="J1009" s="213" t="s">
        <v>1423</v>
      </c>
      <c r="K1009" s="213" t="s">
        <v>41</v>
      </c>
      <c r="L1009" s="26" t="str">
        <f t="shared" si="249"/>
        <v>En alistamiento</v>
      </c>
      <c r="M1009" s="56"/>
      <c r="N1009" s="198"/>
      <c r="O1009" s="150"/>
      <c r="P1009" s="151"/>
      <c r="Q1009" s="24" t="str">
        <f t="shared" si="228"/>
        <v>En transito</v>
      </c>
      <c r="R1009" s="25" t="str">
        <f>IF(L1009="Despachado",NETWORKDAYS.INTL(A1009,O1009,11,Valores!$A$2:$A$18)-1,"PTE")</f>
        <v>PTE</v>
      </c>
      <c r="S1009" s="25" t="str">
        <f>IF(Q1009="Entregado",NETWORKDAYS.INTL(A1009,P1009,11,Valores!$A$2:$A$18)-1,"PTE")</f>
        <v>PTE</v>
      </c>
      <c r="T1009" s="25"/>
      <c r="U1009" s="25"/>
      <c r="V1009" s="25" t="str">
        <f>IF(Q1009="Entregado",IF(S1009&lt;=VLOOKUP(K1009,Valores!E:F,2,0),"Cumple","No cumple"),"PTE")</f>
        <v>PTE</v>
      </c>
      <c r="W1009" s="25"/>
      <c r="X1009" s="29"/>
      <c r="Y1009" s="224"/>
      <c r="Z1009" s="28"/>
    </row>
    <row r="1010" spans="1:26" hidden="1" x14ac:dyDescent="0.3">
      <c r="A1010" s="34">
        <v>45989</v>
      </c>
      <c r="B1010" s="7" t="str">
        <f t="shared" ref="B1010:B1011" si="255">TEXT(A1010,"mmmm")</f>
        <v>noviembre</v>
      </c>
      <c r="C1010" s="27">
        <v>100216</v>
      </c>
      <c r="D1010" s="23" t="s">
        <v>20</v>
      </c>
      <c r="E1010" s="212" t="s">
        <v>1849</v>
      </c>
      <c r="F1010" s="22" t="s">
        <v>129</v>
      </c>
      <c r="G1010" s="32" t="str">
        <f>IFERROR(VLOOKUP(F1010,Productos!$A$2:$D$274,2,0)," ")</f>
        <v>Electric Standing Desk  PRO Negro</v>
      </c>
      <c r="H1010" s="7">
        <v>1</v>
      </c>
      <c r="I1010" s="32" t="str">
        <f>IFERROR(VLOOKUP(F1010,Productos!$A$2:$D$274,3,0)," ")</f>
        <v>Standing Desk</v>
      </c>
      <c r="J1010" s="213" t="s">
        <v>206</v>
      </c>
      <c r="K1010" s="213" t="s">
        <v>37</v>
      </c>
      <c r="L1010" s="26" t="str">
        <f t="shared" si="249"/>
        <v>En alistamiento</v>
      </c>
      <c r="M1010" s="56"/>
      <c r="N1010" s="198"/>
      <c r="O1010" s="150"/>
      <c r="P1010" s="151"/>
      <c r="Q1010" s="24" t="str">
        <f t="shared" si="228"/>
        <v>En transito</v>
      </c>
      <c r="R1010" s="25" t="str">
        <f>IF(L1010="Despachado",NETWORKDAYS.INTL(A1010,O1010,11,Valores!$A$2:$A$18)-1,"PTE")</f>
        <v>PTE</v>
      </c>
      <c r="S1010" s="25" t="str">
        <f>IF(Q1010="Entregado",NETWORKDAYS.INTL(A1010,P1010,11,Valores!$A$2:$A$18)-1,"PTE")</f>
        <v>PTE</v>
      </c>
      <c r="T1010" s="25"/>
      <c r="U1010" s="25"/>
      <c r="V1010" s="25" t="str">
        <f>IF(Q1010="Entregado",IF(S1010&lt;=VLOOKUP(K1010,Valores!E:F,2,0),"Cumple","No cumple"),"PTE")</f>
        <v>PTE</v>
      </c>
      <c r="W1010" s="25"/>
      <c r="X1010" s="29"/>
      <c r="Y1010" s="224"/>
      <c r="Z1010" s="28"/>
    </row>
    <row r="1011" spans="1:26" hidden="1" x14ac:dyDescent="0.3">
      <c r="A1011" s="34">
        <v>45989</v>
      </c>
      <c r="B1011" s="7" t="str">
        <f t="shared" si="255"/>
        <v>noviembre</v>
      </c>
      <c r="C1011" s="27">
        <v>100216</v>
      </c>
      <c r="D1011" s="23" t="s">
        <v>20</v>
      </c>
      <c r="E1011" s="212" t="s">
        <v>1849</v>
      </c>
      <c r="F1011" s="22" t="s">
        <v>317</v>
      </c>
      <c r="G1011" s="32" t="str">
        <f>IFERROR(VLOOKUP(F1011,Productos!$A$2:$D$274,2,0)," ")</f>
        <v>Superficie  Fresno Europeo 150x70 Moderno</v>
      </c>
      <c r="H1011" s="7">
        <v>1</v>
      </c>
      <c r="I1011" s="32" t="str">
        <f>IFERROR(VLOOKUP(F1011,Productos!$A$2:$D$274,3,0)," ")</f>
        <v>Superficie</v>
      </c>
      <c r="J1011" s="213" t="s">
        <v>206</v>
      </c>
      <c r="K1011" s="213" t="s">
        <v>37</v>
      </c>
      <c r="L1011" s="26" t="str">
        <f t="shared" si="249"/>
        <v>En alistamiento</v>
      </c>
      <c r="M1011" s="56"/>
      <c r="N1011" s="198"/>
      <c r="O1011" s="150"/>
      <c r="P1011" s="151"/>
      <c r="Q1011" s="24" t="str">
        <f t="shared" si="228"/>
        <v>En transito</v>
      </c>
      <c r="R1011" s="25" t="str">
        <f>IF(L1011="Despachado",NETWORKDAYS.INTL(A1011,O1011,11,Valores!$A$2:$A$18)-1,"PTE")</f>
        <v>PTE</v>
      </c>
      <c r="S1011" s="25" t="str">
        <f>IF(Q1011="Entregado",NETWORKDAYS.INTL(A1011,P1011,11,Valores!$A$2:$A$18)-1,"PTE")</f>
        <v>PTE</v>
      </c>
      <c r="T1011" s="25"/>
      <c r="U1011" s="25"/>
      <c r="V1011" s="25" t="str">
        <f>IF(Q1011="Entregado",IF(S1011&lt;=VLOOKUP(K1011,Valores!E:F,2,0),"Cumple","No cumple"),"PTE")</f>
        <v>PTE</v>
      </c>
      <c r="W1011" s="25"/>
      <c r="X1011" s="29"/>
      <c r="Y1011" s="224"/>
      <c r="Z1011" s="28"/>
    </row>
    <row r="1012" spans="1:26" hidden="1" x14ac:dyDescent="0.3">
      <c r="A1012" s="34">
        <v>45989</v>
      </c>
      <c r="B1012" s="7" t="str">
        <f t="shared" ref="B1012:B1013" si="256">TEXT(A1012,"mmmm")</f>
        <v>noviembre</v>
      </c>
      <c r="C1012" s="27">
        <v>100217</v>
      </c>
      <c r="D1012" s="23" t="s">
        <v>20</v>
      </c>
      <c r="E1012" s="212" t="s">
        <v>1850</v>
      </c>
      <c r="F1012" s="22" t="s">
        <v>85</v>
      </c>
      <c r="G1012" s="32" t="str">
        <f>IFERROR(VLOOKUP(F1012,Productos!$A$2:$D$274,2,0)," ")</f>
        <v>Desk Pad B Negro Café Miel</v>
      </c>
      <c r="H1012" s="7">
        <v>1</v>
      </c>
      <c r="I1012" s="32" t="str">
        <f>IFERROR(VLOOKUP(F1012,Productos!$A$2:$D$274,3,0)," ")</f>
        <v>Accesorio</v>
      </c>
      <c r="J1012" s="202" t="s">
        <v>21</v>
      </c>
      <c r="K1012" s="205" t="s">
        <v>22</v>
      </c>
      <c r="L1012" s="26" t="str">
        <f t="shared" si="249"/>
        <v>En alistamiento</v>
      </c>
      <c r="M1012" s="56"/>
      <c r="N1012" s="198"/>
      <c r="O1012" s="150"/>
      <c r="P1012" s="151"/>
      <c r="Q1012" s="24" t="str">
        <f t="shared" si="228"/>
        <v>En transito</v>
      </c>
      <c r="R1012" s="25" t="str">
        <f>IF(L1012="Despachado",NETWORKDAYS.INTL(A1012,O1012,11,Valores!$A$2:$A$18)-1,"PTE")</f>
        <v>PTE</v>
      </c>
      <c r="S1012" s="25" t="str">
        <f>IF(Q1012="Entregado",NETWORKDAYS.INTL(A1012,P1012,11,Valores!$A$2:$A$18)-1,"PTE")</f>
        <v>PTE</v>
      </c>
      <c r="T1012" s="25"/>
      <c r="U1012" s="25"/>
      <c r="V1012" s="25" t="str">
        <f>IF(Q1012="Entregado",IF(S1012&lt;=VLOOKUP(K1012,Valores!E:F,2,0),"Cumple","No cumple"),"PTE")</f>
        <v>PTE</v>
      </c>
      <c r="W1012" s="25"/>
      <c r="X1012" s="29"/>
      <c r="Y1012" s="224"/>
      <c r="Z1012" s="28"/>
    </row>
    <row r="1013" spans="1:26" hidden="1" x14ac:dyDescent="0.3">
      <c r="A1013" s="34">
        <v>45990</v>
      </c>
      <c r="B1013" s="7" t="str">
        <f t="shared" si="256"/>
        <v>noviembre</v>
      </c>
      <c r="C1013" s="27">
        <v>100218</v>
      </c>
      <c r="D1013" s="23" t="s">
        <v>20</v>
      </c>
      <c r="E1013" s="212" t="s">
        <v>1851</v>
      </c>
      <c r="F1013" s="22" t="s">
        <v>127</v>
      </c>
      <c r="G1013" s="32" t="str">
        <f>IFERROR(VLOOKUP(F1013,Productos!$A$2:$D$274,2,0)," ")</f>
        <v>Electric Standing Desk GO Blanco</v>
      </c>
      <c r="H1013" s="7">
        <v>1</v>
      </c>
      <c r="I1013" s="32" t="str">
        <f>IFERROR(VLOOKUP(F1013,Productos!$A$2:$D$274,3,0)," ")</f>
        <v>Standing Desk</v>
      </c>
      <c r="J1013" s="202" t="s">
        <v>21</v>
      </c>
      <c r="K1013" s="205" t="s">
        <v>22</v>
      </c>
      <c r="L1013" s="26" t="str">
        <f t="shared" ref="L1013:L1014" si="257">IF(O1013&gt;0,"Despachado","En alistamiento")</f>
        <v>En alistamiento</v>
      </c>
      <c r="M1013" s="56"/>
      <c r="N1013" s="198"/>
      <c r="O1013" s="150"/>
      <c r="P1013" s="151"/>
      <c r="Q1013" s="24" t="str">
        <f t="shared" si="228"/>
        <v>En transito</v>
      </c>
      <c r="R1013" s="25" t="str">
        <f>IF(L1013="Despachado",NETWORKDAYS.INTL(A1013,O1013,11,Valores!$A$2:$A$18)-1,"PTE")</f>
        <v>PTE</v>
      </c>
      <c r="S1013" s="25" t="str">
        <f>IF(Q1013="Entregado",NETWORKDAYS.INTL(A1013,P1013,11,Valores!$A$2:$A$18)-1,"PTE")</f>
        <v>PTE</v>
      </c>
      <c r="T1013" s="25"/>
      <c r="U1013" s="25"/>
      <c r="V1013" s="25" t="str">
        <f>IF(Q1013="Entregado",IF(S1013&lt;=VLOOKUP(K1013,Valores!E:F,2,0),"Cumple","No cumple"),"PTE")</f>
        <v>PTE</v>
      </c>
      <c r="W1013" s="25"/>
      <c r="X1013" s="29"/>
      <c r="Y1013" s="224"/>
      <c r="Z1013" s="28"/>
    </row>
    <row r="1014" spans="1:26" hidden="1" x14ac:dyDescent="0.3">
      <c r="A1014" s="34">
        <v>45990</v>
      </c>
      <c r="B1014" s="7" t="str">
        <f t="shared" ref="B1014" si="258">TEXT(A1014,"mmmm")</f>
        <v>noviembre</v>
      </c>
      <c r="C1014" s="27">
        <v>100218</v>
      </c>
      <c r="D1014" s="23" t="s">
        <v>20</v>
      </c>
      <c r="E1014" s="212" t="s">
        <v>1851</v>
      </c>
      <c r="F1014" s="22" t="s">
        <v>1497</v>
      </c>
      <c r="G1014" s="32" t="str">
        <f>IFERROR(VLOOKUP(F1014,Productos!$A$2:$D$274,2,0)," ")</f>
        <v>Superficie Escritorio Fresno Europeo 130x60 Clasico</v>
      </c>
      <c r="H1014" s="7">
        <v>1</v>
      </c>
      <c r="I1014" s="32" t="str">
        <f>IFERROR(VLOOKUP(F1014,Productos!$A$2:$D$274,3,0)," ")</f>
        <v>Superficie</v>
      </c>
      <c r="J1014" s="202" t="s">
        <v>21</v>
      </c>
      <c r="K1014" s="205" t="s">
        <v>22</v>
      </c>
      <c r="L1014" s="26" t="str">
        <f t="shared" si="257"/>
        <v>En alistamiento</v>
      </c>
      <c r="M1014" s="56"/>
      <c r="N1014" s="198"/>
      <c r="O1014" s="150"/>
      <c r="P1014" s="151"/>
      <c r="Q1014" s="24" t="str">
        <f t="shared" si="228"/>
        <v>En transito</v>
      </c>
      <c r="R1014" s="25" t="str">
        <f>IF(L1014="Despachado",NETWORKDAYS.INTL(A1014,O1014,11,Valores!$A$2:$A$18)-1,"PTE")</f>
        <v>PTE</v>
      </c>
      <c r="S1014" s="25" t="str">
        <f>IF(Q1014="Entregado",NETWORKDAYS.INTL(A1014,P1014,11,Valores!$A$2:$A$18)-1,"PTE")</f>
        <v>PTE</v>
      </c>
      <c r="T1014" s="25"/>
      <c r="U1014" s="25"/>
      <c r="V1014" s="25" t="str">
        <f>IF(Q1014="Entregado",IF(S1014&lt;=VLOOKUP(K1014,Valores!E:F,2,0),"Cumple","No cumple"),"PTE")</f>
        <v>PTE</v>
      </c>
      <c r="W1014" s="25"/>
      <c r="X1014" s="29"/>
      <c r="Y1014" s="224"/>
      <c r="Z1014" s="28"/>
    </row>
    <row r="1015" spans="1:26" hidden="1" x14ac:dyDescent="0.3">
      <c r="A1015" s="34">
        <v>45990</v>
      </c>
      <c r="B1015" s="7" t="str">
        <f t="shared" ref="B1015" si="259">TEXT(A1015,"mmmm")</f>
        <v>noviembre</v>
      </c>
      <c r="C1015" s="27">
        <v>100219</v>
      </c>
      <c r="D1015" s="23" t="s">
        <v>20</v>
      </c>
      <c r="E1015" s="212" t="s">
        <v>1852</v>
      </c>
      <c r="F1015" s="22" t="s">
        <v>123</v>
      </c>
      <c r="G1015" s="32" t="str">
        <f>IFERROR(VLOOKUP(F1015,Productos!$A$2:$D$274,2,0)," ")</f>
        <v>Electric Standing Desk GO Negro</v>
      </c>
      <c r="H1015" s="7">
        <v>1</v>
      </c>
      <c r="I1015" s="32" t="str">
        <f>IFERROR(VLOOKUP(F1015,Productos!$A$2:$D$274,3,0)," ")</f>
        <v>Standing Desk</v>
      </c>
      <c r="J1015" s="213" t="s">
        <v>24</v>
      </c>
      <c r="K1015" s="213" t="s">
        <v>185</v>
      </c>
      <c r="L1015" s="26" t="str">
        <f t="shared" ref="L1015:L1028" si="260">IF(O1015&gt;0,"Despachado","En alistamiento")</f>
        <v>En alistamiento</v>
      </c>
      <c r="M1015" s="56"/>
      <c r="N1015" s="198"/>
      <c r="O1015" s="150"/>
      <c r="P1015" s="151"/>
      <c r="Q1015" s="24" t="str">
        <f t="shared" si="228"/>
        <v>En transito</v>
      </c>
      <c r="R1015" s="25" t="str">
        <f>IF(L1015="Despachado",NETWORKDAYS.INTL(A1015,O1015,11,Valores!$A$2:$A$18)-1,"PTE")</f>
        <v>PTE</v>
      </c>
      <c r="S1015" s="25" t="str">
        <f>IF(Q1015="Entregado",NETWORKDAYS.INTL(A1015,P1015,11,Valores!$A$2:$A$18)-1,"PTE")</f>
        <v>PTE</v>
      </c>
      <c r="T1015" s="25"/>
      <c r="U1015" s="25"/>
      <c r="V1015" s="25" t="str">
        <f>IF(Q1015="Entregado",IF(S1015&lt;=VLOOKUP(K1015,Valores!E:F,2,0),"Cumple","No cumple"),"PTE")</f>
        <v>PTE</v>
      </c>
      <c r="W1015" s="25"/>
      <c r="X1015" s="29"/>
      <c r="Y1015" s="224"/>
      <c r="Z1015" s="28"/>
    </row>
    <row r="1016" spans="1:26" hidden="1" x14ac:dyDescent="0.3">
      <c r="A1016" s="34">
        <v>45990</v>
      </c>
      <c r="B1016" s="7" t="str">
        <f t="shared" ref="B1016:B1018" si="261">TEXT(A1016,"mmmm")</f>
        <v>noviembre</v>
      </c>
      <c r="C1016" s="27">
        <v>100219</v>
      </c>
      <c r="D1016" s="23" t="s">
        <v>20</v>
      </c>
      <c r="E1016" s="212" t="s">
        <v>1852</v>
      </c>
      <c r="F1016" s="22" t="s">
        <v>1459</v>
      </c>
      <c r="G1016" s="32" t="str">
        <f>IFERROR(VLOOKUP(F1016,Productos!$A$2:$D$274,2,0)," ")</f>
        <v>Superficie Escritorio Caramelo 120x60 Clasico Small</v>
      </c>
      <c r="H1016" s="7">
        <v>1</v>
      </c>
      <c r="I1016" s="32" t="str">
        <f>IFERROR(VLOOKUP(F1016,Productos!$A$2:$D$274,3,0)," ")</f>
        <v>Superficie</v>
      </c>
      <c r="J1016" s="213" t="s">
        <v>24</v>
      </c>
      <c r="K1016" s="213" t="s">
        <v>185</v>
      </c>
      <c r="L1016" s="26" t="str">
        <f t="shared" si="260"/>
        <v>En alistamiento</v>
      </c>
      <c r="M1016" s="56"/>
      <c r="N1016" s="198"/>
      <c r="O1016" s="150"/>
      <c r="P1016" s="151"/>
      <c r="Q1016" s="24" t="str">
        <f t="shared" si="228"/>
        <v>En transito</v>
      </c>
      <c r="R1016" s="25" t="str">
        <f>IF(L1016="Despachado",NETWORKDAYS.INTL(A1016,O1016,11,Valores!$A$2:$A$18)-1,"PTE")</f>
        <v>PTE</v>
      </c>
      <c r="S1016" s="25" t="str">
        <f>IF(Q1016="Entregado",NETWORKDAYS.INTL(A1016,P1016,11,Valores!$A$2:$A$18)-1,"PTE")</f>
        <v>PTE</v>
      </c>
      <c r="T1016" s="25"/>
      <c r="U1016" s="25"/>
      <c r="V1016" s="25" t="str">
        <f>IF(Q1016="Entregado",IF(S1016&lt;=VLOOKUP(K1016,Valores!E:F,2,0),"Cumple","No cumple"),"PTE")</f>
        <v>PTE</v>
      </c>
      <c r="W1016" s="25"/>
      <c r="X1016" s="29"/>
      <c r="Y1016" s="224"/>
      <c r="Z1016" s="28"/>
    </row>
    <row r="1017" spans="1:26" hidden="1" x14ac:dyDescent="0.3">
      <c r="A1017" s="34">
        <v>45990</v>
      </c>
      <c r="B1017" s="7" t="str">
        <f t="shared" si="261"/>
        <v>noviembre</v>
      </c>
      <c r="C1017" s="27">
        <v>100219</v>
      </c>
      <c r="D1017" s="23" t="s">
        <v>20</v>
      </c>
      <c r="E1017" s="212" t="s">
        <v>1852</v>
      </c>
      <c r="F1017" s="22" t="s">
        <v>74</v>
      </c>
      <c r="G1017" s="32" t="str">
        <f>IFERROR(VLOOKUP(F1017,Productos!$A$2:$D$274,2,0)," ")</f>
        <v>Repisa Caramelo</v>
      </c>
      <c r="H1017" s="7">
        <v>1</v>
      </c>
      <c r="I1017" s="32" t="str">
        <f>IFERROR(VLOOKUP(F1017,Productos!$A$2:$D$274,3,0)," ")</f>
        <v>Repisa</v>
      </c>
      <c r="J1017" s="213" t="s">
        <v>24</v>
      </c>
      <c r="K1017" s="213" t="s">
        <v>185</v>
      </c>
      <c r="L1017" s="26" t="str">
        <f t="shared" si="260"/>
        <v>En alistamiento</v>
      </c>
      <c r="M1017" s="56"/>
      <c r="N1017" s="198"/>
      <c r="O1017" s="150"/>
      <c r="P1017" s="151"/>
      <c r="Q1017" s="24" t="str">
        <f t="shared" si="228"/>
        <v>En transito</v>
      </c>
      <c r="R1017" s="25" t="str">
        <f>IF(L1017="Despachado",NETWORKDAYS.INTL(A1017,O1017,11,Valores!$A$2:$A$18)-1,"PTE")</f>
        <v>PTE</v>
      </c>
      <c r="S1017" s="25" t="str">
        <f>IF(Q1017="Entregado",NETWORKDAYS.INTL(A1017,P1017,11,Valores!$A$2:$A$18)-1,"PTE")</f>
        <v>PTE</v>
      </c>
      <c r="T1017" s="25"/>
      <c r="U1017" s="25"/>
      <c r="V1017" s="25" t="str">
        <f>IF(Q1017="Entregado",IF(S1017&lt;=VLOOKUP(K1017,Valores!E:F,2,0),"Cumple","No cumple"),"PTE")</f>
        <v>PTE</v>
      </c>
      <c r="W1017" s="25"/>
      <c r="X1017" s="29"/>
      <c r="Y1017" s="224"/>
      <c r="Z1017" s="28"/>
    </row>
    <row r="1018" spans="1:26" hidden="1" x14ac:dyDescent="0.3">
      <c r="A1018" s="34">
        <v>45990</v>
      </c>
      <c r="B1018" s="7" t="str">
        <f t="shared" si="261"/>
        <v>noviembre</v>
      </c>
      <c r="C1018" s="27">
        <v>100219</v>
      </c>
      <c r="D1018" s="23" t="s">
        <v>20</v>
      </c>
      <c r="E1018" s="212" t="s">
        <v>1852</v>
      </c>
      <c r="F1018" s="22" t="s">
        <v>240</v>
      </c>
      <c r="G1018" s="32" t="str">
        <f>IFERROR(VLOOKUP(F1018,Productos!$A$2:$D$274,2,0)," ")</f>
        <v>Bandeja de cables</v>
      </c>
      <c r="H1018" s="7">
        <v>1</v>
      </c>
      <c r="I1018" s="32" t="str">
        <f>IFERROR(VLOOKUP(F1018,Productos!$A$2:$D$274,3,0)," ")</f>
        <v>Accesorio</v>
      </c>
      <c r="J1018" s="213" t="s">
        <v>24</v>
      </c>
      <c r="K1018" s="213" t="s">
        <v>185</v>
      </c>
      <c r="L1018" s="26" t="str">
        <f t="shared" si="260"/>
        <v>En alistamiento</v>
      </c>
      <c r="M1018" s="56"/>
      <c r="N1018" s="198"/>
      <c r="O1018" s="150"/>
      <c r="P1018" s="151"/>
      <c r="Q1018" s="24" t="str">
        <f t="shared" si="228"/>
        <v>En transito</v>
      </c>
      <c r="R1018" s="25" t="str">
        <f>IF(L1018="Despachado",NETWORKDAYS.INTL(A1018,O1018,11,Valores!$A$2:$A$18)-1,"PTE")</f>
        <v>PTE</v>
      </c>
      <c r="S1018" s="25" t="str">
        <f>IF(Q1018="Entregado",NETWORKDAYS.INTL(A1018,P1018,11,Valores!$A$2:$A$18)-1,"PTE")</f>
        <v>PTE</v>
      </c>
      <c r="T1018" s="25"/>
      <c r="U1018" s="25"/>
      <c r="V1018" s="25" t="str">
        <f>IF(Q1018="Entregado",IF(S1018&lt;=VLOOKUP(K1018,Valores!E:F,2,0),"Cumple","No cumple"),"PTE")</f>
        <v>PTE</v>
      </c>
      <c r="W1018" s="25"/>
      <c r="X1018" s="29"/>
      <c r="Y1018" s="224"/>
      <c r="Z1018" s="28"/>
    </row>
    <row r="1019" spans="1:26" hidden="1" x14ac:dyDescent="0.3">
      <c r="A1019" s="34">
        <v>45990</v>
      </c>
      <c r="B1019" s="7" t="str">
        <f t="shared" ref="B1019" si="262">TEXT(A1019,"mmmm")</f>
        <v>noviembre</v>
      </c>
      <c r="C1019" s="27">
        <v>100219</v>
      </c>
      <c r="D1019" s="23" t="s">
        <v>20</v>
      </c>
      <c r="E1019" s="212" t="s">
        <v>1852</v>
      </c>
      <c r="F1019" s="22" t="s">
        <v>89</v>
      </c>
      <c r="G1019" s="32" t="str">
        <f>IFERROR(VLOOKUP(F1019,Productos!$A$2:$D$274,2,0)," ")</f>
        <v>Desk Stool Gris Silla ajustable</v>
      </c>
      <c r="H1019" s="7">
        <v>1</v>
      </c>
      <c r="I1019" s="32" t="str">
        <f>IFERROR(VLOOKUP(F1019,Productos!$A$2:$D$274,3,0)," ")</f>
        <v>Silla</v>
      </c>
      <c r="J1019" s="213" t="s">
        <v>24</v>
      </c>
      <c r="K1019" s="213" t="s">
        <v>185</v>
      </c>
      <c r="L1019" s="26" t="str">
        <f t="shared" si="260"/>
        <v>En alistamiento</v>
      </c>
      <c r="M1019" s="56"/>
      <c r="N1019" s="198"/>
      <c r="O1019" s="150"/>
      <c r="P1019" s="151"/>
      <c r="Q1019" s="24" t="str">
        <f t="shared" si="228"/>
        <v>En transito</v>
      </c>
      <c r="R1019" s="25" t="str">
        <f>IF(L1019="Despachado",NETWORKDAYS.INTL(A1019,O1019,11,Valores!$A$2:$A$18)-1,"PTE")</f>
        <v>PTE</v>
      </c>
      <c r="S1019" s="25" t="str">
        <f>IF(Q1019="Entregado",NETWORKDAYS.INTL(A1019,P1019,11,Valores!$A$2:$A$18)-1,"PTE")</f>
        <v>PTE</v>
      </c>
      <c r="T1019" s="25"/>
      <c r="U1019" s="25"/>
      <c r="V1019" s="25" t="str">
        <f>IF(Q1019="Entregado",IF(S1019&lt;=VLOOKUP(K1019,Valores!E:F,2,0),"Cumple","No cumple"),"PTE")</f>
        <v>PTE</v>
      </c>
      <c r="W1019" s="25"/>
      <c r="X1019" s="29"/>
      <c r="Y1019" s="224"/>
      <c r="Z1019" s="28"/>
    </row>
    <row r="1020" spans="1:26" hidden="1" x14ac:dyDescent="0.3">
      <c r="A1020" s="34">
        <v>45990</v>
      </c>
      <c r="B1020" s="7" t="str">
        <f t="shared" ref="B1020:B1024" si="263">TEXT(A1020,"mmmm")</f>
        <v>noviembre</v>
      </c>
      <c r="C1020" s="27">
        <v>100220</v>
      </c>
      <c r="D1020" s="23" t="s">
        <v>20</v>
      </c>
      <c r="E1020" s="212" t="s">
        <v>1853</v>
      </c>
      <c r="F1020" s="22" t="s">
        <v>123</v>
      </c>
      <c r="G1020" s="32" t="str">
        <f>IFERROR(VLOOKUP(F1020,Productos!$A$2:$D$274,2,0)," ")</f>
        <v>Electric Standing Desk GO Negro</v>
      </c>
      <c r="H1020" s="7">
        <v>1</v>
      </c>
      <c r="I1020" s="32" t="str">
        <f>IFERROR(VLOOKUP(F1020,Productos!$A$2:$D$274,3,0)," ")</f>
        <v>Standing Desk</v>
      </c>
      <c r="J1020" s="213" t="s">
        <v>24</v>
      </c>
      <c r="K1020" s="213" t="s">
        <v>27</v>
      </c>
      <c r="L1020" s="26" t="str">
        <f t="shared" si="260"/>
        <v>En alistamiento</v>
      </c>
      <c r="M1020" s="56"/>
      <c r="N1020" s="198"/>
      <c r="O1020" s="150"/>
      <c r="P1020" s="151"/>
      <c r="Q1020" s="24" t="str">
        <f t="shared" si="228"/>
        <v>En transito</v>
      </c>
      <c r="R1020" s="25" t="str">
        <f>IF(L1020="Despachado",NETWORKDAYS.INTL(A1020,O1020,11,Valores!$A$2:$A$18)-1,"PTE")</f>
        <v>PTE</v>
      </c>
      <c r="S1020" s="25" t="str">
        <f>IF(Q1020="Entregado",NETWORKDAYS.INTL(A1020,P1020,11,Valores!$A$2:$A$18)-1,"PTE")</f>
        <v>PTE</v>
      </c>
      <c r="T1020" s="25"/>
      <c r="U1020" s="25"/>
      <c r="V1020" s="25" t="str">
        <f>IF(Q1020="Entregado",IF(S1020&lt;=VLOOKUP(K1020,Valores!E:F,2,0),"Cumple","No cumple"),"PTE")</f>
        <v>PTE</v>
      </c>
      <c r="W1020" s="25"/>
      <c r="X1020" s="29"/>
      <c r="Y1020" s="224"/>
      <c r="Z1020" s="28"/>
    </row>
    <row r="1021" spans="1:26" hidden="1" x14ac:dyDescent="0.3">
      <c r="A1021" s="34">
        <v>45990</v>
      </c>
      <c r="B1021" s="7" t="str">
        <f t="shared" si="263"/>
        <v>noviembre</v>
      </c>
      <c r="C1021" s="27">
        <v>100220</v>
      </c>
      <c r="D1021" s="23" t="s">
        <v>20</v>
      </c>
      <c r="E1021" s="212" t="s">
        <v>1853</v>
      </c>
      <c r="F1021" s="22" t="s">
        <v>301</v>
      </c>
      <c r="G1021" s="32" t="str">
        <f>IFERROR(VLOOKUP(F1021,Productos!$A$2:$D$274,2,0)," ")</f>
        <v>Superficie  Fresno Europeo 120x70 Clasico Small</v>
      </c>
      <c r="H1021" s="7">
        <v>1</v>
      </c>
      <c r="I1021" s="32" t="str">
        <f>IFERROR(VLOOKUP(F1021,Productos!$A$2:$D$274,3,0)," ")</f>
        <v>Superficie</v>
      </c>
      <c r="J1021" s="213" t="s">
        <v>24</v>
      </c>
      <c r="K1021" s="213" t="s">
        <v>27</v>
      </c>
      <c r="L1021" s="26" t="str">
        <f t="shared" si="260"/>
        <v>En alistamiento</v>
      </c>
      <c r="M1021" s="56"/>
      <c r="N1021" s="198"/>
      <c r="O1021" s="150"/>
      <c r="P1021" s="151"/>
      <c r="Q1021" s="24" t="str">
        <f t="shared" si="228"/>
        <v>En transito</v>
      </c>
      <c r="R1021" s="25" t="str">
        <f>IF(L1021="Despachado",NETWORKDAYS.INTL(A1021,O1021,11,Valores!$A$2:$A$18)-1,"PTE")</f>
        <v>PTE</v>
      </c>
      <c r="S1021" s="25" t="str">
        <f>IF(Q1021="Entregado",NETWORKDAYS.INTL(A1021,P1021,11,Valores!$A$2:$A$18)-1,"PTE")</f>
        <v>PTE</v>
      </c>
      <c r="T1021" s="25"/>
      <c r="U1021" s="25"/>
      <c r="V1021" s="25" t="str">
        <f>IF(Q1021="Entregado",IF(S1021&lt;=VLOOKUP(K1021,Valores!E:F,2,0),"Cumple","No cumple"),"PTE")</f>
        <v>PTE</v>
      </c>
      <c r="W1021" s="25"/>
      <c r="X1021" s="29"/>
      <c r="Y1021" s="224"/>
      <c r="Z1021" s="28"/>
    </row>
    <row r="1022" spans="1:26" hidden="1" x14ac:dyDescent="0.3">
      <c r="A1022" s="34">
        <v>45990</v>
      </c>
      <c r="B1022" s="7" t="str">
        <f t="shared" si="263"/>
        <v>noviembre</v>
      </c>
      <c r="C1022" s="27">
        <v>100220</v>
      </c>
      <c r="D1022" s="23" t="s">
        <v>20</v>
      </c>
      <c r="E1022" s="212" t="s">
        <v>1853</v>
      </c>
      <c r="F1022" s="22" t="s">
        <v>240</v>
      </c>
      <c r="G1022" s="32" t="str">
        <f>IFERROR(VLOOKUP(F1022,Productos!$A$2:$D$274,2,0)," ")</f>
        <v>Bandeja de cables</v>
      </c>
      <c r="H1022" s="7">
        <v>1</v>
      </c>
      <c r="I1022" s="32" t="str">
        <f>IFERROR(VLOOKUP(F1022,Productos!$A$2:$D$274,3,0)," ")</f>
        <v>Accesorio</v>
      </c>
      <c r="J1022" s="213" t="s">
        <v>24</v>
      </c>
      <c r="K1022" s="213" t="s">
        <v>27</v>
      </c>
      <c r="L1022" s="26" t="str">
        <f t="shared" si="260"/>
        <v>En alistamiento</v>
      </c>
      <c r="M1022" s="56"/>
      <c r="N1022" s="198"/>
      <c r="O1022" s="150"/>
      <c r="P1022" s="151"/>
      <c r="Q1022" s="24" t="str">
        <f t="shared" si="228"/>
        <v>En transito</v>
      </c>
      <c r="R1022" s="25" t="str">
        <f>IF(L1022="Despachado",NETWORKDAYS.INTL(A1022,O1022,11,Valores!$A$2:$A$18)-1,"PTE")</f>
        <v>PTE</v>
      </c>
      <c r="S1022" s="25" t="str">
        <f>IF(Q1022="Entregado",NETWORKDAYS.INTL(A1022,P1022,11,Valores!$A$2:$A$18)-1,"PTE")</f>
        <v>PTE</v>
      </c>
      <c r="T1022" s="25"/>
      <c r="U1022" s="25"/>
      <c r="V1022" s="25" t="str">
        <f>IF(Q1022="Entregado",IF(S1022&lt;=VLOOKUP(K1022,Valores!E:F,2,0),"Cumple","No cumple"),"PTE")</f>
        <v>PTE</v>
      </c>
      <c r="W1022" s="25"/>
      <c r="X1022" s="29"/>
      <c r="Y1022" s="224"/>
      <c r="Z1022" s="28"/>
    </row>
    <row r="1023" spans="1:26" hidden="1" x14ac:dyDescent="0.3">
      <c r="A1023" s="34">
        <v>45991</v>
      </c>
      <c r="B1023" s="7" t="str">
        <f t="shared" si="263"/>
        <v>noviembre</v>
      </c>
      <c r="C1023" s="27">
        <v>100221</v>
      </c>
      <c r="D1023" s="23" t="s">
        <v>20</v>
      </c>
      <c r="E1023" s="212" t="s">
        <v>1854</v>
      </c>
      <c r="F1023" s="22" t="s">
        <v>133</v>
      </c>
      <c r="G1023" s="32" t="str">
        <f>IFERROR(VLOOKUP(F1023,Productos!$A$2:$D$274,2,0)," ")</f>
        <v>Electric Standing Desk  PRO Blanco</v>
      </c>
      <c r="H1023" s="7">
        <v>1</v>
      </c>
      <c r="I1023" s="32" t="str">
        <f>IFERROR(VLOOKUP(F1023,Productos!$A$2:$D$274,3,0)," ")</f>
        <v>Standing Desk</v>
      </c>
      <c r="J1023" s="202" t="s">
        <v>21</v>
      </c>
      <c r="K1023" s="205" t="s">
        <v>22</v>
      </c>
      <c r="L1023" s="26" t="str">
        <f t="shared" si="260"/>
        <v>En alistamiento</v>
      </c>
      <c r="M1023" s="56"/>
      <c r="N1023" s="198"/>
      <c r="O1023" s="150"/>
      <c r="P1023" s="151"/>
      <c r="Q1023" s="24" t="str">
        <f t="shared" si="228"/>
        <v>En transito</v>
      </c>
      <c r="R1023" s="25" t="str">
        <f>IF(L1023="Despachado",NETWORKDAYS.INTL(A1023,O1023,11,Valores!$A$2:$A$18)-1,"PTE")</f>
        <v>PTE</v>
      </c>
      <c r="S1023" s="25" t="str">
        <f>IF(Q1023="Entregado",NETWORKDAYS.INTL(A1023,P1023,11,Valores!$A$2:$A$18)-1,"PTE")</f>
        <v>PTE</v>
      </c>
      <c r="T1023" s="25"/>
      <c r="U1023" s="25"/>
      <c r="V1023" s="25" t="str">
        <f>IF(Q1023="Entregado",IF(S1023&lt;=VLOOKUP(K1023,Valores!E:F,2,0),"Cumple","No cumple"),"PTE")</f>
        <v>PTE</v>
      </c>
      <c r="W1023" s="25"/>
      <c r="X1023" s="29"/>
      <c r="Y1023" s="224"/>
      <c r="Z1023" s="28"/>
    </row>
    <row r="1024" spans="1:26" hidden="1" x14ac:dyDescent="0.3">
      <c r="A1024" s="34">
        <v>45991</v>
      </c>
      <c r="B1024" s="7" t="str">
        <f t="shared" si="263"/>
        <v>noviembre</v>
      </c>
      <c r="C1024" s="27">
        <v>100221</v>
      </c>
      <c r="D1024" s="23" t="s">
        <v>20</v>
      </c>
      <c r="E1024" s="212" t="s">
        <v>1854</v>
      </c>
      <c r="F1024" s="22" t="s">
        <v>114</v>
      </c>
      <c r="G1024" s="32" t="str">
        <f>IFERROR(VLOOKUP(F1024,Productos!$A$2:$D$274,2,0)," ")</f>
        <v>Superficie  Roble Negro 120x70 Clasico Small</v>
      </c>
      <c r="H1024" s="7">
        <v>1</v>
      </c>
      <c r="I1024" s="32" t="str">
        <f>IFERROR(VLOOKUP(F1024,Productos!$A$2:$D$274,3,0)," ")</f>
        <v>Superficie</v>
      </c>
      <c r="J1024" s="202" t="s">
        <v>21</v>
      </c>
      <c r="K1024" s="205" t="s">
        <v>22</v>
      </c>
      <c r="L1024" s="26" t="str">
        <f t="shared" si="260"/>
        <v>En alistamiento</v>
      </c>
      <c r="M1024" s="56"/>
      <c r="N1024" s="198"/>
      <c r="O1024" s="150"/>
      <c r="P1024" s="151"/>
      <c r="Q1024" s="24" t="str">
        <f t="shared" si="228"/>
        <v>En transito</v>
      </c>
      <c r="R1024" s="25" t="str">
        <f>IF(L1024="Despachado",NETWORKDAYS.INTL(A1024,O1024,11,Valores!$A$2:$A$18)-1,"PTE")</f>
        <v>PTE</v>
      </c>
      <c r="S1024" s="25" t="str">
        <f>IF(Q1024="Entregado",NETWORKDAYS.INTL(A1024,P1024,11,Valores!$A$2:$A$18)-1,"PTE")</f>
        <v>PTE</v>
      </c>
      <c r="T1024" s="25"/>
      <c r="U1024" s="25"/>
      <c r="V1024" s="25" t="str">
        <f>IF(Q1024="Entregado",IF(S1024&lt;=VLOOKUP(K1024,Valores!E:F,2,0),"Cumple","No cumple"),"PTE")</f>
        <v>PTE</v>
      </c>
      <c r="W1024" s="25"/>
      <c r="X1024" s="29"/>
      <c r="Y1024" s="224"/>
      <c r="Z1024" s="28"/>
    </row>
    <row r="1025" spans="1:26" hidden="1" x14ac:dyDescent="0.3">
      <c r="A1025" s="34">
        <v>45991</v>
      </c>
      <c r="B1025" s="7" t="str">
        <f t="shared" ref="B1025:B1026" si="264">TEXT(A1025,"mmmm")</f>
        <v>noviembre</v>
      </c>
      <c r="C1025" s="27">
        <v>100224</v>
      </c>
      <c r="D1025" s="23" t="s">
        <v>20</v>
      </c>
      <c r="E1025" s="212" t="s">
        <v>1855</v>
      </c>
      <c r="F1025" s="22" t="s">
        <v>127</v>
      </c>
      <c r="G1025" s="32" t="str">
        <f>IFERROR(VLOOKUP(F1025,Productos!$A$2:$D$274,2,0)," ")</f>
        <v>Electric Standing Desk GO Blanco</v>
      </c>
      <c r="H1025" s="7">
        <v>1</v>
      </c>
      <c r="I1025" s="32" t="str">
        <f>IFERROR(VLOOKUP(F1025,Productos!$A$2:$D$274,3,0)," ")</f>
        <v>Standing Desk</v>
      </c>
      <c r="J1025" s="213" t="s">
        <v>1423</v>
      </c>
      <c r="K1025" s="213" t="s">
        <v>43</v>
      </c>
      <c r="L1025" s="26" t="str">
        <f t="shared" si="260"/>
        <v>En alistamiento</v>
      </c>
      <c r="M1025" s="56"/>
      <c r="N1025" s="198"/>
      <c r="O1025" s="150"/>
      <c r="P1025" s="151"/>
      <c r="Q1025" s="24" t="str">
        <f t="shared" si="228"/>
        <v>En transito</v>
      </c>
      <c r="R1025" s="25" t="str">
        <f>IF(L1025="Despachado",NETWORKDAYS.INTL(A1025,O1025,11,Valores!$A$2:$A$18)-1,"PTE")</f>
        <v>PTE</v>
      </c>
      <c r="S1025" s="25" t="str">
        <f>IF(Q1025="Entregado",NETWORKDAYS.INTL(A1025,P1025,11,Valores!$A$2:$A$18)-1,"PTE")</f>
        <v>PTE</v>
      </c>
      <c r="T1025" s="25"/>
      <c r="U1025" s="25"/>
      <c r="V1025" s="25" t="str">
        <f>IF(Q1025="Entregado",IF(S1025&lt;=VLOOKUP(K1025,Valores!E:F,2,0),"Cumple","No cumple"),"PTE")</f>
        <v>PTE</v>
      </c>
      <c r="W1025" s="25"/>
      <c r="X1025" s="29"/>
      <c r="Y1025" s="224"/>
      <c r="Z1025" s="28"/>
    </row>
    <row r="1026" spans="1:26" hidden="1" x14ac:dyDescent="0.3">
      <c r="A1026" s="34">
        <v>45991</v>
      </c>
      <c r="B1026" s="7" t="str">
        <f t="shared" si="264"/>
        <v>noviembre</v>
      </c>
      <c r="C1026" s="27">
        <v>100224</v>
      </c>
      <c r="D1026" s="23" t="s">
        <v>20</v>
      </c>
      <c r="E1026" s="212" t="s">
        <v>1855</v>
      </c>
      <c r="F1026" s="22" t="s">
        <v>307</v>
      </c>
      <c r="G1026" s="32" t="str">
        <f>IFERROR(VLOOKUP(F1026,Productos!$A$2:$D$274,2,0)," ")</f>
        <v>Superficie  Fresno Europeo 180x70 Clasico</v>
      </c>
      <c r="H1026" s="7">
        <v>1</v>
      </c>
      <c r="I1026" s="32" t="str">
        <f>IFERROR(VLOOKUP(F1026,Productos!$A$2:$D$274,3,0)," ")</f>
        <v>Superficie</v>
      </c>
      <c r="J1026" s="213" t="s">
        <v>1423</v>
      </c>
      <c r="K1026" s="213" t="s">
        <v>43</v>
      </c>
      <c r="L1026" s="26" t="str">
        <f t="shared" si="260"/>
        <v>En alistamiento</v>
      </c>
      <c r="M1026" s="56"/>
      <c r="N1026" s="198"/>
      <c r="O1026" s="150"/>
      <c r="P1026" s="151"/>
      <c r="Q1026" s="24" t="str">
        <f t="shared" si="228"/>
        <v>En transito</v>
      </c>
      <c r="R1026" s="25" t="str">
        <f>IF(L1026="Despachado",NETWORKDAYS.INTL(A1026,O1026,11,Valores!$A$2:$A$18)-1,"PTE")</f>
        <v>PTE</v>
      </c>
      <c r="S1026" s="25" t="str">
        <f>IF(Q1026="Entregado",NETWORKDAYS.INTL(A1026,P1026,11,Valores!$A$2:$A$18)-1,"PTE")</f>
        <v>PTE</v>
      </c>
      <c r="T1026" s="25"/>
      <c r="U1026" s="25"/>
      <c r="V1026" s="25" t="str">
        <f>IF(Q1026="Entregado",IF(S1026&lt;=VLOOKUP(K1026,Valores!E:F,2,0),"Cumple","No cumple"),"PTE")</f>
        <v>PTE</v>
      </c>
      <c r="W1026" s="25"/>
      <c r="X1026" s="29"/>
      <c r="Y1026" s="224"/>
      <c r="Z1026" s="28"/>
    </row>
    <row r="1027" spans="1:26" hidden="1" x14ac:dyDescent="0.3">
      <c r="A1027" s="34">
        <v>45991</v>
      </c>
      <c r="B1027" s="7" t="str">
        <f t="shared" ref="B1027:B1028" si="265">TEXT(A1027,"mmmm")</f>
        <v>noviembre</v>
      </c>
      <c r="C1027" s="27">
        <v>100225</v>
      </c>
      <c r="D1027" s="23" t="s">
        <v>20</v>
      </c>
      <c r="E1027" s="212" t="s">
        <v>1856</v>
      </c>
      <c r="F1027" s="22" t="s">
        <v>129</v>
      </c>
      <c r="G1027" s="32" t="str">
        <f>IFERROR(VLOOKUP(F1027,Productos!$A$2:$D$274,2,0)," ")</f>
        <v>Electric Standing Desk  PRO Negro</v>
      </c>
      <c r="H1027" s="7">
        <v>1</v>
      </c>
      <c r="I1027" s="32" t="str">
        <f>IFERROR(VLOOKUP(F1027,Productos!$A$2:$D$274,3,0)," ")</f>
        <v>Standing Desk</v>
      </c>
      <c r="J1027" s="213" t="s">
        <v>1423</v>
      </c>
      <c r="K1027" s="213" t="s">
        <v>41</v>
      </c>
      <c r="L1027" s="26" t="str">
        <f t="shared" si="260"/>
        <v>En alistamiento</v>
      </c>
      <c r="M1027" s="56"/>
      <c r="N1027" s="198"/>
      <c r="O1027" s="150"/>
      <c r="P1027" s="151"/>
      <c r="Q1027" s="24" t="str">
        <f t="shared" si="228"/>
        <v>En transito</v>
      </c>
      <c r="R1027" s="25" t="str">
        <f>IF(L1027="Despachado",NETWORKDAYS.INTL(A1027,O1027,11,Valores!$A$2:$A$18)-1,"PTE")</f>
        <v>PTE</v>
      </c>
      <c r="S1027" s="25" t="str">
        <f>IF(Q1027="Entregado",NETWORKDAYS.INTL(A1027,P1027,11,Valores!$A$2:$A$18)-1,"PTE")</f>
        <v>PTE</v>
      </c>
      <c r="T1027" s="25"/>
      <c r="U1027" s="25"/>
      <c r="V1027" s="25" t="str">
        <f>IF(Q1027="Entregado",IF(S1027&lt;=VLOOKUP(K1027,Valores!E:F,2,0),"Cumple","No cumple"),"PTE")</f>
        <v>PTE</v>
      </c>
      <c r="W1027" s="25"/>
      <c r="X1027" s="29"/>
      <c r="Y1027" s="224"/>
      <c r="Z1027" s="28"/>
    </row>
    <row r="1028" spans="1:26" hidden="1" x14ac:dyDescent="0.3">
      <c r="A1028" s="34">
        <v>45991</v>
      </c>
      <c r="B1028" s="7" t="str">
        <f t="shared" si="265"/>
        <v>noviembre</v>
      </c>
      <c r="C1028" s="27">
        <v>100225</v>
      </c>
      <c r="D1028" s="23" t="s">
        <v>20</v>
      </c>
      <c r="E1028" s="212" t="s">
        <v>1856</v>
      </c>
      <c r="F1028" s="22" t="s">
        <v>33</v>
      </c>
      <c r="G1028" s="32" t="str">
        <f>IFERROR(VLOOKUP(F1028,Productos!$A$2:$D$274,2,0)," ")</f>
        <v>Superficie  Caramelo 180x70 Clasico</v>
      </c>
      <c r="H1028" s="7">
        <v>1</v>
      </c>
      <c r="I1028" s="32" t="str">
        <f>IFERROR(VLOOKUP(F1028,Productos!$A$2:$D$274,3,0)," ")</f>
        <v>Superficie</v>
      </c>
      <c r="J1028" s="213" t="s">
        <v>1423</v>
      </c>
      <c r="K1028" s="213" t="s">
        <v>41</v>
      </c>
      <c r="L1028" s="26" t="str">
        <f t="shared" si="260"/>
        <v>En alistamiento</v>
      </c>
      <c r="M1028" s="56"/>
      <c r="N1028" s="198"/>
      <c r="O1028" s="150"/>
      <c r="P1028" s="151"/>
      <c r="Q1028" s="24" t="str">
        <f t="shared" si="228"/>
        <v>En transito</v>
      </c>
      <c r="R1028" s="25" t="str">
        <f>IF(L1028="Despachado",NETWORKDAYS.INTL(A1028,O1028,11,Valores!$A$2:$A$18)-1,"PTE")</f>
        <v>PTE</v>
      </c>
      <c r="S1028" s="25" t="str">
        <f>IF(Q1028="Entregado",NETWORKDAYS.INTL(A1028,P1028,11,Valores!$A$2:$A$18)-1,"PTE")</f>
        <v>PTE</v>
      </c>
      <c r="T1028" s="25"/>
      <c r="U1028" s="25"/>
      <c r="V1028" s="25" t="str">
        <f>IF(Q1028="Entregado",IF(S1028&lt;=VLOOKUP(K1028,Valores!E:F,2,0),"Cumple","No cumple"),"PTE")</f>
        <v>PTE</v>
      </c>
      <c r="W1028" s="25"/>
      <c r="X1028" s="29"/>
      <c r="Y1028" s="224"/>
      <c r="Z1028" s="28"/>
    </row>
    <row r="1029" spans="1:26" hidden="1" x14ac:dyDescent="0.3">
      <c r="A1029" s="34">
        <v>45991</v>
      </c>
      <c r="B1029" s="7" t="str">
        <f t="shared" ref="B1029:B1034" si="266">TEXT(A1029,"mmmm")</f>
        <v>noviembre</v>
      </c>
      <c r="C1029" s="27">
        <v>100226</v>
      </c>
      <c r="D1029" s="23" t="s">
        <v>20</v>
      </c>
      <c r="E1029" s="212" t="s">
        <v>1856</v>
      </c>
      <c r="F1029" s="22" t="s">
        <v>240</v>
      </c>
      <c r="G1029" s="32" t="str">
        <f>IFERROR(VLOOKUP(F1029,Productos!$A$2:$D$274,2,0)," ")</f>
        <v>Bandeja de cables</v>
      </c>
      <c r="H1029" s="7">
        <v>1</v>
      </c>
      <c r="I1029" s="32" t="str">
        <f>IFERROR(VLOOKUP(F1029,Productos!$A$2:$D$274,3,0)," ")</f>
        <v>Accesorio</v>
      </c>
      <c r="J1029" s="213" t="s">
        <v>1423</v>
      </c>
      <c r="K1029" s="213" t="s">
        <v>41</v>
      </c>
      <c r="L1029" s="26" t="str">
        <f t="shared" ref="L1029:L1047" si="267">IF(O1029&gt;0,"Despachado","En alistamiento")</f>
        <v>En alistamiento</v>
      </c>
      <c r="M1029" s="56"/>
      <c r="N1029" s="198"/>
      <c r="O1029" s="150"/>
      <c r="P1029" s="151"/>
      <c r="Q1029" s="24" t="str">
        <f t="shared" si="228"/>
        <v>En transito</v>
      </c>
      <c r="R1029" s="25" t="str">
        <f>IF(L1029="Despachado",NETWORKDAYS.INTL(A1029,O1029,11,Valores!$A$2:$A$18)-1,"PTE")</f>
        <v>PTE</v>
      </c>
      <c r="S1029" s="25" t="str">
        <f>IF(Q1029="Entregado",NETWORKDAYS.INTL(A1029,P1029,11,Valores!$A$2:$A$18)-1,"PTE")</f>
        <v>PTE</v>
      </c>
      <c r="T1029" s="25"/>
      <c r="U1029" s="25"/>
      <c r="V1029" s="25" t="str">
        <f>IF(Q1029="Entregado",IF(S1029&lt;=VLOOKUP(K1029,Valores!E:F,2,0),"Cumple","No cumple"),"PTE")</f>
        <v>PTE</v>
      </c>
      <c r="W1029" s="25"/>
      <c r="X1029" s="29"/>
      <c r="Y1029" s="224"/>
      <c r="Z1029" s="28"/>
    </row>
    <row r="1030" spans="1:26" hidden="1" x14ac:dyDescent="0.3">
      <c r="A1030" s="34">
        <v>45991</v>
      </c>
      <c r="B1030" s="7" t="str">
        <f t="shared" si="266"/>
        <v>noviembre</v>
      </c>
      <c r="C1030" s="27">
        <v>100226</v>
      </c>
      <c r="D1030" s="23" t="s">
        <v>20</v>
      </c>
      <c r="E1030" s="212" t="s">
        <v>1856</v>
      </c>
      <c r="F1030" s="22" t="s">
        <v>1602</v>
      </c>
      <c r="G1030" s="32" t="str">
        <f>IFERROR(VLOOKUP(F1030,Productos!$A$2:$D$274,2,0)," ")</f>
        <v>Cajonero 2.0 Bicolor Caramelo x65cm</v>
      </c>
      <c r="H1030" s="7">
        <v>1</v>
      </c>
      <c r="I1030" s="32" t="str">
        <f>IFERROR(VLOOKUP(F1030,Productos!$A$2:$D$274,3,0)," ")</f>
        <v>Archivador</v>
      </c>
      <c r="J1030" s="213" t="s">
        <v>1423</v>
      </c>
      <c r="K1030" s="213" t="s">
        <v>41</v>
      </c>
      <c r="L1030" s="26" t="str">
        <f t="shared" si="267"/>
        <v>En alistamiento</v>
      </c>
      <c r="M1030" s="56"/>
      <c r="N1030" s="198"/>
      <c r="O1030" s="150"/>
      <c r="P1030" s="151"/>
      <c r="Q1030" s="24" t="str">
        <f t="shared" si="228"/>
        <v>En transito</v>
      </c>
      <c r="R1030" s="25" t="str">
        <f>IF(L1030="Despachado",NETWORKDAYS.INTL(A1030,O1030,11,Valores!$A$2:$A$18)-1,"PTE")</f>
        <v>PTE</v>
      </c>
      <c r="S1030" s="25" t="str">
        <f>IF(Q1030="Entregado",NETWORKDAYS.INTL(A1030,P1030,11,Valores!$A$2:$A$18)-1,"PTE")</f>
        <v>PTE</v>
      </c>
      <c r="T1030" s="25"/>
      <c r="U1030" s="25"/>
      <c r="V1030" s="25" t="str">
        <f>IF(Q1030="Entregado",IF(S1030&lt;=VLOOKUP(K1030,Valores!E:F,2,0),"Cumple","No cumple"),"PTE")</f>
        <v>PTE</v>
      </c>
      <c r="W1030" s="25"/>
      <c r="X1030" s="29"/>
      <c r="Y1030" s="224"/>
      <c r="Z1030" s="28"/>
    </row>
    <row r="1031" spans="1:26" x14ac:dyDescent="0.3">
      <c r="A1031" s="34">
        <v>45993</v>
      </c>
      <c r="B1031" s="7" t="str">
        <f t="shared" si="266"/>
        <v>diciembre</v>
      </c>
      <c r="C1031" s="27">
        <v>100227</v>
      </c>
      <c r="D1031" s="23" t="s">
        <v>20</v>
      </c>
      <c r="E1031" s="214" t="s">
        <v>1859</v>
      </c>
      <c r="F1031" s="22" t="s">
        <v>129</v>
      </c>
      <c r="G1031" s="32" t="str">
        <f>IFERROR(VLOOKUP(F1031,Productos!$A$2:$D$274,2,0)," ")</f>
        <v>Electric Standing Desk  PRO Negro</v>
      </c>
      <c r="H1031" s="7">
        <v>1</v>
      </c>
      <c r="I1031" s="32" t="str">
        <f>IFERROR(VLOOKUP(F1031,Productos!$A$2:$D$274,3,0)," ")</f>
        <v>Standing Desk</v>
      </c>
      <c r="J1031" s="215" t="s">
        <v>216</v>
      </c>
      <c r="K1031" s="215" t="s">
        <v>196</v>
      </c>
      <c r="L1031" s="26" t="str">
        <f>IF(O1031&gt;0,"Despachado","En alistamiento")</f>
        <v>Despachado</v>
      </c>
      <c r="M1031" s="56" t="s">
        <v>1899</v>
      </c>
      <c r="N1031" s="274" t="s">
        <v>1900</v>
      </c>
      <c r="O1031" s="150">
        <v>46001</v>
      </c>
      <c r="P1031" s="151">
        <v>46001</v>
      </c>
      <c r="Q1031" s="24" t="str">
        <f>IF(P1031&gt;0,"Entregado","En transito")</f>
        <v>Entregado</v>
      </c>
      <c r="R1031" s="25">
        <f>IF(L1031="Despachado",NETWORKDAYS.INTL(A1031,O1031,11,Valores!$A$2:$A$18)-1,"PTE")</f>
        <v>6</v>
      </c>
      <c r="S1031" s="25">
        <f>IF(Q1031="Entregado",NETWORKDAYS.INTL(A1031,P1031,11,Valores!$A$2:$A$18)-1,"PTE")</f>
        <v>6</v>
      </c>
      <c r="T1031" s="249">
        <f>NETWORKDAYS(A2,O2)-1-3</f>
        <v>-4</v>
      </c>
      <c r="U1031" s="250">
        <f>NETWORKDAYS(O2,P2)-1-IF(OR(J2="Bogotá",J2="Medellín",J2="Cali"),3,5)</f>
        <v>-6</v>
      </c>
      <c r="V1031" s="25" t="str">
        <f>IF(Q1031="Entregado",IF(S1031&lt;=VLOOKUP(K1031,Valores!E:F,2,0),"Cumple","No cumple"),"PTE")</f>
        <v>No cumple</v>
      </c>
      <c r="W1031" s="247">
        <f>NETWORKDAYS(A2,P2)-1-IF(OR(J2="Bogotá",J2="Medellín",J2="Cali"),3,5)</f>
        <v>-6</v>
      </c>
      <c r="X1031" s="226">
        <v>25000</v>
      </c>
      <c r="Y1031" s="232" t="str">
        <f>IF(P2="","",
   IF(
      NETWORKDAYS(A2,P2)-
      IF(OR(TRIM(J2)="Bogotá",TRIM(J2)="Medellín",TRIM(J2)="Cali"),3,5)
      &lt;=0,
   "",
   IF(NETWORKDAYS(A2,O2)&gt;2,"Despacho","Transporte")))</f>
        <v/>
      </c>
      <c r="Z1031" s="228"/>
    </row>
    <row r="1032" spans="1:26" x14ac:dyDescent="0.3">
      <c r="A1032" s="34">
        <v>45993</v>
      </c>
      <c r="B1032" s="7" t="str">
        <f t="shared" si="266"/>
        <v>diciembre</v>
      </c>
      <c r="C1032" s="27">
        <v>100227</v>
      </c>
      <c r="D1032" s="23" t="s">
        <v>20</v>
      </c>
      <c r="E1032" s="214" t="s">
        <v>1859</v>
      </c>
      <c r="F1032" s="22" t="s">
        <v>141</v>
      </c>
      <c r="G1032" s="32" t="str">
        <f>IFERROR(VLOOKUP(F1032,Productos!$A$2:$D$274,2,0)," ")</f>
        <v>Superficie Caramelo 130x70 Clasico</v>
      </c>
      <c r="H1032" s="7">
        <v>1</v>
      </c>
      <c r="I1032" s="32" t="str">
        <f>IFERROR(VLOOKUP(F1032,Productos!$A$2:$D$274,3,0)," ")</f>
        <v>Superficie</v>
      </c>
      <c r="J1032" s="215" t="s">
        <v>216</v>
      </c>
      <c r="K1032" s="215" t="s">
        <v>196</v>
      </c>
      <c r="L1032" s="26" t="str">
        <f t="shared" si="267"/>
        <v>Despachado</v>
      </c>
      <c r="M1032" s="56" t="s">
        <v>1899</v>
      </c>
      <c r="N1032" s="221" t="s">
        <v>1900</v>
      </c>
      <c r="O1032" s="150">
        <v>46001</v>
      </c>
      <c r="P1032" s="151">
        <v>46001</v>
      </c>
      <c r="Q1032" s="24" t="str">
        <f t="shared" si="228"/>
        <v>Entregado</v>
      </c>
      <c r="R1032" s="25">
        <f>IF(L1032="Despachado",NETWORKDAYS.INTL(A1032,O1032,11,Valores!$A$2:$A$18)-1,"PTE")</f>
        <v>6</v>
      </c>
      <c r="S1032" s="25">
        <f>IF(Q1032="Entregado",NETWORKDAYS.INTL(A1032,P1032,11,Valores!$A$2:$A$18)-1,"PTE")</f>
        <v>6</v>
      </c>
      <c r="T1032" s="249">
        <f t="shared" ref="T1032:T1066" si="268">NETWORKDAYS(A3,O3)-1-3</f>
        <v>-4</v>
      </c>
      <c r="U1032" s="250">
        <f t="shared" ref="U1032:U1066" si="269">NETWORKDAYS(O3,P3)-1-IF(OR(J3="Bogotá",J3="Medellín",J3="Cali"),3,5)</f>
        <v>-6</v>
      </c>
      <c r="V1032" s="25" t="str">
        <f>IF(Q1032="Entregado",IF(S1032&lt;=VLOOKUP(K1032,Valores!E:F,2,0),"Cumple","No cumple"),"PTE")</f>
        <v>No cumple</v>
      </c>
      <c r="W1032" s="247">
        <f t="shared" ref="W1032:W1066" si="270">NETWORKDAYS(A3,P3)-1-IF(OR(J3="Bogotá",J3="Medellín",J3="Cali"),3,5)</f>
        <v>-6</v>
      </c>
      <c r="X1032" s="226">
        <v>25000</v>
      </c>
      <c r="Y1032" s="232" t="str">
        <f t="shared" ref="Y1032:Y1066" si="271">IF(P3="","",
   IF(
      NETWORKDAYS(A3,P3)-
      IF(OR(TRIM(J3)="Bogotá",TRIM(J3)="Medellín",TRIM(J3)="Cali"),3,5)
      &lt;=0,
   "",
   IF(NETWORKDAYS(A3,O3)&gt;2,"Despacho","Transporte")))</f>
        <v/>
      </c>
      <c r="Z1032" s="228"/>
    </row>
    <row r="1033" spans="1:26" x14ac:dyDescent="0.3">
      <c r="A1033" s="34">
        <v>45994</v>
      </c>
      <c r="B1033" s="7" t="str">
        <f t="shared" si="266"/>
        <v>diciembre</v>
      </c>
      <c r="C1033" s="27">
        <v>100228</v>
      </c>
      <c r="D1033" s="23" t="s">
        <v>20</v>
      </c>
      <c r="E1033" s="214" t="s">
        <v>1860</v>
      </c>
      <c r="F1033" s="22" t="s">
        <v>129</v>
      </c>
      <c r="G1033" s="32" t="str">
        <f>IFERROR(VLOOKUP(F1033,Productos!$A$2:$D$274,2,0)," ")</f>
        <v>Electric Standing Desk  PRO Negro</v>
      </c>
      <c r="H1033" s="7">
        <v>1</v>
      </c>
      <c r="I1033" s="32" t="str">
        <f>IFERROR(VLOOKUP(F1033,Productos!$A$2:$D$274,3,0)," ")</f>
        <v>Standing Desk</v>
      </c>
      <c r="J1033" s="215" t="s">
        <v>21</v>
      </c>
      <c r="K1033" s="215" t="s">
        <v>225</v>
      </c>
      <c r="L1033" s="26" t="str">
        <f t="shared" si="267"/>
        <v>Despachado</v>
      </c>
      <c r="M1033" s="56" t="s">
        <v>238</v>
      </c>
      <c r="N1033" s="221" t="s">
        <v>1903</v>
      </c>
      <c r="O1033" s="150">
        <v>46001</v>
      </c>
      <c r="P1033" s="151">
        <v>46002</v>
      </c>
      <c r="Q1033" s="24" t="str">
        <f t="shared" si="228"/>
        <v>Entregado</v>
      </c>
      <c r="R1033" s="25">
        <f>IF(L1033="Despachado",NETWORKDAYS.INTL(A1033,O1033,11,Valores!$A$2:$A$18)-1,"PTE")</f>
        <v>5</v>
      </c>
      <c r="S1033" s="25">
        <f>IF(Q1033="Entregado",NETWORKDAYS.INTL(A1033,P1033,11,Valores!$A$2:$A$18)-1,"PTE")</f>
        <v>6</v>
      </c>
      <c r="T1033" s="249" t="e">
        <f t="shared" si="268"/>
        <v>#VALUE!</v>
      </c>
      <c r="U1033" s="250" t="e">
        <f t="shared" si="269"/>
        <v>#VALUE!</v>
      </c>
      <c r="V1033" s="25" t="str">
        <f>IF(Q1033="Entregado",IF(S1033&lt;=VLOOKUP(K1033,Valores!E:F,2,0),"Cumple","No cumple"),"PTE")</f>
        <v>No cumple</v>
      </c>
      <c r="W1033" s="247" t="e">
        <f t="shared" si="270"/>
        <v>#VALUE!</v>
      </c>
      <c r="X1033" s="226">
        <v>44550</v>
      </c>
      <c r="Y1033" s="232" t="e">
        <f t="shared" si="271"/>
        <v>#VALUE!</v>
      </c>
      <c r="Z1033" s="228"/>
    </row>
    <row r="1034" spans="1:26" x14ac:dyDescent="0.3">
      <c r="A1034" s="34">
        <v>45994</v>
      </c>
      <c r="B1034" s="7" t="str">
        <f t="shared" si="266"/>
        <v>diciembre</v>
      </c>
      <c r="C1034" s="27">
        <v>100228</v>
      </c>
      <c r="D1034" s="23" t="s">
        <v>20</v>
      </c>
      <c r="E1034" s="214" t="s">
        <v>1860</v>
      </c>
      <c r="F1034" s="22" t="s">
        <v>1523</v>
      </c>
      <c r="G1034" s="32" t="str">
        <f>IFERROR(VLOOKUP(F1034,Productos!$A$2:$D$274,2,0)," ")</f>
        <v>Superficie Escritorio Fresno Europeo 180x80 Clasico</v>
      </c>
      <c r="H1034" s="7">
        <v>1</v>
      </c>
      <c r="I1034" s="32" t="str">
        <f>IFERROR(VLOOKUP(F1034,Productos!$A$2:$D$274,3,0)," ")</f>
        <v>Superficie</v>
      </c>
      <c r="J1034" s="215" t="s">
        <v>21</v>
      </c>
      <c r="K1034" s="215" t="s">
        <v>225</v>
      </c>
      <c r="L1034" s="26" t="str">
        <f t="shared" si="267"/>
        <v>Despachado</v>
      </c>
      <c r="M1034" s="56" t="s">
        <v>1901</v>
      </c>
      <c r="N1034" s="221" t="s">
        <v>1902</v>
      </c>
      <c r="O1034" s="150">
        <v>46001</v>
      </c>
      <c r="P1034" s="151">
        <v>46002</v>
      </c>
      <c r="Q1034" s="24" t="str">
        <f t="shared" si="228"/>
        <v>Entregado</v>
      </c>
      <c r="R1034" s="25">
        <f>IF(L1034="Despachado",NETWORKDAYS.INTL(A1034,O1034,11,Valores!$A$2:$A$18)-1,"PTE")</f>
        <v>5</v>
      </c>
      <c r="S1034" s="25">
        <f>IF(Q1034="Entregado",NETWORKDAYS.INTL(A1034,P1034,11,Valores!$A$2:$A$18)-1,"PTE")</f>
        <v>6</v>
      </c>
      <c r="T1034" s="249">
        <f t="shared" si="268"/>
        <v>1</v>
      </c>
      <c r="U1034" s="250">
        <f t="shared" si="269"/>
        <v>-4</v>
      </c>
      <c r="V1034" s="25" t="str">
        <f>IF(Q1034="Entregado",IF(S1034&lt;=VLOOKUP(K1034,Valores!E:F,2,0),"Cumple","No cumple"),"PTE")</f>
        <v>No cumple</v>
      </c>
      <c r="W1034" s="247">
        <f t="shared" si="270"/>
        <v>0</v>
      </c>
      <c r="X1034" s="226">
        <v>32265</v>
      </c>
      <c r="Y1034" s="232" t="str">
        <f t="shared" si="271"/>
        <v>Despacho</v>
      </c>
      <c r="Z1034" s="228"/>
    </row>
    <row r="1035" spans="1:26" s="270" customFormat="1" x14ac:dyDescent="0.3">
      <c r="A1035" s="251">
        <v>45994</v>
      </c>
      <c r="B1035" s="252" t="str">
        <f t="shared" ref="B1035:B1039" si="272">TEXT(A1035,"mmmm")</f>
        <v>diciembre</v>
      </c>
      <c r="C1035" s="253">
        <v>100229</v>
      </c>
      <c r="D1035" s="23" t="s">
        <v>20</v>
      </c>
      <c r="E1035" s="254" t="s">
        <v>1861</v>
      </c>
      <c r="F1035" s="255" t="s">
        <v>57</v>
      </c>
      <c r="G1035" s="256" t="str">
        <f>IFERROR(VLOOKUP(F1035,Productos!$A$2:$D$274,2,0)," ")</f>
        <v>Electric Standing Desk  En L Frame Negro 2.0</v>
      </c>
      <c r="H1035" s="252">
        <v>1</v>
      </c>
      <c r="I1035" s="256" t="str">
        <f>IFERROR(VLOOKUP(F1035,Productos!$A$2:$D$274,3,0)," ")</f>
        <v>Standing Desk</v>
      </c>
      <c r="J1035" s="257" t="s">
        <v>24</v>
      </c>
      <c r="K1035" s="257" t="s">
        <v>25</v>
      </c>
      <c r="L1035" s="258" t="str">
        <f t="shared" si="267"/>
        <v>Despachado</v>
      </c>
      <c r="M1035" s="259" t="s">
        <v>1904</v>
      </c>
      <c r="N1035" s="272" t="s">
        <v>1906</v>
      </c>
      <c r="O1035" s="261">
        <v>46002</v>
      </c>
      <c r="P1035" s="262">
        <v>46004</v>
      </c>
      <c r="Q1035" s="263" t="str">
        <f t="shared" ref="Q1035:Q1066" si="273">IF(P1035&gt;0,"Entregado","En transito")</f>
        <v>Entregado</v>
      </c>
      <c r="R1035" s="264">
        <f>IF(L1035="Despachado",NETWORKDAYS.INTL(A1035,O1035,11,Valores!$A$2:$A$18)-1,"PTE")</f>
        <v>6</v>
      </c>
      <c r="S1035" s="264">
        <f>IF(Q1035="Entregado",NETWORKDAYS.INTL(A1035,P1035,11,Valores!$A$2:$A$18)-1,"PTE")</f>
        <v>8</v>
      </c>
      <c r="T1035" s="264">
        <f t="shared" si="268"/>
        <v>0</v>
      </c>
      <c r="U1035" s="265">
        <f t="shared" si="269"/>
        <v>-4</v>
      </c>
      <c r="V1035" s="25" t="str">
        <f>IF(Q1035="Entregado",IF(S1035&lt;=VLOOKUP(K1035,Valores!E:F,2,0),"Cumple","No cumple"),"PTE")</f>
        <v>No cumple</v>
      </c>
      <c r="W1035" s="266">
        <f t="shared" si="270"/>
        <v>-1</v>
      </c>
      <c r="X1035" s="267">
        <v>65353</v>
      </c>
      <c r="Y1035" s="268" t="str">
        <f t="shared" si="271"/>
        <v/>
      </c>
      <c r="Z1035" s="269"/>
    </row>
    <row r="1036" spans="1:26" s="270" customFormat="1" x14ac:dyDescent="0.3">
      <c r="A1036" s="251">
        <v>45994</v>
      </c>
      <c r="B1036" s="252" t="str">
        <f t="shared" si="272"/>
        <v>diciembre</v>
      </c>
      <c r="C1036" s="253">
        <v>100229</v>
      </c>
      <c r="D1036" s="23" t="s">
        <v>20</v>
      </c>
      <c r="E1036" s="254" t="s">
        <v>1861</v>
      </c>
      <c r="F1036" s="255" t="s">
        <v>29</v>
      </c>
      <c r="G1036" s="256" t="str">
        <f>IFERROR(VLOOKUP(F1036,Productos!$A$2:$D$274,2,0)," ")</f>
        <v>Superficie  en L Caramelo 180x150cm x 70</v>
      </c>
      <c r="H1036" s="252">
        <v>1</v>
      </c>
      <c r="I1036" s="256" t="str">
        <f>IFERROR(VLOOKUP(F1036,Productos!$A$2:$D$274,3,0)," ")</f>
        <v>Superficie</v>
      </c>
      <c r="J1036" s="257" t="s">
        <v>24</v>
      </c>
      <c r="K1036" s="257" t="s">
        <v>25</v>
      </c>
      <c r="L1036" s="258" t="str">
        <f t="shared" si="267"/>
        <v>Despachado</v>
      </c>
      <c r="M1036" s="259" t="s">
        <v>1901</v>
      </c>
      <c r="N1036" s="273" t="s">
        <v>1905</v>
      </c>
      <c r="O1036" s="261">
        <v>46002</v>
      </c>
      <c r="P1036" s="262">
        <v>46007</v>
      </c>
      <c r="Q1036" s="263" t="str">
        <f t="shared" si="273"/>
        <v>Entregado</v>
      </c>
      <c r="R1036" s="264">
        <f>IF(L1036="Despachado",NETWORKDAYS.INTL(A1036,O1036,11,Valores!$A$2:$A$18)-1,"PTE")</f>
        <v>6</v>
      </c>
      <c r="S1036" s="264">
        <f>IF(Q1036="Entregado",NETWORKDAYS.INTL(A1036,P1036,11,Valores!$A$2:$A$18)-1,"PTE")</f>
        <v>10</v>
      </c>
      <c r="T1036" s="264">
        <f t="shared" si="268"/>
        <v>-1</v>
      </c>
      <c r="U1036" s="265">
        <f t="shared" si="269"/>
        <v>-3</v>
      </c>
      <c r="V1036" s="25" t="str">
        <f>IF(Q1036="Entregado",IF(S1036&lt;=VLOOKUP(K1036,Valores!E:F,2,0),"Cumple","No cumple"),"PTE")</f>
        <v>No cumple</v>
      </c>
      <c r="W1036" s="266">
        <f t="shared" si="270"/>
        <v>-1</v>
      </c>
      <c r="X1036" s="267">
        <v>32265</v>
      </c>
      <c r="Y1036" s="268" t="str">
        <f t="shared" si="271"/>
        <v/>
      </c>
      <c r="Z1036" s="269"/>
    </row>
    <row r="1037" spans="1:26" x14ac:dyDescent="0.3">
      <c r="A1037" s="34">
        <v>45994</v>
      </c>
      <c r="B1037" s="7" t="str">
        <f t="shared" si="272"/>
        <v>diciembre</v>
      </c>
      <c r="C1037" s="27">
        <v>100229</v>
      </c>
      <c r="D1037" s="23" t="s">
        <v>20</v>
      </c>
      <c r="E1037" s="214" t="s">
        <v>1861</v>
      </c>
      <c r="F1037" s="22"/>
      <c r="G1037" s="143" t="s">
        <v>1796</v>
      </c>
      <c r="H1037" s="7">
        <v>1</v>
      </c>
      <c r="I1037" s="32" t="s">
        <v>327</v>
      </c>
      <c r="J1037" s="215" t="s">
        <v>24</v>
      </c>
      <c r="K1037" s="215" t="s">
        <v>25</v>
      </c>
      <c r="L1037" s="26" t="str">
        <f t="shared" si="267"/>
        <v>Despachado</v>
      </c>
      <c r="M1037" s="56" t="s">
        <v>241</v>
      </c>
      <c r="N1037" s="218" t="s">
        <v>241</v>
      </c>
      <c r="O1037" s="219" t="s">
        <v>241</v>
      </c>
      <c r="P1037" s="220" t="s">
        <v>241</v>
      </c>
      <c r="Q1037" s="24" t="str">
        <f t="shared" si="273"/>
        <v>Entregado</v>
      </c>
      <c r="R1037" s="25" t="e">
        <f>IF(L1037="Despachado",NETWORKDAYS.INTL(A1037,O1037,11,Valores!$A$2:$A$18)-1,"PTE")</f>
        <v>#VALUE!</v>
      </c>
      <c r="S1037" s="25" t="e">
        <f>IF(Q1037="Entregado",NETWORKDAYS.INTL(A1037,P1037,11,Valores!$A$2:$A$18)-1,"PTE")</f>
        <v>#VALUE!</v>
      </c>
      <c r="T1037" s="249">
        <f t="shared" si="268"/>
        <v>-1</v>
      </c>
      <c r="U1037" s="250">
        <f t="shared" si="269"/>
        <v>-3</v>
      </c>
      <c r="V1037" s="25" t="e">
        <f>IF(Q1037="Entregado",IF(S1037&lt;=VLOOKUP(K1037,Valores!E:F,2,0),"Cumple","No cumple"),"PTE")</f>
        <v>#VALUE!</v>
      </c>
      <c r="W1037" s="247">
        <f t="shared" si="270"/>
        <v>-1</v>
      </c>
      <c r="X1037" s="226" t="s">
        <v>241</v>
      </c>
      <c r="Y1037" s="232" t="str">
        <f t="shared" si="271"/>
        <v/>
      </c>
      <c r="Z1037" s="228"/>
    </row>
    <row r="1038" spans="1:26" x14ac:dyDescent="0.3">
      <c r="A1038" s="34">
        <v>45995</v>
      </c>
      <c r="B1038" s="7" t="str">
        <f t="shared" si="272"/>
        <v>diciembre</v>
      </c>
      <c r="C1038" s="27">
        <v>100230</v>
      </c>
      <c r="D1038" s="23" t="s">
        <v>20</v>
      </c>
      <c r="E1038" s="214" t="s">
        <v>1862</v>
      </c>
      <c r="F1038" s="22" t="s">
        <v>85</v>
      </c>
      <c r="G1038" s="32" t="str">
        <f>IFERROR(VLOOKUP(F1038,Productos!$A$2:$D$274,2,0)," ")</f>
        <v>Desk Pad B Negro Café Miel</v>
      </c>
      <c r="H1038" s="7">
        <v>1</v>
      </c>
      <c r="I1038" s="32" t="str">
        <f>IFERROR(VLOOKUP(F1038,Productos!$A$2:$D$274,3,0)," ")</f>
        <v>Accesorio</v>
      </c>
      <c r="J1038" s="215" t="s">
        <v>1423</v>
      </c>
      <c r="K1038" s="215" t="s">
        <v>43</v>
      </c>
      <c r="L1038" s="26" t="str">
        <f t="shared" si="267"/>
        <v>Despachado</v>
      </c>
      <c r="M1038" s="56" t="s">
        <v>1907</v>
      </c>
      <c r="N1038" s="221" t="s">
        <v>1908</v>
      </c>
      <c r="O1038" s="150">
        <v>45995</v>
      </c>
      <c r="P1038" s="151">
        <v>45996</v>
      </c>
      <c r="Q1038" s="24" t="str">
        <f t="shared" si="273"/>
        <v>Entregado</v>
      </c>
      <c r="R1038" s="25">
        <f>IF(L1038="Despachado",NETWORKDAYS.INTL(A1038,O1038,11,Valores!$A$2:$A$18)-1,"PTE")</f>
        <v>0</v>
      </c>
      <c r="S1038" s="25">
        <f>IF(Q1038="Entregado",NETWORKDAYS.INTL(A1038,P1038,11,Valores!$A$2:$A$18)-1,"PTE")</f>
        <v>1</v>
      </c>
      <c r="T1038" s="249">
        <f t="shared" si="268"/>
        <v>-1</v>
      </c>
      <c r="U1038" s="250">
        <f t="shared" si="269"/>
        <v>-3</v>
      </c>
      <c r="V1038" s="25" t="str">
        <f>IF(Q1038="Entregado",IF(S1038&lt;=VLOOKUP(K1038,Valores!E:F,2,0),"Cumple","No cumple"),"PTE")</f>
        <v>Cumple</v>
      </c>
      <c r="W1038" s="247">
        <f t="shared" si="270"/>
        <v>-1</v>
      </c>
      <c r="X1038" s="226">
        <v>17787</v>
      </c>
      <c r="Y1038" s="232" t="str">
        <f t="shared" si="271"/>
        <v/>
      </c>
      <c r="Z1038" s="228"/>
    </row>
    <row r="1039" spans="1:26" x14ac:dyDescent="0.3">
      <c r="A1039" s="34">
        <v>46000</v>
      </c>
      <c r="B1039" s="7" t="str">
        <f t="shared" si="272"/>
        <v>diciembre</v>
      </c>
      <c r="C1039" s="27">
        <v>100231</v>
      </c>
      <c r="D1039" s="23" t="s">
        <v>20</v>
      </c>
      <c r="E1039" s="214" t="s">
        <v>1863</v>
      </c>
      <c r="F1039" s="22" t="s">
        <v>129</v>
      </c>
      <c r="G1039" s="32" t="str">
        <f>IFERROR(VLOOKUP(F1039,Productos!$A$2:$D$274,2,0)," ")</f>
        <v>Electric Standing Desk  PRO Negro</v>
      </c>
      <c r="H1039" s="7">
        <v>1</v>
      </c>
      <c r="I1039" s="32" t="str">
        <f>IFERROR(VLOOKUP(F1039,Productos!$A$2:$D$274,3,0)," ")</f>
        <v>Standing Desk</v>
      </c>
      <c r="J1039" s="215" t="s">
        <v>21</v>
      </c>
      <c r="K1039" s="215" t="s">
        <v>22</v>
      </c>
      <c r="L1039" s="26" t="str">
        <f t="shared" si="267"/>
        <v>Despachado</v>
      </c>
      <c r="M1039" s="56" t="s">
        <v>238</v>
      </c>
      <c r="N1039" s="221" t="s">
        <v>1909</v>
      </c>
      <c r="O1039" s="150">
        <v>46001</v>
      </c>
      <c r="P1039" s="151">
        <v>46002</v>
      </c>
      <c r="Q1039" s="24" t="str">
        <f t="shared" si="273"/>
        <v>Entregado</v>
      </c>
      <c r="R1039" s="25">
        <f>IF(L1039="Despachado",NETWORKDAYS.INTL(A1039,O1039,11,Valores!$A$2:$A$18)-1,"PTE")</f>
        <v>1</v>
      </c>
      <c r="S1039" s="25">
        <f>IF(Q1039="Entregado",NETWORKDAYS.INTL(A1039,P1039,11,Valores!$A$2:$A$18)-1,"PTE")</f>
        <v>2</v>
      </c>
      <c r="T1039" s="249">
        <f t="shared" si="268"/>
        <v>-2</v>
      </c>
      <c r="U1039" s="250">
        <f t="shared" si="269"/>
        <v>-4</v>
      </c>
      <c r="V1039" s="25" t="str">
        <f>IF(Q1039="Entregado",IF(S1039&lt;=VLOOKUP(K1039,Valores!E:F,2,0),"Cumple","No cumple"),"PTE")</f>
        <v>Cumple</v>
      </c>
      <c r="W1039" s="247">
        <f t="shared" si="270"/>
        <v>-3</v>
      </c>
      <c r="X1039" s="226">
        <v>44550</v>
      </c>
      <c r="Y1039" s="232" t="str">
        <f t="shared" si="271"/>
        <v/>
      </c>
      <c r="Z1039" s="228"/>
    </row>
    <row r="1040" spans="1:26" x14ac:dyDescent="0.3">
      <c r="A1040" s="34">
        <v>46000</v>
      </c>
      <c r="B1040" s="7" t="str">
        <f t="shared" ref="B1040:B1043" si="274">TEXT(A1040,"mmmm")</f>
        <v>diciembre</v>
      </c>
      <c r="C1040" s="27">
        <v>100231</v>
      </c>
      <c r="D1040" s="23" t="s">
        <v>20</v>
      </c>
      <c r="E1040" s="214" t="s">
        <v>1863</v>
      </c>
      <c r="F1040" s="22" t="s">
        <v>304</v>
      </c>
      <c r="G1040" s="32" t="str">
        <f>IFERROR(VLOOKUP(F1040,Productos!$A$2:$D$274,2,0)," ")</f>
        <v>Superficie  Fresno Europeo 150x70 Clasico</v>
      </c>
      <c r="H1040" s="7">
        <v>1</v>
      </c>
      <c r="I1040" s="32" t="str">
        <f>IFERROR(VLOOKUP(F1040,Productos!$A$2:$D$274,3,0)," ")</f>
        <v>Superficie</v>
      </c>
      <c r="J1040" s="215" t="s">
        <v>21</v>
      </c>
      <c r="K1040" s="215" t="s">
        <v>22</v>
      </c>
      <c r="L1040" s="26" t="str">
        <f t="shared" si="267"/>
        <v>Despachado</v>
      </c>
      <c r="M1040" s="56" t="s">
        <v>1901</v>
      </c>
      <c r="N1040" s="221" t="s">
        <v>1910</v>
      </c>
      <c r="O1040" s="150">
        <v>46001</v>
      </c>
      <c r="P1040" s="151">
        <v>46001</v>
      </c>
      <c r="Q1040" s="24" t="str">
        <f t="shared" si="273"/>
        <v>Entregado</v>
      </c>
      <c r="R1040" s="25">
        <f>IF(L1040="Despachado",NETWORKDAYS.INTL(A1040,O1040,11,Valores!$A$2:$A$18)-1,"PTE")</f>
        <v>1</v>
      </c>
      <c r="S1040" s="25">
        <f>IF(Q1040="Entregado",NETWORKDAYS.INTL(A1040,P1040,11,Valores!$A$2:$A$18)-1,"PTE")</f>
        <v>1</v>
      </c>
      <c r="T1040" s="249">
        <f t="shared" si="268"/>
        <v>-2</v>
      </c>
      <c r="U1040" s="250">
        <f t="shared" si="269"/>
        <v>-3</v>
      </c>
      <c r="V1040" s="25" t="str">
        <f>IF(Q1040="Entregado",IF(S1040&lt;=VLOOKUP(K1040,Valores!E:F,2,0),"Cumple","No cumple"),"PTE")</f>
        <v>Cumple</v>
      </c>
      <c r="W1040" s="247">
        <f t="shared" si="270"/>
        <v>-2</v>
      </c>
      <c r="X1040" s="226">
        <v>28858</v>
      </c>
      <c r="Y1040" s="232" t="str">
        <f t="shared" si="271"/>
        <v/>
      </c>
      <c r="Z1040" s="228"/>
    </row>
    <row r="1041" spans="1:26" x14ac:dyDescent="0.3">
      <c r="A1041" s="34">
        <v>46002</v>
      </c>
      <c r="B1041" s="7" t="str">
        <f t="shared" si="274"/>
        <v>diciembre</v>
      </c>
      <c r="C1041" s="27">
        <v>100232</v>
      </c>
      <c r="D1041" s="23" t="s">
        <v>20</v>
      </c>
      <c r="E1041" s="214" t="s">
        <v>1864</v>
      </c>
      <c r="F1041" s="22" t="s">
        <v>129</v>
      </c>
      <c r="G1041" s="32" t="str">
        <f>IFERROR(VLOOKUP(F1041,Productos!$A$2:$D$274,2,0)," ")</f>
        <v>Electric Standing Desk  PRO Negro</v>
      </c>
      <c r="H1041" s="7">
        <v>1</v>
      </c>
      <c r="I1041" s="32" t="str">
        <f>IFERROR(VLOOKUP(F1041,Productos!$A$2:$D$274,3,0)," ")</f>
        <v>Standing Desk</v>
      </c>
      <c r="J1041" s="215" t="s">
        <v>189</v>
      </c>
      <c r="K1041" s="215" t="s">
        <v>45</v>
      </c>
      <c r="L1041" s="26" t="str">
        <f t="shared" si="267"/>
        <v>Despachado</v>
      </c>
      <c r="M1041" s="56" t="s">
        <v>238</v>
      </c>
      <c r="N1041" s="221" t="s">
        <v>1912</v>
      </c>
      <c r="O1041" s="150">
        <v>46009</v>
      </c>
      <c r="P1041" s="151">
        <v>46011</v>
      </c>
      <c r="Q1041" s="24" t="str">
        <f t="shared" si="273"/>
        <v>Entregado</v>
      </c>
      <c r="R1041" s="25">
        <f>IF(L1041="Despachado",NETWORKDAYS.INTL(A1041,O1041,11,Valores!$A$2:$A$18)-1,"PTE")</f>
        <v>6</v>
      </c>
      <c r="S1041" s="25">
        <f>IF(Q1041="Entregado",NETWORKDAYS.INTL(A1041,P1041,11,Valores!$A$2:$A$18)-1,"PTE")</f>
        <v>8</v>
      </c>
      <c r="T1041" s="249">
        <f t="shared" si="268"/>
        <v>-2</v>
      </c>
      <c r="U1041" s="250">
        <f t="shared" si="269"/>
        <v>-3</v>
      </c>
      <c r="V1041" s="25" t="str">
        <f>IF(Q1041="Entregado",IF(S1041&lt;=VLOOKUP(K1041,Valores!E:F,2,0),"Cumple","No cumple"),"PTE")</f>
        <v>No cumple</v>
      </c>
      <c r="W1041" s="247">
        <f t="shared" si="270"/>
        <v>-2</v>
      </c>
      <c r="X1041" s="226">
        <v>65599</v>
      </c>
      <c r="Y1041" s="232" t="str">
        <f t="shared" si="271"/>
        <v/>
      </c>
      <c r="Z1041" s="228"/>
    </row>
    <row r="1042" spans="1:26" x14ac:dyDescent="0.3">
      <c r="A1042" s="34">
        <v>46002</v>
      </c>
      <c r="B1042" s="7" t="str">
        <f t="shared" si="274"/>
        <v>diciembre</v>
      </c>
      <c r="C1042" s="27">
        <v>100232</v>
      </c>
      <c r="D1042" s="23" t="s">
        <v>20</v>
      </c>
      <c r="E1042" s="214" t="s">
        <v>1864</v>
      </c>
      <c r="F1042" s="22" t="s">
        <v>264</v>
      </c>
      <c r="G1042" s="32" t="str">
        <f>IFERROR(VLOOKUP(F1042,Productos!$A$2:$D$274,2,0)," ")</f>
        <v>Superficie Roble Miel 180x70 Clasico</v>
      </c>
      <c r="H1042" s="7">
        <v>1</v>
      </c>
      <c r="I1042" s="32" t="str">
        <f>IFERROR(VLOOKUP(F1042,Productos!$A$2:$D$274,3,0)," ")</f>
        <v>Superficie</v>
      </c>
      <c r="J1042" s="215" t="s">
        <v>189</v>
      </c>
      <c r="K1042" s="215" t="s">
        <v>45</v>
      </c>
      <c r="L1042" s="26" t="str">
        <f t="shared" si="267"/>
        <v>Despachado</v>
      </c>
      <c r="M1042" s="56" t="s">
        <v>1901</v>
      </c>
      <c r="N1042" s="221" t="s">
        <v>1914</v>
      </c>
      <c r="O1042" s="150">
        <v>46009</v>
      </c>
      <c r="P1042" s="151">
        <v>46013</v>
      </c>
      <c r="Q1042" s="24" t="str">
        <f t="shared" si="273"/>
        <v>Entregado</v>
      </c>
      <c r="R1042" s="25">
        <f>IF(L1042="Despachado",NETWORKDAYS.INTL(A1042,O1042,11,Valores!$A$2:$A$18)-1,"PTE")</f>
        <v>6</v>
      </c>
      <c r="S1042" s="25">
        <f>IF(Q1042="Entregado",NETWORKDAYS.INTL(A1042,P1042,11,Valores!$A$2:$A$18)-1,"PTE")</f>
        <v>9</v>
      </c>
      <c r="T1042" s="249">
        <f t="shared" si="268"/>
        <v>-1</v>
      </c>
      <c r="U1042" s="250">
        <f t="shared" si="269"/>
        <v>-3</v>
      </c>
      <c r="V1042" s="25" t="str">
        <f>IF(Q1042="Entregado",IF(S1042&lt;=VLOOKUP(K1042,Valores!E:F,2,0),"Cumple","No cumple"),"PTE")</f>
        <v>No cumple</v>
      </c>
      <c r="W1042" s="247">
        <f t="shared" si="270"/>
        <v>-1</v>
      </c>
      <c r="X1042" s="226">
        <v>51815</v>
      </c>
      <c r="Y1042" s="232" t="str">
        <f t="shared" si="271"/>
        <v/>
      </c>
      <c r="Z1042" s="228"/>
    </row>
    <row r="1043" spans="1:26" x14ac:dyDescent="0.3">
      <c r="A1043" s="34">
        <v>46002</v>
      </c>
      <c r="B1043" s="7" t="str">
        <f t="shared" si="274"/>
        <v>diciembre</v>
      </c>
      <c r="C1043" s="27">
        <v>100232</v>
      </c>
      <c r="D1043" s="23" t="s">
        <v>20</v>
      </c>
      <c r="E1043" s="214" t="s">
        <v>1864</v>
      </c>
      <c r="F1043" s="22" t="s">
        <v>270</v>
      </c>
      <c r="G1043" s="32" t="str">
        <f>IFERROR(VLOOKUP(F1043,Productos!$A$2:$D$274,2,0)," ")</f>
        <v>Repisa Roble Miel</v>
      </c>
      <c r="H1043" s="7">
        <v>1</v>
      </c>
      <c r="I1043" s="32" t="str">
        <f>IFERROR(VLOOKUP(F1043,Productos!$A$2:$D$274,3,0)," ")</f>
        <v>Repisa</v>
      </c>
      <c r="J1043" s="215" t="s">
        <v>189</v>
      </c>
      <c r="K1043" s="215" t="s">
        <v>45</v>
      </c>
      <c r="L1043" s="26" t="str">
        <f t="shared" si="267"/>
        <v>Despachado</v>
      </c>
      <c r="M1043" s="56" t="s">
        <v>1911</v>
      </c>
      <c r="N1043" s="221" t="s">
        <v>241</v>
      </c>
      <c r="O1043" s="150" t="s">
        <v>241</v>
      </c>
      <c r="P1043" s="151" t="s">
        <v>241</v>
      </c>
      <c r="Q1043" s="24" t="str">
        <f t="shared" si="273"/>
        <v>Entregado</v>
      </c>
      <c r="R1043" s="25" t="e">
        <f>IF(L1043="Despachado",NETWORKDAYS.INTL(A1043,O1043,11,Valores!$A$2:$A$18)-1,"PTE")</f>
        <v>#VALUE!</v>
      </c>
      <c r="S1043" s="25" t="e">
        <f>IF(Q1043="Entregado",NETWORKDAYS.INTL(A1043,P1043,11,Valores!$A$2:$A$18)-1,"PTE")</f>
        <v>#VALUE!</v>
      </c>
      <c r="T1043" s="249">
        <f t="shared" si="268"/>
        <v>-1</v>
      </c>
      <c r="U1043" s="250">
        <f t="shared" si="269"/>
        <v>-3</v>
      </c>
      <c r="V1043" s="25" t="e">
        <f>IF(Q1043="Entregado",IF(S1043&lt;=VLOOKUP(K1043,Valores!E:F,2,0),"Cumple","No cumple"),"PTE")</f>
        <v>#VALUE!</v>
      </c>
      <c r="W1043" s="247">
        <f t="shared" si="270"/>
        <v>-1</v>
      </c>
      <c r="X1043" s="226" t="s">
        <v>241</v>
      </c>
      <c r="Y1043" s="232" t="str">
        <f t="shared" si="271"/>
        <v/>
      </c>
      <c r="Z1043" s="228"/>
    </row>
    <row r="1044" spans="1:26" x14ac:dyDescent="0.3">
      <c r="A1044" s="34">
        <v>46002</v>
      </c>
      <c r="B1044" s="7" t="str">
        <f t="shared" ref="B1044" si="275">TEXT(A1044,"mmmm")</f>
        <v>diciembre</v>
      </c>
      <c r="C1044" s="27">
        <v>100232</v>
      </c>
      <c r="D1044" s="23" t="s">
        <v>20</v>
      </c>
      <c r="E1044" s="214" t="s">
        <v>1864</v>
      </c>
      <c r="F1044" s="22" t="s">
        <v>240</v>
      </c>
      <c r="G1044" s="32" t="str">
        <f>IFERROR(VLOOKUP(F1044,Productos!$A$2:$D$274,2,0)," ")</f>
        <v>Bandeja de cables</v>
      </c>
      <c r="H1044" s="7">
        <v>1</v>
      </c>
      <c r="I1044" s="32" t="str">
        <f>IFERROR(VLOOKUP(F1044,Productos!$A$2:$D$274,3,0)," ")</f>
        <v>Accesorio</v>
      </c>
      <c r="J1044" s="215" t="s">
        <v>189</v>
      </c>
      <c r="K1044" s="215" t="s">
        <v>45</v>
      </c>
      <c r="L1044" s="26" t="str">
        <f t="shared" si="267"/>
        <v>Despachado</v>
      </c>
      <c r="M1044" s="56" t="s">
        <v>238</v>
      </c>
      <c r="N1044" s="221" t="s">
        <v>1913</v>
      </c>
      <c r="O1044" s="150">
        <v>46009</v>
      </c>
      <c r="P1044" s="151">
        <v>46011</v>
      </c>
      <c r="Q1044" s="24" t="str">
        <f t="shared" si="273"/>
        <v>Entregado</v>
      </c>
      <c r="R1044" s="25">
        <f>IF(L1044="Despachado",NETWORKDAYS.INTL(A1044,O1044,11,Valores!$A$2:$A$18)-1,"PTE")</f>
        <v>6</v>
      </c>
      <c r="S1044" s="25">
        <f>IF(Q1044="Entregado",NETWORKDAYS.INTL(A1044,P1044,11,Valores!$A$2:$A$18)-1,"PTE")</f>
        <v>8</v>
      </c>
      <c r="T1044" s="249">
        <f t="shared" si="268"/>
        <v>-1</v>
      </c>
      <c r="U1044" s="250">
        <f t="shared" si="269"/>
        <v>-4</v>
      </c>
      <c r="V1044" s="25" t="str">
        <f>IF(Q1044="Entregado",IF(S1044&lt;=VLOOKUP(K1044,Valores!E:F,2,0),"Cumple","No cumple"),"PTE")</f>
        <v>No cumple</v>
      </c>
      <c r="W1044" s="247">
        <f t="shared" si="270"/>
        <v>-2</v>
      </c>
      <c r="X1044" s="226">
        <v>26681</v>
      </c>
      <c r="Y1044" s="232" t="str">
        <f t="shared" si="271"/>
        <v/>
      </c>
      <c r="Z1044" s="228"/>
    </row>
    <row r="1045" spans="1:26" x14ac:dyDescent="0.3">
      <c r="A1045" s="34">
        <v>46002</v>
      </c>
      <c r="B1045" s="7" t="str">
        <f t="shared" ref="B1045:B1051" si="276">TEXT(A1045,"mmmm")</f>
        <v>diciembre</v>
      </c>
      <c r="C1045" s="27">
        <v>100233</v>
      </c>
      <c r="D1045" s="23" t="s">
        <v>20</v>
      </c>
      <c r="E1045" s="214" t="s">
        <v>1865</v>
      </c>
      <c r="F1045" s="22" t="s">
        <v>123</v>
      </c>
      <c r="G1045" s="32" t="str">
        <f>IFERROR(VLOOKUP(F1045,Productos!$A$2:$D$274,2,0)," ")</f>
        <v>Electric Standing Desk GO Negro</v>
      </c>
      <c r="H1045" s="7">
        <v>1</v>
      </c>
      <c r="I1045" s="32" t="str">
        <f>IFERROR(VLOOKUP(F1045,Productos!$A$2:$D$274,3,0)," ")</f>
        <v>Standing Desk</v>
      </c>
      <c r="J1045" s="215" t="s">
        <v>1423</v>
      </c>
      <c r="K1045" s="215" t="s">
        <v>41</v>
      </c>
      <c r="L1045" s="26" t="str">
        <f t="shared" si="267"/>
        <v>Despachado</v>
      </c>
      <c r="M1045" s="56" t="s">
        <v>1857</v>
      </c>
      <c r="N1045" s="222" t="s">
        <v>1915</v>
      </c>
      <c r="O1045" s="150">
        <v>46007</v>
      </c>
      <c r="P1045" s="151">
        <v>46009</v>
      </c>
      <c r="Q1045" s="24" t="str">
        <f t="shared" si="273"/>
        <v>Entregado</v>
      </c>
      <c r="R1045" s="25">
        <f>IF(L1045="Despachado",NETWORKDAYS.INTL(A1045,O1045,11,Valores!$A$2:$A$18)-1,"PTE")</f>
        <v>4</v>
      </c>
      <c r="S1045" s="25">
        <f>IF(Q1045="Entregado",NETWORKDAYS.INTL(A1045,P1045,11,Valores!$A$2:$A$18)-1,"PTE")</f>
        <v>6</v>
      </c>
      <c r="T1045" s="249">
        <f t="shared" si="268"/>
        <v>-1</v>
      </c>
      <c r="U1045" s="250">
        <f t="shared" si="269"/>
        <v>-3</v>
      </c>
      <c r="V1045" s="25" t="str">
        <f>IF(Q1045="Entregado",IF(S1045&lt;=VLOOKUP(K1045,Valores!E:F,2,0),"Cumple","No cumple"),"PTE")</f>
        <v>No cumple</v>
      </c>
      <c r="W1045" s="247">
        <f t="shared" si="270"/>
        <v>-1</v>
      </c>
      <c r="X1045" s="226">
        <v>43114</v>
      </c>
      <c r="Y1045" s="232" t="str">
        <f t="shared" si="271"/>
        <v/>
      </c>
      <c r="Z1045" s="228"/>
    </row>
    <row r="1046" spans="1:26" x14ac:dyDescent="0.3">
      <c r="A1046" s="34">
        <v>46002</v>
      </c>
      <c r="B1046" s="7" t="str">
        <f t="shared" si="276"/>
        <v>diciembre</v>
      </c>
      <c r="C1046" s="27">
        <v>100233</v>
      </c>
      <c r="D1046" s="23" t="s">
        <v>20</v>
      </c>
      <c r="E1046" s="214" t="s">
        <v>1865</v>
      </c>
      <c r="F1046" s="22" t="s">
        <v>107</v>
      </c>
      <c r="G1046" s="32" t="str">
        <f>IFERROR(VLOOKUP(F1046,Productos!$A$2:$D$274,2,0)," ")</f>
        <v>Superficie  Caramelo 120x70 Clasico Small</v>
      </c>
      <c r="H1046" s="7">
        <v>1</v>
      </c>
      <c r="I1046" s="32" t="str">
        <f>IFERROR(VLOOKUP(F1046,Productos!$A$2:$D$274,3,0)," ")</f>
        <v>Superficie</v>
      </c>
      <c r="J1046" s="215" t="s">
        <v>1423</v>
      </c>
      <c r="K1046" s="215" t="s">
        <v>41</v>
      </c>
      <c r="L1046" s="26" t="str">
        <f t="shared" si="267"/>
        <v>Despachado</v>
      </c>
      <c r="M1046" s="56" t="s">
        <v>238</v>
      </c>
      <c r="N1046" s="222" t="s">
        <v>1916</v>
      </c>
      <c r="O1046" s="150">
        <v>46007</v>
      </c>
      <c r="P1046" s="151">
        <v>46009</v>
      </c>
      <c r="Q1046" s="24" t="str">
        <f t="shared" si="273"/>
        <v>Entregado</v>
      </c>
      <c r="R1046" s="25">
        <f>IF(L1046="Despachado",NETWORKDAYS.INTL(A1046,O1046,11,Valores!$A$2:$A$18)-1,"PTE")</f>
        <v>4</v>
      </c>
      <c r="S1046" s="25">
        <f>IF(Q1046="Entregado",NETWORKDAYS.INTL(A1046,P1046,11,Valores!$A$2:$A$18)-1,"PTE")</f>
        <v>6</v>
      </c>
      <c r="T1046" s="249" t="e">
        <f t="shared" si="268"/>
        <v>#VALUE!</v>
      </c>
      <c r="U1046" s="250" t="e">
        <f t="shared" si="269"/>
        <v>#VALUE!</v>
      </c>
      <c r="V1046" s="25" t="str">
        <f>IF(Q1046="Entregado",IF(S1046&lt;=VLOOKUP(K1046,Valores!E:F,2,0),"Cumple","No cumple"),"PTE")</f>
        <v>No cumple</v>
      </c>
      <c r="W1046" s="247" t="e">
        <f t="shared" si="270"/>
        <v>#VALUE!</v>
      </c>
      <c r="X1046" s="226">
        <v>25952</v>
      </c>
      <c r="Y1046" s="232" t="e">
        <f t="shared" si="271"/>
        <v>#VALUE!</v>
      </c>
      <c r="Z1046" s="228"/>
    </row>
    <row r="1047" spans="1:26" x14ac:dyDescent="0.3">
      <c r="A1047" s="34">
        <v>46003</v>
      </c>
      <c r="B1047" s="7" t="str">
        <f t="shared" si="276"/>
        <v>diciembre</v>
      </c>
      <c r="C1047" s="27">
        <v>100234</v>
      </c>
      <c r="D1047" s="23" t="s">
        <v>20</v>
      </c>
      <c r="E1047" s="214" t="s">
        <v>1866</v>
      </c>
      <c r="F1047" s="22" t="s">
        <v>74</v>
      </c>
      <c r="G1047" s="32" t="str">
        <f>IFERROR(VLOOKUP(F1047,Productos!$A$2:$D$274,2,0)," ")</f>
        <v>Repisa Caramelo</v>
      </c>
      <c r="H1047" s="7">
        <v>1</v>
      </c>
      <c r="I1047" s="32" t="str">
        <f>IFERROR(VLOOKUP(F1047,Productos!$A$2:$D$274,3,0)," ")</f>
        <v>Repisa</v>
      </c>
      <c r="J1047" s="215" t="s">
        <v>24</v>
      </c>
      <c r="K1047" s="215" t="s">
        <v>27</v>
      </c>
      <c r="L1047" s="26" t="str">
        <f t="shared" si="267"/>
        <v>Despachado</v>
      </c>
      <c r="M1047" s="56" t="s">
        <v>238</v>
      </c>
      <c r="N1047" s="223" t="s">
        <v>1917</v>
      </c>
      <c r="O1047" s="150">
        <v>46007</v>
      </c>
      <c r="P1047" s="151">
        <v>46008</v>
      </c>
      <c r="Q1047" s="24" t="str">
        <f t="shared" si="273"/>
        <v>Entregado</v>
      </c>
      <c r="R1047" s="25">
        <f>IF(L1047="Despachado",NETWORKDAYS.INTL(A1047,O1047,11,Valores!$A$2:$A$18)-1,"PTE")</f>
        <v>3</v>
      </c>
      <c r="S1047" s="25">
        <f>IF(Q1047="Entregado",NETWORKDAYS.INTL(A1047,P1047,11,Valores!$A$2:$A$18)-1,"PTE")</f>
        <v>4</v>
      </c>
      <c r="T1047" s="249">
        <f t="shared" si="268"/>
        <v>-1</v>
      </c>
      <c r="U1047" s="250">
        <f t="shared" si="269"/>
        <v>-4</v>
      </c>
      <c r="V1047" s="25" t="str">
        <f>IF(Q1047="Entregado",IF(S1047&lt;=VLOOKUP(K1047,Valores!E:F,2,0),"Cumple","No cumple"),"PTE")</f>
        <v>No cumple</v>
      </c>
      <c r="W1047" s="247">
        <f t="shared" si="270"/>
        <v>-2</v>
      </c>
      <c r="X1047" s="226">
        <v>25233</v>
      </c>
      <c r="Y1047" s="232" t="str">
        <f t="shared" si="271"/>
        <v/>
      </c>
      <c r="Z1047" s="228"/>
    </row>
    <row r="1048" spans="1:26" x14ac:dyDescent="0.3">
      <c r="A1048" s="34">
        <v>46004</v>
      </c>
      <c r="B1048" s="7" t="str">
        <f t="shared" si="276"/>
        <v>diciembre</v>
      </c>
      <c r="C1048" s="27">
        <v>100235</v>
      </c>
      <c r="D1048" s="23" t="s">
        <v>20</v>
      </c>
      <c r="E1048" s="214" t="s">
        <v>1867</v>
      </c>
      <c r="F1048" s="22" t="s">
        <v>72</v>
      </c>
      <c r="G1048" s="32" t="str">
        <f>IFERROR(VLOOKUP(F1048,Productos!$A$2:$D$274,2,0)," ")</f>
        <v>Repisa Negro</v>
      </c>
      <c r="H1048" s="7">
        <v>1</v>
      </c>
      <c r="I1048" s="32" t="str">
        <f>IFERROR(VLOOKUP(F1048,Productos!$A$2:$D$274,3,0)," ")</f>
        <v>Repisa</v>
      </c>
      <c r="J1048" s="215" t="s">
        <v>24</v>
      </c>
      <c r="K1048" s="215" t="s">
        <v>27</v>
      </c>
      <c r="L1048" s="26" t="str">
        <f t="shared" ref="L1048:L1049" si="277">IF(O1048&gt;0,"Despachado","En alistamiento")</f>
        <v>Despachado</v>
      </c>
      <c r="M1048" s="56" t="s">
        <v>238</v>
      </c>
      <c r="N1048" s="223" t="s">
        <v>1918</v>
      </c>
      <c r="O1048" s="150">
        <v>46007</v>
      </c>
      <c r="P1048" s="151">
        <v>46008</v>
      </c>
      <c r="Q1048" s="24" t="str">
        <f t="shared" si="273"/>
        <v>Entregado</v>
      </c>
      <c r="R1048" s="25">
        <f>IF(L1048="Despachado",NETWORKDAYS.INTL(A1048,O1048,11,Valores!$A$2:$A$18)-1,"PTE")</f>
        <v>2</v>
      </c>
      <c r="S1048" s="25">
        <f>IF(Q1048="Entregado",NETWORKDAYS.INTL(A1048,P1048,11,Valores!$A$2:$A$18)-1,"PTE")</f>
        <v>3</v>
      </c>
      <c r="T1048" s="249">
        <f t="shared" si="268"/>
        <v>-1</v>
      </c>
      <c r="U1048" s="250">
        <f t="shared" si="269"/>
        <v>-4</v>
      </c>
      <c r="V1048" s="25" t="str">
        <f>IF(Q1048="Entregado",IF(S1048&lt;=VLOOKUP(K1048,Valores!E:F,2,0),"Cumple","No cumple"),"PTE")</f>
        <v>Cumple</v>
      </c>
      <c r="W1048" s="247">
        <f t="shared" si="270"/>
        <v>-2</v>
      </c>
      <c r="X1048" s="226">
        <v>25233</v>
      </c>
      <c r="Y1048" s="232" t="str">
        <f t="shared" si="271"/>
        <v/>
      </c>
      <c r="Z1048" s="228"/>
    </row>
    <row r="1049" spans="1:26" x14ac:dyDescent="0.3">
      <c r="A1049" s="34">
        <v>46006</v>
      </c>
      <c r="B1049" s="7" t="str">
        <f t="shared" si="276"/>
        <v>diciembre</v>
      </c>
      <c r="C1049" s="27">
        <v>100236</v>
      </c>
      <c r="D1049" s="23" t="s">
        <v>20</v>
      </c>
      <c r="E1049" s="214" t="s">
        <v>1868</v>
      </c>
      <c r="F1049" s="22" t="s">
        <v>68</v>
      </c>
      <c r="G1049" s="32" t="str">
        <f>IFERROR(VLOOKUP(F1049,Productos!$A$2:$D$274,2,0)," ")</f>
        <v>Archivador TECU  Caramelo</v>
      </c>
      <c r="H1049" s="7">
        <v>1</v>
      </c>
      <c r="I1049" s="32" t="str">
        <f>IFERROR(VLOOKUP(F1049,Productos!$A$2:$D$274,3,0)," ")</f>
        <v>Archivador</v>
      </c>
      <c r="J1049" s="215" t="s">
        <v>21</v>
      </c>
      <c r="K1049" s="215" t="s">
        <v>22</v>
      </c>
      <c r="L1049" s="26" t="str">
        <f t="shared" si="277"/>
        <v>Despachado</v>
      </c>
      <c r="M1049" s="56" t="s">
        <v>1901</v>
      </c>
      <c r="N1049" s="223" t="s">
        <v>1919</v>
      </c>
      <c r="O1049" s="150">
        <v>46013</v>
      </c>
      <c r="P1049" s="151">
        <v>46015</v>
      </c>
      <c r="Q1049" s="24" t="str">
        <f t="shared" si="273"/>
        <v>Entregado</v>
      </c>
      <c r="R1049" s="25">
        <f>IF(L1049="Despachado",NETWORKDAYS.INTL(A1049,O1049,11,Valores!$A$2:$A$18)-1,"PTE")</f>
        <v>6</v>
      </c>
      <c r="S1049" s="25">
        <f>IF(Q1049="Entregado",NETWORKDAYS.INTL(A1049,P1049,11,Valores!$A$2:$A$18)-1,"PTE")</f>
        <v>8</v>
      </c>
      <c r="T1049" s="249">
        <f t="shared" si="268"/>
        <v>-1</v>
      </c>
      <c r="U1049" s="250">
        <f t="shared" si="269"/>
        <v>-4</v>
      </c>
      <c r="V1049" s="25" t="str">
        <f>IF(Q1049="Entregado",IF(S1049&lt;=VLOOKUP(K1049,Valores!E:F,2,0),"Cumple","No cumple"),"PTE")</f>
        <v>No cumple</v>
      </c>
      <c r="W1049" s="247">
        <f t="shared" si="270"/>
        <v>-2</v>
      </c>
      <c r="X1049" s="226">
        <v>48437</v>
      </c>
      <c r="Y1049" s="232" t="str">
        <f t="shared" si="271"/>
        <v/>
      </c>
      <c r="Z1049" s="228"/>
    </row>
    <row r="1050" spans="1:26" ht="13.8" customHeight="1" x14ac:dyDescent="0.3">
      <c r="A1050" s="34">
        <v>46007</v>
      </c>
      <c r="B1050" s="7" t="str">
        <f t="shared" si="276"/>
        <v>diciembre</v>
      </c>
      <c r="C1050" s="27">
        <v>100237</v>
      </c>
      <c r="D1050" s="23" t="s">
        <v>20</v>
      </c>
      <c r="E1050" s="214" t="s">
        <v>1869</v>
      </c>
      <c r="F1050" s="22" t="s">
        <v>1670</v>
      </c>
      <c r="G1050" s="32" t="str">
        <f>IFERROR(VLOOKUP(F1050,Productos!$A$2:$D$274,2,0)," ")</f>
        <v>Repisa Escritorio Caramelo x 110cm</v>
      </c>
      <c r="H1050" s="7">
        <v>1</v>
      </c>
      <c r="I1050" s="32" t="str">
        <f>IFERROR(VLOOKUP(F1050,Productos!$A$2:$D$274,3,0)," ")</f>
        <v>Repisa</v>
      </c>
      <c r="J1050" s="215" t="s">
        <v>24</v>
      </c>
      <c r="K1050" s="215" t="s">
        <v>27</v>
      </c>
      <c r="L1050" s="26" t="str">
        <f t="shared" ref="L1050:L1053" si="278">IF(O1050&gt;0,"Despachado","En alistamiento")</f>
        <v>Despachado</v>
      </c>
      <c r="M1050" s="56" t="s">
        <v>1901</v>
      </c>
      <c r="N1050" s="223" t="s">
        <v>1920</v>
      </c>
      <c r="O1050" s="150">
        <v>46010</v>
      </c>
      <c r="P1050" s="151">
        <v>46017</v>
      </c>
      <c r="Q1050" s="24" t="str">
        <f t="shared" si="273"/>
        <v>Entregado</v>
      </c>
      <c r="R1050" s="25">
        <f>IF(L1050="Despachado",NETWORKDAYS.INTL(A1050,O1050,11,Valores!$A$2:$A$18)-1,"PTE")</f>
        <v>3</v>
      </c>
      <c r="S1050" s="25">
        <f>IF(Q1050="Entregado",NETWORKDAYS.INTL(A1050,P1050,11,Valores!$A$2:$A$18)-1,"PTE")</f>
        <v>8</v>
      </c>
      <c r="T1050" s="249">
        <f t="shared" si="268"/>
        <v>-1</v>
      </c>
      <c r="U1050" s="250">
        <f t="shared" si="269"/>
        <v>-4</v>
      </c>
      <c r="V1050" s="25" t="str">
        <f>IF(Q1050="Entregado",IF(S1050&lt;=VLOOKUP(K1050,Valores!E:F,2,0),"Cumple","No cumple"),"PTE")</f>
        <v>No cumple</v>
      </c>
      <c r="W1050" s="247">
        <f t="shared" si="270"/>
        <v>-2</v>
      </c>
      <c r="X1050" s="226">
        <v>19976</v>
      </c>
      <c r="Y1050" s="232" t="str">
        <f t="shared" si="271"/>
        <v/>
      </c>
      <c r="Z1050" s="228"/>
    </row>
    <row r="1051" spans="1:26" s="270" customFormat="1" ht="13.8" customHeight="1" x14ac:dyDescent="0.3">
      <c r="A1051" s="251">
        <v>46008</v>
      </c>
      <c r="B1051" s="252" t="str">
        <f t="shared" si="276"/>
        <v>diciembre</v>
      </c>
      <c r="C1051" s="253">
        <v>100238</v>
      </c>
      <c r="D1051" s="23" t="s">
        <v>20</v>
      </c>
      <c r="E1051" s="254" t="s">
        <v>1870</v>
      </c>
      <c r="F1051" s="255" t="s">
        <v>123</v>
      </c>
      <c r="G1051" s="256" t="str">
        <f>IFERROR(VLOOKUP(F1051,Productos!$A$2:$D$274,2,0)," ")</f>
        <v>Electric Standing Desk GO Negro</v>
      </c>
      <c r="H1051" s="252">
        <v>1</v>
      </c>
      <c r="I1051" s="256" t="str">
        <f>IFERROR(VLOOKUP(F1051,Productos!$A$2:$D$274,3,0)," ")</f>
        <v>Standing Desk</v>
      </c>
      <c r="J1051" s="257" t="s">
        <v>21</v>
      </c>
      <c r="K1051" s="257" t="s">
        <v>22</v>
      </c>
      <c r="L1051" s="258" t="str">
        <f t="shared" si="278"/>
        <v>Despachado</v>
      </c>
      <c r="M1051" s="259" t="s">
        <v>238</v>
      </c>
      <c r="N1051" s="271" t="s">
        <v>1922</v>
      </c>
      <c r="O1051" s="261">
        <v>46010</v>
      </c>
      <c r="P1051" s="262">
        <v>46013</v>
      </c>
      <c r="Q1051" s="263" t="str">
        <f t="shared" si="273"/>
        <v>Entregado</v>
      </c>
      <c r="R1051" s="264">
        <f>IF(L1051="Despachado",NETWORKDAYS.INTL(A1051,O1051,11,Valores!$A$2:$A$18)-1,"PTE")</f>
        <v>2</v>
      </c>
      <c r="S1051" s="264">
        <f>IF(Q1051="Entregado",NETWORKDAYS.INTL(A1051,P1051,11,Valores!$A$2:$A$18)-1,"PTE")</f>
        <v>4</v>
      </c>
      <c r="T1051" s="249">
        <f t="shared" si="268"/>
        <v>-3</v>
      </c>
      <c r="U1051" s="250">
        <f t="shared" si="269"/>
        <v>-4</v>
      </c>
      <c r="V1051" s="25" t="str">
        <f>IF(Q1051="Entregado",IF(S1051&lt;=VLOOKUP(K1051,Valores!E:F,2,0),"Cumple","No cumple"),"PTE")</f>
        <v>No cumple</v>
      </c>
      <c r="W1051" s="266">
        <f t="shared" si="270"/>
        <v>-4</v>
      </c>
      <c r="X1051" s="267">
        <v>43114</v>
      </c>
      <c r="Y1051" s="268" t="str">
        <f t="shared" si="271"/>
        <v/>
      </c>
      <c r="Z1051" s="269"/>
    </row>
    <row r="1052" spans="1:26" x14ac:dyDescent="0.3">
      <c r="A1052" s="34">
        <v>46008</v>
      </c>
      <c r="B1052" s="7" t="str">
        <f t="shared" ref="B1052" si="279">TEXT(A1052,"mmmm")</f>
        <v>diciembre</v>
      </c>
      <c r="C1052" s="27">
        <v>100238</v>
      </c>
      <c r="D1052" s="23" t="s">
        <v>20</v>
      </c>
      <c r="E1052" s="214" t="s">
        <v>1870</v>
      </c>
      <c r="F1052" s="22" t="s">
        <v>307</v>
      </c>
      <c r="G1052" s="32" t="str">
        <f>IFERROR(VLOOKUP(F1052,Productos!$A$2:$D$274,2,0)," ")</f>
        <v>Superficie  Fresno Europeo 180x70 Clasico</v>
      </c>
      <c r="H1052" s="7">
        <v>1</v>
      </c>
      <c r="I1052" s="32" t="str">
        <f>IFERROR(VLOOKUP(F1052,Productos!$A$2:$D$274,3,0)," ")</f>
        <v>Superficie</v>
      </c>
      <c r="J1052" s="215" t="s">
        <v>21</v>
      </c>
      <c r="K1052" s="215" t="s">
        <v>22</v>
      </c>
      <c r="L1052" s="26" t="str">
        <f t="shared" si="278"/>
        <v>Despachado</v>
      </c>
      <c r="M1052" s="56" t="s">
        <v>1901</v>
      </c>
      <c r="N1052" s="223" t="s">
        <v>1921</v>
      </c>
      <c r="O1052" s="150">
        <v>46010</v>
      </c>
      <c r="P1052" s="151">
        <v>46013</v>
      </c>
      <c r="Q1052" s="24" t="str">
        <f t="shared" si="273"/>
        <v>Entregado</v>
      </c>
      <c r="R1052" s="25">
        <f>IF(L1052="Despachado",NETWORKDAYS.INTL(A1052,O1052,11,Valores!$A$2:$A$18)-1,"PTE")</f>
        <v>2</v>
      </c>
      <c r="S1052" s="25">
        <f>IF(Q1052="Entregado",NETWORKDAYS.INTL(A1052,P1052,11,Valores!$A$2:$A$18)-1,"PTE")</f>
        <v>4</v>
      </c>
      <c r="T1052" s="249">
        <f t="shared" si="268"/>
        <v>-3</v>
      </c>
      <c r="U1052" s="250">
        <f t="shared" si="269"/>
        <v>-4</v>
      </c>
      <c r="V1052" s="25" t="str">
        <f>IF(Q1052="Entregado",IF(S1052&lt;=VLOOKUP(K1052,Valores!E:F,2,0),"Cumple","No cumple"),"PTE")</f>
        <v>No cumple</v>
      </c>
      <c r="W1052" s="247">
        <f t="shared" si="270"/>
        <v>-4</v>
      </c>
      <c r="X1052" s="226">
        <v>28858</v>
      </c>
      <c r="Y1052" s="232" t="str">
        <f t="shared" si="271"/>
        <v/>
      </c>
      <c r="Z1052" s="228"/>
    </row>
    <row r="1053" spans="1:26" x14ac:dyDescent="0.3">
      <c r="A1053" s="34">
        <v>46008</v>
      </c>
      <c r="B1053" s="7" t="str">
        <f t="shared" ref="B1053:B1055" si="280">TEXT(A1053,"mmmm")</f>
        <v>diciembre</v>
      </c>
      <c r="C1053" s="27">
        <v>100238</v>
      </c>
      <c r="D1053" s="23" t="s">
        <v>20</v>
      </c>
      <c r="E1053" s="214" t="s">
        <v>1870</v>
      </c>
      <c r="F1053" s="22"/>
      <c r="G1053" s="143" t="s">
        <v>1796</v>
      </c>
      <c r="H1053" s="7">
        <v>1</v>
      </c>
      <c r="I1053" s="32" t="s">
        <v>327</v>
      </c>
      <c r="J1053" s="215" t="s">
        <v>21</v>
      </c>
      <c r="K1053" s="215" t="s">
        <v>22</v>
      </c>
      <c r="L1053" s="26" t="str">
        <f t="shared" si="278"/>
        <v>Despachado</v>
      </c>
      <c r="M1053" s="56" t="s">
        <v>241</v>
      </c>
      <c r="N1053" s="218" t="s">
        <v>241</v>
      </c>
      <c r="O1053" s="219" t="s">
        <v>241</v>
      </c>
      <c r="P1053" s="220" t="s">
        <v>241</v>
      </c>
      <c r="Q1053" s="24" t="str">
        <f t="shared" si="273"/>
        <v>Entregado</v>
      </c>
      <c r="R1053" s="25" t="e">
        <f>IF(L1053="Despachado",NETWORKDAYS.INTL(A1053,O1053,11,Valores!$A$2:$A$18)-1,"PTE")</f>
        <v>#VALUE!</v>
      </c>
      <c r="S1053" s="25" t="e">
        <f>IF(Q1053="Entregado",NETWORKDAYS.INTL(A1053,P1053,11,Valores!$A$2:$A$18)-1,"PTE")</f>
        <v>#VALUE!</v>
      </c>
      <c r="T1053" s="249">
        <f t="shared" si="268"/>
        <v>-2</v>
      </c>
      <c r="U1053" s="250">
        <f t="shared" si="269"/>
        <v>-4</v>
      </c>
      <c r="V1053" s="25" t="e">
        <f>IF(Q1053="Entregado",IF(S1053&lt;=VLOOKUP(K1053,Valores!E:F,2,0),"Cumple","No cumple"),"PTE")</f>
        <v>#VALUE!</v>
      </c>
      <c r="W1053" s="247">
        <f t="shared" si="270"/>
        <v>-3</v>
      </c>
      <c r="X1053" s="226" t="s">
        <v>241</v>
      </c>
      <c r="Y1053" s="232" t="str">
        <f t="shared" si="271"/>
        <v/>
      </c>
      <c r="Z1053" s="228"/>
    </row>
    <row r="1054" spans="1:26" x14ac:dyDescent="0.3">
      <c r="A1054" s="34">
        <v>46010</v>
      </c>
      <c r="B1054" s="7" t="str">
        <f t="shared" si="280"/>
        <v>diciembre</v>
      </c>
      <c r="C1054" s="27">
        <v>100239</v>
      </c>
      <c r="D1054" s="23" t="s">
        <v>20</v>
      </c>
      <c r="E1054" s="214" t="s">
        <v>1871</v>
      </c>
      <c r="F1054" s="22" t="s">
        <v>129</v>
      </c>
      <c r="G1054" s="32" t="str">
        <f>IFERROR(VLOOKUP(F1054,Productos!$A$2:$D$274,2,0)," ")</f>
        <v>Electric Standing Desk  PRO Negro</v>
      </c>
      <c r="H1054" s="7">
        <v>1</v>
      </c>
      <c r="I1054" s="32" t="str">
        <f>IFERROR(VLOOKUP(F1054,Productos!$A$2:$D$274,3,0)," ")</f>
        <v>Standing Desk</v>
      </c>
      <c r="J1054" s="215" t="s">
        <v>21</v>
      </c>
      <c r="K1054" s="215" t="s">
        <v>22</v>
      </c>
      <c r="L1054" s="26" t="str">
        <f t="shared" ref="L1054:L1056" si="281">IF(O1054&gt;0,"Despachado","En alistamiento")</f>
        <v>Despachado</v>
      </c>
      <c r="M1054" s="56" t="s">
        <v>238</v>
      </c>
      <c r="N1054" s="223" t="s">
        <v>1923</v>
      </c>
      <c r="O1054" s="150">
        <v>46014</v>
      </c>
      <c r="P1054" s="151">
        <v>46015</v>
      </c>
      <c r="Q1054" s="24" t="str">
        <f t="shared" si="273"/>
        <v>Entregado</v>
      </c>
      <c r="R1054" s="25">
        <f>IF(L1054="Despachado",NETWORKDAYS.INTL(A1054,O1054,11,Valores!$A$2:$A$18)-1,"PTE")</f>
        <v>3</v>
      </c>
      <c r="S1054" s="25">
        <f>IF(Q1054="Entregado",NETWORKDAYS.INTL(A1054,P1054,11,Valores!$A$2:$A$18)-1,"PTE")</f>
        <v>4</v>
      </c>
      <c r="T1054" s="249">
        <f t="shared" si="268"/>
        <v>-2</v>
      </c>
      <c r="U1054" s="250">
        <f t="shared" si="269"/>
        <v>-4</v>
      </c>
      <c r="V1054" s="25" t="str">
        <f>IF(Q1054="Entregado",IF(S1054&lt;=VLOOKUP(K1054,Valores!E:F,2,0),"Cumple","No cumple"),"PTE")</f>
        <v>No cumple</v>
      </c>
      <c r="W1054" s="247">
        <f t="shared" si="270"/>
        <v>-3</v>
      </c>
      <c r="X1054" s="226">
        <v>44550</v>
      </c>
      <c r="Y1054" s="232" t="str">
        <f t="shared" si="271"/>
        <v/>
      </c>
      <c r="Z1054" s="228"/>
    </row>
    <row r="1055" spans="1:26" x14ac:dyDescent="0.3">
      <c r="A1055" s="34">
        <v>46010</v>
      </c>
      <c r="B1055" s="7" t="str">
        <f t="shared" si="280"/>
        <v>diciembre</v>
      </c>
      <c r="C1055" s="27">
        <v>100239</v>
      </c>
      <c r="D1055" s="23" t="s">
        <v>20</v>
      </c>
      <c r="E1055" s="214" t="s">
        <v>1871</v>
      </c>
      <c r="F1055" s="22" t="s">
        <v>264</v>
      </c>
      <c r="G1055" s="32" t="str">
        <f>IFERROR(VLOOKUP(F1055,Productos!$A$2:$D$274,2,0)," ")</f>
        <v>Superficie Roble Miel 180x70 Clasico</v>
      </c>
      <c r="H1055" s="7">
        <v>1</v>
      </c>
      <c r="I1055" s="32" t="str">
        <f>IFERROR(VLOOKUP(F1055,Productos!$A$2:$D$274,3,0)," ")</f>
        <v>Superficie</v>
      </c>
      <c r="J1055" s="215" t="s">
        <v>21</v>
      </c>
      <c r="K1055" s="215" t="s">
        <v>22</v>
      </c>
      <c r="L1055" s="26" t="str">
        <f t="shared" si="281"/>
        <v>Despachado</v>
      </c>
      <c r="M1055" s="56" t="s">
        <v>1901</v>
      </c>
      <c r="N1055" s="223" t="s">
        <v>1924</v>
      </c>
      <c r="O1055" s="150">
        <v>46014</v>
      </c>
      <c r="P1055" s="151">
        <v>46015</v>
      </c>
      <c r="Q1055" s="24" t="str">
        <f t="shared" si="273"/>
        <v>Entregado</v>
      </c>
      <c r="R1055" s="25">
        <f>IF(L1055="Despachado",NETWORKDAYS.INTL(A1055,O1055,11,Valores!$A$2:$A$18)-1,"PTE")</f>
        <v>3</v>
      </c>
      <c r="S1055" s="25">
        <f>IF(Q1055="Entregado",NETWORKDAYS.INTL(A1055,P1055,11,Valores!$A$2:$A$18)-1,"PTE")</f>
        <v>4</v>
      </c>
      <c r="T1055" s="249">
        <f t="shared" si="268"/>
        <v>-2</v>
      </c>
      <c r="U1055" s="250">
        <f t="shared" si="269"/>
        <v>-4</v>
      </c>
      <c r="V1055" s="25" t="str">
        <f>IF(Q1055="Entregado",IF(S1055&lt;=VLOOKUP(K1055,Valores!E:F,2,0),"Cumple","No cumple"),"PTE")</f>
        <v>No cumple</v>
      </c>
      <c r="W1055" s="247">
        <f t="shared" si="270"/>
        <v>-3</v>
      </c>
      <c r="X1055" s="226">
        <v>31064</v>
      </c>
      <c r="Y1055" s="232" t="str">
        <f t="shared" si="271"/>
        <v/>
      </c>
      <c r="Z1055" s="228"/>
    </row>
    <row r="1056" spans="1:26" s="270" customFormat="1" x14ac:dyDescent="0.3">
      <c r="A1056" s="251">
        <v>46010</v>
      </c>
      <c r="B1056" s="252" t="str">
        <f t="shared" ref="B1056:B1058" si="282">TEXT(A1056,"mmmm")</f>
        <v>diciembre</v>
      </c>
      <c r="C1056" s="253">
        <v>100239</v>
      </c>
      <c r="D1056" s="23" t="s">
        <v>20</v>
      </c>
      <c r="E1056" s="254" t="s">
        <v>1871</v>
      </c>
      <c r="F1056" s="255" t="s">
        <v>240</v>
      </c>
      <c r="G1056" s="256" t="str">
        <f>IFERROR(VLOOKUP(F1056,Productos!$A$2:$D$274,2,0)," ")</f>
        <v>Bandeja de cables</v>
      </c>
      <c r="H1056" s="252">
        <v>1</v>
      </c>
      <c r="I1056" s="256" t="str">
        <f>IFERROR(VLOOKUP(F1056,Productos!$A$2:$D$274,3,0)," ")</f>
        <v>Accesorio</v>
      </c>
      <c r="J1056" s="257" t="s">
        <v>21</v>
      </c>
      <c r="K1056" s="257" t="s">
        <v>22</v>
      </c>
      <c r="L1056" s="258" t="str">
        <f t="shared" si="281"/>
        <v>En alistamiento</v>
      </c>
      <c r="M1056" s="259" t="s">
        <v>1925</v>
      </c>
      <c r="N1056" s="260"/>
      <c r="O1056" s="261"/>
      <c r="P1056" s="262"/>
      <c r="Q1056" s="263" t="str">
        <f t="shared" si="273"/>
        <v>En transito</v>
      </c>
      <c r="R1056" s="264" t="str">
        <f>IF(L1056="Despachado",NETWORKDAYS.INTL(A1056,O1056,11,Valores!$A$2:$A$18)-1,"PTE")</f>
        <v>PTE</v>
      </c>
      <c r="S1056" s="264" t="str">
        <f>IF(Q1056="Entregado",NETWORKDAYS.INTL(A1056,P1056,11,Valores!$A$2:$A$18)-1,"PTE")</f>
        <v>PTE</v>
      </c>
      <c r="T1056" s="249">
        <f t="shared" si="268"/>
        <v>-2</v>
      </c>
      <c r="U1056" s="250">
        <f t="shared" si="269"/>
        <v>-4</v>
      </c>
      <c r="V1056" s="25" t="str">
        <f>IF(Q1056="Entregado",IF(S1056&lt;=VLOOKUP(K1056,Valores!E:F,2,0),"Cumple","No cumple"),"PTE")</f>
        <v>PTE</v>
      </c>
      <c r="W1056" s="266">
        <f t="shared" si="270"/>
        <v>-3</v>
      </c>
      <c r="X1056" s="267"/>
      <c r="Y1056" s="268" t="str">
        <f t="shared" si="271"/>
        <v/>
      </c>
      <c r="Z1056" s="269"/>
    </row>
    <row r="1057" spans="1:26" x14ac:dyDescent="0.3">
      <c r="A1057" s="34">
        <v>46011</v>
      </c>
      <c r="B1057" s="7" t="str">
        <f t="shared" si="282"/>
        <v>diciembre</v>
      </c>
      <c r="C1057" s="27">
        <v>100240</v>
      </c>
      <c r="D1057" s="23" t="s">
        <v>20</v>
      </c>
      <c r="E1057" s="214" t="s">
        <v>1872</v>
      </c>
      <c r="F1057" s="22" t="s">
        <v>129</v>
      </c>
      <c r="G1057" s="32" t="str">
        <f>IFERROR(VLOOKUP(F1057,Productos!$A$2:$D$274,2,0)," ")</f>
        <v>Electric Standing Desk  PRO Negro</v>
      </c>
      <c r="H1057" s="7">
        <v>1</v>
      </c>
      <c r="I1057" s="32" t="str">
        <f>IFERROR(VLOOKUP(F1057,Productos!$A$2:$D$274,3,0)," ")</f>
        <v>Standing Desk</v>
      </c>
      <c r="J1057" s="215" t="s">
        <v>189</v>
      </c>
      <c r="K1057" s="215" t="s">
        <v>45</v>
      </c>
      <c r="L1057" s="26" t="str">
        <f t="shared" ref="L1057:L1062" si="283">IF(O1057&gt;0,"Despachado","En alistamiento")</f>
        <v>Despachado</v>
      </c>
      <c r="M1057" s="56" t="s">
        <v>238</v>
      </c>
      <c r="N1057" s="223" t="s">
        <v>1927</v>
      </c>
      <c r="O1057" s="150">
        <v>46027</v>
      </c>
      <c r="P1057" s="151">
        <v>46029</v>
      </c>
      <c r="Q1057" s="24" t="str">
        <f t="shared" si="273"/>
        <v>Entregado</v>
      </c>
      <c r="R1057" s="25">
        <f>IF(L1057="Despachado",NETWORKDAYS.INTL(A1057,O1057,11,Valores!$A$2:$A$18)-1,"PTE")</f>
        <v>12</v>
      </c>
      <c r="S1057" s="25">
        <f>IF(Q1057="Entregado",NETWORKDAYS.INTL(A1057,P1057,11,Valores!$A$2:$A$18)-1,"PTE")</f>
        <v>14</v>
      </c>
      <c r="T1057" s="249">
        <f t="shared" si="268"/>
        <v>-3</v>
      </c>
      <c r="U1057" s="250">
        <f t="shared" si="269"/>
        <v>-4</v>
      </c>
      <c r="V1057" s="25" t="str">
        <f>IF(Q1057="Entregado",IF(S1057&lt;=VLOOKUP(K1057,Valores!E:F,2,0),"Cumple","No cumple"),"PTE")</f>
        <v>No cumple</v>
      </c>
      <c r="W1057" s="247">
        <f t="shared" si="270"/>
        <v>-4</v>
      </c>
      <c r="X1057" s="226">
        <v>65599</v>
      </c>
      <c r="Y1057" s="232" t="str">
        <f t="shared" si="271"/>
        <v/>
      </c>
      <c r="Z1057" s="228"/>
    </row>
    <row r="1058" spans="1:26" x14ac:dyDescent="0.3">
      <c r="A1058" s="34">
        <v>46011</v>
      </c>
      <c r="B1058" s="7" t="str">
        <f t="shared" si="282"/>
        <v>diciembre</v>
      </c>
      <c r="C1058" s="27">
        <v>100240</v>
      </c>
      <c r="D1058" s="23" t="s">
        <v>20</v>
      </c>
      <c r="E1058" s="214" t="s">
        <v>1872</v>
      </c>
      <c r="F1058" s="22" t="s">
        <v>36</v>
      </c>
      <c r="G1058" s="32" t="str">
        <f>IFERROR(VLOOKUP(F1058,Productos!$A$2:$D$274,2,0)," ")</f>
        <v>Superficie Niebla 150x70 Clasico</v>
      </c>
      <c r="H1058" s="7">
        <v>1</v>
      </c>
      <c r="I1058" s="32" t="str">
        <f>IFERROR(VLOOKUP(F1058,Productos!$A$2:$D$274,3,0)," ")</f>
        <v>Superficie</v>
      </c>
      <c r="J1058" s="215" t="s">
        <v>189</v>
      </c>
      <c r="K1058" s="215" t="s">
        <v>45</v>
      </c>
      <c r="L1058" s="26" t="str">
        <f t="shared" si="283"/>
        <v>Despachado</v>
      </c>
      <c r="M1058" s="56" t="s">
        <v>1901</v>
      </c>
      <c r="N1058" s="223" t="s">
        <v>1926</v>
      </c>
      <c r="O1058" s="150">
        <v>46027</v>
      </c>
      <c r="P1058" s="151">
        <v>46030</v>
      </c>
      <c r="Q1058" s="24" t="str">
        <f t="shared" si="273"/>
        <v>Entregado</v>
      </c>
      <c r="R1058" s="25">
        <f>IF(L1058="Despachado",NETWORKDAYS.INTL(A1058,O1058,11,Valores!$A$2:$A$18)-1,"PTE")</f>
        <v>12</v>
      </c>
      <c r="S1058" s="25">
        <f>IF(Q1058="Entregado",NETWORKDAYS.INTL(A1058,P1058,11,Valores!$A$2:$A$18)-1,"PTE")</f>
        <v>15</v>
      </c>
      <c r="T1058" s="249">
        <f t="shared" si="268"/>
        <v>-3</v>
      </c>
      <c r="U1058" s="250">
        <f t="shared" si="269"/>
        <v>6</v>
      </c>
      <c r="V1058" s="25" t="str">
        <f>IF(Q1058="Entregado",IF(S1058&lt;=VLOOKUP(K1058,Valores!E:F,2,0),"Cumple","No cumple"),"PTE")</f>
        <v>No cumple</v>
      </c>
      <c r="W1058" s="247">
        <f t="shared" si="270"/>
        <v>6</v>
      </c>
      <c r="X1058" s="226">
        <v>47259</v>
      </c>
      <c r="Y1058" s="232" t="str">
        <f t="shared" si="271"/>
        <v>Transporte</v>
      </c>
      <c r="Z1058" s="228"/>
    </row>
    <row r="1059" spans="1:26" x14ac:dyDescent="0.3">
      <c r="A1059" s="34">
        <v>46011</v>
      </c>
      <c r="B1059" s="7" t="str">
        <f t="shared" ref="B1059:B1061" si="284">TEXT(A1059,"mmmm")</f>
        <v>diciembre</v>
      </c>
      <c r="C1059" s="27">
        <v>100240</v>
      </c>
      <c r="D1059" s="23" t="s">
        <v>20</v>
      </c>
      <c r="E1059" s="214" t="s">
        <v>1872</v>
      </c>
      <c r="F1059" s="22" t="s">
        <v>289</v>
      </c>
      <c r="G1059" s="32" t="str">
        <f>IFERROR(VLOOKUP(F1059,Productos!$A$2:$D$274,2,0)," ")</f>
        <v>Superficie  Music Blanco</v>
      </c>
      <c r="H1059" s="7">
        <v>1</v>
      </c>
      <c r="I1059" s="32" t="str">
        <f>IFERROR(VLOOKUP(F1059,Productos!$A$2:$D$274,3,0)," ")</f>
        <v>Superficie</v>
      </c>
      <c r="J1059" s="215" t="s">
        <v>189</v>
      </c>
      <c r="K1059" s="215" t="s">
        <v>45</v>
      </c>
      <c r="L1059" s="26" t="str">
        <f t="shared" si="283"/>
        <v>Despachado</v>
      </c>
      <c r="M1059" s="56" t="s">
        <v>241</v>
      </c>
      <c r="N1059" s="223" t="s">
        <v>241</v>
      </c>
      <c r="O1059" s="150" t="s">
        <v>241</v>
      </c>
      <c r="P1059" s="151" t="s">
        <v>241</v>
      </c>
      <c r="Q1059" s="24" t="str">
        <f t="shared" si="273"/>
        <v>Entregado</v>
      </c>
      <c r="R1059" s="25" t="e">
        <f>IF(L1059="Despachado",NETWORKDAYS.INTL(A1059,O1059,11,Valores!$A$2:$A$18)-1,"PTE")</f>
        <v>#VALUE!</v>
      </c>
      <c r="S1059" s="25" t="e">
        <f>IF(Q1059="Entregado",NETWORKDAYS.INTL(A1059,P1059,11,Valores!$A$2:$A$18)-1,"PTE")</f>
        <v>#VALUE!</v>
      </c>
      <c r="T1059" s="249">
        <f t="shared" si="268"/>
        <v>-3</v>
      </c>
      <c r="U1059" s="250">
        <f t="shared" si="269"/>
        <v>6</v>
      </c>
      <c r="V1059" s="25" t="e">
        <f>IF(Q1059="Entregado",IF(S1059&lt;=VLOOKUP(K1059,Valores!E:F,2,0),"Cumple","No cumple"),"PTE")</f>
        <v>#VALUE!</v>
      </c>
      <c r="W1059" s="247">
        <f t="shared" si="270"/>
        <v>6</v>
      </c>
      <c r="X1059" s="226" t="s">
        <v>241</v>
      </c>
      <c r="Y1059" s="232" t="str">
        <f t="shared" si="271"/>
        <v>Transporte</v>
      </c>
      <c r="Z1059" s="228"/>
    </row>
    <row r="1060" spans="1:26" x14ac:dyDescent="0.3">
      <c r="A1060" s="34">
        <v>46015</v>
      </c>
      <c r="B1060" s="7" t="str">
        <f t="shared" si="284"/>
        <v>diciembre</v>
      </c>
      <c r="C1060" s="27">
        <v>100241</v>
      </c>
      <c r="D1060" s="23" t="s">
        <v>20</v>
      </c>
      <c r="E1060" s="214" t="s">
        <v>1873</v>
      </c>
      <c r="F1060" s="22" t="s">
        <v>1670</v>
      </c>
      <c r="G1060" s="32" t="str">
        <f>IFERROR(VLOOKUP(F1060,Productos!$A$2:$D$274,2,0)," ")</f>
        <v>Repisa Escritorio Caramelo x 110cm</v>
      </c>
      <c r="H1060" s="7">
        <v>1</v>
      </c>
      <c r="I1060" s="32" t="str">
        <f>IFERROR(VLOOKUP(F1060,Productos!$A$2:$D$274,3,0)," ")</f>
        <v>Repisa</v>
      </c>
      <c r="J1060" s="215" t="s">
        <v>24</v>
      </c>
      <c r="K1060" s="215" t="s">
        <v>25</v>
      </c>
      <c r="L1060" s="26" t="str">
        <f t="shared" si="283"/>
        <v>Despachado</v>
      </c>
      <c r="M1060" s="56" t="s">
        <v>1901</v>
      </c>
      <c r="N1060" s="223" t="s">
        <v>1928</v>
      </c>
      <c r="O1060" s="150">
        <v>46030</v>
      </c>
      <c r="P1060" s="151">
        <v>46032</v>
      </c>
      <c r="Q1060" s="24" t="str">
        <f t="shared" si="273"/>
        <v>Entregado</v>
      </c>
      <c r="R1060" s="25">
        <f>IF(L1060="Despachado",NETWORKDAYS.INTL(A1060,O1060,11,Valores!$A$2:$A$18)-1,"PTE")</f>
        <v>12</v>
      </c>
      <c r="S1060" s="25">
        <f>IF(Q1060="Entregado",NETWORKDAYS.INTL(A1060,P1060,11,Valores!$A$2:$A$18)-1,"PTE")</f>
        <v>14</v>
      </c>
      <c r="T1060" s="249">
        <f t="shared" si="268"/>
        <v>-2</v>
      </c>
      <c r="U1060" s="250">
        <f t="shared" si="269"/>
        <v>-4</v>
      </c>
      <c r="V1060" s="25" t="str">
        <f>IF(Q1060="Entregado",IF(S1060&lt;=VLOOKUP(K1060,Valores!E:F,2,0),"Cumple","No cumple"),"PTE")</f>
        <v>No cumple</v>
      </c>
      <c r="W1060" s="247">
        <f t="shared" si="270"/>
        <v>-3</v>
      </c>
      <c r="X1060" s="226">
        <v>22743</v>
      </c>
      <c r="Y1060" s="232" t="str">
        <f t="shared" si="271"/>
        <v/>
      </c>
      <c r="Z1060" s="228"/>
    </row>
    <row r="1061" spans="1:26" x14ac:dyDescent="0.3">
      <c r="A1061" s="34">
        <v>46017</v>
      </c>
      <c r="B1061" s="7" t="str">
        <f t="shared" si="284"/>
        <v>diciembre</v>
      </c>
      <c r="C1061" s="27">
        <v>100242</v>
      </c>
      <c r="D1061" s="23" t="s">
        <v>20</v>
      </c>
      <c r="E1061" s="214" t="s">
        <v>1874</v>
      </c>
      <c r="F1061" s="22" t="s">
        <v>57</v>
      </c>
      <c r="G1061" s="32" t="str">
        <f>IFERROR(VLOOKUP(F1061,Productos!$A$2:$D$274,2,0)," ")</f>
        <v>Electric Standing Desk  En L Frame Negro 2.0</v>
      </c>
      <c r="H1061" s="7">
        <v>1</v>
      </c>
      <c r="I1061" s="32" t="str">
        <f>IFERROR(VLOOKUP(F1061,Productos!$A$2:$D$274,3,0)," ")</f>
        <v>Standing Desk</v>
      </c>
      <c r="J1061" s="215" t="s">
        <v>21</v>
      </c>
      <c r="K1061" s="215" t="s">
        <v>22</v>
      </c>
      <c r="L1061" s="26" t="str">
        <f t="shared" si="283"/>
        <v>Despachado</v>
      </c>
      <c r="M1061" s="56" t="s">
        <v>238</v>
      </c>
      <c r="N1061" s="223" t="s">
        <v>1929</v>
      </c>
      <c r="O1061" s="150">
        <v>46018</v>
      </c>
      <c r="P1061" s="151">
        <v>46020</v>
      </c>
      <c r="Q1061" s="24" t="str">
        <f t="shared" si="273"/>
        <v>Entregado</v>
      </c>
      <c r="R1061" s="25">
        <f>IF(L1061="Despachado",NETWORKDAYS.INTL(A1061,O1061,11,Valores!$A$2:$A$18)-1,"PTE")</f>
        <v>1</v>
      </c>
      <c r="S1061" s="25">
        <f>IF(Q1061="Entregado",NETWORKDAYS.INTL(A1061,P1061,11,Valores!$A$2:$A$18)-1,"PTE")</f>
        <v>2</v>
      </c>
      <c r="T1061" s="249">
        <f t="shared" si="268"/>
        <v>-2</v>
      </c>
      <c r="U1061" s="250">
        <f t="shared" si="269"/>
        <v>-4</v>
      </c>
      <c r="V1061" s="25" t="str">
        <f>IF(Q1061="Entregado",IF(S1061&lt;=VLOOKUP(K1061,Valores!E:F,2,0),"Cumple","No cumple"),"PTE")</f>
        <v>Cumple</v>
      </c>
      <c r="W1061" s="247">
        <f t="shared" si="270"/>
        <v>-3</v>
      </c>
      <c r="X1061" s="226">
        <v>65353</v>
      </c>
      <c r="Y1061" s="232" t="str">
        <f t="shared" si="271"/>
        <v/>
      </c>
      <c r="Z1061" s="228"/>
    </row>
    <row r="1062" spans="1:26" x14ac:dyDescent="0.3">
      <c r="A1062" s="34">
        <v>46017</v>
      </c>
      <c r="B1062" s="7" t="str">
        <f t="shared" ref="B1062:B1066" si="285">TEXT(A1062,"mmmm")</f>
        <v>diciembre</v>
      </c>
      <c r="C1062" s="27">
        <v>100242</v>
      </c>
      <c r="D1062" s="23" t="s">
        <v>20</v>
      </c>
      <c r="E1062" s="214" t="s">
        <v>1874</v>
      </c>
      <c r="F1062" s="22" t="s">
        <v>29</v>
      </c>
      <c r="G1062" s="32" t="str">
        <f>IFERROR(VLOOKUP(F1062,Productos!$A$2:$D$274,2,0)," ")</f>
        <v>Superficie  en L Caramelo 180x150cm x 70</v>
      </c>
      <c r="H1062" s="7">
        <v>1</v>
      </c>
      <c r="I1062" s="32" t="str">
        <f>IFERROR(VLOOKUP(F1062,Productos!$A$2:$D$274,3,0)," ")</f>
        <v>Superficie</v>
      </c>
      <c r="J1062" s="215" t="s">
        <v>21</v>
      </c>
      <c r="K1062" s="215" t="s">
        <v>22</v>
      </c>
      <c r="L1062" s="26" t="str">
        <f t="shared" si="283"/>
        <v>Despachado</v>
      </c>
      <c r="M1062" s="56" t="s">
        <v>1901</v>
      </c>
      <c r="N1062" s="223" t="s">
        <v>1930</v>
      </c>
      <c r="O1062" s="150">
        <v>46018</v>
      </c>
      <c r="P1062" s="151">
        <v>46020</v>
      </c>
      <c r="Q1062" s="24" t="str">
        <f t="shared" si="273"/>
        <v>Entregado</v>
      </c>
      <c r="R1062" s="25">
        <f>IF(L1062="Despachado",NETWORKDAYS.INTL(A1062,O1062,11,Valores!$A$2:$A$18)-1,"PTE")</f>
        <v>1</v>
      </c>
      <c r="S1062" s="25">
        <f>IF(Q1062="Entregado",NETWORKDAYS.INTL(A1062,P1062,11,Valores!$A$2:$A$18)-1,"PTE")</f>
        <v>2</v>
      </c>
      <c r="T1062" s="249">
        <f t="shared" si="268"/>
        <v>-2</v>
      </c>
      <c r="U1062" s="250">
        <f t="shared" si="269"/>
        <v>-4</v>
      </c>
      <c r="V1062" s="25" t="str">
        <f>IF(Q1062="Entregado",IF(S1062&lt;=VLOOKUP(K1062,Valores!E:F,2,0),"Cumple","No cumple"),"PTE")</f>
        <v>Cumple</v>
      </c>
      <c r="W1062" s="247">
        <f t="shared" si="270"/>
        <v>-3</v>
      </c>
      <c r="X1062" s="226">
        <v>29064</v>
      </c>
      <c r="Y1062" s="232" t="str">
        <f t="shared" si="271"/>
        <v/>
      </c>
      <c r="Z1062" s="228"/>
    </row>
    <row r="1063" spans="1:26" x14ac:dyDescent="0.3">
      <c r="A1063" s="34">
        <v>46018</v>
      </c>
      <c r="B1063" s="7" t="str">
        <f t="shared" si="285"/>
        <v>diciembre</v>
      </c>
      <c r="C1063" s="27">
        <v>100243</v>
      </c>
      <c r="D1063" s="23" t="s">
        <v>20</v>
      </c>
      <c r="E1063" s="214" t="s">
        <v>1138</v>
      </c>
      <c r="F1063" s="22" t="s">
        <v>1606</v>
      </c>
      <c r="G1063" s="32" t="str">
        <f>IFERROR(VLOOKUP(F1063,Productos!$A$2:$D$274,2,0)," ")</f>
        <v>Cajonero 2.0 Bicolor Caramelo x73cm</v>
      </c>
      <c r="H1063" s="7">
        <v>1</v>
      </c>
      <c r="I1063" s="32" t="str">
        <f>IFERROR(VLOOKUP(F1063,Productos!$A$2:$D$274,3,0)," ")</f>
        <v>Archivador</v>
      </c>
      <c r="J1063" s="215" t="s">
        <v>21</v>
      </c>
      <c r="K1063" s="215" t="s">
        <v>22</v>
      </c>
      <c r="L1063" s="26" t="str">
        <f t="shared" ref="L1063:L1064" si="286">IF(O1063&gt;0,"Despachado","En alistamiento")</f>
        <v>Despachado</v>
      </c>
      <c r="M1063" s="56" t="s">
        <v>1901</v>
      </c>
      <c r="N1063" s="223" t="s">
        <v>1931</v>
      </c>
      <c r="O1063" s="150">
        <v>46028</v>
      </c>
      <c r="P1063" s="151">
        <v>46029</v>
      </c>
      <c r="Q1063" s="24" t="str">
        <f t="shared" si="273"/>
        <v>Entregado</v>
      </c>
      <c r="R1063" s="25">
        <f>IF(L1063="Despachado",NETWORKDAYS.INTL(A1063,O1063,11,Valores!$A$2:$A$18)-1,"PTE")</f>
        <v>8</v>
      </c>
      <c r="S1063" s="25">
        <f>IF(Q1063="Entregado",NETWORKDAYS.INTL(A1063,P1063,11,Valores!$A$2:$A$18)-1,"PTE")</f>
        <v>9</v>
      </c>
      <c r="T1063" s="249">
        <f t="shared" si="268"/>
        <v>-2</v>
      </c>
      <c r="U1063" s="250">
        <f t="shared" si="269"/>
        <v>-4</v>
      </c>
      <c r="V1063" s="25" t="str">
        <f>IF(Q1063="Entregado",IF(S1063&lt;=VLOOKUP(K1063,Valores!E:F,2,0),"Cumple","No cumple"),"PTE")</f>
        <v>No cumple</v>
      </c>
      <c r="W1063" s="247">
        <f t="shared" si="270"/>
        <v>-3</v>
      </c>
      <c r="X1063" s="226">
        <v>57135</v>
      </c>
      <c r="Y1063" s="232" t="str">
        <f t="shared" si="271"/>
        <v/>
      </c>
      <c r="Z1063" s="228"/>
    </row>
    <row r="1064" spans="1:26" x14ac:dyDescent="0.3">
      <c r="A1064" s="34">
        <v>46018</v>
      </c>
      <c r="B1064" s="7" t="str">
        <f t="shared" si="285"/>
        <v>diciembre</v>
      </c>
      <c r="C1064" s="27">
        <v>100243</v>
      </c>
      <c r="D1064" s="23" t="s">
        <v>20</v>
      </c>
      <c r="E1064" s="214" t="s">
        <v>1138</v>
      </c>
      <c r="F1064" s="22" t="s">
        <v>1670</v>
      </c>
      <c r="G1064" s="32" t="str">
        <f>IFERROR(VLOOKUP(F1064,Productos!$A$2:$D$274,2,0)," ")</f>
        <v>Repisa Escritorio Caramelo x 110cm</v>
      </c>
      <c r="H1064" s="7">
        <v>1</v>
      </c>
      <c r="I1064" s="32" t="str">
        <f>IFERROR(VLOOKUP(F1064,Productos!$A$2:$D$274,3,0)," ")</f>
        <v>Repisa</v>
      </c>
      <c r="J1064" s="215" t="s">
        <v>21</v>
      </c>
      <c r="K1064" s="215" t="s">
        <v>22</v>
      </c>
      <c r="L1064" s="26" t="str">
        <f t="shared" si="286"/>
        <v>Despachado</v>
      </c>
      <c r="M1064" s="56" t="s">
        <v>238</v>
      </c>
      <c r="N1064" s="223" t="s">
        <v>1932</v>
      </c>
      <c r="O1064" s="150">
        <v>46031</v>
      </c>
      <c r="P1064" s="151">
        <v>46035</v>
      </c>
      <c r="Q1064" s="24" t="str">
        <f t="shared" si="273"/>
        <v>Entregado</v>
      </c>
      <c r="R1064" s="25">
        <f>IF(L1064="Despachado",NETWORKDAYS.INTL(A1064,O1064,11,Valores!$A$2:$A$18)-1,"PTE")</f>
        <v>11</v>
      </c>
      <c r="S1064" s="25">
        <f>IF(Q1064="Entregado",NETWORKDAYS.INTL(A1064,P1064,11,Valores!$A$2:$A$18)-1,"PTE")</f>
        <v>14</v>
      </c>
      <c r="T1064" s="249">
        <f t="shared" si="268"/>
        <v>-2</v>
      </c>
      <c r="U1064" s="250">
        <f t="shared" si="269"/>
        <v>-4</v>
      </c>
      <c r="V1064" s="25" t="str">
        <f>IF(Q1064="Entregado",IF(S1064&lt;=VLOOKUP(K1064,Valores!E:F,2,0),"Cumple","No cumple"),"PTE")</f>
        <v>No cumple</v>
      </c>
      <c r="W1064" s="247">
        <f t="shared" si="270"/>
        <v>-3</v>
      </c>
      <c r="X1064" s="226">
        <v>26181</v>
      </c>
      <c r="Y1064" s="232" t="str">
        <f t="shared" si="271"/>
        <v/>
      </c>
      <c r="Z1064" s="228"/>
    </row>
    <row r="1065" spans="1:26" x14ac:dyDescent="0.3">
      <c r="A1065" s="34">
        <v>46021</v>
      </c>
      <c r="B1065" s="7" t="str">
        <f t="shared" si="285"/>
        <v>diciembre</v>
      </c>
      <c r="C1065" s="27">
        <v>100244</v>
      </c>
      <c r="D1065" s="23" t="s">
        <v>20</v>
      </c>
      <c r="E1065" s="214" t="s">
        <v>1875</v>
      </c>
      <c r="F1065" s="22" t="s">
        <v>129</v>
      </c>
      <c r="G1065" s="32" t="str">
        <f>IFERROR(VLOOKUP(F1065,Productos!$A$2:$D$274,2,0)," ")</f>
        <v>Electric Standing Desk  PRO Negro</v>
      </c>
      <c r="H1065" s="7">
        <v>1</v>
      </c>
      <c r="I1065" s="32" t="str">
        <f>IFERROR(VLOOKUP(F1065,Productos!$A$2:$D$274,3,0)," ")</f>
        <v>Standing Desk</v>
      </c>
      <c r="J1065" s="215" t="s">
        <v>21</v>
      </c>
      <c r="K1065" s="215" t="s">
        <v>22</v>
      </c>
      <c r="L1065" s="26" t="str">
        <f t="shared" ref="L1065:L1066" si="287">IF(O1065&gt;0,"Despachado","En alistamiento")</f>
        <v>Despachado</v>
      </c>
      <c r="M1065" s="56" t="s">
        <v>238</v>
      </c>
      <c r="N1065" s="223" t="s">
        <v>1933</v>
      </c>
      <c r="O1065" s="150">
        <v>46027</v>
      </c>
      <c r="P1065" s="151">
        <v>46028</v>
      </c>
      <c r="Q1065" s="24" t="str">
        <f t="shared" si="273"/>
        <v>Entregado</v>
      </c>
      <c r="R1065" s="25">
        <f>IF(L1065="Despachado",NETWORKDAYS.INTL(A1065,O1065,11,Valores!$A$2:$A$18)-1,"PTE")</f>
        <v>5</v>
      </c>
      <c r="S1065" s="25">
        <f>IF(Q1065="Entregado",NETWORKDAYS.INTL(A1065,P1065,11,Valores!$A$2:$A$18)-1,"PTE")</f>
        <v>6</v>
      </c>
      <c r="T1065" s="249">
        <f t="shared" si="268"/>
        <v>-2</v>
      </c>
      <c r="U1065" s="250">
        <f t="shared" si="269"/>
        <v>-4</v>
      </c>
      <c r="V1065" s="25" t="str">
        <f>IF(Q1065="Entregado",IF(S1065&lt;=VLOOKUP(K1065,Valores!E:F,2,0),"Cumple","No cumple"),"PTE")</f>
        <v>No cumple</v>
      </c>
      <c r="W1065" s="247">
        <f t="shared" si="270"/>
        <v>-3</v>
      </c>
      <c r="X1065" s="226">
        <v>44550</v>
      </c>
      <c r="Y1065" s="232" t="str">
        <f t="shared" si="271"/>
        <v/>
      </c>
      <c r="Z1065" s="228"/>
    </row>
    <row r="1066" spans="1:26" x14ac:dyDescent="0.3">
      <c r="A1066" s="34">
        <v>46021</v>
      </c>
      <c r="B1066" s="7" t="str">
        <f t="shared" si="285"/>
        <v>diciembre</v>
      </c>
      <c r="C1066" s="27">
        <v>100244</v>
      </c>
      <c r="D1066" s="23" t="s">
        <v>20</v>
      </c>
      <c r="E1066" s="214" t="s">
        <v>1875</v>
      </c>
      <c r="F1066" s="52" t="s">
        <v>1499</v>
      </c>
      <c r="G1066" s="230" t="str">
        <f>IFERROR(VLOOKUP(F1066,Productos!$A$2:$D$274,2,0)," ")</f>
        <v>Superficie Escritorio Fresno Europeo 140x60 Clasico</v>
      </c>
      <c r="H1066" s="231">
        <v>1</v>
      </c>
      <c r="I1066" s="230" t="str">
        <f>IFERROR(VLOOKUP(F1066,Productos!$A$2:$D$274,3,0)," ")</f>
        <v>Superficie</v>
      </c>
      <c r="J1066" s="215" t="s">
        <v>21</v>
      </c>
      <c r="K1066" s="215" t="s">
        <v>22</v>
      </c>
      <c r="L1066" s="23" t="str">
        <f t="shared" si="287"/>
        <v>Despachado</v>
      </c>
      <c r="M1066" s="56" t="s">
        <v>238</v>
      </c>
      <c r="N1066" s="223" t="s">
        <v>1934</v>
      </c>
      <c r="O1066" s="150">
        <v>46027</v>
      </c>
      <c r="P1066" s="151">
        <v>46028</v>
      </c>
      <c r="Q1066" s="233" t="str">
        <f t="shared" si="273"/>
        <v>Entregado</v>
      </c>
      <c r="R1066" s="234">
        <f>IF(L1066="Despachado",NETWORKDAYS.INTL(A1066,O1066,11,Valores!$A$2:$A$18)-1,"PTE")</f>
        <v>5</v>
      </c>
      <c r="S1066" s="234">
        <f>IF(Q1066="Entregado",NETWORKDAYS.INTL(A1066,P1066,11,Valores!$A$2:$A$18)-1,"PTE")</f>
        <v>6</v>
      </c>
      <c r="T1066" s="275">
        <f t="shared" si="268"/>
        <v>-2</v>
      </c>
      <c r="U1066" s="276">
        <f t="shared" si="269"/>
        <v>-4</v>
      </c>
      <c r="V1066" s="25" t="str">
        <f>IF(Q1066="Entregado",IF(S1066&lt;=VLOOKUP(K1066,Valores!E:F,2,0),"Cumple","No cumple"),"PTE")</f>
        <v>No cumple</v>
      </c>
      <c r="W1066" s="234">
        <f t="shared" si="270"/>
        <v>-3</v>
      </c>
      <c r="X1066" s="226">
        <v>25952</v>
      </c>
      <c r="Y1066" s="232" t="str">
        <f t="shared" si="271"/>
        <v/>
      </c>
      <c r="Z1066" s="228"/>
    </row>
  </sheetData>
  <autoFilter ref="A4:AA1066" xr:uid="{00000000-0001-0000-0000-000000000000}">
    <filterColumn colId="1">
      <filters>
        <filter val="diciembre"/>
      </filters>
    </filterColumn>
  </autoFilter>
  <mergeCells count="1">
    <mergeCell ref="A1:Z3"/>
  </mergeCells>
  <conditionalFormatting sqref="Z5:Z1066">
    <cfRule type="cellIs" dxfId="1" priority="39" operator="lessThan">
      <formula>0</formula>
    </cfRule>
    <cfRule type="cellIs" dxfId="0" priority="40" operator="greaterThan">
      <formula>0</formula>
    </cfRule>
  </conditionalFormatting>
  <pageMargins left="0.7" right="0.7" top="0.75" bottom="0.75" header="0.3" footer="0.3"/>
  <pageSetup scale="1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276"/>
  <sheetViews>
    <sheetView showGridLines="0" topLeftCell="A47" zoomScale="124" zoomScaleNormal="124" workbookViewId="0">
      <selection activeCell="A58" sqref="A58"/>
    </sheetView>
  </sheetViews>
  <sheetFormatPr baseColWidth="10" defaultRowHeight="14.4" x14ac:dyDescent="0.3"/>
  <cols>
    <col min="1" max="1" width="15.109375" style="33" bestFit="1" customWidth="1"/>
    <col min="2" max="2" width="54" style="33" bestFit="1" customWidth="1"/>
    <col min="3" max="3" width="14.44140625" style="33" bestFit="1" customWidth="1"/>
    <col min="4" max="4" width="18.44140625" style="33" bestFit="1" customWidth="1"/>
  </cols>
  <sheetData>
    <row r="1" spans="1:23" ht="47.25" customHeight="1" x14ac:dyDescent="0.3">
      <c r="A1" s="238" t="s">
        <v>52</v>
      </c>
      <c r="B1" s="238"/>
      <c r="C1" s="238"/>
      <c r="D1" s="39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x14ac:dyDescent="0.3">
      <c r="A2" s="9" t="s">
        <v>53</v>
      </c>
      <c r="B2" s="10" t="s">
        <v>54</v>
      </c>
      <c r="C2" s="11" t="s">
        <v>8</v>
      </c>
      <c r="D2" s="11" t="s">
        <v>122</v>
      </c>
      <c r="E2" s="35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idden="1" x14ac:dyDescent="0.3">
      <c r="A3" s="22" t="s">
        <v>1081</v>
      </c>
      <c r="B3" s="22" t="s">
        <v>1082</v>
      </c>
      <c r="C3" s="22" t="s">
        <v>49</v>
      </c>
      <c r="D3" s="42">
        <v>35000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idden="1" x14ac:dyDescent="0.3">
      <c r="A4" s="22" t="s">
        <v>264</v>
      </c>
      <c r="B4" s="22" t="s">
        <v>265</v>
      </c>
      <c r="C4" s="22" t="s">
        <v>49</v>
      </c>
      <c r="D4" s="42">
        <v>35000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idden="1" x14ac:dyDescent="0.3">
      <c r="A5" s="40" t="s">
        <v>262</v>
      </c>
      <c r="B5" s="41" t="s">
        <v>263</v>
      </c>
      <c r="C5" s="40" t="s">
        <v>49</v>
      </c>
      <c r="D5" s="42">
        <v>35000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idden="1" x14ac:dyDescent="0.3">
      <c r="A6" s="22" t="s">
        <v>268</v>
      </c>
      <c r="B6" s="22" t="s">
        <v>269</v>
      </c>
      <c r="C6" s="22" t="s">
        <v>49</v>
      </c>
      <c r="D6" s="42">
        <v>35000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idden="1" x14ac:dyDescent="0.3">
      <c r="A7" s="22" t="s">
        <v>266</v>
      </c>
      <c r="B7" s="22" t="s">
        <v>267</v>
      </c>
      <c r="C7" s="22" t="s">
        <v>49</v>
      </c>
      <c r="D7" s="42">
        <v>35000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idden="1" x14ac:dyDescent="0.3">
      <c r="A8" s="22" t="s">
        <v>77</v>
      </c>
      <c r="B8" s="22" t="s">
        <v>78</v>
      </c>
      <c r="C8" s="22" t="s">
        <v>49</v>
      </c>
      <c r="D8" s="44">
        <v>35000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idden="1" x14ac:dyDescent="0.3">
      <c r="A9" s="22" t="s">
        <v>81</v>
      </c>
      <c r="B9" s="22" t="s">
        <v>82</v>
      </c>
      <c r="C9" s="22" t="s">
        <v>49</v>
      </c>
      <c r="D9" s="44">
        <v>35000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idden="1" x14ac:dyDescent="0.3">
      <c r="A10" s="22" t="s">
        <v>75</v>
      </c>
      <c r="B10" s="22" t="s">
        <v>76</v>
      </c>
      <c r="C10" s="22" t="s">
        <v>49</v>
      </c>
      <c r="D10" s="44">
        <v>35000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idden="1" x14ac:dyDescent="0.3">
      <c r="A11" s="22" t="s">
        <v>79</v>
      </c>
      <c r="B11" s="22" t="s">
        <v>80</v>
      </c>
      <c r="C11" s="22" t="s">
        <v>49</v>
      </c>
      <c r="D11" s="44">
        <v>35000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idden="1" x14ac:dyDescent="0.3">
      <c r="A12" s="22" t="s">
        <v>152</v>
      </c>
      <c r="B12" s="43" t="s">
        <v>417</v>
      </c>
      <c r="C12" s="22" t="s">
        <v>49</v>
      </c>
      <c r="D12" s="42">
        <v>35000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idden="1" x14ac:dyDescent="0.3">
      <c r="A13" s="22" t="s">
        <v>151</v>
      </c>
      <c r="B13" s="43" t="s">
        <v>416</v>
      </c>
      <c r="C13" s="22" t="s">
        <v>49</v>
      </c>
      <c r="D13" s="42">
        <v>35000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idden="1" x14ac:dyDescent="0.3">
      <c r="A14" s="22" t="s">
        <v>60</v>
      </c>
      <c r="B14" s="43" t="s">
        <v>415</v>
      </c>
      <c r="C14" s="22" t="s">
        <v>49</v>
      </c>
      <c r="D14" s="42">
        <v>35000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idden="1" x14ac:dyDescent="0.3">
      <c r="A15" s="22" t="s">
        <v>44</v>
      </c>
      <c r="B15" s="43" t="s">
        <v>420</v>
      </c>
      <c r="C15" s="22" t="s">
        <v>49</v>
      </c>
      <c r="D15" s="42">
        <v>35000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idden="1" x14ac:dyDescent="0.3">
      <c r="A16" s="22" t="s">
        <v>253</v>
      </c>
      <c r="B16" s="43" t="s">
        <v>414</v>
      </c>
      <c r="C16" s="22" t="s">
        <v>49</v>
      </c>
      <c r="D16" s="42">
        <v>35000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idden="1" x14ac:dyDescent="0.3">
      <c r="A17" s="22" t="s">
        <v>150</v>
      </c>
      <c r="B17" s="43" t="s">
        <v>413</v>
      </c>
      <c r="C17" s="22" t="s">
        <v>49</v>
      </c>
      <c r="D17" s="42">
        <v>35000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idden="1" x14ac:dyDescent="0.3">
      <c r="A18" s="22" t="s">
        <v>149</v>
      </c>
      <c r="B18" s="43" t="s">
        <v>412</v>
      </c>
      <c r="C18" s="22" t="s">
        <v>49</v>
      </c>
      <c r="D18" s="42">
        <v>35000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idden="1" x14ac:dyDescent="0.3">
      <c r="A19" s="22" t="s">
        <v>51</v>
      </c>
      <c r="B19" s="43" t="s">
        <v>419</v>
      </c>
      <c r="C19" s="22" t="s">
        <v>49</v>
      </c>
      <c r="D19" s="42">
        <v>35000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idden="1" x14ac:dyDescent="0.3">
      <c r="A20" s="22" t="s">
        <v>36</v>
      </c>
      <c r="B20" s="22" t="s">
        <v>418</v>
      </c>
      <c r="C20" s="22" t="s">
        <v>49</v>
      </c>
      <c r="D20" s="42">
        <v>35000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idden="1" x14ac:dyDescent="0.3">
      <c r="A21" s="22" t="s">
        <v>148</v>
      </c>
      <c r="B21" s="43" t="s">
        <v>411</v>
      </c>
      <c r="C21" s="22" t="s">
        <v>49</v>
      </c>
      <c r="D21" s="42">
        <v>35000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idden="1" x14ac:dyDescent="0.3">
      <c r="A22" s="22" t="s">
        <v>147</v>
      </c>
      <c r="B22" s="43" t="s">
        <v>410</v>
      </c>
      <c r="C22" s="22" t="s">
        <v>49</v>
      </c>
      <c r="D22" s="42">
        <v>35000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idden="1" x14ac:dyDescent="0.3">
      <c r="A23" s="22" t="s">
        <v>108</v>
      </c>
      <c r="B23" s="43" t="s">
        <v>409</v>
      </c>
      <c r="C23" s="22" t="s">
        <v>49</v>
      </c>
      <c r="D23" s="42">
        <v>35000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idden="1" x14ac:dyDescent="0.3">
      <c r="A24" s="22" t="s">
        <v>58</v>
      </c>
      <c r="B24" s="43" t="s">
        <v>350</v>
      </c>
      <c r="C24" s="22" t="s">
        <v>49</v>
      </c>
      <c r="D24" s="42">
        <v>35000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idden="1" x14ac:dyDescent="0.3">
      <c r="A25" s="22" t="s">
        <v>23</v>
      </c>
      <c r="B25" s="43" t="s">
        <v>348</v>
      </c>
      <c r="C25" s="22" t="s">
        <v>49</v>
      </c>
      <c r="D25" s="42">
        <v>35000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idden="1" x14ac:dyDescent="0.3">
      <c r="A26" s="22" t="s">
        <v>32</v>
      </c>
      <c r="B26" s="43" t="s">
        <v>349</v>
      </c>
      <c r="C26" s="22" t="s">
        <v>49</v>
      </c>
      <c r="D26" s="42">
        <v>35000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idden="1" x14ac:dyDescent="0.3">
      <c r="A27" s="22" t="s">
        <v>30</v>
      </c>
      <c r="B27" s="43" t="s">
        <v>347</v>
      </c>
      <c r="C27" s="22" t="s">
        <v>49</v>
      </c>
      <c r="D27" s="42">
        <v>35000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idden="1" x14ac:dyDescent="0.3">
      <c r="A28" s="22" t="s">
        <v>135</v>
      </c>
      <c r="B28" s="43" t="s">
        <v>352</v>
      </c>
      <c r="C28" s="22" t="s">
        <v>49</v>
      </c>
      <c r="D28" s="42">
        <v>35000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idden="1" x14ac:dyDescent="0.3">
      <c r="A29" s="22" t="s">
        <v>106</v>
      </c>
      <c r="B29" s="43" t="s">
        <v>351</v>
      </c>
      <c r="C29" s="22" t="s">
        <v>49</v>
      </c>
      <c r="D29" s="42">
        <v>35000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idden="1" x14ac:dyDescent="0.3">
      <c r="A30" s="22" t="s">
        <v>1557</v>
      </c>
      <c r="B30" s="22" t="s">
        <v>1558</v>
      </c>
      <c r="C30" s="22" t="s">
        <v>49</v>
      </c>
      <c r="D30" s="42">
        <v>35000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idden="1" x14ac:dyDescent="0.3">
      <c r="A31" s="22" t="s">
        <v>1541</v>
      </c>
      <c r="B31" s="22" t="s">
        <v>1542</v>
      </c>
      <c r="C31" s="22" t="s">
        <v>49</v>
      </c>
      <c r="D31" s="42">
        <v>35000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idden="1" x14ac:dyDescent="0.3">
      <c r="A32" s="22" t="s">
        <v>1555</v>
      </c>
      <c r="B32" s="22" t="s">
        <v>1556</v>
      </c>
      <c r="C32" s="22" t="s">
        <v>49</v>
      </c>
      <c r="D32" s="42">
        <v>35000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idden="1" x14ac:dyDescent="0.3">
      <c r="A33" s="22" t="s">
        <v>1539</v>
      </c>
      <c r="B33" s="22" t="s">
        <v>1540</v>
      </c>
      <c r="C33" s="22" t="s">
        <v>49</v>
      </c>
      <c r="D33" s="42">
        <v>35000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idden="1" x14ac:dyDescent="0.3">
      <c r="A34" s="22" t="s">
        <v>1553</v>
      </c>
      <c r="B34" s="22" t="s">
        <v>1554</v>
      </c>
      <c r="C34" s="22" t="s">
        <v>49</v>
      </c>
      <c r="D34" s="42">
        <v>35000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idden="1" x14ac:dyDescent="0.3">
      <c r="A35" s="22" t="s">
        <v>1537</v>
      </c>
      <c r="B35" s="22" t="s">
        <v>1538</v>
      </c>
      <c r="C35" s="22" t="s">
        <v>49</v>
      </c>
      <c r="D35" s="42">
        <v>35000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idden="1" x14ac:dyDescent="0.3">
      <c r="A36" s="22" t="s">
        <v>1551</v>
      </c>
      <c r="B36" s="22" t="s">
        <v>1552</v>
      </c>
      <c r="C36" s="22" t="s">
        <v>49</v>
      </c>
      <c r="D36" s="42">
        <v>35000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idden="1" x14ac:dyDescent="0.3">
      <c r="A37" s="22" t="s">
        <v>1535</v>
      </c>
      <c r="B37" s="22" t="s">
        <v>1536</v>
      </c>
      <c r="C37" s="22" t="s">
        <v>49</v>
      </c>
      <c r="D37" s="42">
        <v>35000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idden="1" x14ac:dyDescent="0.3">
      <c r="A38" s="22" t="s">
        <v>1549</v>
      </c>
      <c r="B38" s="22" t="s">
        <v>1550</v>
      </c>
      <c r="C38" s="52" t="s">
        <v>49</v>
      </c>
      <c r="D38" s="42">
        <v>35000</v>
      </c>
      <c r="E38" s="53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idden="1" x14ac:dyDescent="0.3">
      <c r="A39" s="22" t="s">
        <v>1533</v>
      </c>
      <c r="B39" s="22" t="s">
        <v>1534</v>
      </c>
      <c r="C39" s="22" t="s">
        <v>49</v>
      </c>
      <c r="D39" s="42">
        <v>35000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idden="1" x14ac:dyDescent="0.3">
      <c r="A40" s="22" t="s">
        <v>1547</v>
      </c>
      <c r="B40" s="22" t="s">
        <v>1548</v>
      </c>
      <c r="C40" s="22" t="s">
        <v>49</v>
      </c>
      <c r="D40" s="42">
        <v>35000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idden="1" x14ac:dyDescent="0.3">
      <c r="A41" s="22" t="s">
        <v>1531</v>
      </c>
      <c r="B41" s="22" t="s">
        <v>1532</v>
      </c>
      <c r="C41" s="22" t="s">
        <v>49</v>
      </c>
      <c r="D41" s="42">
        <v>35000</v>
      </c>
    </row>
    <row r="42" spans="1:23" hidden="1" x14ac:dyDescent="0.3">
      <c r="A42" s="22" t="s">
        <v>1545</v>
      </c>
      <c r="B42" s="22" t="s">
        <v>1546</v>
      </c>
      <c r="C42" s="22" t="s">
        <v>49</v>
      </c>
      <c r="D42" s="42">
        <v>35000</v>
      </c>
    </row>
    <row r="43" spans="1:23" hidden="1" x14ac:dyDescent="0.3">
      <c r="A43" s="22" t="s">
        <v>1529</v>
      </c>
      <c r="B43" s="22" t="s">
        <v>1530</v>
      </c>
      <c r="C43" s="22" t="s">
        <v>49</v>
      </c>
      <c r="D43" s="42">
        <v>35000</v>
      </c>
    </row>
    <row r="44" spans="1:23" hidden="1" x14ac:dyDescent="0.3">
      <c r="A44" s="22" t="s">
        <v>1543</v>
      </c>
      <c r="B44" s="22" t="s">
        <v>1544</v>
      </c>
      <c r="C44" s="22" t="s">
        <v>49</v>
      </c>
      <c r="D44" s="42">
        <v>35000</v>
      </c>
    </row>
    <row r="45" spans="1:23" hidden="1" x14ac:dyDescent="0.3">
      <c r="A45" s="22" t="s">
        <v>1527</v>
      </c>
      <c r="B45" s="22" t="s">
        <v>1528</v>
      </c>
      <c r="C45" s="22" t="s">
        <v>49</v>
      </c>
      <c r="D45" s="42">
        <v>35000</v>
      </c>
    </row>
    <row r="46" spans="1:23" x14ac:dyDescent="0.3">
      <c r="A46" s="22" t="s">
        <v>1525</v>
      </c>
      <c r="B46" s="22" t="s">
        <v>1526</v>
      </c>
      <c r="C46" s="22" t="s">
        <v>49</v>
      </c>
      <c r="D46" s="42">
        <v>35000</v>
      </c>
    </row>
    <row r="47" spans="1:23" x14ac:dyDescent="0.3">
      <c r="A47" s="22" t="s">
        <v>1509</v>
      </c>
      <c r="B47" s="22" t="s">
        <v>1510</v>
      </c>
      <c r="C47" s="22" t="s">
        <v>49</v>
      </c>
      <c r="D47" s="42">
        <v>35000</v>
      </c>
    </row>
    <row r="48" spans="1:23" x14ac:dyDescent="0.3">
      <c r="A48" s="207" t="s">
        <v>1735</v>
      </c>
      <c r="B48" s="207" t="s">
        <v>1736</v>
      </c>
      <c r="C48" s="207" t="s">
        <v>49</v>
      </c>
      <c r="D48" s="208">
        <v>35000</v>
      </c>
    </row>
    <row r="49" spans="1:4" x14ac:dyDescent="0.3">
      <c r="A49" s="22" t="s">
        <v>1523</v>
      </c>
      <c r="B49" s="22" t="s">
        <v>1524</v>
      </c>
      <c r="C49" s="22" t="s">
        <v>49</v>
      </c>
      <c r="D49" s="42">
        <v>35000</v>
      </c>
    </row>
    <row r="50" spans="1:4" x14ac:dyDescent="0.3">
      <c r="A50" s="22" t="s">
        <v>1507</v>
      </c>
      <c r="B50" s="22" t="s">
        <v>1508</v>
      </c>
      <c r="C50" s="22" t="s">
        <v>49</v>
      </c>
      <c r="D50" s="42">
        <v>35000</v>
      </c>
    </row>
    <row r="51" spans="1:4" x14ac:dyDescent="0.3">
      <c r="A51" s="22" t="s">
        <v>1521</v>
      </c>
      <c r="B51" s="22" t="s">
        <v>1522</v>
      </c>
      <c r="C51" s="22" t="s">
        <v>49</v>
      </c>
      <c r="D51" s="42">
        <v>35000</v>
      </c>
    </row>
    <row r="52" spans="1:4" x14ac:dyDescent="0.3">
      <c r="A52" s="22" t="s">
        <v>1505</v>
      </c>
      <c r="B52" s="22" t="s">
        <v>1506</v>
      </c>
      <c r="C52" s="22" t="s">
        <v>49</v>
      </c>
      <c r="D52" s="42">
        <v>35000</v>
      </c>
    </row>
    <row r="53" spans="1:4" x14ac:dyDescent="0.3">
      <c r="A53" s="22" t="s">
        <v>1519</v>
      </c>
      <c r="B53" s="22" t="s">
        <v>1520</v>
      </c>
      <c r="C53" s="22" t="s">
        <v>49</v>
      </c>
      <c r="D53" s="42">
        <v>35000</v>
      </c>
    </row>
    <row r="54" spans="1:4" x14ac:dyDescent="0.3">
      <c r="A54" s="22" t="s">
        <v>1503</v>
      </c>
      <c r="B54" s="22" t="s">
        <v>1504</v>
      </c>
      <c r="C54" s="22" t="s">
        <v>49</v>
      </c>
      <c r="D54" s="42">
        <v>35000</v>
      </c>
    </row>
    <row r="55" spans="1:4" x14ac:dyDescent="0.3">
      <c r="A55" s="22" t="s">
        <v>1517</v>
      </c>
      <c r="B55" s="22" t="s">
        <v>1518</v>
      </c>
      <c r="C55" s="22" t="s">
        <v>49</v>
      </c>
      <c r="D55" s="42">
        <v>35000</v>
      </c>
    </row>
    <row r="56" spans="1:4" x14ac:dyDescent="0.3">
      <c r="A56" s="22" t="s">
        <v>1501</v>
      </c>
      <c r="B56" s="22" t="s">
        <v>1502</v>
      </c>
      <c r="C56" s="22" t="s">
        <v>49</v>
      </c>
      <c r="D56" s="42">
        <v>35000</v>
      </c>
    </row>
    <row r="57" spans="1:4" x14ac:dyDescent="0.3">
      <c r="A57" s="22" t="s">
        <v>1515</v>
      </c>
      <c r="B57" s="22" t="s">
        <v>1516</v>
      </c>
      <c r="C57" s="22" t="s">
        <v>49</v>
      </c>
      <c r="D57" s="42">
        <v>35000</v>
      </c>
    </row>
    <row r="58" spans="1:4" x14ac:dyDescent="0.3">
      <c r="A58" s="22" t="s">
        <v>1499</v>
      </c>
      <c r="B58" s="22" t="s">
        <v>1500</v>
      </c>
      <c r="C58" s="22" t="s">
        <v>49</v>
      </c>
      <c r="D58" s="42">
        <v>35000</v>
      </c>
    </row>
    <row r="59" spans="1:4" x14ac:dyDescent="0.3">
      <c r="A59" s="22" t="s">
        <v>1513</v>
      </c>
      <c r="B59" s="22" t="s">
        <v>1514</v>
      </c>
      <c r="C59" s="22" t="s">
        <v>49</v>
      </c>
      <c r="D59" s="42">
        <v>35000</v>
      </c>
    </row>
    <row r="60" spans="1:4" x14ac:dyDescent="0.3">
      <c r="A60" s="22" t="s">
        <v>1497</v>
      </c>
      <c r="B60" s="22" t="s">
        <v>1498</v>
      </c>
      <c r="C60" s="22" t="s">
        <v>49</v>
      </c>
      <c r="D60" s="42">
        <v>35000</v>
      </c>
    </row>
    <row r="61" spans="1:4" x14ac:dyDescent="0.3">
      <c r="A61" s="22" t="s">
        <v>1511</v>
      </c>
      <c r="B61" s="22" t="s">
        <v>1512</v>
      </c>
      <c r="C61" s="22" t="s">
        <v>49</v>
      </c>
      <c r="D61" s="42">
        <v>35000</v>
      </c>
    </row>
    <row r="62" spans="1:4" x14ac:dyDescent="0.3">
      <c r="A62" s="22" t="s">
        <v>1495</v>
      </c>
      <c r="B62" s="22" t="s">
        <v>1496</v>
      </c>
      <c r="C62" s="22" t="s">
        <v>49</v>
      </c>
      <c r="D62" s="42">
        <v>35000</v>
      </c>
    </row>
    <row r="63" spans="1:4" hidden="1" x14ac:dyDescent="0.3">
      <c r="A63" s="22" t="s">
        <v>1493</v>
      </c>
      <c r="B63" s="22" t="s">
        <v>1494</v>
      </c>
      <c r="C63" s="22" t="s">
        <v>49</v>
      </c>
      <c r="D63" s="42">
        <v>35000</v>
      </c>
    </row>
    <row r="64" spans="1:4" hidden="1" x14ac:dyDescent="0.3">
      <c r="A64" s="22" t="s">
        <v>1475</v>
      </c>
      <c r="B64" s="22" t="s">
        <v>1476</v>
      </c>
      <c r="C64" s="52" t="s">
        <v>49</v>
      </c>
      <c r="D64" s="42">
        <v>35000</v>
      </c>
    </row>
    <row r="65" spans="1:23" hidden="1" x14ac:dyDescent="0.3">
      <c r="A65" s="22" t="s">
        <v>1491</v>
      </c>
      <c r="B65" s="22" t="s">
        <v>1492</v>
      </c>
      <c r="C65" s="22" t="s">
        <v>49</v>
      </c>
      <c r="D65" s="42">
        <v>35000</v>
      </c>
    </row>
    <row r="66" spans="1:23" hidden="1" x14ac:dyDescent="0.3">
      <c r="A66" s="22" t="s">
        <v>1473</v>
      </c>
      <c r="B66" s="22" t="s">
        <v>1474</v>
      </c>
      <c r="C66" s="22" t="s">
        <v>49</v>
      </c>
      <c r="D66" s="42">
        <v>35000</v>
      </c>
    </row>
    <row r="67" spans="1:23" hidden="1" x14ac:dyDescent="0.3">
      <c r="A67" s="22" t="s">
        <v>1489</v>
      </c>
      <c r="B67" s="22" t="s">
        <v>1490</v>
      </c>
      <c r="C67" s="22" t="s">
        <v>49</v>
      </c>
      <c r="D67" s="42">
        <v>35000</v>
      </c>
    </row>
    <row r="68" spans="1:23" ht="15.75" hidden="1" customHeight="1" x14ac:dyDescent="0.3">
      <c r="A68" s="22" t="s">
        <v>1471</v>
      </c>
      <c r="B68" s="22" t="s">
        <v>1472</v>
      </c>
      <c r="C68" s="22" t="s">
        <v>49</v>
      </c>
      <c r="D68" s="42">
        <v>35000</v>
      </c>
    </row>
    <row r="69" spans="1:23" hidden="1" x14ac:dyDescent="0.3">
      <c r="A69" s="22" t="s">
        <v>1487</v>
      </c>
      <c r="B69" s="22" t="s">
        <v>1488</v>
      </c>
      <c r="C69" s="22" t="s">
        <v>49</v>
      </c>
      <c r="D69" s="42">
        <v>35000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idden="1" x14ac:dyDescent="0.3">
      <c r="A70" s="22" t="s">
        <v>1469</v>
      </c>
      <c r="B70" s="22" t="s">
        <v>1470</v>
      </c>
      <c r="C70" s="22" t="s">
        <v>49</v>
      </c>
      <c r="D70" s="42">
        <v>35000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idden="1" x14ac:dyDescent="0.3">
      <c r="A71" s="22" t="s">
        <v>1485</v>
      </c>
      <c r="B71" s="22" t="s">
        <v>1486</v>
      </c>
      <c r="C71" s="63" t="s">
        <v>49</v>
      </c>
      <c r="D71" s="45">
        <v>35000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idden="1" x14ac:dyDescent="0.3">
      <c r="A72" s="22" t="s">
        <v>1467</v>
      </c>
      <c r="B72" s="52" t="s">
        <v>1468</v>
      </c>
      <c r="C72" s="22" t="s">
        <v>49</v>
      </c>
      <c r="D72" s="42">
        <v>35000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idden="1" x14ac:dyDescent="0.3">
      <c r="A73" s="22" t="s">
        <v>1483</v>
      </c>
      <c r="B73" s="52" t="s">
        <v>1484</v>
      </c>
      <c r="C73" s="22" t="s">
        <v>49</v>
      </c>
      <c r="D73" s="42">
        <v>35000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idden="1" x14ac:dyDescent="0.3">
      <c r="A74" s="22" t="s">
        <v>1465</v>
      </c>
      <c r="B74" s="22" t="s">
        <v>1466</v>
      </c>
      <c r="C74" s="64" t="s">
        <v>49</v>
      </c>
      <c r="D74" s="46">
        <v>35000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idden="1" x14ac:dyDescent="0.3">
      <c r="A75" s="22" t="s">
        <v>1481</v>
      </c>
      <c r="B75" s="22" t="s">
        <v>1482</v>
      </c>
      <c r="C75" s="22" t="s">
        <v>49</v>
      </c>
      <c r="D75" s="42">
        <v>35000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idden="1" x14ac:dyDescent="0.3">
      <c r="A76" s="22" t="s">
        <v>1463</v>
      </c>
      <c r="B76" s="22" t="s">
        <v>1464</v>
      </c>
      <c r="C76" s="52" t="s">
        <v>49</v>
      </c>
      <c r="D76" s="42">
        <v>35000</v>
      </c>
    </row>
    <row r="77" spans="1:23" hidden="1" x14ac:dyDescent="0.3">
      <c r="A77" s="22" t="s">
        <v>1479</v>
      </c>
      <c r="B77" s="22" t="s">
        <v>1480</v>
      </c>
      <c r="C77" s="52" t="s">
        <v>49</v>
      </c>
      <c r="D77" s="42">
        <v>35000</v>
      </c>
    </row>
    <row r="78" spans="1:23" hidden="1" x14ac:dyDescent="0.3">
      <c r="A78" s="22" t="s">
        <v>1461</v>
      </c>
      <c r="B78" s="22" t="s">
        <v>1462</v>
      </c>
      <c r="C78" s="52" t="s">
        <v>49</v>
      </c>
      <c r="D78" s="42">
        <v>35000</v>
      </c>
    </row>
    <row r="79" spans="1:23" hidden="1" x14ac:dyDescent="0.3">
      <c r="A79" s="22" t="s">
        <v>1477</v>
      </c>
      <c r="B79" s="22" t="s">
        <v>1478</v>
      </c>
      <c r="C79" s="52" t="s">
        <v>49</v>
      </c>
      <c r="D79" s="42">
        <v>35000</v>
      </c>
    </row>
    <row r="80" spans="1:23" hidden="1" x14ac:dyDescent="0.3">
      <c r="A80" s="22" t="s">
        <v>1459</v>
      </c>
      <c r="B80" s="22" t="s">
        <v>1460</v>
      </c>
      <c r="C80" s="52" t="s">
        <v>49</v>
      </c>
      <c r="D80" s="42">
        <v>35000</v>
      </c>
    </row>
    <row r="81" spans="1:23" hidden="1" x14ac:dyDescent="0.3">
      <c r="A81" s="22" t="s">
        <v>59</v>
      </c>
      <c r="B81" s="43" t="s">
        <v>424</v>
      </c>
      <c r="C81" s="22" t="s">
        <v>49</v>
      </c>
      <c r="D81" s="42">
        <v>35000</v>
      </c>
    </row>
    <row r="82" spans="1:23" hidden="1" x14ac:dyDescent="0.3">
      <c r="A82" s="22" t="s">
        <v>26</v>
      </c>
      <c r="B82" s="43" t="s">
        <v>423</v>
      </c>
      <c r="C82" s="22" t="s">
        <v>49</v>
      </c>
      <c r="D82" s="42">
        <v>35000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idden="1" x14ac:dyDescent="0.3">
      <c r="A83" s="22" t="s">
        <v>142</v>
      </c>
      <c r="B83" s="43" t="s">
        <v>421</v>
      </c>
      <c r="C83" s="22" t="s">
        <v>49</v>
      </c>
      <c r="D83" s="42">
        <v>35000</v>
      </c>
    </row>
    <row r="84" spans="1:23" hidden="1" x14ac:dyDescent="0.3">
      <c r="A84" s="22" t="s">
        <v>141</v>
      </c>
      <c r="B84" s="43" t="s">
        <v>422</v>
      </c>
      <c r="C84" s="22" t="s">
        <v>49</v>
      </c>
      <c r="D84" s="42">
        <v>35000</v>
      </c>
    </row>
    <row r="85" spans="1:23" hidden="1" x14ac:dyDescent="0.3">
      <c r="A85" s="22" t="s">
        <v>29</v>
      </c>
      <c r="B85" s="43" t="s">
        <v>1737</v>
      </c>
      <c r="C85" s="52" t="s">
        <v>49</v>
      </c>
      <c r="D85" s="44">
        <v>35000</v>
      </c>
    </row>
    <row r="86" spans="1:23" hidden="1" x14ac:dyDescent="0.3">
      <c r="A86" s="209" t="s">
        <v>1752</v>
      </c>
      <c r="B86" s="209" t="s">
        <v>1751</v>
      </c>
      <c r="C86" s="210" t="s">
        <v>49</v>
      </c>
      <c r="D86" s="211">
        <v>35000</v>
      </c>
    </row>
    <row r="87" spans="1:23" hidden="1" x14ac:dyDescent="0.3">
      <c r="A87" s="209" t="s">
        <v>1747</v>
      </c>
      <c r="B87" s="209" t="s">
        <v>1743</v>
      </c>
      <c r="C87" s="210" t="s">
        <v>49</v>
      </c>
      <c r="D87" s="211">
        <v>35000</v>
      </c>
    </row>
    <row r="88" spans="1:23" hidden="1" x14ac:dyDescent="0.3">
      <c r="A88" s="22" t="s">
        <v>146</v>
      </c>
      <c r="B88" s="43" t="s">
        <v>365</v>
      </c>
      <c r="C88" s="52" t="s">
        <v>49</v>
      </c>
      <c r="D88" s="42">
        <v>35000</v>
      </c>
    </row>
    <row r="89" spans="1:23" hidden="1" x14ac:dyDescent="0.3">
      <c r="A89" s="22" t="s">
        <v>145</v>
      </c>
      <c r="B89" s="43" t="s">
        <v>364</v>
      </c>
      <c r="C89" s="52" t="s">
        <v>49</v>
      </c>
      <c r="D89" s="42">
        <v>35000</v>
      </c>
    </row>
    <row r="90" spans="1:23" hidden="1" x14ac:dyDescent="0.3">
      <c r="A90" s="22" t="s">
        <v>28</v>
      </c>
      <c r="B90" s="43" t="s">
        <v>360</v>
      </c>
      <c r="C90" s="52" t="s">
        <v>49</v>
      </c>
      <c r="D90" s="42">
        <v>35000</v>
      </c>
    </row>
    <row r="91" spans="1:23" hidden="1" x14ac:dyDescent="0.3">
      <c r="A91" s="22" t="s">
        <v>33</v>
      </c>
      <c r="B91" s="43" t="s">
        <v>381</v>
      </c>
      <c r="C91" s="52" t="s">
        <v>49</v>
      </c>
      <c r="D91" s="42">
        <v>35000</v>
      </c>
    </row>
    <row r="92" spans="1:23" hidden="1" x14ac:dyDescent="0.3">
      <c r="A92" s="22" t="s">
        <v>184</v>
      </c>
      <c r="B92" s="22" t="s">
        <v>377</v>
      </c>
      <c r="C92" s="52" t="s">
        <v>49</v>
      </c>
      <c r="D92" s="42">
        <v>35000</v>
      </c>
    </row>
    <row r="93" spans="1:23" hidden="1" x14ac:dyDescent="0.3">
      <c r="A93" s="22" t="s">
        <v>144</v>
      </c>
      <c r="B93" s="43" t="s">
        <v>363</v>
      </c>
      <c r="C93" s="52" t="s">
        <v>49</v>
      </c>
      <c r="D93" s="42">
        <v>35000</v>
      </c>
    </row>
    <row r="94" spans="1:23" hidden="1" x14ac:dyDescent="0.3">
      <c r="A94" s="22" t="s">
        <v>258</v>
      </c>
      <c r="B94" s="22" t="s">
        <v>380</v>
      </c>
      <c r="C94" s="52" t="s">
        <v>49</v>
      </c>
      <c r="D94" s="42">
        <v>35000</v>
      </c>
    </row>
    <row r="95" spans="1:23" hidden="1" x14ac:dyDescent="0.3">
      <c r="A95" s="22" t="s">
        <v>143</v>
      </c>
      <c r="B95" s="43" t="s">
        <v>362</v>
      </c>
      <c r="C95" s="52" t="s">
        <v>49</v>
      </c>
      <c r="D95" s="42">
        <v>35000</v>
      </c>
    </row>
    <row r="96" spans="1:23" hidden="1" x14ac:dyDescent="0.3">
      <c r="A96" s="22" t="s">
        <v>285</v>
      </c>
      <c r="B96" s="43" t="s">
        <v>359</v>
      </c>
      <c r="C96" s="52" t="s">
        <v>49</v>
      </c>
      <c r="D96" s="42">
        <v>35000</v>
      </c>
    </row>
    <row r="97" spans="1:23" hidden="1" x14ac:dyDescent="0.3">
      <c r="A97" s="22" t="s">
        <v>107</v>
      </c>
      <c r="B97" s="43" t="s">
        <v>361</v>
      </c>
      <c r="C97" s="52" t="s">
        <v>49</v>
      </c>
      <c r="D97" s="42">
        <v>35000</v>
      </c>
    </row>
    <row r="98" spans="1:23" hidden="1" x14ac:dyDescent="0.3">
      <c r="A98" s="22" t="s">
        <v>1581</v>
      </c>
      <c r="B98" s="22" t="s">
        <v>1582</v>
      </c>
      <c r="C98" s="52" t="s">
        <v>49</v>
      </c>
      <c r="D98" s="42">
        <v>35000</v>
      </c>
    </row>
    <row r="99" spans="1:23" hidden="1" x14ac:dyDescent="0.3">
      <c r="A99" s="22" t="s">
        <v>1565</v>
      </c>
      <c r="B99" s="22" t="s">
        <v>1566</v>
      </c>
      <c r="C99" s="22" t="s">
        <v>49</v>
      </c>
      <c r="D99" s="42">
        <v>35000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idden="1" x14ac:dyDescent="0.3">
      <c r="A100" s="22" t="s">
        <v>1591</v>
      </c>
      <c r="B100" s="22" t="s">
        <v>1592</v>
      </c>
      <c r="C100" s="22" t="s">
        <v>49</v>
      </c>
      <c r="D100" s="42">
        <v>35000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idden="1" x14ac:dyDescent="0.3">
      <c r="A101" s="22" t="s">
        <v>1573</v>
      </c>
      <c r="B101" s="22" t="s">
        <v>1574</v>
      </c>
      <c r="C101" s="22" t="s">
        <v>49</v>
      </c>
      <c r="D101" s="42">
        <v>35000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idden="1" x14ac:dyDescent="0.3">
      <c r="A102" s="22" t="s">
        <v>1589</v>
      </c>
      <c r="B102" s="22" t="s">
        <v>1590</v>
      </c>
      <c r="C102" s="63" t="s">
        <v>49</v>
      </c>
      <c r="D102" s="45">
        <v>35000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idden="1" x14ac:dyDescent="0.3">
      <c r="A103" s="22" t="s">
        <v>1571</v>
      </c>
      <c r="B103" s="22" t="s">
        <v>1572</v>
      </c>
      <c r="C103" s="22" t="s">
        <v>49</v>
      </c>
      <c r="D103" s="42">
        <v>35000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idden="1" x14ac:dyDescent="0.3">
      <c r="A104" s="22" t="s">
        <v>1587</v>
      </c>
      <c r="B104" s="22" t="s">
        <v>1588</v>
      </c>
      <c r="C104" s="22" t="s">
        <v>49</v>
      </c>
      <c r="D104" s="42">
        <v>35000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idden="1" x14ac:dyDescent="0.3">
      <c r="A105" s="22" t="s">
        <v>1585</v>
      </c>
      <c r="B105" s="22" t="s">
        <v>1586</v>
      </c>
      <c r="C105" s="22" t="s">
        <v>49</v>
      </c>
      <c r="D105" s="42">
        <v>35000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idden="1" x14ac:dyDescent="0.3">
      <c r="A106" s="22" t="s">
        <v>1569</v>
      </c>
      <c r="B106" s="22" t="s">
        <v>1570</v>
      </c>
      <c r="C106" s="22" t="s">
        <v>49</v>
      </c>
      <c r="D106" s="42">
        <v>35000</v>
      </c>
    </row>
    <row r="107" spans="1:23" hidden="1" x14ac:dyDescent="0.3">
      <c r="A107" s="22" t="s">
        <v>1583</v>
      </c>
      <c r="B107" s="22" t="s">
        <v>1584</v>
      </c>
      <c r="C107" s="22" t="s">
        <v>49</v>
      </c>
      <c r="D107" s="42">
        <v>35000</v>
      </c>
    </row>
    <row r="108" spans="1:23" hidden="1" x14ac:dyDescent="0.3">
      <c r="A108" s="22" t="s">
        <v>1567</v>
      </c>
      <c r="B108" s="22" t="s">
        <v>1568</v>
      </c>
      <c r="C108" s="22" t="s">
        <v>49</v>
      </c>
      <c r="D108" s="42">
        <v>35000</v>
      </c>
    </row>
    <row r="109" spans="1:23" hidden="1" x14ac:dyDescent="0.3">
      <c r="A109" s="22" t="s">
        <v>1579</v>
      </c>
      <c r="B109" s="22" t="s">
        <v>1580</v>
      </c>
      <c r="C109" s="22" t="s">
        <v>49</v>
      </c>
      <c r="D109" s="42">
        <v>35000</v>
      </c>
    </row>
    <row r="110" spans="1:23" hidden="1" x14ac:dyDescent="0.3">
      <c r="A110" s="22" t="s">
        <v>1563</v>
      </c>
      <c r="B110" s="22" t="s">
        <v>1564</v>
      </c>
      <c r="C110" s="22" t="s">
        <v>49</v>
      </c>
      <c r="D110" s="42">
        <v>35000</v>
      </c>
    </row>
    <row r="111" spans="1:23" hidden="1" x14ac:dyDescent="0.3">
      <c r="A111" s="22" t="s">
        <v>1577</v>
      </c>
      <c r="B111" s="22" t="s">
        <v>1578</v>
      </c>
      <c r="C111" s="22" t="s">
        <v>49</v>
      </c>
      <c r="D111" s="42">
        <v>35000</v>
      </c>
    </row>
    <row r="112" spans="1:23" hidden="1" x14ac:dyDescent="0.3">
      <c r="A112" s="22" t="s">
        <v>1561</v>
      </c>
      <c r="B112" s="22" t="s">
        <v>1562</v>
      </c>
      <c r="C112" s="22" t="s">
        <v>49</v>
      </c>
      <c r="D112" s="42">
        <v>35000</v>
      </c>
    </row>
    <row r="113" spans="1:5" hidden="1" x14ac:dyDescent="0.3">
      <c r="A113" s="22" t="s">
        <v>1575</v>
      </c>
      <c r="B113" s="22" t="s">
        <v>1576</v>
      </c>
      <c r="C113" s="22" t="s">
        <v>49</v>
      </c>
      <c r="D113" s="42">
        <v>35000</v>
      </c>
    </row>
    <row r="114" spans="1:5" hidden="1" x14ac:dyDescent="0.3">
      <c r="A114" s="22" t="s">
        <v>1559</v>
      </c>
      <c r="B114" s="22" t="s">
        <v>1560</v>
      </c>
      <c r="C114" s="22" t="s">
        <v>49</v>
      </c>
      <c r="D114" s="42">
        <v>35000</v>
      </c>
    </row>
    <row r="115" spans="1:5" hidden="1" x14ac:dyDescent="0.3">
      <c r="A115" s="22" t="s">
        <v>115</v>
      </c>
      <c r="B115" s="43" t="s">
        <v>1742</v>
      </c>
      <c r="C115" s="22" t="s">
        <v>49</v>
      </c>
      <c r="D115" s="44">
        <v>35000</v>
      </c>
    </row>
    <row r="116" spans="1:5" x14ac:dyDescent="0.3">
      <c r="A116" s="22" t="s">
        <v>300</v>
      </c>
      <c r="B116" s="43" t="s">
        <v>1741</v>
      </c>
      <c r="C116" s="22" t="s">
        <v>49</v>
      </c>
      <c r="D116" s="42">
        <v>35000</v>
      </c>
    </row>
    <row r="117" spans="1:5" hidden="1" x14ac:dyDescent="0.3">
      <c r="A117" s="22" t="s">
        <v>158</v>
      </c>
      <c r="B117" s="43" t="s">
        <v>376</v>
      </c>
      <c r="C117" s="22" t="s">
        <v>49</v>
      </c>
      <c r="D117" s="44">
        <v>35000</v>
      </c>
    </row>
    <row r="118" spans="1:5" hidden="1" x14ac:dyDescent="0.3">
      <c r="A118" s="22" t="s">
        <v>157</v>
      </c>
      <c r="B118" s="43" t="s">
        <v>375</v>
      </c>
      <c r="C118" s="22" t="s">
        <v>49</v>
      </c>
      <c r="D118" s="44">
        <v>35000</v>
      </c>
    </row>
    <row r="119" spans="1:5" hidden="1" x14ac:dyDescent="0.3">
      <c r="A119" s="22" t="s">
        <v>113</v>
      </c>
      <c r="B119" s="43" t="s">
        <v>369</v>
      </c>
      <c r="C119" s="52" t="s">
        <v>49</v>
      </c>
      <c r="D119" s="44">
        <v>35000</v>
      </c>
    </row>
    <row r="120" spans="1:5" hidden="1" x14ac:dyDescent="0.3">
      <c r="A120" s="22" t="s">
        <v>111</v>
      </c>
      <c r="B120" s="43" t="s">
        <v>367</v>
      </c>
      <c r="C120" s="52" t="s">
        <v>49</v>
      </c>
      <c r="D120" s="42">
        <v>35000</v>
      </c>
    </row>
    <row r="121" spans="1:5" hidden="1" x14ac:dyDescent="0.3">
      <c r="A121" s="22" t="s">
        <v>257</v>
      </c>
      <c r="B121" s="22" t="s">
        <v>379</v>
      </c>
      <c r="C121" s="52" t="s">
        <v>49</v>
      </c>
      <c r="D121" s="42">
        <v>35000</v>
      </c>
    </row>
    <row r="122" spans="1:5" hidden="1" x14ac:dyDescent="0.3">
      <c r="A122" s="22" t="s">
        <v>156</v>
      </c>
      <c r="B122" s="43" t="s">
        <v>374</v>
      </c>
      <c r="C122" s="52" t="s">
        <v>49</v>
      </c>
      <c r="D122" s="44">
        <v>35000</v>
      </c>
    </row>
    <row r="123" spans="1:5" hidden="1" x14ac:dyDescent="0.3">
      <c r="A123" s="22" t="s">
        <v>182</v>
      </c>
      <c r="B123" s="22" t="s">
        <v>378</v>
      </c>
      <c r="C123" s="52" t="s">
        <v>49</v>
      </c>
      <c r="D123" s="42">
        <v>35000</v>
      </c>
    </row>
    <row r="124" spans="1:5" hidden="1" x14ac:dyDescent="0.3">
      <c r="A124" s="22" t="s">
        <v>155</v>
      </c>
      <c r="B124" s="43" t="s">
        <v>373</v>
      </c>
      <c r="C124" s="52" t="s">
        <v>49</v>
      </c>
      <c r="D124" s="44">
        <v>35000</v>
      </c>
    </row>
    <row r="125" spans="1:5" hidden="1" x14ac:dyDescent="0.3">
      <c r="A125" s="22" t="s">
        <v>112</v>
      </c>
      <c r="B125" s="43" t="s">
        <v>368</v>
      </c>
      <c r="C125" s="52" t="s">
        <v>49</v>
      </c>
      <c r="D125" s="44">
        <v>35000</v>
      </c>
    </row>
    <row r="126" spans="1:5" hidden="1" x14ac:dyDescent="0.3">
      <c r="A126" s="22" t="s">
        <v>110</v>
      </c>
      <c r="B126" s="43" t="s">
        <v>366</v>
      </c>
      <c r="C126" s="52" t="s">
        <v>49</v>
      </c>
      <c r="D126" s="42">
        <v>35000</v>
      </c>
    </row>
    <row r="127" spans="1:5" hidden="1" x14ac:dyDescent="0.3">
      <c r="A127" s="22" t="s">
        <v>154</v>
      </c>
      <c r="B127" s="43" t="s">
        <v>372</v>
      </c>
      <c r="C127" s="52" t="s">
        <v>49</v>
      </c>
      <c r="D127" s="44">
        <v>35000</v>
      </c>
    </row>
    <row r="128" spans="1:5" hidden="1" x14ac:dyDescent="0.3">
      <c r="A128" s="22" t="s">
        <v>153</v>
      </c>
      <c r="B128" s="43" t="s">
        <v>371</v>
      </c>
      <c r="C128" s="52" t="s">
        <v>49</v>
      </c>
      <c r="D128" s="44">
        <v>35000</v>
      </c>
      <c r="E128" s="53"/>
    </row>
    <row r="129" spans="1:4" hidden="1" x14ac:dyDescent="0.3">
      <c r="A129" s="22" t="s">
        <v>114</v>
      </c>
      <c r="B129" s="43" t="s">
        <v>370</v>
      </c>
      <c r="C129" s="52" t="s">
        <v>49</v>
      </c>
      <c r="D129" s="44">
        <v>35000</v>
      </c>
    </row>
    <row r="130" spans="1:4" hidden="1" x14ac:dyDescent="0.3">
      <c r="A130" s="22" t="s">
        <v>292</v>
      </c>
      <c r="B130" s="43" t="s">
        <v>385</v>
      </c>
      <c r="C130" s="52" t="s">
        <v>49</v>
      </c>
      <c r="D130" s="42">
        <v>35000</v>
      </c>
    </row>
    <row r="131" spans="1:4" hidden="1" x14ac:dyDescent="0.3">
      <c r="A131" s="22" t="s">
        <v>291</v>
      </c>
      <c r="B131" s="43" t="s">
        <v>384</v>
      </c>
      <c r="C131" s="52" t="s">
        <v>49</v>
      </c>
      <c r="D131" s="42">
        <v>35000</v>
      </c>
    </row>
    <row r="132" spans="1:4" hidden="1" x14ac:dyDescent="0.3">
      <c r="A132" s="22" t="s">
        <v>290</v>
      </c>
      <c r="B132" s="43" t="s">
        <v>383</v>
      </c>
      <c r="C132" s="52" t="s">
        <v>49</v>
      </c>
      <c r="D132" s="42">
        <v>35000</v>
      </c>
    </row>
    <row r="133" spans="1:4" hidden="1" x14ac:dyDescent="0.3">
      <c r="A133" s="22" t="s">
        <v>289</v>
      </c>
      <c r="B133" s="43" t="s">
        <v>382</v>
      </c>
      <c r="C133" s="52" t="s">
        <v>49</v>
      </c>
      <c r="D133" s="42">
        <v>35000</v>
      </c>
    </row>
    <row r="134" spans="1:4" hidden="1" x14ac:dyDescent="0.3">
      <c r="A134" s="22" t="s">
        <v>140</v>
      </c>
      <c r="B134" s="43" t="s">
        <v>357</v>
      </c>
      <c r="C134" s="52" t="s">
        <v>49</v>
      </c>
      <c r="D134" s="42">
        <v>35000</v>
      </c>
    </row>
    <row r="135" spans="1:4" hidden="1" x14ac:dyDescent="0.3">
      <c r="A135" s="22" t="s">
        <v>139</v>
      </c>
      <c r="B135" s="43" t="s">
        <v>356</v>
      </c>
      <c r="C135" s="52" t="s">
        <v>49</v>
      </c>
      <c r="D135" s="42">
        <v>35000</v>
      </c>
    </row>
    <row r="136" spans="1:4" hidden="1" x14ac:dyDescent="0.3">
      <c r="A136" s="22" t="s">
        <v>138</v>
      </c>
      <c r="B136" s="43" t="s">
        <v>355</v>
      </c>
      <c r="C136" s="52" t="s">
        <v>49</v>
      </c>
      <c r="D136" s="42">
        <v>35000</v>
      </c>
    </row>
    <row r="137" spans="1:4" hidden="1" x14ac:dyDescent="0.3">
      <c r="A137" s="22" t="s">
        <v>183</v>
      </c>
      <c r="B137" s="43" t="s">
        <v>358</v>
      </c>
      <c r="C137" s="52" t="s">
        <v>49</v>
      </c>
      <c r="D137" s="42">
        <v>35000</v>
      </c>
    </row>
    <row r="138" spans="1:4" hidden="1" x14ac:dyDescent="0.3">
      <c r="A138" s="22" t="s">
        <v>137</v>
      </c>
      <c r="B138" s="43" t="s">
        <v>354</v>
      </c>
      <c r="C138" s="52" t="s">
        <v>49</v>
      </c>
      <c r="D138" s="42">
        <v>35000</v>
      </c>
    </row>
    <row r="139" spans="1:4" hidden="1" x14ac:dyDescent="0.3">
      <c r="A139" s="22" t="s">
        <v>136</v>
      </c>
      <c r="B139" s="43" t="s">
        <v>353</v>
      </c>
      <c r="C139" s="52" t="s">
        <v>49</v>
      </c>
      <c r="D139" s="42">
        <v>35000</v>
      </c>
    </row>
    <row r="140" spans="1:4" x14ac:dyDescent="0.3">
      <c r="A140" s="22" t="s">
        <v>299</v>
      </c>
      <c r="B140" s="43" t="s">
        <v>393</v>
      </c>
      <c r="C140" s="52" t="s">
        <v>49</v>
      </c>
      <c r="D140" s="42">
        <v>35000</v>
      </c>
    </row>
    <row r="141" spans="1:4" x14ac:dyDescent="0.3">
      <c r="A141" s="22" t="s">
        <v>1729</v>
      </c>
      <c r="B141" s="43" t="s">
        <v>1730</v>
      </c>
      <c r="C141" s="52" t="s">
        <v>49</v>
      </c>
      <c r="D141" s="42">
        <v>35000</v>
      </c>
    </row>
    <row r="142" spans="1:4" x14ac:dyDescent="0.3">
      <c r="A142" s="22" t="s">
        <v>312</v>
      </c>
      <c r="B142" s="43" t="s">
        <v>397</v>
      </c>
      <c r="C142" s="52" t="s">
        <v>49</v>
      </c>
      <c r="D142" s="42">
        <v>35000</v>
      </c>
    </row>
    <row r="143" spans="1:4" x14ac:dyDescent="0.3">
      <c r="A143" s="22" t="s">
        <v>307</v>
      </c>
      <c r="B143" s="43" t="s">
        <v>392</v>
      </c>
      <c r="C143" s="52" t="s">
        <v>49</v>
      </c>
      <c r="D143" s="42">
        <v>35000</v>
      </c>
    </row>
    <row r="144" spans="1:4" x14ac:dyDescent="0.3">
      <c r="A144" s="22" t="s">
        <v>311</v>
      </c>
      <c r="B144" s="43" t="s">
        <v>396</v>
      </c>
      <c r="C144" s="52" t="s">
        <v>49</v>
      </c>
      <c r="D144" s="42">
        <v>35000</v>
      </c>
    </row>
    <row r="145" spans="1:4" x14ac:dyDescent="0.3">
      <c r="A145" s="22" t="s">
        <v>306</v>
      </c>
      <c r="B145" s="43" t="s">
        <v>391</v>
      </c>
      <c r="C145" s="52" t="s">
        <v>49</v>
      </c>
      <c r="D145" s="42">
        <v>35000</v>
      </c>
    </row>
    <row r="146" spans="1:4" x14ac:dyDescent="0.3">
      <c r="A146" s="22" t="s">
        <v>310</v>
      </c>
      <c r="B146" s="43" t="s">
        <v>395</v>
      </c>
      <c r="C146" s="52" t="s">
        <v>49</v>
      </c>
      <c r="D146" s="42">
        <v>35000</v>
      </c>
    </row>
    <row r="147" spans="1:4" x14ac:dyDescent="0.3">
      <c r="A147" s="22" t="s">
        <v>305</v>
      </c>
      <c r="B147" s="43" t="s">
        <v>390</v>
      </c>
      <c r="C147" s="52" t="s">
        <v>49</v>
      </c>
      <c r="D147" s="42">
        <v>35000</v>
      </c>
    </row>
    <row r="148" spans="1:4" x14ac:dyDescent="0.3">
      <c r="A148" s="22" t="s">
        <v>317</v>
      </c>
      <c r="B148" s="43" t="s">
        <v>394</v>
      </c>
      <c r="C148" s="52" t="s">
        <v>49</v>
      </c>
      <c r="D148" s="42">
        <v>35000</v>
      </c>
    </row>
    <row r="149" spans="1:4" x14ac:dyDescent="0.3">
      <c r="A149" s="22" t="s">
        <v>304</v>
      </c>
      <c r="B149" s="43" t="s">
        <v>389</v>
      </c>
      <c r="C149" s="52" t="s">
        <v>49</v>
      </c>
      <c r="D149" s="42">
        <v>35000</v>
      </c>
    </row>
    <row r="150" spans="1:4" x14ac:dyDescent="0.3">
      <c r="A150" s="22" t="s">
        <v>303</v>
      </c>
      <c r="B150" s="43" t="s">
        <v>388</v>
      </c>
      <c r="C150" s="52" t="s">
        <v>49</v>
      </c>
      <c r="D150" s="42">
        <v>35000</v>
      </c>
    </row>
    <row r="151" spans="1:4" x14ac:dyDescent="0.3">
      <c r="A151" s="22" t="s">
        <v>302</v>
      </c>
      <c r="B151" s="43" t="s">
        <v>387</v>
      </c>
      <c r="C151" s="52" t="s">
        <v>49</v>
      </c>
      <c r="D151" s="42">
        <v>35000</v>
      </c>
    </row>
    <row r="152" spans="1:4" x14ac:dyDescent="0.3">
      <c r="A152" s="22" t="s">
        <v>301</v>
      </c>
      <c r="B152" s="43" t="s">
        <v>386</v>
      </c>
      <c r="C152" s="52" t="s">
        <v>49</v>
      </c>
      <c r="D152" s="42">
        <v>35000</v>
      </c>
    </row>
    <row r="153" spans="1:4" hidden="1" x14ac:dyDescent="0.3">
      <c r="A153" s="209" t="s">
        <v>1764</v>
      </c>
      <c r="B153" s="209" t="s">
        <v>1760</v>
      </c>
      <c r="C153" s="210" t="s">
        <v>49</v>
      </c>
      <c r="D153" s="211">
        <v>35000</v>
      </c>
    </row>
    <row r="154" spans="1:4" hidden="1" x14ac:dyDescent="0.3">
      <c r="A154" s="209" t="s">
        <v>1753</v>
      </c>
      <c r="B154" s="209" t="s">
        <v>1754</v>
      </c>
      <c r="C154" s="210" t="s">
        <v>49</v>
      </c>
      <c r="D154" s="211">
        <v>35000</v>
      </c>
    </row>
    <row r="155" spans="1:4" hidden="1" x14ac:dyDescent="0.3">
      <c r="A155" s="209" t="s">
        <v>1748</v>
      </c>
      <c r="B155" s="209" t="s">
        <v>1744</v>
      </c>
      <c r="C155" s="210" t="s">
        <v>49</v>
      </c>
      <c r="D155" s="211">
        <v>35000</v>
      </c>
    </row>
    <row r="156" spans="1:4" hidden="1" x14ac:dyDescent="0.3">
      <c r="A156" s="209" t="s">
        <v>1765</v>
      </c>
      <c r="B156" s="209" t="s">
        <v>1761</v>
      </c>
      <c r="C156" s="210" t="s">
        <v>49</v>
      </c>
      <c r="D156" s="211">
        <v>35000</v>
      </c>
    </row>
    <row r="157" spans="1:4" hidden="1" x14ac:dyDescent="0.3">
      <c r="A157" s="22" t="s">
        <v>47</v>
      </c>
      <c r="B157" s="43" t="s">
        <v>1740</v>
      </c>
      <c r="C157" s="52" t="s">
        <v>49</v>
      </c>
      <c r="D157" s="44">
        <v>35000</v>
      </c>
    </row>
    <row r="158" spans="1:4" hidden="1" x14ac:dyDescent="0.3">
      <c r="A158" s="209" t="s">
        <v>1757</v>
      </c>
      <c r="B158" s="209" t="s">
        <v>1755</v>
      </c>
      <c r="C158" s="210" t="s">
        <v>49</v>
      </c>
      <c r="D158" s="211">
        <v>35000</v>
      </c>
    </row>
    <row r="159" spans="1:4" hidden="1" x14ac:dyDescent="0.3">
      <c r="A159" s="209" t="s">
        <v>1749</v>
      </c>
      <c r="B159" s="209" t="s">
        <v>1745</v>
      </c>
      <c r="C159" s="210" t="s">
        <v>49</v>
      </c>
      <c r="D159" s="211">
        <v>35000</v>
      </c>
    </row>
    <row r="160" spans="1:4" hidden="1" x14ac:dyDescent="0.3">
      <c r="A160" s="22" t="s">
        <v>61</v>
      </c>
      <c r="B160" s="43" t="s">
        <v>1739</v>
      </c>
      <c r="C160" s="52" t="s">
        <v>49</v>
      </c>
      <c r="D160" s="44">
        <v>35000</v>
      </c>
    </row>
    <row r="161" spans="1:4" hidden="1" x14ac:dyDescent="0.3">
      <c r="A161" s="22" t="s">
        <v>31</v>
      </c>
      <c r="B161" s="43" t="s">
        <v>1738</v>
      </c>
      <c r="C161" s="52" t="s">
        <v>49</v>
      </c>
      <c r="D161" s="44">
        <v>35000</v>
      </c>
    </row>
    <row r="162" spans="1:4" x14ac:dyDescent="0.3">
      <c r="A162" s="209" t="s">
        <v>1766</v>
      </c>
      <c r="B162" s="209" t="s">
        <v>1762</v>
      </c>
      <c r="C162" s="210" t="s">
        <v>49</v>
      </c>
      <c r="D162" s="211">
        <v>35000</v>
      </c>
    </row>
    <row r="163" spans="1:4" x14ac:dyDescent="0.3">
      <c r="A163" s="209" t="s">
        <v>1758</v>
      </c>
      <c r="B163" s="209" t="s">
        <v>1756</v>
      </c>
      <c r="C163" s="210" t="s">
        <v>49</v>
      </c>
      <c r="D163" s="211">
        <v>35000</v>
      </c>
    </row>
    <row r="164" spans="1:4" x14ac:dyDescent="0.3">
      <c r="A164" s="209" t="s">
        <v>1750</v>
      </c>
      <c r="B164" s="209" t="s">
        <v>1746</v>
      </c>
      <c r="C164" s="210" t="s">
        <v>49</v>
      </c>
      <c r="D164" s="211">
        <v>35000</v>
      </c>
    </row>
    <row r="165" spans="1:4" hidden="1" x14ac:dyDescent="0.3">
      <c r="A165" s="209" t="s">
        <v>1763</v>
      </c>
      <c r="B165" s="209" t="s">
        <v>1759</v>
      </c>
      <c r="C165" s="210" t="s">
        <v>49</v>
      </c>
      <c r="D165" s="211">
        <v>35000</v>
      </c>
    </row>
    <row r="166" spans="1:4" hidden="1" x14ac:dyDescent="0.3">
      <c r="A166" s="22" t="s">
        <v>342</v>
      </c>
      <c r="B166" s="22" t="s">
        <v>343</v>
      </c>
      <c r="C166" s="52" t="s">
        <v>284</v>
      </c>
      <c r="D166" s="42">
        <v>35000</v>
      </c>
    </row>
    <row r="167" spans="1:4" hidden="1" x14ac:dyDescent="0.3">
      <c r="A167" s="22" t="s">
        <v>280</v>
      </c>
      <c r="B167" s="22" t="s">
        <v>281</v>
      </c>
      <c r="C167" s="52" t="s">
        <v>284</v>
      </c>
      <c r="D167" s="42">
        <v>35000</v>
      </c>
    </row>
    <row r="168" spans="1:4" x14ac:dyDescent="0.3">
      <c r="A168" s="22" t="s">
        <v>308</v>
      </c>
      <c r="B168" s="43" t="s">
        <v>309</v>
      </c>
      <c r="C168" s="52" t="s">
        <v>71</v>
      </c>
      <c r="D168" s="42">
        <v>25000</v>
      </c>
    </row>
    <row r="169" spans="1:4" hidden="1" x14ac:dyDescent="0.3">
      <c r="A169" s="22" t="s">
        <v>270</v>
      </c>
      <c r="B169" s="22" t="s">
        <v>271</v>
      </c>
      <c r="C169" s="52" t="s">
        <v>71</v>
      </c>
      <c r="D169" s="42">
        <v>25000</v>
      </c>
    </row>
    <row r="170" spans="1:4" hidden="1" x14ac:dyDescent="0.3">
      <c r="A170" s="22" t="s">
        <v>272</v>
      </c>
      <c r="B170" s="22" t="s">
        <v>273</v>
      </c>
      <c r="C170" s="52" t="s">
        <v>71</v>
      </c>
      <c r="D170" s="42">
        <v>25000</v>
      </c>
    </row>
    <row r="171" spans="1:4" hidden="1" x14ac:dyDescent="0.3">
      <c r="A171" s="22" t="s">
        <v>70</v>
      </c>
      <c r="B171" s="43" t="s">
        <v>398</v>
      </c>
      <c r="C171" s="52" t="s">
        <v>71</v>
      </c>
      <c r="D171" s="44">
        <v>25000</v>
      </c>
    </row>
    <row r="172" spans="1:4" hidden="1" x14ac:dyDescent="0.3">
      <c r="A172" s="22" t="s">
        <v>72</v>
      </c>
      <c r="B172" s="43" t="s">
        <v>399</v>
      </c>
      <c r="C172" s="52" t="s">
        <v>71</v>
      </c>
      <c r="D172" s="44">
        <v>25000</v>
      </c>
    </row>
    <row r="173" spans="1:4" hidden="1" x14ac:dyDescent="0.3">
      <c r="A173" s="22" t="s">
        <v>73</v>
      </c>
      <c r="B173" s="43" t="s">
        <v>400</v>
      </c>
      <c r="C173" s="52" t="s">
        <v>71</v>
      </c>
      <c r="D173" s="44">
        <v>25000</v>
      </c>
    </row>
    <row r="174" spans="1:4" hidden="1" x14ac:dyDescent="0.3">
      <c r="A174" s="22" t="s">
        <v>1690</v>
      </c>
      <c r="B174" s="22" t="s">
        <v>1691</v>
      </c>
      <c r="C174" s="52" t="s">
        <v>71</v>
      </c>
      <c r="D174" s="42"/>
    </row>
    <row r="175" spans="1:4" hidden="1" x14ac:dyDescent="0.3">
      <c r="A175" s="22" t="s">
        <v>1698</v>
      </c>
      <c r="B175" s="22" t="s">
        <v>1699</v>
      </c>
      <c r="C175" s="52" t="s">
        <v>71</v>
      </c>
      <c r="D175" s="42"/>
    </row>
    <row r="176" spans="1:4" hidden="1" x14ac:dyDescent="0.3">
      <c r="A176" s="22" t="s">
        <v>1706</v>
      </c>
      <c r="B176" s="22" t="s">
        <v>1707</v>
      </c>
      <c r="C176" s="52" t="s">
        <v>71</v>
      </c>
      <c r="D176" s="42"/>
    </row>
    <row r="177" spans="1:4" hidden="1" x14ac:dyDescent="0.3">
      <c r="A177" s="22" t="s">
        <v>1692</v>
      </c>
      <c r="B177" s="22" t="s">
        <v>1693</v>
      </c>
      <c r="C177" s="52" t="s">
        <v>71</v>
      </c>
      <c r="D177" s="42"/>
    </row>
    <row r="178" spans="1:4" hidden="1" x14ac:dyDescent="0.3">
      <c r="A178" s="22" t="s">
        <v>1700</v>
      </c>
      <c r="B178" s="22" t="s">
        <v>1701</v>
      </c>
      <c r="C178" s="52" t="s">
        <v>71</v>
      </c>
      <c r="D178" s="42"/>
    </row>
    <row r="179" spans="1:4" hidden="1" x14ac:dyDescent="0.3">
      <c r="A179" s="22" t="s">
        <v>1708</v>
      </c>
      <c r="B179" s="22" t="s">
        <v>1709</v>
      </c>
      <c r="C179" s="52" t="s">
        <v>71</v>
      </c>
      <c r="D179" s="42"/>
    </row>
    <row r="180" spans="1:4" x14ac:dyDescent="0.3">
      <c r="A180" s="22" t="s">
        <v>1696</v>
      </c>
      <c r="B180" s="22" t="s">
        <v>1697</v>
      </c>
      <c r="C180" s="52" t="s">
        <v>71</v>
      </c>
      <c r="D180" s="42"/>
    </row>
    <row r="181" spans="1:4" x14ac:dyDescent="0.3">
      <c r="A181" s="22" t="s">
        <v>1704</v>
      </c>
      <c r="B181" s="22" t="s">
        <v>1705</v>
      </c>
      <c r="C181" s="52" t="s">
        <v>71</v>
      </c>
      <c r="D181" s="42"/>
    </row>
    <row r="182" spans="1:4" x14ac:dyDescent="0.3">
      <c r="A182" s="22" t="s">
        <v>1712</v>
      </c>
      <c r="B182" s="22" t="s">
        <v>1713</v>
      </c>
      <c r="C182" s="52" t="s">
        <v>71</v>
      </c>
      <c r="D182" s="42"/>
    </row>
    <row r="183" spans="1:4" hidden="1" x14ac:dyDescent="0.3">
      <c r="A183" s="22" t="s">
        <v>1694</v>
      </c>
      <c r="B183" s="22" t="s">
        <v>1695</v>
      </c>
      <c r="C183" s="52" t="s">
        <v>71</v>
      </c>
      <c r="D183" s="42"/>
    </row>
    <row r="184" spans="1:4" hidden="1" x14ac:dyDescent="0.3">
      <c r="A184" s="22" t="s">
        <v>1702</v>
      </c>
      <c r="B184" s="22" t="s">
        <v>1703</v>
      </c>
      <c r="C184" s="52" t="s">
        <v>71</v>
      </c>
      <c r="D184" s="42"/>
    </row>
    <row r="185" spans="1:4" hidden="1" x14ac:dyDescent="0.3">
      <c r="A185" s="22" t="s">
        <v>1710</v>
      </c>
      <c r="B185" s="22" t="s">
        <v>1711</v>
      </c>
      <c r="C185" s="52" t="s">
        <v>71</v>
      </c>
      <c r="D185" s="42"/>
    </row>
    <row r="186" spans="1:4" hidden="1" x14ac:dyDescent="0.3">
      <c r="A186" s="22" t="s">
        <v>1674</v>
      </c>
      <c r="B186" s="22" t="s">
        <v>1675</v>
      </c>
      <c r="C186" s="52" t="s">
        <v>71</v>
      </c>
      <c r="D186" s="42"/>
    </row>
    <row r="187" spans="1:4" hidden="1" x14ac:dyDescent="0.3">
      <c r="A187" s="22" t="s">
        <v>1682</v>
      </c>
      <c r="B187" s="22" t="s">
        <v>1683</v>
      </c>
      <c r="C187" s="52" t="s">
        <v>71</v>
      </c>
      <c r="D187" s="42"/>
    </row>
    <row r="188" spans="1:4" hidden="1" x14ac:dyDescent="0.3">
      <c r="A188" s="22" t="s">
        <v>1666</v>
      </c>
      <c r="B188" s="22" t="s">
        <v>1667</v>
      </c>
      <c r="C188" s="52" t="s">
        <v>71</v>
      </c>
      <c r="D188" s="42"/>
    </row>
    <row r="189" spans="1:4" hidden="1" x14ac:dyDescent="0.3">
      <c r="A189" s="22" t="s">
        <v>1676</v>
      </c>
      <c r="B189" s="22" t="s">
        <v>1677</v>
      </c>
      <c r="C189" s="52" t="s">
        <v>71</v>
      </c>
      <c r="D189" s="42"/>
    </row>
    <row r="190" spans="1:4" hidden="1" x14ac:dyDescent="0.3">
      <c r="A190" s="22" t="s">
        <v>1684</v>
      </c>
      <c r="B190" s="22" t="s">
        <v>1685</v>
      </c>
      <c r="C190" s="52" t="s">
        <v>71</v>
      </c>
      <c r="D190" s="42"/>
    </row>
    <row r="191" spans="1:4" hidden="1" x14ac:dyDescent="0.3">
      <c r="A191" s="22" t="s">
        <v>1668</v>
      </c>
      <c r="B191" s="22" t="s">
        <v>1669</v>
      </c>
      <c r="C191" s="52" t="s">
        <v>71</v>
      </c>
      <c r="D191" s="42"/>
    </row>
    <row r="192" spans="1:4" x14ac:dyDescent="0.3">
      <c r="A192" s="22" t="s">
        <v>1680</v>
      </c>
      <c r="B192" s="22" t="s">
        <v>1681</v>
      </c>
      <c r="C192" s="52" t="s">
        <v>71</v>
      </c>
      <c r="D192" s="42"/>
    </row>
    <row r="193" spans="1:4" x14ac:dyDescent="0.3">
      <c r="A193" s="22" t="s">
        <v>1688</v>
      </c>
      <c r="B193" s="22" t="s">
        <v>1689</v>
      </c>
      <c r="C193" s="52" t="s">
        <v>71</v>
      </c>
      <c r="D193" s="42"/>
    </row>
    <row r="194" spans="1:4" x14ac:dyDescent="0.3">
      <c r="A194" s="22" t="s">
        <v>1672</v>
      </c>
      <c r="B194" s="22" t="s">
        <v>1673</v>
      </c>
      <c r="C194" s="52" t="s">
        <v>71</v>
      </c>
      <c r="D194" s="42"/>
    </row>
    <row r="195" spans="1:4" hidden="1" x14ac:dyDescent="0.3">
      <c r="A195" s="22" t="s">
        <v>1678</v>
      </c>
      <c r="B195" s="22" t="s">
        <v>1679</v>
      </c>
      <c r="C195" s="52" t="s">
        <v>71</v>
      </c>
      <c r="D195" s="42"/>
    </row>
    <row r="196" spans="1:4" hidden="1" x14ac:dyDescent="0.3">
      <c r="A196" s="22" t="s">
        <v>1686</v>
      </c>
      <c r="B196" s="22" t="s">
        <v>1687</v>
      </c>
      <c r="C196" s="52" t="s">
        <v>71</v>
      </c>
      <c r="D196" s="42"/>
    </row>
    <row r="197" spans="1:4" hidden="1" x14ac:dyDescent="0.3">
      <c r="A197" s="22" t="s">
        <v>1670</v>
      </c>
      <c r="B197" s="22" t="s">
        <v>1671</v>
      </c>
      <c r="C197" s="52" t="s">
        <v>71</v>
      </c>
      <c r="D197" s="42"/>
    </row>
    <row r="198" spans="1:4" hidden="1" x14ac:dyDescent="0.3">
      <c r="A198" s="22" t="s">
        <v>74</v>
      </c>
      <c r="B198" s="43" t="s">
        <v>401</v>
      </c>
      <c r="C198" s="52" t="s">
        <v>71</v>
      </c>
      <c r="D198" s="44">
        <v>25000</v>
      </c>
    </row>
    <row r="199" spans="1:4" hidden="1" x14ac:dyDescent="0.3">
      <c r="A199" s="40" t="s">
        <v>86</v>
      </c>
      <c r="B199" s="41" t="s">
        <v>405</v>
      </c>
      <c r="C199" s="65" t="s">
        <v>84</v>
      </c>
      <c r="D199" s="42">
        <v>50000</v>
      </c>
    </row>
    <row r="200" spans="1:4" hidden="1" x14ac:dyDescent="0.3">
      <c r="A200" s="22" t="s">
        <v>1600</v>
      </c>
      <c r="B200" s="22" t="s">
        <v>1601</v>
      </c>
      <c r="C200" s="52" t="s">
        <v>1595</v>
      </c>
      <c r="D200" s="42"/>
    </row>
    <row r="201" spans="1:4" hidden="1" x14ac:dyDescent="0.3">
      <c r="A201" s="22" t="s">
        <v>1598</v>
      </c>
      <c r="B201" s="22" t="s">
        <v>1599</v>
      </c>
      <c r="C201" s="52" t="s">
        <v>1595</v>
      </c>
      <c r="D201" s="42"/>
    </row>
    <row r="202" spans="1:4" hidden="1" x14ac:dyDescent="0.3">
      <c r="A202" s="22" t="s">
        <v>1596</v>
      </c>
      <c r="B202" s="22" t="s">
        <v>1597</v>
      </c>
      <c r="C202" s="52" t="s">
        <v>1595</v>
      </c>
      <c r="D202" s="42"/>
    </row>
    <row r="203" spans="1:4" hidden="1" x14ac:dyDescent="0.3">
      <c r="A203" s="22" t="s">
        <v>1593</v>
      </c>
      <c r="B203" s="22" t="s">
        <v>1594</v>
      </c>
      <c r="C203" s="52" t="s">
        <v>1595</v>
      </c>
      <c r="D203" s="42"/>
    </row>
    <row r="204" spans="1:4" hidden="1" x14ac:dyDescent="0.3">
      <c r="A204" s="40" t="s">
        <v>123</v>
      </c>
      <c r="B204" s="41" t="s">
        <v>124</v>
      </c>
      <c r="C204" s="65" t="s">
        <v>55</v>
      </c>
      <c r="D204" s="42">
        <v>40000</v>
      </c>
    </row>
    <row r="205" spans="1:4" hidden="1" x14ac:dyDescent="0.3">
      <c r="A205" s="40" t="s">
        <v>125</v>
      </c>
      <c r="B205" s="40" t="s">
        <v>126</v>
      </c>
      <c r="C205" s="65" t="s">
        <v>55</v>
      </c>
      <c r="D205" s="42">
        <v>40000</v>
      </c>
    </row>
    <row r="206" spans="1:4" hidden="1" x14ac:dyDescent="0.3">
      <c r="A206" s="40" t="s">
        <v>127</v>
      </c>
      <c r="B206" s="40" t="s">
        <v>128</v>
      </c>
      <c r="C206" s="65" t="s">
        <v>55</v>
      </c>
      <c r="D206" s="42">
        <v>40000</v>
      </c>
    </row>
    <row r="207" spans="1:4" hidden="1" x14ac:dyDescent="0.3">
      <c r="A207" s="22" t="s">
        <v>261</v>
      </c>
      <c r="B207" s="43" t="s">
        <v>408</v>
      </c>
      <c r="C207" s="52" t="s">
        <v>55</v>
      </c>
      <c r="D207" s="42">
        <v>40000</v>
      </c>
    </row>
    <row r="208" spans="1:4" hidden="1" x14ac:dyDescent="0.3">
      <c r="A208" s="22" t="s">
        <v>732</v>
      </c>
      <c r="B208" s="43" t="s">
        <v>733</v>
      </c>
      <c r="C208" s="52" t="s">
        <v>55</v>
      </c>
      <c r="D208" s="42">
        <v>40000</v>
      </c>
    </row>
    <row r="209" spans="1:4" hidden="1" x14ac:dyDescent="0.3">
      <c r="A209" s="40" t="s">
        <v>129</v>
      </c>
      <c r="B209" s="41" t="s">
        <v>130</v>
      </c>
      <c r="C209" s="65" t="s">
        <v>55</v>
      </c>
      <c r="D209" s="42">
        <v>40000</v>
      </c>
    </row>
    <row r="210" spans="1:4" hidden="1" x14ac:dyDescent="0.3">
      <c r="A210" s="40" t="s">
        <v>131</v>
      </c>
      <c r="B210" s="41" t="s">
        <v>132</v>
      </c>
      <c r="C210" s="65" t="s">
        <v>55</v>
      </c>
      <c r="D210" s="42">
        <v>40000</v>
      </c>
    </row>
    <row r="211" spans="1:4" hidden="1" x14ac:dyDescent="0.3">
      <c r="A211" s="22" t="s">
        <v>730</v>
      </c>
      <c r="B211" s="43" t="s">
        <v>731</v>
      </c>
      <c r="C211" s="52" t="s">
        <v>55</v>
      </c>
      <c r="D211" s="42">
        <v>40000</v>
      </c>
    </row>
    <row r="212" spans="1:4" hidden="1" x14ac:dyDescent="0.3">
      <c r="A212" s="40" t="s">
        <v>133</v>
      </c>
      <c r="B212" s="41" t="s">
        <v>134</v>
      </c>
      <c r="C212" s="65" t="s">
        <v>55</v>
      </c>
      <c r="D212" s="42">
        <v>40000</v>
      </c>
    </row>
    <row r="213" spans="1:4" hidden="1" x14ac:dyDescent="0.3">
      <c r="A213" s="40" t="s">
        <v>57</v>
      </c>
      <c r="B213" s="41" t="s">
        <v>346</v>
      </c>
      <c r="C213" s="65" t="s">
        <v>55</v>
      </c>
      <c r="D213" s="42">
        <v>40000</v>
      </c>
    </row>
    <row r="214" spans="1:4" hidden="1" x14ac:dyDescent="0.3">
      <c r="A214" s="40" t="s">
        <v>87</v>
      </c>
      <c r="B214" s="41" t="s">
        <v>406</v>
      </c>
      <c r="C214" s="65" t="s">
        <v>88</v>
      </c>
      <c r="D214" s="42">
        <v>25000</v>
      </c>
    </row>
    <row r="215" spans="1:4" hidden="1" x14ac:dyDescent="0.3">
      <c r="A215" s="40" t="s">
        <v>89</v>
      </c>
      <c r="B215" s="41" t="s">
        <v>407</v>
      </c>
      <c r="C215" s="65" t="s">
        <v>88</v>
      </c>
      <c r="D215" s="42">
        <v>25000</v>
      </c>
    </row>
    <row r="216" spans="1:4" hidden="1" x14ac:dyDescent="0.3">
      <c r="A216" s="40" t="s">
        <v>50</v>
      </c>
      <c r="B216" s="41" t="s">
        <v>403</v>
      </c>
      <c r="C216" s="65" t="s">
        <v>84</v>
      </c>
      <c r="D216" s="42">
        <v>50000</v>
      </c>
    </row>
    <row r="217" spans="1:4" hidden="1" x14ac:dyDescent="0.3">
      <c r="A217" s="40" t="s">
        <v>85</v>
      </c>
      <c r="B217" s="41" t="s">
        <v>404</v>
      </c>
      <c r="C217" s="65" t="s">
        <v>84</v>
      </c>
      <c r="D217" s="42">
        <v>50000</v>
      </c>
    </row>
    <row r="218" spans="1:4" hidden="1" x14ac:dyDescent="0.3">
      <c r="A218" s="40" t="s">
        <v>83</v>
      </c>
      <c r="B218" s="41" t="s">
        <v>402</v>
      </c>
      <c r="C218" s="65" t="s">
        <v>84</v>
      </c>
      <c r="D218" s="42">
        <v>50000</v>
      </c>
    </row>
    <row r="219" spans="1:4" hidden="1" x14ac:dyDescent="0.3">
      <c r="A219" s="22" t="s">
        <v>1656</v>
      </c>
      <c r="B219" s="22" t="s">
        <v>1657</v>
      </c>
      <c r="C219" s="52" t="s">
        <v>64</v>
      </c>
      <c r="D219" s="42"/>
    </row>
    <row r="220" spans="1:4" hidden="1" x14ac:dyDescent="0.3">
      <c r="A220" s="22" t="s">
        <v>1654</v>
      </c>
      <c r="B220" s="22" t="s">
        <v>1655</v>
      </c>
      <c r="C220" s="52" t="s">
        <v>64</v>
      </c>
      <c r="D220" s="42"/>
    </row>
    <row r="221" spans="1:4" hidden="1" x14ac:dyDescent="0.3">
      <c r="A221" s="22" t="s">
        <v>1652</v>
      </c>
      <c r="B221" s="22" t="s">
        <v>1653</v>
      </c>
      <c r="C221" s="52" t="s">
        <v>64</v>
      </c>
      <c r="D221" s="42"/>
    </row>
    <row r="222" spans="1:4" hidden="1" x14ac:dyDescent="0.3">
      <c r="A222" s="22" t="s">
        <v>1650</v>
      </c>
      <c r="B222" s="22" t="s">
        <v>1651</v>
      </c>
      <c r="C222" s="52" t="s">
        <v>64</v>
      </c>
      <c r="D222" s="42"/>
    </row>
    <row r="223" spans="1:4" hidden="1" x14ac:dyDescent="0.3">
      <c r="A223" s="22" t="s">
        <v>1664</v>
      </c>
      <c r="B223" s="22" t="s">
        <v>1665</v>
      </c>
      <c r="C223" s="52" t="s">
        <v>64</v>
      </c>
      <c r="D223" s="42"/>
    </row>
    <row r="224" spans="1:4" hidden="1" x14ac:dyDescent="0.3">
      <c r="A224" s="22" t="s">
        <v>1662</v>
      </c>
      <c r="B224" s="22" t="s">
        <v>1663</v>
      </c>
      <c r="C224" s="52" t="s">
        <v>64</v>
      </c>
      <c r="D224" s="42"/>
    </row>
    <row r="225" spans="1:4" hidden="1" x14ac:dyDescent="0.3">
      <c r="A225" s="22" t="s">
        <v>1660</v>
      </c>
      <c r="B225" s="22" t="s">
        <v>1661</v>
      </c>
      <c r="C225" s="52" t="s">
        <v>64</v>
      </c>
      <c r="D225" s="42"/>
    </row>
    <row r="226" spans="1:4" hidden="1" x14ac:dyDescent="0.3">
      <c r="A226" s="22" t="s">
        <v>1658</v>
      </c>
      <c r="B226" s="22" t="s">
        <v>1659</v>
      </c>
      <c r="C226" s="52" t="s">
        <v>64</v>
      </c>
      <c r="D226" s="42"/>
    </row>
    <row r="227" spans="1:4" x14ac:dyDescent="0.3">
      <c r="A227" s="22" t="s">
        <v>1648</v>
      </c>
      <c r="B227" s="22" t="s">
        <v>1649</v>
      </c>
      <c r="C227" s="52" t="s">
        <v>64</v>
      </c>
      <c r="D227" s="42"/>
    </row>
    <row r="228" spans="1:4" x14ac:dyDescent="0.3">
      <c r="A228" s="22" t="s">
        <v>1646</v>
      </c>
      <c r="B228" s="22" t="s">
        <v>1647</v>
      </c>
      <c r="C228" s="52" t="s">
        <v>64</v>
      </c>
      <c r="D228" s="42"/>
    </row>
    <row r="229" spans="1:4" x14ac:dyDescent="0.3">
      <c r="A229" s="22" t="s">
        <v>1644</v>
      </c>
      <c r="B229" s="22" t="s">
        <v>1645</v>
      </c>
      <c r="C229" s="52" t="s">
        <v>64</v>
      </c>
      <c r="D229" s="42"/>
    </row>
    <row r="230" spans="1:4" x14ac:dyDescent="0.3">
      <c r="A230" s="22" t="s">
        <v>1642</v>
      </c>
      <c r="B230" s="22" t="s">
        <v>1643</v>
      </c>
      <c r="C230" s="52" t="s">
        <v>64</v>
      </c>
      <c r="D230" s="42"/>
    </row>
    <row r="231" spans="1:4" hidden="1" x14ac:dyDescent="0.3">
      <c r="A231" s="22" t="s">
        <v>1640</v>
      </c>
      <c r="B231" s="22" t="s">
        <v>1641</v>
      </c>
      <c r="C231" s="52" t="s">
        <v>64</v>
      </c>
      <c r="D231" s="42"/>
    </row>
    <row r="232" spans="1:4" hidden="1" x14ac:dyDescent="0.3">
      <c r="A232" s="22" t="s">
        <v>1638</v>
      </c>
      <c r="B232" s="22" t="s">
        <v>1639</v>
      </c>
      <c r="C232" s="52" t="s">
        <v>64</v>
      </c>
      <c r="D232" s="42"/>
    </row>
    <row r="233" spans="1:4" hidden="1" x14ac:dyDescent="0.3">
      <c r="A233" s="22" t="s">
        <v>1636</v>
      </c>
      <c r="B233" s="22" t="s">
        <v>1637</v>
      </c>
      <c r="C233" s="52" t="s">
        <v>64</v>
      </c>
      <c r="D233" s="42"/>
    </row>
    <row r="234" spans="1:4" hidden="1" x14ac:dyDescent="0.3">
      <c r="A234" s="22" t="s">
        <v>1634</v>
      </c>
      <c r="B234" s="22" t="s">
        <v>1635</v>
      </c>
      <c r="C234" s="52" t="s">
        <v>64</v>
      </c>
      <c r="D234" s="42"/>
    </row>
    <row r="235" spans="1:4" hidden="1" x14ac:dyDescent="0.3">
      <c r="A235" s="22" t="s">
        <v>1624</v>
      </c>
      <c r="B235" s="22" t="s">
        <v>1625</v>
      </c>
      <c r="C235" s="52" t="s">
        <v>64</v>
      </c>
      <c r="D235" s="42"/>
    </row>
    <row r="236" spans="1:4" hidden="1" x14ac:dyDescent="0.3">
      <c r="A236" s="22" t="s">
        <v>1622</v>
      </c>
      <c r="B236" s="22" t="s">
        <v>1623</v>
      </c>
      <c r="C236" s="52" t="s">
        <v>64</v>
      </c>
      <c r="D236" s="42"/>
    </row>
    <row r="237" spans="1:4" hidden="1" x14ac:dyDescent="0.3">
      <c r="A237" s="22" t="s">
        <v>1620</v>
      </c>
      <c r="B237" s="22" t="s">
        <v>1621</v>
      </c>
      <c r="C237" s="52" t="s">
        <v>64</v>
      </c>
      <c r="D237" s="42"/>
    </row>
    <row r="238" spans="1:4" hidden="1" x14ac:dyDescent="0.3">
      <c r="A238" s="22" t="s">
        <v>1618</v>
      </c>
      <c r="B238" s="22" t="s">
        <v>1619</v>
      </c>
      <c r="C238" s="52" t="s">
        <v>64</v>
      </c>
      <c r="D238" s="42"/>
    </row>
    <row r="239" spans="1:4" hidden="1" x14ac:dyDescent="0.3">
      <c r="A239" s="22" t="s">
        <v>1632</v>
      </c>
      <c r="B239" s="22" t="s">
        <v>1633</v>
      </c>
      <c r="C239" s="52" t="s">
        <v>64</v>
      </c>
      <c r="D239" s="42"/>
    </row>
    <row r="240" spans="1:4" hidden="1" x14ac:dyDescent="0.3">
      <c r="A240" s="22" t="s">
        <v>1630</v>
      </c>
      <c r="B240" s="22" t="s">
        <v>1631</v>
      </c>
      <c r="C240" s="52" t="s">
        <v>64</v>
      </c>
      <c r="D240" s="42"/>
    </row>
    <row r="241" spans="1:4" hidden="1" x14ac:dyDescent="0.3">
      <c r="A241" s="22" t="s">
        <v>1628</v>
      </c>
      <c r="B241" s="22" t="s">
        <v>1629</v>
      </c>
      <c r="C241" s="52" t="s">
        <v>64</v>
      </c>
      <c r="D241" s="42"/>
    </row>
    <row r="242" spans="1:4" hidden="1" x14ac:dyDescent="0.3">
      <c r="A242" s="22" t="s">
        <v>1626</v>
      </c>
      <c r="B242" s="22" t="s">
        <v>1627</v>
      </c>
      <c r="C242" s="52" t="s">
        <v>64</v>
      </c>
      <c r="D242" s="42"/>
    </row>
    <row r="243" spans="1:4" x14ac:dyDescent="0.3">
      <c r="A243" s="22" t="s">
        <v>1616</v>
      </c>
      <c r="B243" s="22" t="s">
        <v>1617</v>
      </c>
      <c r="C243" s="52" t="s">
        <v>64</v>
      </c>
      <c r="D243" s="42"/>
    </row>
    <row r="244" spans="1:4" x14ac:dyDescent="0.3">
      <c r="A244" s="22" t="s">
        <v>1614</v>
      </c>
      <c r="B244" s="22" t="s">
        <v>1615</v>
      </c>
      <c r="C244" s="52" t="s">
        <v>64</v>
      </c>
      <c r="D244" s="42"/>
    </row>
    <row r="245" spans="1:4" x14ac:dyDescent="0.3">
      <c r="A245" s="22" t="s">
        <v>1612</v>
      </c>
      <c r="B245" s="22" t="s">
        <v>1613</v>
      </c>
      <c r="C245" s="52" t="s">
        <v>64</v>
      </c>
      <c r="D245" s="42"/>
    </row>
    <row r="246" spans="1:4" x14ac:dyDescent="0.3">
      <c r="A246" s="22" t="s">
        <v>1610</v>
      </c>
      <c r="B246" s="22" t="s">
        <v>1611</v>
      </c>
      <c r="C246" s="52" t="s">
        <v>64</v>
      </c>
      <c r="D246" s="42"/>
    </row>
    <row r="247" spans="1:4" hidden="1" x14ac:dyDescent="0.3">
      <c r="A247" s="22" t="s">
        <v>1608</v>
      </c>
      <c r="B247" s="22" t="s">
        <v>1609</v>
      </c>
      <c r="C247" s="52" t="s">
        <v>64</v>
      </c>
      <c r="D247" s="42"/>
    </row>
    <row r="248" spans="1:4" hidden="1" x14ac:dyDescent="0.3">
      <c r="A248" s="22" t="s">
        <v>1606</v>
      </c>
      <c r="B248" s="22" t="s">
        <v>1607</v>
      </c>
      <c r="C248" s="52" t="s">
        <v>64</v>
      </c>
      <c r="D248" s="42"/>
    </row>
    <row r="249" spans="1:4" hidden="1" x14ac:dyDescent="0.3">
      <c r="A249" s="22" t="s">
        <v>1604</v>
      </c>
      <c r="B249" s="22" t="s">
        <v>1605</v>
      </c>
      <c r="C249" s="52" t="s">
        <v>64</v>
      </c>
      <c r="D249" s="42"/>
    </row>
    <row r="250" spans="1:4" hidden="1" x14ac:dyDescent="0.3">
      <c r="A250" s="22" t="s">
        <v>1602</v>
      </c>
      <c r="B250" s="22" t="s">
        <v>1603</v>
      </c>
      <c r="C250" s="52" t="s">
        <v>64</v>
      </c>
      <c r="D250" s="42"/>
    </row>
    <row r="251" spans="1:4" hidden="1" x14ac:dyDescent="0.3">
      <c r="A251" s="22" t="s">
        <v>313</v>
      </c>
      <c r="B251" s="43" t="s">
        <v>314</v>
      </c>
      <c r="C251" s="52" t="s">
        <v>84</v>
      </c>
      <c r="D251" s="42">
        <v>35000</v>
      </c>
    </row>
    <row r="252" spans="1:4" hidden="1" x14ac:dyDescent="0.3">
      <c r="A252" s="22" t="s">
        <v>315</v>
      </c>
      <c r="B252" s="43" t="s">
        <v>316</v>
      </c>
      <c r="C252" s="52" t="s">
        <v>84</v>
      </c>
      <c r="D252" s="42">
        <v>35000</v>
      </c>
    </row>
    <row r="253" spans="1:4" hidden="1" x14ac:dyDescent="0.3">
      <c r="A253" s="40" t="s">
        <v>240</v>
      </c>
      <c r="B253" s="41" t="s">
        <v>277</v>
      </c>
      <c r="C253" s="65" t="s">
        <v>84</v>
      </c>
      <c r="D253" s="42">
        <v>25000</v>
      </c>
    </row>
    <row r="254" spans="1:4" x14ac:dyDescent="0.3">
      <c r="A254" s="22" t="s">
        <v>567</v>
      </c>
      <c r="B254" s="43" t="s">
        <v>568</v>
      </c>
      <c r="C254" s="52" t="s">
        <v>64</v>
      </c>
      <c r="D254" s="44">
        <v>50000</v>
      </c>
    </row>
    <row r="255" spans="1:4" hidden="1" x14ac:dyDescent="0.3">
      <c r="A255" s="22" t="s">
        <v>65</v>
      </c>
      <c r="B255" s="43" t="s">
        <v>120</v>
      </c>
      <c r="C255" s="52" t="s">
        <v>64</v>
      </c>
      <c r="D255" s="44">
        <v>50000</v>
      </c>
    </row>
    <row r="256" spans="1:4" hidden="1" x14ac:dyDescent="0.3">
      <c r="A256" s="22" t="s">
        <v>66</v>
      </c>
      <c r="B256" s="43" t="s">
        <v>67</v>
      </c>
      <c r="C256" s="52" t="s">
        <v>64</v>
      </c>
      <c r="D256" s="44">
        <v>50000</v>
      </c>
    </row>
    <row r="257" spans="1:4" hidden="1" x14ac:dyDescent="0.3">
      <c r="A257" s="22" t="s">
        <v>68</v>
      </c>
      <c r="B257" s="43" t="s">
        <v>69</v>
      </c>
      <c r="C257" s="52" t="s">
        <v>64</v>
      </c>
      <c r="D257" s="44">
        <v>50000</v>
      </c>
    </row>
    <row r="258" spans="1:4" hidden="1" x14ac:dyDescent="0.3">
      <c r="A258" s="22" t="s">
        <v>62</v>
      </c>
      <c r="B258" s="43" t="s">
        <v>63</v>
      </c>
      <c r="C258" s="52" t="s">
        <v>64</v>
      </c>
      <c r="D258" s="44">
        <v>50000</v>
      </c>
    </row>
    <row r="259" spans="1:4" hidden="1" x14ac:dyDescent="0.3">
      <c r="A259" s="22" t="s">
        <v>1810</v>
      </c>
      <c r="B259" s="43" t="s">
        <v>1811</v>
      </c>
      <c r="C259" s="52" t="s">
        <v>49</v>
      </c>
      <c r="D259" s="44"/>
    </row>
    <row r="260" spans="1:4" hidden="1" x14ac:dyDescent="0.3">
      <c r="A260" s="22" t="s">
        <v>1812</v>
      </c>
      <c r="B260" s="43" t="s">
        <v>1813</v>
      </c>
      <c r="C260" s="52" t="s">
        <v>49</v>
      </c>
      <c r="D260" s="44"/>
    </row>
    <row r="261" spans="1:4" hidden="1" x14ac:dyDescent="0.3">
      <c r="A261" s="22" t="s">
        <v>1814</v>
      </c>
      <c r="B261" s="43" t="s">
        <v>1815</v>
      </c>
      <c r="C261" s="52" t="s">
        <v>49</v>
      </c>
      <c r="D261" s="44"/>
    </row>
    <row r="262" spans="1:4" x14ac:dyDescent="0.3">
      <c r="A262" s="22" t="s">
        <v>1816</v>
      </c>
      <c r="B262" s="43" t="s">
        <v>1817</v>
      </c>
      <c r="C262" s="52" t="s">
        <v>49</v>
      </c>
      <c r="D262" s="44"/>
    </row>
    <row r="263" spans="1:4" hidden="1" x14ac:dyDescent="0.3">
      <c r="A263" s="22" t="s">
        <v>1818</v>
      </c>
      <c r="B263" s="43" t="s">
        <v>1819</v>
      </c>
      <c r="C263" s="52" t="s">
        <v>49</v>
      </c>
      <c r="D263" s="44"/>
    </row>
    <row r="264" spans="1:4" hidden="1" x14ac:dyDescent="0.3">
      <c r="A264" s="22" t="s">
        <v>1820</v>
      </c>
      <c r="B264" s="43" t="s">
        <v>1821</v>
      </c>
      <c r="C264" s="52" t="s">
        <v>49</v>
      </c>
      <c r="D264" s="44"/>
    </row>
    <row r="265" spans="1:4" hidden="1" x14ac:dyDescent="0.3">
      <c r="A265" s="22" t="s">
        <v>1822</v>
      </c>
      <c r="B265" s="43" t="s">
        <v>1823</v>
      </c>
      <c r="C265" s="52" t="s">
        <v>49</v>
      </c>
      <c r="D265" s="44"/>
    </row>
    <row r="266" spans="1:4" x14ac:dyDescent="0.3">
      <c r="A266" s="22" t="s">
        <v>1824</v>
      </c>
      <c r="B266" s="43" t="s">
        <v>1825</v>
      </c>
      <c r="C266" s="52" t="s">
        <v>49</v>
      </c>
      <c r="D266" s="44"/>
    </row>
    <row r="267" spans="1:4" hidden="1" x14ac:dyDescent="0.3">
      <c r="A267" s="22" t="s">
        <v>1826</v>
      </c>
      <c r="B267" s="43" t="s">
        <v>1827</v>
      </c>
      <c r="C267" s="52" t="s">
        <v>49</v>
      </c>
      <c r="D267" s="44"/>
    </row>
    <row r="268" spans="1:4" hidden="1" x14ac:dyDescent="0.3">
      <c r="A268" s="22" t="s">
        <v>1809</v>
      </c>
      <c r="B268" s="43" t="s">
        <v>1828</v>
      </c>
      <c r="C268" s="52" t="s">
        <v>49</v>
      </c>
      <c r="D268" s="44"/>
    </row>
    <row r="269" spans="1:4" hidden="1" x14ac:dyDescent="0.3">
      <c r="A269" s="22" t="s">
        <v>1829</v>
      </c>
      <c r="B269" s="43" t="s">
        <v>1830</v>
      </c>
      <c r="C269" s="52" t="s">
        <v>49</v>
      </c>
      <c r="D269" s="44"/>
    </row>
    <row r="270" spans="1:4" x14ac:dyDescent="0.3">
      <c r="A270" s="22" t="s">
        <v>1831</v>
      </c>
      <c r="B270" s="43" t="s">
        <v>1832</v>
      </c>
      <c r="C270" s="52" t="s">
        <v>49</v>
      </c>
      <c r="D270" s="44"/>
    </row>
    <row r="271" spans="1:4" hidden="1" x14ac:dyDescent="0.3">
      <c r="A271" s="22" t="s">
        <v>1838</v>
      </c>
      <c r="B271" s="43" t="s">
        <v>1839</v>
      </c>
      <c r="C271" s="52" t="s">
        <v>1595</v>
      </c>
      <c r="D271" s="44"/>
    </row>
    <row r="272" spans="1:4" hidden="1" x14ac:dyDescent="0.3">
      <c r="A272" s="22" t="s">
        <v>1840</v>
      </c>
      <c r="B272" s="43" t="s">
        <v>1841</v>
      </c>
      <c r="C272" s="52" t="s">
        <v>1595</v>
      </c>
      <c r="D272" s="44"/>
    </row>
    <row r="273" spans="1:4" hidden="1" x14ac:dyDescent="0.3">
      <c r="A273" s="22" t="s">
        <v>1842</v>
      </c>
      <c r="B273" s="43" t="s">
        <v>1843</v>
      </c>
      <c r="C273" s="52" t="s">
        <v>1595</v>
      </c>
      <c r="D273" s="44"/>
    </row>
    <row r="274" spans="1:4" hidden="1" x14ac:dyDescent="0.3">
      <c r="A274" s="22" t="s">
        <v>1844</v>
      </c>
      <c r="B274" s="43" t="s">
        <v>1845</v>
      </c>
      <c r="C274" s="52" t="s">
        <v>1595</v>
      </c>
      <c r="D274" s="44"/>
    </row>
    <row r="275" spans="1:4" x14ac:dyDescent="0.3">
      <c r="D275"/>
    </row>
    <row r="276" spans="1:4" x14ac:dyDescent="0.3">
      <c r="D276"/>
    </row>
  </sheetData>
  <autoFilter ref="A2:D274" xr:uid="{00000000-0001-0000-0100-000000000000}">
    <filterColumn colId="1">
      <filters>
        <filter val="Archivador TECU Fresno Europeo"/>
        <filter val="Cajonero 2.0 Bicolor Fresno Europeo x65cm"/>
        <filter val="Cajonero 2.0 Bicolor Fresno Europeo x69cm"/>
        <filter val="Cajonero 2.0 Bicolor Fresno Europeo x73cm"/>
        <filter val="Cajonero 2.0 Bicolor Fresno Europeo x77cm"/>
        <filter val="Cajonero 2.0 Unicolor Fresno Europeo x65cm"/>
        <filter val="Cajonero 2.0 Unicolor Fresno Europeo x69cm"/>
        <filter val="Cajonero 2.0 Unicolor Fresno Europeo x73cm"/>
        <filter val="Cajonero 2.0 Unicolor Fresno Europeo x77cm"/>
        <filter val="Repisa Escritorio Fresno Europeo x 110cm"/>
        <filter val="Repisa Escritorio Fresno Europeo x 47cm"/>
        <filter val="Repisa Escritorio Fresno Europeo x 80cm"/>
        <filter val="Repisa Flotante Fresno Europeo x 60cm"/>
        <filter val="Repisa Flotante Fresno Europeo x 70cm"/>
        <filter val="Repisa Flotante Fresno Europeo x 80cm"/>
        <filter val="Repisa TECU Fresno Europeo"/>
        <filter val="Superficie  en L Fresno 140x120cm x60"/>
        <filter val="Superficie  en L Fresno 150x150cm x60"/>
        <filter val="Superficie  en L Fresno 180x150cm x60"/>
        <filter val="Superficie  Fresno Europeo 120x70 Clasico Small"/>
        <filter val="Superficie  Fresno Europeo 130x70 Clasico"/>
        <filter val="Superficie  Fresno Europeo 140x70 Clasico"/>
        <filter val="Superficie  Fresno Europeo 150x70 Clasico"/>
        <filter val="Superficie  Fresno Europeo 150x70 Moderno"/>
        <filter val="Superficie  Fresno Europeo 160x70 Clasico"/>
        <filter val="Superficie  Fresno Europeo 160x70 Moderno"/>
        <filter val="Superficie  Fresno Europeo 170x70 Clasico"/>
        <filter val="Superficie  Fresno Europeo 170x70 Moderno"/>
        <filter val="Superficie  Fresno Europeo 180x70 Clasico"/>
        <filter val="Superficie  Fresno Europeo 180x70 Moderno"/>
        <filter val="Superficie  Fresno Europeo 190x70 Clasico"/>
        <filter val="Superficie  Fresno Europeo 200x70 Clasico"/>
        <filter val="Superficie en L Fresno 180x150cm x 70"/>
        <filter val="Superficie Escritorio Fresno Europeo 120x60 Clasico Small"/>
        <filter val="Superficie Escritorio Fresno Europeo 120x80 Clasico Small"/>
        <filter val="Superficie Escritorio Fresno Europeo 130x60 Clasico"/>
        <filter val="Superficie Escritorio Fresno Europeo 130x80 Clasico"/>
        <filter val="Superficie Escritorio Fresno Europeo 140x60 Clasico"/>
        <filter val="Superficie Escritorio Fresno Europeo 140x80 Clasico"/>
        <filter val="Superficie Escritorio Fresno Europeo 150x60 Clasico"/>
        <filter val="Superficie Escritorio Fresno Europeo 150x80 Clasico"/>
        <filter val="Superficie Escritorio Fresno Europeo 160x60 Clasico"/>
        <filter val="Superficie Escritorio Fresno Europeo 160x80 Clasico"/>
        <filter val="Superficie Escritorio Fresno Europeo 170x60 Clasico"/>
        <filter val="Superficie Escritorio Fresno Europeo 170x80 Clasico"/>
        <filter val="Superficie Escritorio Fresno Europeo 180x60 Clasico"/>
        <filter val="Superficie Escritorio Fresno Europeo 180x80 Clasico"/>
        <filter val="Superficie Escritorio Fresno Europeo 180x80 Moderno"/>
        <filter val="Superficie Escritorio Fresno Europeo 200x60 Clasico"/>
        <filter val="Superficie Escritorio Fresno Europeo 200x80 Clasico"/>
        <filter val="Superficie Escritorio Fresno Europeo en L 150x60"/>
        <filter val="Superficie Escritorio Fresno Europeo en L 150x70"/>
        <filter val="Superficie Escritorio Fresno Europeo en L 180x60"/>
      </filters>
    </filterColumn>
  </autoFilter>
  <mergeCells count="1">
    <mergeCell ref="A1:C1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11"/>
  <sheetViews>
    <sheetView showGridLines="0" topLeftCell="A25" zoomScaleNormal="100" workbookViewId="0">
      <selection activeCell="C41" sqref="C41"/>
    </sheetView>
  </sheetViews>
  <sheetFormatPr baseColWidth="10" defaultRowHeight="14.4" x14ac:dyDescent="0.3"/>
  <cols>
    <col min="1" max="1" width="25.33203125" bestFit="1" customWidth="1"/>
    <col min="2" max="2" width="16.44140625" bestFit="1" customWidth="1"/>
    <col min="3" max="3" width="9.6640625" bestFit="1" customWidth="1"/>
    <col min="4" max="4" width="9.109375" bestFit="1" customWidth="1"/>
    <col min="5" max="5" width="10.5546875" bestFit="1" customWidth="1"/>
    <col min="6" max="6" width="6.88671875" bestFit="1" customWidth="1"/>
    <col min="7" max="7" width="4.88671875" bestFit="1" customWidth="1"/>
    <col min="8" max="8" width="8.5546875" bestFit="1" customWidth="1"/>
    <col min="9" max="9" width="12.33203125" bestFit="1" customWidth="1"/>
    <col min="10" max="10" width="12.5546875" bestFit="1" customWidth="1"/>
    <col min="11" max="11" width="10" bestFit="1" customWidth="1"/>
    <col min="12" max="12" width="38.88671875" bestFit="1" customWidth="1"/>
    <col min="13" max="13" width="15.44140625" bestFit="1" customWidth="1"/>
    <col min="14" max="14" width="11.44140625" bestFit="1" customWidth="1"/>
    <col min="15" max="15" width="11.109375" bestFit="1" customWidth="1"/>
    <col min="16" max="16" width="12.5546875" bestFit="1" customWidth="1"/>
    <col min="17" max="17" width="8" bestFit="1" customWidth="1"/>
    <col min="18" max="18" width="5.6640625" bestFit="1" customWidth="1"/>
    <col min="19" max="19" width="8.5546875" bestFit="1" customWidth="1"/>
    <col min="20" max="20" width="12.33203125" bestFit="1" customWidth="1"/>
  </cols>
  <sheetData>
    <row r="1" spans="1:30" ht="21" x14ac:dyDescent="0.3">
      <c r="A1" s="239" t="s">
        <v>90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13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30" ht="21" x14ac:dyDescent="0.3">
      <c r="A2" s="239"/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13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30" ht="21" x14ac:dyDescent="0.3">
      <c r="A3" s="239"/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30" x14ac:dyDescent="0.3"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x14ac:dyDescent="0.3">
      <c r="A5" s="240" t="s">
        <v>232</v>
      </c>
      <c r="B5" s="240"/>
      <c r="C5" s="240"/>
      <c r="D5" s="240"/>
      <c r="E5" s="240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x14ac:dyDescent="0.3">
      <c r="K6" s="14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s="68" customFormat="1" ht="20.399999999999999" x14ac:dyDescent="0.25">
      <c r="A7" s="66" t="s">
        <v>1</v>
      </c>
      <c r="B7" s="67" t="s">
        <v>260</v>
      </c>
      <c r="L7" s="66" t="s">
        <v>1</v>
      </c>
      <c r="M7" s="67" t="s">
        <v>260</v>
      </c>
      <c r="N7" s="69"/>
      <c r="O7" s="70"/>
      <c r="P7" s="70"/>
    </row>
    <row r="8" spans="1:30" s="68" customFormat="1" ht="13.8" x14ac:dyDescent="0.25">
      <c r="A8" s="66" t="s">
        <v>11</v>
      </c>
      <c r="B8" s="67" t="s">
        <v>244</v>
      </c>
      <c r="L8" s="66" t="s">
        <v>16</v>
      </c>
      <c r="M8" s="67" t="s">
        <v>91</v>
      </c>
    </row>
    <row r="9" spans="1:30" s="68" customFormat="1" ht="13.8" x14ac:dyDescent="0.25">
      <c r="B9" s="71"/>
      <c r="M9" s="71"/>
    </row>
    <row r="10" spans="1:30" s="68" customFormat="1" ht="27.6" x14ac:dyDescent="0.3">
      <c r="A10" s="76" t="s">
        <v>92</v>
      </c>
      <c r="B10" s="66" t="s">
        <v>8</v>
      </c>
      <c r="C10" s="67"/>
      <c r="D10" s="67"/>
      <c r="E10" s="67"/>
      <c r="F10" s="67"/>
      <c r="G10" s="67"/>
      <c r="H10" s="67"/>
      <c r="I10"/>
      <c r="J10" s="67"/>
      <c r="L10" s="76" t="s">
        <v>117</v>
      </c>
      <c r="M10" s="66" t="s">
        <v>8</v>
      </c>
      <c r="N10" s="67"/>
      <c r="O10" s="67"/>
      <c r="P10" s="67"/>
      <c r="Q10" s="67"/>
      <c r="R10" s="67"/>
      <c r="S10" s="67"/>
      <c r="T10"/>
    </row>
    <row r="11" spans="1:30" s="68" customFormat="1" x14ac:dyDescent="0.3">
      <c r="A11" s="66" t="s">
        <v>9</v>
      </c>
      <c r="B11" s="74" t="s">
        <v>55</v>
      </c>
      <c r="C11" s="74" t="s">
        <v>49</v>
      </c>
      <c r="D11" s="74" t="s">
        <v>84</v>
      </c>
      <c r="E11" s="74" t="s">
        <v>64</v>
      </c>
      <c r="F11" s="74" t="s">
        <v>71</v>
      </c>
      <c r="G11" s="74" t="s">
        <v>88</v>
      </c>
      <c r="H11" s="67" t="s">
        <v>284</v>
      </c>
      <c r="I11"/>
      <c r="J11" s="67"/>
      <c r="L11" s="66" t="s">
        <v>9</v>
      </c>
      <c r="M11" s="67" t="s">
        <v>55</v>
      </c>
      <c r="N11" s="67" t="s">
        <v>49</v>
      </c>
      <c r="O11" s="67" t="s">
        <v>84</v>
      </c>
      <c r="P11" s="67" t="s">
        <v>64</v>
      </c>
      <c r="Q11" s="67" t="s">
        <v>71</v>
      </c>
      <c r="R11" s="67" t="s">
        <v>88</v>
      </c>
      <c r="S11" s="67" t="s">
        <v>284</v>
      </c>
      <c r="T11"/>
    </row>
    <row r="12" spans="1:30" s="68" customFormat="1" x14ac:dyDescent="0.3">
      <c r="A12" s="67" t="s">
        <v>21</v>
      </c>
      <c r="B12" s="72">
        <v>0.625</v>
      </c>
      <c r="C12" s="72">
        <v>0.6</v>
      </c>
      <c r="D12" s="72">
        <v>1</v>
      </c>
      <c r="E12" s="72">
        <v>2.6666666666666665</v>
      </c>
      <c r="F12" s="72">
        <v>0</v>
      </c>
      <c r="G12" s="72">
        <v>0</v>
      </c>
      <c r="H12" s="72">
        <v>0</v>
      </c>
      <c r="I12"/>
      <c r="J12" s="72"/>
      <c r="L12" s="67" t="s">
        <v>21</v>
      </c>
      <c r="M12" s="72">
        <v>2</v>
      </c>
      <c r="N12" s="72">
        <v>2.5333333333333332</v>
      </c>
      <c r="O12" s="72">
        <v>2.4285714285714284</v>
      </c>
      <c r="P12" s="72">
        <v>4</v>
      </c>
      <c r="Q12" s="72">
        <v>2</v>
      </c>
      <c r="R12" s="72">
        <v>1</v>
      </c>
      <c r="S12" s="72">
        <v>1</v>
      </c>
      <c r="T12"/>
    </row>
    <row r="13" spans="1:30" s="68" customFormat="1" x14ac:dyDescent="0.3">
      <c r="A13" s="67" t="s">
        <v>24</v>
      </c>
      <c r="B13" s="72">
        <v>0.5</v>
      </c>
      <c r="C13" s="72">
        <v>0.66666666666666663</v>
      </c>
      <c r="D13" s="72">
        <v>1</v>
      </c>
      <c r="E13" s="72"/>
      <c r="F13" s="72"/>
      <c r="G13" s="72"/>
      <c r="H13" s="72">
        <v>0</v>
      </c>
      <c r="I13"/>
      <c r="J13" s="72"/>
      <c r="L13" s="67" t="s">
        <v>24</v>
      </c>
      <c r="M13" s="72">
        <v>1.5</v>
      </c>
      <c r="N13" s="72">
        <v>1.6666666666666667</v>
      </c>
      <c r="O13" s="72">
        <v>2</v>
      </c>
      <c r="P13" s="72"/>
      <c r="Q13" s="72"/>
      <c r="R13" s="72"/>
      <c r="S13" s="72">
        <v>1</v>
      </c>
      <c r="T13"/>
    </row>
    <row r="14" spans="1:30" s="68" customFormat="1" x14ac:dyDescent="0.3">
      <c r="A14" s="67" t="s">
        <v>42</v>
      </c>
      <c r="B14" s="72">
        <v>0</v>
      </c>
      <c r="C14" s="72">
        <v>0</v>
      </c>
      <c r="D14" s="72"/>
      <c r="E14" s="72"/>
      <c r="F14" s="72"/>
      <c r="G14" s="72"/>
      <c r="H14" s="72"/>
      <c r="I14"/>
      <c r="J14" s="72"/>
      <c r="L14" s="67" t="s">
        <v>42</v>
      </c>
      <c r="M14" s="72">
        <v>1</v>
      </c>
      <c r="N14" s="72">
        <v>1</v>
      </c>
      <c r="O14" s="72"/>
      <c r="P14" s="72"/>
      <c r="Q14" s="72"/>
      <c r="R14" s="72"/>
      <c r="S14" s="72"/>
      <c r="T14"/>
    </row>
    <row r="15" spans="1:30" s="68" customFormat="1" x14ac:dyDescent="0.3">
      <c r="A15" s="67" t="s">
        <v>189</v>
      </c>
      <c r="B15" s="72"/>
      <c r="C15" s="72"/>
      <c r="D15" s="72">
        <v>0</v>
      </c>
      <c r="E15" s="72"/>
      <c r="F15" s="72"/>
      <c r="G15" s="72">
        <v>0</v>
      </c>
      <c r="H15" s="72"/>
      <c r="I15"/>
      <c r="J15" s="72"/>
      <c r="L15" s="67" t="s">
        <v>189</v>
      </c>
      <c r="M15" s="72"/>
      <c r="N15" s="72"/>
      <c r="O15" s="72">
        <v>2</v>
      </c>
      <c r="P15" s="72"/>
      <c r="Q15" s="72"/>
      <c r="R15" s="72">
        <v>2</v>
      </c>
      <c r="S15" s="72"/>
      <c r="T15"/>
    </row>
    <row r="16" spans="1:30" s="68" customFormat="1" x14ac:dyDescent="0.3">
      <c r="A16" s="67" t="s">
        <v>194</v>
      </c>
      <c r="B16" s="72">
        <v>0</v>
      </c>
      <c r="C16" s="72">
        <v>0</v>
      </c>
      <c r="D16" s="72"/>
      <c r="E16" s="72"/>
      <c r="F16" s="72"/>
      <c r="G16" s="72"/>
      <c r="H16" s="72"/>
      <c r="I16"/>
      <c r="J16" s="72"/>
      <c r="L16" s="67" t="s">
        <v>194</v>
      </c>
      <c r="M16" s="72">
        <v>2</v>
      </c>
      <c r="N16" s="72">
        <v>2</v>
      </c>
      <c r="O16" s="72"/>
      <c r="P16" s="72"/>
      <c r="Q16" s="72"/>
      <c r="R16" s="72"/>
      <c r="S16" s="72"/>
      <c r="T16"/>
    </row>
    <row r="17" spans="1:20" s="68" customFormat="1" x14ac:dyDescent="0.3">
      <c r="A17" s="67" t="s">
        <v>37</v>
      </c>
      <c r="B17" s="72">
        <v>1</v>
      </c>
      <c r="C17" s="72">
        <v>1</v>
      </c>
      <c r="D17" s="72"/>
      <c r="E17" s="72"/>
      <c r="F17" s="72"/>
      <c r="G17" s="72"/>
      <c r="H17" s="72"/>
      <c r="I17"/>
      <c r="J17" s="72"/>
      <c r="L17" s="67" t="s">
        <v>37</v>
      </c>
      <c r="M17" s="72">
        <v>10</v>
      </c>
      <c r="N17" s="72">
        <v>11</v>
      </c>
      <c r="O17" s="72"/>
      <c r="P17" s="72"/>
      <c r="Q17" s="72"/>
      <c r="R17" s="72"/>
      <c r="S17" s="72"/>
      <c r="T17"/>
    </row>
    <row r="18" spans="1:20" s="68" customFormat="1" x14ac:dyDescent="0.3">
      <c r="A18"/>
      <c r="B18"/>
      <c r="C18"/>
      <c r="D18"/>
      <c r="E18"/>
      <c r="F18"/>
      <c r="G18"/>
      <c r="H18"/>
      <c r="I18"/>
      <c r="J18" s="72"/>
      <c r="L18"/>
      <c r="M18"/>
      <c r="N18"/>
      <c r="O18"/>
      <c r="P18"/>
      <c r="Q18"/>
      <c r="R18"/>
      <c r="S18"/>
      <c r="T18"/>
    </row>
    <row r="19" spans="1:20" s="68" customFormat="1" x14ac:dyDescent="0.3">
      <c r="A19"/>
      <c r="B19"/>
      <c r="C19"/>
      <c r="D19"/>
      <c r="E19"/>
      <c r="F19"/>
      <c r="G19"/>
      <c r="H19"/>
      <c r="I19"/>
      <c r="J19" s="72"/>
      <c r="L19"/>
      <c r="M19"/>
      <c r="N19"/>
      <c r="O19"/>
      <c r="P19"/>
      <c r="Q19"/>
      <c r="R19"/>
      <c r="S19"/>
      <c r="T19"/>
    </row>
    <row r="20" spans="1:20" s="68" customFormat="1" x14ac:dyDescent="0.3">
      <c r="A20"/>
      <c r="B20"/>
      <c r="C20"/>
      <c r="D20"/>
      <c r="E20"/>
      <c r="F20"/>
      <c r="G20"/>
      <c r="H20"/>
      <c r="I20"/>
      <c r="J20" s="72"/>
      <c r="L20"/>
      <c r="M20"/>
      <c r="N20"/>
      <c r="O20"/>
      <c r="P20"/>
      <c r="Q20"/>
      <c r="R20"/>
      <c r="S20"/>
      <c r="T20"/>
    </row>
    <row r="21" spans="1:20" s="68" customFormat="1" x14ac:dyDescent="0.3">
      <c r="A21"/>
      <c r="B21"/>
      <c r="C21"/>
      <c r="D21"/>
      <c r="E21"/>
      <c r="F21"/>
      <c r="G21"/>
      <c r="H21"/>
      <c r="I21"/>
      <c r="L21"/>
      <c r="M21"/>
      <c r="N21"/>
      <c r="O21"/>
      <c r="P21"/>
      <c r="Q21"/>
      <c r="R21"/>
      <c r="S21"/>
      <c r="T21"/>
    </row>
    <row r="22" spans="1:20" s="68" customFormat="1" x14ac:dyDescent="0.3">
      <c r="A22"/>
      <c r="B22"/>
      <c r="C22"/>
      <c r="D22"/>
      <c r="E22"/>
      <c r="F22"/>
      <c r="G22"/>
      <c r="H22"/>
      <c r="I22"/>
      <c r="L22"/>
      <c r="M22"/>
      <c r="N22"/>
      <c r="O22"/>
      <c r="P22"/>
      <c r="Q22"/>
      <c r="R22"/>
      <c r="S22"/>
    </row>
    <row r="23" spans="1:20" s="68" customFormat="1" x14ac:dyDescent="0.3">
      <c r="A23"/>
      <c r="B23"/>
      <c r="C23"/>
      <c r="D23"/>
      <c r="E23"/>
      <c r="F23"/>
      <c r="G23"/>
    </row>
    <row r="24" spans="1:20" s="68" customFormat="1" ht="13.8" x14ac:dyDescent="0.25"/>
    <row r="25" spans="1:20" s="68" customFormat="1" ht="13.8" x14ac:dyDescent="0.25"/>
    <row r="26" spans="1:20" s="68" customFormat="1" ht="13.8" x14ac:dyDescent="0.25"/>
    <row r="27" spans="1:20" s="68" customFormat="1" ht="13.8" x14ac:dyDescent="0.25"/>
    <row r="28" spans="1:20" s="68" customFormat="1" ht="13.8" x14ac:dyDescent="0.25">
      <c r="A28" s="240" t="s">
        <v>233</v>
      </c>
      <c r="B28" s="240"/>
      <c r="C28" s="240"/>
      <c r="D28" s="240"/>
      <c r="E28" s="240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</row>
    <row r="29" spans="1:20" s="68" customFormat="1" ht="13.8" x14ac:dyDescent="0.25"/>
    <row r="30" spans="1:20" s="68" customFormat="1" ht="13.8" x14ac:dyDescent="0.25"/>
    <row r="31" spans="1:20" s="68" customFormat="1" ht="13.8" x14ac:dyDescent="0.25">
      <c r="A31" s="66" t="s">
        <v>1</v>
      </c>
      <c r="B31" s="67" t="s">
        <v>260</v>
      </c>
    </row>
    <row r="32" spans="1:20" s="68" customFormat="1" ht="13.8" x14ac:dyDescent="0.25">
      <c r="A32" s="66" t="s">
        <v>16</v>
      </c>
      <c r="B32" s="67" t="s">
        <v>91</v>
      </c>
    </row>
    <row r="33" spans="1:9" s="68" customFormat="1" ht="13.8" x14ac:dyDescent="0.25">
      <c r="B33" s="71"/>
    </row>
    <row r="34" spans="1:9" s="68" customFormat="1" ht="27.6" x14ac:dyDescent="0.25">
      <c r="A34" s="76" t="s">
        <v>117</v>
      </c>
      <c r="B34" s="66" t="s">
        <v>8</v>
      </c>
      <c r="C34" s="67"/>
      <c r="D34" s="67"/>
      <c r="E34" s="67"/>
      <c r="F34" s="67"/>
      <c r="G34" s="67"/>
      <c r="H34" s="67"/>
      <c r="I34" s="67"/>
    </row>
    <row r="35" spans="1:9" s="68" customFormat="1" ht="13.8" x14ac:dyDescent="0.25">
      <c r="A35" s="66" t="s">
        <v>9</v>
      </c>
      <c r="B35" s="74" t="s">
        <v>55</v>
      </c>
      <c r="C35" s="74" t="s">
        <v>49</v>
      </c>
      <c r="D35" s="74" t="s">
        <v>84</v>
      </c>
      <c r="E35" s="74" t="s">
        <v>64</v>
      </c>
      <c r="F35" s="74" t="s">
        <v>71</v>
      </c>
      <c r="G35" s="74" t="s">
        <v>88</v>
      </c>
      <c r="H35" s="67" t="s">
        <v>284</v>
      </c>
      <c r="I35" s="67" t="s">
        <v>327</v>
      </c>
    </row>
    <row r="36" spans="1:9" s="68" customFormat="1" ht="13.8" x14ac:dyDescent="0.25">
      <c r="A36" s="67" t="s">
        <v>21</v>
      </c>
      <c r="B36" s="72">
        <v>2</v>
      </c>
      <c r="C36" s="72">
        <v>2.5333333333333332</v>
      </c>
      <c r="D36" s="72">
        <v>2.4285714285714284</v>
      </c>
      <c r="E36" s="72">
        <v>4</v>
      </c>
      <c r="F36" s="72">
        <v>2</v>
      </c>
      <c r="G36" s="72">
        <v>1</v>
      </c>
      <c r="H36" s="72">
        <v>1</v>
      </c>
      <c r="I36" s="72" t="e">
        <v>#VALUE!</v>
      </c>
    </row>
    <row r="37" spans="1:9" s="68" customFormat="1" ht="13.8" x14ac:dyDescent="0.25">
      <c r="A37" s="67" t="s">
        <v>24</v>
      </c>
      <c r="B37" s="72">
        <v>1.5</v>
      </c>
      <c r="C37" s="72">
        <v>1.6666666666666667</v>
      </c>
      <c r="D37" s="72">
        <v>2</v>
      </c>
      <c r="E37" s="72"/>
      <c r="F37" s="72"/>
      <c r="G37" s="72"/>
      <c r="H37" s="72">
        <v>1</v>
      </c>
      <c r="I37" s="72" t="e">
        <v>#VALUE!</v>
      </c>
    </row>
    <row r="38" spans="1:9" s="68" customFormat="1" ht="13.8" x14ac:dyDescent="0.25">
      <c r="A38" s="67" t="s">
        <v>42</v>
      </c>
      <c r="B38" s="72">
        <v>1</v>
      </c>
      <c r="C38" s="72">
        <v>1</v>
      </c>
      <c r="D38" s="72"/>
      <c r="E38" s="72"/>
      <c r="F38" s="72"/>
      <c r="G38" s="72"/>
      <c r="H38" s="72"/>
      <c r="I38" s="72"/>
    </row>
    <row r="39" spans="1:9" s="68" customFormat="1" ht="13.8" x14ac:dyDescent="0.25">
      <c r="A39" s="67" t="s">
        <v>189</v>
      </c>
      <c r="B39" s="72"/>
      <c r="C39" s="72"/>
      <c r="D39" s="72">
        <v>2</v>
      </c>
      <c r="E39" s="72"/>
      <c r="F39" s="72"/>
      <c r="G39" s="72">
        <v>2</v>
      </c>
      <c r="H39" s="72"/>
      <c r="I39" s="72"/>
    </row>
    <row r="40" spans="1:9" s="68" customFormat="1" ht="13.8" x14ac:dyDescent="0.25">
      <c r="A40" s="67" t="s">
        <v>194</v>
      </c>
      <c r="B40" s="72">
        <v>2</v>
      </c>
      <c r="C40" s="72">
        <v>2</v>
      </c>
      <c r="D40" s="72"/>
      <c r="E40" s="72"/>
      <c r="F40" s="72"/>
      <c r="G40" s="72"/>
      <c r="H40" s="72"/>
      <c r="I40" s="72"/>
    </row>
    <row r="41" spans="1:9" s="68" customFormat="1" ht="13.8" x14ac:dyDescent="0.25">
      <c r="A41" s="67" t="s">
        <v>37</v>
      </c>
      <c r="B41" s="72">
        <v>10</v>
      </c>
      <c r="C41" s="72">
        <v>11</v>
      </c>
      <c r="D41" s="72"/>
      <c r="E41" s="72"/>
      <c r="F41" s="72"/>
      <c r="G41" s="72"/>
      <c r="H41" s="72"/>
      <c r="I41" s="72"/>
    </row>
    <row r="42" spans="1:9" s="68" customFormat="1" x14ac:dyDescent="0.3">
      <c r="A42"/>
      <c r="B42"/>
      <c r="C42"/>
      <c r="D42"/>
      <c r="E42"/>
      <c r="F42"/>
      <c r="G42"/>
      <c r="H42"/>
      <c r="I42"/>
    </row>
    <row r="43" spans="1:9" s="68" customFormat="1" x14ac:dyDescent="0.3">
      <c r="A43"/>
      <c r="B43"/>
      <c r="C43"/>
      <c r="D43"/>
      <c r="E43"/>
      <c r="F43"/>
      <c r="G43"/>
      <c r="H43"/>
      <c r="I43"/>
    </row>
    <row r="44" spans="1:9" s="68" customFormat="1" x14ac:dyDescent="0.3">
      <c r="A44"/>
      <c r="B44"/>
      <c r="C44"/>
      <c r="D44"/>
      <c r="E44"/>
      <c r="F44"/>
      <c r="G44"/>
      <c r="H44"/>
      <c r="I44"/>
    </row>
    <row r="45" spans="1:9" s="68" customFormat="1" x14ac:dyDescent="0.3">
      <c r="A45"/>
      <c r="B45"/>
      <c r="C45"/>
      <c r="D45"/>
      <c r="E45"/>
      <c r="F45"/>
      <c r="G45"/>
      <c r="H45"/>
      <c r="I45"/>
    </row>
    <row r="46" spans="1:9" s="68" customFormat="1" x14ac:dyDescent="0.3">
      <c r="A46"/>
      <c r="B46"/>
      <c r="C46"/>
      <c r="D46"/>
      <c r="E46"/>
      <c r="F46"/>
      <c r="G46"/>
      <c r="H46"/>
      <c r="I46"/>
    </row>
    <row r="47" spans="1:9" s="68" customFormat="1" x14ac:dyDescent="0.3">
      <c r="A47"/>
      <c r="B47"/>
      <c r="C47"/>
      <c r="D47"/>
      <c r="E47"/>
      <c r="F47"/>
      <c r="G47"/>
    </row>
    <row r="48" spans="1:9" s="68" customFormat="1" ht="13.8" x14ac:dyDescent="0.25"/>
    <row r="49" s="68" customFormat="1" ht="13.8" x14ac:dyDescent="0.25"/>
    <row r="50" s="68" customFormat="1" ht="13.8" x14ac:dyDescent="0.25"/>
    <row r="51" s="68" customFormat="1" ht="13.8" x14ac:dyDescent="0.25"/>
    <row r="52" s="68" customFormat="1" ht="13.8" x14ac:dyDescent="0.25"/>
    <row r="53" s="68" customFormat="1" ht="13.8" x14ac:dyDescent="0.25"/>
    <row r="54" s="68" customFormat="1" ht="13.8" x14ac:dyDescent="0.25"/>
    <row r="55" s="68" customFormat="1" ht="13.8" x14ac:dyDescent="0.25"/>
    <row r="56" s="68" customFormat="1" ht="13.8" x14ac:dyDescent="0.25"/>
    <row r="57" s="68" customFormat="1" ht="13.8" x14ac:dyDescent="0.25"/>
    <row r="58" s="68" customFormat="1" ht="13.8" x14ac:dyDescent="0.25"/>
    <row r="59" s="68" customFormat="1" ht="13.8" x14ac:dyDescent="0.25"/>
    <row r="60" s="68" customFormat="1" ht="13.8" x14ac:dyDescent="0.25"/>
    <row r="61" s="68" customFormat="1" ht="13.8" x14ac:dyDescent="0.25"/>
    <row r="62" s="68" customFormat="1" ht="13.8" x14ac:dyDescent="0.25"/>
    <row r="63" s="68" customFormat="1" ht="13.8" x14ac:dyDescent="0.25"/>
    <row r="64" s="68" customFormat="1" ht="13.8" x14ac:dyDescent="0.25"/>
    <row r="65" s="68" customFormat="1" ht="13.8" x14ac:dyDescent="0.25"/>
    <row r="66" s="68" customFormat="1" ht="13.8" x14ac:dyDescent="0.25"/>
    <row r="67" s="68" customFormat="1" ht="13.8" x14ac:dyDescent="0.25"/>
    <row r="68" s="68" customFormat="1" ht="13.8" x14ac:dyDescent="0.25"/>
    <row r="69" s="68" customFormat="1" ht="13.8" x14ac:dyDescent="0.25"/>
    <row r="70" s="68" customFormat="1" ht="13.8" x14ac:dyDescent="0.25"/>
    <row r="71" s="68" customFormat="1" ht="13.8" x14ac:dyDescent="0.25"/>
    <row r="72" s="68" customFormat="1" ht="13.8" x14ac:dyDescent="0.25"/>
    <row r="73" s="68" customFormat="1" ht="13.8" x14ac:dyDescent="0.25"/>
    <row r="74" s="68" customFormat="1" ht="13.8" x14ac:dyDescent="0.25"/>
    <row r="75" s="68" customFormat="1" ht="13.8" x14ac:dyDescent="0.25"/>
    <row r="76" s="68" customFormat="1" ht="13.8" x14ac:dyDescent="0.25"/>
    <row r="77" s="68" customFormat="1" ht="13.8" x14ac:dyDescent="0.25"/>
    <row r="78" s="68" customFormat="1" ht="13.8" x14ac:dyDescent="0.25"/>
    <row r="79" s="68" customFormat="1" ht="13.8" x14ac:dyDescent="0.25"/>
    <row r="80" s="68" customFormat="1" ht="13.8" x14ac:dyDescent="0.25"/>
    <row r="81" s="68" customFormat="1" ht="13.8" x14ac:dyDescent="0.25"/>
    <row r="82" s="68" customFormat="1" ht="13.8" x14ac:dyDescent="0.25"/>
    <row r="83" s="68" customFormat="1" ht="13.8" x14ac:dyDescent="0.25"/>
    <row r="84" s="68" customFormat="1" ht="13.8" x14ac:dyDescent="0.25"/>
    <row r="85" s="68" customFormat="1" ht="13.8" x14ac:dyDescent="0.25"/>
    <row r="86" s="68" customFormat="1" ht="13.8" x14ac:dyDescent="0.25"/>
    <row r="87" s="68" customFormat="1" ht="13.8" x14ac:dyDescent="0.25"/>
    <row r="88" s="68" customFormat="1" ht="13.8" x14ac:dyDescent="0.25"/>
    <row r="89" s="68" customFormat="1" ht="13.8" x14ac:dyDescent="0.25"/>
    <row r="90" s="68" customFormat="1" ht="13.8" x14ac:dyDescent="0.25"/>
    <row r="91" s="68" customFormat="1" ht="13.8" x14ac:dyDescent="0.25"/>
    <row r="92" s="68" customFormat="1" ht="13.8" x14ac:dyDescent="0.25"/>
    <row r="93" s="68" customFormat="1" ht="13.8" x14ac:dyDescent="0.25"/>
    <row r="94" s="68" customFormat="1" ht="13.8" x14ac:dyDescent="0.25"/>
    <row r="95" s="68" customFormat="1" ht="13.8" x14ac:dyDescent="0.25"/>
    <row r="96" s="68" customFormat="1" ht="13.8" x14ac:dyDescent="0.25"/>
    <row r="97" s="68" customFormat="1" ht="13.8" x14ac:dyDescent="0.25"/>
    <row r="98" s="68" customFormat="1" ht="13.8" x14ac:dyDescent="0.25"/>
    <row r="99" s="68" customFormat="1" ht="13.8" x14ac:dyDescent="0.25"/>
    <row r="100" s="68" customFormat="1" ht="13.8" x14ac:dyDescent="0.25"/>
    <row r="101" s="68" customFormat="1" ht="13.8" x14ac:dyDescent="0.25"/>
    <row r="102" s="68" customFormat="1" ht="13.8" x14ac:dyDescent="0.25"/>
    <row r="103" s="68" customFormat="1" ht="13.8" x14ac:dyDescent="0.25"/>
    <row r="104" s="68" customFormat="1" ht="13.8" x14ac:dyDescent="0.25"/>
    <row r="105" s="68" customFormat="1" ht="13.8" x14ac:dyDescent="0.25"/>
    <row r="106" s="68" customFormat="1" ht="13.8" x14ac:dyDescent="0.25"/>
    <row r="107" s="68" customFormat="1" ht="13.8" x14ac:dyDescent="0.25"/>
    <row r="108" s="68" customFormat="1" ht="13.8" x14ac:dyDescent="0.25"/>
    <row r="109" s="68" customFormat="1" ht="13.8" x14ac:dyDescent="0.25"/>
    <row r="110" s="68" customFormat="1" ht="13.8" x14ac:dyDescent="0.25"/>
    <row r="111" s="68" customFormat="1" ht="13.8" x14ac:dyDescent="0.25"/>
    <row r="112" s="68" customFormat="1" ht="13.8" x14ac:dyDescent="0.25"/>
    <row r="113" s="68" customFormat="1" ht="13.8" x14ac:dyDescent="0.25"/>
    <row r="114" s="68" customFormat="1" ht="13.8" x14ac:dyDescent="0.25"/>
    <row r="115" s="68" customFormat="1" ht="13.8" x14ac:dyDescent="0.25"/>
    <row r="116" s="68" customFormat="1" ht="13.8" x14ac:dyDescent="0.25"/>
    <row r="117" s="68" customFormat="1" ht="13.8" x14ac:dyDescent="0.25"/>
    <row r="118" s="68" customFormat="1" ht="13.8" x14ac:dyDescent="0.25"/>
    <row r="119" s="68" customFormat="1" ht="13.8" x14ac:dyDescent="0.25"/>
    <row r="120" s="68" customFormat="1" ht="13.8" x14ac:dyDescent="0.25"/>
    <row r="121" s="68" customFormat="1" ht="13.8" x14ac:dyDescent="0.25"/>
    <row r="122" s="68" customFormat="1" ht="13.8" x14ac:dyDescent="0.25"/>
    <row r="123" s="68" customFormat="1" ht="13.8" x14ac:dyDescent="0.25"/>
    <row r="124" s="68" customFormat="1" ht="13.8" x14ac:dyDescent="0.25"/>
    <row r="125" s="68" customFormat="1" ht="13.8" x14ac:dyDescent="0.25"/>
    <row r="126" s="68" customFormat="1" ht="13.8" x14ac:dyDescent="0.25"/>
    <row r="127" s="68" customFormat="1" ht="13.8" x14ac:dyDescent="0.25"/>
    <row r="128" s="68" customFormat="1" ht="13.8" x14ac:dyDescent="0.25"/>
    <row r="129" s="68" customFormat="1" ht="13.8" x14ac:dyDescent="0.25"/>
    <row r="130" s="68" customFormat="1" ht="13.8" x14ac:dyDescent="0.25"/>
    <row r="131" s="68" customFormat="1" ht="13.8" x14ac:dyDescent="0.25"/>
    <row r="132" s="68" customFormat="1" ht="13.8" x14ac:dyDescent="0.25"/>
    <row r="133" s="68" customFormat="1" ht="13.8" x14ac:dyDescent="0.25"/>
    <row r="134" s="68" customFormat="1" ht="13.8" x14ac:dyDescent="0.25"/>
    <row r="135" s="68" customFormat="1" ht="13.8" x14ac:dyDescent="0.25"/>
    <row r="136" s="68" customFormat="1" ht="13.8" x14ac:dyDescent="0.25"/>
    <row r="137" s="68" customFormat="1" ht="13.8" x14ac:dyDescent="0.25"/>
    <row r="138" s="68" customFormat="1" ht="13.8" x14ac:dyDescent="0.25"/>
    <row r="139" s="68" customFormat="1" ht="13.8" x14ac:dyDescent="0.25"/>
    <row r="140" s="68" customFormat="1" ht="13.8" x14ac:dyDescent="0.25"/>
    <row r="141" s="68" customFormat="1" ht="13.8" x14ac:dyDescent="0.25"/>
    <row r="142" s="68" customFormat="1" ht="13.8" x14ac:dyDescent="0.25"/>
    <row r="143" s="68" customFormat="1" ht="13.8" x14ac:dyDescent="0.25"/>
    <row r="144" s="68" customFormat="1" ht="13.8" x14ac:dyDescent="0.25"/>
    <row r="145" s="68" customFormat="1" ht="13.8" x14ac:dyDescent="0.25"/>
    <row r="146" s="68" customFormat="1" ht="13.8" x14ac:dyDescent="0.25"/>
    <row r="147" s="68" customFormat="1" ht="13.8" x14ac:dyDescent="0.25"/>
    <row r="148" s="68" customFormat="1" ht="13.8" x14ac:dyDescent="0.25"/>
    <row r="149" s="68" customFormat="1" ht="13.8" x14ac:dyDescent="0.25"/>
    <row r="150" s="68" customFormat="1" ht="13.8" x14ac:dyDescent="0.25"/>
    <row r="151" s="68" customFormat="1" ht="13.8" x14ac:dyDescent="0.25"/>
    <row r="152" s="68" customFormat="1" ht="13.8" x14ac:dyDescent="0.25"/>
    <row r="153" s="68" customFormat="1" ht="13.8" x14ac:dyDescent="0.25"/>
    <row r="154" s="68" customFormat="1" ht="13.8" x14ac:dyDescent="0.25"/>
    <row r="155" s="68" customFormat="1" ht="13.8" x14ac:dyDescent="0.25"/>
    <row r="156" s="68" customFormat="1" ht="13.8" x14ac:dyDescent="0.25"/>
    <row r="157" s="68" customFormat="1" ht="13.8" x14ac:dyDescent="0.25"/>
    <row r="158" s="68" customFormat="1" ht="13.8" x14ac:dyDescent="0.25"/>
    <row r="159" s="68" customFormat="1" ht="13.8" x14ac:dyDescent="0.25"/>
    <row r="160" s="68" customFormat="1" ht="13.8" x14ac:dyDescent="0.25"/>
    <row r="161" s="68" customFormat="1" ht="13.8" x14ac:dyDescent="0.25"/>
    <row r="162" s="68" customFormat="1" ht="13.8" x14ac:dyDescent="0.25"/>
    <row r="163" s="68" customFormat="1" ht="13.8" x14ac:dyDescent="0.25"/>
    <row r="164" s="68" customFormat="1" ht="13.8" x14ac:dyDescent="0.25"/>
    <row r="165" s="68" customFormat="1" ht="13.8" x14ac:dyDescent="0.25"/>
    <row r="166" s="68" customFormat="1" ht="13.8" x14ac:dyDescent="0.25"/>
    <row r="167" s="68" customFormat="1" ht="13.8" x14ac:dyDescent="0.25"/>
    <row r="168" s="68" customFormat="1" ht="13.8" x14ac:dyDescent="0.25"/>
    <row r="169" s="68" customFormat="1" ht="13.8" x14ac:dyDescent="0.25"/>
    <row r="170" s="68" customFormat="1" ht="13.8" x14ac:dyDescent="0.25"/>
    <row r="171" s="68" customFormat="1" ht="13.8" x14ac:dyDescent="0.25"/>
    <row r="172" s="68" customFormat="1" ht="13.8" x14ac:dyDescent="0.25"/>
    <row r="173" s="68" customFormat="1" ht="13.8" x14ac:dyDescent="0.25"/>
    <row r="174" s="68" customFormat="1" ht="13.8" x14ac:dyDescent="0.25"/>
    <row r="175" s="68" customFormat="1" ht="13.8" x14ac:dyDescent="0.25"/>
    <row r="176" s="68" customFormat="1" ht="13.8" x14ac:dyDescent="0.25"/>
    <row r="177" s="68" customFormat="1" ht="13.8" x14ac:dyDescent="0.25"/>
    <row r="178" s="68" customFormat="1" ht="13.8" x14ac:dyDescent="0.25"/>
    <row r="179" s="68" customFormat="1" ht="13.8" x14ac:dyDescent="0.25"/>
    <row r="180" s="68" customFormat="1" ht="13.8" x14ac:dyDescent="0.25"/>
    <row r="181" s="68" customFormat="1" ht="13.8" x14ac:dyDescent="0.25"/>
    <row r="182" s="68" customFormat="1" ht="13.8" x14ac:dyDescent="0.25"/>
    <row r="183" s="68" customFormat="1" ht="13.8" x14ac:dyDescent="0.25"/>
    <row r="184" s="68" customFormat="1" ht="13.8" x14ac:dyDescent="0.25"/>
    <row r="185" s="68" customFormat="1" ht="13.8" x14ac:dyDescent="0.25"/>
    <row r="186" s="68" customFormat="1" ht="13.8" x14ac:dyDescent="0.25"/>
    <row r="187" s="68" customFormat="1" ht="13.8" x14ac:dyDescent="0.25"/>
    <row r="188" s="68" customFormat="1" ht="13.8" x14ac:dyDescent="0.25"/>
    <row r="189" s="68" customFormat="1" ht="13.8" x14ac:dyDescent="0.25"/>
    <row r="190" s="68" customFormat="1" ht="13.8" x14ac:dyDescent="0.25"/>
    <row r="191" s="68" customFormat="1" ht="13.8" x14ac:dyDescent="0.25"/>
    <row r="192" s="68" customFormat="1" ht="13.8" x14ac:dyDescent="0.25"/>
    <row r="193" spans="1:27" s="68" customFormat="1" ht="13.8" x14ac:dyDescent="0.25"/>
    <row r="194" spans="1:27" s="68" customFormat="1" ht="13.8" x14ac:dyDescent="0.25"/>
    <row r="195" spans="1:27" s="68" customFormat="1" ht="13.8" x14ac:dyDescent="0.25"/>
    <row r="196" spans="1:27" s="68" customFormat="1" ht="13.8" x14ac:dyDescent="0.25"/>
    <row r="197" spans="1:27" s="68" customFormat="1" ht="13.8" x14ac:dyDescent="0.25"/>
    <row r="198" spans="1:27" s="68" customFormat="1" ht="13.8" x14ac:dyDescent="0.25"/>
    <row r="199" spans="1:27" s="68" customFormat="1" ht="13.8" x14ac:dyDescent="0.25"/>
    <row r="200" spans="1:27" s="68" customFormat="1" ht="13.8" x14ac:dyDescent="0.25"/>
    <row r="201" spans="1:27" s="68" customFormat="1" ht="13.8" x14ac:dyDescent="0.25"/>
    <row r="202" spans="1:27" s="68" customFormat="1" ht="13.8" x14ac:dyDescent="0.25"/>
    <row r="203" spans="1:27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</sheetData>
  <mergeCells count="3">
    <mergeCell ref="A1:L3"/>
    <mergeCell ref="A5:E5"/>
    <mergeCell ref="A28:E28"/>
  </mergeCells>
  <pageMargins left="0.7" right="0.7" top="0.75" bottom="0.75" header="0.3" footer="0.3"/>
  <pageSetup orientation="portrait" horizontalDpi="300" verticalDpi="30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6"/>
  <sheetViews>
    <sheetView showGridLines="0" topLeftCell="A31" zoomScaleNormal="100" workbookViewId="0">
      <selection activeCell="E53" sqref="E53"/>
    </sheetView>
  </sheetViews>
  <sheetFormatPr baseColWidth="10" defaultColWidth="11.44140625" defaultRowHeight="13.2" x14ac:dyDescent="0.25"/>
  <cols>
    <col min="1" max="1" width="19.33203125" style="82" bestFit="1" customWidth="1"/>
    <col min="2" max="2" width="11.88671875" style="82" bestFit="1" customWidth="1"/>
    <col min="3" max="6" width="17.109375" style="82" bestFit="1" customWidth="1"/>
    <col min="7" max="7" width="13.33203125" style="82" bestFit="1" customWidth="1"/>
    <col min="8" max="8" width="17.5546875" style="82" bestFit="1" customWidth="1"/>
    <col min="9" max="16384" width="11.44140625" style="82"/>
  </cols>
  <sheetData>
    <row r="1" spans="1:8" s="79" customFormat="1" ht="25.5" customHeight="1" x14ac:dyDescent="0.3">
      <c r="A1" s="243" t="s">
        <v>237</v>
      </c>
      <c r="B1" s="243"/>
      <c r="C1" s="243"/>
      <c r="D1" s="243"/>
      <c r="E1" s="77">
        <f>D2*E31</f>
        <v>961.97777777777776</v>
      </c>
      <c r="F1" s="78"/>
      <c r="G1" s="78"/>
      <c r="H1" s="78"/>
    </row>
    <row r="2" spans="1:8" s="74" customFormat="1" ht="31.5" customHeight="1" x14ac:dyDescent="0.3">
      <c r="A2" s="241" t="s">
        <v>234</v>
      </c>
      <c r="B2" s="242"/>
      <c r="C2" s="242"/>
      <c r="D2" s="81">
        <f>B13/(B13+C13)</f>
        <v>0.81111111111111112</v>
      </c>
      <c r="E2" s="80" t="s">
        <v>236</v>
      </c>
      <c r="F2" s="80"/>
      <c r="G2" s="80"/>
      <c r="H2" s="80"/>
    </row>
    <row r="4" spans="1:8" x14ac:dyDescent="0.25">
      <c r="A4" s="75" t="s">
        <v>3</v>
      </c>
      <c r="B4" s="74" t="s">
        <v>20</v>
      </c>
    </row>
    <row r="5" spans="1:8" x14ac:dyDescent="0.25">
      <c r="A5" s="75" t="s">
        <v>16</v>
      </c>
      <c r="B5" s="74" t="s">
        <v>91</v>
      </c>
    </row>
    <row r="7" spans="1:8" x14ac:dyDescent="0.25">
      <c r="A7" s="75" t="s">
        <v>95</v>
      </c>
      <c r="B7" s="75" t="s">
        <v>231</v>
      </c>
      <c r="C7" s="74"/>
      <c r="D7" s="74"/>
      <c r="E7" s="74"/>
      <c r="F7" s="74"/>
      <c r="G7" s="74"/>
    </row>
    <row r="8" spans="1:8" x14ac:dyDescent="0.25">
      <c r="A8" s="75" t="s">
        <v>1</v>
      </c>
      <c r="B8" s="74" t="s">
        <v>104</v>
      </c>
      <c r="C8" s="74" t="s">
        <v>105</v>
      </c>
      <c r="D8" s="74" t="s">
        <v>318</v>
      </c>
      <c r="E8" s="74" t="s">
        <v>286</v>
      </c>
      <c r="F8" s="74" t="s">
        <v>319</v>
      </c>
      <c r="G8" s="74" t="s">
        <v>102</v>
      </c>
    </row>
    <row r="9" spans="1:8" x14ac:dyDescent="0.25">
      <c r="A9" s="74" t="s">
        <v>96</v>
      </c>
      <c r="B9" s="74">
        <v>70</v>
      </c>
      <c r="C9" s="74">
        <v>25</v>
      </c>
      <c r="D9" s="74"/>
      <c r="E9" s="74"/>
      <c r="F9" s="74"/>
      <c r="G9" s="74">
        <v>95</v>
      </c>
      <c r="H9" s="83"/>
    </row>
    <row r="10" spans="1:8" x14ac:dyDescent="0.25">
      <c r="A10" s="74" t="s">
        <v>97</v>
      </c>
      <c r="B10" s="74">
        <v>86</v>
      </c>
      <c r="C10" s="74">
        <v>5</v>
      </c>
      <c r="D10" s="74"/>
      <c r="E10" s="74"/>
      <c r="F10" s="74"/>
      <c r="G10" s="74">
        <v>91</v>
      </c>
      <c r="H10" s="83"/>
    </row>
    <row r="11" spans="1:8" x14ac:dyDescent="0.25">
      <c r="A11" s="74" t="s">
        <v>249</v>
      </c>
      <c r="B11" s="74">
        <v>60</v>
      </c>
      <c r="C11" s="74">
        <v>5</v>
      </c>
      <c r="D11" s="74"/>
      <c r="E11" s="74"/>
      <c r="F11" s="74"/>
      <c r="G11" s="74">
        <v>65</v>
      </c>
      <c r="H11" s="83"/>
    </row>
    <row r="12" spans="1:8" x14ac:dyDescent="0.25">
      <c r="A12" s="74" t="s">
        <v>254</v>
      </c>
      <c r="B12" s="74">
        <v>111</v>
      </c>
      <c r="C12" s="74">
        <v>24</v>
      </c>
      <c r="D12" s="74"/>
      <c r="E12" s="74">
        <v>3</v>
      </c>
      <c r="F12" s="74"/>
      <c r="G12" s="74">
        <v>138</v>
      </c>
      <c r="H12" s="83"/>
    </row>
    <row r="13" spans="1:8" x14ac:dyDescent="0.25">
      <c r="A13" s="74" t="s">
        <v>260</v>
      </c>
      <c r="B13" s="74">
        <v>73</v>
      </c>
      <c r="C13" s="74">
        <v>17</v>
      </c>
      <c r="D13" s="74"/>
      <c r="E13" s="74">
        <v>12</v>
      </c>
      <c r="F13" s="74"/>
      <c r="G13" s="74">
        <v>102</v>
      </c>
      <c r="H13" s="83"/>
    </row>
    <row r="14" spans="1:8" x14ac:dyDescent="0.25">
      <c r="A14" s="74" t="s">
        <v>278</v>
      </c>
      <c r="B14" s="74">
        <v>80</v>
      </c>
      <c r="C14" s="74">
        <v>8</v>
      </c>
      <c r="D14" s="74"/>
      <c r="E14" s="74">
        <v>5</v>
      </c>
      <c r="F14" s="74"/>
      <c r="G14" s="74">
        <v>93</v>
      </c>
      <c r="H14" s="83"/>
    </row>
    <row r="15" spans="1:8" x14ac:dyDescent="0.25">
      <c r="A15" s="74" t="s">
        <v>279</v>
      </c>
      <c r="B15" s="74">
        <v>80</v>
      </c>
      <c r="C15" s="74">
        <v>16</v>
      </c>
      <c r="D15" s="74"/>
      <c r="E15" s="74">
        <v>9</v>
      </c>
      <c r="F15" s="74"/>
      <c r="G15" s="74">
        <v>105</v>
      </c>
      <c r="H15" s="83"/>
    </row>
    <row r="16" spans="1:8" x14ac:dyDescent="0.25">
      <c r="A16" s="74" t="s">
        <v>283</v>
      </c>
      <c r="B16" s="74">
        <v>44</v>
      </c>
      <c r="C16" s="74">
        <v>19</v>
      </c>
      <c r="D16" s="74"/>
      <c r="E16" s="74">
        <v>6</v>
      </c>
      <c r="F16" s="74"/>
      <c r="G16" s="74">
        <v>69</v>
      </c>
      <c r="H16" s="83"/>
    </row>
    <row r="17" spans="1:10" x14ac:dyDescent="0.25">
      <c r="A17" s="74" t="s">
        <v>288</v>
      </c>
      <c r="B17" s="74">
        <v>50</v>
      </c>
      <c r="C17" s="74">
        <v>12</v>
      </c>
      <c r="D17" s="74"/>
      <c r="E17" s="74">
        <v>3</v>
      </c>
      <c r="F17" s="74">
        <v>2</v>
      </c>
      <c r="G17" s="74">
        <v>67</v>
      </c>
      <c r="H17" s="83"/>
    </row>
    <row r="18" spans="1:10" x14ac:dyDescent="0.25">
      <c r="A18" s="74" t="s">
        <v>293</v>
      </c>
      <c r="B18" s="74">
        <v>76</v>
      </c>
      <c r="C18" s="74">
        <v>12</v>
      </c>
      <c r="D18" s="74"/>
      <c r="E18" s="74">
        <v>12</v>
      </c>
      <c r="F18" s="74">
        <v>1</v>
      </c>
      <c r="G18" s="74">
        <v>101</v>
      </c>
      <c r="H18" s="83"/>
    </row>
    <row r="19" spans="1:10" x14ac:dyDescent="0.25">
      <c r="A19" s="74" t="s">
        <v>294</v>
      </c>
      <c r="B19" s="74">
        <v>115</v>
      </c>
      <c r="C19" s="74">
        <v>31</v>
      </c>
      <c r="D19" s="74"/>
      <c r="E19" s="74">
        <v>12</v>
      </c>
      <c r="F19" s="74"/>
      <c r="G19" s="74">
        <v>158</v>
      </c>
      <c r="H19" s="83"/>
    </row>
    <row r="20" spans="1:10" x14ac:dyDescent="0.25">
      <c r="A20" s="74" t="s">
        <v>297</v>
      </c>
      <c r="B20" s="74">
        <v>49</v>
      </c>
      <c r="C20" s="74">
        <v>30</v>
      </c>
      <c r="D20" s="74">
        <v>1</v>
      </c>
      <c r="E20" s="74">
        <v>3</v>
      </c>
      <c r="F20" s="74"/>
      <c r="G20" s="74">
        <v>83</v>
      </c>
      <c r="H20" s="83"/>
    </row>
    <row r="21" spans="1:10" x14ac:dyDescent="0.25">
      <c r="A21" s="74" t="s">
        <v>102</v>
      </c>
      <c r="B21" s="74">
        <v>894</v>
      </c>
      <c r="C21" s="74">
        <v>204</v>
      </c>
      <c r="D21" s="74">
        <v>1</v>
      </c>
      <c r="E21" s="74">
        <v>65</v>
      </c>
      <c r="F21" s="74">
        <v>3</v>
      </c>
      <c r="G21" s="74">
        <v>1167</v>
      </c>
      <c r="H21" s="83"/>
    </row>
    <row r="22" spans="1:10" ht="13.8" x14ac:dyDescent="0.25">
      <c r="A22" s="74"/>
      <c r="B22" s="74"/>
      <c r="C22" s="74"/>
      <c r="D22" s="74"/>
      <c r="E22" s="68"/>
      <c r="F22" s="68"/>
      <c r="G22" s="68"/>
      <c r="H22" s="83"/>
    </row>
    <row r="23" spans="1:10" ht="13.8" x14ac:dyDescent="0.25">
      <c r="A23" s="74"/>
      <c r="B23" s="74"/>
      <c r="C23" s="74"/>
      <c r="D23" s="74"/>
      <c r="E23" s="68"/>
      <c r="F23" s="68"/>
      <c r="G23" s="68"/>
      <c r="H23" s="83"/>
    </row>
    <row r="24" spans="1:10" ht="13.8" x14ac:dyDescent="0.25">
      <c r="A24" s="74"/>
      <c r="B24" s="74"/>
      <c r="C24" s="74"/>
      <c r="D24" s="74"/>
      <c r="E24" s="68"/>
      <c r="F24" s="68"/>
      <c r="G24" s="68"/>
      <c r="H24" s="83"/>
    </row>
    <row r="25" spans="1:10" ht="13.8" x14ac:dyDescent="0.25">
      <c r="A25" s="74"/>
      <c r="B25" s="74"/>
      <c r="C25" s="74"/>
      <c r="D25" s="74"/>
      <c r="E25" s="68"/>
      <c r="F25" s="68"/>
      <c r="G25" s="68"/>
      <c r="H25" s="83"/>
    </row>
    <row r="26" spans="1:10" ht="13.8" x14ac:dyDescent="0.25">
      <c r="A26" s="74"/>
      <c r="B26" s="74"/>
      <c r="C26" s="74"/>
      <c r="D26" s="74"/>
      <c r="E26" s="68"/>
      <c r="F26" s="68"/>
      <c r="G26" s="68"/>
      <c r="H26" s="83"/>
    </row>
    <row r="27" spans="1:10" ht="13.8" x14ac:dyDescent="0.25">
      <c r="A27" s="74"/>
      <c r="B27" s="74"/>
      <c r="C27" s="74"/>
      <c r="D27" s="74"/>
      <c r="E27" s="68"/>
      <c r="F27" s="68"/>
      <c r="G27" s="68"/>
      <c r="H27" s="83"/>
    </row>
    <row r="28" spans="1:10" ht="13.8" x14ac:dyDescent="0.25">
      <c r="A28" s="74"/>
      <c r="B28" s="74"/>
      <c r="C28" s="74"/>
      <c r="D28" s="74"/>
      <c r="E28" s="68"/>
      <c r="F28" s="68"/>
      <c r="G28" s="68"/>
      <c r="H28" s="83"/>
    </row>
    <row r="29" spans="1:10" ht="13.8" x14ac:dyDescent="0.25">
      <c r="A29" s="74"/>
      <c r="B29" s="74"/>
      <c r="C29" s="74"/>
      <c r="D29" s="74"/>
      <c r="E29" s="68"/>
      <c r="F29" s="68"/>
      <c r="G29" s="68"/>
      <c r="H29" s="83"/>
    </row>
    <row r="30" spans="1:10" ht="13.8" x14ac:dyDescent="0.25">
      <c r="A30" s="68"/>
      <c r="B30" s="68"/>
      <c r="C30" s="68"/>
      <c r="D30" s="68"/>
      <c r="E30" s="68"/>
      <c r="F30" s="68"/>
      <c r="G30" s="68"/>
      <c r="H30" s="83"/>
    </row>
    <row r="31" spans="1:10" s="79" customFormat="1" ht="25.5" customHeight="1" x14ac:dyDescent="0.3">
      <c r="A31" s="242" t="s">
        <v>235</v>
      </c>
      <c r="B31" s="242"/>
      <c r="C31" s="242"/>
      <c r="D31" s="242"/>
      <c r="E31" s="84">
        <f>B37/$B$38</f>
        <v>1186</v>
      </c>
      <c r="F31" s="80"/>
      <c r="G31" s="80"/>
      <c r="H31" s="80"/>
      <c r="J31" s="85"/>
    </row>
    <row r="32" spans="1:10" ht="13.8" x14ac:dyDescent="0.25">
      <c r="A32" s="75" t="s">
        <v>1</v>
      </c>
      <c r="B32" s="74" t="s">
        <v>103</v>
      </c>
      <c r="F32" s="68"/>
      <c r="G32" s="68"/>
      <c r="H32" s="86"/>
    </row>
    <row r="33" spans="1:8" ht="13.8" x14ac:dyDescent="0.25">
      <c r="F33" s="68"/>
      <c r="G33" s="68"/>
      <c r="H33" s="86"/>
    </row>
    <row r="34" spans="1:8" ht="13.8" x14ac:dyDescent="0.25">
      <c r="A34" s="75" t="s">
        <v>95</v>
      </c>
      <c r="B34" s="74"/>
      <c r="C34" s="68"/>
      <c r="D34" s="68"/>
      <c r="E34" s="68"/>
      <c r="F34" s="68"/>
      <c r="G34" s="68"/>
      <c r="H34" s="86"/>
    </row>
    <row r="35" spans="1:8" ht="13.8" x14ac:dyDescent="0.25">
      <c r="A35" s="75" t="s">
        <v>3</v>
      </c>
      <c r="B35" s="74" t="s">
        <v>99</v>
      </c>
      <c r="C35" s="68"/>
      <c r="D35" s="68"/>
      <c r="E35" s="68"/>
      <c r="F35" s="68"/>
      <c r="G35" s="68"/>
      <c r="H35" s="86"/>
    </row>
    <row r="36" spans="1:8" ht="13.8" x14ac:dyDescent="0.25">
      <c r="A36" s="74" t="s">
        <v>35</v>
      </c>
      <c r="B36" s="74">
        <v>13</v>
      </c>
      <c r="C36" s="68"/>
      <c r="D36" s="68"/>
      <c r="E36" s="68"/>
      <c r="F36" s="68"/>
      <c r="G36" s="74"/>
      <c r="H36" s="86"/>
    </row>
    <row r="37" spans="1:8" ht="13.8" x14ac:dyDescent="0.25">
      <c r="A37" s="74" t="s">
        <v>20</v>
      </c>
      <c r="B37" s="74">
        <v>1186</v>
      </c>
      <c r="C37" s="68"/>
      <c r="D37" s="68"/>
      <c r="E37" s="68"/>
      <c r="F37" s="68"/>
      <c r="G37" s="83"/>
    </row>
    <row r="38" spans="1:8" ht="13.8" x14ac:dyDescent="0.25">
      <c r="A38" s="74" t="s">
        <v>252</v>
      </c>
      <c r="B38" s="74">
        <v>1</v>
      </c>
      <c r="C38" s="68"/>
      <c r="D38" s="68"/>
      <c r="E38" s="68"/>
      <c r="F38" s="68"/>
      <c r="G38" s="83"/>
    </row>
    <row r="39" spans="1:8" ht="13.8" x14ac:dyDescent="0.25">
      <c r="A39" s="74" t="s">
        <v>274</v>
      </c>
      <c r="B39" s="74">
        <v>4</v>
      </c>
      <c r="C39" s="68"/>
      <c r="D39" s="74"/>
      <c r="E39" s="74"/>
      <c r="F39" s="74"/>
      <c r="G39" s="83"/>
    </row>
    <row r="40" spans="1:8" ht="13.8" x14ac:dyDescent="0.25">
      <c r="A40" s="74" t="s">
        <v>275</v>
      </c>
      <c r="B40" s="74">
        <v>4</v>
      </c>
      <c r="C40" s="68"/>
      <c r="D40" s="74"/>
      <c r="E40" s="74"/>
      <c r="F40" s="74"/>
      <c r="G40" s="83"/>
    </row>
    <row r="41" spans="1:8" ht="13.8" x14ac:dyDescent="0.25">
      <c r="A41" s="74" t="s">
        <v>287</v>
      </c>
      <c r="B41" s="74">
        <v>1</v>
      </c>
      <c r="C41" s="68"/>
      <c r="D41" s="74"/>
      <c r="E41" s="74"/>
      <c r="F41" s="74"/>
      <c r="G41" s="83"/>
    </row>
    <row r="42" spans="1:8" x14ac:dyDescent="0.25">
      <c r="A42" s="74" t="s">
        <v>296</v>
      </c>
      <c r="B42" s="74">
        <v>1</v>
      </c>
      <c r="C42" s="83"/>
    </row>
    <row r="43" spans="1:8" x14ac:dyDescent="0.25">
      <c r="A43" s="74" t="s">
        <v>102</v>
      </c>
      <c r="B43" s="74">
        <v>1210</v>
      </c>
    </row>
    <row r="44" spans="1:8" x14ac:dyDescent="0.25">
      <c r="A44" s="74"/>
      <c r="B44" s="74"/>
    </row>
    <row r="45" spans="1:8" x14ac:dyDescent="0.25">
      <c r="A45" s="74"/>
      <c r="B45" s="74"/>
    </row>
    <row r="46" spans="1:8" x14ac:dyDescent="0.25">
      <c r="A46" s="74"/>
      <c r="B46" s="74"/>
    </row>
    <row r="47" spans="1:8" x14ac:dyDescent="0.25">
      <c r="C47" s="87" t="s">
        <v>109</v>
      </c>
    </row>
    <row r="48" spans="1:8" ht="26.4" x14ac:dyDescent="0.25">
      <c r="A48" s="88" t="s">
        <v>6</v>
      </c>
      <c r="B48" s="87" t="s">
        <v>100</v>
      </c>
      <c r="C48" s="87" t="s">
        <v>119</v>
      </c>
      <c r="D48" s="87" t="s">
        <v>101</v>
      </c>
      <c r="E48" s="89" t="s">
        <v>165</v>
      </c>
      <c r="F48" s="89" t="s">
        <v>164</v>
      </c>
      <c r="G48" s="89" t="s">
        <v>163</v>
      </c>
      <c r="H48" s="89" t="s">
        <v>166</v>
      </c>
    </row>
    <row r="49" spans="1:8" s="95" customFormat="1" ht="26.4" x14ac:dyDescent="0.25">
      <c r="A49" s="90" t="s">
        <v>124</v>
      </c>
      <c r="B49" s="91">
        <v>17</v>
      </c>
      <c r="C49" s="91">
        <f t="shared" ref="C49:C58" si="0">B49*4</f>
        <v>68</v>
      </c>
      <c r="D49" s="90">
        <v>79</v>
      </c>
      <c r="E49" s="92">
        <v>122</v>
      </c>
      <c r="F49" s="92">
        <v>1.46</v>
      </c>
      <c r="G49" s="93">
        <v>4444.3599999999997</v>
      </c>
      <c r="H49" s="94">
        <f t="shared" ref="H49:H55" si="1">((E49*F49)*G49)*D49</f>
        <v>62538722.852799997</v>
      </c>
    </row>
    <row r="50" spans="1:8" s="95" customFormat="1" ht="26.4" x14ac:dyDescent="0.25">
      <c r="A50" s="90" t="s">
        <v>159</v>
      </c>
      <c r="B50" s="91">
        <v>2</v>
      </c>
      <c r="C50" s="91">
        <f t="shared" si="0"/>
        <v>8</v>
      </c>
      <c r="D50" s="90">
        <v>0</v>
      </c>
      <c r="E50" s="92">
        <v>122</v>
      </c>
      <c r="F50" s="92">
        <v>1.46</v>
      </c>
      <c r="G50" s="93">
        <v>4444.3599999999997</v>
      </c>
      <c r="H50" s="94">
        <f t="shared" si="1"/>
        <v>0</v>
      </c>
    </row>
    <row r="51" spans="1:8" s="95" customFormat="1" ht="26.4" x14ac:dyDescent="0.25">
      <c r="A51" s="90" t="s">
        <v>128</v>
      </c>
      <c r="B51" s="91">
        <v>4</v>
      </c>
      <c r="C51" s="91">
        <f t="shared" si="0"/>
        <v>16</v>
      </c>
      <c r="D51" s="90">
        <v>21</v>
      </c>
      <c r="E51" s="92">
        <v>122</v>
      </c>
      <c r="F51" s="92">
        <v>1.46</v>
      </c>
      <c r="G51" s="93">
        <v>4444.3599999999997</v>
      </c>
      <c r="H51" s="94">
        <f t="shared" si="1"/>
        <v>16624217.467199998</v>
      </c>
    </row>
    <row r="52" spans="1:8" s="95" customFormat="1" ht="26.4" x14ac:dyDescent="0.25">
      <c r="A52" s="90" t="s">
        <v>160</v>
      </c>
      <c r="B52" s="91">
        <v>15</v>
      </c>
      <c r="C52" s="91">
        <v>60</v>
      </c>
      <c r="D52" s="96">
        <v>58</v>
      </c>
      <c r="E52" s="92">
        <v>125</v>
      </c>
      <c r="F52" s="92">
        <v>1.46</v>
      </c>
      <c r="G52" s="93">
        <v>4444.3599999999997</v>
      </c>
      <c r="H52" s="94">
        <f t="shared" si="1"/>
        <v>47043550.599999994</v>
      </c>
    </row>
    <row r="53" spans="1:8" s="95" customFormat="1" ht="26.4" x14ac:dyDescent="0.25">
      <c r="A53" s="90" t="s">
        <v>674</v>
      </c>
      <c r="B53" s="91">
        <v>15</v>
      </c>
      <c r="C53" s="91">
        <v>60</v>
      </c>
      <c r="D53" s="96">
        <v>15</v>
      </c>
      <c r="E53" s="92">
        <v>125</v>
      </c>
      <c r="F53" s="92">
        <v>1.46</v>
      </c>
      <c r="G53" s="93">
        <v>4444.3599999999997</v>
      </c>
      <c r="H53" s="94">
        <f>((E53*F53)*G53)*D53</f>
        <v>12166435.5</v>
      </c>
    </row>
    <row r="54" spans="1:8" s="95" customFormat="1" ht="26.4" x14ac:dyDescent="0.25">
      <c r="A54" s="90" t="s">
        <v>161</v>
      </c>
      <c r="B54" s="91">
        <v>3.3333333333333335</v>
      </c>
      <c r="C54" s="91">
        <v>13</v>
      </c>
      <c r="D54" s="96">
        <v>0</v>
      </c>
      <c r="E54" s="92">
        <v>125</v>
      </c>
      <c r="F54" s="92">
        <v>1.46</v>
      </c>
      <c r="G54" s="93">
        <v>4444.3599999999997</v>
      </c>
      <c r="H54" s="94">
        <f t="shared" si="1"/>
        <v>0</v>
      </c>
    </row>
    <row r="55" spans="1:8" s="95" customFormat="1" ht="26.4" x14ac:dyDescent="0.25">
      <c r="A55" s="90" t="s">
        <v>162</v>
      </c>
      <c r="B55" s="91">
        <v>4</v>
      </c>
      <c r="C55" s="91">
        <f t="shared" si="0"/>
        <v>16</v>
      </c>
      <c r="D55" s="90">
        <v>17</v>
      </c>
      <c r="E55" s="92">
        <v>125</v>
      </c>
      <c r="F55" s="92">
        <v>1.46</v>
      </c>
      <c r="G55" s="93">
        <v>4444.3599999999997</v>
      </c>
      <c r="H55" s="94">
        <f t="shared" si="1"/>
        <v>13788626.899999999</v>
      </c>
    </row>
    <row r="56" spans="1:8" s="95" customFormat="1" ht="26.4" x14ac:dyDescent="0.25">
      <c r="A56" s="90" t="s">
        <v>675</v>
      </c>
      <c r="B56" s="91">
        <v>4</v>
      </c>
      <c r="C56" s="91">
        <f>B56*4</f>
        <v>16</v>
      </c>
      <c r="D56" s="90">
        <v>5</v>
      </c>
      <c r="E56" s="92">
        <v>125</v>
      </c>
      <c r="F56" s="92">
        <v>1.46</v>
      </c>
      <c r="G56" s="93">
        <v>4444.3599999999997</v>
      </c>
      <c r="H56" s="94">
        <f>((E56*F56)*G56)*D56</f>
        <v>4055478.5</v>
      </c>
    </row>
    <row r="57" spans="1:8" s="95" customFormat="1" ht="39.6" x14ac:dyDescent="0.25">
      <c r="A57" s="90" t="s">
        <v>56</v>
      </c>
      <c r="B57" s="91">
        <v>3</v>
      </c>
      <c r="C57" s="91">
        <f t="shared" si="0"/>
        <v>12</v>
      </c>
      <c r="D57" s="90">
        <v>31</v>
      </c>
      <c r="E57" s="92">
        <v>125</v>
      </c>
      <c r="F57" s="92">
        <v>1.46</v>
      </c>
      <c r="G57" s="93">
        <v>4444.3599999999997</v>
      </c>
      <c r="H57" s="94">
        <f>((E57*F57)*G57)*D57</f>
        <v>25143966.699999999</v>
      </c>
    </row>
    <row r="58" spans="1:8" x14ac:dyDescent="0.25">
      <c r="A58" s="97"/>
      <c r="B58" s="98">
        <f>SUM(B49:B57)</f>
        <v>67.333333333333343</v>
      </c>
      <c r="C58" s="98">
        <f t="shared" si="0"/>
        <v>269.33333333333337</v>
      </c>
      <c r="D58" s="98">
        <f>SUM(D49:D57)</f>
        <v>226</v>
      </c>
      <c r="E58" s="99"/>
      <c r="F58" s="99"/>
      <c r="G58" s="99"/>
      <c r="H58" s="100">
        <f>SUM(H49:H57)</f>
        <v>181360998.51999998</v>
      </c>
    </row>
    <row r="59" spans="1:8" x14ac:dyDescent="0.25">
      <c r="H59" s="101">
        <f>D76</f>
        <v>4508229</v>
      </c>
    </row>
    <row r="60" spans="1:8" x14ac:dyDescent="0.25">
      <c r="H60" s="102">
        <f>SUM(H58:H59)</f>
        <v>185869227.51999998</v>
      </c>
    </row>
    <row r="62" spans="1:8" ht="26.4" x14ac:dyDescent="0.25">
      <c r="A62" s="103" t="s">
        <v>49</v>
      </c>
      <c r="B62" s="104" t="s">
        <v>101</v>
      </c>
      <c r="C62" s="104" t="s">
        <v>166</v>
      </c>
      <c r="D62" s="104" t="s">
        <v>181</v>
      </c>
    </row>
    <row r="63" spans="1:8" x14ac:dyDescent="0.25">
      <c r="A63" s="105" t="s">
        <v>169</v>
      </c>
      <c r="B63" s="106">
        <v>3</v>
      </c>
      <c r="C63" s="107">
        <v>195840</v>
      </c>
      <c r="D63" s="101">
        <f t="shared" ref="D63:D74" si="2">C63*B63</f>
        <v>587520</v>
      </c>
    </row>
    <row r="64" spans="1:8" x14ac:dyDescent="0.25">
      <c r="A64" s="106" t="s">
        <v>170</v>
      </c>
      <c r="B64" s="106">
        <v>1</v>
      </c>
      <c r="C64" s="107">
        <v>195840</v>
      </c>
      <c r="D64" s="101">
        <f t="shared" si="2"/>
        <v>195840</v>
      </c>
    </row>
    <row r="65" spans="1:7" x14ac:dyDescent="0.25">
      <c r="A65" s="106" t="s">
        <v>171</v>
      </c>
      <c r="B65" s="106">
        <v>5</v>
      </c>
      <c r="C65" s="107">
        <v>249154</v>
      </c>
      <c r="D65" s="101">
        <f t="shared" si="2"/>
        <v>1245770</v>
      </c>
    </row>
    <row r="66" spans="1:7" x14ac:dyDescent="0.25">
      <c r="A66" s="106" t="s">
        <v>172</v>
      </c>
      <c r="B66" s="106">
        <v>2</v>
      </c>
      <c r="C66" s="107">
        <v>249154</v>
      </c>
      <c r="D66" s="101">
        <f t="shared" si="2"/>
        <v>498308</v>
      </c>
    </row>
    <row r="67" spans="1:7" x14ac:dyDescent="0.25">
      <c r="A67" s="105" t="s">
        <v>173</v>
      </c>
      <c r="B67" s="106">
        <v>0</v>
      </c>
      <c r="C67" s="107">
        <v>167849</v>
      </c>
      <c r="D67" s="101">
        <f t="shared" si="2"/>
        <v>0</v>
      </c>
    </row>
    <row r="68" spans="1:7" x14ac:dyDescent="0.25">
      <c r="A68" s="106" t="s">
        <v>174</v>
      </c>
      <c r="B68" s="106">
        <v>1</v>
      </c>
      <c r="C68" s="107">
        <v>167849</v>
      </c>
      <c r="D68" s="101">
        <f t="shared" si="2"/>
        <v>167849</v>
      </c>
    </row>
    <row r="69" spans="1:7" x14ac:dyDescent="0.25">
      <c r="A69" s="106" t="s">
        <v>175</v>
      </c>
      <c r="B69" s="106">
        <v>5</v>
      </c>
      <c r="C69" s="107">
        <v>220988</v>
      </c>
      <c r="D69" s="101">
        <f t="shared" si="2"/>
        <v>1104940</v>
      </c>
    </row>
    <row r="70" spans="1:7" x14ac:dyDescent="0.25">
      <c r="A70" s="106" t="s">
        <v>176</v>
      </c>
      <c r="B70" s="106">
        <v>0</v>
      </c>
      <c r="C70" s="107">
        <v>220988</v>
      </c>
      <c r="D70" s="101">
        <f t="shared" si="2"/>
        <v>0</v>
      </c>
    </row>
    <row r="71" spans="1:7" x14ac:dyDescent="0.25">
      <c r="A71" s="105" t="s">
        <v>177</v>
      </c>
      <c r="B71" s="106">
        <v>1</v>
      </c>
      <c r="C71" s="107">
        <v>218349</v>
      </c>
      <c r="D71" s="101">
        <f t="shared" si="2"/>
        <v>218349</v>
      </c>
    </row>
    <row r="72" spans="1:7" x14ac:dyDescent="0.25">
      <c r="A72" s="106" t="s">
        <v>178</v>
      </c>
      <c r="B72" s="108">
        <v>1</v>
      </c>
      <c r="C72" s="107">
        <v>218349</v>
      </c>
      <c r="D72" s="101">
        <f t="shared" si="2"/>
        <v>218349</v>
      </c>
    </row>
    <row r="73" spans="1:7" x14ac:dyDescent="0.25">
      <c r="A73" s="106" t="s">
        <v>179</v>
      </c>
      <c r="B73" s="108">
        <v>1</v>
      </c>
      <c r="C73" s="107">
        <v>271304</v>
      </c>
      <c r="D73" s="101">
        <f t="shared" si="2"/>
        <v>271304</v>
      </c>
      <c r="F73" s="82" t="s">
        <v>246</v>
      </c>
    </row>
    <row r="74" spans="1:7" x14ac:dyDescent="0.25">
      <c r="A74" s="106" t="s">
        <v>180</v>
      </c>
      <c r="B74" s="106">
        <v>0</v>
      </c>
      <c r="C74" s="107">
        <v>271304</v>
      </c>
      <c r="D74" s="101">
        <f t="shared" si="2"/>
        <v>0</v>
      </c>
    </row>
    <row r="75" spans="1:7" x14ac:dyDescent="0.25">
      <c r="A75" s="106"/>
      <c r="B75" s="106"/>
      <c r="C75" s="107"/>
      <c r="D75" s="101"/>
    </row>
    <row r="76" spans="1:7" x14ac:dyDescent="0.25">
      <c r="A76" s="103" t="s">
        <v>99</v>
      </c>
      <c r="B76" s="104">
        <f>SUM(B63:B74)</f>
        <v>20</v>
      </c>
      <c r="C76" s="104"/>
      <c r="D76" s="109">
        <f>SUM(D63:D74)</f>
        <v>4508229</v>
      </c>
    </row>
    <row r="77" spans="1:7" x14ac:dyDescent="0.25">
      <c r="A77" s="110"/>
      <c r="B77" s="74"/>
      <c r="C77" s="74"/>
      <c r="D77" s="106"/>
      <c r="E77" s="111"/>
      <c r="G77" s="83"/>
    </row>
    <row r="82" spans="1:4" ht="26.4" x14ac:dyDescent="0.25">
      <c r="A82" s="103" t="s">
        <v>49</v>
      </c>
      <c r="B82" s="104" t="s">
        <v>101</v>
      </c>
      <c r="C82" s="104" t="s">
        <v>166</v>
      </c>
      <c r="D82" s="104" t="s">
        <v>181</v>
      </c>
    </row>
    <row r="83" spans="1:4" x14ac:dyDescent="0.25">
      <c r="A83" s="105" t="s">
        <v>255</v>
      </c>
      <c r="B83" s="106">
        <v>3</v>
      </c>
      <c r="C83" s="107">
        <v>195840</v>
      </c>
      <c r="D83" s="101">
        <f t="shared" ref="D83:D94" si="3">C83*B83</f>
        <v>587520</v>
      </c>
    </row>
    <row r="84" spans="1:4" x14ac:dyDescent="0.25">
      <c r="A84" s="105" t="s">
        <v>256</v>
      </c>
      <c r="B84" s="106">
        <v>1</v>
      </c>
      <c r="C84" s="107">
        <v>195840</v>
      </c>
      <c r="D84" s="101">
        <f t="shared" si="3"/>
        <v>195840</v>
      </c>
    </row>
    <row r="85" spans="1:4" x14ac:dyDescent="0.25">
      <c r="A85" s="106" t="s">
        <v>171</v>
      </c>
      <c r="B85" s="106">
        <v>5</v>
      </c>
      <c r="C85" s="107">
        <v>249154</v>
      </c>
      <c r="D85" s="101">
        <f t="shared" si="3"/>
        <v>1245770</v>
      </c>
    </row>
    <row r="86" spans="1:4" x14ac:dyDescent="0.25">
      <c r="A86" s="106" t="s">
        <v>172</v>
      </c>
      <c r="B86" s="106">
        <v>2</v>
      </c>
      <c r="C86" s="107">
        <v>249154</v>
      </c>
      <c r="D86" s="101">
        <f t="shared" si="3"/>
        <v>498308</v>
      </c>
    </row>
    <row r="87" spans="1:4" x14ac:dyDescent="0.25">
      <c r="A87" s="105" t="s">
        <v>173</v>
      </c>
      <c r="B87" s="106">
        <v>0</v>
      </c>
      <c r="C87" s="107">
        <v>167849</v>
      </c>
      <c r="D87" s="101">
        <f t="shared" si="3"/>
        <v>0</v>
      </c>
    </row>
    <row r="88" spans="1:4" x14ac:dyDescent="0.25">
      <c r="A88" s="106" t="s">
        <v>174</v>
      </c>
      <c r="B88" s="106">
        <v>1</v>
      </c>
      <c r="C88" s="107">
        <v>167849</v>
      </c>
      <c r="D88" s="101">
        <f t="shared" si="3"/>
        <v>167849</v>
      </c>
    </row>
    <row r="89" spans="1:4" x14ac:dyDescent="0.25">
      <c r="A89" s="106" t="s">
        <v>175</v>
      </c>
      <c r="B89" s="106">
        <v>5</v>
      </c>
      <c r="C89" s="107">
        <v>220988</v>
      </c>
      <c r="D89" s="101">
        <f t="shared" si="3"/>
        <v>1104940</v>
      </c>
    </row>
    <row r="90" spans="1:4" x14ac:dyDescent="0.25">
      <c r="A90" s="106" t="s">
        <v>176</v>
      </c>
      <c r="B90" s="106">
        <v>0</v>
      </c>
      <c r="C90" s="107">
        <v>220988</v>
      </c>
      <c r="D90" s="101">
        <f t="shared" si="3"/>
        <v>0</v>
      </c>
    </row>
    <row r="91" spans="1:4" x14ac:dyDescent="0.25">
      <c r="A91" s="105" t="s">
        <v>177</v>
      </c>
      <c r="B91" s="106">
        <v>1</v>
      </c>
      <c r="C91" s="107">
        <v>218349</v>
      </c>
      <c r="D91" s="101">
        <f t="shared" si="3"/>
        <v>218349</v>
      </c>
    </row>
    <row r="92" spans="1:4" x14ac:dyDescent="0.25">
      <c r="A92" s="106" t="s">
        <v>178</v>
      </c>
      <c r="B92" s="108">
        <v>1</v>
      </c>
      <c r="C92" s="107">
        <v>218349</v>
      </c>
      <c r="D92" s="101">
        <f t="shared" si="3"/>
        <v>218349</v>
      </c>
    </row>
    <row r="93" spans="1:4" x14ac:dyDescent="0.25">
      <c r="A93" s="106" t="s">
        <v>179</v>
      </c>
      <c r="B93" s="108">
        <v>1</v>
      </c>
      <c r="C93" s="107">
        <v>271304</v>
      </c>
      <c r="D93" s="101">
        <f t="shared" si="3"/>
        <v>271304</v>
      </c>
    </row>
    <row r="94" spans="1:4" x14ac:dyDescent="0.25">
      <c r="A94" s="106" t="s">
        <v>180</v>
      </c>
      <c r="B94" s="106">
        <v>0</v>
      </c>
      <c r="C94" s="107">
        <v>271304</v>
      </c>
      <c r="D94" s="101">
        <f t="shared" si="3"/>
        <v>0</v>
      </c>
    </row>
    <row r="95" spans="1:4" x14ac:dyDescent="0.25">
      <c r="A95" s="106"/>
      <c r="B95" s="106"/>
      <c r="C95" s="107"/>
      <c r="D95" s="101"/>
    </row>
    <row r="96" spans="1:4" x14ac:dyDescent="0.25">
      <c r="A96" s="103" t="s">
        <v>99</v>
      </c>
      <c r="B96" s="104">
        <f>SUM(B83:B94)</f>
        <v>20</v>
      </c>
      <c r="C96" s="104"/>
      <c r="D96" s="109">
        <f>SUM(D83:D94)</f>
        <v>4508229</v>
      </c>
    </row>
  </sheetData>
  <mergeCells count="3">
    <mergeCell ref="A2:C2"/>
    <mergeCell ref="A1:D1"/>
    <mergeCell ref="A31:D31"/>
  </mergeCells>
  <pageMargins left="0.7" right="0.7" top="0.75" bottom="0.75" header="0.3" footer="0.3"/>
  <pageSetup scale="73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51"/>
  <sheetViews>
    <sheetView showGridLines="0" topLeftCell="A160" zoomScaleNormal="100" zoomScaleSheetLayoutView="96" workbookViewId="0">
      <selection activeCell="G167" sqref="G167"/>
    </sheetView>
  </sheetViews>
  <sheetFormatPr baseColWidth="10" defaultRowHeight="14.4" x14ac:dyDescent="0.3"/>
  <cols>
    <col min="1" max="1" width="17" bestFit="1" customWidth="1"/>
    <col min="2" max="2" width="39.5546875" bestFit="1" customWidth="1"/>
    <col min="3" max="4" width="10.6640625" bestFit="1" customWidth="1"/>
    <col min="5" max="5" width="12.5546875" bestFit="1" customWidth="1"/>
    <col min="6" max="13" width="11.33203125" bestFit="1" customWidth="1"/>
    <col min="14" max="14" width="12.5546875" bestFit="1" customWidth="1"/>
    <col min="15" max="15" width="17" style="21" bestFit="1" customWidth="1"/>
    <col min="16" max="16" width="14.5546875" bestFit="1" customWidth="1"/>
    <col min="17" max="22" width="12.33203125" bestFit="1" customWidth="1"/>
    <col min="23" max="23" width="12.5546875" bestFit="1" customWidth="1"/>
    <col min="24" max="24" width="11.33203125" bestFit="1" customWidth="1"/>
    <col min="25" max="25" width="12.5546875" bestFit="1" customWidth="1"/>
    <col min="26" max="26" width="11.33203125" bestFit="1" customWidth="1"/>
    <col min="27" max="27" width="12.5546875" bestFit="1" customWidth="1"/>
  </cols>
  <sheetData>
    <row r="1" spans="1:15" ht="21" x14ac:dyDescent="0.3">
      <c r="A1" s="244" t="s">
        <v>93</v>
      </c>
      <c r="B1" s="244"/>
      <c r="C1" s="244"/>
      <c r="D1" s="244"/>
      <c r="E1" s="244"/>
      <c r="F1" s="244"/>
      <c r="G1" s="244"/>
      <c r="I1" s="12"/>
    </row>
    <row r="2" spans="1:15" x14ac:dyDescent="0.3">
      <c r="A2" s="12"/>
      <c r="I2" s="12"/>
    </row>
    <row r="3" spans="1:15" x14ac:dyDescent="0.3">
      <c r="A3" s="12"/>
      <c r="I3" s="12"/>
    </row>
    <row r="4" spans="1:15" ht="21" customHeight="1" x14ac:dyDescent="0.3">
      <c r="A4" s="245" t="s">
        <v>94</v>
      </c>
      <c r="B4" s="245"/>
      <c r="C4" s="245"/>
      <c r="D4" s="245"/>
      <c r="E4" s="245"/>
      <c r="F4" s="245"/>
      <c r="G4" s="245"/>
      <c r="H4" s="245"/>
      <c r="I4" s="14"/>
    </row>
    <row r="5" spans="1:15" x14ac:dyDescent="0.3">
      <c r="A5" s="20" t="s">
        <v>3</v>
      </c>
      <c r="B5" s="21" t="s">
        <v>103</v>
      </c>
      <c r="C5" s="19"/>
      <c r="D5" s="19"/>
      <c r="E5" s="19"/>
      <c r="F5" s="19"/>
      <c r="G5" s="19"/>
      <c r="H5" s="19"/>
      <c r="I5" s="19"/>
    </row>
    <row r="6" spans="1:15" x14ac:dyDescent="0.3">
      <c r="A6" s="12"/>
      <c r="B6" s="16"/>
      <c r="C6" s="15"/>
      <c r="D6" s="15"/>
      <c r="E6" s="15"/>
      <c r="F6" s="15"/>
      <c r="G6" s="15"/>
      <c r="H6" s="12"/>
      <c r="I6" s="12"/>
    </row>
    <row r="7" spans="1:15" x14ac:dyDescent="0.3">
      <c r="A7" s="20" t="s">
        <v>116</v>
      </c>
      <c r="B7" s="20" t="s">
        <v>8</v>
      </c>
      <c r="C7" s="21"/>
      <c r="D7" s="21"/>
      <c r="E7" s="21"/>
      <c r="F7" s="21"/>
      <c r="G7" s="21"/>
      <c r="H7" s="21"/>
      <c r="I7" s="21"/>
      <c r="J7" s="21"/>
      <c r="K7" s="21"/>
      <c r="L7" s="21"/>
      <c r="O7"/>
    </row>
    <row r="8" spans="1:15" x14ac:dyDescent="0.3">
      <c r="A8" s="20" t="s">
        <v>1</v>
      </c>
      <c r="B8" s="21" t="s">
        <v>55</v>
      </c>
      <c r="C8" s="21" t="s">
        <v>49</v>
      </c>
      <c r="D8" s="21" t="s">
        <v>84</v>
      </c>
      <c r="E8" s="21" t="s">
        <v>64</v>
      </c>
      <c r="F8" s="21" t="s">
        <v>71</v>
      </c>
      <c r="G8" s="21" t="s">
        <v>88</v>
      </c>
      <c r="H8" s="21" t="s">
        <v>284</v>
      </c>
      <c r="I8" s="21" t="s">
        <v>327</v>
      </c>
      <c r="J8" s="21" t="s">
        <v>1595</v>
      </c>
      <c r="K8" s="21" t="s">
        <v>1857</v>
      </c>
      <c r="L8" s="21" t="s">
        <v>102</v>
      </c>
      <c r="O8"/>
    </row>
    <row r="9" spans="1:15" x14ac:dyDescent="0.3">
      <c r="A9" s="21" t="s">
        <v>96</v>
      </c>
      <c r="B9" s="21">
        <v>41</v>
      </c>
      <c r="C9" s="21">
        <v>38</v>
      </c>
      <c r="D9" s="21">
        <v>20</v>
      </c>
      <c r="E9" s="21">
        <v>2</v>
      </c>
      <c r="F9" s="21">
        <v>3</v>
      </c>
      <c r="G9" s="21">
        <v>3</v>
      </c>
      <c r="H9" s="21">
        <v>4</v>
      </c>
      <c r="I9" s="21">
        <v>10</v>
      </c>
      <c r="J9" s="21"/>
      <c r="K9" s="21"/>
      <c r="L9" s="21">
        <v>121</v>
      </c>
      <c r="O9"/>
    </row>
    <row r="10" spans="1:15" x14ac:dyDescent="0.3">
      <c r="A10" s="21" t="s">
        <v>97</v>
      </c>
      <c r="B10" s="21">
        <v>22</v>
      </c>
      <c r="C10" s="21">
        <v>21</v>
      </c>
      <c r="D10" s="21">
        <v>10</v>
      </c>
      <c r="E10" s="21">
        <v>7</v>
      </c>
      <c r="F10" s="21">
        <v>1</v>
      </c>
      <c r="G10" s="21"/>
      <c r="H10" s="21">
        <v>4</v>
      </c>
      <c r="I10" s="21">
        <v>2</v>
      </c>
      <c r="J10" s="21"/>
      <c r="K10" s="21"/>
      <c r="L10" s="21">
        <v>67</v>
      </c>
      <c r="O10"/>
    </row>
    <row r="11" spans="1:15" x14ac:dyDescent="0.3">
      <c r="A11" s="21" t="s">
        <v>249</v>
      </c>
      <c r="B11" s="21">
        <v>36</v>
      </c>
      <c r="C11" s="21">
        <v>38</v>
      </c>
      <c r="D11" s="21">
        <v>7</v>
      </c>
      <c r="E11" s="21">
        <v>3</v>
      </c>
      <c r="F11" s="21">
        <v>4</v>
      </c>
      <c r="G11" s="21"/>
      <c r="H11" s="21">
        <v>4</v>
      </c>
      <c r="I11" s="21">
        <v>7</v>
      </c>
      <c r="J11" s="21"/>
      <c r="K11" s="21"/>
      <c r="L11" s="21">
        <v>99</v>
      </c>
      <c r="O11"/>
    </row>
    <row r="12" spans="1:15" x14ac:dyDescent="0.3">
      <c r="A12" s="21" t="s">
        <v>254</v>
      </c>
      <c r="B12" s="21">
        <v>36</v>
      </c>
      <c r="C12" s="21">
        <v>34</v>
      </c>
      <c r="D12" s="21">
        <v>17</v>
      </c>
      <c r="E12" s="21">
        <v>3</v>
      </c>
      <c r="F12" s="21">
        <v>3</v>
      </c>
      <c r="G12" s="21">
        <v>5</v>
      </c>
      <c r="H12" s="21">
        <v>3</v>
      </c>
      <c r="I12" s="21">
        <v>7</v>
      </c>
      <c r="J12" s="21"/>
      <c r="K12" s="21"/>
      <c r="L12" s="21">
        <v>108</v>
      </c>
      <c r="O12"/>
    </row>
    <row r="13" spans="1:15" x14ac:dyDescent="0.3">
      <c r="A13" s="21" t="s">
        <v>260</v>
      </c>
      <c r="B13" s="21">
        <v>26</v>
      </c>
      <c r="C13" s="21">
        <v>24</v>
      </c>
      <c r="D13" s="21">
        <v>12</v>
      </c>
      <c r="E13" s="21">
        <v>4</v>
      </c>
      <c r="F13" s="21">
        <v>1</v>
      </c>
      <c r="G13" s="21">
        <v>4</v>
      </c>
      <c r="H13" s="21">
        <v>4</v>
      </c>
      <c r="I13" s="21">
        <v>6</v>
      </c>
      <c r="J13" s="21"/>
      <c r="K13" s="21"/>
      <c r="L13" s="21">
        <v>81</v>
      </c>
      <c r="O13"/>
    </row>
    <row r="14" spans="1:15" x14ac:dyDescent="0.3">
      <c r="A14" s="21" t="s">
        <v>278</v>
      </c>
      <c r="B14" s="21">
        <v>31</v>
      </c>
      <c r="C14" s="21">
        <v>30</v>
      </c>
      <c r="D14" s="21">
        <v>22</v>
      </c>
      <c r="E14" s="21">
        <v>10</v>
      </c>
      <c r="F14" s="21">
        <v>9</v>
      </c>
      <c r="G14" s="21">
        <v>4</v>
      </c>
      <c r="H14" s="21">
        <v>3</v>
      </c>
      <c r="I14" s="21">
        <v>6</v>
      </c>
      <c r="J14" s="21"/>
      <c r="K14" s="21"/>
      <c r="L14" s="21">
        <v>115</v>
      </c>
      <c r="O14"/>
    </row>
    <row r="15" spans="1:15" x14ac:dyDescent="0.3">
      <c r="A15" s="21" t="s">
        <v>279</v>
      </c>
      <c r="B15" s="21">
        <v>39</v>
      </c>
      <c r="C15" s="21">
        <v>37</v>
      </c>
      <c r="D15" s="21">
        <v>19</v>
      </c>
      <c r="E15" s="21">
        <v>3</v>
      </c>
      <c r="F15" s="21">
        <v>3</v>
      </c>
      <c r="G15" s="21"/>
      <c r="H15" s="21">
        <v>2</v>
      </c>
      <c r="I15" s="21">
        <v>6</v>
      </c>
      <c r="J15" s="21"/>
      <c r="K15" s="21"/>
      <c r="L15" s="21">
        <v>109</v>
      </c>
      <c r="O15"/>
    </row>
    <row r="16" spans="1:15" x14ac:dyDescent="0.3">
      <c r="A16" s="21" t="s">
        <v>283</v>
      </c>
      <c r="B16" s="21">
        <v>29</v>
      </c>
      <c r="C16" s="21">
        <v>30</v>
      </c>
      <c r="D16" s="21">
        <v>12</v>
      </c>
      <c r="E16" s="21">
        <v>3</v>
      </c>
      <c r="F16" s="21">
        <v>3</v>
      </c>
      <c r="G16" s="21"/>
      <c r="H16" s="21">
        <v>1</v>
      </c>
      <c r="I16" s="21">
        <v>6</v>
      </c>
      <c r="J16" s="21"/>
      <c r="K16" s="21"/>
      <c r="L16" s="21">
        <v>84</v>
      </c>
      <c r="O16"/>
    </row>
    <row r="17" spans="1:15" x14ac:dyDescent="0.3">
      <c r="A17" s="21" t="s">
        <v>288</v>
      </c>
      <c r="B17" s="21">
        <v>24</v>
      </c>
      <c r="C17" s="21">
        <v>23</v>
      </c>
      <c r="D17" s="21">
        <v>9</v>
      </c>
      <c r="E17" s="21">
        <v>5</v>
      </c>
      <c r="F17" s="21"/>
      <c r="G17" s="21">
        <v>1</v>
      </c>
      <c r="H17" s="21">
        <v>1</v>
      </c>
      <c r="I17" s="21">
        <v>5</v>
      </c>
      <c r="J17" s="21"/>
      <c r="K17" s="21"/>
      <c r="L17" s="21">
        <v>68</v>
      </c>
      <c r="O17"/>
    </row>
    <row r="18" spans="1:15" x14ac:dyDescent="0.3">
      <c r="A18" s="21" t="s">
        <v>293</v>
      </c>
      <c r="B18" s="21">
        <v>21</v>
      </c>
      <c r="C18" s="21">
        <v>24</v>
      </c>
      <c r="D18" s="21">
        <v>8</v>
      </c>
      <c r="E18" s="21">
        <v>5</v>
      </c>
      <c r="F18" s="21">
        <v>7</v>
      </c>
      <c r="G18" s="21">
        <v>3</v>
      </c>
      <c r="H18" s="21"/>
      <c r="I18" s="21">
        <v>6</v>
      </c>
      <c r="J18" s="21">
        <v>1</v>
      </c>
      <c r="K18" s="21">
        <v>1</v>
      </c>
      <c r="L18" s="21">
        <v>76</v>
      </c>
      <c r="O18"/>
    </row>
    <row r="19" spans="1:15" x14ac:dyDescent="0.3">
      <c r="A19" s="21" t="s">
        <v>294</v>
      </c>
      <c r="B19" s="21">
        <v>39</v>
      </c>
      <c r="C19" s="21">
        <v>37</v>
      </c>
      <c r="D19" s="21">
        <v>10</v>
      </c>
      <c r="E19" s="21">
        <v>4</v>
      </c>
      <c r="F19" s="21">
        <v>7</v>
      </c>
      <c r="G19" s="21">
        <v>5</v>
      </c>
      <c r="H19" s="21"/>
      <c r="I19" s="21">
        <v>3</v>
      </c>
      <c r="J19" s="21">
        <v>1</v>
      </c>
      <c r="K19" s="21"/>
      <c r="L19" s="21">
        <v>106</v>
      </c>
      <c r="O19"/>
    </row>
    <row r="20" spans="1:15" x14ac:dyDescent="0.3">
      <c r="A20" s="21" t="s">
        <v>102</v>
      </c>
      <c r="B20" s="21">
        <v>344</v>
      </c>
      <c r="C20" s="21">
        <v>336</v>
      </c>
      <c r="D20" s="21">
        <v>146</v>
      </c>
      <c r="E20" s="21">
        <v>49</v>
      </c>
      <c r="F20" s="21">
        <v>41</v>
      </c>
      <c r="G20" s="21">
        <v>25</v>
      </c>
      <c r="H20" s="21">
        <v>26</v>
      </c>
      <c r="I20" s="21">
        <v>64</v>
      </c>
      <c r="J20" s="21">
        <v>2</v>
      </c>
      <c r="K20" s="21">
        <v>1</v>
      </c>
      <c r="L20" s="21">
        <v>1034</v>
      </c>
      <c r="O20"/>
    </row>
    <row r="21" spans="1:15" x14ac:dyDescent="0.3">
      <c r="G21" s="15"/>
      <c r="H21" s="12"/>
      <c r="I21" s="12"/>
      <c r="O21"/>
    </row>
    <row r="22" spans="1:15" x14ac:dyDescent="0.3">
      <c r="G22" s="15"/>
      <c r="H22" s="12"/>
      <c r="I22" s="12"/>
      <c r="O22"/>
    </row>
    <row r="23" spans="1:15" x14ac:dyDescent="0.3">
      <c r="O23"/>
    </row>
    <row r="24" spans="1:15" x14ac:dyDescent="0.3">
      <c r="O24"/>
    </row>
    <row r="25" spans="1:15" x14ac:dyDescent="0.3">
      <c r="A25" s="20" t="s">
        <v>1</v>
      </c>
      <c r="B25" s="21" t="s">
        <v>260</v>
      </c>
      <c r="O25"/>
    </row>
    <row r="26" spans="1:15" x14ac:dyDescent="0.3">
      <c r="A26" s="20" t="s">
        <v>3</v>
      </c>
      <c r="B26" s="21" t="s">
        <v>20</v>
      </c>
      <c r="O26"/>
    </row>
    <row r="27" spans="1:15" x14ac:dyDescent="0.3">
      <c r="O27"/>
    </row>
    <row r="28" spans="1:15" x14ac:dyDescent="0.3">
      <c r="A28" s="20" t="s">
        <v>116</v>
      </c>
      <c r="B28" s="20" t="s">
        <v>8</v>
      </c>
      <c r="C28" s="21"/>
      <c r="D28" s="21"/>
      <c r="E28" s="21"/>
      <c r="F28" s="21"/>
      <c r="G28" s="21"/>
      <c r="H28" s="21"/>
      <c r="I28" s="21"/>
      <c r="J28" s="21"/>
      <c r="O28"/>
    </row>
    <row r="29" spans="1:15" x14ac:dyDescent="0.3">
      <c r="A29" s="20" t="s">
        <v>9</v>
      </c>
      <c r="B29" s="21" t="s">
        <v>55</v>
      </c>
      <c r="C29" s="21" t="s">
        <v>49</v>
      </c>
      <c r="D29" s="21" t="s">
        <v>71</v>
      </c>
      <c r="E29" s="21" t="s">
        <v>84</v>
      </c>
      <c r="F29" s="21" t="s">
        <v>64</v>
      </c>
      <c r="G29" s="21" t="s">
        <v>88</v>
      </c>
      <c r="H29" s="21" t="s">
        <v>284</v>
      </c>
      <c r="I29" s="21" t="s">
        <v>327</v>
      </c>
      <c r="J29" s="21" t="s">
        <v>102</v>
      </c>
      <c r="O29"/>
    </row>
    <row r="30" spans="1:15" x14ac:dyDescent="0.3">
      <c r="A30" s="21" t="s">
        <v>21</v>
      </c>
      <c r="B30" s="21">
        <v>16</v>
      </c>
      <c r="C30" s="21">
        <v>16</v>
      </c>
      <c r="D30" s="21">
        <v>1</v>
      </c>
      <c r="E30" s="21">
        <v>10</v>
      </c>
      <c r="F30" s="21">
        <v>4</v>
      </c>
      <c r="G30" s="21">
        <v>2</v>
      </c>
      <c r="H30" s="21">
        <v>2</v>
      </c>
      <c r="I30" s="21">
        <v>4</v>
      </c>
      <c r="J30" s="21">
        <v>55</v>
      </c>
      <c r="O30"/>
    </row>
    <row r="31" spans="1:15" x14ac:dyDescent="0.3">
      <c r="A31" s="21" t="s">
        <v>24</v>
      </c>
      <c r="B31" s="21">
        <v>4</v>
      </c>
      <c r="C31" s="21">
        <v>3</v>
      </c>
      <c r="D31" s="21"/>
      <c r="E31" s="21">
        <v>1</v>
      </c>
      <c r="F31" s="21"/>
      <c r="G31" s="21"/>
      <c r="H31" s="21">
        <v>2</v>
      </c>
      <c r="I31" s="21">
        <v>2</v>
      </c>
      <c r="J31" s="21">
        <v>12</v>
      </c>
      <c r="O31"/>
    </row>
    <row r="32" spans="1:15" x14ac:dyDescent="0.3">
      <c r="A32" s="21" t="s">
        <v>42</v>
      </c>
      <c r="B32" s="21">
        <v>3</v>
      </c>
      <c r="C32" s="21">
        <v>3</v>
      </c>
      <c r="D32" s="21"/>
      <c r="E32" s="21"/>
      <c r="F32" s="21"/>
      <c r="G32" s="21"/>
      <c r="H32" s="21"/>
      <c r="I32" s="21"/>
      <c r="J32" s="21">
        <v>6</v>
      </c>
      <c r="O32"/>
    </row>
    <row r="33" spans="1:15" x14ac:dyDescent="0.3">
      <c r="A33" s="21" t="s">
        <v>189</v>
      </c>
      <c r="B33" s="21"/>
      <c r="C33" s="21"/>
      <c r="D33" s="21"/>
      <c r="E33" s="21">
        <v>1</v>
      </c>
      <c r="F33" s="21"/>
      <c r="G33" s="21">
        <v>2</v>
      </c>
      <c r="H33" s="21"/>
      <c r="I33" s="21"/>
      <c r="J33" s="21">
        <v>3</v>
      </c>
      <c r="O33"/>
    </row>
    <row r="34" spans="1:15" x14ac:dyDescent="0.3">
      <c r="A34" s="21" t="s">
        <v>37</v>
      </c>
      <c r="B34" s="21">
        <v>1</v>
      </c>
      <c r="C34" s="21">
        <v>1</v>
      </c>
      <c r="D34" s="21"/>
      <c r="E34" s="21"/>
      <c r="F34" s="21"/>
      <c r="G34" s="21"/>
      <c r="H34" s="21"/>
      <c r="I34" s="21"/>
      <c r="J34" s="21">
        <v>2</v>
      </c>
      <c r="O34"/>
    </row>
    <row r="35" spans="1:15" x14ac:dyDescent="0.3">
      <c r="A35" s="21" t="s">
        <v>194</v>
      </c>
      <c r="B35" s="21">
        <v>1</v>
      </c>
      <c r="C35" s="21">
        <v>1</v>
      </c>
      <c r="D35" s="21"/>
      <c r="E35" s="21"/>
      <c r="F35" s="21"/>
      <c r="G35" s="21"/>
      <c r="H35" s="21"/>
      <c r="I35" s="21"/>
      <c r="J35" s="21">
        <v>2</v>
      </c>
      <c r="O35"/>
    </row>
    <row r="36" spans="1:15" x14ac:dyDescent="0.3">
      <c r="A36" s="21" t="s">
        <v>102</v>
      </c>
      <c r="B36" s="21">
        <v>25</v>
      </c>
      <c r="C36" s="21">
        <v>24</v>
      </c>
      <c r="D36" s="21">
        <v>1</v>
      </c>
      <c r="E36" s="21">
        <v>12</v>
      </c>
      <c r="F36" s="21">
        <v>4</v>
      </c>
      <c r="G36" s="21">
        <v>4</v>
      </c>
      <c r="H36" s="21">
        <v>4</v>
      </c>
      <c r="I36" s="21">
        <v>6</v>
      </c>
      <c r="J36" s="21">
        <v>80</v>
      </c>
      <c r="O36"/>
    </row>
    <row r="37" spans="1:15" x14ac:dyDescent="0.3">
      <c r="O37"/>
    </row>
    <row r="38" spans="1:15" x14ac:dyDescent="0.3">
      <c r="O38"/>
    </row>
    <row r="39" spans="1:15" x14ac:dyDescent="0.3">
      <c r="O39"/>
    </row>
    <row r="40" spans="1:15" x14ac:dyDescent="0.3">
      <c r="O40"/>
    </row>
    <row r="41" spans="1:15" x14ac:dyDescent="0.3">
      <c r="O41"/>
    </row>
    <row r="42" spans="1:15" x14ac:dyDescent="0.3">
      <c r="O42"/>
    </row>
    <row r="43" spans="1:15" x14ac:dyDescent="0.3">
      <c r="O43"/>
    </row>
    <row r="44" spans="1:15" x14ac:dyDescent="0.3">
      <c r="O44"/>
    </row>
    <row r="45" spans="1:15" x14ac:dyDescent="0.3">
      <c r="O45"/>
    </row>
    <row r="46" spans="1:15" x14ac:dyDescent="0.3">
      <c r="O46"/>
    </row>
    <row r="47" spans="1:15" x14ac:dyDescent="0.3">
      <c r="O47"/>
    </row>
    <row r="48" spans="1:15" x14ac:dyDescent="0.3">
      <c r="O48"/>
    </row>
    <row r="49" spans="15:15" x14ac:dyDescent="0.3">
      <c r="O49"/>
    </row>
    <row r="50" spans="15:15" x14ac:dyDescent="0.3">
      <c r="O50"/>
    </row>
    <row r="51" spans="15:15" x14ac:dyDescent="0.3">
      <c r="O51"/>
    </row>
    <row r="52" spans="15:15" x14ac:dyDescent="0.3">
      <c r="O52"/>
    </row>
    <row r="53" spans="15:15" x14ac:dyDescent="0.3">
      <c r="O53"/>
    </row>
    <row r="54" spans="15:15" x14ac:dyDescent="0.3">
      <c r="O54"/>
    </row>
    <row r="55" spans="15:15" x14ac:dyDescent="0.3">
      <c r="O55"/>
    </row>
    <row r="56" spans="15:15" x14ac:dyDescent="0.3">
      <c r="O56"/>
    </row>
    <row r="57" spans="15:15" x14ac:dyDescent="0.3">
      <c r="O57"/>
    </row>
    <row r="58" spans="15:15" x14ac:dyDescent="0.3">
      <c r="O58"/>
    </row>
    <row r="59" spans="15:15" x14ac:dyDescent="0.3">
      <c r="O59"/>
    </row>
    <row r="60" spans="15:15" x14ac:dyDescent="0.3">
      <c r="O60"/>
    </row>
    <row r="61" spans="15:15" x14ac:dyDescent="0.3">
      <c r="O61"/>
    </row>
    <row r="62" spans="15:15" x14ac:dyDescent="0.3">
      <c r="O62"/>
    </row>
    <row r="63" spans="15:15" x14ac:dyDescent="0.3">
      <c r="O63"/>
    </row>
    <row r="64" spans="15:15" x14ac:dyDescent="0.3">
      <c r="O64"/>
    </row>
    <row r="65" spans="1:15" x14ac:dyDescent="0.3">
      <c r="O65"/>
    </row>
    <row r="66" spans="1:15" x14ac:dyDescent="0.3">
      <c r="O66"/>
    </row>
    <row r="67" spans="1:15" x14ac:dyDescent="0.3">
      <c r="O67"/>
    </row>
    <row r="68" spans="1:15" x14ac:dyDescent="0.3">
      <c r="O68"/>
    </row>
    <row r="69" spans="1:15" x14ac:dyDescent="0.3">
      <c r="O69"/>
    </row>
    <row r="70" spans="1:15" x14ac:dyDescent="0.3">
      <c r="O70"/>
    </row>
    <row r="71" spans="1:15" x14ac:dyDescent="0.3">
      <c r="O71"/>
    </row>
    <row r="72" spans="1:15" x14ac:dyDescent="0.3">
      <c r="O72"/>
    </row>
    <row r="73" spans="1:15" x14ac:dyDescent="0.3">
      <c r="O73"/>
    </row>
    <row r="74" spans="1:15" x14ac:dyDescent="0.3">
      <c r="O74"/>
    </row>
    <row r="75" spans="1:15" x14ac:dyDescent="0.3">
      <c r="O75"/>
    </row>
    <row r="76" spans="1:15" x14ac:dyDescent="0.3">
      <c r="O76"/>
    </row>
    <row r="77" spans="1:15" x14ac:dyDescent="0.3">
      <c r="O77"/>
    </row>
    <row r="78" spans="1:15" x14ac:dyDescent="0.3">
      <c r="A78" s="20" t="s">
        <v>1</v>
      </c>
      <c r="B78" s="21" t="s">
        <v>260</v>
      </c>
      <c r="O78"/>
    </row>
    <row r="79" spans="1:15" x14ac:dyDescent="0.3">
      <c r="A79" s="20" t="s">
        <v>3</v>
      </c>
      <c r="B79" s="21" t="s">
        <v>20</v>
      </c>
      <c r="O79"/>
    </row>
    <row r="80" spans="1:15" x14ac:dyDescent="0.3">
      <c r="O80"/>
    </row>
    <row r="81" spans="1:15" x14ac:dyDescent="0.3">
      <c r="A81" s="20" t="s">
        <v>116</v>
      </c>
      <c r="B81" s="20" t="s">
        <v>8</v>
      </c>
      <c r="C81" s="21"/>
      <c r="D81" s="21"/>
      <c r="E81" s="21"/>
      <c r="F81" s="21"/>
      <c r="G81" s="21"/>
      <c r="H81" s="21"/>
      <c r="I81" s="21"/>
      <c r="J81" s="21"/>
      <c r="O81"/>
    </row>
    <row r="82" spans="1:15" x14ac:dyDescent="0.3">
      <c r="A82" s="20" t="s">
        <v>10</v>
      </c>
      <c r="B82" s="21" t="s">
        <v>55</v>
      </c>
      <c r="C82" s="21" t="s">
        <v>49</v>
      </c>
      <c r="D82" s="21" t="s">
        <v>71</v>
      </c>
      <c r="E82" s="21" t="s">
        <v>84</v>
      </c>
      <c r="F82" s="21" t="s">
        <v>64</v>
      </c>
      <c r="G82" s="21" t="s">
        <v>88</v>
      </c>
      <c r="H82" s="21" t="s">
        <v>284</v>
      </c>
      <c r="I82" s="21" t="s">
        <v>327</v>
      </c>
      <c r="J82" s="21" t="s">
        <v>102</v>
      </c>
      <c r="O82"/>
    </row>
    <row r="83" spans="1:15" x14ac:dyDescent="0.3">
      <c r="A83" s="21" t="s">
        <v>22</v>
      </c>
      <c r="B83" s="21">
        <v>13</v>
      </c>
      <c r="C83" s="21">
        <v>13</v>
      </c>
      <c r="D83" s="21"/>
      <c r="E83" s="21">
        <v>8</v>
      </c>
      <c r="F83" s="21">
        <v>3</v>
      </c>
      <c r="G83" s="21">
        <v>2</v>
      </c>
      <c r="H83" s="21">
        <v>2</v>
      </c>
      <c r="I83" s="21">
        <v>4</v>
      </c>
      <c r="J83" s="21">
        <v>45</v>
      </c>
      <c r="O83"/>
    </row>
    <row r="84" spans="1:15" x14ac:dyDescent="0.3">
      <c r="A84" s="21" t="s">
        <v>27</v>
      </c>
      <c r="B84" s="21">
        <v>2</v>
      </c>
      <c r="C84" s="21">
        <v>1</v>
      </c>
      <c r="D84" s="21"/>
      <c r="E84" s="21">
        <v>1</v>
      </c>
      <c r="F84" s="21"/>
      <c r="G84" s="21"/>
      <c r="H84" s="21"/>
      <c r="I84" s="21">
        <v>2</v>
      </c>
      <c r="J84" s="21">
        <v>6</v>
      </c>
      <c r="O84"/>
    </row>
    <row r="85" spans="1:15" x14ac:dyDescent="0.3">
      <c r="A85" s="21" t="s">
        <v>121</v>
      </c>
      <c r="B85" s="21">
        <v>1</v>
      </c>
      <c r="C85" s="21">
        <v>1</v>
      </c>
      <c r="D85" s="21"/>
      <c r="E85" s="21">
        <v>1</v>
      </c>
      <c r="F85" s="21">
        <v>1</v>
      </c>
      <c r="G85" s="21"/>
      <c r="H85" s="21"/>
      <c r="I85" s="21"/>
      <c r="J85" s="21">
        <v>4</v>
      </c>
      <c r="O85"/>
    </row>
    <row r="86" spans="1:15" x14ac:dyDescent="0.3">
      <c r="A86" s="21" t="s">
        <v>41</v>
      </c>
      <c r="B86" s="21">
        <v>2</v>
      </c>
      <c r="C86" s="21">
        <v>2</v>
      </c>
      <c r="D86" s="21"/>
      <c r="E86" s="21"/>
      <c r="F86" s="21"/>
      <c r="G86" s="21"/>
      <c r="H86" s="21"/>
      <c r="I86" s="21"/>
      <c r="J86" s="21">
        <v>4</v>
      </c>
      <c r="O86"/>
    </row>
    <row r="87" spans="1:15" x14ac:dyDescent="0.3">
      <c r="A87" s="21" t="s">
        <v>45</v>
      </c>
      <c r="B87" s="21"/>
      <c r="C87" s="21"/>
      <c r="D87" s="21"/>
      <c r="E87" s="21">
        <v>1</v>
      </c>
      <c r="F87" s="21"/>
      <c r="G87" s="21">
        <v>2</v>
      </c>
      <c r="H87" s="21"/>
      <c r="I87" s="21"/>
      <c r="J87" s="21">
        <v>3</v>
      </c>
      <c r="O87"/>
    </row>
    <row r="88" spans="1:15" x14ac:dyDescent="0.3">
      <c r="A88" s="21" t="s">
        <v>986</v>
      </c>
      <c r="B88" s="21">
        <v>1</v>
      </c>
      <c r="C88" s="21">
        <v>1</v>
      </c>
      <c r="D88" s="21"/>
      <c r="E88" s="21"/>
      <c r="F88" s="21"/>
      <c r="G88" s="21"/>
      <c r="H88" s="21"/>
      <c r="I88" s="21"/>
      <c r="J88" s="21">
        <v>2</v>
      </c>
      <c r="O88"/>
    </row>
    <row r="89" spans="1:15" x14ac:dyDescent="0.3">
      <c r="A89" s="21" t="s">
        <v>221</v>
      </c>
      <c r="B89" s="21">
        <v>1</v>
      </c>
      <c r="C89" s="21">
        <v>1</v>
      </c>
      <c r="D89" s="21"/>
      <c r="E89" s="21"/>
      <c r="F89" s="21"/>
      <c r="G89" s="21"/>
      <c r="H89" s="21"/>
      <c r="I89" s="21"/>
      <c r="J89" s="21">
        <v>2</v>
      </c>
      <c r="O89"/>
    </row>
    <row r="90" spans="1:15" x14ac:dyDescent="0.3">
      <c r="A90" s="21" t="s">
        <v>947</v>
      </c>
      <c r="B90" s="21">
        <v>1</v>
      </c>
      <c r="C90" s="21">
        <v>1</v>
      </c>
      <c r="D90" s="21"/>
      <c r="E90" s="21"/>
      <c r="F90" s="21"/>
      <c r="G90" s="21"/>
      <c r="H90" s="21"/>
      <c r="I90" s="21"/>
      <c r="J90" s="21">
        <v>2</v>
      </c>
      <c r="O90"/>
    </row>
    <row r="91" spans="1:15" x14ac:dyDescent="0.3">
      <c r="A91" s="21" t="s">
        <v>25</v>
      </c>
      <c r="B91" s="21"/>
      <c r="C91" s="21"/>
      <c r="D91" s="21"/>
      <c r="E91" s="21"/>
      <c r="F91" s="21"/>
      <c r="G91" s="21"/>
      <c r="H91" s="21">
        <v>2</v>
      </c>
      <c r="I91" s="21"/>
      <c r="J91" s="21">
        <v>2</v>
      </c>
      <c r="O91"/>
    </row>
    <row r="92" spans="1:15" x14ac:dyDescent="0.3">
      <c r="A92" s="21" t="s">
        <v>43</v>
      </c>
      <c r="B92" s="21">
        <v>1</v>
      </c>
      <c r="C92" s="21">
        <v>1</v>
      </c>
      <c r="D92" s="21"/>
      <c r="E92" s="21"/>
      <c r="F92" s="21"/>
      <c r="G92" s="21"/>
      <c r="H92" s="21"/>
      <c r="I92" s="21"/>
      <c r="J92" s="21">
        <v>2</v>
      </c>
      <c r="O92"/>
    </row>
    <row r="93" spans="1:15" x14ac:dyDescent="0.3">
      <c r="A93" s="21" t="s">
        <v>198</v>
      </c>
      <c r="B93" s="21"/>
      <c r="C93" s="21"/>
      <c r="D93" s="21">
        <v>1</v>
      </c>
      <c r="E93" s="21">
        <v>1</v>
      </c>
      <c r="F93" s="21"/>
      <c r="G93" s="21"/>
      <c r="H93" s="21"/>
      <c r="I93" s="21"/>
      <c r="J93" s="21">
        <v>2</v>
      </c>
      <c r="O93"/>
    </row>
    <row r="94" spans="1:15" x14ac:dyDescent="0.3">
      <c r="A94" s="21" t="s">
        <v>46</v>
      </c>
      <c r="B94" s="21">
        <v>1</v>
      </c>
      <c r="C94" s="21">
        <v>1</v>
      </c>
      <c r="D94" s="21"/>
      <c r="E94" s="21"/>
      <c r="F94" s="21"/>
      <c r="G94" s="21"/>
      <c r="H94" s="21"/>
      <c r="I94" s="21"/>
      <c r="J94" s="21">
        <v>2</v>
      </c>
      <c r="O94"/>
    </row>
    <row r="95" spans="1:15" x14ac:dyDescent="0.3">
      <c r="A95" s="21" t="s">
        <v>206</v>
      </c>
      <c r="B95" s="21">
        <v>1</v>
      </c>
      <c r="C95" s="21">
        <v>1</v>
      </c>
      <c r="D95" s="21"/>
      <c r="E95" s="21"/>
      <c r="F95" s="21"/>
      <c r="G95" s="21"/>
      <c r="H95" s="21"/>
      <c r="I95" s="21"/>
      <c r="J95" s="21">
        <v>2</v>
      </c>
      <c r="O95"/>
    </row>
    <row r="96" spans="1:15" x14ac:dyDescent="0.3">
      <c r="A96" s="21" t="s">
        <v>217</v>
      </c>
      <c r="B96" s="21">
        <v>1</v>
      </c>
      <c r="C96" s="21">
        <v>1</v>
      </c>
      <c r="D96" s="21"/>
      <c r="E96" s="21"/>
      <c r="F96" s="21"/>
      <c r="G96" s="21"/>
      <c r="H96" s="21"/>
      <c r="I96" s="21"/>
      <c r="J96" s="21">
        <v>2</v>
      </c>
      <c r="O96"/>
    </row>
    <row r="97" spans="1:15" x14ac:dyDescent="0.3">
      <c r="A97" s="21" t="s">
        <v>102</v>
      </c>
      <c r="B97" s="21">
        <v>25</v>
      </c>
      <c r="C97" s="21">
        <v>24</v>
      </c>
      <c r="D97" s="21">
        <v>1</v>
      </c>
      <c r="E97" s="21">
        <v>12</v>
      </c>
      <c r="F97" s="21">
        <v>4</v>
      </c>
      <c r="G97" s="21">
        <v>4</v>
      </c>
      <c r="H97" s="21">
        <v>4</v>
      </c>
      <c r="I97" s="21">
        <v>6</v>
      </c>
      <c r="J97" s="21">
        <v>80</v>
      </c>
      <c r="O97"/>
    </row>
    <row r="98" spans="1:15" x14ac:dyDescent="0.3">
      <c r="O98"/>
    </row>
    <row r="99" spans="1:15" x14ac:dyDescent="0.3">
      <c r="O99"/>
    </row>
    <row r="100" spans="1:15" x14ac:dyDescent="0.3">
      <c r="O100"/>
    </row>
    <row r="101" spans="1:15" x14ac:dyDescent="0.3">
      <c r="O101"/>
    </row>
    <row r="102" spans="1:15" x14ac:dyDescent="0.3">
      <c r="O102"/>
    </row>
    <row r="103" spans="1:15" x14ac:dyDescent="0.3">
      <c r="O103"/>
    </row>
    <row r="104" spans="1:15" x14ac:dyDescent="0.3">
      <c r="O104"/>
    </row>
    <row r="105" spans="1:15" x14ac:dyDescent="0.3">
      <c r="O105"/>
    </row>
    <row r="106" spans="1:15" x14ac:dyDescent="0.3">
      <c r="O106"/>
    </row>
    <row r="107" spans="1:15" x14ac:dyDescent="0.3">
      <c r="A107" s="21"/>
      <c r="B107" s="21"/>
      <c r="C107" s="21"/>
      <c r="O107"/>
    </row>
    <row r="108" spans="1:15" x14ac:dyDescent="0.3">
      <c r="A108" s="21"/>
      <c r="B108" s="21"/>
      <c r="C108" s="21"/>
      <c r="O108"/>
    </row>
    <row r="109" spans="1:15" x14ac:dyDescent="0.3">
      <c r="O109"/>
    </row>
    <row r="110" spans="1:15" x14ac:dyDescent="0.3">
      <c r="O110"/>
    </row>
    <row r="111" spans="1:15" x14ac:dyDescent="0.3">
      <c r="A111" s="37" t="s">
        <v>1</v>
      </c>
      <c r="B111" s="38" t="s">
        <v>260</v>
      </c>
      <c r="C111" s="36"/>
      <c r="D111" s="36"/>
      <c r="E111" s="36"/>
      <c r="F111" s="36"/>
      <c r="G111" s="36"/>
      <c r="O111"/>
    </row>
    <row r="112" spans="1:15" x14ac:dyDescent="0.3">
      <c r="A112" s="36"/>
      <c r="B112" s="36"/>
      <c r="C112" s="36"/>
      <c r="D112" s="36"/>
      <c r="E112" s="36"/>
      <c r="F112" s="36"/>
      <c r="G112" s="36"/>
      <c r="O112"/>
    </row>
    <row r="113" spans="1:15" x14ac:dyDescent="0.3">
      <c r="A113" s="37" t="s">
        <v>242</v>
      </c>
      <c r="B113" s="37" t="s">
        <v>8</v>
      </c>
      <c r="C113" s="38"/>
      <c r="D113" s="38"/>
      <c r="E113" s="38"/>
      <c r="F113" s="38"/>
      <c r="G113" s="38"/>
      <c r="H113" s="38"/>
      <c r="I113" s="38"/>
      <c r="J113" s="38"/>
      <c r="O113"/>
    </row>
    <row r="114" spans="1:15" x14ac:dyDescent="0.3">
      <c r="A114" s="37" t="s">
        <v>9</v>
      </c>
      <c r="B114" s="38" t="s">
        <v>55</v>
      </c>
      <c r="C114" s="38" t="s">
        <v>49</v>
      </c>
      <c r="D114" s="38" t="s">
        <v>71</v>
      </c>
      <c r="E114" s="38" t="s">
        <v>84</v>
      </c>
      <c r="F114" s="38" t="s">
        <v>64</v>
      </c>
      <c r="G114" s="38" t="s">
        <v>88</v>
      </c>
      <c r="H114" s="38" t="s">
        <v>284</v>
      </c>
      <c r="I114" s="38" t="s">
        <v>327</v>
      </c>
      <c r="J114" s="38" t="s">
        <v>102</v>
      </c>
      <c r="O114"/>
    </row>
    <row r="115" spans="1:15" x14ac:dyDescent="0.3">
      <c r="A115" s="38" t="s">
        <v>21</v>
      </c>
      <c r="B115" s="38">
        <v>741579</v>
      </c>
      <c r="C115" s="38">
        <v>383971</v>
      </c>
      <c r="D115" s="38">
        <v>23429</v>
      </c>
      <c r="E115" s="38">
        <v>157659</v>
      </c>
      <c r="F115" s="38">
        <v>175540</v>
      </c>
      <c r="G115" s="38">
        <v>53218</v>
      </c>
      <c r="H115" s="38">
        <v>23875</v>
      </c>
      <c r="I115" s="38">
        <v>0</v>
      </c>
      <c r="J115" s="38">
        <v>1559271</v>
      </c>
      <c r="O115"/>
    </row>
    <row r="116" spans="1:15" x14ac:dyDescent="0.3">
      <c r="A116" s="38" t="s">
        <v>24</v>
      </c>
      <c r="B116" s="38">
        <v>176684</v>
      </c>
      <c r="C116" s="38">
        <v>81427</v>
      </c>
      <c r="D116" s="38"/>
      <c r="E116" s="38">
        <v>27929</v>
      </c>
      <c r="F116" s="38"/>
      <c r="G116" s="38"/>
      <c r="H116" s="38">
        <v>23875</v>
      </c>
      <c r="I116" s="38">
        <v>0</v>
      </c>
      <c r="J116" s="38">
        <v>309915</v>
      </c>
      <c r="O116"/>
    </row>
    <row r="117" spans="1:15" x14ac:dyDescent="0.3">
      <c r="A117" s="38" t="s">
        <v>42</v>
      </c>
      <c r="B117" s="38">
        <v>128763</v>
      </c>
      <c r="C117" s="38">
        <v>76927</v>
      </c>
      <c r="D117" s="38"/>
      <c r="E117" s="38"/>
      <c r="F117" s="38"/>
      <c r="G117" s="38"/>
      <c r="H117" s="38"/>
      <c r="I117" s="38"/>
      <c r="J117" s="38">
        <v>205690</v>
      </c>
      <c r="O117"/>
    </row>
    <row r="118" spans="1:15" x14ac:dyDescent="0.3">
      <c r="A118" s="38" t="s">
        <v>189</v>
      </c>
      <c r="B118" s="38"/>
      <c r="C118" s="38"/>
      <c r="D118" s="38"/>
      <c r="E118" s="38">
        <v>24885</v>
      </c>
      <c r="F118" s="38"/>
      <c r="G118" s="38">
        <v>81884</v>
      </c>
      <c r="H118" s="38"/>
      <c r="I118" s="38"/>
      <c r="J118" s="38">
        <v>106769</v>
      </c>
      <c r="O118"/>
    </row>
    <row r="119" spans="1:15" x14ac:dyDescent="0.3">
      <c r="A119" s="38" t="s">
        <v>194</v>
      </c>
      <c r="B119" s="38">
        <v>56077</v>
      </c>
      <c r="C119" s="38">
        <v>41897</v>
      </c>
      <c r="D119" s="38"/>
      <c r="E119" s="38"/>
      <c r="F119" s="38"/>
      <c r="G119" s="38"/>
      <c r="H119" s="38"/>
      <c r="I119" s="38"/>
      <c r="J119" s="38">
        <v>97974</v>
      </c>
      <c r="O119"/>
    </row>
    <row r="120" spans="1:15" x14ac:dyDescent="0.3">
      <c r="A120" s="38" t="s">
        <v>37</v>
      </c>
      <c r="B120" s="38">
        <v>34953</v>
      </c>
      <c r="C120" s="38">
        <v>15194</v>
      </c>
      <c r="D120" s="38"/>
      <c r="E120" s="38"/>
      <c r="F120" s="38"/>
      <c r="G120" s="38"/>
      <c r="H120" s="38"/>
      <c r="I120" s="38"/>
      <c r="J120" s="38">
        <v>50147</v>
      </c>
      <c r="O120"/>
    </row>
    <row r="121" spans="1:15" x14ac:dyDescent="0.3">
      <c r="A121" s="38" t="s">
        <v>102</v>
      </c>
      <c r="B121" s="38">
        <v>1138056</v>
      </c>
      <c r="C121" s="38">
        <v>599416</v>
      </c>
      <c r="D121" s="38">
        <v>23429</v>
      </c>
      <c r="E121" s="38">
        <v>210473</v>
      </c>
      <c r="F121" s="38">
        <v>175540</v>
      </c>
      <c r="G121" s="38">
        <v>135102</v>
      </c>
      <c r="H121" s="38">
        <v>47750</v>
      </c>
      <c r="I121" s="38">
        <v>0</v>
      </c>
      <c r="J121" s="38">
        <v>2329766</v>
      </c>
      <c r="O121"/>
    </row>
    <row r="122" spans="1:15" x14ac:dyDescent="0.3">
      <c r="O122"/>
    </row>
    <row r="123" spans="1:15" x14ac:dyDescent="0.3">
      <c r="O123"/>
    </row>
    <row r="128" spans="1:15" x14ac:dyDescent="0.3">
      <c r="A128" s="38"/>
      <c r="B128" s="38"/>
      <c r="C128" s="38"/>
      <c r="D128" s="38"/>
      <c r="E128" s="38"/>
      <c r="F128" s="38"/>
      <c r="G128" s="38"/>
      <c r="H128" s="38"/>
      <c r="I128" s="38"/>
    </row>
    <row r="129" spans="1:9" x14ac:dyDescent="0.3">
      <c r="A129" s="38"/>
      <c r="B129" s="38"/>
      <c r="C129" s="38"/>
      <c r="D129" s="38"/>
      <c r="E129" s="38"/>
      <c r="F129" s="38"/>
      <c r="G129" s="38"/>
      <c r="H129" s="38"/>
      <c r="I129" s="38"/>
    </row>
    <row r="130" spans="1:9" x14ac:dyDescent="0.3">
      <c r="A130" s="38"/>
      <c r="B130" s="38"/>
      <c r="C130" s="38"/>
      <c r="D130" s="38"/>
      <c r="E130" s="38"/>
      <c r="F130" s="38"/>
      <c r="G130" s="38"/>
      <c r="H130" s="38"/>
      <c r="I130" s="38"/>
    </row>
    <row r="131" spans="1:9" x14ac:dyDescent="0.3">
      <c r="A131" s="38"/>
      <c r="B131" s="38"/>
      <c r="C131" s="38"/>
      <c r="D131" s="38"/>
      <c r="E131" s="38"/>
      <c r="F131" s="38"/>
      <c r="G131" s="38"/>
      <c r="H131" s="38"/>
      <c r="I131" s="38"/>
    </row>
    <row r="132" spans="1:9" x14ac:dyDescent="0.3">
      <c r="A132" s="38"/>
      <c r="B132" s="38"/>
      <c r="C132" s="38"/>
      <c r="D132" s="38"/>
      <c r="E132" s="38"/>
      <c r="F132" s="38"/>
      <c r="G132" s="38"/>
      <c r="H132" s="38"/>
      <c r="I132" s="38"/>
    </row>
    <row r="133" spans="1:9" x14ac:dyDescent="0.3">
      <c r="A133" s="38"/>
      <c r="B133" s="38"/>
      <c r="C133" s="38"/>
      <c r="D133" s="38"/>
      <c r="E133" s="38"/>
      <c r="F133" s="38"/>
      <c r="G133" s="38"/>
      <c r="H133" s="38"/>
      <c r="I133" s="38"/>
    </row>
    <row r="134" spans="1:9" x14ac:dyDescent="0.3">
      <c r="A134" s="38"/>
      <c r="B134" s="38"/>
      <c r="C134" s="38"/>
      <c r="D134" s="38"/>
      <c r="E134" s="38"/>
      <c r="F134" s="38"/>
      <c r="G134" s="38"/>
      <c r="H134" s="38"/>
      <c r="I134" s="38"/>
    </row>
    <row r="135" spans="1:9" x14ac:dyDescent="0.3">
      <c r="A135" s="38"/>
      <c r="B135" s="38"/>
      <c r="C135" s="38"/>
      <c r="D135" s="38"/>
      <c r="E135" s="38"/>
      <c r="F135" s="38"/>
      <c r="G135" s="38"/>
      <c r="H135" s="38"/>
      <c r="I135" s="38"/>
    </row>
    <row r="136" spans="1:9" x14ac:dyDescent="0.3">
      <c r="A136" s="38"/>
      <c r="B136" s="38"/>
      <c r="C136" s="38"/>
      <c r="D136" s="38"/>
      <c r="E136" s="38"/>
      <c r="F136" s="38"/>
      <c r="G136" s="38"/>
      <c r="H136" s="38"/>
      <c r="I136" s="38"/>
    </row>
    <row r="137" spans="1:9" x14ac:dyDescent="0.3">
      <c r="A137" s="36"/>
      <c r="B137" s="36"/>
      <c r="C137" s="36"/>
      <c r="D137" s="36"/>
      <c r="E137" s="36"/>
      <c r="F137" s="36"/>
      <c r="G137" s="36"/>
      <c r="H137" s="12"/>
      <c r="I137" s="12"/>
    </row>
    <row r="138" spans="1:9" x14ac:dyDescent="0.3">
      <c r="A138" s="38"/>
      <c r="B138" s="37" t="s">
        <v>295</v>
      </c>
      <c r="C138" s="38"/>
      <c r="H138" s="12"/>
      <c r="I138" s="12"/>
    </row>
    <row r="139" spans="1:9" x14ac:dyDescent="0.3">
      <c r="A139" s="37" t="s">
        <v>1</v>
      </c>
      <c r="B139" s="58" t="s">
        <v>242</v>
      </c>
      <c r="C139" s="38" t="s">
        <v>116</v>
      </c>
      <c r="H139" s="12"/>
      <c r="I139" s="12"/>
    </row>
    <row r="140" spans="1:9" x14ac:dyDescent="0.3">
      <c r="A140" s="38" t="s">
        <v>96</v>
      </c>
      <c r="B140" s="38">
        <v>4094684</v>
      </c>
      <c r="C140" s="59">
        <v>120</v>
      </c>
      <c r="H140" s="12"/>
      <c r="I140" s="17"/>
    </row>
    <row r="141" spans="1:9" x14ac:dyDescent="0.3">
      <c r="A141" s="38" t="s">
        <v>102</v>
      </c>
      <c r="B141" s="38">
        <v>4094684</v>
      </c>
      <c r="C141" s="59">
        <v>120</v>
      </c>
      <c r="H141" s="12"/>
      <c r="I141" s="17"/>
    </row>
    <row r="142" spans="1:9" x14ac:dyDescent="0.3">
      <c r="H142" s="12"/>
      <c r="I142" s="17"/>
    </row>
    <row r="143" spans="1:9" x14ac:dyDescent="0.3">
      <c r="H143" s="12"/>
      <c r="I143" s="17"/>
    </row>
    <row r="144" spans="1:9" x14ac:dyDescent="0.3">
      <c r="H144" s="17"/>
      <c r="I144" s="17"/>
    </row>
    <row r="145" spans="2:9" x14ac:dyDescent="0.3">
      <c r="H145" s="17"/>
      <c r="I145" s="17"/>
    </row>
    <row r="146" spans="2:9" x14ac:dyDescent="0.3">
      <c r="H146" s="17"/>
      <c r="I146" s="17"/>
    </row>
    <row r="147" spans="2:9" x14ac:dyDescent="0.3">
      <c r="D147" s="17"/>
      <c r="E147" s="1"/>
      <c r="F147" s="1"/>
      <c r="G147" s="1"/>
      <c r="H147" s="17"/>
      <c r="I147" s="17"/>
    </row>
    <row r="148" spans="2:9" x14ac:dyDescent="0.3">
      <c r="D148" s="17"/>
      <c r="E148" s="1"/>
      <c r="F148" s="1"/>
      <c r="G148" s="1"/>
      <c r="H148" s="17"/>
      <c r="I148" s="17"/>
    </row>
    <row r="149" spans="2:9" x14ac:dyDescent="0.3">
      <c r="D149" s="17"/>
      <c r="E149" s="1"/>
      <c r="F149" s="1"/>
      <c r="G149" s="1"/>
      <c r="H149" s="17"/>
      <c r="I149" s="17"/>
    </row>
    <row r="150" spans="2:9" x14ac:dyDescent="0.3">
      <c r="D150" s="17"/>
      <c r="E150" s="1"/>
      <c r="F150" s="1"/>
      <c r="G150" s="1"/>
      <c r="H150" s="17"/>
      <c r="I150" s="17"/>
    </row>
    <row r="151" spans="2:9" x14ac:dyDescent="0.3">
      <c r="D151" s="17"/>
      <c r="E151" s="1"/>
      <c r="F151" s="1"/>
      <c r="G151" s="1"/>
      <c r="H151" s="17"/>
      <c r="I151" s="17"/>
    </row>
    <row r="152" spans="2:9" x14ac:dyDescent="0.3">
      <c r="D152" s="17"/>
      <c r="E152" s="1"/>
      <c r="F152" s="1"/>
      <c r="G152" s="1"/>
      <c r="H152" s="17"/>
      <c r="I152" s="17"/>
    </row>
    <row r="153" spans="2:9" x14ac:dyDescent="0.3">
      <c r="B153" s="17"/>
      <c r="C153" s="17"/>
      <c r="D153" s="17"/>
      <c r="E153" s="1"/>
      <c r="F153" s="1"/>
      <c r="G153" s="1"/>
      <c r="H153" s="17"/>
      <c r="I153" s="17"/>
    </row>
    <row r="154" spans="2:9" x14ac:dyDescent="0.3">
      <c r="B154" s="17"/>
      <c r="C154" s="17"/>
      <c r="D154" s="17"/>
      <c r="E154" s="1"/>
      <c r="F154" s="1"/>
      <c r="G154" s="1"/>
      <c r="H154" s="17"/>
      <c r="I154" s="17"/>
    </row>
    <row r="155" spans="2:9" x14ac:dyDescent="0.3">
      <c r="B155" s="17"/>
      <c r="C155" s="17"/>
      <c r="D155" s="17"/>
      <c r="E155" s="1"/>
      <c r="F155" s="1"/>
      <c r="G155" s="1"/>
      <c r="H155" s="17"/>
      <c r="I155" s="17"/>
    </row>
    <row r="156" spans="2:9" x14ac:dyDescent="0.3">
      <c r="B156" s="17"/>
      <c r="C156" s="17"/>
      <c r="D156" s="17"/>
      <c r="E156" s="1"/>
      <c r="F156" s="1"/>
      <c r="G156" s="1"/>
      <c r="H156" s="17"/>
      <c r="I156" s="17"/>
    </row>
    <row r="157" spans="2:9" x14ac:dyDescent="0.3">
      <c r="B157" s="17"/>
      <c r="C157" s="17"/>
      <c r="D157" s="17"/>
      <c r="E157" s="1"/>
      <c r="F157" s="1"/>
      <c r="G157" s="1"/>
      <c r="H157" s="17"/>
      <c r="I157" s="17"/>
    </row>
    <row r="158" spans="2:9" x14ac:dyDescent="0.3">
      <c r="B158" s="17"/>
      <c r="C158" s="17"/>
      <c r="D158" s="17"/>
      <c r="E158" s="1"/>
      <c r="F158" s="1"/>
      <c r="G158" s="1"/>
      <c r="H158" s="17"/>
      <c r="I158" s="17"/>
    </row>
    <row r="159" spans="2:9" x14ac:dyDescent="0.3">
      <c r="B159" s="17"/>
      <c r="C159" s="17"/>
      <c r="D159" s="17"/>
      <c r="E159" s="1"/>
      <c r="F159" s="1"/>
      <c r="G159" s="1"/>
      <c r="H159" s="17"/>
      <c r="I159" s="17"/>
    </row>
    <row r="160" spans="2:9" x14ac:dyDescent="0.3">
      <c r="B160" s="17"/>
      <c r="C160" s="17"/>
      <c r="D160" s="17"/>
      <c r="E160" s="1"/>
      <c r="F160" s="1"/>
      <c r="G160" s="1"/>
      <c r="H160" s="17"/>
      <c r="I160" s="17"/>
    </row>
    <row r="161" spans="1:15" x14ac:dyDescent="0.3">
      <c r="A161" s="30" t="s">
        <v>3</v>
      </c>
      <c r="B161" t="s">
        <v>103</v>
      </c>
      <c r="C161" s="1"/>
      <c r="D161" s="1"/>
      <c r="E161" s="1"/>
      <c r="F161" s="1"/>
      <c r="G161" s="1"/>
      <c r="H161" s="17"/>
      <c r="I161" s="17"/>
    </row>
    <row r="162" spans="1:15" x14ac:dyDescent="0.3">
      <c r="B162" s="18"/>
      <c r="C162" s="1"/>
      <c r="D162" s="1"/>
      <c r="E162" s="1"/>
      <c r="F162" s="1"/>
      <c r="G162" s="1"/>
      <c r="H162" s="17"/>
      <c r="I162" s="17"/>
    </row>
    <row r="163" spans="1:15" x14ac:dyDescent="0.3">
      <c r="A163" s="30" t="s">
        <v>116</v>
      </c>
      <c r="C163" s="30" t="s">
        <v>1</v>
      </c>
      <c r="O163"/>
    </row>
    <row r="164" spans="1:15" x14ac:dyDescent="0.3">
      <c r="A164" s="30" t="s">
        <v>8</v>
      </c>
      <c r="B164" s="30" t="s">
        <v>6</v>
      </c>
      <c r="C164" t="s">
        <v>293</v>
      </c>
      <c r="D164" t="s">
        <v>294</v>
      </c>
      <c r="E164" t="s">
        <v>102</v>
      </c>
      <c r="O164"/>
    </row>
    <row r="165" spans="1:15" x14ac:dyDescent="0.3">
      <c r="A165" t="s">
        <v>64</v>
      </c>
      <c r="B165" t="s">
        <v>1603</v>
      </c>
      <c r="D165">
        <v>2</v>
      </c>
      <c r="E165">
        <v>2</v>
      </c>
      <c r="O165"/>
    </row>
    <row r="166" spans="1:15" x14ac:dyDescent="0.3">
      <c r="B166" t="s">
        <v>1607</v>
      </c>
      <c r="C166">
        <v>1</v>
      </c>
      <c r="D166">
        <v>1</v>
      </c>
      <c r="E166">
        <v>2</v>
      </c>
      <c r="O166"/>
    </row>
    <row r="167" spans="1:15" x14ac:dyDescent="0.3">
      <c r="B167" t="s">
        <v>1609</v>
      </c>
      <c r="C167">
        <v>1</v>
      </c>
      <c r="E167">
        <v>1</v>
      </c>
      <c r="O167"/>
    </row>
    <row r="168" spans="1:15" x14ac:dyDescent="0.3">
      <c r="B168" t="s">
        <v>1615</v>
      </c>
      <c r="D168">
        <v>1</v>
      </c>
      <c r="E168">
        <v>1</v>
      </c>
      <c r="O168"/>
    </row>
    <row r="169" spans="1:15" x14ac:dyDescent="0.3">
      <c r="A169" t="s">
        <v>1858</v>
      </c>
      <c r="C169">
        <v>2</v>
      </c>
      <c r="D169">
        <v>4</v>
      </c>
      <c r="E169">
        <v>6</v>
      </c>
      <c r="O169"/>
    </row>
    <row r="170" spans="1:15" x14ac:dyDescent="0.3">
      <c r="A170" t="s">
        <v>102</v>
      </c>
      <c r="C170">
        <v>2</v>
      </c>
      <c r="D170">
        <v>4</v>
      </c>
      <c r="E170">
        <v>6</v>
      </c>
      <c r="O170"/>
    </row>
    <row r="171" spans="1:15" x14ac:dyDescent="0.3">
      <c r="O171"/>
    </row>
    <row r="172" spans="1:15" x14ac:dyDescent="0.3">
      <c r="O172"/>
    </row>
    <row r="173" spans="1:15" x14ac:dyDescent="0.3">
      <c r="O173"/>
    </row>
    <row r="174" spans="1:15" x14ac:dyDescent="0.3">
      <c r="O174"/>
    </row>
    <row r="175" spans="1:15" x14ac:dyDescent="0.3">
      <c r="O175"/>
    </row>
    <row r="176" spans="1:15" x14ac:dyDescent="0.3">
      <c r="O176"/>
    </row>
    <row r="177" spans="15:15" x14ac:dyDescent="0.3">
      <c r="O177"/>
    </row>
    <row r="178" spans="15:15" x14ac:dyDescent="0.3">
      <c r="O178"/>
    </row>
    <row r="179" spans="15:15" x14ac:dyDescent="0.3">
      <c r="O179"/>
    </row>
    <row r="180" spans="15:15" x14ac:dyDescent="0.3">
      <c r="O180"/>
    </row>
    <row r="181" spans="15:15" x14ac:dyDescent="0.3">
      <c r="O181"/>
    </row>
    <row r="182" spans="15:15" x14ac:dyDescent="0.3">
      <c r="O182"/>
    </row>
    <row r="183" spans="15:15" x14ac:dyDescent="0.3">
      <c r="O183"/>
    </row>
    <row r="184" spans="15:15" x14ac:dyDescent="0.3">
      <c r="O184"/>
    </row>
    <row r="185" spans="15:15" x14ac:dyDescent="0.3">
      <c r="O185"/>
    </row>
    <row r="186" spans="15:15" x14ac:dyDescent="0.3">
      <c r="O186"/>
    </row>
    <row r="187" spans="15:15" x14ac:dyDescent="0.3">
      <c r="O187"/>
    </row>
    <row r="188" spans="15:15" x14ac:dyDescent="0.3">
      <c r="O188"/>
    </row>
    <row r="189" spans="15:15" x14ac:dyDescent="0.3">
      <c r="O189"/>
    </row>
    <row r="190" spans="15:15" x14ac:dyDescent="0.3">
      <c r="O190"/>
    </row>
    <row r="191" spans="15:15" x14ac:dyDescent="0.3">
      <c r="O191"/>
    </row>
    <row r="192" spans="15:15" x14ac:dyDescent="0.3">
      <c r="O192"/>
    </row>
    <row r="193" spans="15:15" x14ac:dyDescent="0.3">
      <c r="O193"/>
    </row>
    <row r="194" spans="15:15" x14ac:dyDescent="0.3">
      <c r="O194"/>
    </row>
    <row r="195" spans="15:15" x14ac:dyDescent="0.3">
      <c r="O195"/>
    </row>
    <row r="196" spans="15:15" x14ac:dyDescent="0.3">
      <c r="O196"/>
    </row>
    <row r="197" spans="15:15" x14ac:dyDescent="0.3">
      <c r="O197"/>
    </row>
    <row r="198" spans="15:15" x14ac:dyDescent="0.3">
      <c r="O198"/>
    </row>
    <row r="199" spans="15:15" x14ac:dyDescent="0.3">
      <c r="O199"/>
    </row>
    <row r="200" spans="15:15" x14ac:dyDescent="0.3">
      <c r="O200"/>
    </row>
    <row r="201" spans="15:15" x14ac:dyDescent="0.3">
      <c r="O201"/>
    </row>
    <row r="202" spans="15:15" x14ac:dyDescent="0.3">
      <c r="O202"/>
    </row>
    <row r="203" spans="15:15" x14ac:dyDescent="0.3">
      <c r="O203"/>
    </row>
    <row r="204" spans="15:15" x14ac:dyDescent="0.3">
      <c r="O204"/>
    </row>
    <row r="205" spans="15:15" x14ac:dyDescent="0.3">
      <c r="O205"/>
    </row>
    <row r="206" spans="15:15" x14ac:dyDescent="0.3">
      <c r="O206"/>
    </row>
    <row r="207" spans="15:15" x14ac:dyDescent="0.3">
      <c r="O207"/>
    </row>
    <row r="208" spans="15:15" x14ac:dyDescent="0.3">
      <c r="O208"/>
    </row>
    <row r="209" spans="15:15" x14ac:dyDescent="0.3">
      <c r="O209"/>
    </row>
    <row r="210" spans="15:15" x14ac:dyDescent="0.3">
      <c r="O210"/>
    </row>
    <row r="211" spans="15:15" x14ac:dyDescent="0.3">
      <c r="O211"/>
    </row>
    <row r="212" spans="15:15" x14ac:dyDescent="0.3">
      <c r="O212"/>
    </row>
    <row r="213" spans="15:15" x14ac:dyDescent="0.3">
      <c r="O213"/>
    </row>
    <row r="214" spans="15:15" x14ac:dyDescent="0.3">
      <c r="O214"/>
    </row>
    <row r="215" spans="15:15" x14ac:dyDescent="0.3">
      <c r="O215"/>
    </row>
    <row r="216" spans="15:15" x14ac:dyDescent="0.3">
      <c r="O216"/>
    </row>
    <row r="217" spans="15:15" x14ac:dyDescent="0.3">
      <c r="O217"/>
    </row>
    <row r="218" spans="15:15" x14ac:dyDescent="0.3">
      <c r="O218"/>
    </row>
    <row r="219" spans="15:15" x14ac:dyDescent="0.3">
      <c r="O219"/>
    </row>
    <row r="220" spans="15:15" x14ac:dyDescent="0.3">
      <c r="O220"/>
    </row>
    <row r="221" spans="15:15" x14ac:dyDescent="0.3">
      <c r="O221"/>
    </row>
    <row r="222" spans="15:15" x14ac:dyDescent="0.3">
      <c r="O222"/>
    </row>
    <row r="223" spans="15:15" x14ac:dyDescent="0.3">
      <c r="O223"/>
    </row>
    <row r="224" spans="15:15" x14ac:dyDescent="0.3">
      <c r="O224"/>
    </row>
    <row r="225" spans="15:15" x14ac:dyDescent="0.3">
      <c r="O225"/>
    </row>
    <row r="226" spans="15:15" x14ac:dyDescent="0.3">
      <c r="O226"/>
    </row>
    <row r="227" spans="15:15" x14ac:dyDescent="0.3">
      <c r="O227"/>
    </row>
    <row r="228" spans="15:15" x14ac:dyDescent="0.3">
      <c r="O228"/>
    </row>
    <row r="229" spans="15:15" x14ac:dyDescent="0.3">
      <c r="O229"/>
    </row>
    <row r="230" spans="15:15" x14ac:dyDescent="0.3">
      <c r="O230"/>
    </row>
    <row r="231" spans="15:15" x14ac:dyDescent="0.3">
      <c r="O231"/>
    </row>
    <row r="232" spans="15:15" x14ac:dyDescent="0.3">
      <c r="O232"/>
    </row>
    <row r="233" spans="15:15" x14ac:dyDescent="0.3">
      <c r="O233"/>
    </row>
    <row r="234" spans="15:15" x14ac:dyDescent="0.3">
      <c r="O234"/>
    </row>
    <row r="235" spans="15:15" x14ac:dyDescent="0.3">
      <c r="O235"/>
    </row>
    <row r="236" spans="15:15" x14ac:dyDescent="0.3">
      <c r="O236"/>
    </row>
    <row r="237" spans="15:15" x14ac:dyDescent="0.3">
      <c r="O237"/>
    </row>
    <row r="238" spans="15:15" x14ac:dyDescent="0.3">
      <c r="O238"/>
    </row>
    <row r="239" spans="15:15" x14ac:dyDescent="0.3">
      <c r="O239"/>
    </row>
    <row r="240" spans="15:15" x14ac:dyDescent="0.3">
      <c r="O240"/>
    </row>
    <row r="241" spans="15:15" x14ac:dyDescent="0.3">
      <c r="O241"/>
    </row>
    <row r="242" spans="15:15" x14ac:dyDescent="0.3">
      <c r="O242"/>
    </row>
    <row r="243" spans="15:15" x14ac:dyDescent="0.3">
      <c r="O243"/>
    </row>
    <row r="244" spans="15:15" x14ac:dyDescent="0.3">
      <c r="O244"/>
    </row>
    <row r="245" spans="15:15" x14ac:dyDescent="0.3">
      <c r="O245"/>
    </row>
    <row r="246" spans="15:15" x14ac:dyDescent="0.3">
      <c r="O246"/>
    </row>
    <row r="247" spans="15:15" x14ac:dyDescent="0.3">
      <c r="O247"/>
    </row>
    <row r="248" spans="15:15" x14ac:dyDescent="0.3">
      <c r="O248"/>
    </row>
    <row r="249" spans="15:15" x14ac:dyDescent="0.3">
      <c r="O249"/>
    </row>
    <row r="250" spans="15:15" x14ac:dyDescent="0.3">
      <c r="O250"/>
    </row>
    <row r="251" spans="15:15" x14ac:dyDescent="0.3">
      <c r="O251"/>
    </row>
    <row r="252" spans="15:15" x14ac:dyDescent="0.3">
      <c r="O252"/>
    </row>
    <row r="253" spans="15:15" x14ac:dyDescent="0.3">
      <c r="O253"/>
    </row>
    <row r="254" spans="15:15" x14ac:dyDescent="0.3">
      <c r="O254"/>
    </row>
    <row r="255" spans="15:15" x14ac:dyDescent="0.3">
      <c r="O255"/>
    </row>
    <row r="256" spans="15:15" x14ac:dyDescent="0.3">
      <c r="O256"/>
    </row>
    <row r="257" spans="15:15" x14ac:dyDescent="0.3">
      <c r="O257"/>
    </row>
    <row r="258" spans="15:15" x14ac:dyDescent="0.3">
      <c r="O258"/>
    </row>
    <row r="259" spans="15:15" x14ac:dyDescent="0.3">
      <c r="O259"/>
    </row>
    <row r="260" spans="15:15" x14ac:dyDescent="0.3">
      <c r="O260"/>
    </row>
    <row r="261" spans="15:15" x14ac:dyDescent="0.3">
      <c r="O261"/>
    </row>
    <row r="262" spans="15:15" x14ac:dyDescent="0.3">
      <c r="O262"/>
    </row>
    <row r="263" spans="15:15" x14ac:dyDescent="0.3">
      <c r="O263"/>
    </row>
    <row r="264" spans="15:15" x14ac:dyDescent="0.3">
      <c r="O264"/>
    </row>
    <row r="265" spans="15:15" x14ac:dyDescent="0.3">
      <c r="O265"/>
    </row>
    <row r="266" spans="15:15" x14ac:dyDescent="0.3">
      <c r="O266"/>
    </row>
    <row r="267" spans="15:15" x14ac:dyDescent="0.3">
      <c r="O267"/>
    </row>
    <row r="268" spans="15:15" x14ac:dyDescent="0.3">
      <c r="O268"/>
    </row>
    <row r="269" spans="15:15" x14ac:dyDescent="0.3">
      <c r="O269"/>
    </row>
    <row r="270" spans="15:15" x14ac:dyDescent="0.3">
      <c r="O270"/>
    </row>
    <row r="271" spans="15:15" x14ac:dyDescent="0.3">
      <c r="O271"/>
    </row>
    <row r="272" spans="15:15" x14ac:dyDescent="0.3">
      <c r="O272"/>
    </row>
    <row r="273" spans="15:15" x14ac:dyDescent="0.3">
      <c r="O273"/>
    </row>
    <row r="274" spans="15:15" x14ac:dyDescent="0.3">
      <c r="O274"/>
    </row>
    <row r="275" spans="15:15" x14ac:dyDescent="0.3">
      <c r="O275"/>
    </row>
    <row r="276" spans="15:15" x14ac:dyDescent="0.3">
      <c r="O276"/>
    </row>
    <row r="277" spans="15:15" x14ac:dyDescent="0.3">
      <c r="O277"/>
    </row>
    <row r="278" spans="15:15" x14ac:dyDescent="0.3">
      <c r="O278"/>
    </row>
    <row r="279" spans="15:15" x14ac:dyDescent="0.3">
      <c r="O279"/>
    </row>
    <row r="280" spans="15:15" x14ac:dyDescent="0.3">
      <c r="O280"/>
    </row>
    <row r="281" spans="15:15" x14ac:dyDescent="0.3">
      <c r="O281"/>
    </row>
    <row r="282" spans="15:15" x14ac:dyDescent="0.3">
      <c r="O282"/>
    </row>
    <row r="283" spans="15:15" x14ac:dyDescent="0.3">
      <c r="O283"/>
    </row>
    <row r="284" spans="15:15" x14ac:dyDescent="0.3">
      <c r="O284"/>
    </row>
    <row r="285" spans="15:15" x14ac:dyDescent="0.3">
      <c r="O285"/>
    </row>
    <row r="286" spans="15:15" x14ac:dyDescent="0.3">
      <c r="O286"/>
    </row>
    <row r="287" spans="15:15" x14ac:dyDescent="0.3">
      <c r="O287"/>
    </row>
    <row r="288" spans="15:15" x14ac:dyDescent="0.3">
      <c r="O288"/>
    </row>
    <row r="289" spans="15:15" x14ac:dyDescent="0.3">
      <c r="O289"/>
    </row>
    <row r="290" spans="15:15" x14ac:dyDescent="0.3">
      <c r="O290"/>
    </row>
    <row r="291" spans="15:15" x14ac:dyDescent="0.3">
      <c r="O291"/>
    </row>
    <row r="292" spans="15:15" x14ac:dyDescent="0.3">
      <c r="O292"/>
    </row>
    <row r="293" spans="15:15" x14ac:dyDescent="0.3">
      <c r="O293"/>
    </row>
    <row r="294" spans="15:15" x14ac:dyDescent="0.3">
      <c r="O294"/>
    </row>
    <row r="295" spans="15:15" x14ac:dyDescent="0.3">
      <c r="O295"/>
    </row>
    <row r="296" spans="15:15" x14ac:dyDescent="0.3">
      <c r="O296"/>
    </row>
    <row r="297" spans="15:15" x14ac:dyDescent="0.3">
      <c r="O297"/>
    </row>
    <row r="298" spans="15:15" x14ac:dyDescent="0.3">
      <c r="O298"/>
    </row>
    <row r="299" spans="15:15" x14ac:dyDescent="0.3">
      <c r="O299"/>
    </row>
    <row r="300" spans="15:15" x14ac:dyDescent="0.3">
      <c r="O300"/>
    </row>
    <row r="301" spans="15:15" x14ac:dyDescent="0.3">
      <c r="O301"/>
    </row>
    <row r="302" spans="15:15" x14ac:dyDescent="0.3">
      <c r="O302"/>
    </row>
    <row r="303" spans="15:15" x14ac:dyDescent="0.3">
      <c r="O303"/>
    </row>
    <row r="304" spans="15:15" x14ac:dyDescent="0.3">
      <c r="O304"/>
    </row>
    <row r="305" spans="15:15" x14ac:dyDescent="0.3">
      <c r="O305"/>
    </row>
    <row r="306" spans="15:15" x14ac:dyDescent="0.3">
      <c r="O306"/>
    </row>
    <row r="307" spans="15:15" x14ac:dyDescent="0.3">
      <c r="O307"/>
    </row>
    <row r="308" spans="15:15" x14ac:dyDescent="0.3">
      <c r="O308"/>
    </row>
    <row r="309" spans="15:15" x14ac:dyDescent="0.3">
      <c r="O309"/>
    </row>
    <row r="310" spans="15:15" x14ac:dyDescent="0.3">
      <c r="O310"/>
    </row>
    <row r="311" spans="15:15" x14ac:dyDescent="0.3">
      <c r="O311"/>
    </row>
    <row r="312" spans="15:15" x14ac:dyDescent="0.3">
      <c r="O312"/>
    </row>
    <row r="313" spans="15:15" x14ac:dyDescent="0.3">
      <c r="O313"/>
    </row>
    <row r="314" spans="15:15" x14ac:dyDescent="0.3">
      <c r="O314"/>
    </row>
    <row r="315" spans="15:15" x14ac:dyDescent="0.3">
      <c r="O315"/>
    </row>
    <row r="316" spans="15:15" x14ac:dyDescent="0.3">
      <c r="O316"/>
    </row>
    <row r="317" spans="15:15" x14ac:dyDescent="0.3">
      <c r="O317"/>
    </row>
    <row r="318" spans="15:15" x14ac:dyDescent="0.3">
      <c r="O318"/>
    </row>
    <row r="319" spans="15:15" x14ac:dyDescent="0.3">
      <c r="O319"/>
    </row>
    <row r="320" spans="15:15" x14ac:dyDescent="0.3">
      <c r="O320"/>
    </row>
    <row r="321" spans="15:15" x14ac:dyDescent="0.3">
      <c r="O321"/>
    </row>
    <row r="322" spans="15:15" x14ac:dyDescent="0.3">
      <c r="O322"/>
    </row>
    <row r="323" spans="15:15" x14ac:dyDescent="0.3">
      <c r="O323"/>
    </row>
    <row r="324" spans="15:15" x14ac:dyDescent="0.3">
      <c r="O324"/>
    </row>
    <row r="325" spans="15:15" x14ac:dyDescent="0.3">
      <c r="O325"/>
    </row>
    <row r="326" spans="15:15" x14ac:dyDescent="0.3">
      <c r="O326"/>
    </row>
    <row r="327" spans="15:15" x14ac:dyDescent="0.3">
      <c r="O327"/>
    </row>
    <row r="328" spans="15:15" x14ac:dyDescent="0.3">
      <c r="O328"/>
    </row>
    <row r="329" spans="15:15" x14ac:dyDescent="0.3">
      <c r="O329"/>
    </row>
    <row r="330" spans="15:15" x14ac:dyDescent="0.3">
      <c r="O330"/>
    </row>
    <row r="331" spans="15:15" x14ac:dyDescent="0.3">
      <c r="O331"/>
    </row>
    <row r="332" spans="15:15" x14ac:dyDescent="0.3">
      <c r="O332"/>
    </row>
    <row r="333" spans="15:15" x14ac:dyDescent="0.3">
      <c r="O333"/>
    </row>
    <row r="334" spans="15:15" x14ac:dyDescent="0.3">
      <c r="O334"/>
    </row>
    <row r="335" spans="15:15" x14ac:dyDescent="0.3">
      <c r="O335"/>
    </row>
    <row r="336" spans="15:15" x14ac:dyDescent="0.3">
      <c r="O336"/>
    </row>
    <row r="337" spans="1:15" x14ac:dyDescent="0.3">
      <c r="O337"/>
    </row>
    <row r="338" spans="1:15" x14ac:dyDescent="0.3">
      <c r="O338"/>
    </row>
    <row r="339" spans="1:15" x14ac:dyDescent="0.3">
      <c r="C339" s="36"/>
      <c r="D339" s="36"/>
      <c r="E339" s="36"/>
      <c r="F339" s="36"/>
      <c r="G339" s="36"/>
      <c r="O339"/>
    </row>
    <row r="340" spans="1:15" x14ac:dyDescent="0.3">
      <c r="A340" s="36"/>
      <c r="B340" s="36"/>
      <c r="C340" s="36"/>
      <c r="D340" s="36"/>
      <c r="E340" s="36"/>
      <c r="F340" s="36"/>
      <c r="G340" s="36"/>
      <c r="O340"/>
    </row>
    <row r="341" spans="1:15" x14ac:dyDescent="0.3">
      <c r="A341" s="37" t="s">
        <v>242</v>
      </c>
      <c r="B341" s="38"/>
      <c r="O341"/>
    </row>
    <row r="342" spans="1:15" x14ac:dyDescent="0.3">
      <c r="A342" s="37" t="s">
        <v>1</v>
      </c>
      <c r="B342" s="38" t="s">
        <v>99</v>
      </c>
      <c r="O342"/>
    </row>
    <row r="343" spans="1:15" x14ac:dyDescent="0.3">
      <c r="A343" s="38" t="s">
        <v>96</v>
      </c>
      <c r="B343" s="38">
        <v>4094684</v>
      </c>
      <c r="O343"/>
    </row>
    <row r="344" spans="1:15" x14ac:dyDescent="0.3">
      <c r="A344" s="38" t="s">
        <v>97</v>
      </c>
      <c r="B344" s="38">
        <v>2281360</v>
      </c>
      <c r="O344"/>
    </row>
    <row r="345" spans="1:15" x14ac:dyDescent="0.3">
      <c r="A345" s="38" t="s">
        <v>249</v>
      </c>
      <c r="B345" s="38">
        <v>3070108</v>
      </c>
      <c r="O345"/>
    </row>
    <row r="346" spans="1:15" x14ac:dyDescent="0.3">
      <c r="A346" s="38" t="s">
        <v>254</v>
      </c>
      <c r="B346" s="38">
        <v>2942555</v>
      </c>
      <c r="O346"/>
    </row>
    <row r="347" spans="1:15" x14ac:dyDescent="0.3">
      <c r="A347" s="38" t="s">
        <v>260</v>
      </c>
      <c r="B347" s="38">
        <v>2329766</v>
      </c>
      <c r="O347"/>
    </row>
    <row r="348" spans="1:15" x14ac:dyDescent="0.3">
      <c r="A348" s="38" t="s">
        <v>102</v>
      </c>
      <c r="B348" s="38">
        <v>14718473</v>
      </c>
      <c r="O348"/>
    </row>
    <row r="349" spans="1:15" x14ac:dyDescent="0.3">
      <c r="O349"/>
    </row>
    <row r="350" spans="1:15" x14ac:dyDescent="0.3">
      <c r="O350"/>
    </row>
    <row r="351" spans="1:15" x14ac:dyDescent="0.3">
      <c r="O351"/>
    </row>
    <row r="352" spans="1:15" x14ac:dyDescent="0.3">
      <c r="O352"/>
    </row>
    <row r="353" spans="1:15" x14ac:dyDescent="0.3">
      <c r="O353"/>
    </row>
    <row r="354" spans="1:15" x14ac:dyDescent="0.3">
      <c r="O354"/>
    </row>
    <row r="355" spans="1:15" x14ac:dyDescent="0.3">
      <c r="O355"/>
    </row>
    <row r="356" spans="1:15" x14ac:dyDescent="0.3">
      <c r="O356"/>
    </row>
    <row r="357" spans="1:15" x14ac:dyDescent="0.3">
      <c r="O357"/>
    </row>
    <row r="358" spans="1:15" x14ac:dyDescent="0.3">
      <c r="O358"/>
    </row>
    <row r="359" spans="1:15" x14ac:dyDescent="0.3">
      <c r="O359"/>
    </row>
    <row r="360" spans="1:15" x14ac:dyDescent="0.3">
      <c r="O360"/>
    </row>
    <row r="361" spans="1:15" x14ac:dyDescent="0.3">
      <c r="A361" s="37" t="s">
        <v>1</v>
      </c>
      <c r="B361" s="38" t="s">
        <v>260</v>
      </c>
      <c r="C361" s="36"/>
      <c r="D361" s="36"/>
      <c r="E361" s="36"/>
      <c r="F361" s="36"/>
      <c r="G361" s="36"/>
      <c r="O361"/>
    </row>
    <row r="362" spans="1:15" x14ac:dyDescent="0.3">
      <c r="A362" s="36"/>
      <c r="B362" s="36"/>
      <c r="C362" s="36"/>
      <c r="D362" s="36"/>
      <c r="E362" s="36"/>
      <c r="F362" s="36"/>
      <c r="G362" s="36"/>
      <c r="O362"/>
    </row>
    <row r="363" spans="1:15" x14ac:dyDescent="0.3">
      <c r="A363" s="37" t="s">
        <v>242</v>
      </c>
      <c r="B363" s="37" t="s">
        <v>8</v>
      </c>
      <c r="C363" s="38"/>
      <c r="D363" s="38"/>
      <c r="E363" s="38"/>
      <c r="F363" s="38"/>
      <c r="G363" s="38"/>
      <c r="H363" s="38"/>
      <c r="I363" s="38"/>
      <c r="J363" s="38"/>
      <c r="O363"/>
    </row>
    <row r="364" spans="1:15" x14ac:dyDescent="0.3">
      <c r="A364" s="37" t="s">
        <v>9</v>
      </c>
      <c r="B364" s="38" t="s">
        <v>55</v>
      </c>
      <c r="C364" s="38" t="s">
        <v>49</v>
      </c>
      <c r="D364" s="38" t="s">
        <v>71</v>
      </c>
      <c r="E364" s="38" t="s">
        <v>84</v>
      </c>
      <c r="F364" s="38" t="s">
        <v>64</v>
      </c>
      <c r="G364" s="38" t="s">
        <v>88</v>
      </c>
      <c r="H364" s="38" t="s">
        <v>284</v>
      </c>
      <c r="I364" s="38" t="s">
        <v>327</v>
      </c>
      <c r="J364" s="38" t="s">
        <v>102</v>
      </c>
      <c r="O364"/>
    </row>
    <row r="365" spans="1:15" x14ac:dyDescent="0.3">
      <c r="A365" s="38" t="s">
        <v>21</v>
      </c>
      <c r="B365" s="38">
        <v>741579</v>
      </c>
      <c r="C365" s="38">
        <v>383971</v>
      </c>
      <c r="D365" s="38">
        <v>23429</v>
      </c>
      <c r="E365" s="38">
        <v>157659</v>
      </c>
      <c r="F365" s="38">
        <v>175540</v>
      </c>
      <c r="G365" s="38">
        <v>53218</v>
      </c>
      <c r="H365" s="38">
        <v>23875</v>
      </c>
      <c r="I365" s="38">
        <v>0</v>
      </c>
      <c r="J365" s="38">
        <v>1559271</v>
      </c>
      <c r="O365"/>
    </row>
    <row r="366" spans="1:15" x14ac:dyDescent="0.3">
      <c r="A366" s="38" t="s">
        <v>24</v>
      </c>
      <c r="B366" s="38">
        <v>176684</v>
      </c>
      <c r="C366" s="38">
        <v>81427</v>
      </c>
      <c r="D366" s="38"/>
      <c r="E366" s="38">
        <v>27929</v>
      </c>
      <c r="F366" s="38"/>
      <c r="G366" s="38"/>
      <c r="H366" s="38">
        <v>23875</v>
      </c>
      <c r="I366" s="38">
        <v>0</v>
      </c>
      <c r="J366" s="38">
        <v>309915</v>
      </c>
      <c r="O366"/>
    </row>
    <row r="367" spans="1:15" x14ac:dyDescent="0.3">
      <c r="A367" s="38" t="s">
        <v>42</v>
      </c>
      <c r="B367" s="38">
        <v>128763</v>
      </c>
      <c r="C367" s="38">
        <v>76927</v>
      </c>
      <c r="D367" s="38"/>
      <c r="E367" s="38"/>
      <c r="F367" s="38"/>
      <c r="G367" s="38"/>
      <c r="H367" s="38"/>
      <c r="I367" s="38"/>
      <c r="J367" s="38">
        <v>205690</v>
      </c>
      <c r="O367"/>
    </row>
    <row r="368" spans="1:15" x14ac:dyDescent="0.3">
      <c r="A368" s="38" t="s">
        <v>189</v>
      </c>
      <c r="B368" s="38"/>
      <c r="C368" s="38"/>
      <c r="D368" s="38"/>
      <c r="E368" s="38">
        <v>24885</v>
      </c>
      <c r="F368" s="38"/>
      <c r="G368" s="38">
        <v>81884</v>
      </c>
      <c r="H368" s="38"/>
      <c r="I368" s="38"/>
      <c r="J368" s="38">
        <v>106769</v>
      </c>
      <c r="O368"/>
    </row>
    <row r="369" spans="1:15" x14ac:dyDescent="0.3">
      <c r="A369" s="38" t="s">
        <v>194</v>
      </c>
      <c r="B369" s="38">
        <v>56077</v>
      </c>
      <c r="C369" s="38">
        <v>41897</v>
      </c>
      <c r="D369" s="38"/>
      <c r="E369" s="38"/>
      <c r="F369" s="38"/>
      <c r="G369" s="38"/>
      <c r="H369" s="38"/>
      <c r="I369" s="38"/>
      <c r="J369" s="38">
        <v>97974</v>
      </c>
      <c r="O369"/>
    </row>
    <row r="370" spans="1:15" x14ac:dyDescent="0.3">
      <c r="A370" s="38" t="s">
        <v>37</v>
      </c>
      <c r="B370" s="38">
        <v>34953</v>
      </c>
      <c r="C370" s="38">
        <v>15194</v>
      </c>
      <c r="D370" s="38"/>
      <c r="E370" s="38"/>
      <c r="F370" s="38"/>
      <c r="G370" s="38"/>
      <c r="H370" s="38"/>
      <c r="I370" s="38"/>
      <c r="J370" s="38">
        <v>50147</v>
      </c>
      <c r="O370"/>
    </row>
    <row r="371" spans="1:15" x14ac:dyDescent="0.3">
      <c r="A371" s="38" t="s">
        <v>102</v>
      </c>
      <c r="B371" s="38">
        <v>1138056</v>
      </c>
      <c r="C371" s="38">
        <v>599416</v>
      </c>
      <c r="D371" s="38">
        <v>23429</v>
      </c>
      <c r="E371" s="38">
        <v>210473</v>
      </c>
      <c r="F371" s="38">
        <v>175540</v>
      </c>
      <c r="G371" s="38">
        <v>135102</v>
      </c>
      <c r="H371" s="38">
        <v>47750</v>
      </c>
      <c r="I371" s="38">
        <v>0</v>
      </c>
      <c r="J371" s="38">
        <v>2329766</v>
      </c>
      <c r="O371"/>
    </row>
    <row r="372" spans="1:15" x14ac:dyDescent="0.3">
      <c r="O372"/>
    </row>
    <row r="373" spans="1:15" x14ac:dyDescent="0.3">
      <c r="O373"/>
    </row>
    <row r="374" spans="1:15" x14ac:dyDescent="0.3">
      <c r="O374"/>
    </row>
    <row r="375" spans="1:15" x14ac:dyDescent="0.3">
      <c r="O375"/>
    </row>
    <row r="376" spans="1:15" x14ac:dyDescent="0.3">
      <c r="O376"/>
    </row>
    <row r="377" spans="1:15" x14ac:dyDescent="0.3">
      <c r="O377"/>
    </row>
    <row r="378" spans="1:15" x14ac:dyDescent="0.3">
      <c r="O378"/>
    </row>
    <row r="379" spans="1:15" x14ac:dyDescent="0.3">
      <c r="O379"/>
    </row>
    <row r="380" spans="1:15" x14ac:dyDescent="0.3">
      <c r="O380"/>
    </row>
    <row r="381" spans="1:15" x14ac:dyDescent="0.3">
      <c r="O381"/>
    </row>
    <row r="382" spans="1:15" x14ac:dyDescent="0.3">
      <c r="O382"/>
    </row>
    <row r="383" spans="1:15" x14ac:dyDescent="0.3">
      <c r="O383"/>
    </row>
    <row r="384" spans="1:15" x14ac:dyDescent="0.3">
      <c r="A384" s="36"/>
      <c r="B384" s="36"/>
      <c r="C384" s="36"/>
      <c r="D384" s="36"/>
      <c r="E384" s="36"/>
      <c r="F384" s="36"/>
      <c r="G384" s="36"/>
      <c r="O384"/>
    </row>
    <row r="385" spans="1:15" x14ac:dyDescent="0.3">
      <c r="A385" s="37" t="s">
        <v>242</v>
      </c>
      <c r="B385" s="38"/>
      <c r="O385"/>
    </row>
    <row r="386" spans="1:15" x14ac:dyDescent="0.3">
      <c r="A386" s="37" t="s">
        <v>1</v>
      </c>
      <c r="B386" s="38" t="s">
        <v>99</v>
      </c>
      <c r="O386"/>
    </row>
    <row r="387" spans="1:15" x14ac:dyDescent="0.3">
      <c r="A387" s="38" t="s">
        <v>96</v>
      </c>
      <c r="B387" s="38">
        <v>4094684</v>
      </c>
      <c r="O387"/>
    </row>
    <row r="388" spans="1:15" x14ac:dyDescent="0.3">
      <c r="A388" s="38" t="s">
        <v>97</v>
      </c>
      <c r="B388" s="38">
        <v>2032202</v>
      </c>
      <c r="O388"/>
    </row>
    <row r="389" spans="1:15" x14ac:dyDescent="0.3">
      <c r="A389" s="38" t="s">
        <v>102</v>
      </c>
      <c r="B389" s="38">
        <v>6126886</v>
      </c>
      <c r="O389"/>
    </row>
    <row r="390" spans="1:15" x14ac:dyDescent="0.3">
      <c r="O390"/>
    </row>
    <row r="391" spans="1:15" x14ac:dyDescent="0.3">
      <c r="O391"/>
    </row>
    <row r="392" spans="1:15" x14ac:dyDescent="0.3">
      <c r="O392"/>
    </row>
    <row r="393" spans="1:15" x14ac:dyDescent="0.3">
      <c r="O393"/>
    </row>
    <row r="394" spans="1:15" x14ac:dyDescent="0.3">
      <c r="O394"/>
    </row>
    <row r="395" spans="1:15" x14ac:dyDescent="0.3">
      <c r="O395"/>
    </row>
    <row r="396" spans="1:15" x14ac:dyDescent="0.3">
      <c r="O396"/>
    </row>
    <row r="397" spans="1:15" x14ac:dyDescent="0.3">
      <c r="O397"/>
    </row>
    <row r="398" spans="1:15" x14ac:dyDescent="0.3">
      <c r="O398"/>
    </row>
    <row r="399" spans="1:15" x14ac:dyDescent="0.3">
      <c r="O399"/>
    </row>
    <row r="400" spans="1:15" x14ac:dyDescent="0.3">
      <c r="O400"/>
    </row>
    <row r="401" spans="15:15" x14ac:dyDescent="0.3">
      <c r="O401"/>
    </row>
    <row r="402" spans="15:15" x14ac:dyDescent="0.3">
      <c r="O402"/>
    </row>
    <row r="403" spans="15:15" x14ac:dyDescent="0.3">
      <c r="O403"/>
    </row>
    <row r="404" spans="15:15" x14ac:dyDescent="0.3">
      <c r="O404"/>
    </row>
    <row r="405" spans="15:15" x14ac:dyDescent="0.3">
      <c r="O405"/>
    </row>
    <row r="406" spans="15:15" x14ac:dyDescent="0.3">
      <c r="O406"/>
    </row>
    <row r="407" spans="15:15" x14ac:dyDescent="0.3">
      <c r="O407"/>
    </row>
    <row r="408" spans="15:15" x14ac:dyDescent="0.3">
      <c r="O408"/>
    </row>
    <row r="409" spans="15:15" x14ac:dyDescent="0.3">
      <c r="O409"/>
    </row>
    <row r="410" spans="15:15" x14ac:dyDescent="0.3">
      <c r="O410"/>
    </row>
    <row r="411" spans="15:15" x14ac:dyDescent="0.3">
      <c r="O411"/>
    </row>
    <row r="412" spans="15:15" x14ac:dyDescent="0.3">
      <c r="O412"/>
    </row>
    <row r="413" spans="15:15" x14ac:dyDescent="0.3">
      <c r="O413"/>
    </row>
    <row r="414" spans="15:15" x14ac:dyDescent="0.3">
      <c r="O414"/>
    </row>
    <row r="415" spans="15:15" x14ac:dyDescent="0.3">
      <c r="O415"/>
    </row>
    <row r="416" spans="15:15" x14ac:dyDescent="0.3">
      <c r="O416"/>
    </row>
    <row r="417" spans="15:15" x14ac:dyDescent="0.3">
      <c r="O417"/>
    </row>
    <row r="418" spans="15:15" x14ac:dyDescent="0.3">
      <c r="O418"/>
    </row>
    <row r="419" spans="15:15" x14ac:dyDescent="0.3">
      <c r="O419"/>
    </row>
    <row r="420" spans="15:15" x14ac:dyDescent="0.3">
      <c r="O420"/>
    </row>
    <row r="421" spans="15:15" x14ac:dyDescent="0.3">
      <c r="O421"/>
    </row>
    <row r="422" spans="15:15" x14ac:dyDescent="0.3">
      <c r="O422"/>
    </row>
    <row r="423" spans="15:15" x14ac:dyDescent="0.3">
      <c r="O423"/>
    </row>
    <row r="424" spans="15:15" x14ac:dyDescent="0.3">
      <c r="O424"/>
    </row>
    <row r="425" spans="15:15" x14ac:dyDescent="0.3">
      <c r="O425"/>
    </row>
    <row r="426" spans="15:15" x14ac:dyDescent="0.3">
      <c r="O426"/>
    </row>
    <row r="427" spans="15:15" x14ac:dyDescent="0.3">
      <c r="O427"/>
    </row>
    <row r="428" spans="15:15" x14ac:dyDescent="0.3">
      <c r="O428"/>
    </row>
    <row r="429" spans="15:15" x14ac:dyDescent="0.3">
      <c r="O429"/>
    </row>
    <row r="430" spans="15:15" x14ac:dyDescent="0.3">
      <c r="O430"/>
    </row>
    <row r="431" spans="15:15" x14ac:dyDescent="0.3">
      <c r="O431"/>
    </row>
    <row r="432" spans="15:15" x14ac:dyDescent="0.3">
      <c r="O432"/>
    </row>
    <row r="433" spans="2:15" x14ac:dyDescent="0.3">
      <c r="O433"/>
    </row>
    <row r="439" spans="2:15" x14ac:dyDescent="0.3">
      <c r="B439" s="18"/>
      <c r="C439" s="1"/>
      <c r="D439" s="1"/>
      <c r="E439" s="1"/>
      <c r="F439" s="1"/>
      <c r="G439" s="1"/>
      <c r="H439" s="17"/>
      <c r="I439" s="17"/>
    </row>
    <row r="440" spans="2:15" x14ac:dyDescent="0.3">
      <c r="B440" s="18"/>
      <c r="C440" s="1"/>
      <c r="D440" s="1"/>
      <c r="E440" s="1"/>
      <c r="F440" s="1"/>
      <c r="G440" s="1"/>
      <c r="H440" s="17"/>
      <c r="I440" s="17"/>
    </row>
    <row r="441" spans="2:15" x14ac:dyDescent="0.3">
      <c r="B441" s="18"/>
      <c r="C441" s="1"/>
      <c r="D441" s="1"/>
      <c r="E441" s="1"/>
      <c r="F441" s="1"/>
      <c r="G441" s="1"/>
      <c r="H441" s="17"/>
      <c r="I441" s="17"/>
    </row>
    <row r="442" spans="2:15" x14ac:dyDescent="0.3">
      <c r="B442" s="18"/>
      <c r="C442" s="1"/>
      <c r="D442" s="1"/>
      <c r="E442" s="1"/>
      <c r="F442" s="1"/>
      <c r="G442" s="1"/>
      <c r="H442" s="17"/>
      <c r="I442" s="17"/>
    </row>
    <row r="443" spans="2:15" x14ac:dyDescent="0.3">
      <c r="B443" s="18"/>
      <c r="C443" s="1"/>
      <c r="D443" s="1"/>
      <c r="E443" s="1"/>
      <c r="F443" s="1"/>
      <c r="G443" s="1"/>
      <c r="H443" s="17"/>
      <c r="I443" s="17"/>
    </row>
    <row r="444" spans="2:15" x14ac:dyDescent="0.3">
      <c r="B444" s="18"/>
      <c r="C444" s="1"/>
      <c r="D444" s="1"/>
      <c r="E444" s="1"/>
      <c r="F444" s="1"/>
      <c r="G444" s="1"/>
      <c r="H444" s="17"/>
      <c r="I444" s="17"/>
    </row>
    <row r="445" spans="2:15" x14ac:dyDescent="0.3">
      <c r="B445" s="18"/>
      <c r="C445" s="1"/>
      <c r="D445" s="1"/>
      <c r="E445" s="1"/>
      <c r="F445" s="1"/>
      <c r="G445" s="1"/>
      <c r="H445" s="17"/>
      <c r="I445" s="17"/>
    </row>
    <row r="446" spans="2:15" x14ac:dyDescent="0.3">
      <c r="B446" s="18"/>
      <c r="C446" s="1"/>
      <c r="D446" s="1"/>
      <c r="E446" s="1"/>
      <c r="F446" s="1"/>
      <c r="G446" s="1"/>
      <c r="H446" s="17"/>
      <c r="I446" s="17"/>
    </row>
    <row r="447" spans="2:15" x14ac:dyDescent="0.3">
      <c r="B447" s="18"/>
      <c r="C447" s="1"/>
      <c r="D447" s="1"/>
      <c r="E447" s="1"/>
      <c r="F447" s="1"/>
      <c r="G447" s="1"/>
      <c r="H447" s="17"/>
      <c r="I447" s="17"/>
    </row>
    <row r="448" spans="2:15" x14ac:dyDescent="0.3">
      <c r="B448" s="18"/>
      <c r="C448" s="1"/>
      <c r="D448" s="1"/>
      <c r="E448" s="1"/>
      <c r="F448" s="1"/>
      <c r="G448" s="1"/>
      <c r="H448" s="17"/>
      <c r="I448" s="17"/>
    </row>
    <row r="449" spans="2:9" x14ac:dyDescent="0.3">
      <c r="B449" s="18"/>
      <c r="C449" s="1"/>
      <c r="D449" s="1"/>
      <c r="E449" s="1"/>
      <c r="F449" s="1"/>
      <c r="G449" s="1"/>
      <c r="H449" s="17"/>
      <c r="I449" s="17"/>
    </row>
    <row r="450" spans="2:9" x14ac:dyDescent="0.3">
      <c r="B450" s="18"/>
      <c r="C450" s="1"/>
      <c r="D450" s="1"/>
      <c r="E450" s="1"/>
      <c r="F450" s="1"/>
      <c r="G450" s="1"/>
      <c r="H450" s="17"/>
      <c r="I450" s="17"/>
    </row>
    <row r="451" spans="2:9" x14ac:dyDescent="0.3">
      <c r="B451" s="18"/>
      <c r="C451" s="1"/>
      <c r="D451" s="1"/>
      <c r="E451" s="1"/>
      <c r="F451" s="1"/>
      <c r="G451" s="1"/>
      <c r="H451" s="17"/>
      <c r="I451" s="17"/>
    </row>
    <row r="452" spans="2:9" x14ac:dyDescent="0.3">
      <c r="B452" s="18"/>
      <c r="C452" s="1"/>
      <c r="D452" s="1"/>
      <c r="E452" s="1"/>
      <c r="F452" s="1"/>
      <c r="G452" s="1"/>
      <c r="H452" s="17"/>
      <c r="I452" s="17"/>
    </row>
    <row r="453" spans="2:9" x14ac:dyDescent="0.3">
      <c r="B453" s="18"/>
      <c r="C453" s="1"/>
      <c r="D453" s="1"/>
      <c r="E453" s="1"/>
      <c r="F453" s="1"/>
      <c r="G453" s="1"/>
      <c r="H453" s="17"/>
      <c r="I453" s="17"/>
    </row>
    <row r="454" spans="2:9" x14ac:dyDescent="0.3">
      <c r="B454" s="18"/>
      <c r="C454" s="1"/>
      <c r="D454" s="1"/>
      <c r="E454" s="1"/>
      <c r="F454" s="1"/>
      <c r="G454" s="1"/>
      <c r="H454" s="17"/>
      <c r="I454" s="17"/>
    </row>
    <row r="455" spans="2:9" x14ac:dyDescent="0.3">
      <c r="B455" s="18"/>
      <c r="C455" s="1"/>
      <c r="D455" s="1"/>
      <c r="E455" s="1"/>
      <c r="F455" s="1"/>
      <c r="G455" s="1"/>
      <c r="H455" s="17"/>
      <c r="I455" s="17"/>
    </row>
    <row r="456" spans="2:9" x14ac:dyDescent="0.3">
      <c r="B456" s="18"/>
      <c r="C456" s="1"/>
      <c r="D456" s="1"/>
      <c r="E456" s="1"/>
      <c r="F456" s="1"/>
      <c r="G456" s="1"/>
      <c r="H456" s="17"/>
      <c r="I456" s="17"/>
    </row>
    <row r="457" spans="2:9" x14ac:dyDescent="0.3">
      <c r="B457" s="18"/>
      <c r="C457" s="1"/>
      <c r="D457" s="1"/>
      <c r="E457" s="1"/>
      <c r="F457" s="1"/>
      <c r="G457" s="1"/>
      <c r="H457" s="17"/>
      <c r="I457" s="17"/>
    </row>
    <row r="458" spans="2:9" x14ac:dyDescent="0.3">
      <c r="B458" s="18"/>
      <c r="C458" s="1"/>
      <c r="D458" s="1"/>
      <c r="E458" s="1"/>
      <c r="F458" s="1"/>
      <c r="G458" s="1"/>
      <c r="H458" s="17"/>
      <c r="I458" s="17"/>
    </row>
    <row r="459" spans="2:9" x14ac:dyDescent="0.3">
      <c r="B459" s="18"/>
      <c r="C459" s="1"/>
      <c r="D459" s="1"/>
      <c r="E459" s="1"/>
      <c r="F459" s="1"/>
      <c r="G459" s="1"/>
      <c r="H459" s="17"/>
      <c r="I459" s="17"/>
    </row>
    <row r="460" spans="2:9" x14ac:dyDescent="0.3">
      <c r="B460" s="18"/>
      <c r="C460" s="1"/>
      <c r="D460" s="1"/>
      <c r="E460" s="1"/>
      <c r="F460" s="1"/>
      <c r="G460" s="1"/>
      <c r="H460" s="17"/>
      <c r="I460" s="17"/>
    </row>
    <row r="461" spans="2:9" x14ac:dyDescent="0.3">
      <c r="B461" s="18"/>
      <c r="C461" s="1"/>
      <c r="D461" s="1"/>
      <c r="E461" s="1"/>
      <c r="F461" s="1"/>
      <c r="G461" s="1"/>
      <c r="H461" s="17"/>
      <c r="I461" s="17"/>
    </row>
    <row r="462" spans="2:9" x14ac:dyDescent="0.3">
      <c r="B462" s="18"/>
      <c r="C462" s="1"/>
      <c r="D462" s="1"/>
      <c r="E462" s="1"/>
      <c r="F462" s="1"/>
      <c r="G462" s="1"/>
      <c r="H462" s="17"/>
      <c r="I462" s="17"/>
    </row>
    <row r="463" spans="2:9" x14ac:dyDescent="0.3">
      <c r="B463" s="18"/>
      <c r="C463" s="1"/>
      <c r="D463" s="1"/>
      <c r="E463" s="1"/>
      <c r="F463" s="1"/>
      <c r="G463" s="1"/>
      <c r="H463" s="17"/>
      <c r="I463" s="17"/>
    </row>
    <row r="464" spans="2:9" x14ac:dyDescent="0.3">
      <c r="B464" s="18"/>
      <c r="C464" s="1"/>
      <c r="D464" s="1"/>
      <c r="E464" s="1"/>
      <c r="F464" s="1"/>
      <c r="G464" s="1"/>
      <c r="H464" s="17"/>
      <c r="I464" s="17"/>
    </row>
    <row r="465" spans="2:9" x14ac:dyDescent="0.3">
      <c r="B465" s="18"/>
      <c r="C465" s="1"/>
      <c r="D465" s="1"/>
      <c r="E465" s="1"/>
      <c r="F465" s="1"/>
      <c r="G465" s="1"/>
      <c r="H465" s="17"/>
      <c r="I465" s="17"/>
    </row>
    <row r="466" spans="2:9" x14ac:dyDescent="0.3">
      <c r="B466" s="18"/>
      <c r="C466" s="1"/>
      <c r="D466" s="1"/>
      <c r="E466" s="1"/>
      <c r="F466" s="1"/>
      <c r="G466" s="1"/>
      <c r="H466" s="17"/>
      <c r="I466" s="17"/>
    </row>
    <row r="467" spans="2:9" x14ac:dyDescent="0.3">
      <c r="B467" s="18"/>
      <c r="C467" s="1"/>
      <c r="D467" s="1"/>
      <c r="E467" s="1"/>
      <c r="F467" s="1"/>
      <c r="G467" s="1"/>
      <c r="H467" s="17"/>
      <c r="I467" s="17"/>
    </row>
    <row r="468" spans="2:9" x14ac:dyDescent="0.3">
      <c r="B468" s="18"/>
      <c r="C468" s="1"/>
      <c r="D468" s="1"/>
      <c r="E468" s="1"/>
      <c r="F468" s="1"/>
      <c r="G468" s="1"/>
      <c r="H468" s="17"/>
      <c r="I468" s="17"/>
    </row>
    <row r="469" spans="2:9" x14ac:dyDescent="0.3">
      <c r="B469" s="18"/>
      <c r="C469" s="1"/>
      <c r="D469" s="1"/>
      <c r="E469" s="1"/>
      <c r="F469" s="1"/>
      <c r="G469" s="1"/>
      <c r="H469" s="17"/>
      <c r="I469" s="17"/>
    </row>
    <row r="470" spans="2:9" x14ac:dyDescent="0.3">
      <c r="B470" s="18"/>
      <c r="C470" s="1"/>
      <c r="D470" s="1"/>
      <c r="E470" s="1"/>
      <c r="F470" s="1"/>
      <c r="G470" s="1"/>
      <c r="H470" s="17"/>
      <c r="I470" s="17"/>
    </row>
    <row r="471" spans="2:9" x14ac:dyDescent="0.3">
      <c r="B471" s="18"/>
      <c r="C471" s="1"/>
      <c r="D471" s="1"/>
      <c r="E471" s="1"/>
      <c r="F471" s="1"/>
      <c r="G471" s="1"/>
      <c r="H471" s="17"/>
      <c r="I471" s="17"/>
    </row>
    <row r="472" spans="2:9" x14ac:dyDescent="0.3">
      <c r="B472" s="18"/>
      <c r="C472" s="1"/>
      <c r="D472" s="1"/>
      <c r="E472" s="1"/>
      <c r="F472" s="1"/>
      <c r="G472" s="1"/>
      <c r="H472" s="17"/>
      <c r="I472" s="17"/>
    </row>
    <row r="473" spans="2:9" x14ac:dyDescent="0.3">
      <c r="B473" s="18"/>
      <c r="C473" s="1"/>
      <c r="D473" s="1"/>
      <c r="E473" s="1"/>
      <c r="F473" s="1"/>
      <c r="G473" s="1"/>
      <c r="H473" s="17"/>
      <c r="I473" s="17"/>
    </row>
    <row r="474" spans="2:9" x14ac:dyDescent="0.3">
      <c r="B474" s="18"/>
      <c r="C474" s="1"/>
      <c r="D474" s="1"/>
      <c r="E474" s="1"/>
      <c r="F474" s="1"/>
      <c r="G474" s="1"/>
      <c r="H474" s="17"/>
      <c r="I474" s="17"/>
    </row>
    <row r="475" spans="2:9" x14ac:dyDescent="0.3">
      <c r="B475" s="18"/>
      <c r="C475" s="1"/>
      <c r="D475" s="1"/>
      <c r="E475" s="1"/>
      <c r="F475" s="1"/>
      <c r="G475" s="1"/>
      <c r="H475" s="17"/>
      <c r="I475" s="17"/>
    </row>
    <row r="476" spans="2:9" x14ac:dyDescent="0.3">
      <c r="B476" s="18"/>
      <c r="C476" s="1"/>
      <c r="D476" s="1"/>
      <c r="E476" s="1"/>
      <c r="F476" s="1"/>
      <c r="G476" s="1"/>
      <c r="H476" s="17"/>
      <c r="I476" s="17"/>
    </row>
    <row r="477" spans="2:9" x14ac:dyDescent="0.3">
      <c r="B477" s="18"/>
      <c r="C477" s="1"/>
      <c r="D477" s="1"/>
      <c r="E477" s="1"/>
      <c r="F477" s="1"/>
      <c r="G477" s="1"/>
      <c r="H477" s="17"/>
      <c r="I477" s="17"/>
    </row>
    <row r="478" spans="2:9" x14ac:dyDescent="0.3">
      <c r="B478" s="18"/>
      <c r="C478" s="1"/>
      <c r="D478" s="1"/>
      <c r="E478" s="1"/>
      <c r="F478" s="1"/>
      <c r="G478" s="1"/>
      <c r="H478" s="17"/>
      <c r="I478" s="17"/>
    </row>
    <row r="479" spans="2:9" x14ac:dyDescent="0.3">
      <c r="B479" s="18"/>
      <c r="C479" s="1"/>
      <c r="D479" s="1"/>
      <c r="E479" s="1"/>
      <c r="F479" s="1"/>
      <c r="G479" s="1"/>
      <c r="H479" s="17"/>
      <c r="I479" s="17"/>
    </row>
    <row r="480" spans="2:9" x14ac:dyDescent="0.3">
      <c r="B480" s="18"/>
      <c r="C480" s="1"/>
      <c r="D480" s="1"/>
      <c r="E480" s="1"/>
      <c r="F480" s="1"/>
      <c r="G480" s="1"/>
      <c r="H480" s="17"/>
      <c r="I480" s="17"/>
    </row>
    <row r="481" spans="2:9" x14ac:dyDescent="0.3">
      <c r="B481" s="18"/>
      <c r="C481" s="1"/>
      <c r="D481" s="1"/>
      <c r="E481" s="1"/>
      <c r="F481" s="1"/>
      <c r="G481" s="1"/>
      <c r="H481" s="17"/>
      <c r="I481" s="17"/>
    </row>
    <row r="482" spans="2:9" x14ac:dyDescent="0.3">
      <c r="B482" s="18"/>
      <c r="C482" s="1"/>
      <c r="D482" s="1"/>
      <c r="E482" s="1"/>
      <c r="F482" s="1"/>
      <c r="G482" s="1"/>
      <c r="H482" s="17"/>
      <c r="I482" s="17"/>
    </row>
    <row r="483" spans="2:9" x14ac:dyDescent="0.3">
      <c r="B483" s="18"/>
      <c r="C483" s="1"/>
      <c r="D483" s="1"/>
      <c r="E483" s="1"/>
      <c r="F483" s="1"/>
      <c r="G483" s="1"/>
      <c r="H483" s="17"/>
      <c r="I483" s="17"/>
    </row>
    <row r="484" spans="2:9" x14ac:dyDescent="0.3">
      <c r="B484" s="18"/>
      <c r="C484" s="1"/>
      <c r="D484" s="1"/>
      <c r="E484" s="1"/>
      <c r="F484" s="1"/>
      <c r="G484" s="1"/>
      <c r="H484" s="17"/>
      <c r="I484" s="17"/>
    </row>
    <row r="485" spans="2:9" x14ac:dyDescent="0.3">
      <c r="B485" s="18"/>
      <c r="C485" s="1"/>
      <c r="D485" s="1"/>
      <c r="E485" s="1"/>
      <c r="F485" s="1"/>
      <c r="G485" s="1"/>
      <c r="H485" s="17"/>
      <c r="I485" s="17"/>
    </row>
    <row r="486" spans="2:9" x14ac:dyDescent="0.3">
      <c r="B486" s="18"/>
      <c r="C486" s="1"/>
      <c r="D486" s="1"/>
      <c r="E486" s="1"/>
      <c r="F486" s="1"/>
      <c r="G486" s="1"/>
      <c r="H486" s="17"/>
    </row>
    <row r="487" spans="2:9" x14ac:dyDescent="0.3">
      <c r="B487" s="18"/>
      <c r="C487" s="1"/>
      <c r="D487" s="1"/>
      <c r="E487" s="1"/>
      <c r="F487" s="1"/>
      <c r="G487" s="1"/>
      <c r="H487" s="17"/>
    </row>
    <row r="488" spans="2:9" x14ac:dyDescent="0.3">
      <c r="B488" s="18"/>
      <c r="C488" s="1"/>
      <c r="D488" s="1"/>
      <c r="E488" s="1"/>
      <c r="F488" s="1"/>
      <c r="G488" s="1"/>
      <c r="H488" s="17"/>
    </row>
    <row r="489" spans="2:9" x14ac:dyDescent="0.3">
      <c r="B489" s="18"/>
      <c r="C489" s="1"/>
      <c r="D489" s="1"/>
      <c r="E489" s="1"/>
      <c r="F489" s="1"/>
      <c r="G489" s="1"/>
      <c r="H489" s="17"/>
    </row>
    <row r="490" spans="2:9" x14ac:dyDescent="0.3">
      <c r="B490" s="17"/>
      <c r="C490" s="1"/>
      <c r="D490" s="1"/>
      <c r="E490" s="1"/>
      <c r="F490" s="1"/>
      <c r="G490" s="1"/>
    </row>
    <row r="491" spans="2:9" x14ac:dyDescent="0.3">
      <c r="B491" s="17"/>
      <c r="C491" s="1"/>
      <c r="D491" s="1"/>
      <c r="E491" s="1"/>
      <c r="F491" s="1"/>
      <c r="G491" s="1"/>
    </row>
    <row r="492" spans="2:9" x14ac:dyDescent="0.3">
      <c r="B492" s="17"/>
      <c r="C492" s="1"/>
      <c r="D492" s="1"/>
      <c r="E492" s="1"/>
      <c r="F492" s="1"/>
      <c r="G492" s="1"/>
    </row>
    <row r="493" spans="2:9" x14ac:dyDescent="0.3">
      <c r="B493" s="17"/>
      <c r="C493" s="1"/>
      <c r="D493" s="1"/>
      <c r="E493" s="1"/>
      <c r="F493" s="1"/>
      <c r="G493" s="1"/>
    </row>
    <row r="494" spans="2:9" x14ac:dyDescent="0.3">
      <c r="B494" s="17"/>
      <c r="C494" s="1"/>
      <c r="D494" s="1"/>
      <c r="E494" s="1"/>
      <c r="F494" s="1"/>
      <c r="G494" s="1"/>
    </row>
    <row r="495" spans="2:9" x14ac:dyDescent="0.3">
      <c r="B495" s="17"/>
      <c r="C495" s="1"/>
      <c r="D495" s="1"/>
      <c r="E495" s="1"/>
      <c r="F495" s="1"/>
      <c r="G495" s="1"/>
    </row>
    <row r="496" spans="2:9" x14ac:dyDescent="0.3">
      <c r="B496" s="17"/>
      <c r="C496" s="1"/>
      <c r="D496" s="1"/>
      <c r="E496" s="1"/>
      <c r="F496" s="1"/>
      <c r="G496" s="1"/>
    </row>
    <row r="497" spans="2:7" x14ac:dyDescent="0.3">
      <c r="B497" s="17"/>
      <c r="C497" s="1"/>
      <c r="D497" s="1"/>
      <c r="E497" s="1"/>
      <c r="F497" s="1"/>
      <c r="G497" s="1"/>
    </row>
    <row r="498" spans="2:7" x14ac:dyDescent="0.3">
      <c r="B498" s="17"/>
      <c r="C498" s="1"/>
      <c r="D498" s="1"/>
      <c r="E498" s="1"/>
      <c r="F498" s="1"/>
      <c r="G498" s="1"/>
    </row>
    <row r="499" spans="2:7" x14ac:dyDescent="0.3">
      <c r="B499" s="17"/>
      <c r="C499" s="1"/>
      <c r="D499" s="1"/>
      <c r="E499" s="1"/>
      <c r="F499" s="1"/>
      <c r="G499" s="1"/>
    </row>
    <row r="500" spans="2:7" x14ac:dyDescent="0.3">
      <c r="B500" s="17"/>
      <c r="C500" s="1"/>
      <c r="D500" s="1"/>
      <c r="E500" s="1"/>
      <c r="F500" s="1"/>
      <c r="G500" s="1"/>
    </row>
    <row r="501" spans="2:7" x14ac:dyDescent="0.3">
      <c r="B501" s="17"/>
      <c r="C501" s="1"/>
      <c r="D501" s="1"/>
      <c r="E501" s="1"/>
      <c r="F501" s="1"/>
      <c r="G501" s="1"/>
    </row>
    <row r="502" spans="2:7" x14ac:dyDescent="0.3">
      <c r="B502" s="17"/>
      <c r="C502" s="1"/>
      <c r="D502" s="1"/>
      <c r="E502" s="1"/>
      <c r="F502" s="1"/>
      <c r="G502" s="1"/>
    </row>
    <row r="503" spans="2:7" x14ac:dyDescent="0.3">
      <c r="B503" s="17"/>
      <c r="C503" s="1"/>
      <c r="D503" s="1"/>
      <c r="E503" s="1"/>
      <c r="F503" s="1"/>
      <c r="G503" s="1"/>
    </row>
    <row r="504" spans="2:7" x14ac:dyDescent="0.3">
      <c r="B504" s="17"/>
      <c r="C504" s="1"/>
      <c r="D504" s="1"/>
      <c r="E504" s="1"/>
      <c r="F504" s="1"/>
      <c r="G504" s="1"/>
    </row>
    <row r="505" spans="2:7" x14ac:dyDescent="0.3">
      <c r="B505" s="17"/>
      <c r="C505" s="1"/>
      <c r="D505" s="1"/>
      <c r="E505" s="1"/>
      <c r="F505" s="1"/>
      <c r="G505" s="1"/>
    </row>
    <row r="506" spans="2:7" x14ac:dyDescent="0.3">
      <c r="B506" s="17"/>
      <c r="C506" s="1"/>
      <c r="D506" s="1"/>
      <c r="E506" s="1"/>
      <c r="F506" s="1"/>
      <c r="G506" s="1"/>
    </row>
    <row r="507" spans="2:7" x14ac:dyDescent="0.3">
      <c r="B507" s="17"/>
      <c r="C507" s="1"/>
      <c r="D507" s="1"/>
      <c r="E507" s="1"/>
      <c r="F507" s="1"/>
      <c r="G507" s="1"/>
    </row>
    <row r="508" spans="2:7" x14ac:dyDescent="0.3">
      <c r="B508" s="17"/>
      <c r="C508" s="1"/>
      <c r="D508" s="1"/>
      <c r="E508" s="1"/>
      <c r="F508" s="1"/>
      <c r="G508" s="1"/>
    </row>
    <row r="509" spans="2:7" x14ac:dyDescent="0.3">
      <c r="B509" s="17"/>
      <c r="C509" s="1"/>
      <c r="D509" s="1"/>
      <c r="E509" s="1"/>
      <c r="F509" s="1"/>
      <c r="G509" s="1"/>
    </row>
    <row r="510" spans="2:7" x14ac:dyDescent="0.3">
      <c r="B510" s="17"/>
      <c r="C510" s="1"/>
      <c r="D510" s="1"/>
      <c r="E510" s="1"/>
      <c r="F510" s="1"/>
      <c r="G510" s="1"/>
    </row>
    <row r="511" spans="2:7" x14ac:dyDescent="0.3">
      <c r="B511" s="17"/>
      <c r="C511" s="1"/>
      <c r="D511" s="1"/>
      <c r="E511" s="1"/>
      <c r="F511" s="1"/>
      <c r="G511" s="1"/>
    </row>
    <row r="512" spans="2:7" x14ac:dyDescent="0.3">
      <c r="B512" s="17"/>
      <c r="C512" s="1"/>
      <c r="D512" s="1"/>
      <c r="E512" s="1"/>
      <c r="F512" s="1"/>
      <c r="G512" s="1"/>
    </row>
    <row r="513" spans="2:7" x14ac:dyDescent="0.3">
      <c r="B513" s="17"/>
      <c r="C513" s="1"/>
      <c r="D513" s="1"/>
      <c r="E513" s="1"/>
      <c r="F513" s="1"/>
      <c r="G513" s="1"/>
    </row>
    <row r="514" spans="2:7" x14ac:dyDescent="0.3">
      <c r="B514" s="17"/>
      <c r="C514" s="1"/>
      <c r="D514" s="1"/>
      <c r="E514" s="1"/>
      <c r="F514" s="1"/>
      <c r="G514" s="1"/>
    </row>
    <row r="515" spans="2:7" x14ac:dyDescent="0.3">
      <c r="B515" s="17"/>
      <c r="C515" s="1"/>
      <c r="D515" s="1"/>
      <c r="E515" s="1"/>
      <c r="F515" s="1"/>
      <c r="G515" s="1"/>
    </row>
    <row r="516" spans="2:7" x14ac:dyDescent="0.3">
      <c r="B516" s="17"/>
      <c r="C516" s="1"/>
      <c r="D516" s="1"/>
      <c r="E516" s="1"/>
      <c r="F516" s="1"/>
      <c r="G516" s="1"/>
    </row>
    <row r="517" spans="2:7" x14ac:dyDescent="0.3">
      <c r="B517" s="17"/>
      <c r="C517" s="1"/>
      <c r="D517" s="1"/>
      <c r="E517" s="1"/>
      <c r="F517" s="1"/>
      <c r="G517" s="1"/>
    </row>
    <row r="518" spans="2:7" x14ac:dyDescent="0.3">
      <c r="B518" s="17"/>
      <c r="C518" s="1"/>
      <c r="D518" s="1"/>
      <c r="E518" s="1"/>
      <c r="F518" s="1"/>
      <c r="G518" s="1"/>
    </row>
    <row r="519" spans="2:7" x14ac:dyDescent="0.3">
      <c r="B519" s="17"/>
      <c r="C519" s="1"/>
      <c r="D519" s="1"/>
      <c r="E519" s="1"/>
      <c r="F519" s="1"/>
      <c r="G519" s="1"/>
    </row>
    <row r="520" spans="2:7" x14ac:dyDescent="0.3">
      <c r="B520" s="17"/>
      <c r="C520" s="1"/>
      <c r="D520" s="1"/>
      <c r="E520" s="1"/>
      <c r="F520" s="1"/>
      <c r="G520" s="1"/>
    </row>
    <row r="521" spans="2:7" x14ac:dyDescent="0.3">
      <c r="B521" s="17"/>
      <c r="C521" s="1"/>
      <c r="D521" s="1"/>
      <c r="E521" s="1"/>
      <c r="F521" s="1"/>
      <c r="G521" s="1"/>
    </row>
    <row r="522" spans="2:7" x14ac:dyDescent="0.3">
      <c r="B522" s="17"/>
      <c r="C522" s="1"/>
      <c r="D522" s="1"/>
      <c r="E522" s="1"/>
      <c r="F522" s="1"/>
      <c r="G522" s="1"/>
    </row>
    <row r="523" spans="2:7" x14ac:dyDescent="0.3">
      <c r="B523" s="17"/>
      <c r="C523" s="1"/>
      <c r="D523" s="1"/>
      <c r="E523" s="1"/>
      <c r="F523" s="1"/>
      <c r="G523" s="1"/>
    </row>
    <row r="524" spans="2:7" x14ac:dyDescent="0.3">
      <c r="B524" s="17"/>
      <c r="C524" s="1"/>
      <c r="D524" s="1"/>
      <c r="E524" s="1"/>
      <c r="F524" s="1"/>
      <c r="G524" s="1"/>
    </row>
    <row r="525" spans="2:7" x14ac:dyDescent="0.3">
      <c r="B525" s="17"/>
      <c r="C525" s="1"/>
      <c r="D525" s="1"/>
      <c r="E525" s="1"/>
      <c r="F525" s="1"/>
      <c r="G525" s="1"/>
    </row>
    <row r="526" spans="2:7" x14ac:dyDescent="0.3">
      <c r="B526" s="17"/>
      <c r="C526" s="1"/>
      <c r="D526" s="1"/>
      <c r="E526" s="1"/>
      <c r="F526" s="1"/>
      <c r="G526" s="1"/>
    </row>
    <row r="527" spans="2:7" x14ac:dyDescent="0.3">
      <c r="B527" s="17"/>
      <c r="C527" s="1"/>
      <c r="D527" s="1"/>
      <c r="E527" s="1"/>
      <c r="F527" s="1"/>
      <c r="G527" s="1"/>
    </row>
    <row r="528" spans="2:7" x14ac:dyDescent="0.3">
      <c r="B528" s="17"/>
      <c r="C528" s="1"/>
      <c r="D528" s="1"/>
      <c r="E528" s="1"/>
      <c r="F528" s="1"/>
      <c r="G528" s="1"/>
    </row>
    <row r="529" spans="2:7" x14ac:dyDescent="0.3">
      <c r="B529" s="17"/>
      <c r="C529" s="1"/>
      <c r="D529" s="1"/>
      <c r="E529" s="1"/>
      <c r="F529" s="1"/>
      <c r="G529" s="1"/>
    </row>
    <row r="530" spans="2:7" x14ac:dyDescent="0.3">
      <c r="B530" s="17"/>
      <c r="C530" s="1"/>
      <c r="D530" s="1"/>
      <c r="E530" s="1"/>
      <c r="F530" s="1"/>
      <c r="G530" s="1"/>
    </row>
    <row r="531" spans="2:7" x14ac:dyDescent="0.3">
      <c r="B531" s="17"/>
      <c r="C531" s="1"/>
      <c r="D531" s="1"/>
      <c r="E531" s="1"/>
      <c r="F531" s="1"/>
      <c r="G531" s="1"/>
    </row>
    <row r="532" spans="2:7" x14ac:dyDescent="0.3">
      <c r="B532" s="17"/>
      <c r="C532" s="1"/>
      <c r="D532" s="1"/>
      <c r="E532" s="1"/>
      <c r="F532" s="1"/>
      <c r="G532" s="1"/>
    </row>
    <row r="533" spans="2:7" x14ac:dyDescent="0.3">
      <c r="B533" s="17"/>
      <c r="C533" s="1"/>
      <c r="D533" s="1"/>
      <c r="E533" s="1"/>
      <c r="F533" s="1"/>
      <c r="G533" s="1"/>
    </row>
    <row r="534" spans="2:7" x14ac:dyDescent="0.3">
      <c r="B534" s="17"/>
      <c r="C534" s="1"/>
      <c r="D534" s="1"/>
      <c r="E534" s="1"/>
      <c r="F534" s="1"/>
      <c r="G534" s="1"/>
    </row>
    <row r="535" spans="2:7" x14ac:dyDescent="0.3">
      <c r="B535" s="17"/>
      <c r="C535" s="1"/>
      <c r="D535" s="1"/>
      <c r="E535" s="1"/>
      <c r="F535" s="1"/>
      <c r="G535" s="1"/>
    </row>
    <row r="536" spans="2:7" x14ac:dyDescent="0.3">
      <c r="B536" s="17"/>
      <c r="C536" s="1"/>
      <c r="D536" s="1"/>
      <c r="E536" s="1"/>
      <c r="F536" s="1"/>
      <c r="G536" s="1"/>
    </row>
    <row r="537" spans="2:7" x14ac:dyDescent="0.3">
      <c r="B537" s="17"/>
      <c r="C537" s="1"/>
      <c r="D537" s="1"/>
      <c r="E537" s="1"/>
      <c r="F537" s="1"/>
      <c r="G537" s="1"/>
    </row>
    <row r="538" spans="2:7" x14ac:dyDescent="0.3">
      <c r="B538" s="17"/>
      <c r="C538" s="1"/>
      <c r="D538" s="1"/>
      <c r="E538" s="1"/>
      <c r="F538" s="1"/>
      <c r="G538" s="1"/>
    </row>
    <row r="539" spans="2:7" x14ac:dyDescent="0.3">
      <c r="B539" s="17"/>
      <c r="C539" s="1"/>
      <c r="D539" s="1"/>
      <c r="E539" s="1"/>
      <c r="F539" s="1"/>
      <c r="G539" s="1"/>
    </row>
    <row r="540" spans="2:7" x14ac:dyDescent="0.3">
      <c r="B540" s="17"/>
      <c r="C540" s="1"/>
      <c r="D540" s="1"/>
      <c r="E540" s="1"/>
      <c r="F540" s="1"/>
      <c r="G540" s="1"/>
    </row>
    <row r="541" spans="2:7" x14ac:dyDescent="0.3">
      <c r="B541" s="17"/>
      <c r="C541" s="1"/>
      <c r="D541" s="1"/>
      <c r="E541" s="1"/>
      <c r="F541" s="1"/>
      <c r="G541" s="1"/>
    </row>
    <row r="542" spans="2:7" x14ac:dyDescent="0.3">
      <c r="B542" s="17"/>
      <c r="C542" s="1"/>
      <c r="D542" s="1"/>
      <c r="E542" s="1"/>
      <c r="F542" s="1"/>
      <c r="G542" s="1"/>
    </row>
    <row r="543" spans="2:7" x14ac:dyDescent="0.3">
      <c r="B543" s="17"/>
      <c r="C543" s="1"/>
      <c r="D543" s="1"/>
      <c r="E543" s="1"/>
      <c r="F543" s="1"/>
      <c r="G543" s="1"/>
    </row>
    <row r="544" spans="2:7" x14ac:dyDescent="0.3">
      <c r="B544" s="17"/>
      <c r="C544" s="1"/>
      <c r="D544" s="1"/>
      <c r="E544" s="1"/>
      <c r="F544" s="1"/>
      <c r="G544" s="1"/>
    </row>
    <row r="545" spans="2:7" x14ac:dyDescent="0.3">
      <c r="B545" s="17"/>
      <c r="C545" s="1"/>
      <c r="D545" s="1"/>
      <c r="E545" s="1"/>
      <c r="F545" s="1"/>
      <c r="G545" s="1"/>
    </row>
    <row r="546" spans="2:7" x14ac:dyDescent="0.3">
      <c r="B546" s="17"/>
      <c r="C546" s="1"/>
      <c r="D546" s="1"/>
      <c r="E546" s="1"/>
      <c r="F546" s="1"/>
      <c r="G546" s="1"/>
    </row>
    <row r="547" spans="2:7" x14ac:dyDescent="0.3">
      <c r="B547" s="17"/>
      <c r="C547" s="1"/>
      <c r="D547" s="1"/>
      <c r="E547" s="1"/>
      <c r="F547" s="1"/>
      <c r="G547" s="1"/>
    </row>
    <row r="548" spans="2:7" x14ac:dyDescent="0.3">
      <c r="B548" s="17"/>
      <c r="C548" s="1"/>
      <c r="D548" s="1"/>
      <c r="E548" s="1"/>
      <c r="F548" s="1"/>
      <c r="G548" s="1"/>
    </row>
    <row r="549" spans="2:7" x14ac:dyDescent="0.3">
      <c r="B549" s="17"/>
      <c r="C549" s="1"/>
      <c r="D549" s="1"/>
      <c r="E549" s="1"/>
      <c r="F549" s="1"/>
      <c r="G549" s="1"/>
    </row>
    <row r="550" spans="2:7" x14ac:dyDescent="0.3">
      <c r="B550" s="17"/>
      <c r="C550" s="1"/>
      <c r="D550" s="1"/>
      <c r="E550" s="1"/>
      <c r="F550" s="1"/>
      <c r="G550" s="1"/>
    </row>
    <row r="551" spans="2:7" x14ac:dyDescent="0.3">
      <c r="B551" s="17"/>
      <c r="C551" s="1"/>
      <c r="D551" s="1"/>
      <c r="E551" s="1"/>
      <c r="F551" s="1"/>
      <c r="G551" s="1"/>
    </row>
    <row r="552" spans="2:7" x14ac:dyDescent="0.3">
      <c r="B552" s="17"/>
      <c r="C552" s="1"/>
      <c r="D552" s="1"/>
      <c r="E552" s="1"/>
      <c r="F552" s="1"/>
      <c r="G552" s="1"/>
    </row>
    <row r="553" spans="2:7" x14ac:dyDescent="0.3">
      <c r="B553" s="17"/>
      <c r="C553" s="1"/>
      <c r="D553" s="1"/>
      <c r="E553" s="1"/>
      <c r="F553" s="1"/>
      <c r="G553" s="1"/>
    </row>
    <row r="554" spans="2:7" x14ac:dyDescent="0.3">
      <c r="B554" s="17"/>
      <c r="C554" s="1"/>
      <c r="D554" s="1"/>
      <c r="E554" s="1"/>
      <c r="F554" s="1"/>
      <c r="G554" s="1"/>
    </row>
    <row r="555" spans="2:7" x14ac:dyDescent="0.3">
      <c r="B555" s="17"/>
      <c r="C555" s="1"/>
      <c r="D555" s="1"/>
      <c r="E555" s="1"/>
      <c r="F555" s="1"/>
      <c r="G555" s="1"/>
    </row>
    <row r="556" spans="2:7" x14ac:dyDescent="0.3">
      <c r="B556" s="17"/>
      <c r="C556" s="1"/>
      <c r="D556" s="1"/>
      <c r="E556" s="1"/>
      <c r="F556" s="1"/>
      <c r="G556" s="1"/>
    </row>
    <row r="557" spans="2:7" x14ac:dyDescent="0.3">
      <c r="B557" s="17"/>
      <c r="C557" s="1"/>
      <c r="D557" s="1"/>
      <c r="E557" s="1"/>
      <c r="F557" s="1"/>
      <c r="G557" s="1"/>
    </row>
    <row r="558" spans="2:7" x14ac:dyDescent="0.3">
      <c r="B558" s="17"/>
      <c r="C558" s="1"/>
      <c r="D558" s="1"/>
      <c r="E558" s="1"/>
      <c r="F558" s="1"/>
      <c r="G558" s="1"/>
    </row>
    <row r="559" spans="2:7" x14ac:dyDescent="0.3">
      <c r="B559" s="17"/>
      <c r="C559" s="1"/>
      <c r="D559" s="1"/>
      <c r="E559" s="1"/>
      <c r="F559" s="1"/>
      <c r="G559" s="1"/>
    </row>
    <row r="560" spans="2:7" x14ac:dyDescent="0.3">
      <c r="B560" s="17"/>
      <c r="C560" s="1"/>
      <c r="D560" s="1"/>
      <c r="E560" s="1"/>
      <c r="F560" s="1"/>
      <c r="G560" s="1"/>
    </row>
    <row r="561" spans="2:7" x14ac:dyDescent="0.3">
      <c r="B561" s="17"/>
      <c r="C561" s="1"/>
      <c r="D561" s="1"/>
      <c r="E561" s="1"/>
      <c r="F561" s="1"/>
      <c r="G561" s="1"/>
    </row>
    <row r="562" spans="2:7" x14ac:dyDescent="0.3">
      <c r="B562" s="17"/>
      <c r="C562" s="1"/>
      <c r="D562" s="1"/>
      <c r="E562" s="1"/>
      <c r="F562" s="1"/>
      <c r="G562" s="1"/>
    </row>
    <row r="563" spans="2:7" x14ac:dyDescent="0.3">
      <c r="B563" s="17"/>
      <c r="C563" s="1"/>
      <c r="D563" s="1"/>
      <c r="E563" s="1"/>
      <c r="F563" s="1"/>
      <c r="G563" s="1"/>
    </row>
    <row r="564" spans="2:7" x14ac:dyDescent="0.3">
      <c r="B564" s="17"/>
      <c r="C564" s="1"/>
      <c r="D564" s="1"/>
      <c r="E564" s="1"/>
      <c r="F564" s="1"/>
      <c r="G564" s="1"/>
    </row>
    <row r="565" spans="2:7" x14ac:dyDescent="0.3">
      <c r="B565" s="17"/>
      <c r="C565" s="1"/>
      <c r="D565" s="1"/>
      <c r="E565" s="1"/>
      <c r="F565" s="1"/>
      <c r="G565" s="1"/>
    </row>
    <row r="566" spans="2:7" x14ac:dyDescent="0.3">
      <c r="B566" s="17"/>
      <c r="C566" s="1"/>
      <c r="D566" s="1"/>
      <c r="E566" s="1"/>
      <c r="F566" s="1"/>
      <c r="G566" s="1"/>
    </row>
    <row r="567" spans="2:7" x14ac:dyDescent="0.3">
      <c r="B567" s="17"/>
      <c r="C567" s="1"/>
      <c r="D567" s="1"/>
      <c r="E567" s="1"/>
      <c r="F567" s="1"/>
      <c r="G567" s="1"/>
    </row>
    <row r="568" spans="2:7" x14ac:dyDescent="0.3">
      <c r="B568" s="17"/>
      <c r="C568" s="1"/>
      <c r="D568" s="1"/>
      <c r="E568" s="1"/>
      <c r="F568" s="1"/>
      <c r="G568" s="1"/>
    </row>
    <row r="569" spans="2:7" x14ac:dyDescent="0.3">
      <c r="B569" s="17"/>
      <c r="C569" s="1"/>
      <c r="D569" s="1"/>
      <c r="E569" s="1"/>
      <c r="F569" s="1"/>
      <c r="G569" s="1"/>
    </row>
    <row r="570" spans="2:7" x14ac:dyDescent="0.3">
      <c r="B570" s="17"/>
      <c r="C570" s="1"/>
      <c r="D570" s="1"/>
      <c r="E570" s="1"/>
      <c r="F570" s="1"/>
      <c r="G570" s="1"/>
    </row>
    <row r="571" spans="2:7" x14ac:dyDescent="0.3">
      <c r="B571" s="17"/>
      <c r="C571" s="1"/>
      <c r="D571" s="1"/>
      <c r="E571" s="1"/>
      <c r="F571" s="1"/>
      <c r="G571" s="1"/>
    </row>
    <row r="572" spans="2:7" x14ac:dyDescent="0.3">
      <c r="B572" s="17"/>
      <c r="C572" s="1"/>
      <c r="D572" s="1"/>
      <c r="E572" s="1"/>
      <c r="F572" s="1"/>
      <c r="G572" s="1"/>
    </row>
    <row r="573" spans="2:7" x14ac:dyDescent="0.3">
      <c r="B573" s="17"/>
      <c r="C573" s="1"/>
      <c r="D573" s="1"/>
      <c r="E573" s="1"/>
      <c r="F573" s="1"/>
      <c r="G573" s="1"/>
    </row>
    <row r="574" spans="2:7" x14ac:dyDescent="0.3">
      <c r="B574" s="17"/>
      <c r="C574" s="1"/>
      <c r="D574" s="1"/>
      <c r="E574" s="1"/>
      <c r="F574" s="1"/>
      <c r="G574" s="1"/>
    </row>
    <row r="575" spans="2:7" x14ac:dyDescent="0.3">
      <c r="B575" s="17"/>
      <c r="C575" s="1"/>
      <c r="D575" s="1"/>
      <c r="E575" s="1"/>
      <c r="F575" s="1"/>
      <c r="G575" s="1"/>
    </row>
    <row r="576" spans="2:7" x14ac:dyDescent="0.3">
      <c r="B576" s="17"/>
      <c r="C576" s="1"/>
      <c r="D576" s="1"/>
      <c r="E576" s="1"/>
      <c r="F576" s="1"/>
      <c r="G576" s="1"/>
    </row>
    <row r="577" spans="2:7" x14ac:dyDescent="0.3">
      <c r="B577" s="17"/>
      <c r="C577" s="1"/>
      <c r="D577" s="1"/>
      <c r="E577" s="1"/>
      <c r="F577" s="1"/>
      <c r="G577" s="1"/>
    </row>
    <row r="578" spans="2:7" x14ac:dyDescent="0.3">
      <c r="B578" s="17"/>
      <c r="C578" s="1"/>
      <c r="D578" s="1"/>
      <c r="E578" s="1"/>
      <c r="F578" s="1"/>
      <c r="G578" s="1"/>
    </row>
    <row r="579" spans="2:7" x14ac:dyDescent="0.3">
      <c r="B579" s="17"/>
      <c r="C579" s="1"/>
      <c r="D579" s="1"/>
      <c r="E579" s="1"/>
      <c r="F579" s="1"/>
      <c r="G579" s="1"/>
    </row>
    <row r="580" spans="2:7" x14ac:dyDescent="0.3">
      <c r="B580" s="17"/>
      <c r="C580" s="1"/>
      <c r="D580" s="1"/>
      <c r="E580" s="1"/>
      <c r="F580" s="1"/>
      <c r="G580" s="1"/>
    </row>
    <row r="581" spans="2:7" x14ac:dyDescent="0.3">
      <c r="B581" s="17"/>
      <c r="C581" s="1"/>
      <c r="D581" s="1"/>
      <c r="E581" s="1"/>
      <c r="F581" s="1"/>
      <c r="G581" s="1"/>
    </row>
    <row r="582" spans="2:7" x14ac:dyDescent="0.3">
      <c r="B582" s="17"/>
      <c r="C582" s="1"/>
      <c r="D582" s="1"/>
      <c r="E582" s="1"/>
      <c r="F582" s="1"/>
      <c r="G582" s="1"/>
    </row>
    <row r="583" spans="2:7" x14ac:dyDescent="0.3">
      <c r="B583" s="17"/>
      <c r="C583" s="1"/>
      <c r="D583" s="1"/>
      <c r="E583" s="1"/>
      <c r="F583" s="1"/>
      <c r="G583" s="1"/>
    </row>
    <row r="584" spans="2:7" x14ac:dyDescent="0.3">
      <c r="B584" s="17"/>
      <c r="C584" s="1"/>
      <c r="D584" s="1"/>
      <c r="E584" s="1"/>
      <c r="F584" s="1"/>
      <c r="G584" s="1"/>
    </row>
    <row r="585" spans="2:7" x14ac:dyDescent="0.3">
      <c r="B585" s="17"/>
      <c r="C585" s="1"/>
      <c r="D585" s="1"/>
      <c r="E585" s="1"/>
      <c r="F585" s="1"/>
      <c r="G585" s="1"/>
    </row>
    <row r="586" spans="2:7" x14ac:dyDescent="0.3">
      <c r="B586" s="17"/>
      <c r="C586" s="1"/>
      <c r="D586" s="1"/>
      <c r="E586" s="1"/>
      <c r="F586" s="1"/>
      <c r="G586" s="1"/>
    </row>
    <row r="587" spans="2:7" x14ac:dyDescent="0.3">
      <c r="B587" s="17"/>
      <c r="C587" s="1"/>
      <c r="D587" s="1"/>
      <c r="E587" s="1"/>
      <c r="F587" s="1"/>
      <c r="G587" s="1"/>
    </row>
    <row r="588" spans="2:7" x14ac:dyDescent="0.3">
      <c r="B588" s="17"/>
      <c r="C588" s="1"/>
      <c r="D588" s="1"/>
      <c r="E588" s="1"/>
      <c r="F588" s="1"/>
      <c r="G588" s="1"/>
    </row>
    <row r="589" spans="2:7" x14ac:dyDescent="0.3">
      <c r="B589" s="17"/>
      <c r="C589" s="1"/>
      <c r="D589" s="1"/>
      <c r="E589" s="1"/>
      <c r="F589" s="1"/>
      <c r="G589" s="1"/>
    </row>
    <row r="590" spans="2:7" x14ac:dyDescent="0.3">
      <c r="B590" s="17"/>
      <c r="C590" s="1"/>
      <c r="D590" s="1"/>
      <c r="E590" s="1"/>
      <c r="F590" s="1"/>
      <c r="G590" s="1"/>
    </row>
    <row r="591" spans="2:7" x14ac:dyDescent="0.3">
      <c r="B591" s="17"/>
      <c r="C591" s="1"/>
      <c r="D591" s="1"/>
      <c r="E591" s="1"/>
      <c r="F591" s="1"/>
      <c r="G591" s="1"/>
    </row>
    <row r="592" spans="2:7" x14ac:dyDescent="0.3">
      <c r="B592" s="17"/>
      <c r="C592" s="1"/>
      <c r="D592" s="1"/>
      <c r="E592" s="1"/>
      <c r="F592" s="1"/>
      <c r="G592" s="1"/>
    </row>
    <row r="593" spans="2:7" x14ac:dyDescent="0.3">
      <c r="B593" s="17"/>
      <c r="C593" s="1"/>
      <c r="D593" s="1"/>
      <c r="E593" s="1"/>
      <c r="F593" s="1"/>
      <c r="G593" s="1"/>
    </row>
    <row r="594" spans="2:7" x14ac:dyDescent="0.3">
      <c r="B594" s="17"/>
      <c r="C594" s="1"/>
      <c r="D594" s="1"/>
      <c r="E594" s="1"/>
      <c r="F594" s="1"/>
      <c r="G594" s="1"/>
    </row>
    <row r="595" spans="2:7" x14ac:dyDescent="0.3">
      <c r="B595" s="17"/>
      <c r="C595" s="1"/>
      <c r="D595" s="1"/>
      <c r="E595" s="1"/>
      <c r="F595" s="1"/>
      <c r="G595" s="1"/>
    </row>
    <row r="596" spans="2:7" x14ac:dyDescent="0.3">
      <c r="B596" s="17"/>
      <c r="C596" s="1"/>
      <c r="D596" s="1"/>
      <c r="E596" s="1"/>
      <c r="F596" s="1"/>
      <c r="G596" s="1"/>
    </row>
    <row r="597" spans="2:7" x14ac:dyDescent="0.3">
      <c r="B597" s="17"/>
      <c r="C597" s="1"/>
      <c r="D597" s="1"/>
      <c r="E597" s="1"/>
      <c r="F597" s="1"/>
      <c r="G597" s="1"/>
    </row>
    <row r="598" spans="2:7" x14ac:dyDescent="0.3">
      <c r="B598" s="17"/>
      <c r="C598" s="1"/>
      <c r="D598" s="1"/>
      <c r="E598" s="1"/>
      <c r="F598" s="1"/>
      <c r="G598" s="1"/>
    </row>
    <row r="599" spans="2:7" x14ac:dyDescent="0.3">
      <c r="B599" s="17"/>
      <c r="C599" s="1"/>
      <c r="D599" s="1"/>
      <c r="E599" s="1"/>
      <c r="F599" s="1"/>
      <c r="G599" s="1"/>
    </row>
    <row r="600" spans="2:7" x14ac:dyDescent="0.3">
      <c r="B600" s="17"/>
      <c r="C600" s="1"/>
      <c r="D600" s="1"/>
      <c r="E600" s="1"/>
      <c r="F600" s="1"/>
      <c r="G600" s="1"/>
    </row>
    <row r="601" spans="2:7" x14ac:dyDescent="0.3">
      <c r="B601" s="17"/>
      <c r="C601" s="1"/>
      <c r="D601" s="1"/>
      <c r="E601" s="1"/>
      <c r="F601" s="1"/>
      <c r="G601" s="1"/>
    </row>
    <row r="602" spans="2:7" x14ac:dyDescent="0.3">
      <c r="B602" s="17"/>
      <c r="C602" s="1"/>
      <c r="D602" s="1"/>
      <c r="E602" s="1"/>
      <c r="F602" s="1"/>
      <c r="G602" s="1"/>
    </row>
    <row r="603" spans="2:7" x14ac:dyDescent="0.3">
      <c r="B603" s="17"/>
      <c r="C603" s="1"/>
      <c r="D603" s="1"/>
      <c r="E603" s="1"/>
      <c r="F603" s="1"/>
      <c r="G603" s="1"/>
    </row>
    <row r="604" spans="2:7" x14ac:dyDescent="0.3">
      <c r="B604" s="17"/>
      <c r="C604" s="1"/>
      <c r="D604" s="1"/>
      <c r="E604" s="1"/>
      <c r="F604" s="1"/>
      <c r="G604" s="1"/>
    </row>
    <row r="605" spans="2:7" x14ac:dyDescent="0.3">
      <c r="B605" s="17"/>
      <c r="C605" s="1"/>
      <c r="D605" s="1"/>
      <c r="E605" s="1"/>
      <c r="F605" s="1"/>
      <c r="G605" s="1"/>
    </row>
    <row r="606" spans="2:7" x14ac:dyDescent="0.3">
      <c r="B606" s="17"/>
      <c r="C606" s="1"/>
      <c r="D606" s="1"/>
      <c r="E606" s="1"/>
      <c r="F606" s="1"/>
      <c r="G606" s="1"/>
    </row>
    <row r="607" spans="2:7" x14ac:dyDescent="0.3">
      <c r="B607" s="17"/>
      <c r="C607" s="1"/>
      <c r="D607" s="1"/>
      <c r="E607" s="1"/>
      <c r="F607" s="1"/>
      <c r="G607" s="1"/>
    </row>
    <row r="608" spans="2:7" x14ac:dyDescent="0.3">
      <c r="B608" s="17"/>
      <c r="C608" s="1"/>
      <c r="D608" s="1"/>
      <c r="E608" s="1"/>
      <c r="F608" s="1"/>
      <c r="G608" s="1"/>
    </row>
    <row r="609" spans="2:7" x14ac:dyDescent="0.3">
      <c r="B609" s="17"/>
      <c r="C609" s="1"/>
      <c r="D609" s="1"/>
      <c r="E609" s="1"/>
      <c r="F609" s="1"/>
      <c r="G609" s="1"/>
    </row>
    <row r="610" spans="2:7" x14ac:dyDescent="0.3">
      <c r="B610" s="17"/>
      <c r="C610" s="1"/>
      <c r="D610" s="1"/>
      <c r="E610" s="1"/>
      <c r="F610" s="1"/>
      <c r="G610" s="1"/>
    </row>
    <row r="611" spans="2:7" x14ac:dyDescent="0.3">
      <c r="B611" s="17"/>
      <c r="C611" s="1"/>
      <c r="D611" s="1"/>
      <c r="E611" s="1"/>
      <c r="F611" s="1"/>
      <c r="G611" s="1"/>
    </row>
    <row r="612" spans="2:7" x14ac:dyDescent="0.3">
      <c r="B612" s="17"/>
      <c r="C612" s="1"/>
      <c r="D612" s="1"/>
      <c r="E612" s="1"/>
      <c r="F612" s="1"/>
      <c r="G612" s="1"/>
    </row>
    <row r="613" spans="2:7" x14ac:dyDescent="0.3">
      <c r="B613" s="17"/>
      <c r="C613" s="1"/>
      <c r="D613" s="1"/>
      <c r="E613" s="1"/>
      <c r="F613" s="1"/>
      <c r="G613" s="1"/>
    </row>
    <row r="614" spans="2:7" x14ac:dyDescent="0.3">
      <c r="B614" s="17"/>
      <c r="C614" s="1"/>
      <c r="D614" s="1"/>
      <c r="E614" s="1"/>
      <c r="F614" s="1"/>
      <c r="G614" s="1"/>
    </row>
    <row r="615" spans="2:7" x14ac:dyDescent="0.3">
      <c r="B615" s="17"/>
      <c r="C615" s="1"/>
      <c r="D615" s="1"/>
      <c r="E615" s="1"/>
      <c r="F615" s="1"/>
      <c r="G615" s="1"/>
    </row>
    <row r="616" spans="2:7" x14ac:dyDescent="0.3">
      <c r="B616" s="17"/>
      <c r="C616" s="1"/>
      <c r="D616" s="1"/>
      <c r="E616" s="1"/>
      <c r="F616" s="1"/>
      <c r="G616" s="1"/>
    </row>
    <row r="617" spans="2:7" x14ac:dyDescent="0.3">
      <c r="B617" s="17"/>
      <c r="C617" s="1"/>
      <c r="D617" s="1"/>
      <c r="E617" s="1"/>
      <c r="F617" s="1"/>
      <c r="G617" s="1"/>
    </row>
    <row r="618" spans="2:7" x14ac:dyDescent="0.3">
      <c r="B618" s="17"/>
      <c r="C618" s="1"/>
      <c r="D618" s="1"/>
      <c r="E618" s="1"/>
      <c r="F618" s="1"/>
      <c r="G618" s="1"/>
    </row>
    <row r="619" spans="2:7" x14ac:dyDescent="0.3">
      <c r="B619" s="17"/>
      <c r="C619" s="1"/>
      <c r="D619" s="1"/>
      <c r="E619" s="1"/>
      <c r="F619" s="1"/>
      <c r="G619" s="1"/>
    </row>
    <row r="620" spans="2:7" x14ac:dyDescent="0.3">
      <c r="B620" s="17"/>
      <c r="C620" s="1"/>
      <c r="D620" s="1"/>
      <c r="E620" s="1"/>
      <c r="F620" s="1"/>
      <c r="G620" s="1"/>
    </row>
    <row r="621" spans="2:7" x14ac:dyDescent="0.3">
      <c r="B621" s="17"/>
      <c r="C621" s="1"/>
      <c r="D621" s="1"/>
      <c r="E621" s="1"/>
      <c r="F621" s="1"/>
      <c r="G621" s="1"/>
    </row>
    <row r="622" spans="2:7" x14ac:dyDescent="0.3">
      <c r="B622" s="17"/>
      <c r="C622" s="1"/>
      <c r="D622" s="1"/>
      <c r="E622" s="1"/>
      <c r="F622" s="1"/>
      <c r="G622" s="1"/>
    </row>
    <row r="623" spans="2:7" x14ac:dyDescent="0.3">
      <c r="B623" s="17"/>
      <c r="C623" s="1"/>
      <c r="D623" s="1"/>
      <c r="E623" s="1"/>
      <c r="F623" s="1"/>
      <c r="G623" s="1"/>
    </row>
    <row r="624" spans="2:7" x14ac:dyDescent="0.3">
      <c r="B624" s="17"/>
      <c r="C624" s="1"/>
      <c r="D624" s="1"/>
      <c r="E624" s="1"/>
      <c r="F624" s="1"/>
      <c r="G624" s="1"/>
    </row>
    <row r="625" spans="2:7" x14ac:dyDescent="0.3">
      <c r="B625" s="17"/>
      <c r="C625" s="1"/>
      <c r="D625" s="1"/>
      <c r="E625" s="1"/>
      <c r="F625" s="1"/>
      <c r="G625" s="1"/>
    </row>
    <row r="626" spans="2:7" x14ac:dyDescent="0.3">
      <c r="B626" s="17"/>
      <c r="C626" s="1"/>
      <c r="D626" s="1"/>
      <c r="E626" s="1"/>
      <c r="F626" s="1"/>
      <c r="G626" s="1"/>
    </row>
    <row r="627" spans="2:7" x14ac:dyDescent="0.3">
      <c r="B627" s="17"/>
      <c r="C627" s="1"/>
      <c r="D627" s="1"/>
      <c r="E627" s="1"/>
      <c r="F627" s="1"/>
      <c r="G627" s="1"/>
    </row>
    <row r="628" spans="2:7" x14ac:dyDescent="0.3">
      <c r="B628" s="17"/>
      <c r="C628" s="1"/>
      <c r="D628" s="1"/>
      <c r="E628" s="1"/>
      <c r="F628" s="1"/>
      <c r="G628" s="1"/>
    </row>
    <row r="629" spans="2:7" x14ac:dyDescent="0.3">
      <c r="B629" s="17"/>
      <c r="C629" s="1"/>
      <c r="D629" s="1"/>
      <c r="E629" s="1"/>
      <c r="F629" s="1"/>
      <c r="G629" s="1"/>
    </row>
    <row r="630" spans="2:7" x14ac:dyDescent="0.3">
      <c r="B630" s="17"/>
      <c r="C630" s="1"/>
      <c r="D630" s="1"/>
      <c r="E630" s="1"/>
      <c r="F630" s="1"/>
      <c r="G630" s="1"/>
    </row>
    <row r="631" spans="2:7" x14ac:dyDescent="0.3">
      <c r="B631" s="17"/>
      <c r="C631" s="1"/>
      <c r="D631" s="1"/>
      <c r="E631" s="1"/>
      <c r="F631" s="1"/>
      <c r="G631" s="1"/>
    </row>
    <row r="632" spans="2:7" x14ac:dyDescent="0.3">
      <c r="B632" s="17"/>
      <c r="C632" s="1"/>
      <c r="D632" s="1"/>
      <c r="E632" s="1"/>
      <c r="F632" s="1"/>
      <c r="G632" s="1"/>
    </row>
    <row r="633" spans="2:7" x14ac:dyDescent="0.3">
      <c r="B633" s="17"/>
      <c r="C633" s="1"/>
      <c r="D633" s="1"/>
      <c r="E633" s="1"/>
      <c r="F633" s="1"/>
      <c r="G633" s="1"/>
    </row>
    <row r="634" spans="2:7" x14ac:dyDescent="0.3">
      <c r="B634" s="17"/>
      <c r="C634" s="1"/>
      <c r="D634" s="1"/>
      <c r="E634" s="1"/>
      <c r="F634" s="1"/>
      <c r="G634" s="1"/>
    </row>
    <row r="635" spans="2:7" x14ac:dyDescent="0.3">
      <c r="B635" s="17"/>
      <c r="C635" s="1"/>
      <c r="D635" s="1"/>
      <c r="E635" s="1"/>
      <c r="F635" s="1"/>
      <c r="G635" s="1"/>
    </row>
    <row r="636" spans="2:7" x14ac:dyDescent="0.3">
      <c r="B636" s="17"/>
      <c r="C636" s="1"/>
      <c r="D636" s="1"/>
      <c r="E636" s="1"/>
      <c r="F636" s="1"/>
      <c r="G636" s="1"/>
    </row>
    <row r="637" spans="2:7" x14ac:dyDescent="0.3">
      <c r="B637" s="17"/>
      <c r="C637" s="1"/>
      <c r="D637" s="1"/>
      <c r="E637" s="1"/>
      <c r="F637" s="1"/>
      <c r="G637" s="1"/>
    </row>
    <row r="638" spans="2:7" x14ac:dyDescent="0.3">
      <c r="B638" s="17"/>
      <c r="C638" s="1"/>
      <c r="D638" s="1"/>
      <c r="E638" s="1"/>
      <c r="F638" s="1"/>
      <c r="G638" s="1"/>
    </row>
    <row r="639" spans="2:7" x14ac:dyDescent="0.3">
      <c r="B639" s="17"/>
      <c r="C639" s="1"/>
      <c r="D639" s="1"/>
      <c r="E639" s="1"/>
      <c r="F639" s="1"/>
      <c r="G639" s="1"/>
    </row>
    <row r="640" spans="2:7" x14ac:dyDescent="0.3">
      <c r="B640" s="17"/>
      <c r="C640" s="1"/>
      <c r="D640" s="1"/>
      <c r="E640" s="1"/>
      <c r="F640" s="1"/>
      <c r="G640" s="1"/>
    </row>
    <row r="641" spans="2:7" x14ac:dyDescent="0.3">
      <c r="B641" s="17"/>
      <c r="C641" s="1"/>
      <c r="D641" s="1"/>
      <c r="E641" s="1"/>
      <c r="F641" s="1"/>
      <c r="G641" s="1"/>
    </row>
    <row r="642" spans="2:7" x14ac:dyDescent="0.3">
      <c r="B642" s="17"/>
      <c r="C642" s="1"/>
      <c r="D642" s="1"/>
      <c r="E642" s="1"/>
      <c r="F642" s="1"/>
      <c r="G642" s="1"/>
    </row>
    <row r="643" spans="2:7" x14ac:dyDescent="0.3">
      <c r="B643" s="17"/>
      <c r="C643" s="1"/>
      <c r="D643" s="1"/>
      <c r="E643" s="1"/>
      <c r="F643" s="1"/>
      <c r="G643" s="1"/>
    </row>
    <row r="644" spans="2:7" x14ac:dyDescent="0.3">
      <c r="B644" s="17"/>
      <c r="C644" s="1"/>
      <c r="D644" s="1"/>
      <c r="E644" s="1"/>
      <c r="F644" s="1"/>
      <c r="G644" s="1"/>
    </row>
    <row r="645" spans="2:7" x14ac:dyDescent="0.3">
      <c r="B645" s="17"/>
      <c r="C645" s="1"/>
      <c r="D645" s="1"/>
      <c r="E645" s="1"/>
      <c r="F645" s="1"/>
      <c r="G645" s="1"/>
    </row>
    <row r="646" spans="2:7" x14ac:dyDescent="0.3">
      <c r="B646" s="17"/>
      <c r="C646" s="1"/>
      <c r="D646" s="1"/>
      <c r="E646" s="1"/>
      <c r="F646" s="1"/>
      <c r="G646" s="1"/>
    </row>
    <row r="647" spans="2:7" x14ac:dyDescent="0.3">
      <c r="B647" s="17"/>
      <c r="C647" s="1"/>
      <c r="D647" s="1"/>
      <c r="E647" s="1"/>
      <c r="F647" s="1"/>
      <c r="G647" s="1"/>
    </row>
    <row r="648" spans="2:7" x14ac:dyDescent="0.3">
      <c r="B648" s="17"/>
      <c r="C648" s="1"/>
      <c r="D648" s="1"/>
      <c r="E648" s="1"/>
      <c r="F648" s="1"/>
      <c r="G648" s="1"/>
    </row>
    <row r="649" spans="2:7" x14ac:dyDescent="0.3">
      <c r="B649" s="17"/>
      <c r="C649" s="1"/>
      <c r="D649" s="1"/>
      <c r="E649" s="1"/>
      <c r="F649" s="1"/>
      <c r="G649" s="1"/>
    </row>
    <row r="650" spans="2:7" x14ac:dyDescent="0.3">
      <c r="B650" s="17"/>
      <c r="C650" s="1"/>
      <c r="D650" s="1"/>
      <c r="E650" s="1"/>
      <c r="F650" s="1"/>
      <c r="G650" s="1"/>
    </row>
    <row r="651" spans="2:7" x14ac:dyDescent="0.3">
      <c r="B651" s="17"/>
      <c r="C651" s="1"/>
      <c r="D651" s="1"/>
      <c r="E651" s="1"/>
      <c r="F651" s="1"/>
      <c r="G651" s="1"/>
    </row>
    <row r="652" spans="2:7" x14ac:dyDescent="0.3">
      <c r="B652" s="17"/>
      <c r="C652" s="1"/>
      <c r="D652" s="1"/>
      <c r="E652" s="1"/>
      <c r="F652" s="1"/>
      <c r="G652" s="1"/>
    </row>
    <row r="653" spans="2:7" x14ac:dyDescent="0.3">
      <c r="B653" s="17"/>
      <c r="C653" s="1"/>
      <c r="D653" s="1"/>
      <c r="E653" s="1"/>
      <c r="F653" s="1"/>
      <c r="G653" s="1"/>
    </row>
    <row r="654" spans="2:7" x14ac:dyDescent="0.3">
      <c r="B654" s="17"/>
      <c r="C654" s="1"/>
      <c r="D654" s="1"/>
      <c r="E654" s="1"/>
      <c r="F654" s="1"/>
      <c r="G654" s="1"/>
    </row>
    <row r="655" spans="2:7" x14ac:dyDescent="0.3">
      <c r="B655" s="17"/>
      <c r="C655" s="1"/>
      <c r="D655" s="1"/>
      <c r="E655" s="1"/>
      <c r="F655" s="1"/>
      <c r="G655" s="1"/>
    </row>
    <row r="656" spans="2:7" x14ac:dyDescent="0.3">
      <c r="B656" s="17"/>
      <c r="C656" s="1"/>
      <c r="D656" s="1"/>
      <c r="E656" s="1"/>
      <c r="F656" s="1"/>
      <c r="G656" s="1"/>
    </row>
    <row r="657" spans="2:7" x14ac:dyDescent="0.3">
      <c r="B657" s="17"/>
      <c r="C657" s="1"/>
      <c r="D657" s="1"/>
      <c r="E657" s="1"/>
      <c r="F657" s="1"/>
      <c r="G657" s="1"/>
    </row>
    <row r="658" spans="2:7" x14ac:dyDescent="0.3">
      <c r="B658" s="17"/>
      <c r="C658" s="1"/>
      <c r="D658" s="1"/>
      <c r="E658" s="1"/>
      <c r="F658" s="1"/>
      <c r="G658" s="1"/>
    </row>
    <row r="659" spans="2:7" x14ac:dyDescent="0.3">
      <c r="B659" s="17"/>
      <c r="C659" s="1"/>
      <c r="D659" s="1"/>
      <c r="E659" s="1"/>
      <c r="F659" s="1"/>
      <c r="G659" s="1"/>
    </row>
    <row r="660" spans="2:7" x14ac:dyDescent="0.3">
      <c r="B660" s="17"/>
      <c r="C660" s="1"/>
      <c r="D660" s="1"/>
      <c r="E660" s="1"/>
      <c r="F660" s="1"/>
      <c r="G660" s="1"/>
    </row>
    <row r="661" spans="2:7" x14ac:dyDescent="0.3">
      <c r="B661" s="17"/>
      <c r="C661" s="1"/>
      <c r="D661" s="1"/>
      <c r="E661" s="1"/>
      <c r="F661" s="1"/>
      <c r="G661" s="1"/>
    </row>
    <row r="662" spans="2:7" x14ac:dyDescent="0.3">
      <c r="B662" s="17"/>
      <c r="C662" s="1"/>
      <c r="D662" s="1"/>
      <c r="E662" s="1"/>
      <c r="F662" s="1"/>
      <c r="G662" s="1"/>
    </row>
    <row r="663" spans="2:7" x14ac:dyDescent="0.3">
      <c r="B663" s="17"/>
      <c r="C663" s="1"/>
      <c r="D663" s="1"/>
      <c r="E663" s="1"/>
      <c r="F663" s="1"/>
      <c r="G663" s="1"/>
    </row>
    <row r="664" spans="2:7" x14ac:dyDescent="0.3">
      <c r="B664" s="17"/>
      <c r="C664" s="1"/>
      <c r="D664" s="1"/>
      <c r="E664" s="1"/>
      <c r="F664" s="1"/>
      <c r="G664" s="1"/>
    </row>
    <row r="665" spans="2:7" x14ac:dyDescent="0.3">
      <c r="B665" s="17"/>
      <c r="C665" s="1"/>
      <c r="D665" s="1"/>
      <c r="E665" s="1"/>
      <c r="F665" s="1"/>
      <c r="G665" s="1"/>
    </row>
    <row r="666" spans="2:7" x14ac:dyDescent="0.3">
      <c r="B666" s="17"/>
      <c r="C666" s="1"/>
      <c r="D666" s="1"/>
      <c r="E666" s="1"/>
      <c r="F666" s="1"/>
      <c r="G666" s="1"/>
    </row>
    <row r="667" spans="2:7" x14ac:dyDescent="0.3">
      <c r="B667" s="17"/>
      <c r="C667" s="1"/>
      <c r="D667" s="1"/>
      <c r="E667" s="1"/>
      <c r="F667" s="1"/>
      <c r="G667" s="1"/>
    </row>
    <row r="668" spans="2:7" x14ac:dyDescent="0.3">
      <c r="B668" s="17"/>
      <c r="C668" s="1"/>
      <c r="D668" s="1"/>
      <c r="E668" s="1"/>
      <c r="F668" s="1"/>
      <c r="G668" s="1"/>
    </row>
    <row r="669" spans="2:7" x14ac:dyDescent="0.3">
      <c r="B669" s="17"/>
      <c r="C669" s="1"/>
      <c r="D669" s="1"/>
      <c r="E669" s="1"/>
      <c r="F669" s="1"/>
      <c r="G669" s="1"/>
    </row>
    <row r="670" spans="2:7" x14ac:dyDescent="0.3">
      <c r="B670" s="17"/>
      <c r="C670" s="1"/>
      <c r="D670" s="1"/>
      <c r="E670" s="1"/>
      <c r="F670" s="1"/>
      <c r="G670" s="1"/>
    </row>
    <row r="671" spans="2:7" x14ac:dyDescent="0.3">
      <c r="B671" s="17"/>
      <c r="C671" s="1"/>
      <c r="D671" s="1"/>
      <c r="E671" s="1"/>
      <c r="F671" s="1"/>
      <c r="G671" s="1"/>
    </row>
    <row r="672" spans="2:7" x14ac:dyDescent="0.3">
      <c r="B672" s="17"/>
      <c r="C672" s="1"/>
      <c r="D672" s="1"/>
      <c r="E672" s="1"/>
      <c r="F672" s="1"/>
      <c r="G672" s="1"/>
    </row>
    <row r="673" spans="2:7" x14ac:dyDescent="0.3">
      <c r="B673" s="17"/>
      <c r="C673" s="1"/>
      <c r="D673" s="1"/>
      <c r="E673" s="1"/>
      <c r="F673" s="1"/>
      <c r="G673" s="1"/>
    </row>
    <row r="674" spans="2:7" x14ac:dyDescent="0.3">
      <c r="B674" s="17"/>
      <c r="C674" s="1"/>
      <c r="D674" s="1"/>
      <c r="E674" s="1"/>
      <c r="F674" s="1"/>
      <c r="G674" s="1"/>
    </row>
    <row r="675" spans="2:7" x14ac:dyDescent="0.3">
      <c r="B675" s="17"/>
      <c r="C675" s="1"/>
      <c r="D675" s="1"/>
      <c r="E675" s="1"/>
      <c r="F675" s="1"/>
      <c r="G675" s="1"/>
    </row>
    <row r="676" spans="2:7" x14ac:dyDescent="0.3">
      <c r="B676" s="17"/>
      <c r="C676" s="1"/>
      <c r="D676" s="1"/>
      <c r="E676" s="1"/>
      <c r="F676" s="1"/>
      <c r="G676" s="1"/>
    </row>
    <row r="677" spans="2:7" x14ac:dyDescent="0.3">
      <c r="B677" s="17"/>
      <c r="C677" s="1"/>
      <c r="D677" s="1"/>
      <c r="E677" s="1"/>
      <c r="F677" s="1"/>
      <c r="G677" s="1"/>
    </row>
    <row r="678" spans="2:7" x14ac:dyDescent="0.3">
      <c r="B678" s="17"/>
      <c r="C678" s="1"/>
      <c r="D678" s="1"/>
      <c r="E678" s="1"/>
      <c r="F678" s="1"/>
      <c r="G678" s="1"/>
    </row>
    <row r="679" spans="2:7" x14ac:dyDescent="0.3">
      <c r="B679" s="17"/>
      <c r="C679" s="1"/>
      <c r="D679" s="1"/>
      <c r="E679" s="1"/>
      <c r="F679" s="1"/>
      <c r="G679" s="1"/>
    </row>
    <row r="680" spans="2:7" x14ac:dyDescent="0.3">
      <c r="B680" s="17"/>
      <c r="C680" s="1"/>
      <c r="D680" s="1"/>
      <c r="E680" s="1"/>
      <c r="F680" s="1"/>
      <c r="G680" s="1"/>
    </row>
    <row r="681" spans="2:7" x14ac:dyDescent="0.3">
      <c r="B681" s="17"/>
      <c r="C681" s="1"/>
      <c r="D681" s="1"/>
      <c r="E681" s="1"/>
      <c r="F681" s="1"/>
      <c r="G681" s="1"/>
    </row>
    <row r="682" spans="2:7" x14ac:dyDescent="0.3">
      <c r="B682" s="17"/>
      <c r="C682" s="1"/>
      <c r="D682" s="1"/>
      <c r="E682" s="1"/>
      <c r="F682" s="1"/>
      <c r="G682" s="1"/>
    </row>
    <row r="683" spans="2:7" x14ac:dyDescent="0.3">
      <c r="B683" s="17"/>
      <c r="C683" s="1"/>
      <c r="D683" s="1"/>
      <c r="E683" s="1"/>
      <c r="F683" s="1"/>
      <c r="G683" s="1"/>
    </row>
    <row r="684" spans="2:7" x14ac:dyDescent="0.3">
      <c r="B684" s="17"/>
      <c r="C684" s="1"/>
      <c r="D684" s="1"/>
      <c r="E684" s="1"/>
      <c r="F684" s="1"/>
      <c r="G684" s="1"/>
    </row>
    <row r="685" spans="2:7" x14ac:dyDescent="0.3">
      <c r="B685" s="17"/>
      <c r="C685" s="1"/>
      <c r="D685" s="1"/>
      <c r="E685" s="1"/>
      <c r="F685" s="1"/>
      <c r="G685" s="1"/>
    </row>
    <row r="686" spans="2:7" x14ac:dyDescent="0.3">
      <c r="B686" s="17"/>
      <c r="C686" s="1"/>
      <c r="D686" s="1"/>
      <c r="E686" s="1"/>
      <c r="F686" s="1"/>
      <c r="G686" s="1"/>
    </row>
    <row r="687" spans="2:7" x14ac:dyDescent="0.3">
      <c r="B687" s="17"/>
      <c r="C687" s="1"/>
      <c r="D687" s="1"/>
      <c r="E687" s="1"/>
      <c r="F687" s="1"/>
      <c r="G687" s="1"/>
    </row>
    <row r="688" spans="2:7" x14ac:dyDescent="0.3">
      <c r="B688" s="17"/>
      <c r="C688" s="1"/>
      <c r="D688" s="1"/>
      <c r="E688" s="1"/>
      <c r="F688" s="1"/>
      <c r="G688" s="1"/>
    </row>
    <row r="689" spans="2:7" x14ac:dyDescent="0.3">
      <c r="B689" s="17"/>
      <c r="C689" s="1"/>
      <c r="D689" s="1"/>
      <c r="E689" s="1"/>
      <c r="F689" s="1"/>
      <c r="G689" s="1"/>
    </row>
    <row r="690" spans="2:7" x14ac:dyDescent="0.3">
      <c r="B690" s="17"/>
      <c r="C690" s="1"/>
      <c r="D690" s="1"/>
      <c r="E690" s="1"/>
      <c r="F690" s="1"/>
      <c r="G690" s="1"/>
    </row>
    <row r="691" spans="2:7" x14ac:dyDescent="0.3">
      <c r="B691" s="17"/>
      <c r="C691" s="1"/>
      <c r="D691" s="1"/>
      <c r="E691" s="1"/>
      <c r="F691" s="1"/>
      <c r="G691" s="1"/>
    </row>
    <row r="692" spans="2:7" x14ac:dyDescent="0.3">
      <c r="B692" s="17"/>
      <c r="C692" s="1"/>
      <c r="D692" s="1"/>
      <c r="E692" s="1"/>
      <c r="F692" s="1"/>
      <c r="G692" s="1"/>
    </row>
    <row r="693" spans="2:7" x14ac:dyDescent="0.3">
      <c r="B693" s="17"/>
      <c r="C693" s="1"/>
      <c r="D693" s="1"/>
      <c r="E693" s="1"/>
      <c r="F693" s="1"/>
      <c r="G693" s="1"/>
    </row>
    <row r="694" spans="2:7" x14ac:dyDescent="0.3">
      <c r="B694" s="17"/>
      <c r="C694" s="1"/>
      <c r="D694" s="1"/>
      <c r="E694" s="1"/>
      <c r="F694" s="1"/>
      <c r="G694" s="1"/>
    </row>
    <row r="695" spans="2:7" x14ac:dyDescent="0.3">
      <c r="B695" s="17"/>
      <c r="C695" s="1"/>
      <c r="D695" s="1"/>
      <c r="E695" s="1"/>
      <c r="F695" s="1"/>
      <c r="G695" s="1"/>
    </row>
    <row r="696" spans="2:7" x14ac:dyDescent="0.3">
      <c r="B696" s="17"/>
      <c r="C696" s="1"/>
      <c r="D696" s="1"/>
      <c r="E696" s="1"/>
      <c r="F696" s="1"/>
      <c r="G696" s="1"/>
    </row>
    <row r="697" spans="2:7" x14ac:dyDescent="0.3">
      <c r="B697" s="17"/>
      <c r="C697" s="1"/>
      <c r="D697" s="1"/>
      <c r="E697" s="1"/>
      <c r="F697" s="1"/>
      <c r="G697" s="1"/>
    </row>
    <row r="698" spans="2:7" x14ac:dyDescent="0.3">
      <c r="B698" s="17"/>
      <c r="C698" s="1"/>
      <c r="D698" s="1"/>
      <c r="E698" s="1"/>
      <c r="F698" s="1"/>
      <c r="G698" s="1"/>
    </row>
    <row r="699" spans="2:7" x14ac:dyDescent="0.3">
      <c r="B699" s="17"/>
      <c r="C699" s="1"/>
      <c r="D699" s="1"/>
      <c r="E699" s="1"/>
      <c r="F699" s="1"/>
      <c r="G699" s="1"/>
    </row>
    <row r="700" spans="2:7" x14ac:dyDescent="0.3">
      <c r="B700" s="17"/>
      <c r="C700" s="1"/>
      <c r="D700" s="1"/>
      <c r="E700" s="1"/>
      <c r="F700" s="1"/>
      <c r="G700" s="1"/>
    </row>
    <row r="701" spans="2:7" x14ac:dyDescent="0.3">
      <c r="B701" s="17"/>
      <c r="C701" s="1"/>
      <c r="D701" s="1"/>
      <c r="E701" s="1"/>
      <c r="F701" s="1"/>
      <c r="G701" s="1"/>
    </row>
    <row r="702" spans="2:7" x14ac:dyDescent="0.3">
      <c r="B702" s="17"/>
      <c r="C702" s="1"/>
      <c r="D702" s="1"/>
      <c r="E702" s="1"/>
      <c r="F702" s="1"/>
      <c r="G702" s="1"/>
    </row>
    <row r="703" spans="2:7" x14ac:dyDescent="0.3">
      <c r="B703" s="17"/>
      <c r="C703" s="1"/>
      <c r="D703" s="1"/>
      <c r="E703" s="1"/>
      <c r="F703" s="1"/>
      <c r="G703" s="1"/>
    </row>
    <row r="704" spans="2:7" x14ac:dyDescent="0.3">
      <c r="B704" s="17"/>
      <c r="C704" s="1"/>
      <c r="D704" s="1"/>
      <c r="E704" s="1"/>
      <c r="F704" s="1"/>
      <c r="G704" s="1"/>
    </row>
    <row r="705" spans="2:7" x14ac:dyDescent="0.3">
      <c r="B705" s="17"/>
      <c r="C705" s="1"/>
      <c r="D705" s="1"/>
      <c r="E705" s="1"/>
      <c r="F705" s="1"/>
      <c r="G705" s="1"/>
    </row>
    <row r="706" spans="2:7" x14ac:dyDescent="0.3">
      <c r="B706" s="17"/>
      <c r="C706" s="1"/>
      <c r="D706" s="1"/>
      <c r="E706" s="1"/>
      <c r="F706" s="1"/>
      <c r="G706" s="1"/>
    </row>
    <row r="707" spans="2:7" x14ac:dyDescent="0.3">
      <c r="B707" s="17"/>
      <c r="C707" s="1"/>
      <c r="D707" s="1"/>
      <c r="E707" s="1"/>
      <c r="F707" s="1"/>
      <c r="G707" s="1"/>
    </row>
    <row r="708" spans="2:7" x14ac:dyDescent="0.3">
      <c r="B708" s="17"/>
      <c r="C708" s="1"/>
      <c r="D708" s="1"/>
      <c r="E708" s="1"/>
      <c r="F708" s="1"/>
      <c r="G708" s="1"/>
    </row>
    <row r="709" spans="2:7" x14ac:dyDescent="0.3">
      <c r="B709" s="17"/>
      <c r="C709" s="1"/>
      <c r="D709" s="1"/>
      <c r="E709" s="1"/>
      <c r="F709" s="1"/>
      <c r="G709" s="1"/>
    </row>
    <row r="710" spans="2:7" x14ac:dyDescent="0.3">
      <c r="B710" s="17"/>
      <c r="C710" s="1"/>
      <c r="D710" s="1"/>
      <c r="E710" s="1"/>
      <c r="F710" s="1"/>
      <c r="G710" s="1"/>
    </row>
    <row r="711" spans="2:7" x14ac:dyDescent="0.3">
      <c r="B711" s="17"/>
      <c r="C711" s="1"/>
      <c r="D711" s="1"/>
      <c r="E711" s="1"/>
      <c r="F711" s="1"/>
      <c r="G711" s="1"/>
    </row>
    <row r="712" spans="2:7" x14ac:dyDescent="0.3">
      <c r="B712" s="17"/>
      <c r="C712" s="1"/>
      <c r="D712" s="1"/>
      <c r="E712" s="1"/>
      <c r="F712" s="1"/>
      <c r="G712" s="1"/>
    </row>
    <row r="713" spans="2:7" x14ac:dyDescent="0.3">
      <c r="B713" s="17"/>
      <c r="C713" s="1"/>
      <c r="D713" s="1"/>
      <c r="E713" s="1"/>
      <c r="F713" s="1"/>
      <c r="G713" s="1"/>
    </row>
    <row r="714" spans="2:7" x14ac:dyDescent="0.3">
      <c r="B714" s="17"/>
      <c r="C714" s="1"/>
      <c r="D714" s="1"/>
      <c r="E714" s="1"/>
      <c r="F714" s="1"/>
      <c r="G714" s="1"/>
    </row>
    <row r="715" spans="2:7" x14ac:dyDescent="0.3">
      <c r="B715" s="17"/>
      <c r="C715" s="1"/>
      <c r="D715" s="1"/>
      <c r="E715" s="1"/>
      <c r="F715" s="1"/>
      <c r="G715" s="1"/>
    </row>
    <row r="716" spans="2:7" x14ac:dyDescent="0.3">
      <c r="B716" s="17"/>
      <c r="C716" s="1"/>
      <c r="D716" s="1"/>
      <c r="E716" s="1"/>
      <c r="F716" s="1"/>
      <c r="G716" s="1"/>
    </row>
    <row r="717" spans="2:7" x14ac:dyDescent="0.3">
      <c r="B717" s="17"/>
      <c r="C717" s="1"/>
      <c r="D717" s="1"/>
      <c r="E717" s="1"/>
      <c r="F717" s="1"/>
      <c r="G717" s="1"/>
    </row>
    <row r="718" spans="2:7" x14ac:dyDescent="0.3">
      <c r="B718" s="17"/>
      <c r="C718" s="1"/>
      <c r="D718" s="1"/>
      <c r="E718" s="1"/>
      <c r="F718" s="1"/>
      <c r="G718" s="1"/>
    </row>
    <row r="719" spans="2:7" x14ac:dyDescent="0.3">
      <c r="B719" s="17"/>
      <c r="C719" s="1"/>
      <c r="D719" s="1"/>
      <c r="E719" s="1"/>
      <c r="F719" s="1"/>
      <c r="G719" s="1"/>
    </row>
    <row r="720" spans="2:7" x14ac:dyDescent="0.3">
      <c r="B720" s="17"/>
      <c r="C720" s="1"/>
      <c r="D720" s="1"/>
      <c r="E720" s="1"/>
      <c r="F720" s="1"/>
      <c r="G720" s="1"/>
    </row>
    <row r="721" spans="2:7" x14ac:dyDescent="0.3">
      <c r="B721" s="17"/>
      <c r="C721" s="1"/>
      <c r="D721" s="1"/>
      <c r="E721" s="1"/>
      <c r="F721" s="1"/>
      <c r="G721" s="1"/>
    </row>
    <row r="722" spans="2:7" x14ac:dyDescent="0.3">
      <c r="B722" s="17"/>
      <c r="C722" s="1"/>
      <c r="D722" s="1"/>
      <c r="E722" s="1"/>
      <c r="F722" s="1"/>
      <c r="G722" s="1"/>
    </row>
    <row r="723" spans="2:7" x14ac:dyDescent="0.3">
      <c r="B723" s="17"/>
      <c r="C723" s="1"/>
      <c r="D723" s="1"/>
      <c r="E723" s="1"/>
      <c r="F723" s="1"/>
      <c r="G723" s="1"/>
    </row>
    <row r="724" spans="2:7" x14ac:dyDescent="0.3">
      <c r="B724" s="17"/>
      <c r="C724" s="1"/>
      <c r="D724" s="1"/>
      <c r="E724" s="1"/>
      <c r="F724" s="1"/>
      <c r="G724" s="1"/>
    </row>
    <row r="725" spans="2:7" x14ac:dyDescent="0.3">
      <c r="B725" s="17"/>
      <c r="C725" s="1"/>
      <c r="D725" s="1"/>
      <c r="E725" s="1"/>
      <c r="F725" s="1"/>
      <c r="G725" s="1"/>
    </row>
    <row r="726" spans="2:7" x14ac:dyDescent="0.3">
      <c r="B726" s="17"/>
      <c r="C726" s="1"/>
      <c r="D726" s="1"/>
      <c r="E726" s="1"/>
      <c r="F726" s="1"/>
      <c r="G726" s="1"/>
    </row>
    <row r="727" spans="2:7" x14ac:dyDescent="0.3">
      <c r="B727" s="17"/>
      <c r="C727" s="1"/>
      <c r="D727" s="1"/>
      <c r="E727" s="1"/>
      <c r="F727" s="1"/>
      <c r="G727" s="1"/>
    </row>
    <row r="728" spans="2:7" x14ac:dyDescent="0.3">
      <c r="B728" s="17"/>
      <c r="C728" s="1"/>
      <c r="D728" s="1"/>
      <c r="E728" s="1"/>
      <c r="F728" s="1"/>
      <c r="G728" s="1"/>
    </row>
    <row r="729" spans="2:7" x14ac:dyDescent="0.3">
      <c r="B729" s="17"/>
      <c r="C729" s="1"/>
      <c r="D729" s="1"/>
      <c r="E729" s="1"/>
      <c r="F729" s="1"/>
      <c r="G729" s="1"/>
    </row>
    <row r="730" spans="2:7" x14ac:dyDescent="0.3">
      <c r="B730" s="17"/>
      <c r="C730" s="1"/>
      <c r="D730" s="1"/>
      <c r="E730" s="1"/>
      <c r="F730" s="1"/>
      <c r="G730" s="1"/>
    </row>
    <row r="731" spans="2:7" x14ac:dyDescent="0.3">
      <c r="B731" s="17"/>
      <c r="C731" s="1"/>
      <c r="D731" s="1"/>
      <c r="E731" s="1"/>
      <c r="F731" s="1"/>
      <c r="G731" s="1"/>
    </row>
    <row r="732" spans="2:7" x14ac:dyDescent="0.3">
      <c r="B732" s="17"/>
      <c r="C732" s="1"/>
      <c r="D732" s="1"/>
      <c r="E732" s="1"/>
      <c r="F732" s="1"/>
      <c r="G732" s="1"/>
    </row>
    <row r="733" spans="2:7" x14ac:dyDescent="0.3">
      <c r="B733" s="17"/>
      <c r="C733" s="1"/>
      <c r="D733" s="1"/>
      <c r="E733" s="1"/>
      <c r="F733" s="1"/>
      <c r="G733" s="1"/>
    </row>
    <row r="734" spans="2:7" x14ac:dyDescent="0.3">
      <c r="B734" s="17"/>
      <c r="C734" s="1"/>
      <c r="D734" s="1"/>
      <c r="E734" s="1"/>
      <c r="F734" s="1"/>
      <c r="G734" s="1"/>
    </row>
    <row r="735" spans="2:7" x14ac:dyDescent="0.3">
      <c r="B735" s="17"/>
      <c r="C735" s="1"/>
      <c r="D735" s="1"/>
      <c r="E735" s="1"/>
      <c r="F735" s="1"/>
      <c r="G735" s="1"/>
    </row>
    <row r="736" spans="2:7" x14ac:dyDescent="0.3">
      <c r="B736" s="17"/>
      <c r="C736" s="1"/>
      <c r="D736" s="1"/>
      <c r="E736" s="1"/>
      <c r="F736" s="1"/>
      <c r="G736" s="1"/>
    </row>
    <row r="737" spans="2:7" x14ac:dyDescent="0.3">
      <c r="B737" s="17"/>
      <c r="C737" s="1"/>
      <c r="D737" s="1"/>
      <c r="E737" s="1"/>
      <c r="F737" s="1"/>
      <c r="G737" s="1"/>
    </row>
    <row r="738" spans="2:7" x14ac:dyDescent="0.3">
      <c r="B738" s="17"/>
      <c r="C738" s="1"/>
      <c r="D738" s="1"/>
      <c r="E738" s="1"/>
      <c r="F738" s="1"/>
      <c r="G738" s="1"/>
    </row>
    <row r="739" spans="2:7" x14ac:dyDescent="0.3">
      <c r="B739" s="17"/>
      <c r="C739" s="1"/>
      <c r="D739" s="1"/>
      <c r="E739" s="1"/>
      <c r="F739" s="1"/>
      <c r="G739" s="1"/>
    </row>
    <row r="740" spans="2:7" x14ac:dyDescent="0.3">
      <c r="B740" s="17"/>
      <c r="C740" s="1"/>
      <c r="D740" s="1"/>
      <c r="E740" s="1"/>
      <c r="F740" s="1"/>
      <c r="G740" s="1"/>
    </row>
    <row r="741" spans="2:7" x14ac:dyDescent="0.3">
      <c r="B741" s="17"/>
      <c r="C741" s="1"/>
      <c r="D741" s="1"/>
      <c r="E741" s="1"/>
      <c r="F741" s="1"/>
      <c r="G741" s="1"/>
    </row>
    <row r="742" spans="2:7" x14ac:dyDescent="0.3">
      <c r="B742" s="17"/>
      <c r="C742" s="1"/>
      <c r="D742" s="1"/>
      <c r="E742" s="1"/>
      <c r="F742" s="1"/>
      <c r="G742" s="1"/>
    </row>
    <row r="743" spans="2:7" x14ac:dyDescent="0.3">
      <c r="B743" s="17"/>
      <c r="C743" s="1"/>
      <c r="D743" s="1"/>
      <c r="E743" s="1"/>
      <c r="F743" s="1"/>
      <c r="G743" s="1"/>
    </row>
    <row r="744" spans="2:7" x14ac:dyDescent="0.3">
      <c r="B744" s="17"/>
      <c r="C744" s="1"/>
      <c r="D744" s="1"/>
      <c r="E744" s="1"/>
      <c r="F744" s="1"/>
      <c r="G744" s="1"/>
    </row>
    <row r="745" spans="2:7" x14ac:dyDescent="0.3">
      <c r="B745" s="17"/>
      <c r="C745" s="1"/>
      <c r="D745" s="1"/>
      <c r="E745" s="1"/>
      <c r="F745" s="1"/>
      <c r="G745" s="1"/>
    </row>
    <row r="746" spans="2:7" x14ac:dyDescent="0.3">
      <c r="B746" s="17"/>
      <c r="C746" s="1"/>
      <c r="D746" s="1"/>
      <c r="E746" s="1"/>
      <c r="F746" s="1"/>
      <c r="G746" s="1"/>
    </row>
    <row r="747" spans="2:7" x14ac:dyDescent="0.3">
      <c r="B747" s="17"/>
      <c r="C747" s="1"/>
      <c r="D747" s="1"/>
      <c r="E747" s="1"/>
      <c r="F747" s="1"/>
      <c r="G747" s="1"/>
    </row>
    <row r="748" spans="2:7" x14ac:dyDescent="0.3">
      <c r="B748" s="17"/>
      <c r="C748" s="1"/>
      <c r="D748" s="1"/>
      <c r="E748" s="1"/>
      <c r="F748" s="1"/>
      <c r="G748" s="1"/>
    </row>
    <row r="749" spans="2:7" x14ac:dyDescent="0.3">
      <c r="B749" s="17"/>
      <c r="C749" s="1"/>
      <c r="D749" s="1"/>
      <c r="E749" s="1"/>
      <c r="F749" s="1"/>
      <c r="G749" s="1"/>
    </row>
    <row r="750" spans="2:7" x14ac:dyDescent="0.3">
      <c r="B750" s="17"/>
      <c r="C750" s="1"/>
      <c r="D750" s="1"/>
      <c r="E750" s="1"/>
      <c r="F750" s="1"/>
      <c r="G750" s="1"/>
    </row>
    <row r="751" spans="2:7" x14ac:dyDescent="0.3">
      <c r="B751" s="17"/>
      <c r="C751" s="1"/>
      <c r="D751" s="1"/>
      <c r="E751" s="1"/>
      <c r="F751" s="1"/>
      <c r="G751" s="1"/>
    </row>
    <row r="752" spans="2:7" x14ac:dyDescent="0.3">
      <c r="B752" s="17"/>
      <c r="C752" s="1"/>
      <c r="D752" s="1"/>
      <c r="E752" s="1"/>
      <c r="F752" s="1"/>
      <c r="G752" s="1"/>
    </row>
    <row r="753" spans="2:7" x14ac:dyDescent="0.3">
      <c r="B753" s="17"/>
      <c r="C753" s="1"/>
      <c r="D753" s="1"/>
      <c r="E753" s="1"/>
      <c r="F753" s="1"/>
      <c r="G753" s="1"/>
    </row>
    <row r="754" spans="2:7" x14ac:dyDescent="0.3">
      <c r="B754" s="17"/>
      <c r="C754" s="1"/>
      <c r="D754" s="1"/>
      <c r="E754" s="1"/>
      <c r="F754" s="1"/>
      <c r="G754" s="1"/>
    </row>
    <row r="755" spans="2:7" x14ac:dyDescent="0.3">
      <c r="B755" s="17"/>
      <c r="C755" s="1"/>
      <c r="D755" s="1"/>
      <c r="E755" s="1"/>
      <c r="F755" s="1"/>
      <c r="G755" s="1"/>
    </row>
    <row r="756" spans="2:7" x14ac:dyDescent="0.3">
      <c r="B756" s="17"/>
      <c r="C756" s="1"/>
      <c r="D756" s="1"/>
      <c r="E756" s="1"/>
      <c r="F756" s="1"/>
      <c r="G756" s="1"/>
    </row>
    <row r="757" spans="2:7" x14ac:dyDescent="0.3">
      <c r="B757" s="17"/>
      <c r="C757" s="1"/>
      <c r="D757" s="1"/>
      <c r="E757" s="1"/>
      <c r="F757" s="1"/>
      <c r="G757" s="1"/>
    </row>
    <row r="758" spans="2:7" x14ac:dyDescent="0.3">
      <c r="B758" s="17"/>
      <c r="C758" s="1"/>
      <c r="D758" s="1"/>
      <c r="E758" s="1"/>
      <c r="F758" s="1"/>
      <c r="G758" s="1"/>
    </row>
    <row r="759" spans="2:7" x14ac:dyDescent="0.3">
      <c r="B759" s="17"/>
      <c r="C759" s="1"/>
      <c r="D759" s="1"/>
      <c r="E759" s="1"/>
      <c r="F759" s="1"/>
      <c r="G759" s="1"/>
    </row>
    <row r="760" spans="2:7" x14ac:dyDescent="0.3">
      <c r="B760" s="17"/>
      <c r="C760" s="1"/>
      <c r="D760" s="1"/>
      <c r="E760" s="1"/>
      <c r="F760" s="1"/>
      <c r="G760" s="1"/>
    </row>
    <row r="761" spans="2:7" x14ac:dyDescent="0.3">
      <c r="B761" s="17"/>
      <c r="C761" s="1"/>
      <c r="D761" s="1"/>
      <c r="E761" s="1"/>
      <c r="F761" s="1"/>
      <c r="G761" s="1"/>
    </row>
    <row r="762" spans="2:7" x14ac:dyDescent="0.3">
      <c r="B762" s="17"/>
      <c r="C762" s="1"/>
      <c r="D762" s="1"/>
      <c r="E762" s="1"/>
      <c r="F762" s="1"/>
      <c r="G762" s="1"/>
    </row>
    <row r="763" spans="2:7" x14ac:dyDescent="0.3">
      <c r="B763" s="17"/>
      <c r="C763" s="1"/>
      <c r="D763" s="1"/>
      <c r="E763" s="1"/>
      <c r="F763" s="1"/>
      <c r="G763" s="1"/>
    </row>
    <row r="764" spans="2:7" x14ac:dyDescent="0.3">
      <c r="B764" s="17"/>
      <c r="C764" s="1"/>
      <c r="D764" s="1"/>
      <c r="E764" s="1"/>
      <c r="F764" s="1"/>
      <c r="G764" s="1"/>
    </row>
    <row r="765" spans="2:7" x14ac:dyDescent="0.3">
      <c r="B765" s="17"/>
      <c r="C765" s="1"/>
      <c r="D765" s="1"/>
      <c r="E765" s="1"/>
      <c r="F765" s="1"/>
      <c r="G765" s="1"/>
    </row>
    <row r="766" spans="2:7" x14ac:dyDescent="0.3">
      <c r="B766" s="17"/>
      <c r="C766" s="1"/>
      <c r="D766" s="1"/>
      <c r="E766" s="1"/>
      <c r="F766" s="1"/>
      <c r="G766" s="1"/>
    </row>
    <row r="767" spans="2:7" x14ac:dyDescent="0.3">
      <c r="B767" s="17"/>
      <c r="C767" s="1"/>
      <c r="D767" s="1"/>
      <c r="E767" s="1"/>
      <c r="F767" s="1"/>
      <c r="G767" s="1"/>
    </row>
    <row r="768" spans="2:7" x14ac:dyDescent="0.3">
      <c r="B768" s="17"/>
      <c r="C768" s="1"/>
      <c r="D768" s="1"/>
      <c r="E768" s="1"/>
      <c r="F768" s="1"/>
      <c r="G768" s="1"/>
    </row>
    <row r="769" spans="2:7" x14ac:dyDescent="0.3">
      <c r="B769" s="17"/>
      <c r="C769" s="1"/>
      <c r="D769" s="1"/>
      <c r="E769" s="1"/>
      <c r="F769" s="1"/>
      <c r="G769" s="1"/>
    </row>
    <row r="770" spans="2:7" x14ac:dyDescent="0.3">
      <c r="B770" s="17"/>
      <c r="C770" s="1"/>
      <c r="D770" s="1"/>
      <c r="E770" s="1"/>
      <c r="F770" s="1"/>
      <c r="G770" s="1"/>
    </row>
    <row r="771" spans="2:7" x14ac:dyDescent="0.3">
      <c r="B771" s="17"/>
      <c r="C771" s="1"/>
      <c r="D771" s="1"/>
      <c r="E771" s="1"/>
      <c r="F771" s="1"/>
      <c r="G771" s="1"/>
    </row>
    <row r="772" spans="2:7" x14ac:dyDescent="0.3">
      <c r="B772" s="17"/>
      <c r="C772" s="1"/>
      <c r="D772" s="1"/>
      <c r="E772" s="1"/>
      <c r="F772" s="1"/>
      <c r="G772" s="1"/>
    </row>
    <row r="773" spans="2:7" x14ac:dyDescent="0.3">
      <c r="B773" s="17"/>
      <c r="C773" s="1"/>
      <c r="D773" s="1"/>
      <c r="E773" s="1"/>
      <c r="F773" s="1"/>
      <c r="G773" s="1"/>
    </row>
    <row r="774" spans="2:7" x14ac:dyDescent="0.3">
      <c r="B774" s="17"/>
      <c r="C774" s="1"/>
      <c r="D774" s="1"/>
      <c r="E774" s="1"/>
      <c r="F774" s="1"/>
      <c r="G774" s="1"/>
    </row>
    <row r="775" spans="2:7" x14ac:dyDescent="0.3">
      <c r="B775" s="17"/>
      <c r="C775" s="1"/>
      <c r="D775" s="1"/>
      <c r="E775" s="1"/>
      <c r="F775" s="1"/>
      <c r="G775" s="1"/>
    </row>
    <row r="776" spans="2:7" x14ac:dyDescent="0.3">
      <c r="B776" s="17"/>
      <c r="C776" s="1"/>
      <c r="D776" s="1"/>
      <c r="E776" s="1"/>
      <c r="F776" s="1"/>
      <c r="G776" s="1"/>
    </row>
    <row r="777" spans="2:7" x14ac:dyDescent="0.3">
      <c r="B777" s="17"/>
      <c r="C777" s="1"/>
      <c r="D777" s="1"/>
      <c r="E777" s="1"/>
      <c r="F777" s="1"/>
      <c r="G777" s="1"/>
    </row>
    <row r="778" spans="2:7" x14ac:dyDescent="0.3">
      <c r="B778" s="17"/>
      <c r="C778" s="1"/>
      <c r="D778" s="1"/>
      <c r="E778" s="1"/>
      <c r="F778" s="1"/>
      <c r="G778" s="1"/>
    </row>
    <row r="779" spans="2:7" x14ac:dyDescent="0.3">
      <c r="B779" s="17"/>
      <c r="C779" s="1"/>
      <c r="D779" s="1"/>
      <c r="E779" s="1"/>
      <c r="F779" s="1"/>
      <c r="G779" s="1"/>
    </row>
    <row r="780" spans="2:7" x14ac:dyDescent="0.3">
      <c r="B780" s="17"/>
      <c r="C780" s="1"/>
      <c r="D780" s="1"/>
      <c r="E780" s="1"/>
      <c r="F780" s="1"/>
      <c r="G780" s="1"/>
    </row>
    <row r="781" spans="2:7" x14ac:dyDescent="0.3">
      <c r="B781" s="17"/>
      <c r="C781" s="1"/>
      <c r="D781" s="1"/>
      <c r="E781" s="1"/>
      <c r="F781" s="1"/>
      <c r="G781" s="1"/>
    </row>
    <row r="782" spans="2:7" x14ac:dyDescent="0.3">
      <c r="B782" s="17"/>
      <c r="C782" s="1"/>
      <c r="D782" s="1"/>
      <c r="E782" s="1"/>
      <c r="F782" s="1"/>
      <c r="G782" s="1"/>
    </row>
    <row r="783" spans="2:7" x14ac:dyDescent="0.3">
      <c r="B783" s="17"/>
      <c r="C783" s="1"/>
      <c r="D783" s="1"/>
      <c r="E783" s="1"/>
      <c r="F783" s="1"/>
      <c r="G783" s="1"/>
    </row>
    <row r="784" spans="2:7" x14ac:dyDescent="0.3">
      <c r="B784" s="17"/>
      <c r="C784" s="1"/>
      <c r="D784" s="1"/>
      <c r="E784" s="1"/>
      <c r="F784" s="1"/>
      <c r="G784" s="1"/>
    </row>
    <row r="785" spans="2:7" x14ac:dyDescent="0.3">
      <c r="B785" s="17"/>
      <c r="C785" s="1"/>
      <c r="D785" s="1"/>
      <c r="E785" s="1"/>
      <c r="F785" s="1"/>
      <c r="G785" s="1"/>
    </row>
    <row r="786" spans="2:7" x14ac:dyDescent="0.3">
      <c r="B786" s="17"/>
      <c r="C786" s="1"/>
      <c r="D786" s="1"/>
      <c r="E786" s="1"/>
      <c r="F786" s="1"/>
      <c r="G786" s="1"/>
    </row>
    <row r="787" spans="2:7" x14ac:dyDescent="0.3">
      <c r="B787" s="17"/>
      <c r="C787" s="1"/>
      <c r="D787" s="1"/>
      <c r="E787" s="1"/>
      <c r="F787" s="1"/>
      <c r="G787" s="1"/>
    </row>
    <row r="788" spans="2:7" x14ac:dyDescent="0.3">
      <c r="B788" s="17"/>
      <c r="C788" s="1"/>
      <c r="D788" s="1"/>
      <c r="E788" s="1"/>
      <c r="F788" s="1"/>
      <c r="G788" s="1"/>
    </row>
    <row r="789" spans="2:7" x14ac:dyDescent="0.3">
      <c r="B789" s="17"/>
      <c r="C789" s="1"/>
      <c r="D789" s="1"/>
      <c r="E789" s="1"/>
      <c r="F789" s="1"/>
      <c r="G789" s="1"/>
    </row>
    <row r="790" spans="2:7" x14ac:dyDescent="0.3">
      <c r="B790" s="17"/>
      <c r="C790" s="1"/>
      <c r="D790" s="1"/>
      <c r="E790" s="1"/>
      <c r="F790" s="1"/>
      <c r="G790" s="1"/>
    </row>
    <row r="791" spans="2:7" x14ac:dyDescent="0.3">
      <c r="B791" s="17"/>
      <c r="C791" s="1"/>
      <c r="D791" s="1"/>
      <c r="E791" s="1"/>
      <c r="F791" s="1"/>
      <c r="G791" s="1"/>
    </row>
    <row r="792" spans="2:7" x14ac:dyDescent="0.3">
      <c r="B792" s="17"/>
      <c r="C792" s="1"/>
      <c r="D792" s="1"/>
      <c r="E792" s="1"/>
      <c r="F792" s="1"/>
      <c r="G792" s="1"/>
    </row>
    <row r="793" spans="2:7" x14ac:dyDescent="0.3">
      <c r="B793" s="17"/>
      <c r="C793" s="1"/>
      <c r="D793" s="1"/>
      <c r="E793" s="1"/>
      <c r="F793" s="1"/>
      <c r="G793" s="1"/>
    </row>
    <row r="794" spans="2:7" x14ac:dyDescent="0.3">
      <c r="B794" s="17"/>
      <c r="C794" s="1"/>
      <c r="D794" s="1"/>
      <c r="E794" s="1"/>
      <c r="F794" s="1"/>
      <c r="G794" s="1"/>
    </row>
    <row r="795" spans="2:7" x14ac:dyDescent="0.3">
      <c r="B795" s="17"/>
      <c r="C795" s="1"/>
      <c r="D795" s="1"/>
      <c r="E795" s="1"/>
      <c r="F795" s="1"/>
      <c r="G795" s="1"/>
    </row>
    <row r="796" spans="2:7" x14ac:dyDescent="0.3">
      <c r="B796" s="17"/>
      <c r="C796" s="1"/>
      <c r="D796" s="1"/>
      <c r="E796" s="1"/>
      <c r="F796" s="1"/>
      <c r="G796" s="1"/>
    </row>
    <row r="797" spans="2:7" x14ac:dyDescent="0.3">
      <c r="B797" s="17"/>
      <c r="C797" s="1"/>
      <c r="D797" s="1"/>
      <c r="E797" s="1"/>
      <c r="F797" s="1"/>
      <c r="G797" s="1"/>
    </row>
    <row r="798" spans="2:7" x14ac:dyDescent="0.3">
      <c r="B798" s="17"/>
      <c r="C798" s="1"/>
      <c r="D798" s="1"/>
      <c r="E798" s="1"/>
      <c r="F798" s="1"/>
      <c r="G798" s="1"/>
    </row>
    <row r="799" spans="2:7" x14ac:dyDescent="0.3">
      <c r="B799" s="17"/>
      <c r="C799" s="1"/>
      <c r="D799" s="1"/>
      <c r="E799" s="1"/>
      <c r="F799" s="1"/>
      <c r="G799" s="1"/>
    </row>
    <row r="800" spans="2:7" x14ac:dyDescent="0.3">
      <c r="B800" s="17"/>
      <c r="C800" s="1"/>
      <c r="D800" s="1"/>
      <c r="E800" s="1"/>
      <c r="F800" s="1"/>
      <c r="G800" s="1"/>
    </row>
    <row r="801" spans="2:7" x14ac:dyDescent="0.3">
      <c r="B801" s="17"/>
      <c r="C801" s="1"/>
      <c r="D801" s="1"/>
      <c r="E801" s="1"/>
      <c r="F801" s="1"/>
      <c r="G801" s="1"/>
    </row>
    <row r="802" spans="2:7" x14ac:dyDescent="0.3">
      <c r="B802" s="17"/>
      <c r="C802" s="1"/>
      <c r="D802" s="1"/>
      <c r="E802" s="1"/>
      <c r="F802" s="1"/>
      <c r="G802" s="1"/>
    </row>
    <row r="803" spans="2:7" x14ac:dyDescent="0.3">
      <c r="B803" s="17"/>
      <c r="C803" s="1"/>
      <c r="D803" s="1"/>
      <c r="E803" s="1"/>
      <c r="F803" s="1"/>
      <c r="G803" s="1"/>
    </row>
    <row r="804" spans="2:7" x14ac:dyDescent="0.3">
      <c r="B804" s="17"/>
      <c r="C804" s="1"/>
      <c r="D804" s="1"/>
      <c r="E804" s="1"/>
      <c r="F804" s="1"/>
      <c r="G804" s="1"/>
    </row>
    <row r="805" spans="2:7" x14ac:dyDescent="0.3">
      <c r="B805" s="17"/>
      <c r="C805" s="1"/>
      <c r="D805" s="1"/>
      <c r="E805" s="1"/>
      <c r="F805" s="1"/>
      <c r="G805" s="1"/>
    </row>
    <row r="806" spans="2:7" x14ac:dyDescent="0.3">
      <c r="B806" s="17"/>
      <c r="C806" s="1"/>
      <c r="D806" s="1"/>
      <c r="E806" s="1"/>
      <c r="F806" s="1"/>
      <c r="G806" s="1"/>
    </row>
    <row r="807" spans="2:7" x14ac:dyDescent="0.3">
      <c r="B807" s="17"/>
      <c r="C807" s="1"/>
      <c r="D807" s="1"/>
      <c r="E807" s="1"/>
      <c r="F807" s="1"/>
      <c r="G807" s="1"/>
    </row>
    <row r="808" spans="2:7" x14ac:dyDescent="0.3">
      <c r="B808" s="17"/>
      <c r="C808" s="1"/>
      <c r="D808" s="1"/>
      <c r="E808" s="1"/>
      <c r="F808" s="1"/>
      <c r="G808" s="1"/>
    </row>
    <row r="809" spans="2:7" x14ac:dyDescent="0.3">
      <c r="B809" s="17"/>
      <c r="C809" s="1"/>
      <c r="D809" s="1"/>
      <c r="E809" s="1"/>
      <c r="F809" s="1"/>
      <c r="G809" s="1"/>
    </row>
    <row r="810" spans="2:7" x14ac:dyDescent="0.3">
      <c r="B810" s="17"/>
      <c r="C810" s="1"/>
      <c r="D810" s="1"/>
      <c r="E810" s="1"/>
      <c r="F810" s="1"/>
      <c r="G810" s="1"/>
    </row>
    <row r="811" spans="2:7" x14ac:dyDescent="0.3">
      <c r="B811" s="17"/>
      <c r="C811" s="1"/>
      <c r="D811" s="1"/>
      <c r="E811" s="1"/>
      <c r="F811" s="1"/>
      <c r="G811" s="1"/>
    </row>
    <row r="812" spans="2:7" x14ac:dyDescent="0.3">
      <c r="B812" s="17"/>
      <c r="C812" s="1"/>
      <c r="D812" s="1"/>
      <c r="E812" s="1"/>
      <c r="F812" s="1"/>
      <c r="G812" s="1"/>
    </row>
    <row r="813" spans="2:7" x14ac:dyDescent="0.3">
      <c r="B813" s="17"/>
      <c r="C813" s="1"/>
      <c r="D813" s="1"/>
      <c r="E813" s="1"/>
      <c r="F813" s="1"/>
      <c r="G813" s="1"/>
    </row>
    <row r="814" spans="2:7" x14ac:dyDescent="0.3">
      <c r="B814" s="17"/>
      <c r="C814" s="1"/>
      <c r="D814" s="1"/>
      <c r="E814" s="1"/>
      <c r="F814" s="1"/>
      <c r="G814" s="1"/>
    </row>
    <row r="815" spans="2:7" x14ac:dyDescent="0.3">
      <c r="B815" s="17"/>
      <c r="C815" s="1"/>
      <c r="D815" s="1"/>
      <c r="E815" s="1"/>
      <c r="F815" s="1"/>
      <c r="G815" s="1"/>
    </row>
    <row r="816" spans="2:7" x14ac:dyDescent="0.3">
      <c r="B816" s="17"/>
      <c r="C816" s="1"/>
      <c r="D816" s="1"/>
      <c r="E816" s="1"/>
      <c r="F816" s="1"/>
      <c r="G816" s="1"/>
    </row>
    <row r="817" spans="2:7" x14ac:dyDescent="0.3">
      <c r="B817" s="17"/>
      <c r="C817" s="1"/>
      <c r="D817" s="1"/>
      <c r="E817" s="1"/>
      <c r="F817" s="1"/>
      <c r="G817" s="1"/>
    </row>
    <row r="818" spans="2:7" x14ac:dyDescent="0.3">
      <c r="B818" s="17"/>
      <c r="C818" s="1"/>
      <c r="D818" s="1"/>
      <c r="E818" s="1"/>
      <c r="F818" s="1"/>
      <c r="G818" s="1"/>
    </row>
    <row r="819" spans="2:7" x14ac:dyDescent="0.3">
      <c r="B819" s="17"/>
      <c r="C819" s="1"/>
      <c r="D819" s="1"/>
      <c r="E819" s="1"/>
      <c r="F819" s="1"/>
      <c r="G819" s="1"/>
    </row>
    <row r="820" spans="2:7" x14ac:dyDescent="0.3">
      <c r="B820" s="17"/>
      <c r="C820" s="1"/>
      <c r="D820" s="1"/>
      <c r="E820" s="1"/>
      <c r="F820" s="1"/>
      <c r="G820" s="1"/>
    </row>
    <row r="821" spans="2:7" x14ac:dyDescent="0.3">
      <c r="B821" s="17"/>
      <c r="C821" s="1"/>
      <c r="D821" s="1"/>
      <c r="E821" s="1"/>
      <c r="F821" s="1"/>
      <c r="G821" s="1"/>
    </row>
    <row r="822" spans="2:7" x14ac:dyDescent="0.3">
      <c r="B822" s="17"/>
      <c r="C822" s="1"/>
      <c r="D822" s="1"/>
      <c r="E822" s="1"/>
      <c r="F822" s="1"/>
      <c r="G822" s="1"/>
    </row>
    <row r="823" spans="2:7" x14ac:dyDescent="0.3">
      <c r="B823" s="17"/>
      <c r="C823" s="1"/>
      <c r="D823" s="1"/>
      <c r="E823" s="1"/>
      <c r="F823" s="1"/>
      <c r="G823" s="1"/>
    </row>
    <row r="824" spans="2:7" x14ac:dyDescent="0.3">
      <c r="B824" s="17"/>
      <c r="C824" s="1"/>
      <c r="D824" s="1"/>
      <c r="E824" s="1"/>
      <c r="F824" s="1"/>
      <c r="G824" s="1"/>
    </row>
    <row r="825" spans="2:7" x14ac:dyDescent="0.3">
      <c r="B825" s="17"/>
      <c r="C825" s="1"/>
      <c r="D825" s="1"/>
      <c r="E825" s="1"/>
      <c r="F825" s="1"/>
      <c r="G825" s="1"/>
    </row>
    <row r="826" spans="2:7" x14ac:dyDescent="0.3">
      <c r="B826" s="17"/>
      <c r="C826" s="1"/>
      <c r="D826" s="1"/>
      <c r="E826" s="1"/>
      <c r="F826" s="1"/>
      <c r="G826" s="1"/>
    </row>
    <row r="827" spans="2:7" x14ac:dyDescent="0.3">
      <c r="B827" s="17"/>
      <c r="C827" s="1"/>
      <c r="D827" s="1"/>
      <c r="E827" s="1"/>
      <c r="F827" s="1"/>
      <c r="G827" s="1"/>
    </row>
    <row r="828" spans="2:7" x14ac:dyDescent="0.3">
      <c r="B828" s="17"/>
      <c r="C828" s="1"/>
      <c r="D828" s="1"/>
      <c r="E828" s="1"/>
      <c r="F828" s="1"/>
      <c r="G828" s="1"/>
    </row>
    <row r="829" spans="2:7" x14ac:dyDescent="0.3">
      <c r="B829" s="17"/>
      <c r="C829" s="1"/>
      <c r="D829" s="1"/>
      <c r="E829" s="1"/>
      <c r="F829" s="1"/>
      <c r="G829" s="1"/>
    </row>
    <row r="830" spans="2:7" x14ac:dyDescent="0.3">
      <c r="B830" s="17"/>
      <c r="C830" s="1"/>
      <c r="D830" s="1"/>
      <c r="E830" s="1"/>
      <c r="F830" s="1"/>
      <c r="G830" s="1"/>
    </row>
    <row r="831" spans="2:7" x14ac:dyDescent="0.3">
      <c r="B831" s="17"/>
      <c r="C831" s="1"/>
      <c r="D831" s="1"/>
      <c r="E831" s="1"/>
      <c r="F831" s="1"/>
      <c r="G831" s="1"/>
    </row>
    <row r="832" spans="2:7" x14ac:dyDescent="0.3">
      <c r="B832" s="17"/>
      <c r="C832" s="1"/>
      <c r="D832" s="1"/>
      <c r="E832" s="1"/>
      <c r="F832" s="1"/>
      <c r="G832" s="1"/>
    </row>
    <row r="833" spans="2:7" x14ac:dyDescent="0.3">
      <c r="B833" s="17"/>
      <c r="C833" s="1"/>
      <c r="D833" s="1"/>
      <c r="E833" s="1"/>
      <c r="F833" s="1"/>
      <c r="G833" s="1"/>
    </row>
    <row r="834" spans="2:7" x14ac:dyDescent="0.3">
      <c r="B834" s="17"/>
      <c r="C834" s="1"/>
      <c r="D834" s="1"/>
      <c r="E834" s="1"/>
      <c r="F834" s="1"/>
      <c r="G834" s="1"/>
    </row>
    <row r="835" spans="2:7" x14ac:dyDescent="0.3">
      <c r="B835" s="17"/>
      <c r="C835" s="1"/>
      <c r="D835" s="1"/>
      <c r="E835" s="1"/>
      <c r="F835" s="1"/>
      <c r="G835" s="1"/>
    </row>
    <row r="836" spans="2:7" x14ac:dyDescent="0.3">
      <c r="B836" s="17"/>
      <c r="C836" s="1"/>
      <c r="D836" s="1"/>
      <c r="E836" s="1"/>
      <c r="F836" s="1"/>
      <c r="G836" s="1"/>
    </row>
    <row r="837" spans="2:7" x14ac:dyDescent="0.3">
      <c r="B837" s="17"/>
      <c r="C837" s="1"/>
      <c r="D837" s="1"/>
      <c r="E837" s="1"/>
      <c r="F837" s="1"/>
      <c r="G837" s="1"/>
    </row>
    <row r="838" spans="2:7" x14ac:dyDescent="0.3">
      <c r="B838" s="17"/>
      <c r="C838" s="1"/>
      <c r="D838" s="1"/>
      <c r="E838" s="1"/>
      <c r="F838" s="1"/>
      <c r="G838" s="1"/>
    </row>
    <row r="839" spans="2:7" x14ac:dyDescent="0.3">
      <c r="B839" s="17"/>
      <c r="C839" s="1"/>
      <c r="D839" s="1"/>
      <c r="E839" s="1"/>
      <c r="F839" s="1"/>
      <c r="G839" s="1"/>
    </row>
    <row r="840" spans="2:7" x14ac:dyDescent="0.3">
      <c r="B840" s="17"/>
      <c r="C840" s="1"/>
      <c r="D840" s="1"/>
      <c r="E840" s="1"/>
      <c r="F840" s="1"/>
      <c r="G840" s="1"/>
    </row>
    <row r="841" spans="2:7" x14ac:dyDescent="0.3">
      <c r="B841" s="17"/>
      <c r="C841" s="1"/>
      <c r="D841" s="1"/>
      <c r="E841" s="1"/>
      <c r="F841" s="1"/>
      <c r="G841" s="1"/>
    </row>
    <row r="842" spans="2:7" x14ac:dyDescent="0.3">
      <c r="B842" s="17"/>
      <c r="C842" s="1"/>
      <c r="D842" s="1"/>
      <c r="E842" s="1"/>
      <c r="F842" s="1"/>
      <c r="G842" s="1"/>
    </row>
    <row r="843" spans="2:7" x14ac:dyDescent="0.3">
      <c r="B843" s="17"/>
      <c r="C843" s="1"/>
      <c r="D843" s="1"/>
      <c r="E843" s="1"/>
      <c r="F843" s="1"/>
      <c r="G843" s="1"/>
    </row>
    <row r="844" spans="2:7" x14ac:dyDescent="0.3">
      <c r="B844" s="17"/>
      <c r="C844" s="1"/>
      <c r="D844" s="1"/>
      <c r="E844" s="1"/>
      <c r="F844" s="1"/>
      <c r="G844" s="1"/>
    </row>
    <row r="845" spans="2:7" x14ac:dyDescent="0.3">
      <c r="B845" s="17"/>
      <c r="C845" s="1"/>
      <c r="D845" s="1"/>
      <c r="E845" s="1"/>
      <c r="F845" s="1"/>
      <c r="G845" s="1"/>
    </row>
    <row r="846" spans="2:7" x14ac:dyDescent="0.3">
      <c r="B846" s="17"/>
      <c r="C846" s="1"/>
      <c r="D846" s="1"/>
      <c r="E846" s="1"/>
      <c r="F846" s="1"/>
      <c r="G846" s="1"/>
    </row>
    <row r="847" spans="2:7" x14ac:dyDescent="0.3">
      <c r="B847" s="17"/>
      <c r="C847" s="1"/>
      <c r="D847" s="1"/>
      <c r="E847" s="1"/>
      <c r="F847" s="1"/>
      <c r="G847" s="1"/>
    </row>
    <row r="848" spans="2:7" x14ac:dyDescent="0.3">
      <c r="B848" s="17"/>
      <c r="C848" s="1"/>
      <c r="D848" s="1"/>
      <c r="E848" s="1"/>
      <c r="F848" s="1"/>
      <c r="G848" s="1"/>
    </row>
    <row r="849" spans="2:7" x14ac:dyDescent="0.3">
      <c r="B849" s="17"/>
      <c r="C849" s="1"/>
      <c r="D849" s="1"/>
      <c r="E849" s="1"/>
      <c r="F849" s="1"/>
      <c r="G849" s="1"/>
    </row>
    <row r="850" spans="2:7" x14ac:dyDescent="0.3">
      <c r="B850" s="17"/>
      <c r="C850" s="1"/>
      <c r="D850" s="1"/>
      <c r="E850" s="1"/>
      <c r="F850" s="1"/>
      <c r="G850" s="1"/>
    </row>
    <row r="851" spans="2:7" x14ac:dyDescent="0.3">
      <c r="B851" s="17"/>
      <c r="C851" s="1"/>
      <c r="D851" s="1"/>
      <c r="E851" s="1"/>
      <c r="F851" s="1"/>
      <c r="G851" s="1"/>
    </row>
    <row r="852" spans="2:7" x14ac:dyDescent="0.3">
      <c r="B852" s="17"/>
      <c r="C852" s="1"/>
      <c r="D852" s="1"/>
      <c r="E852" s="1"/>
      <c r="F852" s="1"/>
      <c r="G852" s="1"/>
    </row>
    <row r="853" spans="2:7" x14ac:dyDescent="0.3">
      <c r="B853" s="17"/>
      <c r="C853" s="1"/>
      <c r="D853" s="1"/>
      <c r="E853" s="1"/>
      <c r="F853" s="1"/>
      <c r="G853" s="1"/>
    </row>
    <row r="854" spans="2:7" x14ac:dyDescent="0.3">
      <c r="B854" s="17"/>
      <c r="C854" s="1"/>
      <c r="D854" s="1"/>
      <c r="E854" s="1"/>
      <c r="F854" s="1"/>
      <c r="G854" s="1"/>
    </row>
    <row r="855" spans="2:7" x14ac:dyDescent="0.3">
      <c r="B855" s="17"/>
      <c r="C855" s="1"/>
      <c r="D855" s="1"/>
      <c r="E855" s="1"/>
      <c r="F855" s="1"/>
      <c r="G855" s="1"/>
    </row>
    <row r="856" spans="2:7" x14ac:dyDescent="0.3">
      <c r="B856" s="17"/>
      <c r="C856" s="1"/>
      <c r="D856" s="1"/>
      <c r="E856" s="1"/>
      <c r="F856" s="1"/>
      <c r="G856" s="1"/>
    </row>
    <row r="857" spans="2:7" x14ac:dyDescent="0.3">
      <c r="B857" s="17"/>
      <c r="C857" s="1"/>
      <c r="D857" s="1"/>
      <c r="E857" s="1"/>
      <c r="F857" s="1"/>
      <c r="G857" s="1"/>
    </row>
    <row r="858" spans="2:7" x14ac:dyDescent="0.3">
      <c r="B858" s="17"/>
      <c r="C858" s="1"/>
      <c r="D858" s="1"/>
      <c r="E858" s="1"/>
      <c r="F858" s="1"/>
      <c r="G858" s="1"/>
    </row>
    <row r="859" spans="2:7" x14ac:dyDescent="0.3">
      <c r="B859" s="17"/>
      <c r="C859" s="1"/>
      <c r="D859" s="1"/>
      <c r="E859" s="1"/>
      <c r="F859" s="1"/>
      <c r="G859" s="1"/>
    </row>
    <row r="860" spans="2:7" x14ac:dyDescent="0.3">
      <c r="B860" s="17"/>
      <c r="C860" s="1"/>
      <c r="D860" s="1"/>
      <c r="E860" s="1"/>
      <c r="F860" s="1"/>
      <c r="G860" s="1"/>
    </row>
    <row r="861" spans="2:7" x14ac:dyDescent="0.3">
      <c r="B861" s="17"/>
      <c r="C861" s="1"/>
      <c r="D861" s="1"/>
      <c r="E861" s="1"/>
      <c r="F861" s="1"/>
      <c r="G861" s="1"/>
    </row>
    <row r="862" spans="2:7" x14ac:dyDescent="0.3">
      <c r="B862" s="17"/>
      <c r="C862" s="1"/>
      <c r="D862" s="1"/>
      <c r="E862" s="1"/>
      <c r="F862" s="1"/>
      <c r="G862" s="1"/>
    </row>
    <row r="863" spans="2:7" x14ac:dyDescent="0.3">
      <c r="B863" s="17"/>
      <c r="C863" s="1"/>
      <c r="D863" s="1"/>
      <c r="E863" s="1"/>
      <c r="F863" s="1"/>
      <c r="G863" s="1"/>
    </row>
    <row r="864" spans="2:7" x14ac:dyDescent="0.3">
      <c r="B864" s="17"/>
      <c r="C864" s="1"/>
      <c r="D864" s="1"/>
      <c r="E864" s="1"/>
      <c r="F864" s="1"/>
      <c r="G864" s="1"/>
    </row>
    <row r="865" spans="2:7" x14ac:dyDescent="0.3">
      <c r="B865" s="17"/>
      <c r="C865" s="1"/>
      <c r="D865" s="1"/>
      <c r="E865" s="1"/>
      <c r="F865" s="1"/>
      <c r="G865" s="1"/>
    </row>
    <row r="866" spans="2:7" x14ac:dyDescent="0.3">
      <c r="B866" s="17"/>
      <c r="C866" s="1"/>
      <c r="D866" s="1"/>
      <c r="E866" s="1"/>
      <c r="F866" s="1"/>
      <c r="G866" s="1"/>
    </row>
    <row r="867" spans="2:7" x14ac:dyDescent="0.3">
      <c r="B867" s="17"/>
      <c r="C867" s="1"/>
      <c r="D867" s="1"/>
      <c r="E867" s="1"/>
      <c r="F867" s="1"/>
      <c r="G867" s="1"/>
    </row>
    <row r="868" spans="2:7" x14ac:dyDescent="0.3">
      <c r="B868" s="17"/>
      <c r="C868" s="1"/>
      <c r="D868" s="1"/>
      <c r="E868" s="1"/>
      <c r="F868" s="1"/>
      <c r="G868" s="1"/>
    </row>
    <row r="869" spans="2:7" x14ac:dyDescent="0.3">
      <c r="B869" s="17"/>
      <c r="C869" s="1"/>
      <c r="D869" s="1"/>
      <c r="E869" s="1"/>
      <c r="F869" s="1"/>
      <c r="G869" s="1"/>
    </row>
    <row r="870" spans="2:7" x14ac:dyDescent="0.3">
      <c r="B870" s="17"/>
      <c r="C870" s="1"/>
      <c r="D870" s="1"/>
      <c r="E870" s="1"/>
      <c r="F870" s="1"/>
      <c r="G870" s="1"/>
    </row>
    <row r="871" spans="2:7" x14ac:dyDescent="0.3">
      <c r="B871" s="17"/>
      <c r="C871" s="1"/>
      <c r="D871" s="1"/>
      <c r="E871" s="1"/>
      <c r="F871" s="1"/>
      <c r="G871" s="1"/>
    </row>
    <row r="872" spans="2:7" x14ac:dyDescent="0.3">
      <c r="B872" s="17"/>
      <c r="C872" s="1"/>
      <c r="D872" s="1"/>
      <c r="E872" s="1"/>
      <c r="F872" s="1"/>
      <c r="G872" s="1"/>
    </row>
    <row r="873" spans="2:7" x14ac:dyDescent="0.3">
      <c r="B873" s="17"/>
      <c r="C873" s="1"/>
      <c r="D873" s="1"/>
      <c r="E873" s="1"/>
      <c r="F873" s="1"/>
      <c r="G873" s="1"/>
    </row>
    <row r="874" spans="2:7" x14ac:dyDescent="0.3">
      <c r="B874" s="17"/>
      <c r="C874" s="1"/>
      <c r="D874" s="1"/>
      <c r="E874" s="1"/>
      <c r="F874" s="1"/>
      <c r="G874" s="1"/>
    </row>
    <row r="875" spans="2:7" x14ac:dyDescent="0.3">
      <c r="B875" s="17"/>
      <c r="C875" s="1"/>
      <c r="D875" s="1"/>
      <c r="E875" s="1"/>
      <c r="F875" s="1"/>
      <c r="G875" s="1"/>
    </row>
    <row r="876" spans="2:7" x14ac:dyDescent="0.3">
      <c r="B876" s="17"/>
      <c r="C876" s="1"/>
      <c r="D876" s="1"/>
      <c r="E876" s="1"/>
      <c r="F876" s="1"/>
      <c r="G876" s="1"/>
    </row>
    <row r="877" spans="2:7" x14ac:dyDescent="0.3">
      <c r="B877" s="17"/>
      <c r="C877" s="1"/>
      <c r="D877" s="1"/>
      <c r="E877" s="1"/>
      <c r="F877" s="1"/>
      <c r="G877" s="1"/>
    </row>
    <row r="878" spans="2:7" x14ac:dyDescent="0.3">
      <c r="B878" s="17"/>
      <c r="C878" s="1"/>
      <c r="D878" s="1"/>
      <c r="E878" s="1"/>
      <c r="F878" s="1"/>
      <c r="G878" s="1"/>
    </row>
    <row r="879" spans="2:7" x14ac:dyDescent="0.3">
      <c r="B879" s="17"/>
      <c r="C879" s="1"/>
      <c r="D879" s="1"/>
      <c r="E879" s="1"/>
      <c r="F879" s="1"/>
      <c r="G879" s="1"/>
    </row>
    <row r="880" spans="2:7" x14ac:dyDescent="0.3">
      <c r="B880" s="17"/>
      <c r="C880" s="1"/>
      <c r="D880" s="1"/>
      <c r="E880" s="1"/>
      <c r="F880" s="1"/>
      <c r="G880" s="1"/>
    </row>
    <row r="881" spans="2:7" x14ac:dyDescent="0.3">
      <c r="B881" s="17"/>
      <c r="C881" s="1"/>
      <c r="D881" s="1"/>
      <c r="E881" s="1"/>
      <c r="F881" s="1"/>
      <c r="G881" s="1"/>
    </row>
    <row r="882" spans="2:7" x14ac:dyDescent="0.3">
      <c r="B882" s="17"/>
      <c r="C882" s="1"/>
      <c r="D882" s="1"/>
      <c r="E882" s="1"/>
      <c r="F882" s="1"/>
      <c r="G882" s="1"/>
    </row>
    <row r="883" spans="2:7" x14ac:dyDescent="0.3">
      <c r="B883" s="17"/>
      <c r="C883" s="1"/>
      <c r="D883" s="1"/>
      <c r="E883" s="1"/>
      <c r="F883" s="1"/>
      <c r="G883" s="1"/>
    </row>
    <row r="884" spans="2:7" x14ac:dyDescent="0.3">
      <c r="B884" s="17"/>
      <c r="C884" s="1"/>
      <c r="D884" s="1"/>
      <c r="E884" s="1"/>
      <c r="F884" s="1"/>
      <c r="G884" s="1"/>
    </row>
    <row r="885" spans="2:7" x14ac:dyDescent="0.3">
      <c r="B885" s="17"/>
      <c r="C885" s="1"/>
      <c r="D885" s="1"/>
      <c r="E885" s="1"/>
      <c r="F885" s="1"/>
      <c r="G885" s="1"/>
    </row>
    <row r="886" spans="2:7" x14ac:dyDescent="0.3">
      <c r="B886" s="17"/>
      <c r="C886" s="1"/>
      <c r="D886" s="1"/>
      <c r="E886" s="1"/>
      <c r="F886" s="1"/>
      <c r="G886" s="1"/>
    </row>
    <row r="887" spans="2:7" x14ac:dyDescent="0.3">
      <c r="B887" s="17"/>
      <c r="C887" s="1"/>
      <c r="D887" s="1"/>
      <c r="E887" s="1"/>
      <c r="F887" s="1"/>
      <c r="G887" s="1"/>
    </row>
    <row r="888" spans="2:7" x14ac:dyDescent="0.3">
      <c r="B888" s="17"/>
      <c r="C888" s="1"/>
      <c r="D888" s="1"/>
      <c r="E888" s="1"/>
      <c r="F888" s="1"/>
      <c r="G888" s="1"/>
    </row>
    <row r="889" spans="2:7" x14ac:dyDescent="0.3">
      <c r="B889" s="17"/>
      <c r="C889" s="1"/>
      <c r="D889" s="1"/>
      <c r="E889" s="1"/>
      <c r="F889" s="1"/>
      <c r="G889" s="1"/>
    </row>
    <row r="890" spans="2:7" x14ac:dyDescent="0.3">
      <c r="B890" s="17"/>
      <c r="C890" s="1"/>
      <c r="D890" s="1"/>
      <c r="E890" s="1"/>
      <c r="F890" s="1"/>
      <c r="G890" s="1"/>
    </row>
    <row r="891" spans="2:7" x14ac:dyDescent="0.3">
      <c r="B891" s="17"/>
      <c r="C891" s="1"/>
      <c r="D891" s="1"/>
      <c r="E891" s="1"/>
      <c r="F891" s="1"/>
      <c r="G891" s="1"/>
    </row>
    <row r="892" spans="2:7" x14ac:dyDescent="0.3">
      <c r="B892" s="17"/>
      <c r="C892" s="1"/>
      <c r="D892" s="1"/>
      <c r="E892" s="1"/>
      <c r="F892" s="1"/>
      <c r="G892" s="1"/>
    </row>
    <row r="893" spans="2:7" x14ac:dyDescent="0.3">
      <c r="B893" s="17"/>
      <c r="C893" s="1"/>
      <c r="D893" s="1"/>
      <c r="E893" s="1"/>
      <c r="F893" s="1"/>
      <c r="G893" s="1"/>
    </row>
    <row r="894" spans="2:7" x14ac:dyDescent="0.3">
      <c r="B894" s="17"/>
      <c r="C894" s="1"/>
      <c r="D894" s="1"/>
      <c r="E894" s="1"/>
      <c r="F894" s="1"/>
      <c r="G894" s="1"/>
    </row>
    <row r="895" spans="2:7" x14ac:dyDescent="0.3">
      <c r="B895" s="17"/>
      <c r="C895" s="1"/>
      <c r="D895" s="1"/>
      <c r="E895" s="1"/>
      <c r="F895" s="1"/>
      <c r="G895" s="1"/>
    </row>
    <row r="896" spans="2:7" x14ac:dyDescent="0.3">
      <c r="B896" s="17"/>
      <c r="C896" s="1"/>
      <c r="D896" s="1"/>
      <c r="E896" s="1"/>
      <c r="F896" s="1"/>
      <c r="G896" s="1"/>
    </row>
    <row r="897" spans="2:7" x14ac:dyDescent="0.3">
      <c r="B897" s="17"/>
      <c r="C897" s="1"/>
      <c r="D897" s="1"/>
      <c r="E897" s="1"/>
      <c r="F897" s="1"/>
      <c r="G897" s="1"/>
    </row>
    <row r="898" spans="2:7" x14ac:dyDescent="0.3">
      <c r="B898" s="17"/>
      <c r="C898" s="1"/>
      <c r="D898" s="1"/>
      <c r="E898" s="1"/>
      <c r="F898" s="1"/>
      <c r="G898" s="1"/>
    </row>
    <row r="899" spans="2:7" x14ac:dyDescent="0.3">
      <c r="B899" s="17"/>
      <c r="C899" s="1"/>
      <c r="D899" s="1"/>
      <c r="E899" s="1"/>
      <c r="F899" s="1"/>
      <c r="G899" s="1"/>
    </row>
    <row r="900" spans="2:7" x14ac:dyDescent="0.3">
      <c r="B900" s="17"/>
      <c r="C900" s="1"/>
      <c r="D900" s="1"/>
      <c r="E900" s="1"/>
      <c r="F900" s="1"/>
      <c r="G900" s="1"/>
    </row>
    <row r="901" spans="2:7" x14ac:dyDescent="0.3">
      <c r="B901" s="17"/>
      <c r="C901" s="1"/>
      <c r="D901" s="1"/>
      <c r="E901" s="1"/>
      <c r="F901" s="1"/>
      <c r="G901" s="1"/>
    </row>
    <row r="902" spans="2:7" x14ac:dyDescent="0.3">
      <c r="B902" s="17"/>
      <c r="C902" s="1"/>
      <c r="D902" s="1"/>
      <c r="E902" s="1"/>
      <c r="F902" s="1"/>
      <c r="G902" s="1"/>
    </row>
    <row r="903" spans="2:7" x14ac:dyDescent="0.3">
      <c r="B903" s="17"/>
      <c r="C903" s="1"/>
      <c r="D903" s="1"/>
      <c r="E903" s="1"/>
      <c r="F903" s="1"/>
      <c r="G903" s="1"/>
    </row>
    <row r="904" spans="2:7" x14ac:dyDescent="0.3">
      <c r="B904" s="17"/>
      <c r="C904" s="1"/>
      <c r="D904" s="1"/>
      <c r="E904" s="1"/>
      <c r="F904" s="1"/>
      <c r="G904" s="1"/>
    </row>
    <row r="905" spans="2:7" x14ac:dyDescent="0.3">
      <c r="B905" s="17"/>
      <c r="C905" s="1"/>
      <c r="D905" s="1"/>
      <c r="E905" s="1"/>
      <c r="F905" s="1"/>
      <c r="G905" s="1"/>
    </row>
    <row r="906" spans="2:7" x14ac:dyDescent="0.3">
      <c r="B906" s="17"/>
      <c r="C906" s="1"/>
      <c r="D906" s="1"/>
      <c r="E906" s="1"/>
      <c r="F906" s="1"/>
      <c r="G906" s="1"/>
    </row>
    <row r="907" spans="2:7" x14ac:dyDescent="0.3">
      <c r="B907" s="17"/>
      <c r="C907" s="1"/>
      <c r="D907" s="1"/>
      <c r="E907" s="1"/>
      <c r="F907" s="1"/>
      <c r="G907" s="1"/>
    </row>
    <row r="908" spans="2:7" x14ac:dyDescent="0.3">
      <c r="B908" s="17"/>
      <c r="C908" s="1"/>
      <c r="D908" s="1"/>
      <c r="E908" s="1"/>
      <c r="F908" s="1"/>
      <c r="G908" s="1"/>
    </row>
    <row r="909" spans="2:7" x14ac:dyDescent="0.3">
      <c r="B909" s="17"/>
      <c r="C909" s="1"/>
      <c r="D909" s="1"/>
      <c r="E909" s="1"/>
      <c r="F909" s="1"/>
      <c r="G909" s="1"/>
    </row>
    <row r="910" spans="2:7" x14ac:dyDescent="0.3">
      <c r="B910" s="17"/>
      <c r="C910" s="1"/>
      <c r="D910" s="1"/>
      <c r="E910" s="1"/>
      <c r="F910" s="1"/>
      <c r="G910" s="1"/>
    </row>
    <row r="911" spans="2:7" x14ac:dyDescent="0.3">
      <c r="B911" s="17"/>
      <c r="C911" s="1"/>
      <c r="D911" s="1"/>
      <c r="E911" s="1"/>
      <c r="F911" s="1"/>
      <c r="G911" s="1"/>
    </row>
    <row r="912" spans="2:7" x14ac:dyDescent="0.3">
      <c r="B912" s="17"/>
      <c r="C912" s="1"/>
      <c r="D912" s="1"/>
      <c r="E912" s="1"/>
      <c r="F912" s="1"/>
      <c r="G912" s="1"/>
    </row>
    <row r="913" spans="2:7" x14ac:dyDescent="0.3">
      <c r="B913" s="17"/>
      <c r="C913" s="1"/>
      <c r="D913" s="1"/>
      <c r="E913" s="1"/>
      <c r="F913" s="1"/>
      <c r="G913" s="1"/>
    </row>
    <row r="914" spans="2:7" x14ac:dyDescent="0.3">
      <c r="B914" s="17"/>
      <c r="C914" s="1"/>
      <c r="D914" s="1"/>
      <c r="E914" s="1"/>
      <c r="F914" s="1"/>
      <c r="G914" s="1"/>
    </row>
    <row r="915" spans="2:7" x14ac:dyDescent="0.3">
      <c r="B915" s="17"/>
      <c r="C915" s="1"/>
      <c r="D915" s="1"/>
      <c r="E915" s="1"/>
      <c r="F915" s="1"/>
      <c r="G915" s="1"/>
    </row>
    <row r="916" spans="2:7" x14ac:dyDescent="0.3">
      <c r="B916" s="17"/>
      <c r="C916" s="1"/>
      <c r="D916" s="1"/>
      <c r="E916" s="1"/>
      <c r="F916" s="1"/>
      <c r="G916" s="1"/>
    </row>
    <row r="917" spans="2:7" x14ac:dyDescent="0.3">
      <c r="B917" s="17"/>
      <c r="C917" s="1"/>
      <c r="D917" s="1"/>
      <c r="E917" s="1"/>
      <c r="F917" s="1"/>
      <c r="G917" s="1"/>
    </row>
    <row r="918" spans="2:7" x14ac:dyDescent="0.3">
      <c r="B918" s="17"/>
      <c r="C918" s="1"/>
      <c r="D918" s="1"/>
      <c r="E918" s="1"/>
      <c r="F918" s="1"/>
      <c r="G918" s="1"/>
    </row>
    <row r="919" spans="2:7" x14ac:dyDescent="0.3">
      <c r="B919" s="17"/>
      <c r="C919" s="1"/>
      <c r="D919" s="1"/>
      <c r="E919" s="1"/>
      <c r="F919" s="1"/>
      <c r="G919" s="1"/>
    </row>
    <row r="920" spans="2:7" x14ac:dyDescent="0.3">
      <c r="B920" s="17"/>
      <c r="C920" s="1"/>
      <c r="D920" s="1"/>
      <c r="E920" s="1"/>
      <c r="F920" s="1"/>
      <c r="G920" s="1"/>
    </row>
    <row r="921" spans="2:7" x14ac:dyDescent="0.3">
      <c r="B921" s="17"/>
      <c r="C921" s="1"/>
      <c r="D921" s="1"/>
      <c r="E921" s="1"/>
      <c r="F921" s="1"/>
      <c r="G921" s="1"/>
    </row>
    <row r="922" spans="2:7" x14ac:dyDescent="0.3">
      <c r="B922" s="17"/>
      <c r="C922" s="1"/>
      <c r="D922" s="1"/>
      <c r="E922" s="1"/>
      <c r="F922" s="1"/>
      <c r="G922" s="1"/>
    </row>
    <row r="923" spans="2:7" x14ac:dyDescent="0.3">
      <c r="B923" s="17"/>
      <c r="C923" s="1"/>
      <c r="D923" s="1"/>
      <c r="E923" s="1"/>
      <c r="F923" s="1"/>
      <c r="G923" s="1"/>
    </row>
    <row r="924" spans="2:7" x14ac:dyDescent="0.3">
      <c r="B924" s="17"/>
      <c r="C924" s="1"/>
      <c r="D924" s="1"/>
      <c r="E924" s="1"/>
      <c r="F924" s="1"/>
      <c r="G924" s="1"/>
    </row>
    <row r="925" spans="2:7" x14ac:dyDescent="0.3">
      <c r="B925" s="17"/>
      <c r="C925" s="1"/>
      <c r="D925" s="1"/>
      <c r="E925" s="1"/>
      <c r="F925" s="1"/>
      <c r="G925" s="1"/>
    </row>
    <row r="926" spans="2:7" x14ac:dyDescent="0.3">
      <c r="B926" s="17"/>
      <c r="C926" s="1"/>
      <c r="D926" s="1"/>
      <c r="E926" s="1"/>
      <c r="F926" s="1"/>
      <c r="G926" s="1"/>
    </row>
    <row r="927" spans="2:7" x14ac:dyDescent="0.3">
      <c r="B927" s="17"/>
      <c r="C927" s="1"/>
      <c r="D927" s="1"/>
      <c r="E927" s="1"/>
      <c r="F927" s="1"/>
      <c r="G927" s="1"/>
    </row>
    <row r="928" spans="2:7" x14ac:dyDescent="0.3">
      <c r="B928" s="17"/>
      <c r="C928" s="1"/>
      <c r="D928" s="1"/>
      <c r="E928" s="1"/>
      <c r="F928" s="1"/>
      <c r="G928" s="1"/>
    </row>
    <row r="929" spans="2:7" x14ac:dyDescent="0.3">
      <c r="B929" s="17"/>
      <c r="C929" s="1"/>
      <c r="D929" s="1"/>
      <c r="E929" s="1"/>
      <c r="F929" s="1"/>
      <c r="G929" s="1"/>
    </row>
    <row r="930" spans="2:7" x14ac:dyDescent="0.3">
      <c r="B930" s="17"/>
      <c r="C930" s="1"/>
      <c r="D930" s="1"/>
      <c r="E930" s="1"/>
      <c r="F930" s="1"/>
      <c r="G930" s="1"/>
    </row>
    <row r="931" spans="2:7" x14ac:dyDescent="0.3">
      <c r="B931" s="17"/>
      <c r="C931" s="1"/>
      <c r="D931" s="1"/>
      <c r="E931" s="1"/>
      <c r="F931" s="1"/>
      <c r="G931" s="1"/>
    </row>
    <row r="932" spans="2:7" x14ac:dyDescent="0.3">
      <c r="B932" s="17"/>
      <c r="C932" s="1"/>
      <c r="D932" s="1"/>
      <c r="E932" s="1"/>
      <c r="F932" s="1"/>
      <c r="G932" s="1"/>
    </row>
    <row r="933" spans="2:7" x14ac:dyDescent="0.3">
      <c r="B933" s="17"/>
      <c r="C933" s="1"/>
      <c r="D933" s="1"/>
      <c r="E933" s="1"/>
      <c r="F933" s="1"/>
      <c r="G933" s="1"/>
    </row>
    <row r="934" spans="2:7" x14ac:dyDescent="0.3">
      <c r="B934" s="17"/>
      <c r="C934" s="1"/>
      <c r="D934" s="1"/>
      <c r="E934" s="1"/>
      <c r="F934" s="1"/>
      <c r="G934" s="1"/>
    </row>
    <row r="935" spans="2:7" x14ac:dyDescent="0.3">
      <c r="B935" s="17"/>
      <c r="C935" s="1"/>
      <c r="D935" s="1"/>
      <c r="E935" s="1"/>
      <c r="F935" s="1"/>
      <c r="G935" s="1"/>
    </row>
    <row r="936" spans="2:7" x14ac:dyDescent="0.3">
      <c r="B936" s="17"/>
      <c r="C936" s="1"/>
      <c r="D936" s="1"/>
      <c r="E936" s="1"/>
      <c r="F936" s="1"/>
      <c r="G936" s="1"/>
    </row>
    <row r="937" spans="2:7" x14ac:dyDescent="0.3">
      <c r="B937" s="17"/>
      <c r="C937" s="1"/>
      <c r="D937" s="1"/>
      <c r="E937" s="1"/>
      <c r="F937" s="1"/>
      <c r="G937" s="1"/>
    </row>
    <row r="938" spans="2:7" x14ac:dyDescent="0.3">
      <c r="B938" s="17"/>
      <c r="C938" s="1"/>
      <c r="D938" s="1"/>
      <c r="E938" s="1"/>
      <c r="F938" s="1"/>
      <c r="G938" s="1"/>
    </row>
    <row r="939" spans="2:7" x14ac:dyDescent="0.3">
      <c r="B939" s="17"/>
      <c r="C939" s="1"/>
      <c r="D939" s="1"/>
      <c r="E939" s="1"/>
      <c r="F939" s="1"/>
      <c r="G939" s="1"/>
    </row>
    <row r="940" spans="2:7" x14ac:dyDescent="0.3">
      <c r="B940" s="17"/>
      <c r="C940" s="1"/>
      <c r="D940" s="1"/>
      <c r="E940" s="1"/>
      <c r="F940" s="1"/>
      <c r="G940" s="1"/>
    </row>
    <row r="941" spans="2:7" x14ac:dyDescent="0.3">
      <c r="B941" s="17"/>
      <c r="C941" s="1"/>
      <c r="D941" s="1"/>
      <c r="E941" s="1"/>
      <c r="F941" s="1"/>
      <c r="G941" s="1"/>
    </row>
    <row r="942" spans="2:7" x14ac:dyDescent="0.3">
      <c r="B942" s="17"/>
      <c r="C942" s="1"/>
      <c r="D942" s="1"/>
      <c r="E942" s="1"/>
      <c r="F942" s="1"/>
      <c r="G942" s="1"/>
    </row>
    <row r="943" spans="2:7" x14ac:dyDescent="0.3">
      <c r="B943" s="17"/>
      <c r="C943" s="1"/>
      <c r="D943" s="1"/>
      <c r="E943" s="1"/>
      <c r="F943" s="1"/>
      <c r="G943" s="1"/>
    </row>
    <row r="944" spans="2:7" x14ac:dyDescent="0.3">
      <c r="B944" s="17"/>
      <c r="C944" s="1"/>
      <c r="D944" s="1"/>
      <c r="E944" s="1"/>
      <c r="F944" s="1"/>
      <c r="G944" s="1"/>
    </row>
    <row r="945" spans="2:7" x14ac:dyDescent="0.3">
      <c r="B945" s="17"/>
      <c r="C945" s="1"/>
      <c r="D945" s="1"/>
      <c r="E945" s="1"/>
      <c r="F945" s="1"/>
      <c r="G945" s="1"/>
    </row>
    <row r="946" spans="2:7" x14ac:dyDescent="0.3">
      <c r="B946" s="17"/>
      <c r="C946" s="1"/>
      <c r="D946" s="1"/>
      <c r="E946" s="1"/>
      <c r="F946" s="1"/>
      <c r="G946" s="1"/>
    </row>
    <row r="947" spans="2:7" x14ac:dyDescent="0.3">
      <c r="B947" s="17"/>
      <c r="C947" s="1"/>
      <c r="D947" s="1"/>
      <c r="E947" s="1"/>
      <c r="F947" s="1"/>
      <c r="G947" s="1"/>
    </row>
    <row r="948" spans="2:7" x14ac:dyDescent="0.3">
      <c r="B948" s="17"/>
      <c r="C948" s="1"/>
      <c r="D948" s="1"/>
      <c r="E948" s="1"/>
      <c r="F948" s="1"/>
      <c r="G948" s="1"/>
    </row>
    <row r="949" spans="2:7" x14ac:dyDescent="0.3">
      <c r="B949" s="17"/>
      <c r="C949" s="1"/>
      <c r="D949" s="1"/>
      <c r="E949" s="1"/>
      <c r="F949" s="1"/>
      <c r="G949" s="1"/>
    </row>
    <row r="950" spans="2:7" x14ac:dyDescent="0.3">
      <c r="B950" s="17"/>
      <c r="C950" s="1"/>
      <c r="D950" s="1"/>
      <c r="E950" s="1"/>
      <c r="F950" s="1"/>
      <c r="G950" s="1"/>
    </row>
    <row r="951" spans="2:7" x14ac:dyDescent="0.3">
      <c r="B951" s="17"/>
      <c r="C951" s="1"/>
      <c r="D951" s="1"/>
      <c r="E951" s="1"/>
      <c r="F951" s="1"/>
      <c r="G951" s="1"/>
    </row>
    <row r="952" spans="2:7" x14ac:dyDescent="0.3">
      <c r="B952" s="17"/>
      <c r="C952" s="1"/>
      <c r="D952" s="1"/>
      <c r="E952" s="1"/>
      <c r="F952" s="1"/>
      <c r="G952" s="1"/>
    </row>
    <row r="953" spans="2:7" x14ac:dyDescent="0.3">
      <c r="B953" s="17"/>
      <c r="C953" s="1"/>
      <c r="D953" s="1"/>
      <c r="E953" s="1"/>
      <c r="F953" s="1"/>
      <c r="G953" s="1"/>
    </row>
    <row r="954" spans="2:7" x14ac:dyDescent="0.3">
      <c r="B954" s="17"/>
      <c r="C954" s="1"/>
      <c r="D954" s="1"/>
      <c r="E954" s="1"/>
      <c r="F954" s="1"/>
      <c r="G954" s="1"/>
    </row>
    <row r="955" spans="2:7" x14ac:dyDescent="0.3">
      <c r="B955" s="17"/>
      <c r="C955" s="1"/>
      <c r="D955" s="1"/>
      <c r="E955" s="1"/>
      <c r="F955" s="1"/>
      <c r="G955" s="1"/>
    </row>
    <row r="956" spans="2:7" x14ac:dyDescent="0.3">
      <c r="B956" s="17"/>
      <c r="C956" s="1"/>
      <c r="D956" s="1"/>
      <c r="E956" s="1"/>
      <c r="F956" s="1"/>
      <c r="G956" s="1"/>
    </row>
    <row r="957" spans="2:7" x14ac:dyDescent="0.3">
      <c r="B957" s="17"/>
      <c r="C957" s="1"/>
      <c r="D957" s="1"/>
      <c r="E957" s="1"/>
      <c r="F957" s="1"/>
      <c r="G957" s="1"/>
    </row>
    <row r="958" spans="2:7" x14ac:dyDescent="0.3">
      <c r="B958" s="17"/>
      <c r="C958" s="1"/>
      <c r="D958" s="1"/>
      <c r="E958" s="1"/>
      <c r="F958" s="1"/>
      <c r="G958" s="1"/>
    </row>
    <row r="959" spans="2:7" x14ac:dyDescent="0.3">
      <c r="B959" s="17"/>
      <c r="C959" s="1"/>
      <c r="D959" s="1"/>
      <c r="E959" s="1"/>
      <c r="F959" s="1"/>
      <c r="G959" s="1"/>
    </row>
    <row r="960" spans="2:7" x14ac:dyDescent="0.3">
      <c r="B960" s="17"/>
      <c r="C960" s="1"/>
      <c r="D960" s="1"/>
      <c r="E960" s="1"/>
      <c r="F960" s="1"/>
      <c r="G960" s="1"/>
    </row>
    <row r="961" spans="2:7" x14ac:dyDescent="0.3">
      <c r="B961" s="17"/>
      <c r="C961" s="1"/>
      <c r="D961" s="1"/>
      <c r="E961" s="1"/>
      <c r="F961" s="1"/>
      <c r="G961" s="1"/>
    </row>
    <row r="962" spans="2:7" x14ac:dyDescent="0.3">
      <c r="B962" s="17"/>
      <c r="C962" s="1"/>
      <c r="D962" s="1"/>
      <c r="E962" s="1"/>
      <c r="F962" s="1"/>
      <c r="G962" s="1"/>
    </row>
    <row r="963" spans="2:7" x14ac:dyDescent="0.3">
      <c r="B963" s="17"/>
      <c r="C963" s="1"/>
      <c r="D963" s="1"/>
      <c r="E963" s="1"/>
      <c r="F963" s="1"/>
      <c r="G963" s="1"/>
    </row>
    <row r="964" spans="2:7" x14ac:dyDescent="0.3">
      <c r="B964" s="17"/>
      <c r="C964" s="1"/>
      <c r="D964" s="1"/>
      <c r="E964" s="1"/>
      <c r="F964" s="1"/>
      <c r="G964" s="1"/>
    </row>
    <row r="965" spans="2:7" x14ac:dyDescent="0.3">
      <c r="B965" s="17"/>
      <c r="C965" s="1"/>
      <c r="D965" s="1"/>
      <c r="E965" s="1"/>
      <c r="F965" s="1"/>
      <c r="G965" s="1"/>
    </row>
    <row r="966" spans="2:7" x14ac:dyDescent="0.3">
      <c r="B966" s="17"/>
      <c r="C966" s="1"/>
      <c r="D966" s="1"/>
      <c r="E966" s="1"/>
      <c r="F966" s="1"/>
      <c r="G966" s="1"/>
    </row>
    <row r="967" spans="2:7" x14ac:dyDescent="0.3">
      <c r="B967" s="17"/>
      <c r="C967" s="1"/>
      <c r="D967" s="1"/>
      <c r="E967" s="1"/>
      <c r="F967" s="1"/>
      <c r="G967" s="1"/>
    </row>
    <row r="968" spans="2:7" x14ac:dyDescent="0.3">
      <c r="B968" s="17"/>
      <c r="C968" s="1"/>
      <c r="D968" s="1"/>
      <c r="E968" s="1"/>
      <c r="F968" s="1"/>
      <c r="G968" s="1"/>
    </row>
    <row r="969" spans="2:7" x14ac:dyDescent="0.3">
      <c r="B969" s="17"/>
      <c r="C969" s="1"/>
      <c r="D969" s="1"/>
      <c r="E969" s="1"/>
      <c r="F969" s="1"/>
      <c r="G969" s="1"/>
    </row>
    <row r="970" spans="2:7" x14ac:dyDescent="0.3">
      <c r="B970" s="17"/>
      <c r="C970" s="1"/>
      <c r="D970" s="1"/>
      <c r="E970" s="1"/>
      <c r="F970" s="1"/>
      <c r="G970" s="1"/>
    </row>
    <row r="971" spans="2:7" x14ac:dyDescent="0.3">
      <c r="B971" s="17"/>
      <c r="C971" s="1"/>
      <c r="D971" s="1"/>
      <c r="E971" s="1"/>
      <c r="F971" s="1"/>
      <c r="G971" s="1"/>
    </row>
    <row r="972" spans="2:7" x14ac:dyDescent="0.3">
      <c r="B972" s="17"/>
      <c r="C972" s="1"/>
      <c r="D972" s="1"/>
      <c r="E972" s="1"/>
      <c r="F972" s="1"/>
      <c r="G972" s="1"/>
    </row>
    <row r="973" spans="2:7" x14ac:dyDescent="0.3">
      <c r="B973" s="17"/>
      <c r="C973" s="1"/>
      <c r="D973" s="1"/>
      <c r="E973" s="1"/>
      <c r="F973" s="1"/>
      <c r="G973" s="1"/>
    </row>
    <row r="974" spans="2:7" x14ac:dyDescent="0.3">
      <c r="B974" s="17"/>
      <c r="C974" s="1"/>
      <c r="D974" s="1"/>
      <c r="E974" s="1"/>
      <c r="F974" s="1"/>
      <c r="G974" s="1"/>
    </row>
    <row r="975" spans="2:7" x14ac:dyDescent="0.3">
      <c r="B975" s="17"/>
      <c r="C975" s="1"/>
      <c r="D975" s="1"/>
      <c r="E975" s="1"/>
      <c r="F975" s="1"/>
      <c r="G975" s="1"/>
    </row>
    <row r="976" spans="2:7" x14ac:dyDescent="0.3">
      <c r="B976" s="17"/>
      <c r="C976" s="1"/>
      <c r="D976" s="1"/>
      <c r="E976" s="1"/>
      <c r="F976" s="1"/>
      <c r="G976" s="1"/>
    </row>
    <row r="977" spans="2:7" x14ac:dyDescent="0.3">
      <c r="B977" s="17"/>
      <c r="C977" s="1"/>
      <c r="D977" s="1"/>
      <c r="E977" s="1"/>
      <c r="F977" s="1"/>
      <c r="G977" s="1"/>
    </row>
    <row r="978" spans="2:7" x14ac:dyDescent="0.3">
      <c r="B978" s="17"/>
      <c r="C978" s="1"/>
      <c r="D978" s="1"/>
      <c r="E978" s="1"/>
      <c r="F978" s="1"/>
      <c r="G978" s="1"/>
    </row>
    <row r="979" spans="2:7" x14ac:dyDescent="0.3">
      <c r="B979" s="17"/>
      <c r="C979" s="1"/>
      <c r="D979" s="1"/>
      <c r="E979" s="1"/>
      <c r="F979" s="1"/>
      <c r="G979" s="1"/>
    </row>
    <row r="980" spans="2:7" x14ac:dyDescent="0.3">
      <c r="B980" s="17"/>
      <c r="C980" s="1"/>
      <c r="D980" s="1"/>
      <c r="E980" s="1"/>
      <c r="F980" s="1"/>
      <c r="G980" s="1"/>
    </row>
    <row r="981" spans="2:7" x14ac:dyDescent="0.3">
      <c r="B981" s="17"/>
      <c r="C981" s="1"/>
      <c r="D981" s="1"/>
      <c r="E981" s="1"/>
      <c r="F981" s="1"/>
      <c r="G981" s="1"/>
    </row>
    <row r="982" spans="2:7" x14ac:dyDescent="0.3">
      <c r="B982" s="17"/>
      <c r="C982" s="1"/>
      <c r="D982" s="1"/>
      <c r="E982" s="1"/>
      <c r="F982" s="1"/>
      <c r="G982" s="1"/>
    </row>
    <row r="983" spans="2:7" x14ac:dyDescent="0.3">
      <c r="B983" s="17"/>
      <c r="C983" s="1"/>
      <c r="D983" s="1"/>
      <c r="E983" s="1"/>
      <c r="F983" s="1"/>
      <c r="G983" s="1"/>
    </row>
    <row r="984" spans="2:7" x14ac:dyDescent="0.3">
      <c r="B984" s="17"/>
      <c r="C984" s="1"/>
      <c r="D984" s="1"/>
      <c r="E984" s="1"/>
      <c r="F984" s="1"/>
      <c r="G984" s="1"/>
    </row>
    <row r="985" spans="2:7" x14ac:dyDescent="0.3">
      <c r="B985" s="17"/>
      <c r="C985" s="1"/>
      <c r="D985" s="1"/>
      <c r="E985" s="1"/>
      <c r="F985" s="1"/>
      <c r="G985" s="1"/>
    </row>
    <row r="986" spans="2:7" x14ac:dyDescent="0.3">
      <c r="B986" s="17"/>
      <c r="C986" s="1"/>
      <c r="D986" s="1"/>
      <c r="E986" s="1"/>
      <c r="F986" s="1"/>
      <c r="G986" s="1"/>
    </row>
    <row r="987" spans="2:7" x14ac:dyDescent="0.3">
      <c r="B987" s="17"/>
      <c r="C987" s="1"/>
      <c r="D987" s="1"/>
      <c r="E987" s="1"/>
      <c r="F987" s="1"/>
      <c r="G987" s="1"/>
    </row>
    <row r="988" spans="2:7" x14ac:dyDescent="0.3">
      <c r="B988" s="17"/>
      <c r="C988" s="1"/>
      <c r="D988" s="1"/>
      <c r="E988" s="1"/>
      <c r="F988" s="1"/>
      <c r="G988" s="1"/>
    </row>
    <row r="989" spans="2:7" x14ac:dyDescent="0.3">
      <c r="B989" s="17"/>
      <c r="C989" s="1"/>
      <c r="D989" s="1"/>
      <c r="E989" s="1"/>
      <c r="F989" s="1"/>
      <c r="G989" s="1"/>
    </row>
    <row r="990" spans="2:7" x14ac:dyDescent="0.3">
      <c r="B990" s="17"/>
      <c r="C990" s="1"/>
      <c r="D990" s="1"/>
      <c r="E990" s="1"/>
      <c r="F990" s="1"/>
      <c r="G990" s="1"/>
    </row>
    <row r="991" spans="2:7" x14ac:dyDescent="0.3">
      <c r="B991" s="17"/>
      <c r="C991" s="1"/>
      <c r="D991" s="1"/>
      <c r="E991" s="1"/>
      <c r="F991" s="1"/>
      <c r="G991" s="1"/>
    </row>
    <row r="992" spans="2:7" x14ac:dyDescent="0.3">
      <c r="B992" s="17"/>
      <c r="C992" s="1"/>
      <c r="D992" s="1"/>
      <c r="E992" s="1"/>
      <c r="F992" s="1"/>
      <c r="G992" s="1"/>
    </row>
    <row r="993" spans="2:7" x14ac:dyDescent="0.3">
      <c r="B993" s="17"/>
      <c r="C993" s="1"/>
      <c r="D993" s="1"/>
      <c r="E993" s="1"/>
      <c r="F993" s="1"/>
      <c r="G993" s="1"/>
    </row>
    <row r="994" spans="2:7" x14ac:dyDescent="0.3">
      <c r="B994" s="17"/>
      <c r="C994" s="1"/>
      <c r="D994" s="1"/>
      <c r="E994" s="1"/>
      <c r="F994" s="1"/>
      <c r="G994" s="1"/>
    </row>
    <row r="995" spans="2:7" x14ac:dyDescent="0.3">
      <c r="B995" s="17"/>
      <c r="C995" s="1"/>
      <c r="D995" s="1"/>
      <c r="E995" s="1"/>
      <c r="F995" s="1"/>
      <c r="G995" s="1"/>
    </row>
    <row r="996" spans="2:7" x14ac:dyDescent="0.3">
      <c r="B996" s="17"/>
      <c r="C996" s="1"/>
      <c r="D996" s="1"/>
      <c r="E996" s="1"/>
      <c r="F996" s="1"/>
      <c r="G996" s="1"/>
    </row>
    <row r="997" spans="2:7" x14ac:dyDescent="0.3">
      <c r="B997" s="17"/>
      <c r="C997" s="1"/>
      <c r="D997" s="1"/>
      <c r="E997" s="1"/>
      <c r="F997" s="1"/>
      <c r="G997" s="1"/>
    </row>
    <row r="998" spans="2:7" x14ac:dyDescent="0.3">
      <c r="B998" s="17"/>
      <c r="C998" s="1"/>
      <c r="D998" s="1"/>
      <c r="E998" s="1"/>
      <c r="F998" s="1"/>
      <c r="G998" s="1"/>
    </row>
    <row r="999" spans="2:7" x14ac:dyDescent="0.3">
      <c r="B999" s="17"/>
      <c r="C999" s="1"/>
      <c r="D999" s="1"/>
      <c r="E999" s="1"/>
      <c r="F999" s="1"/>
      <c r="G999" s="1"/>
    </row>
    <row r="1000" spans="2:7" x14ac:dyDescent="0.3">
      <c r="B1000" s="17"/>
      <c r="C1000" s="1"/>
      <c r="D1000" s="1"/>
      <c r="E1000" s="1"/>
      <c r="F1000" s="1"/>
      <c r="G1000" s="1"/>
    </row>
    <row r="1001" spans="2:7" x14ac:dyDescent="0.3">
      <c r="B1001" s="17"/>
      <c r="C1001" s="1"/>
      <c r="D1001" s="1"/>
      <c r="E1001" s="1"/>
      <c r="F1001" s="1"/>
      <c r="G1001" s="1"/>
    </row>
    <row r="1002" spans="2:7" x14ac:dyDescent="0.3">
      <c r="B1002" s="17"/>
      <c r="C1002" s="1"/>
      <c r="D1002" s="1"/>
      <c r="E1002" s="1"/>
      <c r="F1002" s="1"/>
      <c r="G1002" s="1"/>
    </row>
    <row r="1003" spans="2:7" x14ac:dyDescent="0.3">
      <c r="B1003" s="17"/>
      <c r="C1003" s="1"/>
      <c r="D1003" s="1"/>
      <c r="E1003" s="1"/>
      <c r="F1003" s="1"/>
      <c r="G1003" s="1"/>
    </row>
    <row r="1004" spans="2:7" x14ac:dyDescent="0.3">
      <c r="B1004" s="17"/>
      <c r="C1004" s="1"/>
      <c r="D1004" s="1"/>
      <c r="E1004" s="1"/>
      <c r="F1004" s="1"/>
      <c r="G1004" s="1"/>
    </row>
    <row r="1005" spans="2:7" x14ac:dyDescent="0.3">
      <c r="B1005" s="17"/>
      <c r="C1005" s="1"/>
      <c r="D1005" s="1"/>
      <c r="E1005" s="1"/>
      <c r="F1005" s="1"/>
      <c r="G1005" s="1"/>
    </row>
    <row r="1006" spans="2:7" x14ac:dyDescent="0.3">
      <c r="B1006" s="17"/>
      <c r="C1006" s="1"/>
      <c r="D1006" s="1"/>
      <c r="E1006" s="1"/>
      <c r="F1006" s="1"/>
      <c r="G1006" s="1"/>
    </row>
    <row r="1007" spans="2:7" x14ac:dyDescent="0.3">
      <c r="B1007" s="17"/>
      <c r="C1007" s="1"/>
      <c r="D1007" s="1"/>
      <c r="E1007" s="1"/>
      <c r="F1007" s="1"/>
      <c r="G1007" s="1"/>
    </row>
    <row r="1008" spans="2:7" x14ac:dyDescent="0.3">
      <c r="B1008" s="17"/>
      <c r="C1008" s="1"/>
      <c r="D1008" s="1"/>
      <c r="E1008" s="1"/>
      <c r="F1008" s="1"/>
      <c r="G1008" s="1"/>
    </row>
    <row r="1009" spans="2:7" x14ac:dyDescent="0.3">
      <c r="B1009" s="17"/>
      <c r="C1009" s="1"/>
      <c r="D1009" s="1"/>
      <c r="E1009" s="1"/>
      <c r="F1009" s="1"/>
      <c r="G1009" s="1"/>
    </row>
    <row r="1010" spans="2:7" x14ac:dyDescent="0.3">
      <c r="B1010" s="17"/>
      <c r="C1010" s="1"/>
      <c r="D1010" s="1"/>
      <c r="E1010" s="1"/>
      <c r="F1010" s="1"/>
      <c r="G1010" s="1"/>
    </row>
    <row r="1011" spans="2:7" x14ac:dyDescent="0.3">
      <c r="B1011" s="17"/>
      <c r="C1011" s="1"/>
      <c r="D1011" s="1"/>
      <c r="E1011" s="1"/>
      <c r="F1011" s="1"/>
      <c r="G1011" s="1"/>
    </row>
    <row r="1012" spans="2:7" x14ac:dyDescent="0.3">
      <c r="B1012" s="17"/>
      <c r="C1012" s="1"/>
      <c r="D1012" s="1"/>
      <c r="E1012" s="1"/>
      <c r="F1012" s="1"/>
      <c r="G1012" s="1"/>
    </row>
    <row r="1013" spans="2:7" x14ac:dyDescent="0.3">
      <c r="B1013" s="17"/>
      <c r="C1013" s="1"/>
      <c r="D1013" s="1"/>
      <c r="E1013" s="1"/>
      <c r="F1013" s="1"/>
      <c r="G1013" s="1"/>
    </row>
    <row r="1014" spans="2:7" x14ac:dyDescent="0.3">
      <c r="B1014" s="17"/>
      <c r="C1014" s="1"/>
      <c r="D1014" s="1"/>
      <c r="E1014" s="1"/>
      <c r="F1014" s="1"/>
      <c r="G1014" s="1"/>
    </row>
    <row r="1015" spans="2:7" x14ac:dyDescent="0.3">
      <c r="B1015" s="17"/>
      <c r="C1015" s="1"/>
      <c r="D1015" s="1"/>
      <c r="E1015" s="1"/>
      <c r="F1015" s="1"/>
      <c r="G1015" s="1"/>
    </row>
    <row r="1016" spans="2:7" x14ac:dyDescent="0.3">
      <c r="B1016" s="17"/>
      <c r="C1016" s="1"/>
      <c r="D1016" s="1"/>
      <c r="E1016" s="1"/>
      <c r="F1016" s="1"/>
      <c r="G1016" s="1"/>
    </row>
    <row r="1017" spans="2:7" x14ac:dyDescent="0.3">
      <c r="B1017" s="17"/>
      <c r="C1017" s="1"/>
      <c r="D1017" s="1"/>
      <c r="E1017" s="1"/>
      <c r="F1017" s="1"/>
      <c r="G1017" s="1"/>
    </row>
    <row r="1018" spans="2:7" x14ac:dyDescent="0.3">
      <c r="B1018" s="17"/>
      <c r="C1018" s="1"/>
      <c r="D1018" s="1"/>
      <c r="E1018" s="1"/>
      <c r="F1018" s="1"/>
      <c r="G1018" s="1"/>
    </row>
    <row r="1019" spans="2:7" x14ac:dyDescent="0.3">
      <c r="B1019" s="17"/>
      <c r="C1019" s="1"/>
      <c r="D1019" s="1"/>
      <c r="E1019" s="1"/>
      <c r="F1019" s="1"/>
      <c r="G1019" s="1"/>
    </row>
    <row r="1020" spans="2:7" x14ac:dyDescent="0.3">
      <c r="B1020" s="17"/>
      <c r="C1020" s="1"/>
      <c r="D1020" s="1"/>
      <c r="E1020" s="1"/>
      <c r="F1020" s="1"/>
      <c r="G1020" s="1"/>
    </row>
    <row r="1021" spans="2:7" x14ac:dyDescent="0.3">
      <c r="B1021" s="17"/>
      <c r="C1021" s="1"/>
      <c r="D1021" s="1"/>
      <c r="E1021" s="1"/>
      <c r="F1021" s="1"/>
      <c r="G1021" s="1"/>
    </row>
    <row r="1022" spans="2:7" x14ac:dyDescent="0.3">
      <c r="B1022" s="17"/>
      <c r="C1022" s="1"/>
      <c r="D1022" s="1"/>
      <c r="E1022" s="1"/>
      <c r="F1022" s="1"/>
      <c r="G1022" s="1"/>
    </row>
    <row r="1023" spans="2:7" x14ac:dyDescent="0.3">
      <c r="B1023" s="17"/>
      <c r="C1023" s="1"/>
      <c r="D1023" s="1"/>
      <c r="E1023" s="1"/>
      <c r="F1023" s="1"/>
      <c r="G1023" s="1"/>
    </row>
    <row r="1024" spans="2:7" x14ac:dyDescent="0.3">
      <c r="B1024" s="17"/>
      <c r="C1024" s="1"/>
      <c r="D1024" s="1"/>
      <c r="E1024" s="1"/>
      <c r="F1024" s="1"/>
      <c r="G1024" s="1"/>
    </row>
    <row r="1025" spans="2:7" x14ac:dyDescent="0.3">
      <c r="B1025" s="17"/>
      <c r="C1025" s="1"/>
      <c r="D1025" s="1"/>
      <c r="E1025" s="1"/>
      <c r="F1025" s="1"/>
      <c r="G1025" s="1"/>
    </row>
    <row r="1026" spans="2:7" x14ac:dyDescent="0.3">
      <c r="B1026" s="17"/>
      <c r="C1026" s="1"/>
      <c r="D1026" s="1"/>
      <c r="E1026" s="1"/>
      <c r="F1026" s="1"/>
      <c r="G1026" s="1"/>
    </row>
    <row r="1027" spans="2:7" x14ac:dyDescent="0.3">
      <c r="B1027" s="17"/>
      <c r="C1027" s="1"/>
      <c r="D1027" s="1"/>
      <c r="E1027" s="1"/>
      <c r="F1027" s="1"/>
      <c r="G1027" s="1"/>
    </row>
    <row r="1028" spans="2:7" x14ac:dyDescent="0.3">
      <c r="B1028" s="17"/>
      <c r="C1028" s="1"/>
      <c r="D1028" s="1"/>
      <c r="E1028" s="1"/>
      <c r="F1028" s="1"/>
      <c r="G1028" s="1"/>
    </row>
    <row r="1029" spans="2:7" x14ac:dyDescent="0.3">
      <c r="B1029" s="17"/>
      <c r="C1029" s="1"/>
      <c r="D1029" s="1"/>
      <c r="E1029" s="1"/>
      <c r="F1029" s="1"/>
      <c r="G1029" s="1"/>
    </row>
    <row r="1030" spans="2:7" x14ac:dyDescent="0.3">
      <c r="B1030" s="17"/>
      <c r="C1030" s="1"/>
      <c r="D1030" s="1"/>
      <c r="E1030" s="1"/>
      <c r="F1030" s="1"/>
      <c r="G1030" s="1"/>
    </row>
    <row r="1031" spans="2:7" x14ac:dyDescent="0.3">
      <c r="B1031" s="17"/>
      <c r="C1031" s="1"/>
      <c r="D1031" s="1"/>
      <c r="E1031" s="1"/>
      <c r="F1031" s="1"/>
      <c r="G1031" s="1"/>
    </row>
    <row r="1032" spans="2:7" x14ac:dyDescent="0.3">
      <c r="B1032" s="17"/>
      <c r="C1032" s="1"/>
      <c r="D1032" s="1"/>
      <c r="E1032" s="1"/>
      <c r="F1032" s="1"/>
      <c r="G1032" s="1"/>
    </row>
    <row r="1033" spans="2:7" x14ac:dyDescent="0.3">
      <c r="B1033" s="17"/>
      <c r="C1033" s="1"/>
      <c r="D1033" s="1"/>
      <c r="E1033" s="1"/>
      <c r="F1033" s="1"/>
      <c r="G1033" s="1"/>
    </row>
    <row r="1034" spans="2:7" x14ac:dyDescent="0.3">
      <c r="B1034" s="17"/>
      <c r="C1034" s="1"/>
      <c r="D1034" s="1"/>
      <c r="E1034" s="1"/>
      <c r="F1034" s="1"/>
      <c r="G1034" s="1"/>
    </row>
    <row r="1035" spans="2:7" x14ac:dyDescent="0.3">
      <c r="B1035" s="17"/>
      <c r="C1035" s="1"/>
      <c r="D1035" s="1"/>
      <c r="E1035" s="1"/>
      <c r="F1035" s="1"/>
      <c r="G1035" s="1"/>
    </row>
    <row r="1036" spans="2:7" x14ac:dyDescent="0.3">
      <c r="B1036" s="17"/>
      <c r="C1036" s="1"/>
      <c r="D1036" s="1"/>
      <c r="E1036" s="1"/>
      <c r="F1036" s="1"/>
      <c r="G1036" s="1"/>
    </row>
    <row r="1037" spans="2:7" x14ac:dyDescent="0.3">
      <c r="B1037" s="17"/>
      <c r="C1037" s="1"/>
      <c r="D1037" s="1"/>
      <c r="E1037" s="1"/>
      <c r="F1037" s="1"/>
      <c r="G1037" s="1"/>
    </row>
    <row r="1038" spans="2:7" x14ac:dyDescent="0.3">
      <c r="B1038" s="17"/>
      <c r="C1038" s="1"/>
      <c r="D1038" s="1"/>
      <c r="E1038" s="1"/>
      <c r="F1038" s="1"/>
      <c r="G1038" s="1"/>
    </row>
    <row r="1039" spans="2:7" x14ac:dyDescent="0.3">
      <c r="B1039" s="17"/>
      <c r="C1039" s="1"/>
      <c r="D1039" s="1"/>
      <c r="E1039" s="1"/>
      <c r="F1039" s="1"/>
      <c r="G1039" s="1"/>
    </row>
    <row r="1040" spans="2:7" x14ac:dyDescent="0.3">
      <c r="B1040" s="17"/>
      <c r="C1040" s="1"/>
      <c r="D1040" s="1"/>
      <c r="E1040" s="1"/>
      <c r="F1040" s="1"/>
      <c r="G1040" s="1"/>
    </row>
    <row r="1041" spans="2:7" x14ac:dyDescent="0.3">
      <c r="B1041" s="17"/>
      <c r="C1041" s="1"/>
      <c r="D1041" s="1"/>
      <c r="E1041" s="1"/>
      <c r="F1041" s="1"/>
      <c r="G1041" s="1"/>
    </row>
    <row r="1042" spans="2:7" x14ac:dyDescent="0.3">
      <c r="B1042" s="17"/>
      <c r="C1042" s="1"/>
      <c r="D1042" s="1"/>
      <c r="E1042" s="1"/>
      <c r="F1042" s="1"/>
      <c r="G1042" s="1"/>
    </row>
    <row r="1043" spans="2:7" x14ac:dyDescent="0.3">
      <c r="B1043" s="17"/>
      <c r="C1043" s="1"/>
      <c r="D1043" s="1"/>
      <c r="E1043" s="1"/>
      <c r="F1043" s="1"/>
      <c r="G1043" s="1"/>
    </row>
    <row r="1044" spans="2:7" x14ac:dyDescent="0.3">
      <c r="B1044" s="17"/>
      <c r="C1044" s="1"/>
      <c r="D1044" s="1"/>
      <c r="E1044" s="1"/>
      <c r="F1044" s="1"/>
      <c r="G1044" s="1"/>
    </row>
    <row r="1045" spans="2:7" x14ac:dyDescent="0.3">
      <c r="B1045" s="17"/>
      <c r="C1045" s="1"/>
      <c r="D1045" s="1"/>
      <c r="E1045" s="1"/>
      <c r="F1045" s="1"/>
      <c r="G1045" s="1"/>
    </row>
    <row r="1046" spans="2:7" x14ac:dyDescent="0.3">
      <c r="B1046" s="17"/>
      <c r="C1046" s="1"/>
      <c r="D1046" s="1"/>
      <c r="E1046" s="1"/>
      <c r="F1046" s="1"/>
      <c r="G1046" s="1"/>
    </row>
    <row r="1047" spans="2:7" x14ac:dyDescent="0.3">
      <c r="B1047" s="17"/>
      <c r="C1047" s="1"/>
      <c r="D1047" s="1"/>
      <c r="E1047" s="1"/>
      <c r="F1047" s="1"/>
      <c r="G1047" s="1"/>
    </row>
    <row r="1048" spans="2:7" x14ac:dyDescent="0.3">
      <c r="B1048" s="17"/>
      <c r="C1048" s="1"/>
      <c r="D1048" s="1"/>
      <c r="E1048" s="1"/>
      <c r="F1048" s="1"/>
      <c r="G1048" s="1"/>
    </row>
    <row r="1049" spans="2:7" x14ac:dyDescent="0.3">
      <c r="B1049" s="17"/>
      <c r="C1049" s="1"/>
      <c r="D1049" s="1"/>
      <c r="E1049" s="1"/>
      <c r="F1049" s="1"/>
      <c r="G1049" s="1"/>
    </row>
    <row r="1050" spans="2:7" x14ac:dyDescent="0.3">
      <c r="B1050" s="17"/>
      <c r="C1050" s="1"/>
      <c r="D1050" s="1"/>
      <c r="E1050" s="1"/>
      <c r="F1050" s="1"/>
      <c r="G1050" s="1"/>
    </row>
    <row r="1051" spans="2:7" x14ac:dyDescent="0.3">
      <c r="B1051" s="17"/>
      <c r="C1051" s="1"/>
      <c r="D1051" s="1"/>
      <c r="E1051" s="1"/>
      <c r="F1051" s="1"/>
      <c r="G1051" s="1"/>
    </row>
    <row r="1052" spans="2:7" x14ac:dyDescent="0.3">
      <c r="B1052" s="17"/>
      <c r="C1052" s="1"/>
      <c r="D1052" s="1"/>
      <c r="E1052" s="1"/>
      <c r="F1052" s="1"/>
      <c r="G1052" s="1"/>
    </row>
    <row r="1053" spans="2:7" x14ac:dyDescent="0.3">
      <c r="B1053" s="17"/>
      <c r="C1053" s="1"/>
      <c r="D1053" s="1"/>
      <c r="E1053" s="1"/>
      <c r="F1053" s="1"/>
      <c r="G1053" s="1"/>
    </row>
    <row r="1054" spans="2:7" x14ac:dyDescent="0.3">
      <c r="B1054" s="17"/>
      <c r="C1054" s="1"/>
      <c r="D1054" s="1"/>
      <c r="E1054" s="1"/>
      <c r="F1054" s="1"/>
      <c r="G1054" s="1"/>
    </row>
    <row r="1055" spans="2:7" x14ac:dyDescent="0.3">
      <c r="B1055" s="17"/>
      <c r="C1055" s="1"/>
      <c r="D1055" s="1"/>
      <c r="E1055" s="1"/>
      <c r="F1055" s="1"/>
      <c r="G1055" s="1"/>
    </row>
    <row r="1056" spans="2:7" x14ac:dyDescent="0.3">
      <c r="B1056" s="17"/>
      <c r="C1056" s="1"/>
      <c r="D1056" s="1"/>
      <c r="E1056" s="1"/>
      <c r="F1056" s="1"/>
      <c r="G1056" s="1"/>
    </row>
    <row r="1057" spans="2:7" x14ac:dyDescent="0.3">
      <c r="B1057" s="17"/>
      <c r="C1057" s="1"/>
      <c r="D1057" s="1"/>
      <c r="E1057" s="1"/>
      <c r="F1057" s="1"/>
      <c r="G1057" s="1"/>
    </row>
    <row r="1058" spans="2:7" x14ac:dyDescent="0.3">
      <c r="B1058" s="17"/>
      <c r="C1058" s="1"/>
      <c r="D1058" s="1"/>
      <c r="E1058" s="1"/>
      <c r="F1058" s="1"/>
      <c r="G1058" s="1"/>
    </row>
    <row r="1059" spans="2:7" x14ac:dyDescent="0.3">
      <c r="B1059" s="17"/>
      <c r="C1059" s="1"/>
      <c r="D1059" s="1"/>
      <c r="E1059" s="1"/>
      <c r="F1059" s="1"/>
      <c r="G1059" s="1"/>
    </row>
    <row r="1060" spans="2:7" x14ac:dyDescent="0.3">
      <c r="B1060" s="17"/>
      <c r="C1060" s="1"/>
      <c r="D1060" s="1"/>
      <c r="E1060" s="1"/>
      <c r="F1060" s="1"/>
      <c r="G1060" s="1"/>
    </row>
    <row r="1061" spans="2:7" x14ac:dyDescent="0.3">
      <c r="B1061" s="17"/>
      <c r="C1061" s="1"/>
      <c r="D1061" s="1"/>
      <c r="E1061" s="1"/>
      <c r="F1061" s="1"/>
      <c r="G1061" s="1"/>
    </row>
    <row r="1062" spans="2:7" x14ac:dyDescent="0.3">
      <c r="B1062" s="17"/>
      <c r="C1062" s="1"/>
      <c r="D1062" s="1"/>
      <c r="E1062" s="1"/>
      <c r="F1062" s="1"/>
      <c r="G1062" s="1"/>
    </row>
    <row r="1063" spans="2:7" x14ac:dyDescent="0.3">
      <c r="B1063" s="17"/>
      <c r="C1063" s="1"/>
      <c r="D1063" s="1"/>
      <c r="E1063" s="1"/>
      <c r="F1063" s="1"/>
      <c r="G1063" s="1"/>
    </row>
    <row r="1064" spans="2:7" x14ac:dyDescent="0.3">
      <c r="B1064" s="17"/>
      <c r="C1064" s="1"/>
      <c r="D1064" s="1"/>
      <c r="E1064" s="1"/>
      <c r="F1064" s="1"/>
      <c r="G1064" s="1"/>
    </row>
    <row r="1065" spans="2:7" x14ac:dyDescent="0.3">
      <c r="B1065" s="17"/>
      <c r="C1065" s="1"/>
      <c r="D1065" s="1"/>
      <c r="E1065" s="1"/>
      <c r="F1065" s="1"/>
      <c r="G1065" s="1"/>
    </row>
    <row r="1066" spans="2:7" x14ac:dyDescent="0.3">
      <c r="B1066" s="17"/>
      <c r="C1066" s="1"/>
      <c r="D1066" s="1"/>
      <c r="E1066" s="1"/>
      <c r="F1066" s="1"/>
      <c r="G1066" s="1"/>
    </row>
    <row r="1067" spans="2:7" x14ac:dyDescent="0.3">
      <c r="B1067" s="17"/>
      <c r="C1067" s="1"/>
      <c r="D1067" s="1"/>
      <c r="E1067" s="1"/>
      <c r="F1067" s="1"/>
      <c r="G1067" s="1"/>
    </row>
    <row r="1068" spans="2:7" x14ac:dyDescent="0.3">
      <c r="B1068" s="17"/>
      <c r="C1068" s="1"/>
      <c r="D1068" s="1"/>
      <c r="E1068" s="1"/>
      <c r="F1068" s="1"/>
      <c r="G1068" s="1"/>
    </row>
    <row r="1069" spans="2:7" x14ac:dyDescent="0.3">
      <c r="B1069" s="17"/>
      <c r="C1069" s="1"/>
      <c r="D1069" s="1"/>
      <c r="E1069" s="1"/>
      <c r="F1069" s="1"/>
      <c r="G1069" s="1"/>
    </row>
    <row r="1070" spans="2:7" x14ac:dyDescent="0.3">
      <c r="B1070" s="17"/>
      <c r="C1070" s="1"/>
      <c r="D1070" s="1"/>
      <c r="E1070" s="1"/>
      <c r="F1070" s="1"/>
      <c r="G1070" s="1"/>
    </row>
    <row r="1071" spans="2:7" x14ac:dyDescent="0.3">
      <c r="B1071" s="17"/>
      <c r="C1071" s="1"/>
      <c r="D1071" s="1"/>
      <c r="E1071" s="1"/>
      <c r="F1071" s="1"/>
      <c r="G1071" s="1"/>
    </row>
    <row r="1072" spans="2:7" x14ac:dyDescent="0.3">
      <c r="B1072" s="17"/>
      <c r="C1072" s="1"/>
      <c r="D1072" s="1"/>
      <c r="E1072" s="1"/>
      <c r="F1072" s="1"/>
      <c r="G1072" s="1"/>
    </row>
    <row r="1073" spans="2:7" x14ac:dyDescent="0.3">
      <c r="B1073" s="17"/>
      <c r="C1073" s="1"/>
      <c r="D1073" s="1"/>
      <c r="E1073" s="1"/>
      <c r="F1073" s="1"/>
      <c r="G1073" s="1"/>
    </row>
    <row r="1074" spans="2:7" x14ac:dyDescent="0.3">
      <c r="B1074" s="17"/>
      <c r="C1074" s="1"/>
      <c r="D1074" s="1"/>
      <c r="E1074" s="1"/>
      <c r="F1074" s="1"/>
      <c r="G1074" s="1"/>
    </row>
    <row r="1075" spans="2:7" x14ac:dyDescent="0.3">
      <c r="B1075" s="17"/>
      <c r="C1075" s="1"/>
      <c r="D1075" s="1"/>
      <c r="E1075" s="1"/>
      <c r="F1075" s="1"/>
      <c r="G1075" s="1"/>
    </row>
    <row r="1076" spans="2:7" x14ac:dyDescent="0.3">
      <c r="B1076" s="17"/>
      <c r="C1076" s="1"/>
      <c r="D1076" s="1"/>
      <c r="E1076" s="1"/>
      <c r="F1076" s="1"/>
      <c r="G1076" s="1"/>
    </row>
    <row r="1077" spans="2:7" x14ac:dyDescent="0.3">
      <c r="B1077" s="17"/>
      <c r="C1077" s="1"/>
      <c r="D1077" s="1"/>
      <c r="E1077" s="1"/>
      <c r="F1077" s="1"/>
      <c r="G1077" s="1"/>
    </row>
    <row r="1078" spans="2:7" x14ac:dyDescent="0.3">
      <c r="B1078" s="17"/>
      <c r="C1078" s="1"/>
      <c r="D1078" s="1"/>
      <c r="E1078" s="1"/>
      <c r="F1078" s="1"/>
      <c r="G1078" s="1"/>
    </row>
    <row r="1079" spans="2:7" x14ac:dyDescent="0.3">
      <c r="B1079" s="17"/>
      <c r="C1079" s="1"/>
      <c r="D1079" s="1"/>
      <c r="E1079" s="1"/>
      <c r="F1079" s="1"/>
      <c r="G1079" s="1"/>
    </row>
    <row r="1080" spans="2:7" x14ac:dyDescent="0.3">
      <c r="B1080" s="17"/>
      <c r="C1080" s="1"/>
      <c r="D1080" s="1"/>
      <c r="E1080" s="1"/>
      <c r="F1080" s="1"/>
      <c r="G1080" s="1"/>
    </row>
    <row r="1081" spans="2:7" x14ac:dyDescent="0.3">
      <c r="B1081" s="17"/>
      <c r="C1081" s="1"/>
      <c r="D1081" s="1"/>
      <c r="E1081" s="1"/>
      <c r="F1081" s="1"/>
      <c r="G1081" s="1"/>
    </row>
    <row r="1082" spans="2:7" x14ac:dyDescent="0.3">
      <c r="B1082" s="17"/>
      <c r="C1082" s="1"/>
      <c r="D1082" s="1"/>
      <c r="E1082" s="1"/>
      <c r="F1082" s="1"/>
      <c r="G1082" s="1"/>
    </row>
    <row r="1083" spans="2:7" x14ac:dyDescent="0.3">
      <c r="B1083" s="17"/>
      <c r="C1083" s="1"/>
      <c r="D1083" s="1"/>
      <c r="E1083" s="1"/>
      <c r="F1083" s="1"/>
      <c r="G1083" s="1"/>
    </row>
    <row r="1084" spans="2:7" x14ac:dyDescent="0.3">
      <c r="B1084" s="17"/>
      <c r="C1084" s="1"/>
      <c r="D1084" s="1"/>
      <c r="E1084" s="1"/>
      <c r="F1084" s="1"/>
      <c r="G1084" s="1"/>
    </row>
    <row r="1085" spans="2:7" x14ac:dyDescent="0.3">
      <c r="B1085" s="17"/>
      <c r="C1085" s="1"/>
      <c r="D1085" s="1"/>
      <c r="E1085" s="1"/>
      <c r="F1085" s="1"/>
      <c r="G1085" s="1"/>
    </row>
    <row r="1086" spans="2:7" x14ac:dyDescent="0.3">
      <c r="B1086" s="17"/>
      <c r="C1086" s="1"/>
      <c r="D1086" s="1"/>
      <c r="E1086" s="1"/>
      <c r="F1086" s="1"/>
      <c r="G1086" s="1"/>
    </row>
    <row r="1087" spans="2:7" x14ac:dyDescent="0.3">
      <c r="B1087" s="17"/>
      <c r="C1087" s="1"/>
      <c r="D1087" s="1"/>
      <c r="E1087" s="1"/>
      <c r="F1087" s="1"/>
      <c r="G1087" s="1"/>
    </row>
    <row r="1088" spans="2:7" x14ac:dyDescent="0.3">
      <c r="B1088" s="17"/>
      <c r="C1088" s="1"/>
      <c r="D1088" s="1"/>
      <c r="E1088" s="1"/>
      <c r="F1088" s="1"/>
      <c r="G1088" s="1"/>
    </row>
    <row r="1089" spans="2:7" x14ac:dyDescent="0.3">
      <c r="B1089" s="17"/>
      <c r="C1089" s="1"/>
      <c r="D1089" s="1"/>
      <c r="E1089" s="1"/>
      <c r="F1089" s="1"/>
      <c r="G1089" s="1"/>
    </row>
    <row r="1090" spans="2:7" x14ac:dyDescent="0.3">
      <c r="B1090" s="17"/>
      <c r="C1090" s="1"/>
      <c r="D1090" s="1"/>
      <c r="E1090" s="1"/>
      <c r="F1090" s="1"/>
      <c r="G1090" s="1"/>
    </row>
    <row r="1091" spans="2:7" x14ac:dyDescent="0.3">
      <c r="B1091" s="17"/>
      <c r="C1091" s="1"/>
      <c r="D1091" s="1"/>
      <c r="E1091" s="1"/>
      <c r="F1091" s="1"/>
      <c r="G1091" s="1"/>
    </row>
    <row r="1092" spans="2:7" x14ac:dyDescent="0.3">
      <c r="B1092" s="17"/>
      <c r="C1092" s="1"/>
      <c r="D1092" s="1"/>
      <c r="E1092" s="1"/>
      <c r="F1092" s="1"/>
      <c r="G1092" s="1"/>
    </row>
    <row r="1093" spans="2:7" x14ac:dyDescent="0.3">
      <c r="B1093" s="17"/>
      <c r="C1093" s="1"/>
      <c r="D1093" s="1"/>
      <c r="E1093" s="1"/>
      <c r="F1093" s="1"/>
      <c r="G1093" s="1"/>
    </row>
    <row r="1094" spans="2:7" x14ac:dyDescent="0.3">
      <c r="B1094" s="17"/>
      <c r="C1094" s="1"/>
      <c r="D1094" s="1"/>
      <c r="E1094" s="1"/>
      <c r="F1094" s="1"/>
      <c r="G1094" s="1"/>
    </row>
    <row r="1095" spans="2:7" x14ac:dyDescent="0.3">
      <c r="B1095" s="17"/>
      <c r="C1095" s="1"/>
      <c r="D1095" s="1"/>
      <c r="E1095" s="1"/>
      <c r="F1095" s="1"/>
      <c r="G1095" s="1"/>
    </row>
    <row r="1096" spans="2:7" x14ac:dyDescent="0.3">
      <c r="B1096" s="17"/>
      <c r="C1096" s="1"/>
      <c r="D1096" s="1"/>
      <c r="E1096" s="1"/>
      <c r="F1096" s="1"/>
      <c r="G1096" s="1"/>
    </row>
    <row r="1097" spans="2:7" x14ac:dyDescent="0.3">
      <c r="B1097" s="17"/>
      <c r="C1097" s="1"/>
      <c r="D1097" s="1"/>
      <c r="E1097" s="1"/>
      <c r="F1097" s="1"/>
      <c r="G1097" s="1"/>
    </row>
    <row r="1098" spans="2:7" x14ac:dyDescent="0.3">
      <c r="B1098" s="17"/>
      <c r="C1098" s="1"/>
      <c r="D1098" s="1"/>
      <c r="E1098" s="1"/>
      <c r="F1098" s="1"/>
      <c r="G1098" s="1"/>
    </row>
    <row r="1099" spans="2:7" x14ac:dyDescent="0.3">
      <c r="B1099" s="17"/>
      <c r="C1099" s="1"/>
      <c r="D1099" s="1"/>
      <c r="E1099" s="1"/>
      <c r="F1099" s="1"/>
      <c r="G1099" s="1"/>
    </row>
    <row r="1100" spans="2:7" x14ac:dyDescent="0.3">
      <c r="B1100" s="17"/>
      <c r="C1100" s="1"/>
      <c r="D1100" s="1"/>
      <c r="E1100" s="1"/>
      <c r="F1100" s="1"/>
      <c r="G1100" s="1"/>
    </row>
    <row r="1101" spans="2:7" x14ac:dyDescent="0.3">
      <c r="B1101" s="17"/>
      <c r="C1101" s="1"/>
      <c r="D1101" s="1"/>
      <c r="E1101" s="1"/>
      <c r="F1101" s="1"/>
      <c r="G1101" s="1"/>
    </row>
    <row r="1102" spans="2:7" x14ac:dyDescent="0.3">
      <c r="B1102" s="17"/>
      <c r="C1102" s="1"/>
      <c r="D1102" s="1"/>
      <c r="E1102" s="1"/>
      <c r="F1102" s="1"/>
      <c r="G1102" s="1"/>
    </row>
    <row r="1103" spans="2:7" x14ac:dyDescent="0.3">
      <c r="B1103" s="17"/>
      <c r="C1103" s="1"/>
      <c r="D1103" s="1"/>
      <c r="E1103" s="1"/>
      <c r="F1103" s="1"/>
      <c r="G1103" s="1"/>
    </row>
    <row r="1104" spans="2:7" x14ac:dyDescent="0.3">
      <c r="B1104" s="17"/>
      <c r="C1104" s="1"/>
      <c r="D1104" s="1"/>
      <c r="E1104" s="1"/>
      <c r="F1104" s="1"/>
      <c r="G1104" s="1"/>
    </row>
    <row r="1105" spans="2:7" x14ac:dyDescent="0.3">
      <c r="B1105" s="17"/>
      <c r="C1105" s="1"/>
      <c r="D1105" s="1"/>
      <c r="E1105" s="1"/>
      <c r="F1105" s="1"/>
      <c r="G1105" s="1"/>
    </row>
    <row r="1106" spans="2:7" x14ac:dyDescent="0.3">
      <c r="B1106" s="17"/>
      <c r="C1106" s="1"/>
      <c r="D1106" s="1"/>
      <c r="E1106" s="1"/>
      <c r="F1106" s="1"/>
      <c r="G1106" s="1"/>
    </row>
    <row r="1107" spans="2:7" x14ac:dyDescent="0.3">
      <c r="B1107" s="17"/>
      <c r="C1107" s="1"/>
      <c r="D1107" s="1"/>
      <c r="E1107" s="1"/>
      <c r="F1107" s="1"/>
      <c r="G1107" s="1"/>
    </row>
    <row r="1108" spans="2:7" x14ac:dyDescent="0.3">
      <c r="B1108" s="17"/>
      <c r="C1108" s="1"/>
      <c r="D1108" s="1"/>
      <c r="E1108" s="1"/>
      <c r="F1108" s="1"/>
      <c r="G1108" s="1"/>
    </row>
    <row r="1109" spans="2:7" x14ac:dyDescent="0.3">
      <c r="B1109" s="17"/>
      <c r="C1109" s="1"/>
      <c r="D1109" s="1"/>
      <c r="E1109" s="1"/>
      <c r="F1109" s="1"/>
      <c r="G1109" s="1"/>
    </row>
    <row r="1110" spans="2:7" x14ac:dyDescent="0.3">
      <c r="B1110" s="17"/>
      <c r="C1110" s="1"/>
      <c r="D1110" s="1"/>
      <c r="E1110" s="1"/>
      <c r="F1110" s="1"/>
      <c r="G1110" s="1"/>
    </row>
    <row r="1111" spans="2:7" x14ac:dyDescent="0.3">
      <c r="B1111" s="17"/>
      <c r="C1111" s="1"/>
      <c r="D1111" s="1"/>
      <c r="E1111" s="1"/>
      <c r="F1111" s="1"/>
      <c r="G1111" s="1"/>
    </row>
    <row r="1112" spans="2:7" x14ac:dyDescent="0.3">
      <c r="B1112" s="17"/>
      <c r="C1112" s="1"/>
      <c r="D1112" s="1"/>
      <c r="E1112" s="1"/>
      <c r="F1112" s="1"/>
      <c r="G1112" s="1"/>
    </row>
    <row r="1113" spans="2:7" x14ac:dyDescent="0.3">
      <c r="B1113" s="17"/>
      <c r="C1113" s="1"/>
      <c r="D1113" s="1"/>
      <c r="E1113" s="1"/>
      <c r="F1113" s="1"/>
      <c r="G1113" s="1"/>
    </row>
    <row r="1114" spans="2:7" x14ac:dyDescent="0.3">
      <c r="B1114" s="17"/>
      <c r="C1114" s="1"/>
      <c r="D1114" s="1"/>
      <c r="E1114" s="1"/>
      <c r="F1114" s="1"/>
      <c r="G1114" s="1"/>
    </row>
    <row r="1115" spans="2:7" x14ac:dyDescent="0.3">
      <c r="B1115" s="17"/>
      <c r="C1115" s="1"/>
      <c r="D1115" s="1"/>
      <c r="E1115" s="1"/>
      <c r="F1115" s="1"/>
      <c r="G1115" s="1"/>
    </row>
    <row r="1116" spans="2:7" x14ac:dyDescent="0.3">
      <c r="B1116" s="17"/>
      <c r="C1116" s="1"/>
      <c r="D1116" s="1"/>
      <c r="E1116" s="1"/>
      <c r="F1116" s="1"/>
      <c r="G1116" s="1"/>
    </row>
    <row r="1117" spans="2:7" x14ac:dyDescent="0.3">
      <c r="B1117" s="17"/>
      <c r="C1117" s="1"/>
      <c r="D1117" s="1"/>
      <c r="E1117" s="1"/>
      <c r="F1117" s="1"/>
      <c r="G1117" s="1"/>
    </row>
    <row r="1118" spans="2:7" x14ac:dyDescent="0.3">
      <c r="B1118" s="17"/>
      <c r="C1118" s="1"/>
      <c r="D1118" s="1"/>
      <c r="E1118" s="1"/>
      <c r="F1118" s="1"/>
      <c r="G1118" s="1"/>
    </row>
    <row r="1119" spans="2:7" x14ac:dyDescent="0.3">
      <c r="B1119" s="17"/>
      <c r="C1119" s="1"/>
      <c r="D1119" s="1"/>
      <c r="E1119" s="1"/>
      <c r="F1119" s="1"/>
      <c r="G1119" s="1"/>
    </row>
    <row r="1120" spans="2:7" x14ac:dyDescent="0.3">
      <c r="B1120" s="17"/>
      <c r="C1120" s="1"/>
      <c r="D1120" s="1"/>
      <c r="E1120" s="1"/>
      <c r="F1120" s="1"/>
      <c r="G1120" s="1"/>
    </row>
    <row r="1121" spans="2:7" x14ac:dyDescent="0.3">
      <c r="B1121" s="17"/>
      <c r="C1121" s="1"/>
      <c r="D1121" s="1"/>
      <c r="E1121" s="1"/>
      <c r="F1121" s="1"/>
      <c r="G1121" s="1"/>
    </row>
    <row r="1122" spans="2:7" x14ac:dyDescent="0.3">
      <c r="B1122" s="17"/>
      <c r="C1122" s="1"/>
      <c r="D1122" s="1"/>
      <c r="E1122" s="1"/>
      <c r="F1122" s="1"/>
      <c r="G1122" s="1"/>
    </row>
    <row r="1123" spans="2:7" x14ac:dyDescent="0.3">
      <c r="B1123" s="17"/>
      <c r="C1123" s="1"/>
      <c r="D1123" s="1"/>
      <c r="E1123" s="1"/>
      <c r="F1123" s="1"/>
      <c r="G1123" s="1"/>
    </row>
    <row r="1124" spans="2:7" x14ac:dyDescent="0.3">
      <c r="B1124" s="17"/>
      <c r="C1124" s="1"/>
      <c r="D1124" s="1"/>
      <c r="E1124" s="1"/>
      <c r="F1124" s="1"/>
      <c r="G1124" s="1"/>
    </row>
    <row r="1125" spans="2:7" x14ac:dyDescent="0.3">
      <c r="B1125" s="17"/>
      <c r="C1125" s="1"/>
      <c r="D1125" s="1"/>
      <c r="E1125" s="1"/>
      <c r="F1125" s="1"/>
      <c r="G1125" s="1"/>
    </row>
    <row r="1126" spans="2:7" x14ac:dyDescent="0.3">
      <c r="B1126" s="17"/>
      <c r="C1126" s="1"/>
      <c r="D1126" s="1"/>
      <c r="E1126" s="1"/>
      <c r="F1126" s="1"/>
      <c r="G1126" s="1"/>
    </row>
    <row r="1127" spans="2:7" x14ac:dyDescent="0.3">
      <c r="B1127" s="17"/>
      <c r="C1127" s="1"/>
      <c r="D1127" s="1"/>
      <c r="E1127" s="1"/>
      <c r="F1127" s="1"/>
      <c r="G1127" s="1"/>
    </row>
    <row r="1128" spans="2:7" x14ac:dyDescent="0.3">
      <c r="B1128" s="17"/>
      <c r="C1128" s="1"/>
      <c r="D1128" s="1"/>
      <c r="E1128" s="1"/>
      <c r="F1128" s="1"/>
      <c r="G1128" s="1"/>
    </row>
    <row r="1129" spans="2:7" x14ac:dyDescent="0.3">
      <c r="B1129" s="17"/>
      <c r="C1129" s="1"/>
      <c r="D1129" s="1"/>
      <c r="E1129" s="1"/>
      <c r="F1129" s="1"/>
      <c r="G1129" s="1"/>
    </row>
    <row r="1130" spans="2:7" x14ac:dyDescent="0.3">
      <c r="B1130" s="17"/>
      <c r="C1130" s="1"/>
      <c r="D1130" s="1"/>
      <c r="E1130" s="1"/>
      <c r="F1130" s="1"/>
      <c r="G1130" s="1"/>
    </row>
    <row r="1131" spans="2:7" x14ac:dyDescent="0.3">
      <c r="B1131" s="17"/>
      <c r="C1131" s="1"/>
      <c r="D1131" s="1"/>
      <c r="E1131" s="1"/>
      <c r="F1131" s="1"/>
      <c r="G1131" s="1"/>
    </row>
    <row r="1132" spans="2:7" x14ac:dyDescent="0.3">
      <c r="B1132" s="17"/>
      <c r="C1132" s="1"/>
      <c r="D1132" s="1"/>
      <c r="E1132" s="1"/>
      <c r="F1132" s="1"/>
      <c r="G1132" s="1"/>
    </row>
    <row r="1133" spans="2:7" x14ac:dyDescent="0.3">
      <c r="B1133" s="17"/>
      <c r="C1133" s="1"/>
      <c r="D1133" s="1"/>
      <c r="E1133" s="1"/>
      <c r="F1133" s="1"/>
      <c r="G1133" s="1"/>
    </row>
    <row r="1134" spans="2:7" x14ac:dyDescent="0.3">
      <c r="B1134" s="17"/>
      <c r="C1134" s="1"/>
      <c r="D1134" s="1"/>
      <c r="E1134" s="1"/>
      <c r="F1134" s="1"/>
      <c r="G1134" s="1"/>
    </row>
    <row r="1135" spans="2:7" x14ac:dyDescent="0.3">
      <c r="B1135" s="17"/>
      <c r="C1135" s="1"/>
      <c r="D1135" s="1"/>
      <c r="E1135" s="1"/>
      <c r="F1135" s="1"/>
      <c r="G1135" s="1"/>
    </row>
    <row r="1136" spans="2:7" x14ac:dyDescent="0.3">
      <c r="B1136" s="17"/>
      <c r="C1136" s="1"/>
      <c r="D1136" s="1"/>
      <c r="E1136" s="1"/>
      <c r="F1136" s="1"/>
      <c r="G1136" s="1"/>
    </row>
    <row r="1137" spans="2:7" x14ac:dyDescent="0.3">
      <c r="B1137" s="17"/>
      <c r="C1137" s="1"/>
      <c r="D1137" s="1"/>
      <c r="E1137" s="1"/>
      <c r="F1137" s="1"/>
      <c r="G1137" s="1"/>
    </row>
    <row r="1138" spans="2:7" x14ac:dyDescent="0.3">
      <c r="B1138" s="17"/>
      <c r="C1138" s="1"/>
      <c r="D1138" s="1"/>
      <c r="E1138" s="1"/>
      <c r="F1138" s="1"/>
      <c r="G1138" s="1"/>
    </row>
    <row r="1139" spans="2:7" x14ac:dyDescent="0.3">
      <c r="B1139" s="17"/>
      <c r="C1139" s="1"/>
      <c r="D1139" s="1"/>
      <c r="E1139" s="1"/>
      <c r="F1139" s="1"/>
      <c r="G1139" s="1"/>
    </row>
    <row r="1140" spans="2:7" x14ac:dyDescent="0.3">
      <c r="B1140" s="17"/>
      <c r="C1140" s="1"/>
      <c r="D1140" s="1"/>
      <c r="E1140" s="1"/>
      <c r="F1140" s="1"/>
      <c r="G1140" s="1"/>
    </row>
    <row r="1141" spans="2:7" x14ac:dyDescent="0.3">
      <c r="B1141" s="17"/>
      <c r="C1141" s="1"/>
      <c r="D1141" s="1"/>
      <c r="E1141" s="1"/>
      <c r="F1141" s="1"/>
      <c r="G1141" s="1"/>
    </row>
    <row r="1142" spans="2:7" x14ac:dyDescent="0.3">
      <c r="B1142" s="17"/>
      <c r="C1142" s="1"/>
      <c r="D1142" s="1"/>
      <c r="E1142" s="1"/>
      <c r="F1142" s="1"/>
      <c r="G1142" s="1"/>
    </row>
    <row r="1143" spans="2:7" x14ac:dyDescent="0.3">
      <c r="B1143" s="17"/>
      <c r="C1143" s="1"/>
      <c r="D1143" s="1"/>
      <c r="E1143" s="1"/>
      <c r="F1143" s="1"/>
      <c r="G1143" s="1"/>
    </row>
    <row r="1144" spans="2:7" x14ac:dyDescent="0.3">
      <c r="B1144" s="17"/>
      <c r="C1144" s="1"/>
      <c r="D1144" s="1"/>
      <c r="E1144" s="1"/>
      <c r="F1144" s="1"/>
      <c r="G1144" s="1"/>
    </row>
    <row r="1145" spans="2:7" x14ac:dyDescent="0.3">
      <c r="B1145" s="17"/>
      <c r="C1145" s="1"/>
      <c r="D1145" s="1"/>
      <c r="E1145" s="1"/>
      <c r="F1145" s="1"/>
      <c r="G1145" s="1"/>
    </row>
    <row r="1146" spans="2:7" x14ac:dyDescent="0.3">
      <c r="B1146" s="17"/>
      <c r="C1146" s="1"/>
      <c r="D1146" s="1"/>
      <c r="E1146" s="1"/>
      <c r="F1146" s="1"/>
      <c r="G1146" s="1"/>
    </row>
    <row r="1147" spans="2:7" x14ac:dyDescent="0.3">
      <c r="B1147" s="17"/>
      <c r="C1147" s="1"/>
      <c r="D1147" s="1"/>
      <c r="E1147" s="1"/>
      <c r="F1147" s="1"/>
      <c r="G1147" s="1"/>
    </row>
    <row r="1148" spans="2:7" x14ac:dyDescent="0.3">
      <c r="B1148" s="17"/>
      <c r="C1148" s="1"/>
      <c r="D1148" s="1"/>
      <c r="E1148" s="1"/>
      <c r="F1148" s="1"/>
      <c r="G1148" s="1"/>
    </row>
    <row r="1149" spans="2:7" x14ac:dyDescent="0.3">
      <c r="B1149" s="17"/>
      <c r="C1149" s="1"/>
      <c r="D1149" s="1"/>
      <c r="E1149" s="1"/>
      <c r="F1149" s="1"/>
      <c r="G1149" s="1"/>
    </row>
    <row r="1150" spans="2:7" x14ac:dyDescent="0.3">
      <c r="B1150" s="17"/>
      <c r="C1150" s="1"/>
      <c r="D1150" s="1"/>
      <c r="E1150" s="1"/>
      <c r="F1150" s="1"/>
      <c r="G1150" s="1"/>
    </row>
    <row r="1151" spans="2:7" x14ac:dyDescent="0.3">
      <c r="B1151" s="17"/>
      <c r="C1151" s="1"/>
      <c r="D1151" s="1"/>
      <c r="E1151" s="1"/>
      <c r="F1151" s="1"/>
      <c r="G1151" s="1"/>
    </row>
  </sheetData>
  <mergeCells count="2">
    <mergeCell ref="A1:G1"/>
    <mergeCell ref="A4:H4"/>
  </mergeCells>
  <pageMargins left="0.7" right="0.7" top="0.75" bottom="0.75" header="0.3" footer="0.3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"/>
  <sheetViews>
    <sheetView showGridLines="0" topLeftCell="A17" workbookViewId="0">
      <selection activeCell="F36" sqref="F36"/>
    </sheetView>
  </sheetViews>
  <sheetFormatPr baseColWidth="10" defaultColWidth="11.44140625" defaultRowHeight="13.8" x14ac:dyDescent="0.25"/>
  <cols>
    <col min="1" max="3" width="11.44140625" style="68"/>
    <col min="4" max="4" width="18.6640625" style="68" bestFit="1" customWidth="1"/>
    <col min="5" max="16384" width="11.44140625" style="68"/>
  </cols>
  <sheetData>
    <row r="1" spans="1:6" ht="27.6" x14ac:dyDescent="0.25">
      <c r="A1" s="112" t="s">
        <v>98</v>
      </c>
      <c r="D1" s="112" t="s">
        <v>228</v>
      </c>
      <c r="E1" s="112" t="s">
        <v>229</v>
      </c>
      <c r="F1" s="112" t="s">
        <v>230</v>
      </c>
    </row>
    <row r="2" spans="1:6" x14ac:dyDescent="0.25">
      <c r="A2" s="113">
        <v>45658</v>
      </c>
      <c r="D2" s="114" t="s">
        <v>187</v>
      </c>
      <c r="E2" s="114" t="s">
        <v>188</v>
      </c>
      <c r="F2" s="115">
        <v>5</v>
      </c>
    </row>
    <row r="3" spans="1:6" x14ac:dyDescent="0.25">
      <c r="A3" s="113">
        <v>45663</v>
      </c>
      <c r="D3" s="114" t="s">
        <v>211</v>
      </c>
      <c r="E3" s="114" t="s">
        <v>211</v>
      </c>
      <c r="F3" s="115">
        <v>5</v>
      </c>
    </row>
    <row r="4" spans="1:6" x14ac:dyDescent="0.25">
      <c r="A4" s="113">
        <v>45740</v>
      </c>
      <c r="D4" s="114" t="s">
        <v>24</v>
      </c>
      <c r="E4" s="114" t="s">
        <v>25</v>
      </c>
      <c r="F4" s="115">
        <v>3</v>
      </c>
    </row>
    <row r="5" spans="1:6" x14ac:dyDescent="0.25">
      <c r="A5" s="113">
        <v>45764</v>
      </c>
      <c r="D5" s="114" t="s">
        <v>24</v>
      </c>
      <c r="E5" s="114" t="s">
        <v>27</v>
      </c>
      <c r="F5" s="115">
        <v>3</v>
      </c>
    </row>
    <row r="6" spans="1:6" x14ac:dyDescent="0.25">
      <c r="A6" s="113">
        <v>45765</v>
      </c>
      <c r="D6" s="114" t="s">
        <v>24</v>
      </c>
      <c r="E6" s="114" t="s">
        <v>185</v>
      </c>
      <c r="F6" s="115">
        <v>3</v>
      </c>
    </row>
    <row r="7" spans="1:6" x14ac:dyDescent="0.25">
      <c r="A7" s="113">
        <v>45778</v>
      </c>
      <c r="D7" s="114" t="s">
        <v>24</v>
      </c>
      <c r="E7" s="114" t="s">
        <v>39</v>
      </c>
      <c r="F7" s="115">
        <v>3</v>
      </c>
    </row>
    <row r="8" spans="1:6" x14ac:dyDescent="0.25">
      <c r="A8" s="113">
        <v>45810</v>
      </c>
      <c r="D8" s="114" t="s">
        <v>24</v>
      </c>
      <c r="E8" s="114" t="s">
        <v>322</v>
      </c>
      <c r="F8" s="115">
        <v>3</v>
      </c>
    </row>
    <row r="9" spans="1:6" x14ac:dyDescent="0.25">
      <c r="A9" s="113">
        <v>45831</v>
      </c>
      <c r="D9" s="114" t="s">
        <v>24</v>
      </c>
      <c r="E9" s="114" t="s">
        <v>195</v>
      </c>
      <c r="F9" s="115">
        <v>5</v>
      </c>
    </row>
    <row r="10" spans="1:6" x14ac:dyDescent="0.25">
      <c r="A10" s="113">
        <v>45838</v>
      </c>
      <c r="D10" s="114" t="s">
        <v>24</v>
      </c>
      <c r="E10" s="114" t="s">
        <v>37</v>
      </c>
      <c r="F10" s="115">
        <v>5</v>
      </c>
    </row>
    <row r="11" spans="1:6" x14ac:dyDescent="0.25">
      <c r="A11" s="113">
        <v>45858</v>
      </c>
      <c r="D11" s="114" t="s">
        <v>24</v>
      </c>
      <c r="E11" s="114" t="s">
        <v>199</v>
      </c>
      <c r="F11" s="115">
        <v>5</v>
      </c>
    </row>
    <row r="12" spans="1:6" x14ac:dyDescent="0.25">
      <c r="A12" s="113">
        <v>45876</v>
      </c>
      <c r="D12" s="114" t="s">
        <v>24</v>
      </c>
      <c r="E12" s="114" t="s">
        <v>48</v>
      </c>
      <c r="F12" s="115">
        <v>3</v>
      </c>
    </row>
    <row r="13" spans="1:6" x14ac:dyDescent="0.25">
      <c r="A13" s="113">
        <v>45887</v>
      </c>
      <c r="D13" s="114" t="s">
        <v>24</v>
      </c>
      <c r="E13" s="114" t="s">
        <v>209</v>
      </c>
      <c r="F13" s="115">
        <v>3</v>
      </c>
    </row>
    <row r="14" spans="1:6" x14ac:dyDescent="0.25">
      <c r="A14" s="113">
        <v>45943</v>
      </c>
      <c r="D14" s="114" t="s">
        <v>24</v>
      </c>
      <c r="E14" s="114" t="s">
        <v>215</v>
      </c>
      <c r="F14" s="115">
        <v>5</v>
      </c>
    </row>
    <row r="15" spans="1:6" x14ac:dyDescent="0.25">
      <c r="A15" s="113">
        <v>45964</v>
      </c>
      <c r="D15" s="114" t="s">
        <v>24</v>
      </c>
      <c r="E15" s="114" t="s">
        <v>217</v>
      </c>
      <c r="F15" s="115">
        <v>5</v>
      </c>
    </row>
    <row r="16" spans="1:6" x14ac:dyDescent="0.25">
      <c r="A16" s="113">
        <v>45978</v>
      </c>
      <c r="D16" s="114" t="s">
        <v>24</v>
      </c>
      <c r="E16" s="114" t="s">
        <v>221</v>
      </c>
      <c r="F16" s="115">
        <v>5</v>
      </c>
    </row>
    <row r="17" spans="1:6" x14ac:dyDescent="0.25">
      <c r="A17" s="113">
        <v>45999</v>
      </c>
      <c r="D17" s="114" t="s">
        <v>24</v>
      </c>
      <c r="E17" s="114" t="s">
        <v>224</v>
      </c>
      <c r="F17" s="115">
        <v>5</v>
      </c>
    </row>
    <row r="18" spans="1:6" x14ac:dyDescent="0.25">
      <c r="A18" s="113">
        <v>46016</v>
      </c>
      <c r="D18" s="114" t="s">
        <v>24</v>
      </c>
      <c r="E18" s="114" t="s">
        <v>644</v>
      </c>
      <c r="F18" s="115">
        <v>5</v>
      </c>
    </row>
    <row r="19" spans="1:6" x14ac:dyDescent="0.25">
      <c r="A19" s="116"/>
      <c r="D19" s="114" t="s">
        <v>216</v>
      </c>
      <c r="E19" s="114" t="s">
        <v>196</v>
      </c>
      <c r="F19" s="115">
        <v>3</v>
      </c>
    </row>
    <row r="20" spans="1:6" x14ac:dyDescent="0.25">
      <c r="A20" s="116"/>
      <c r="D20" s="114" t="s">
        <v>189</v>
      </c>
      <c r="E20" s="114" t="s">
        <v>190</v>
      </c>
      <c r="F20" s="115">
        <v>5</v>
      </c>
    </row>
    <row r="21" spans="1:6" x14ac:dyDescent="0.25">
      <c r="D21" s="114" t="s">
        <v>189</v>
      </c>
      <c r="E21" s="114" t="s">
        <v>45</v>
      </c>
      <c r="F21" s="115">
        <v>5</v>
      </c>
    </row>
    <row r="22" spans="1:6" x14ac:dyDescent="0.25">
      <c r="D22" s="114" t="s">
        <v>21</v>
      </c>
      <c r="E22" s="114" t="s">
        <v>22</v>
      </c>
      <c r="F22" s="115">
        <v>3</v>
      </c>
    </row>
    <row r="23" spans="1:6" x14ac:dyDescent="0.25">
      <c r="D23" s="114" t="s">
        <v>21</v>
      </c>
      <c r="E23" s="114" t="s">
        <v>198</v>
      </c>
      <c r="F23" s="115">
        <v>5</v>
      </c>
    </row>
    <row r="24" spans="1:6" x14ac:dyDescent="0.25">
      <c r="D24" s="114" t="s">
        <v>21</v>
      </c>
      <c r="E24" s="114" t="s">
        <v>200</v>
      </c>
      <c r="F24" s="115">
        <v>5</v>
      </c>
    </row>
    <row r="25" spans="1:6" x14ac:dyDescent="0.25">
      <c r="D25" s="114" t="s">
        <v>21</v>
      </c>
      <c r="E25" s="114" t="s">
        <v>201</v>
      </c>
      <c r="F25" s="115">
        <v>5</v>
      </c>
    </row>
    <row r="26" spans="1:6" x14ac:dyDescent="0.25">
      <c r="D26" s="114" t="s">
        <v>21</v>
      </c>
      <c r="E26" s="114" t="s">
        <v>202</v>
      </c>
      <c r="F26" s="115">
        <v>5</v>
      </c>
    </row>
    <row r="27" spans="1:6" x14ac:dyDescent="0.25">
      <c r="D27" s="114" t="s">
        <v>21</v>
      </c>
      <c r="E27" s="114" t="s">
        <v>121</v>
      </c>
      <c r="F27" s="115">
        <v>5</v>
      </c>
    </row>
    <row r="28" spans="1:6" x14ac:dyDescent="0.25">
      <c r="D28" s="114" t="s">
        <v>21</v>
      </c>
      <c r="E28" s="114" t="s">
        <v>205</v>
      </c>
      <c r="F28" s="115">
        <v>5</v>
      </c>
    </row>
    <row r="29" spans="1:6" x14ac:dyDescent="0.25">
      <c r="D29" s="114" t="s">
        <v>21</v>
      </c>
      <c r="E29" s="114" t="s">
        <v>212</v>
      </c>
      <c r="F29" s="115">
        <v>5</v>
      </c>
    </row>
    <row r="30" spans="1:6" x14ac:dyDescent="0.25">
      <c r="D30" s="114" t="s">
        <v>21</v>
      </c>
      <c r="E30" s="114" t="s">
        <v>220</v>
      </c>
      <c r="F30" s="115">
        <v>5</v>
      </c>
    </row>
    <row r="31" spans="1:6" x14ac:dyDescent="0.25">
      <c r="D31" s="114" t="s">
        <v>21</v>
      </c>
      <c r="E31" s="114" t="s">
        <v>167</v>
      </c>
      <c r="F31" s="115">
        <v>5</v>
      </c>
    </row>
    <row r="32" spans="1:6" x14ac:dyDescent="0.25">
      <c r="D32" s="114" t="s">
        <v>21</v>
      </c>
      <c r="E32" s="114" t="s">
        <v>225</v>
      </c>
      <c r="F32" s="115">
        <v>5</v>
      </c>
    </row>
    <row r="33" spans="4:6" x14ac:dyDescent="0.25">
      <c r="D33" s="114" t="s">
        <v>21</v>
      </c>
      <c r="E33" s="114" t="s">
        <v>227</v>
      </c>
      <c r="F33" s="115">
        <v>5</v>
      </c>
    </row>
    <row r="34" spans="4:6" x14ac:dyDescent="0.25">
      <c r="D34" s="114" t="s">
        <v>21</v>
      </c>
      <c r="E34" s="114" t="s">
        <v>247</v>
      </c>
      <c r="F34" s="115">
        <v>5</v>
      </c>
    </row>
    <row r="35" spans="4:6" x14ac:dyDescent="0.25">
      <c r="D35" s="114" t="s">
        <v>21</v>
      </c>
      <c r="E35" s="114" t="s">
        <v>947</v>
      </c>
      <c r="F35" s="115">
        <v>5</v>
      </c>
    </row>
    <row r="36" spans="4:6" x14ac:dyDescent="0.25">
      <c r="D36" s="114" t="s">
        <v>21</v>
      </c>
      <c r="E36" s="114" t="s">
        <v>986</v>
      </c>
      <c r="F36" s="115">
        <v>5</v>
      </c>
    </row>
    <row r="37" spans="4:6" x14ac:dyDescent="0.25">
      <c r="D37" s="114" t="s">
        <v>192</v>
      </c>
      <c r="E37" s="114" t="s">
        <v>213</v>
      </c>
      <c r="F37" s="115">
        <v>5</v>
      </c>
    </row>
    <row r="38" spans="4:6" x14ac:dyDescent="0.25">
      <c r="D38" s="114" t="s">
        <v>192</v>
      </c>
      <c r="E38" s="114" t="s">
        <v>191</v>
      </c>
      <c r="F38" s="115">
        <v>5</v>
      </c>
    </row>
    <row r="39" spans="4:6" x14ac:dyDescent="0.25">
      <c r="D39" s="114" t="s">
        <v>46</v>
      </c>
      <c r="E39" s="114" t="s">
        <v>194</v>
      </c>
      <c r="F39" s="115">
        <v>3</v>
      </c>
    </row>
    <row r="40" spans="4:6" x14ac:dyDescent="0.25">
      <c r="D40" s="114" t="s">
        <v>46</v>
      </c>
      <c r="E40" s="114" t="s">
        <v>46</v>
      </c>
      <c r="F40" s="115">
        <v>3</v>
      </c>
    </row>
    <row r="41" spans="4:6" x14ac:dyDescent="0.25">
      <c r="D41" s="114" t="s">
        <v>37</v>
      </c>
      <c r="E41" s="114" t="s">
        <v>38</v>
      </c>
      <c r="F41" s="115">
        <v>5</v>
      </c>
    </row>
    <row r="42" spans="4:6" x14ac:dyDescent="0.25">
      <c r="D42" s="114" t="s">
        <v>37</v>
      </c>
      <c r="E42" s="114" t="s">
        <v>218</v>
      </c>
      <c r="F42" s="115">
        <v>5</v>
      </c>
    </row>
    <row r="43" spans="4:6" x14ac:dyDescent="0.25">
      <c r="D43" s="114" t="s">
        <v>40</v>
      </c>
      <c r="E43" s="114" t="s">
        <v>40</v>
      </c>
      <c r="F43" s="115">
        <v>5</v>
      </c>
    </row>
    <row r="44" spans="4:6" x14ac:dyDescent="0.25">
      <c r="D44" s="114" t="s">
        <v>222</v>
      </c>
      <c r="E44" s="114" t="s">
        <v>223</v>
      </c>
      <c r="F44" s="115">
        <v>5</v>
      </c>
    </row>
    <row r="45" spans="4:6" x14ac:dyDescent="0.25">
      <c r="D45" s="114" t="s">
        <v>34</v>
      </c>
      <c r="E45" s="114" t="s">
        <v>34</v>
      </c>
      <c r="F45" s="115">
        <v>3</v>
      </c>
    </row>
    <row r="46" spans="4:6" x14ac:dyDescent="0.25">
      <c r="D46" s="114" t="s">
        <v>207</v>
      </c>
      <c r="E46" s="114" t="s">
        <v>208</v>
      </c>
      <c r="F46" s="115">
        <v>5</v>
      </c>
    </row>
    <row r="47" spans="4:6" x14ac:dyDescent="0.25">
      <c r="D47" s="114" t="s">
        <v>206</v>
      </c>
      <c r="E47" s="114" t="s">
        <v>206</v>
      </c>
      <c r="F47" s="115">
        <v>3</v>
      </c>
    </row>
    <row r="48" spans="4:6" x14ac:dyDescent="0.25">
      <c r="D48" s="114" t="s">
        <v>186</v>
      </c>
      <c r="E48" s="114" t="s">
        <v>186</v>
      </c>
      <c r="F48" s="115">
        <v>5</v>
      </c>
    </row>
    <row r="49" spans="4:6" x14ac:dyDescent="0.25">
      <c r="D49" s="114" t="s">
        <v>219</v>
      </c>
      <c r="E49" s="114" t="s">
        <v>219</v>
      </c>
      <c r="F49" s="115">
        <v>3</v>
      </c>
    </row>
    <row r="50" spans="4:6" x14ac:dyDescent="0.25">
      <c r="D50" s="114" t="s">
        <v>193</v>
      </c>
      <c r="E50" s="114" t="s">
        <v>193</v>
      </c>
      <c r="F50" s="115">
        <v>5</v>
      </c>
    </row>
    <row r="51" spans="4:6" x14ac:dyDescent="0.25">
      <c r="D51" s="114" t="s">
        <v>216</v>
      </c>
      <c r="E51" s="114" t="s">
        <v>226</v>
      </c>
      <c r="F51" s="115">
        <v>3</v>
      </c>
    </row>
    <row r="52" spans="4:6" x14ac:dyDescent="0.25">
      <c r="D52" s="114" t="s">
        <v>203</v>
      </c>
      <c r="E52" s="114" t="s">
        <v>204</v>
      </c>
      <c r="F52" s="115">
        <v>3</v>
      </c>
    </row>
    <row r="53" spans="4:6" x14ac:dyDescent="0.25">
      <c r="D53" s="114" t="s">
        <v>203</v>
      </c>
      <c r="E53" s="114" t="s">
        <v>214</v>
      </c>
      <c r="F53" s="115">
        <v>3</v>
      </c>
    </row>
    <row r="54" spans="4:6" x14ac:dyDescent="0.25">
      <c r="D54" s="114" t="s">
        <v>194</v>
      </c>
      <c r="E54" s="114" t="s">
        <v>210</v>
      </c>
      <c r="F54" s="115">
        <v>5</v>
      </c>
    </row>
    <row r="55" spans="4:6" x14ac:dyDescent="0.25">
      <c r="D55" s="114" t="s">
        <v>194</v>
      </c>
      <c r="E55" s="114" t="s">
        <v>847</v>
      </c>
      <c r="F55" s="115">
        <v>5</v>
      </c>
    </row>
    <row r="56" spans="4:6" x14ac:dyDescent="0.25">
      <c r="D56" s="114" t="s">
        <v>42</v>
      </c>
      <c r="E56" s="114" t="s">
        <v>43</v>
      </c>
      <c r="F56" s="115">
        <v>3</v>
      </c>
    </row>
    <row r="57" spans="4:6" x14ac:dyDescent="0.25">
      <c r="D57" s="114" t="s">
        <v>42</v>
      </c>
      <c r="E57" s="114" t="s">
        <v>197</v>
      </c>
      <c r="F57" s="115">
        <v>3</v>
      </c>
    </row>
    <row r="58" spans="4:6" x14ac:dyDescent="0.25">
      <c r="D58" s="114" t="s">
        <v>42</v>
      </c>
      <c r="E58" s="114" t="s">
        <v>41</v>
      </c>
      <c r="F58" s="115">
        <v>3</v>
      </c>
    </row>
    <row r="59" spans="4:6" x14ac:dyDescent="0.25">
      <c r="D59" s="114" t="s">
        <v>42</v>
      </c>
      <c r="E59" s="114" t="s">
        <v>118</v>
      </c>
      <c r="F59" s="115">
        <v>3</v>
      </c>
    </row>
    <row r="60" spans="4:6" x14ac:dyDescent="0.25">
      <c r="D60" s="114" t="s">
        <v>248</v>
      </c>
      <c r="E60" s="114" t="s">
        <v>248</v>
      </c>
      <c r="F60" s="115">
        <v>5</v>
      </c>
    </row>
    <row r="61" spans="4:6" x14ac:dyDescent="0.25">
      <c r="D61" s="114" t="s">
        <v>248</v>
      </c>
      <c r="E61" s="114" t="s">
        <v>248</v>
      </c>
      <c r="F61" s="115">
        <v>5</v>
      </c>
    </row>
    <row r="62" spans="4:6" x14ac:dyDescent="0.25">
      <c r="D62" s="114" t="s">
        <v>250</v>
      </c>
      <c r="E62" s="114" t="s">
        <v>251</v>
      </c>
      <c r="F62" s="115">
        <v>5</v>
      </c>
    </row>
  </sheetData>
  <sortState xmlns:xlrd2="http://schemas.microsoft.com/office/spreadsheetml/2017/richdata2" ref="D2:E907">
    <sortCondition ref="D2:D9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 Ventas</vt:lpstr>
      <vt:lpstr>Productos</vt:lpstr>
      <vt:lpstr>Indicadores Despachos</vt:lpstr>
      <vt:lpstr>OKR</vt:lpstr>
      <vt:lpstr>Analisis Ventas</vt:lpstr>
      <vt:lpstr>Valores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Tobar Romero</dc:creator>
  <cp:lastModifiedBy>SUMMER</cp:lastModifiedBy>
  <dcterms:created xsi:type="dcterms:W3CDTF">2022-03-21T22:27:02Z</dcterms:created>
  <dcterms:modified xsi:type="dcterms:W3CDTF">2026-02-09T15:34:53Z</dcterms:modified>
</cp:coreProperties>
</file>